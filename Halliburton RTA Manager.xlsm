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comments1.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3" yWindow="39" windowWidth="28826" windowHeight="14740" tabRatio="660"/>
  </bookViews>
  <sheets>
    <sheet name="Intro Checker" sheetId="10" r:id="rId1"/>
    <sheet name="RTA Manager" sheetId="4" state="hidden" r:id="rId2"/>
    <sheet name="Settings" sheetId="3" state="hidden" r:id="rId3"/>
    <sheet name="RTAimport" sheetId="5" state="hidden" r:id="rId4"/>
    <sheet name="PriorityLoad" sheetId="9" state="hidden" r:id="rId5"/>
    <sheet name="Report_reportMain" sheetId="7" state="hidden" r:id="rId6"/>
    <sheet name="Report_reportBlue" sheetId="11" state="hidden" r:id="rId7"/>
    <sheet name="Sheet1" sheetId="12" state="hidden" r:id="rId8"/>
  </sheets>
  <functionGroups builtInGroupCount="17"/>
  <definedNames>
    <definedName name="_xlnm._FilterDatabase" localSheetId="1" hidden="1">'RTA Manager'!$A$1:$C$1</definedName>
    <definedName name="aisHide">'RTA Manager'!$F:$H</definedName>
    <definedName name="ATTRclass" localSheetId="6">Table1[Class]</definedName>
    <definedName name="ATTRclass">Table1[Class]</definedName>
    <definedName name="BuildNum">Settings!$Q$13</definedName>
    <definedName name="cFilt">Settings!$O$3</definedName>
    <definedName name="deptHide">'RTA Manager'!$E:$E,'RTA Manager'!$K:$Q,'RTA Manager'!$S:$AJ</definedName>
    <definedName name="DIcode">Settings!$D$17:$M$17</definedName>
    <definedName name="Digital_Infrastructure_Names" localSheetId="2" hidden="1">Settings!$E$29:$E$46</definedName>
    <definedName name="DIgroup">Settings!$D$19:$M$19</definedName>
    <definedName name="DIgroupDelim">Settings!$D$20:$M$20</definedName>
    <definedName name="DIlab">Settings!$D$16:$M$16</definedName>
    <definedName name="DIstate">Settings!$D$18:$M$18</definedName>
    <definedName name="DItype">Settings!$D$15:$M$15</definedName>
    <definedName name="FCcode">Settings!$D$11:$M$11</definedName>
    <definedName name="FCgroup">Settings!$D$13:$M$13</definedName>
    <definedName name="FCgroupDelim">Settings!$D$14:$M$14</definedName>
    <definedName name="FClab">Settings!$D$10:$M$10</definedName>
    <definedName name="FCstate">Settings!$D$12:$M$12</definedName>
    <definedName name="FCtype">Settings!$D$9:$M$9</definedName>
    <definedName name="Flow_Control_Names" localSheetId="2" hidden="1">Settings!$D$29:$D$73</definedName>
    <definedName name="FullScreenMode">Settings!$Q$9</definedName>
    <definedName name="inProc">Settings!$O$9</definedName>
    <definedName name="my_Version">Settings!$Q$13</definedName>
    <definedName name="nameQuery">'RTA Manager'!$I$4</definedName>
    <definedName name="Permanent_Monitoring_Names" localSheetId="2" hidden="1">Settings!$C$29:$C$53</definedName>
    <definedName name="PMcode">Settings!$D$5:$M$5</definedName>
    <definedName name="PMgroup">Settings!$D$7:$M$7</definedName>
    <definedName name="PMgroupDelim">Settings!$D$8:$M$8</definedName>
    <definedName name="PMlab">Settings!$D$4:$M$4</definedName>
    <definedName name="PMstate">Settings!$D$6:$M$6</definedName>
    <definedName name="PMThide">'RTA Manager'!$E:$E,'RTA Manager'!$I:$I,'RTA Manager'!$K:$Q,'RTA Manager'!$S:$AJ</definedName>
    <definedName name="PMtype">Settings!$D$3:$M$3</definedName>
    <definedName name="_xlnm.Print_Area" localSheetId="1">Main[#All]</definedName>
    <definedName name="reportBlue">'RTA Manager'!$E:$E,'RTA Manager'!$G:$G,'RTA Manager'!$H:$H,'RTA Manager'!$K:$Q,'RTA Manager'!$S:$AA</definedName>
    <definedName name="reportFormat">Settings!$O$15</definedName>
    <definedName name="reportMain">'RTA Manager'!$E:$E,'RTA Manager'!$G:$G,'RTA Manager'!$G:$G,'RTA Manager'!$G:$H,'RTA Manager'!$K:$Q,'RTA Manager'!$S:$AA</definedName>
    <definedName name="schedHide">'RTA Manager'!$M:$P</definedName>
    <definedName name="Scode">Settings!$D$23:$M$23</definedName>
    <definedName name="Sgroup">Settings!$D$25:$M$25</definedName>
    <definedName name="SgroupDelim">Settings!$D$26:$M$26</definedName>
    <definedName name="sheetViewMode">Settings!$Q$3</definedName>
    <definedName name="showAll">'RTA Manager'!$M:$P</definedName>
    <definedName name="Slab">Settings!$D$22:$M$22</definedName>
    <definedName name="Software_Names" localSheetId="2" hidden="1">Settings!$F$29:$F$39</definedName>
    <definedName name="sortCol">Settings!$O$11</definedName>
    <definedName name="sortOrder">Settings!$Q$11</definedName>
    <definedName name="Sstate">Settings!$D$24:$M$24</definedName>
    <definedName name="Stype">Settings!$D$21:$M$21</definedName>
    <definedName name="trackRtaHide">'RTA Manager'!$E:$G,'RTA Manager'!$K:$Q,'RTA Manager'!$S:$Z,'RTA Manager'!$AB:$AL</definedName>
    <definedName name="TSGhide">'RTA Manager'!$E:$H,'RTA Manager'!$K:$K,'RTA Manager'!$K:$AA</definedName>
    <definedName name="Unique_Depts" localSheetId="2" hidden="1">Settings!$G$28:$G$40</definedName>
    <definedName name="Unique_RTA_Codes" localSheetId="2" hidden="1">Settings!$J$28:$J$35</definedName>
    <definedName name="Unique_RTA_States" localSheetId="2" hidden="1">Settings!$I$28:$I$36</definedName>
    <definedName name="Unique_RTA_Types_1" localSheetId="2" hidden="1">Settings!$H$28:$H$36</definedName>
    <definedName name="WD_RTA_Querey_rename" localSheetId="1" hidden="1">'RTA Manager'!$B$5:$AD$1506</definedName>
  </definedNames>
  <calcPr calcId="145621"/>
</workbook>
</file>

<file path=xl/calcChain.xml><?xml version="1.0" encoding="utf-8"?>
<calcChain xmlns="http://schemas.openxmlformats.org/spreadsheetml/2006/main">
  <c r="M131" i="4" l="1"/>
  <c r="M132" i="4"/>
  <c r="M133" i="4"/>
  <c r="M134" i="4"/>
  <c r="M135" i="4"/>
  <c r="M136" i="4"/>
  <c r="M137" i="4"/>
  <c r="M138" i="4"/>
  <c r="M139" i="4"/>
  <c r="M140" i="4"/>
  <c r="M111"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98"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71" i="4"/>
  <c r="M264" i="4"/>
  <c r="M265" i="4"/>
  <c r="M266" i="4"/>
  <c r="M267" i="4"/>
  <c r="M268" i="4"/>
  <c r="M269" i="4"/>
  <c r="M270" i="4"/>
  <c r="M271" i="4"/>
  <c r="M272" i="4"/>
  <c r="M273" i="4"/>
  <c r="M274" i="4"/>
  <c r="M275" i="4"/>
  <c r="M276" i="4"/>
  <c r="M277" i="4"/>
  <c r="M278" i="4"/>
  <c r="M36" i="4"/>
  <c r="M279" i="4"/>
  <c r="M280" i="4"/>
  <c r="M281" i="4"/>
  <c r="M282" i="4"/>
  <c r="M283" i="4"/>
  <c r="M284" i="4"/>
  <c r="M285" i="4"/>
  <c r="M286" i="4"/>
  <c r="M287" i="4"/>
  <c r="M288" i="4"/>
  <c r="M289" i="4"/>
  <c r="M290" i="4"/>
  <c r="M291" i="4"/>
  <c r="M292" i="4"/>
  <c r="M293" i="4"/>
  <c r="M294" i="4"/>
  <c r="M295" i="4"/>
  <c r="M296" i="4"/>
  <c r="M297" i="4"/>
  <c r="M298" i="4"/>
  <c r="M115"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7"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92" i="4"/>
  <c r="M423" i="4"/>
  <c r="M424" i="4"/>
  <c r="M425" i="4"/>
  <c r="M426" i="4"/>
  <c r="M427" i="4"/>
  <c r="M428" i="4"/>
  <c r="M429" i="4"/>
  <c r="M430" i="4"/>
  <c r="M63"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78" i="4"/>
  <c r="M121" i="4"/>
  <c r="M81" i="4"/>
  <c r="M624" i="4"/>
  <c r="M625" i="4"/>
  <c r="M626" i="4"/>
  <c r="M627" i="4"/>
  <c r="M628" i="4"/>
  <c r="M629" i="4"/>
  <c r="M630" i="4"/>
  <c r="M631" i="4"/>
  <c r="M114"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86"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99"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101" i="4"/>
  <c r="M39"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102" i="4"/>
  <c r="M981" i="4"/>
  <c r="M982" i="4"/>
  <c r="M983" i="4"/>
  <c r="M984" i="4"/>
  <c r="M985" i="4"/>
  <c r="M986" i="4"/>
  <c r="M987" i="4"/>
  <c r="M988" i="4"/>
  <c r="M989" i="4"/>
  <c r="M990" i="4"/>
  <c r="M991" i="4"/>
  <c r="M992" i="4"/>
  <c r="M993" i="4"/>
  <c r="M994" i="4"/>
  <c r="M995" i="4"/>
  <c r="M996" i="4"/>
  <c r="M997" i="4"/>
  <c r="M998" i="4"/>
  <c r="M999" i="4"/>
  <c r="M1000" i="4"/>
  <c r="M1001" i="4"/>
  <c r="M1002" i="4"/>
  <c r="M1003" i="4"/>
  <c r="M1004" i="4"/>
  <c r="M1005" i="4"/>
  <c r="M1006" i="4"/>
  <c r="M1007" i="4"/>
  <c r="M73" i="4"/>
  <c r="M1008" i="4"/>
  <c r="M1009" i="4"/>
  <c r="M1010" i="4"/>
  <c r="M1011" i="4"/>
  <c r="M1012" i="4"/>
  <c r="M1013" i="4"/>
  <c r="M1014" i="4"/>
  <c r="M1015" i="4"/>
  <c r="M1016" i="4"/>
  <c r="M62"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1046" i="4"/>
  <c r="M1047" i="4"/>
  <c r="M1048" i="4"/>
  <c r="M1049" i="4"/>
  <c r="M1050" i="4"/>
  <c r="M1051" i="4"/>
  <c r="M1052" i="4"/>
  <c r="M1053" i="4"/>
  <c r="M1054" i="4"/>
  <c r="M1055" i="4"/>
  <c r="M1056" i="4"/>
  <c r="M9" i="4"/>
  <c r="M1057" i="4"/>
  <c r="M68" i="4"/>
  <c r="M1058" i="4"/>
  <c r="M1059" i="4"/>
  <c r="M1060" i="4"/>
  <c r="M1061" i="4"/>
  <c r="M1062" i="4"/>
  <c r="M1063" i="4"/>
  <c r="M1064" i="4"/>
  <c r="M1065" i="4"/>
  <c r="M1066" i="4"/>
  <c r="M1067" i="4"/>
  <c r="M1068" i="4"/>
  <c r="M1069" i="4"/>
  <c r="M1070" i="4"/>
  <c r="M1071" i="4"/>
  <c r="M1072" i="4"/>
  <c r="M1073" i="4"/>
  <c r="M1074" i="4"/>
  <c r="M1075" i="4"/>
  <c r="M1076" i="4"/>
  <c r="M1077" i="4"/>
  <c r="M1078" i="4"/>
  <c r="M1079" i="4"/>
  <c r="M1080" i="4"/>
  <c r="M1081" i="4"/>
  <c r="M84" i="4"/>
  <c r="M1082" i="4"/>
  <c r="M1083" i="4"/>
  <c r="M51" i="4"/>
  <c r="M1084" i="4"/>
  <c r="M16" i="4"/>
  <c r="M55" i="4"/>
  <c r="M1085" i="4"/>
  <c r="M1086" i="4"/>
  <c r="M1087" i="4"/>
  <c r="M80" i="4"/>
  <c r="M1088" i="4"/>
  <c r="M1089" i="4"/>
  <c r="M1090" i="4"/>
  <c r="M1091" i="4"/>
  <c r="M72" i="4"/>
  <c r="M1092" i="4"/>
  <c r="M1093" i="4"/>
  <c r="M1094" i="4"/>
  <c r="M1095" i="4"/>
  <c r="M1096" i="4"/>
  <c r="M1097" i="4"/>
  <c r="M1098" i="4"/>
  <c r="M1099" i="4"/>
  <c r="M1100" i="4"/>
  <c r="M1101" i="4"/>
  <c r="M1102" i="4"/>
  <c r="M1103" i="4"/>
  <c r="M1104" i="4"/>
  <c r="M10" i="4"/>
  <c r="M1105" i="4"/>
  <c r="M1106" i="4"/>
  <c r="M1107" i="4"/>
  <c r="M1108" i="4"/>
  <c r="M1109" i="4"/>
  <c r="M1110" i="4"/>
  <c r="M1111" i="4"/>
  <c r="M89" i="4"/>
  <c r="M1112" i="4"/>
  <c r="M1113" i="4"/>
  <c r="M1114" i="4"/>
  <c r="M1115" i="4"/>
  <c r="M1116" i="4"/>
  <c r="M1117" i="4"/>
  <c r="M1118" i="4"/>
  <c r="M1119" i="4"/>
  <c r="M1120" i="4"/>
  <c r="M1121" i="4"/>
  <c r="M1122" i="4"/>
  <c r="M1123" i="4"/>
  <c r="M82" i="4"/>
  <c r="M1124" i="4"/>
  <c r="M1125" i="4"/>
  <c r="M1126" i="4"/>
  <c r="M1127" i="4"/>
  <c r="M1128" i="4"/>
  <c r="M1129" i="4"/>
  <c r="M1130" i="4"/>
  <c r="M1131" i="4"/>
  <c r="M1132" i="4"/>
  <c r="M1133" i="4"/>
  <c r="M1134" i="4"/>
  <c r="M1135" i="4"/>
  <c r="M1136" i="4"/>
  <c r="M1137" i="4"/>
  <c r="M1138" i="4"/>
  <c r="M1139" i="4"/>
  <c r="M1140" i="4"/>
  <c r="M1141" i="4"/>
  <c r="M106" i="4"/>
  <c r="M1142" i="4"/>
  <c r="M47" i="4"/>
  <c r="M1143" i="4"/>
  <c r="M1144" i="4"/>
  <c r="M1145" i="4"/>
  <c r="M1146" i="4"/>
  <c r="M1147" i="4"/>
  <c r="M1148" i="4"/>
  <c r="M1149" i="4"/>
  <c r="M1150" i="4"/>
  <c r="M1151" i="4"/>
  <c r="M1152" i="4"/>
  <c r="M1153" i="4"/>
  <c r="M1154" i="4"/>
  <c r="M1155" i="4"/>
  <c r="M1156" i="4"/>
  <c r="M1157" i="4"/>
  <c r="M1158" i="4"/>
  <c r="M1159" i="4"/>
  <c r="M1160" i="4"/>
  <c r="M1161" i="4"/>
  <c r="M1162" i="4"/>
  <c r="M1163" i="4"/>
  <c r="M1164" i="4"/>
  <c r="M1165" i="4"/>
  <c r="M1166" i="4"/>
  <c r="M1167" i="4"/>
  <c r="M1168" i="4"/>
  <c r="M1169" i="4"/>
  <c r="M1170" i="4"/>
  <c r="M1171" i="4"/>
  <c r="M1172" i="4"/>
  <c r="M1173" i="4"/>
  <c r="M1174" i="4"/>
  <c r="M1175" i="4"/>
  <c r="M1176" i="4"/>
  <c r="M1177" i="4"/>
  <c r="M1178" i="4"/>
  <c r="M1179" i="4"/>
  <c r="M1180" i="4"/>
  <c r="M1181" i="4"/>
  <c r="M1182" i="4"/>
  <c r="M1183" i="4"/>
  <c r="M1184" i="4"/>
  <c r="M1185" i="4"/>
  <c r="M1186" i="4"/>
  <c r="M1187" i="4"/>
  <c r="M1188" i="4"/>
  <c r="M1189" i="4"/>
  <c r="M1190" i="4"/>
  <c r="M1191" i="4"/>
  <c r="M1192" i="4"/>
  <c r="M1193" i="4"/>
  <c r="M1194" i="4"/>
  <c r="M1195" i="4"/>
  <c r="M1196" i="4"/>
  <c r="M1197" i="4"/>
  <c r="M1198" i="4"/>
  <c r="M1199" i="4"/>
  <c r="M1200" i="4"/>
  <c r="M1201" i="4"/>
  <c r="M1202" i="4"/>
  <c r="M1203" i="4"/>
  <c r="M1204" i="4"/>
  <c r="M1205" i="4"/>
  <c r="M1206" i="4"/>
  <c r="M1207" i="4"/>
  <c r="M1208" i="4"/>
  <c r="M1209" i="4"/>
  <c r="M58" i="4"/>
  <c r="M1210" i="4"/>
  <c r="M1211" i="4"/>
  <c r="M1212" i="4"/>
  <c r="M1213" i="4"/>
  <c r="M1214" i="4"/>
  <c r="M1215" i="4"/>
  <c r="M1216" i="4"/>
  <c r="M1217" i="4"/>
  <c r="M1218" i="4"/>
  <c r="M1219" i="4"/>
  <c r="M1220" i="4"/>
  <c r="M1221" i="4"/>
  <c r="M1222" i="4"/>
  <c r="M1223" i="4"/>
  <c r="M1224" i="4"/>
  <c r="M1225" i="4"/>
  <c r="M1226" i="4"/>
  <c r="M1227" i="4"/>
  <c r="M1228" i="4"/>
  <c r="M1229" i="4"/>
  <c r="M1230" i="4"/>
  <c r="M1231" i="4"/>
  <c r="M1232" i="4"/>
  <c r="M1233" i="4"/>
  <c r="M74" i="4"/>
  <c r="M1234" i="4"/>
  <c r="M1235" i="4"/>
  <c r="M1236" i="4"/>
  <c r="M1237" i="4"/>
  <c r="M1238" i="4"/>
  <c r="M129" i="4"/>
  <c r="M1239" i="4"/>
  <c r="M1240" i="4"/>
  <c r="M1241" i="4"/>
  <c r="M1242" i="4"/>
  <c r="M1243" i="4"/>
  <c r="M1244" i="4"/>
  <c r="M109" i="4"/>
  <c r="M1245" i="4"/>
  <c r="M1246" i="4"/>
  <c r="M1247" i="4"/>
  <c r="M1248" i="4"/>
  <c r="M1249" i="4"/>
  <c r="M1250" i="4"/>
  <c r="M107" i="4"/>
  <c r="M1251" i="4"/>
  <c r="M1252" i="4"/>
  <c r="M1253" i="4"/>
  <c r="M1254" i="4"/>
  <c r="M1255" i="4"/>
  <c r="M1256" i="4"/>
  <c r="M1257" i="4"/>
  <c r="M1258" i="4"/>
  <c r="M1259" i="4"/>
  <c r="M1260" i="4"/>
  <c r="M1261" i="4"/>
  <c r="M1262" i="4"/>
  <c r="M1263" i="4"/>
  <c r="M123" i="4"/>
  <c r="M1264" i="4"/>
  <c r="M1265" i="4"/>
  <c r="M1266" i="4"/>
  <c r="M1267" i="4"/>
  <c r="M1268" i="4"/>
  <c r="M1269" i="4"/>
  <c r="M1270" i="4"/>
  <c r="M1271" i="4"/>
  <c r="M1272" i="4"/>
  <c r="M1273" i="4"/>
  <c r="M1274" i="4"/>
  <c r="M1275" i="4"/>
  <c r="M48" i="4"/>
  <c r="M50" i="4"/>
  <c r="M1276" i="4"/>
  <c r="M1277" i="4"/>
  <c r="M93" i="4"/>
  <c r="M1278" i="4"/>
  <c r="M1279" i="4"/>
  <c r="M1280" i="4"/>
  <c r="M1281" i="4"/>
  <c r="M1282" i="4"/>
  <c r="M37" i="4"/>
  <c r="M1283" i="4"/>
  <c r="M1284" i="4"/>
  <c r="M1285" i="4"/>
  <c r="M1286" i="4"/>
  <c r="M1287" i="4"/>
  <c r="M119" i="4"/>
  <c r="M69" i="4"/>
  <c r="M94" i="4"/>
  <c r="M1288" i="4"/>
  <c r="M103" i="4"/>
  <c r="M1289" i="4"/>
  <c r="M1290" i="4"/>
  <c r="M1291" i="4"/>
  <c r="M1292" i="4"/>
  <c r="M1293" i="4"/>
  <c r="M1294" i="4"/>
  <c r="M1295" i="4"/>
  <c r="M1296" i="4"/>
  <c r="M1297" i="4"/>
  <c r="M1298" i="4"/>
  <c r="M1299" i="4"/>
  <c r="M1300" i="4"/>
  <c r="M1301" i="4"/>
  <c r="M1302" i="4"/>
  <c r="M1303" i="4"/>
  <c r="M1304" i="4"/>
  <c r="M1305" i="4"/>
  <c r="M1306" i="4"/>
  <c r="M1307" i="4"/>
  <c r="M1308" i="4"/>
  <c r="M1309" i="4"/>
  <c r="M1310" i="4"/>
  <c r="M1311" i="4"/>
  <c r="M1312" i="4"/>
  <c r="M1313" i="4"/>
  <c r="M1314" i="4"/>
  <c r="M1315" i="4"/>
  <c r="M1316" i="4"/>
  <c r="M1317" i="4"/>
  <c r="M1318" i="4"/>
  <c r="M1319" i="4"/>
  <c r="M1320" i="4"/>
  <c r="M1321" i="4"/>
  <c r="M1322" i="4"/>
  <c r="M1323" i="4"/>
  <c r="M1324" i="4"/>
  <c r="M1325" i="4"/>
  <c r="M1326" i="4"/>
  <c r="M112" i="4"/>
  <c r="M1327" i="4"/>
  <c r="M1328" i="4"/>
  <c r="M1329" i="4"/>
  <c r="M1330" i="4"/>
  <c r="M1331" i="4"/>
  <c r="M1332" i="4"/>
  <c r="M1333" i="4"/>
  <c r="M1334" i="4"/>
  <c r="M1335" i="4"/>
  <c r="M1336" i="4"/>
  <c r="M1337" i="4"/>
  <c r="M1338" i="4"/>
  <c r="M1339" i="4"/>
  <c r="M1340" i="4"/>
  <c r="M1341" i="4"/>
  <c r="M1342" i="4"/>
  <c r="M1343" i="4"/>
  <c r="M1344" i="4"/>
  <c r="M1345" i="4"/>
  <c r="M1346" i="4"/>
  <c r="M1347" i="4"/>
  <c r="M1348" i="4"/>
  <c r="M1349" i="4"/>
  <c r="M1350" i="4"/>
  <c r="M1351" i="4"/>
  <c r="M1352" i="4"/>
  <c r="M1353" i="4"/>
  <c r="M1354" i="4"/>
  <c r="M1355" i="4"/>
  <c r="M1356" i="4"/>
  <c r="M1357" i="4"/>
  <c r="M1358" i="4"/>
  <c r="M1359" i="4"/>
  <c r="M1360" i="4"/>
  <c r="M1361" i="4"/>
  <c r="M1362" i="4"/>
  <c r="M1363" i="4"/>
  <c r="M1364" i="4"/>
  <c r="M1365" i="4"/>
  <c r="M1366" i="4"/>
  <c r="M1367" i="4"/>
  <c r="M1368" i="4"/>
  <c r="M1369" i="4"/>
  <c r="M1370" i="4"/>
  <c r="M117" i="4"/>
  <c r="M1371" i="4"/>
  <c r="M1372" i="4"/>
  <c r="M1373" i="4"/>
  <c r="M96" i="4"/>
  <c r="M1374" i="4"/>
  <c r="M1375" i="4"/>
  <c r="M1376" i="4"/>
  <c r="M1377" i="4"/>
  <c r="M1378" i="4"/>
  <c r="M1379" i="4"/>
  <c r="M1380" i="4"/>
  <c r="M1381" i="4"/>
  <c r="M1382" i="4"/>
  <c r="M1383" i="4"/>
  <c r="M1384" i="4"/>
  <c r="M1385" i="4"/>
  <c r="M1386" i="4"/>
  <c r="M1387" i="4"/>
  <c r="M1388" i="4"/>
  <c r="M1389" i="4"/>
  <c r="M1390" i="4"/>
  <c r="M1391" i="4"/>
  <c r="M1392" i="4"/>
  <c r="M1393" i="4"/>
  <c r="M1394" i="4"/>
  <c r="M1395" i="4"/>
  <c r="M1396" i="4"/>
  <c r="M1397" i="4"/>
  <c r="M1398" i="4"/>
  <c r="M1399" i="4"/>
  <c r="M1400" i="4"/>
  <c r="M1401" i="4"/>
  <c r="M1402" i="4"/>
  <c r="M1403" i="4"/>
  <c r="M1404" i="4"/>
  <c r="M1405" i="4"/>
  <c r="M1406" i="4"/>
  <c r="M1407" i="4"/>
  <c r="M1408" i="4"/>
  <c r="M1409" i="4"/>
  <c r="M1410" i="4"/>
  <c r="M1411" i="4"/>
  <c r="M1412" i="4"/>
  <c r="M1413" i="4"/>
  <c r="M1414" i="4"/>
  <c r="M1415" i="4"/>
  <c r="M1416" i="4"/>
  <c r="M1417" i="4"/>
  <c r="M1418" i="4"/>
  <c r="M1419" i="4"/>
  <c r="M1420" i="4"/>
  <c r="M1421" i="4"/>
  <c r="M1422" i="4"/>
  <c r="M1423" i="4"/>
  <c r="M124" i="4"/>
  <c r="M1424" i="4"/>
  <c r="M1425" i="4"/>
  <c r="M1426" i="4"/>
  <c r="M1427" i="4"/>
  <c r="M1428" i="4"/>
  <c r="M1429" i="4"/>
  <c r="M11" i="4"/>
  <c r="M1430" i="4"/>
  <c r="M1431" i="4"/>
  <c r="M15" i="4"/>
  <c r="M1432" i="4"/>
  <c r="M1433" i="4"/>
  <c r="M1434" i="4"/>
  <c r="M1435" i="4"/>
  <c r="M127" i="4"/>
  <c r="M125" i="4"/>
  <c r="M1436" i="4"/>
  <c r="M1437" i="4"/>
  <c r="M87" i="4"/>
  <c r="M1438" i="4"/>
  <c r="M52" i="4"/>
  <c r="M1439" i="4"/>
  <c r="M17" i="4"/>
  <c r="M88" i="4"/>
  <c r="M1440" i="4"/>
  <c r="M1441" i="4"/>
  <c r="M1442" i="4"/>
  <c r="M64" i="4"/>
  <c r="M42" i="4"/>
  <c r="M1443" i="4"/>
  <c r="M1444" i="4"/>
  <c r="M1445" i="4"/>
  <c r="M43" i="4"/>
  <c r="M116" i="4"/>
  <c r="M118" i="4"/>
  <c r="M1446" i="4"/>
  <c r="M120" i="4"/>
  <c r="M122" i="4"/>
  <c r="M1447" i="4"/>
  <c r="M31" i="4"/>
  <c r="M91" i="4"/>
  <c r="M1448" i="4"/>
  <c r="M1449" i="4"/>
  <c r="M1450" i="4"/>
  <c r="M1451" i="4"/>
  <c r="M97" i="4"/>
  <c r="M1452" i="4"/>
  <c r="M1453" i="4"/>
  <c r="M1454" i="4"/>
  <c r="M1455" i="4"/>
  <c r="M104" i="4"/>
  <c r="M1456" i="4"/>
  <c r="M1457" i="4"/>
  <c r="M1458" i="4"/>
  <c r="M1459" i="4"/>
  <c r="M12" i="4"/>
  <c r="M18" i="4"/>
  <c r="M65" i="4"/>
  <c r="M1460" i="4"/>
  <c r="M1461" i="4"/>
  <c r="M25" i="4"/>
  <c r="M1462" i="4"/>
  <c r="M1463" i="4"/>
  <c r="M1464" i="4"/>
  <c r="M128" i="4"/>
  <c r="M1465" i="4"/>
  <c r="M35" i="4"/>
  <c r="M1466" i="4"/>
  <c r="M1467" i="4"/>
  <c r="M75" i="4"/>
  <c r="M1468" i="4"/>
  <c r="M1469" i="4"/>
  <c r="M1470" i="4"/>
  <c r="M1471" i="4"/>
  <c r="M100" i="4"/>
  <c r="M1472" i="4"/>
  <c r="M19" i="4"/>
  <c r="M1473" i="4"/>
  <c r="M1474" i="4"/>
  <c r="M1475" i="4"/>
  <c r="M13" i="4"/>
  <c r="M77" i="4"/>
  <c r="M1476" i="4"/>
  <c r="M32" i="4"/>
  <c r="M126" i="4"/>
  <c r="M130" i="4"/>
  <c r="M66" i="4"/>
  <c r="M53" i="4"/>
  <c r="M105" i="4"/>
  <c r="M56" i="4"/>
  <c r="M29" i="4"/>
  <c r="M1477" i="4"/>
  <c r="M14" i="4"/>
  <c r="M26" i="4"/>
  <c r="M1478" i="4"/>
  <c r="M34" i="4"/>
  <c r="M40" i="4"/>
  <c r="M1479" i="4"/>
  <c r="M1480" i="4"/>
  <c r="M1481" i="4"/>
  <c r="M1482" i="4"/>
  <c r="M49" i="4"/>
  <c r="M1483" i="4"/>
  <c r="M1484" i="4"/>
  <c r="M27" i="4"/>
  <c r="M54" i="4"/>
  <c r="M1485" i="4"/>
  <c r="M59" i="4"/>
  <c r="M1486" i="4"/>
  <c r="M30" i="4"/>
  <c r="M79" i="4"/>
  <c r="M1487" i="4"/>
  <c r="M33" i="4"/>
  <c r="M90" i="4"/>
  <c r="M113" i="4"/>
  <c r="M60" i="4"/>
  <c r="M95" i="4"/>
  <c r="M76" i="4"/>
  <c r="M21" i="4"/>
  <c r="M41" i="4"/>
  <c r="M38" i="4"/>
  <c r="M1488" i="4"/>
  <c r="M22" i="4"/>
  <c r="M110" i="4"/>
  <c r="M1489" i="4"/>
  <c r="M1490" i="4"/>
  <c r="M45" i="4"/>
  <c r="M24" i="4"/>
  <c r="M108" i="4"/>
  <c r="M57" i="4"/>
  <c r="M83" i="4"/>
  <c r="M61" i="4"/>
  <c r="M46" i="4"/>
  <c r="M67" i="4"/>
  <c r="M44" i="4"/>
  <c r="M70" i="4"/>
  <c r="M85" i="4"/>
  <c r="M20" i="4"/>
  <c r="M6" i="4"/>
  <c r="M23" i="4"/>
  <c r="M1491" i="4"/>
  <c r="M1492" i="4"/>
  <c r="M1493" i="4"/>
  <c r="M1494" i="4"/>
  <c r="M1495" i="4"/>
  <c r="M1496" i="4"/>
  <c r="M1497" i="4"/>
  <c r="M1498" i="4"/>
  <c r="M1499" i="4"/>
  <c r="M28" i="4"/>
  <c r="M1500" i="4"/>
  <c r="M1501" i="4"/>
  <c r="M1502" i="4"/>
  <c r="M1503" i="4"/>
  <c r="M1504" i="4"/>
  <c r="M1505" i="4"/>
  <c r="M1506" i="4"/>
  <c r="N131" i="4"/>
  <c r="N132" i="4"/>
  <c r="N133" i="4"/>
  <c r="N134" i="4"/>
  <c r="N135" i="4"/>
  <c r="N136" i="4"/>
  <c r="N137" i="4"/>
  <c r="N138" i="4"/>
  <c r="N139" i="4"/>
  <c r="N140" i="4"/>
  <c r="N111"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98"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71" i="4"/>
  <c r="N264" i="4"/>
  <c r="N265" i="4"/>
  <c r="N266" i="4"/>
  <c r="N267" i="4"/>
  <c r="N268" i="4"/>
  <c r="N269" i="4"/>
  <c r="N270" i="4"/>
  <c r="N271" i="4"/>
  <c r="N272" i="4"/>
  <c r="N273" i="4"/>
  <c r="N274" i="4"/>
  <c r="N275" i="4"/>
  <c r="N276" i="4"/>
  <c r="N277" i="4"/>
  <c r="N278" i="4"/>
  <c r="N36" i="4"/>
  <c r="N279" i="4"/>
  <c r="N280" i="4"/>
  <c r="N281" i="4"/>
  <c r="N282" i="4"/>
  <c r="N283" i="4"/>
  <c r="N284" i="4"/>
  <c r="N285" i="4"/>
  <c r="N286" i="4"/>
  <c r="N287" i="4"/>
  <c r="N288" i="4"/>
  <c r="N289" i="4"/>
  <c r="N290" i="4"/>
  <c r="N291" i="4"/>
  <c r="N292" i="4"/>
  <c r="N293" i="4"/>
  <c r="N294" i="4"/>
  <c r="N295" i="4"/>
  <c r="N296" i="4"/>
  <c r="N297" i="4"/>
  <c r="N298" i="4"/>
  <c r="N115"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7"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92" i="4"/>
  <c r="N423" i="4"/>
  <c r="N424" i="4"/>
  <c r="N425" i="4"/>
  <c r="N426" i="4"/>
  <c r="N427" i="4"/>
  <c r="N428" i="4"/>
  <c r="N429" i="4"/>
  <c r="N430" i="4"/>
  <c r="N63"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78" i="4"/>
  <c r="N121" i="4"/>
  <c r="N81" i="4"/>
  <c r="N624" i="4"/>
  <c r="N625" i="4"/>
  <c r="N626" i="4"/>
  <c r="N627" i="4"/>
  <c r="N628" i="4"/>
  <c r="N629" i="4"/>
  <c r="N630" i="4"/>
  <c r="N631" i="4"/>
  <c r="N114"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86"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99"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101" i="4"/>
  <c r="N39"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855" i="4"/>
  <c r="N856" i="4"/>
  <c r="N857" i="4"/>
  <c r="N858" i="4"/>
  <c r="N859" i="4"/>
  <c r="N860" i="4"/>
  <c r="N8"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979" i="4"/>
  <c r="N980" i="4"/>
  <c r="N102" i="4"/>
  <c r="N981" i="4"/>
  <c r="N982" i="4"/>
  <c r="N983" i="4"/>
  <c r="N984" i="4"/>
  <c r="N985" i="4"/>
  <c r="N986" i="4"/>
  <c r="N987" i="4"/>
  <c r="N988" i="4"/>
  <c r="N989" i="4"/>
  <c r="N990" i="4"/>
  <c r="N991" i="4"/>
  <c r="N992" i="4"/>
  <c r="N993" i="4"/>
  <c r="N994" i="4"/>
  <c r="N995" i="4"/>
  <c r="N996" i="4"/>
  <c r="N997" i="4"/>
  <c r="N998" i="4"/>
  <c r="N999" i="4"/>
  <c r="N1000" i="4"/>
  <c r="N1001" i="4"/>
  <c r="N1002" i="4"/>
  <c r="N1003" i="4"/>
  <c r="N1004" i="4"/>
  <c r="N1005" i="4"/>
  <c r="N1006" i="4"/>
  <c r="N1007" i="4"/>
  <c r="N73" i="4"/>
  <c r="N1008" i="4"/>
  <c r="N1009" i="4"/>
  <c r="N1010" i="4"/>
  <c r="N1011" i="4"/>
  <c r="N1012" i="4"/>
  <c r="N1013" i="4"/>
  <c r="N1014" i="4"/>
  <c r="N1015" i="4"/>
  <c r="N1016" i="4"/>
  <c r="N62" i="4"/>
  <c r="N1017" i="4"/>
  <c r="N1018" i="4"/>
  <c r="N1019" i="4"/>
  <c r="N1020" i="4"/>
  <c r="N1021" i="4"/>
  <c r="N1022" i="4"/>
  <c r="N1023" i="4"/>
  <c r="N1024" i="4"/>
  <c r="N1025" i="4"/>
  <c r="N1026" i="4"/>
  <c r="N1027" i="4"/>
  <c r="N1028" i="4"/>
  <c r="N1029" i="4"/>
  <c r="N1030" i="4"/>
  <c r="N1031" i="4"/>
  <c r="N1032" i="4"/>
  <c r="N1033" i="4"/>
  <c r="N1034" i="4"/>
  <c r="N1035" i="4"/>
  <c r="N1036" i="4"/>
  <c r="N1037" i="4"/>
  <c r="N1038" i="4"/>
  <c r="N1039" i="4"/>
  <c r="N1040" i="4"/>
  <c r="N1041" i="4"/>
  <c r="N1042" i="4"/>
  <c r="N1043" i="4"/>
  <c r="N1044" i="4"/>
  <c r="N1045" i="4"/>
  <c r="N1046" i="4"/>
  <c r="N1047" i="4"/>
  <c r="N1048" i="4"/>
  <c r="N1049" i="4"/>
  <c r="N1050" i="4"/>
  <c r="N1051" i="4"/>
  <c r="N1052" i="4"/>
  <c r="N1053" i="4"/>
  <c r="N1054" i="4"/>
  <c r="N1055" i="4"/>
  <c r="N1056" i="4"/>
  <c r="N9" i="4"/>
  <c r="N1057" i="4"/>
  <c r="N68" i="4"/>
  <c r="N1058" i="4"/>
  <c r="N1059" i="4"/>
  <c r="N1060" i="4"/>
  <c r="N1061" i="4"/>
  <c r="N1062" i="4"/>
  <c r="N1063" i="4"/>
  <c r="N1064" i="4"/>
  <c r="N1065" i="4"/>
  <c r="N1066" i="4"/>
  <c r="N1067" i="4"/>
  <c r="N1068" i="4"/>
  <c r="N1069" i="4"/>
  <c r="N1070" i="4"/>
  <c r="N1071" i="4"/>
  <c r="N1072" i="4"/>
  <c r="N1073" i="4"/>
  <c r="N1074" i="4"/>
  <c r="N1075" i="4"/>
  <c r="N1076" i="4"/>
  <c r="N1077" i="4"/>
  <c r="N1078" i="4"/>
  <c r="N1079" i="4"/>
  <c r="N1080" i="4"/>
  <c r="N1081" i="4"/>
  <c r="N84" i="4"/>
  <c r="N1082" i="4"/>
  <c r="N1083" i="4"/>
  <c r="N51" i="4"/>
  <c r="N1084" i="4"/>
  <c r="N16" i="4"/>
  <c r="N55" i="4"/>
  <c r="N1085" i="4"/>
  <c r="N1086" i="4"/>
  <c r="N1087" i="4"/>
  <c r="N80" i="4"/>
  <c r="N1088" i="4"/>
  <c r="N1089" i="4"/>
  <c r="N1090" i="4"/>
  <c r="N1091" i="4"/>
  <c r="N72" i="4"/>
  <c r="N1092" i="4"/>
  <c r="N1093" i="4"/>
  <c r="N1094" i="4"/>
  <c r="N1095" i="4"/>
  <c r="N1096" i="4"/>
  <c r="N1097" i="4"/>
  <c r="N1098" i="4"/>
  <c r="N1099" i="4"/>
  <c r="N1100" i="4"/>
  <c r="N1101" i="4"/>
  <c r="N1102" i="4"/>
  <c r="N1103" i="4"/>
  <c r="N1104" i="4"/>
  <c r="N10" i="4"/>
  <c r="N1105" i="4"/>
  <c r="N1106" i="4"/>
  <c r="N1107" i="4"/>
  <c r="N1108" i="4"/>
  <c r="N1109" i="4"/>
  <c r="N1110" i="4"/>
  <c r="N1111" i="4"/>
  <c r="N89" i="4"/>
  <c r="N1112" i="4"/>
  <c r="N1113" i="4"/>
  <c r="N1114" i="4"/>
  <c r="N1115" i="4"/>
  <c r="N1116" i="4"/>
  <c r="N1117" i="4"/>
  <c r="N1118" i="4"/>
  <c r="N1119" i="4"/>
  <c r="N1120" i="4"/>
  <c r="N1121" i="4"/>
  <c r="N1122" i="4"/>
  <c r="N1123" i="4"/>
  <c r="N82" i="4"/>
  <c r="N1124" i="4"/>
  <c r="N1125" i="4"/>
  <c r="N1126" i="4"/>
  <c r="N1127" i="4"/>
  <c r="N1128" i="4"/>
  <c r="N1129" i="4"/>
  <c r="N1130" i="4"/>
  <c r="N1131" i="4"/>
  <c r="N1132" i="4"/>
  <c r="N1133" i="4"/>
  <c r="N1134" i="4"/>
  <c r="N1135" i="4"/>
  <c r="N1136" i="4"/>
  <c r="N1137" i="4"/>
  <c r="N1138" i="4"/>
  <c r="N1139" i="4"/>
  <c r="N1140" i="4"/>
  <c r="N1141" i="4"/>
  <c r="N106" i="4"/>
  <c r="N1142" i="4"/>
  <c r="N47" i="4"/>
  <c r="N1143" i="4"/>
  <c r="N1144" i="4"/>
  <c r="N1145" i="4"/>
  <c r="N1146" i="4"/>
  <c r="N1147" i="4"/>
  <c r="N1148" i="4"/>
  <c r="N1149" i="4"/>
  <c r="N1150" i="4"/>
  <c r="N1151" i="4"/>
  <c r="N1152" i="4"/>
  <c r="N1153" i="4"/>
  <c r="N1154" i="4"/>
  <c r="N1155" i="4"/>
  <c r="N1156" i="4"/>
  <c r="N1157" i="4"/>
  <c r="N1158" i="4"/>
  <c r="N1159" i="4"/>
  <c r="N1160" i="4"/>
  <c r="N1161" i="4"/>
  <c r="N1162" i="4"/>
  <c r="N1163" i="4"/>
  <c r="N1164" i="4"/>
  <c r="N1165" i="4"/>
  <c r="N1166" i="4"/>
  <c r="N1167" i="4"/>
  <c r="N1168" i="4"/>
  <c r="N1169" i="4"/>
  <c r="N1170" i="4"/>
  <c r="N1171" i="4"/>
  <c r="N1172" i="4"/>
  <c r="N1173" i="4"/>
  <c r="N1174" i="4"/>
  <c r="N1175" i="4"/>
  <c r="N1176" i="4"/>
  <c r="N1177" i="4"/>
  <c r="N1178" i="4"/>
  <c r="N1179" i="4"/>
  <c r="N1180" i="4"/>
  <c r="N1181" i="4"/>
  <c r="N1182" i="4"/>
  <c r="N1183" i="4"/>
  <c r="N1184" i="4"/>
  <c r="N1185" i="4"/>
  <c r="N1186" i="4"/>
  <c r="N1187" i="4"/>
  <c r="N1188" i="4"/>
  <c r="N1189" i="4"/>
  <c r="N1190" i="4"/>
  <c r="N1191" i="4"/>
  <c r="N1192" i="4"/>
  <c r="N1193" i="4"/>
  <c r="N1194" i="4"/>
  <c r="N1195" i="4"/>
  <c r="N1196" i="4"/>
  <c r="N1197" i="4"/>
  <c r="N1198" i="4"/>
  <c r="N1199" i="4"/>
  <c r="N1200" i="4"/>
  <c r="N1201" i="4"/>
  <c r="N1202" i="4"/>
  <c r="N1203" i="4"/>
  <c r="N1204" i="4"/>
  <c r="N1205" i="4"/>
  <c r="N1206" i="4"/>
  <c r="N1207" i="4"/>
  <c r="N1208" i="4"/>
  <c r="N1209" i="4"/>
  <c r="N58" i="4"/>
  <c r="N1210" i="4"/>
  <c r="N1211" i="4"/>
  <c r="N1212" i="4"/>
  <c r="N1213" i="4"/>
  <c r="N1214" i="4"/>
  <c r="N1215" i="4"/>
  <c r="N1216" i="4"/>
  <c r="N1217" i="4"/>
  <c r="N1218" i="4"/>
  <c r="N1219" i="4"/>
  <c r="N1220" i="4"/>
  <c r="N1221" i="4"/>
  <c r="N1222" i="4"/>
  <c r="N1223" i="4"/>
  <c r="N1224" i="4"/>
  <c r="N1225" i="4"/>
  <c r="N1226" i="4"/>
  <c r="N1227" i="4"/>
  <c r="N1228" i="4"/>
  <c r="N1229" i="4"/>
  <c r="N1230" i="4"/>
  <c r="N1231" i="4"/>
  <c r="N1232" i="4"/>
  <c r="N1233" i="4"/>
  <c r="N74" i="4"/>
  <c r="N1234" i="4"/>
  <c r="N1235" i="4"/>
  <c r="N1236" i="4"/>
  <c r="N1237" i="4"/>
  <c r="N1238" i="4"/>
  <c r="N129" i="4"/>
  <c r="N1239" i="4"/>
  <c r="N1240" i="4"/>
  <c r="N1241" i="4"/>
  <c r="N1242" i="4"/>
  <c r="N1243" i="4"/>
  <c r="N1244" i="4"/>
  <c r="N109" i="4"/>
  <c r="N1245" i="4"/>
  <c r="N1246" i="4"/>
  <c r="N1247" i="4"/>
  <c r="N1248" i="4"/>
  <c r="N1249" i="4"/>
  <c r="N1250" i="4"/>
  <c r="N107" i="4"/>
  <c r="N1251" i="4"/>
  <c r="N1252" i="4"/>
  <c r="N1253" i="4"/>
  <c r="N1254" i="4"/>
  <c r="N1255" i="4"/>
  <c r="N1256" i="4"/>
  <c r="N1257" i="4"/>
  <c r="N1258" i="4"/>
  <c r="N1259" i="4"/>
  <c r="N1260" i="4"/>
  <c r="N1261" i="4"/>
  <c r="N1262" i="4"/>
  <c r="N1263" i="4"/>
  <c r="N123" i="4"/>
  <c r="N1264" i="4"/>
  <c r="N1265" i="4"/>
  <c r="N1266" i="4"/>
  <c r="N1267" i="4"/>
  <c r="N1268" i="4"/>
  <c r="N1269" i="4"/>
  <c r="N1270" i="4"/>
  <c r="N1271" i="4"/>
  <c r="N1272" i="4"/>
  <c r="N1273" i="4"/>
  <c r="N1274" i="4"/>
  <c r="N1275" i="4"/>
  <c r="N48" i="4"/>
  <c r="N50" i="4"/>
  <c r="N1276" i="4"/>
  <c r="N1277" i="4"/>
  <c r="N93" i="4"/>
  <c r="N1278" i="4"/>
  <c r="N1279" i="4"/>
  <c r="N1280" i="4"/>
  <c r="N1281" i="4"/>
  <c r="N1282" i="4"/>
  <c r="N37" i="4"/>
  <c r="N1283" i="4"/>
  <c r="N1284" i="4"/>
  <c r="N1285" i="4"/>
  <c r="N1286" i="4"/>
  <c r="N1287" i="4"/>
  <c r="N119" i="4"/>
  <c r="N69" i="4"/>
  <c r="N94" i="4"/>
  <c r="N1288" i="4"/>
  <c r="N103" i="4"/>
  <c r="N1289" i="4"/>
  <c r="N1290" i="4"/>
  <c r="N1291" i="4"/>
  <c r="N1292" i="4"/>
  <c r="N1293" i="4"/>
  <c r="N1294" i="4"/>
  <c r="N1295" i="4"/>
  <c r="N1296" i="4"/>
  <c r="N1297" i="4"/>
  <c r="N1298" i="4"/>
  <c r="N1299" i="4"/>
  <c r="N1300" i="4"/>
  <c r="N1301" i="4"/>
  <c r="N1302" i="4"/>
  <c r="N1303" i="4"/>
  <c r="N1304" i="4"/>
  <c r="N1305" i="4"/>
  <c r="N1306" i="4"/>
  <c r="N1307" i="4"/>
  <c r="N1308" i="4"/>
  <c r="N1309" i="4"/>
  <c r="N1310" i="4"/>
  <c r="N1311" i="4"/>
  <c r="N1312" i="4"/>
  <c r="N1313" i="4"/>
  <c r="N1314" i="4"/>
  <c r="N1315" i="4"/>
  <c r="N1316" i="4"/>
  <c r="N1317" i="4"/>
  <c r="N1318" i="4"/>
  <c r="N1319" i="4"/>
  <c r="N1320" i="4"/>
  <c r="N1321" i="4"/>
  <c r="N1322" i="4"/>
  <c r="N1323" i="4"/>
  <c r="N1324" i="4"/>
  <c r="N1325" i="4"/>
  <c r="N1326" i="4"/>
  <c r="N112" i="4"/>
  <c r="N1327" i="4"/>
  <c r="N1328" i="4"/>
  <c r="N1329" i="4"/>
  <c r="N1330" i="4"/>
  <c r="N1331" i="4"/>
  <c r="N1332" i="4"/>
  <c r="N1333" i="4"/>
  <c r="N1334" i="4"/>
  <c r="N1335" i="4"/>
  <c r="N1336" i="4"/>
  <c r="N1337" i="4"/>
  <c r="N1338" i="4"/>
  <c r="N1339" i="4"/>
  <c r="N1340" i="4"/>
  <c r="N1341" i="4"/>
  <c r="N1342" i="4"/>
  <c r="N1343" i="4"/>
  <c r="N1344" i="4"/>
  <c r="N1345" i="4"/>
  <c r="N1346" i="4"/>
  <c r="N1347" i="4"/>
  <c r="N1348" i="4"/>
  <c r="N1349" i="4"/>
  <c r="N1350" i="4"/>
  <c r="N1351" i="4"/>
  <c r="N1352" i="4"/>
  <c r="N1353" i="4"/>
  <c r="N1354" i="4"/>
  <c r="N1355" i="4"/>
  <c r="N1356" i="4"/>
  <c r="N1357" i="4"/>
  <c r="N1358" i="4"/>
  <c r="N1359" i="4"/>
  <c r="N1360" i="4"/>
  <c r="N1361" i="4"/>
  <c r="N1362" i="4"/>
  <c r="N1363" i="4"/>
  <c r="N1364" i="4"/>
  <c r="N1365" i="4"/>
  <c r="N1366" i="4"/>
  <c r="N1367" i="4"/>
  <c r="N1368" i="4"/>
  <c r="N1369" i="4"/>
  <c r="N1370" i="4"/>
  <c r="N117" i="4"/>
  <c r="N1371" i="4"/>
  <c r="N1372" i="4"/>
  <c r="N1373" i="4"/>
  <c r="N96" i="4"/>
  <c r="N1374" i="4"/>
  <c r="N1375" i="4"/>
  <c r="N1376" i="4"/>
  <c r="N1377" i="4"/>
  <c r="N1378" i="4"/>
  <c r="N1379" i="4"/>
  <c r="N1380" i="4"/>
  <c r="N1381" i="4"/>
  <c r="N1382" i="4"/>
  <c r="N1383" i="4"/>
  <c r="N1384" i="4"/>
  <c r="N1385" i="4"/>
  <c r="N1386" i="4"/>
  <c r="N1387" i="4"/>
  <c r="N1388" i="4"/>
  <c r="N1389" i="4"/>
  <c r="N1390" i="4"/>
  <c r="N1391" i="4"/>
  <c r="N1392" i="4"/>
  <c r="N1393" i="4"/>
  <c r="N1394" i="4"/>
  <c r="N1395" i="4"/>
  <c r="N1396" i="4"/>
  <c r="N1397" i="4"/>
  <c r="N1398" i="4"/>
  <c r="N1399" i="4"/>
  <c r="N1400" i="4"/>
  <c r="N1401" i="4"/>
  <c r="N1402" i="4"/>
  <c r="N1403" i="4"/>
  <c r="N1404" i="4"/>
  <c r="N1405" i="4"/>
  <c r="N1406" i="4"/>
  <c r="N1407" i="4"/>
  <c r="N1408" i="4"/>
  <c r="N1409" i="4"/>
  <c r="N1410" i="4"/>
  <c r="N1411" i="4"/>
  <c r="N1412" i="4"/>
  <c r="N1413" i="4"/>
  <c r="N1414" i="4"/>
  <c r="N1415" i="4"/>
  <c r="N1416" i="4"/>
  <c r="N1417" i="4"/>
  <c r="N1418" i="4"/>
  <c r="N1419" i="4"/>
  <c r="N1420" i="4"/>
  <c r="N1421" i="4"/>
  <c r="N1422" i="4"/>
  <c r="N1423" i="4"/>
  <c r="N124" i="4"/>
  <c r="N1424" i="4"/>
  <c r="N1425" i="4"/>
  <c r="N1426" i="4"/>
  <c r="N1427" i="4"/>
  <c r="N1428" i="4"/>
  <c r="N1429" i="4"/>
  <c r="N11" i="4"/>
  <c r="N1430" i="4"/>
  <c r="N1431" i="4"/>
  <c r="N15" i="4"/>
  <c r="N1432" i="4"/>
  <c r="N1433" i="4"/>
  <c r="N1434" i="4"/>
  <c r="N1435" i="4"/>
  <c r="N127" i="4"/>
  <c r="N125" i="4"/>
  <c r="N1436" i="4"/>
  <c r="N1437" i="4"/>
  <c r="N87" i="4"/>
  <c r="N1438" i="4"/>
  <c r="N52" i="4"/>
  <c r="N1439" i="4"/>
  <c r="N17" i="4"/>
  <c r="N88" i="4"/>
  <c r="N1440" i="4"/>
  <c r="N1441" i="4"/>
  <c r="N1442" i="4"/>
  <c r="N64" i="4"/>
  <c r="N42" i="4"/>
  <c r="N1443" i="4"/>
  <c r="N1444" i="4"/>
  <c r="N1445" i="4"/>
  <c r="N43" i="4"/>
  <c r="N116" i="4"/>
  <c r="N118" i="4"/>
  <c r="N1446" i="4"/>
  <c r="N120" i="4"/>
  <c r="N122" i="4"/>
  <c r="N1447" i="4"/>
  <c r="N31" i="4"/>
  <c r="N91" i="4"/>
  <c r="N1448" i="4"/>
  <c r="N1449" i="4"/>
  <c r="N1450" i="4"/>
  <c r="N1451" i="4"/>
  <c r="N97" i="4"/>
  <c r="N1452" i="4"/>
  <c r="N1453" i="4"/>
  <c r="N1454" i="4"/>
  <c r="N1455" i="4"/>
  <c r="N104" i="4"/>
  <c r="N1456" i="4"/>
  <c r="N1457" i="4"/>
  <c r="N1458" i="4"/>
  <c r="N1459" i="4"/>
  <c r="N12" i="4"/>
  <c r="N18" i="4"/>
  <c r="N65" i="4"/>
  <c r="N1460" i="4"/>
  <c r="N1461" i="4"/>
  <c r="N25" i="4"/>
  <c r="N1462" i="4"/>
  <c r="N1463" i="4"/>
  <c r="N1464" i="4"/>
  <c r="N128" i="4"/>
  <c r="N1465" i="4"/>
  <c r="N35" i="4"/>
  <c r="N1466" i="4"/>
  <c r="N1467" i="4"/>
  <c r="N75" i="4"/>
  <c r="N1468" i="4"/>
  <c r="N1469" i="4"/>
  <c r="N1470" i="4"/>
  <c r="N1471" i="4"/>
  <c r="N100" i="4"/>
  <c r="N1472" i="4"/>
  <c r="N19" i="4"/>
  <c r="N1473" i="4"/>
  <c r="N1474" i="4"/>
  <c r="N1475" i="4"/>
  <c r="N13" i="4"/>
  <c r="N77" i="4"/>
  <c r="N1476" i="4"/>
  <c r="N32" i="4"/>
  <c r="N126" i="4"/>
  <c r="N130" i="4"/>
  <c r="N66" i="4"/>
  <c r="N53" i="4"/>
  <c r="N105" i="4"/>
  <c r="N56" i="4"/>
  <c r="N29" i="4"/>
  <c r="N1477" i="4"/>
  <c r="N14" i="4"/>
  <c r="N26" i="4"/>
  <c r="N1478" i="4"/>
  <c r="N34" i="4"/>
  <c r="N40" i="4"/>
  <c r="N1479" i="4"/>
  <c r="N1480" i="4"/>
  <c r="N1481" i="4"/>
  <c r="N1482" i="4"/>
  <c r="N49" i="4"/>
  <c r="N1483" i="4"/>
  <c r="N1484" i="4"/>
  <c r="N27" i="4"/>
  <c r="N54" i="4"/>
  <c r="N1485" i="4"/>
  <c r="N59" i="4"/>
  <c r="N1486" i="4"/>
  <c r="N30" i="4"/>
  <c r="N79" i="4"/>
  <c r="N1487" i="4"/>
  <c r="N33" i="4"/>
  <c r="N90" i="4"/>
  <c r="N113" i="4"/>
  <c r="N60" i="4"/>
  <c r="N95" i="4"/>
  <c r="N76" i="4"/>
  <c r="N21" i="4"/>
  <c r="N41" i="4"/>
  <c r="N38" i="4"/>
  <c r="N1488" i="4"/>
  <c r="N22" i="4"/>
  <c r="N110" i="4"/>
  <c r="N1489" i="4"/>
  <c r="N1490" i="4"/>
  <c r="N45" i="4"/>
  <c r="N24" i="4"/>
  <c r="N108" i="4"/>
  <c r="N57" i="4"/>
  <c r="N83" i="4"/>
  <c r="N61" i="4"/>
  <c r="N46" i="4"/>
  <c r="N67" i="4"/>
  <c r="N44" i="4"/>
  <c r="N70" i="4"/>
  <c r="N85" i="4"/>
  <c r="N20" i="4"/>
  <c r="N6" i="4"/>
  <c r="N23" i="4"/>
  <c r="N1491" i="4"/>
  <c r="N1492" i="4"/>
  <c r="N1493" i="4"/>
  <c r="N1494" i="4"/>
  <c r="N1495" i="4"/>
  <c r="N1496" i="4"/>
  <c r="N1497" i="4"/>
  <c r="N1498" i="4"/>
  <c r="N1499" i="4"/>
  <c r="N28" i="4"/>
  <c r="N1500" i="4"/>
  <c r="N1501" i="4"/>
  <c r="N1502" i="4"/>
  <c r="N1503" i="4"/>
  <c r="N1504" i="4"/>
  <c r="N1505" i="4"/>
  <c r="N1506" i="4"/>
  <c r="O131" i="4"/>
  <c r="O132" i="4"/>
  <c r="O133" i="4"/>
  <c r="O134" i="4"/>
  <c r="O135" i="4"/>
  <c r="O136" i="4"/>
  <c r="O137" i="4"/>
  <c r="O138" i="4"/>
  <c r="O139" i="4"/>
  <c r="O140" i="4"/>
  <c r="O111"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98"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71" i="4"/>
  <c r="O264" i="4"/>
  <c r="O265" i="4"/>
  <c r="O266" i="4"/>
  <c r="O267" i="4"/>
  <c r="O268" i="4"/>
  <c r="O269" i="4"/>
  <c r="O270" i="4"/>
  <c r="O271" i="4"/>
  <c r="O272" i="4"/>
  <c r="O273" i="4"/>
  <c r="O274" i="4"/>
  <c r="O275" i="4"/>
  <c r="O276" i="4"/>
  <c r="O277" i="4"/>
  <c r="O278" i="4"/>
  <c r="O36" i="4"/>
  <c r="O279" i="4"/>
  <c r="O280" i="4"/>
  <c r="O281" i="4"/>
  <c r="O282" i="4"/>
  <c r="O283" i="4"/>
  <c r="O284" i="4"/>
  <c r="O285" i="4"/>
  <c r="O286" i="4"/>
  <c r="O287" i="4"/>
  <c r="O288" i="4"/>
  <c r="O289" i="4"/>
  <c r="O290" i="4"/>
  <c r="O291" i="4"/>
  <c r="O292" i="4"/>
  <c r="O293" i="4"/>
  <c r="O294" i="4"/>
  <c r="O295" i="4"/>
  <c r="O296" i="4"/>
  <c r="O297" i="4"/>
  <c r="O298" i="4"/>
  <c r="O115"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7"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92" i="4"/>
  <c r="O423" i="4"/>
  <c r="O424" i="4"/>
  <c r="O425" i="4"/>
  <c r="O426" i="4"/>
  <c r="O427" i="4"/>
  <c r="O428" i="4"/>
  <c r="O429" i="4"/>
  <c r="O430" i="4"/>
  <c r="O63"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78" i="4"/>
  <c r="O121" i="4"/>
  <c r="O81" i="4"/>
  <c r="O624" i="4"/>
  <c r="O625" i="4"/>
  <c r="O626" i="4"/>
  <c r="O627" i="4"/>
  <c r="O628" i="4"/>
  <c r="O629" i="4"/>
  <c r="O630" i="4"/>
  <c r="O631" i="4"/>
  <c r="O114"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86"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99"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101" i="4"/>
  <c r="O39"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856" i="4"/>
  <c r="O857" i="4"/>
  <c r="O858" i="4"/>
  <c r="O859" i="4"/>
  <c r="O860" i="4"/>
  <c r="O8"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980" i="4"/>
  <c r="O102" i="4"/>
  <c r="O981" i="4"/>
  <c r="O982" i="4"/>
  <c r="O983" i="4"/>
  <c r="O984" i="4"/>
  <c r="O985" i="4"/>
  <c r="O986" i="4"/>
  <c r="O987" i="4"/>
  <c r="O988" i="4"/>
  <c r="O989" i="4"/>
  <c r="O990" i="4"/>
  <c r="O991" i="4"/>
  <c r="O992" i="4"/>
  <c r="O993" i="4"/>
  <c r="O994" i="4"/>
  <c r="O995" i="4"/>
  <c r="O996" i="4"/>
  <c r="O997" i="4"/>
  <c r="O998" i="4"/>
  <c r="O999" i="4"/>
  <c r="O1000" i="4"/>
  <c r="O1001" i="4"/>
  <c r="O1002" i="4"/>
  <c r="O1003" i="4"/>
  <c r="O1004" i="4"/>
  <c r="O1005" i="4"/>
  <c r="O1006" i="4"/>
  <c r="O1007" i="4"/>
  <c r="O73" i="4"/>
  <c r="O1008" i="4"/>
  <c r="O1009" i="4"/>
  <c r="O1010" i="4"/>
  <c r="O1011" i="4"/>
  <c r="O1012" i="4"/>
  <c r="O1013" i="4"/>
  <c r="O1014" i="4"/>
  <c r="O1015" i="4"/>
  <c r="O1016" i="4"/>
  <c r="O62"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1044" i="4"/>
  <c r="O1045" i="4"/>
  <c r="O1046" i="4"/>
  <c r="O1047" i="4"/>
  <c r="O1048" i="4"/>
  <c r="O1049" i="4"/>
  <c r="O1050" i="4"/>
  <c r="O1051" i="4"/>
  <c r="O1052" i="4"/>
  <c r="O1053" i="4"/>
  <c r="O1054" i="4"/>
  <c r="O1055" i="4"/>
  <c r="O1056" i="4"/>
  <c r="O9" i="4"/>
  <c r="O1057" i="4"/>
  <c r="O68" i="4"/>
  <c r="O1058" i="4"/>
  <c r="O1059" i="4"/>
  <c r="O1060" i="4"/>
  <c r="O1061" i="4"/>
  <c r="O1062" i="4"/>
  <c r="O1063" i="4"/>
  <c r="O1064" i="4"/>
  <c r="O1065" i="4"/>
  <c r="O1066" i="4"/>
  <c r="O1067" i="4"/>
  <c r="O1068" i="4"/>
  <c r="O1069" i="4"/>
  <c r="O1070" i="4"/>
  <c r="O1071" i="4"/>
  <c r="O1072" i="4"/>
  <c r="O1073" i="4"/>
  <c r="O1074" i="4"/>
  <c r="O1075" i="4"/>
  <c r="O1076" i="4"/>
  <c r="O1077" i="4"/>
  <c r="O1078" i="4"/>
  <c r="O1079" i="4"/>
  <c r="O1080" i="4"/>
  <c r="O1081" i="4"/>
  <c r="O84" i="4"/>
  <c r="O1082" i="4"/>
  <c r="O1083" i="4"/>
  <c r="O51" i="4"/>
  <c r="O1084" i="4"/>
  <c r="O16" i="4"/>
  <c r="O55" i="4"/>
  <c r="O1085" i="4"/>
  <c r="O1086" i="4"/>
  <c r="O1087" i="4"/>
  <c r="O80" i="4"/>
  <c r="O1088" i="4"/>
  <c r="O1089" i="4"/>
  <c r="O1090" i="4"/>
  <c r="O1091" i="4"/>
  <c r="O72" i="4"/>
  <c r="O1092" i="4"/>
  <c r="O1093" i="4"/>
  <c r="O1094" i="4"/>
  <c r="O1095" i="4"/>
  <c r="O1096" i="4"/>
  <c r="O1097" i="4"/>
  <c r="O1098" i="4"/>
  <c r="O1099" i="4"/>
  <c r="O1100" i="4"/>
  <c r="O1101" i="4"/>
  <c r="O1102" i="4"/>
  <c r="O1103" i="4"/>
  <c r="O1104" i="4"/>
  <c r="O10" i="4"/>
  <c r="O1105" i="4"/>
  <c r="O1106" i="4"/>
  <c r="O1107" i="4"/>
  <c r="O1108" i="4"/>
  <c r="O1109" i="4"/>
  <c r="O1110" i="4"/>
  <c r="O1111" i="4"/>
  <c r="O89" i="4"/>
  <c r="O1112" i="4"/>
  <c r="O1113" i="4"/>
  <c r="O1114" i="4"/>
  <c r="O1115" i="4"/>
  <c r="O1116" i="4"/>
  <c r="O1117" i="4"/>
  <c r="O1118" i="4"/>
  <c r="O1119" i="4"/>
  <c r="O1120" i="4"/>
  <c r="O1121" i="4"/>
  <c r="O1122" i="4"/>
  <c r="O1123" i="4"/>
  <c r="O82" i="4"/>
  <c r="O1124" i="4"/>
  <c r="O1125" i="4"/>
  <c r="O1126" i="4"/>
  <c r="O1127" i="4"/>
  <c r="O1128" i="4"/>
  <c r="O1129" i="4"/>
  <c r="O1130" i="4"/>
  <c r="O1131" i="4"/>
  <c r="O1132" i="4"/>
  <c r="O1133" i="4"/>
  <c r="O1134" i="4"/>
  <c r="O1135" i="4"/>
  <c r="O1136" i="4"/>
  <c r="O1137" i="4"/>
  <c r="O1138" i="4"/>
  <c r="O1139" i="4"/>
  <c r="O1140" i="4"/>
  <c r="O1141" i="4"/>
  <c r="O106" i="4"/>
  <c r="O1142" i="4"/>
  <c r="O47" i="4"/>
  <c r="O1143" i="4"/>
  <c r="O1144" i="4"/>
  <c r="O1145" i="4"/>
  <c r="O1146" i="4"/>
  <c r="O1147" i="4"/>
  <c r="O1148" i="4"/>
  <c r="O1149" i="4"/>
  <c r="O1150" i="4"/>
  <c r="O1151" i="4"/>
  <c r="O1152" i="4"/>
  <c r="O1153" i="4"/>
  <c r="O1154" i="4"/>
  <c r="O1155" i="4"/>
  <c r="O1156" i="4"/>
  <c r="O1157" i="4"/>
  <c r="O1158" i="4"/>
  <c r="O1159" i="4"/>
  <c r="O1160" i="4"/>
  <c r="O1161" i="4"/>
  <c r="O1162" i="4"/>
  <c r="O1163" i="4"/>
  <c r="O1164" i="4"/>
  <c r="O1165" i="4"/>
  <c r="O1166" i="4"/>
  <c r="O1167" i="4"/>
  <c r="O1168" i="4"/>
  <c r="O1169" i="4"/>
  <c r="O1170" i="4"/>
  <c r="O1171" i="4"/>
  <c r="O1172" i="4"/>
  <c r="O1173" i="4"/>
  <c r="O1174" i="4"/>
  <c r="O1175" i="4"/>
  <c r="O1176" i="4"/>
  <c r="O1177" i="4"/>
  <c r="O1178" i="4"/>
  <c r="O1179" i="4"/>
  <c r="O1180" i="4"/>
  <c r="O1181" i="4"/>
  <c r="O1182" i="4"/>
  <c r="O1183" i="4"/>
  <c r="O1184" i="4"/>
  <c r="O1185" i="4"/>
  <c r="O1186" i="4"/>
  <c r="O1187" i="4"/>
  <c r="O1188" i="4"/>
  <c r="O1189" i="4"/>
  <c r="O1190" i="4"/>
  <c r="O1191" i="4"/>
  <c r="O1192" i="4"/>
  <c r="O1193" i="4"/>
  <c r="O1194" i="4"/>
  <c r="O1195" i="4"/>
  <c r="O1196" i="4"/>
  <c r="O1197" i="4"/>
  <c r="O1198" i="4"/>
  <c r="O1199" i="4"/>
  <c r="O1200" i="4"/>
  <c r="O1201" i="4"/>
  <c r="O1202" i="4"/>
  <c r="O1203" i="4"/>
  <c r="O1204" i="4"/>
  <c r="O1205" i="4"/>
  <c r="O1206" i="4"/>
  <c r="O1207" i="4"/>
  <c r="O1208" i="4"/>
  <c r="O1209" i="4"/>
  <c r="O58" i="4"/>
  <c r="O1210" i="4"/>
  <c r="O1211" i="4"/>
  <c r="O1212" i="4"/>
  <c r="O1213" i="4"/>
  <c r="O1214" i="4"/>
  <c r="O1215" i="4"/>
  <c r="O1216" i="4"/>
  <c r="O1217" i="4"/>
  <c r="O1218" i="4"/>
  <c r="O1219" i="4"/>
  <c r="O1220" i="4"/>
  <c r="O1221" i="4"/>
  <c r="O1222" i="4"/>
  <c r="O1223" i="4"/>
  <c r="O1224" i="4"/>
  <c r="O1225" i="4"/>
  <c r="O1226" i="4"/>
  <c r="O1227" i="4"/>
  <c r="O1228" i="4"/>
  <c r="O1229" i="4"/>
  <c r="O1230" i="4"/>
  <c r="O1231" i="4"/>
  <c r="O1232" i="4"/>
  <c r="O1233" i="4"/>
  <c r="O74" i="4"/>
  <c r="O1234" i="4"/>
  <c r="O1235" i="4"/>
  <c r="O1236" i="4"/>
  <c r="O1237" i="4"/>
  <c r="O1238" i="4"/>
  <c r="O129" i="4"/>
  <c r="O1239" i="4"/>
  <c r="O1240" i="4"/>
  <c r="O1241" i="4"/>
  <c r="O1242" i="4"/>
  <c r="O1243" i="4"/>
  <c r="O1244" i="4"/>
  <c r="O109" i="4"/>
  <c r="O1245" i="4"/>
  <c r="O1246" i="4"/>
  <c r="O1247" i="4"/>
  <c r="O1248" i="4"/>
  <c r="O1249" i="4"/>
  <c r="O1250" i="4"/>
  <c r="O107" i="4"/>
  <c r="O1251" i="4"/>
  <c r="O1252" i="4"/>
  <c r="O1253" i="4"/>
  <c r="O1254" i="4"/>
  <c r="O1255" i="4"/>
  <c r="O1256" i="4"/>
  <c r="O1257" i="4"/>
  <c r="O1258" i="4"/>
  <c r="O1259" i="4"/>
  <c r="O1260" i="4"/>
  <c r="O1261" i="4"/>
  <c r="O1262" i="4"/>
  <c r="O1263" i="4"/>
  <c r="O123" i="4"/>
  <c r="O1264" i="4"/>
  <c r="O1265" i="4"/>
  <c r="O1266" i="4"/>
  <c r="O1267" i="4"/>
  <c r="O1268" i="4"/>
  <c r="O1269" i="4"/>
  <c r="O1270" i="4"/>
  <c r="O1271" i="4"/>
  <c r="O1272" i="4"/>
  <c r="O1273" i="4"/>
  <c r="O1274" i="4"/>
  <c r="O1275" i="4"/>
  <c r="O48" i="4"/>
  <c r="O50" i="4"/>
  <c r="O1276" i="4"/>
  <c r="O1277" i="4"/>
  <c r="O93" i="4"/>
  <c r="O1278" i="4"/>
  <c r="O1279" i="4"/>
  <c r="O1280" i="4"/>
  <c r="O1281" i="4"/>
  <c r="O1282" i="4"/>
  <c r="O37" i="4"/>
  <c r="O1283" i="4"/>
  <c r="O1284" i="4"/>
  <c r="O1285" i="4"/>
  <c r="O1286" i="4"/>
  <c r="O1287" i="4"/>
  <c r="O119" i="4"/>
  <c r="O69" i="4"/>
  <c r="O94" i="4"/>
  <c r="O1288" i="4"/>
  <c r="O103" i="4"/>
  <c r="O1289" i="4"/>
  <c r="O1290" i="4"/>
  <c r="O1291" i="4"/>
  <c r="O1292" i="4"/>
  <c r="O1293" i="4"/>
  <c r="O1294" i="4"/>
  <c r="O1295" i="4"/>
  <c r="O1296" i="4"/>
  <c r="O1297" i="4"/>
  <c r="O1298" i="4"/>
  <c r="O1299" i="4"/>
  <c r="O1300" i="4"/>
  <c r="O1301" i="4"/>
  <c r="O1302" i="4"/>
  <c r="O1303" i="4"/>
  <c r="O1304" i="4"/>
  <c r="O1305" i="4"/>
  <c r="O1306" i="4"/>
  <c r="O1307" i="4"/>
  <c r="O1308" i="4"/>
  <c r="O1309" i="4"/>
  <c r="O1310" i="4"/>
  <c r="O1311" i="4"/>
  <c r="O1312" i="4"/>
  <c r="O1313" i="4"/>
  <c r="O1314" i="4"/>
  <c r="O1315" i="4"/>
  <c r="O1316" i="4"/>
  <c r="O1317" i="4"/>
  <c r="O1318" i="4"/>
  <c r="O1319" i="4"/>
  <c r="O1320" i="4"/>
  <c r="O1321" i="4"/>
  <c r="O1322" i="4"/>
  <c r="O1323" i="4"/>
  <c r="O1324" i="4"/>
  <c r="O1325" i="4"/>
  <c r="O1326" i="4"/>
  <c r="O112" i="4"/>
  <c r="O1327" i="4"/>
  <c r="O1328" i="4"/>
  <c r="O1329" i="4"/>
  <c r="O1330" i="4"/>
  <c r="O1331" i="4"/>
  <c r="O1332" i="4"/>
  <c r="O1333" i="4"/>
  <c r="O1334" i="4"/>
  <c r="O1335" i="4"/>
  <c r="O1336" i="4"/>
  <c r="O1337" i="4"/>
  <c r="O1338" i="4"/>
  <c r="O1339" i="4"/>
  <c r="O1340" i="4"/>
  <c r="O1341" i="4"/>
  <c r="O1342" i="4"/>
  <c r="O1343" i="4"/>
  <c r="O1344" i="4"/>
  <c r="O1345" i="4"/>
  <c r="O1346" i="4"/>
  <c r="O1347" i="4"/>
  <c r="O1348" i="4"/>
  <c r="O1349" i="4"/>
  <c r="O1350" i="4"/>
  <c r="O1351" i="4"/>
  <c r="O1352" i="4"/>
  <c r="O1353" i="4"/>
  <c r="O1354" i="4"/>
  <c r="O1355" i="4"/>
  <c r="O1356" i="4"/>
  <c r="O1357" i="4"/>
  <c r="O1358" i="4"/>
  <c r="O1359" i="4"/>
  <c r="O1360" i="4"/>
  <c r="O1361" i="4"/>
  <c r="O1362" i="4"/>
  <c r="O1363" i="4"/>
  <c r="O1364" i="4"/>
  <c r="O1365" i="4"/>
  <c r="O1366" i="4"/>
  <c r="O1367" i="4"/>
  <c r="O1368" i="4"/>
  <c r="O1369" i="4"/>
  <c r="O1370" i="4"/>
  <c r="O117" i="4"/>
  <c r="O1371" i="4"/>
  <c r="O1372" i="4"/>
  <c r="O1373" i="4"/>
  <c r="O96" i="4"/>
  <c r="O1374" i="4"/>
  <c r="O1375" i="4"/>
  <c r="O1376" i="4"/>
  <c r="O1377" i="4"/>
  <c r="O1378" i="4"/>
  <c r="O1379" i="4"/>
  <c r="O1380" i="4"/>
  <c r="O1381" i="4"/>
  <c r="O1382" i="4"/>
  <c r="O1383" i="4"/>
  <c r="O1384" i="4"/>
  <c r="O1385" i="4"/>
  <c r="O1386" i="4"/>
  <c r="O1387" i="4"/>
  <c r="O1388" i="4"/>
  <c r="O1389" i="4"/>
  <c r="O1390" i="4"/>
  <c r="O1391" i="4"/>
  <c r="O1392" i="4"/>
  <c r="O1393" i="4"/>
  <c r="O1394" i="4"/>
  <c r="O1395" i="4"/>
  <c r="O1396" i="4"/>
  <c r="O1397" i="4"/>
  <c r="O1398" i="4"/>
  <c r="O1399" i="4"/>
  <c r="O1400" i="4"/>
  <c r="O1401" i="4"/>
  <c r="O1402" i="4"/>
  <c r="O1403" i="4"/>
  <c r="O1404" i="4"/>
  <c r="O1405" i="4"/>
  <c r="O1406" i="4"/>
  <c r="O1407" i="4"/>
  <c r="O1408" i="4"/>
  <c r="O1409" i="4"/>
  <c r="O1410" i="4"/>
  <c r="O1411" i="4"/>
  <c r="O1412" i="4"/>
  <c r="O1413" i="4"/>
  <c r="O1414" i="4"/>
  <c r="O1415" i="4"/>
  <c r="O1416" i="4"/>
  <c r="O1417" i="4"/>
  <c r="O1418" i="4"/>
  <c r="O1419" i="4"/>
  <c r="O1420" i="4"/>
  <c r="O1421" i="4"/>
  <c r="O1422" i="4"/>
  <c r="O1423" i="4"/>
  <c r="O124" i="4"/>
  <c r="O1424" i="4"/>
  <c r="O1425" i="4"/>
  <c r="O1426" i="4"/>
  <c r="O1427" i="4"/>
  <c r="O1428" i="4"/>
  <c r="O1429" i="4"/>
  <c r="O11" i="4"/>
  <c r="O1430" i="4"/>
  <c r="O1431" i="4"/>
  <c r="O15" i="4"/>
  <c r="O1432" i="4"/>
  <c r="O1433" i="4"/>
  <c r="O1434" i="4"/>
  <c r="O1435" i="4"/>
  <c r="O127" i="4"/>
  <c r="O125" i="4"/>
  <c r="O1436" i="4"/>
  <c r="O1437" i="4"/>
  <c r="O87" i="4"/>
  <c r="O1438" i="4"/>
  <c r="O52" i="4"/>
  <c r="O1439" i="4"/>
  <c r="O17" i="4"/>
  <c r="O88" i="4"/>
  <c r="O1440" i="4"/>
  <c r="O1441" i="4"/>
  <c r="O1442" i="4"/>
  <c r="O64" i="4"/>
  <c r="O42" i="4"/>
  <c r="O1443" i="4"/>
  <c r="O1444" i="4"/>
  <c r="O1445" i="4"/>
  <c r="O43" i="4"/>
  <c r="O116" i="4"/>
  <c r="O118" i="4"/>
  <c r="O1446" i="4"/>
  <c r="O120" i="4"/>
  <c r="O122" i="4"/>
  <c r="O1447" i="4"/>
  <c r="O31" i="4"/>
  <c r="O91" i="4"/>
  <c r="O1448" i="4"/>
  <c r="O1449" i="4"/>
  <c r="O1450" i="4"/>
  <c r="O1451" i="4"/>
  <c r="O97" i="4"/>
  <c r="O1452" i="4"/>
  <c r="O1453" i="4"/>
  <c r="O1454" i="4"/>
  <c r="O1455" i="4"/>
  <c r="O104" i="4"/>
  <c r="O1456" i="4"/>
  <c r="O1457" i="4"/>
  <c r="O1458" i="4"/>
  <c r="O1459" i="4"/>
  <c r="O12" i="4"/>
  <c r="O18" i="4"/>
  <c r="O65" i="4"/>
  <c r="O1460" i="4"/>
  <c r="O1461" i="4"/>
  <c r="O25" i="4"/>
  <c r="O1462" i="4"/>
  <c r="O1463" i="4"/>
  <c r="O1464" i="4"/>
  <c r="O128" i="4"/>
  <c r="O1465" i="4"/>
  <c r="O35" i="4"/>
  <c r="O1466" i="4"/>
  <c r="O1467" i="4"/>
  <c r="O75" i="4"/>
  <c r="O1468" i="4"/>
  <c r="O1469" i="4"/>
  <c r="O1470" i="4"/>
  <c r="O1471" i="4"/>
  <c r="O100" i="4"/>
  <c r="O1472" i="4"/>
  <c r="O19" i="4"/>
  <c r="O1473" i="4"/>
  <c r="O1474" i="4"/>
  <c r="O1475" i="4"/>
  <c r="O13" i="4"/>
  <c r="O77" i="4"/>
  <c r="O1476" i="4"/>
  <c r="O32" i="4"/>
  <c r="O126" i="4"/>
  <c r="O130" i="4"/>
  <c r="O66" i="4"/>
  <c r="O53" i="4"/>
  <c r="O105" i="4"/>
  <c r="O56" i="4"/>
  <c r="O29" i="4"/>
  <c r="O1477" i="4"/>
  <c r="O14" i="4"/>
  <c r="O26" i="4"/>
  <c r="O1478" i="4"/>
  <c r="O34" i="4"/>
  <c r="O40" i="4"/>
  <c r="O1479" i="4"/>
  <c r="O1480" i="4"/>
  <c r="O1481" i="4"/>
  <c r="O1482" i="4"/>
  <c r="O49" i="4"/>
  <c r="O1483" i="4"/>
  <c r="O1484" i="4"/>
  <c r="O27" i="4"/>
  <c r="O54" i="4"/>
  <c r="O1485" i="4"/>
  <c r="O59" i="4"/>
  <c r="O1486" i="4"/>
  <c r="O30" i="4"/>
  <c r="O79" i="4"/>
  <c r="O1487" i="4"/>
  <c r="O33" i="4"/>
  <c r="O90" i="4"/>
  <c r="O113" i="4"/>
  <c r="O60" i="4"/>
  <c r="O95" i="4"/>
  <c r="O76" i="4"/>
  <c r="O21" i="4"/>
  <c r="O41" i="4"/>
  <c r="O38" i="4"/>
  <c r="O1488" i="4"/>
  <c r="O22" i="4"/>
  <c r="O110" i="4"/>
  <c r="O1489" i="4"/>
  <c r="O1490" i="4"/>
  <c r="O45" i="4"/>
  <c r="O24" i="4"/>
  <c r="O108" i="4"/>
  <c r="O57" i="4"/>
  <c r="O83" i="4"/>
  <c r="O61" i="4"/>
  <c r="O46" i="4"/>
  <c r="O67" i="4"/>
  <c r="O44" i="4"/>
  <c r="O70" i="4"/>
  <c r="O85" i="4"/>
  <c r="O20" i="4"/>
  <c r="O6" i="4"/>
  <c r="O23" i="4"/>
  <c r="O1491" i="4"/>
  <c r="O1492" i="4"/>
  <c r="O1493" i="4"/>
  <c r="O1494" i="4"/>
  <c r="O1495" i="4"/>
  <c r="O1496" i="4"/>
  <c r="O1497" i="4"/>
  <c r="O1498" i="4"/>
  <c r="O1499" i="4"/>
  <c r="O28" i="4"/>
  <c r="O1500" i="4"/>
  <c r="O1501" i="4"/>
  <c r="O1502" i="4"/>
  <c r="O1503" i="4"/>
  <c r="O1504" i="4"/>
  <c r="O1505" i="4"/>
  <c r="O1506" i="4"/>
  <c r="P131" i="4"/>
  <c r="P132" i="4"/>
  <c r="P133" i="4"/>
  <c r="P134" i="4"/>
  <c r="P135" i="4"/>
  <c r="P136" i="4"/>
  <c r="P137" i="4"/>
  <c r="P138" i="4"/>
  <c r="P139" i="4"/>
  <c r="P140" i="4"/>
  <c r="P111"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98"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71" i="4"/>
  <c r="P264" i="4"/>
  <c r="P265" i="4"/>
  <c r="P266" i="4"/>
  <c r="P267" i="4"/>
  <c r="P268" i="4"/>
  <c r="P269" i="4"/>
  <c r="P270" i="4"/>
  <c r="P271" i="4"/>
  <c r="P272" i="4"/>
  <c r="P273" i="4"/>
  <c r="P274" i="4"/>
  <c r="P275" i="4"/>
  <c r="P276" i="4"/>
  <c r="P277" i="4"/>
  <c r="P278" i="4"/>
  <c r="P36" i="4"/>
  <c r="P279" i="4"/>
  <c r="P280" i="4"/>
  <c r="P281" i="4"/>
  <c r="P282" i="4"/>
  <c r="P283" i="4"/>
  <c r="P284" i="4"/>
  <c r="P285" i="4"/>
  <c r="P286" i="4"/>
  <c r="P287" i="4"/>
  <c r="P288" i="4"/>
  <c r="P289" i="4"/>
  <c r="P290" i="4"/>
  <c r="P291" i="4"/>
  <c r="P292" i="4"/>
  <c r="P293" i="4"/>
  <c r="P294" i="4"/>
  <c r="P295" i="4"/>
  <c r="P296" i="4"/>
  <c r="P297" i="4"/>
  <c r="P298" i="4"/>
  <c r="P115"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7"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92" i="4"/>
  <c r="P423" i="4"/>
  <c r="P424" i="4"/>
  <c r="P425" i="4"/>
  <c r="P426" i="4"/>
  <c r="P427" i="4"/>
  <c r="P428" i="4"/>
  <c r="P429" i="4"/>
  <c r="P430" i="4"/>
  <c r="P63"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622" i="4"/>
  <c r="P623" i="4"/>
  <c r="P78" i="4"/>
  <c r="P121" i="4"/>
  <c r="P81" i="4"/>
  <c r="P624" i="4"/>
  <c r="P625" i="4"/>
  <c r="P626" i="4"/>
  <c r="P627" i="4"/>
  <c r="P628" i="4"/>
  <c r="P629" i="4"/>
  <c r="P630" i="4"/>
  <c r="P631" i="4"/>
  <c r="P114"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86"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693" i="4"/>
  <c r="P99"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781" i="4"/>
  <c r="P782" i="4"/>
  <c r="P101" i="4"/>
  <c r="P39"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811" i="4"/>
  <c r="P812" i="4"/>
  <c r="P813" i="4"/>
  <c r="P814" i="4"/>
  <c r="P815" i="4"/>
  <c r="P816" i="4"/>
  <c r="P817" i="4"/>
  <c r="P818" i="4"/>
  <c r="P819" i="4"/>
  <c r="P820" i="4"/>
  <c r="P821" i="4"/>
  <c r="P822" i="4"/>
  <c r="P823" i="4"/>
  <c r="P824" i="4"/>
  <c r="P825" i="4"/>
  <c r="P826" i="4"/>
  <c r="P827" i="4"/>
  <c r="P828" i="4"/>
  <c r="P829" i="4"/>
  <c r="P830" i="4"/>
  <c r="P831" i="4"/>
  <c r="P832" i="4"/>
  <c r="P833" i="4"/>
  <c r="P834" i="4"/>
  <c r="P835" i="4"/>
  <c r="P836" i="4"/>
  <c r="P837" i="4"/>
  <c r="P838" i="4"/>
  <c r="P839" i="4"/>
  <c r="P840" i="4"/>
  <c r="P841" i="4"/>
  <c r="P842" i="4"/>
  <c r="P843" i="4"/>
  <c r="P844" i="4"/>
  <c r="P845" i="4"/>
  <c r="P846" i="4"/>
  <c r="P847" i="4"/>
  <c r="P848" i="4"/>
  <c r="P849" i="4"/>
  <c r="P850" i="4"/>
  <c r="P851" i="4"/>
  <c r="P852" i="4"/>
  <c r="P853" i="4"/>
  <c r="P854" i="4"/>
  <c r="P855" i="4"/>
  <c r="P856" i="4"/>
  <c r="P857" i="4"/>
  <c r="P858" i="4"/>
  <c r="P859" i="4"/>
  <c r="P860" i="4"/>
  <c r="P8" i="4"/>
  <c r="P861" i="4"/>
  <c r="P862" i="4"/>
  <c r="P863" i="4"/>
  <c r="P864" i="4"/>
  <c r="P865" i="4"/>
  <c r="P866" i="4"/>
  <c r="P867" i="4"/>
  <c r="P868" i="4"/>
  <c r="P869" i="4"/>
  <c r="P870" i="4"/>
  <c r="P871" i="4"/>
  <c r="P872" i="4"/>
  <c r="P873" i="4"/>
  <c r="P874" i="4"/>
  <c r="P875" i="4"/>
  <c r="P876" i="4"/>
  <c r="P877" i="4"/>
  <c r="P878" i="4"/>
  <c r="P879" i="4"/>
  <c r="P880" i="4"/>
  <c r="P881" i="4"/>
  <c r="P882" i="4"/>
  <c r="P883" i="4"/>
  <c r="P884" i="4"/>
  <c r="P885" i="4"/>
  <c r="P886" i="4"/>
  <c r="P887" i="4"/>
  <c r="P888" i="4"/>
  <c r="P889" i="4"/>
  <c r="P890" i="4"/>
  <c r="P891" i="4"/>
  <c r="P892"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951" i="4"/>
  <c r="P952" i="4"/>
  <c r="P953" i="4"/>
  <c r="P954" i="4"/>
  <c r="P955" i="4"/>
  <c r="P956" i="4"/>
  <c r="P957" i="4"/>
  <c r="P958" i="4"/>
  <c r="P959" i="4"/>
  <c r="P960" i="4"/>
  <c r="P961" i="4"/>
  <c r="P962" i="4"/>
  <c r="P963" i="4"/>
  <c r="P964" i="4"/>
  <c r="P965" i="4"/>
  <c r="P966" i="4"/>
  <c r="P967" i="4"/>
  <c r="P968" i="4"/>
  <c r="P969" i="4"/>
  <c r="P970" i="4"/>
  <c r="P971" i="4"/>
  <c r="P972" i="4"/>
  <c r="P973" i="4"/>
  <c r="P974" i="4"/>
  <c r="P975" i="4"/>
  <c r="P976" i="4"/>
  <c r="P977" i="4"/>
  <c r="P978" i="4"/>
  <c r="P979" i="4"/>
  <c r="P980" i="4"/>
  <c r="P102" i="4"/>
  <c r="P981" i="4"/>
  <c r="P982" i="4"/>
  <c r="P983" i="4"/>
  <c r="P984" i="4"/>
  <c r="P985" i="4"/>
  <c r="P986" i="4"/>
  <c r="P987" i="4"/>
  <c r="P988" i="4"/>
  <c r="P989" i="4"/>
  <c r="P990" i="4"/>
  <c r="P991" i="4"/>
  <c r="P992" i="4"/>
  <c r="P993" i="4"/>
  <c r="P994" i="4"/>
  <c r="P995" i="4"/>
  <c r="P996" i="4"/>
  <c r="P997" i="4"/>
  <c r="P998" i="4"/>
  <c r="P999" i="4"/>
  <c r="P1000" i="4"/>
  <c r="P1001" i="4"/>
  <c r="P1002" i="4"/>
  <c r="P1003" i="4"/>
  <c r="P1004" i="4"/>
  <c r="P1005" i="4"/>
  <c r="P1006" i="4"/>
  <c r="P1007" i="4"/>
  <c r="P73" i="4"/>
  <c r="P1008" i="4"/>
  <c r="P1009" i="4"/>
  <c r="P1010" i="4"/>
  <c r="P1011" i="4"/>
  <c r="P1012" i="4"/>
  <c r="P1013" i="4"/>
  <c r="P1014" i="4"/>
  <c r="P1015" i="4"/>
  <c r="P1016" i="4"/>
  <c r="P62" i="4"/>
  <c r="P1017" i="4"/>
  <c r="P1018" i="4"/>
  <c r="P1019" i="4"/>
  <c r="P1020" i="4"/>
  <c r="P1021" i="4"/>
  <c r="P1022" i="4"/>
  <c r="P1023" i="4"/>
  <c r="P1024" i="4"/>
  <c r="P1025" i="4"/>
  <c r="P1026" i="4"/>
  <c r="P1027" i="4"/>
  <c r="P1028" i="4"/>
  <c r="P1029" i="4"/>
  <c r="P1030" i="4"/>
  <c r="P1031" i="4"/>
  <c r="P1032" i="4"/>
  <c r="P1033" i="4"/>
  <c r="P1034" i="4"/>
  <c r="P1035" i="4"/>
  <c r="P1036" i="4"/>
  <c r="P1037" i="4"/>
  <c r="P1038" i="4"/>
  <c r="P1039" i="4"/>
  <c r="P1040" i="4"/>
  <c r="P1041" i="4"/>
  <c r="P1042" i="4"/>
  <c r="P1043" i="4"/>
  <c r="P1044" i="4"/>
  <c r="P1045" i="4"/>
  <c r="P1046" i="4"/>
  <c r="P1047" i="4"/>
  <c r="P1048" i="4"/>
  <c r="P1049" i="4"/>
  <c r="P1050" i="4"/>
  <c r="P1051" i="4"/>
  <c r="P1052" i="4"/>
  <c r="P1053" i="4"/>
  <c r="P1054" i="4"/>
  <c r="P1055" i="4"/>
  <c r="P1056" i="4"/>
  <c r="P9" i="4"/>
  <c r="P1057" i="4"/>
  <c r="P68" i="4"/>
  <c r="P1058" i="4"/>
  <c r="P1059" i="4"/>
  <c r="P1060" i="4"/>
  <c r="P1061" i="4"/>
  <c r="P1062" i="4"/>
  <c r="P1063" i="4"/>
  <c r="P1064" i="4"/>
  <c r="P1065" i="4"/>
  <c r="P1066" i="4"/>
  <c r="P1067" i="4"/>
  <c r="P1068" i="4"/>
  <c r="P1069" i="4"/>
  <c r="P1070" i="4"/>
  <c r="P1071" i="4"/>
  <c r="P1072" i="4"/>
  <c r="P1073" i="4"/>
  <c r="P1074" i="4"/>
  <c r="P1075" i="4"/>
  <c r="P1076" i="4"/>
  <c r="P1077" i="4"/>
  <c r="P1078" i="4"/>
  <c r="P1079" i="4"/>
  <c r="P1080" i="4"/>
  <c r="P1081" i="4"/>
  <c r="P84" i="4"/>
  <c r="P1082" i="4"/>
  <c r="P1083" i="4"/>
  <c r="P51" i="4"/>
  <c r="P1084" i="4"/>
  <c r="P16" i="4"/>
  <c r="P55" i="4"/>
  <c r="P1085" i="4"/>
  <c r="P1086" i="4"/>
  <c r="P1087" i="4"/>
  <c r="P80" i="4"/>
  <c r="P1088" i="4"/>
  <c r="P1089" i="4"/>
  <c r="P1090" i="4"/>
  <c r="P1091" i="4"/>
  <c r="P72" i="4"/>
  <c r="P1092" i="4"/>
  <c r="P1093" i="4"/>
  <c r="P1094" i="4"/>
  <c r="P1095" i="4"/>
  <c r="P1096" i="4"/>
  <c r="P1097" i="4"/>
  <c r="P1098" i="4"/>
  <c r="P1099" i="4"/>
  <c r="P1100" i="4"/>
  <c r="P1101" i="4"/>
  <c r="P1102" i="4"/>
  <c r="P1103" i="4"/>
  <c r="P1104" i="4"/>
  <c r="P10" i="4"/>
  <c r="P1105" i="4"/>
  <c r="P1106" i="4"/>
  <c r="P1107" i="4"/>
  <c r="P1108" i="4"/>
  <c r="P1109" i="4"/>
  <c r="P1110" i="4"/>
  <c r="P1111" i="4"/>
  <c r="P89" i="4"/>
  <c r="P1112" i="4"/>
  <c r="P1113" i="4"/>
  <c r="P1114" i="4"/>
  <c r="P1115" i="4"/>
  <c r="P1116" i="4"/>
  <c r="P1117" i="4"/>
  <c r="P1118" i="4"/>
  <c r="P1119" i="4"/>
  <c r="P1120" i="4"/>
  <c r="P1121" i="4"/>
  <c r="P1122" i="4"/>
  <c r="P1123" i="4"/>
  <c r="P82" i="4"/>
  <c r="P1124" i="4"/>
  <c r="P1125" i="4"/>
  <c r="P1126" i="4"/>
  <c r="P1127" i="4"/>
  <c r="P1128" i="4"/>
  <c r="P1129" i="4"/>
  <c r="P1130" i="4"/>
  <c r="P1131" i="4"/>
  <c r="P1132" i="4"/>
  <c r="P1133" i="4"/>
  <c r="P1134" i="4"/>
  <c r="P1135" i="4"/>
  <c r="P1136" i="4"/>
  <c r="P1137" i="4"/>
  <c r="P1138" i="4"/>
  <c r="P1139" i="4"/>
  <c r="P1140" i="4"/>
  <c r="P1141" i="4"/>
  <c r="P106" i="4"/>
  <c r="P1142" i="4"/>
  <c r="P47" i="4"/>
  <c r="P1143" i="4"/>
  <c r="P1144" i="4"/>
  <c r="P1145" i="4"/>
  <c r="P1146" i="4"/>
  <c r="P1147" i="4"/>
  <c r="P1148" i="4"/>
  <c r="P1149" i="4"/>
  <c r="P1150" i="4"/>
  <c r="P1151" i="4"/>
  <c r="P1152" i="4"/>
  <c r="P1153" i="4"/>
  <c r="P1154" i="4"/>
  <c r="P1155" i="4"/>
  <c r="P1156" i="4"/>
  <c r="P1157" i="4"/>
  <c r="P1158" i="4"/>
  <c r="P1159" i="4"/>
  <c r="P1160" i="4"/>
  <c r="P1161" i="4"/>
  <c r="P1162" i="4"/>
  <c r="P1163" i="4"/>
  <c r="P1164" i="4"/>
  <c r="P1165" i="4"/>
  <c r="P1166" i="4"/>
  <c r="P1167" i="4"/>
  <c r="P1168" i="4"/>
  <c r="P1169" i="4"/>
  <c r="P1170" i="4"/>
  <c r="P1171" i="4"/>
  <c r="P1172" i="4"/>
  <c r="P1173" i="4"/>
  <c r="P1174" i="4"/>
  <c r="P1175" i="4"/>
  <c r="P1176" i="4"/>
  <c r="P1177" i="4"/>
  <c r="P1178" i="4"/>
  <c r="P1179" i="4"/>
  <c r="P1180" i="4"/>
  <c r="P1181" i="4"/>
  <c r="P1182" i="4"/>
  <c r="P1183" i="4"/>
  <c r="P1184" i="4"/>
  <c r="P1185" i="4"/>
  <c r="P1186" i="4"/>
  <c r="P1187" i="4"/>
  <c r="P1188" i="4"/>
  <c r="P1189" i="4"/>
  <c r="P1190" i="4"/>
  <c r="P1191" i="4"/>
  <c r="P1192" i="4"/>
  <c r="P1193" i="4"/>
  <c r="P1194" i="4"/>
  <c r="P1195" i="4"/>
  <c r="P1196" i="4"/>
  <c r="P1197" i="4"/>
  <c r="P1198" i="4"/>
  <c r="P1199" i="4"/>
  <c r="P1200" i="4"/>
  <c r="P1201" i="4"/>
  <c r="P1202" i="4"/>
  <c r="P1203" i="4"/>
  <c r="P1204" i="4"/>
  <c r="P1205" i="4"/>
  <c r="P1206" i="4"/>
  <c r="P1207" i="4"/>
  <c r="P1208" i="4"/>
  <c r="P1209" i="4"/>
  <c r="P58" i="4"/>
  <c r="P1210" i="4"/>
  <c r="P1211" i="4"/>
  <c r="P1212" i="4"/>
  <c r="P1213" i="4"/>
  <c r="P1214" i="4"/>
  <c r="P1215" i="4"/>
  <c r="P1216" i="4"/>
  <c r="P1217" i="4"/>
  <c r="P1218" i="4"/>
  <c r="P1219" i="4"/>
  <c r="P1220" i="4"/>
  <c r="P1221" i="4"/>
  <c r="P1222" i="4"/>
  <c r="P1223" i="4"/>
  <c r="P1224" i="4"/>
  <c r="P1225" i="4"/>
  <c r="P1226" i="4"/>
  <c r="P1227" i="4"/>
  <c r="P1228" i="4"/>
  <c r="P1229" i="4"/>
  <c r="P1230" i="4"/>
  <c r="P1231" i="4"/>
  <c r="P1232" i="4"/>
  <c r="P1233" i="4"/>
  <c r="P74" i="4"/>
  <c r="P1234" i="4"/>
  <c r="P1235" i="4"/>
  <c r="P1236" i="4"/>
  <c r="P1237" i="4"/>
  <c r="P1238" i="4"/>
  <c r="P129" i="4"/>
  <c r="P1239" i="4"/>
  <c r="P1240" i="4"/>
  <c r="P1241" i="4"/>
  <c r="P1242" i="4"/>
  <c r="P1243" i="4"/>
  <c r="P1244" i="4"/>
  <c r="P109" i="4"/>
  <c r="P1245" i="4"/>
  <c r="P1246" i="4"/>
  <c r="P1247" i="4"/>
  <c r="P1248" i="4"/>
  <c r="P1249" i="4"/>
  <c r="P1250" i="4"/>
  <c r="P107" i="4"/>
  <c r="P1251" i="4"/>
  <c r="P1252" i="4"/>
  <c r="P1253" i="4"/>
  <c r="P1254" i="4"/>
  <c r="P1255" i="4"/>
  <c r="P1256" i="4"/>
  <c r="P1257" i="4"/>
  <c r="P1258" i="4"/>
  <c r="P1259" i="4"/>
  <c r="P1260" i="4"/>
  <c r="P1261" i="4"/>
  <c r="P1262" i="4"/>
  <c r="P1263" i="4"/>
  <c r="P123" i="4"/>
  <c r="P1264" i="4"/>
  <c r="P1265" i="4"/>
  <c r="P1266" i="4"/>
  <c r="P1267" i="4"/>
  <c r="P1268" i="4"/>
  <c r="P1269" i="4"/>
  <c r="P1270" i="4"/>
  <c r="P1271" i="4"/>
  <c r="P1272" i="4"/>
  <c r="P1273" i="4"/>
  <c r="P1274" i="4"/>
  <c r="P1275" i="4"/>
  <c r="P48" i="4"/>
  <c r="P50" i="4"/>
  <c r="P1276" i="4"/>
  <c r="P1277" i="4"/>
  <c r="P93" i="4"/>
  <c r="P1278" i="4"/>
  <c r="P1279" i="4"/>
  <c r="P1280" i="4"/>
  <c r="P1281" i="4"/>
  <c r="P1282" i="4"/>
  <c r="P37" i="4"/>
  <c r="P1283" i="4"/>
  <c r="P1284" i="4"/>
  <c r="P1285" i="4"/>
  <c r="P1286" i="4"/>
  <c r="P1287" i="4"/>
  <c r="P119" i="4"/>
  <c r="P69" i="4"/>
  <c r="P94" i="4"/>
  <c r="P1288" i="4"/>
  <c r="P103" i="4"/>
  <c r="P1289" i="4"/>
  <c r="P1290" i="4"/>
  <c r="P1291" i="4"/>
  <c r="P1292" i="4"/>
  <c r="P1293" i="4"/>
  <c r="P1294" i="4"/>
  <c r="P1295" i="4"/>
  <c r="P1296" i="4"/>
  <c r="P1297" i="4"/>
  <c r="P1298" i="4"/>
  <c r="P1299" i="4"/>
  <c r="P1300" i="4"/>
  <c r="P1301" i="4"/>
  <c r="P1302" i="4"/>
  <c r="P1303" i="4"/>
  <c r="P1304" i="4"/>
  <c r="P1305" i="4"/>
  <c r="P1306" i="4"/>
  <c r="P1307" i="4"/>
  <c r="P1308" i="4"/>
  <c r="P1309" i="4"/>
  <c r="P1310" i="4"/>
  <c r="P1311" i="4"/>
  <c r="P1312" i="4"/>
  <c r="P1313" i="4"/>
  <c r="P1314" i="4"/>
  <c r="P1315" i="4"/>
  <c r="P1316" i="4"/>
  <c r="P1317" i="4"/>
  <c r="P1318" i="4"/>
  <c r="P1319" i="4"/>
  <c r="P1320" i="4"/>
  <c r="P1321" i="4"/>
  <c r="P1322" i="4"/>
  <c r="P1323" i="4"/>
  <c r="P1324" i="4"/>
  <c r="P1325" i="4"/>
  <c r="P1326" i="4"/>
  <c r="P112" i="4"/>
  <c r="P1327" i="4"/>
  <c r="P1328" i="4"/>
  <c r="P1329" i="4"/>
  <c r="P1330" i="4"/>
  <c r="P1331" i="4"/>
  <c r="P1332" i="4"/>
  <c r="P1333" i="4"/>
  <c r="P1334" i="4"/>
  <c r="P1335" i="4"/>
  <c r="P1336" i="4"/>
  <c r="P1337" i="4"/>
  <c r="P1338" i="4"/>
  <c r="P1339" i="4"/>
  <c r="P1340" i="4"/>
  <c r="P1341" i="4"/>
  <c r="P1342" i="4"/>
  <c r="P1343" i="4"/>
  <c r="P1344" i="4"/>
  <c r="P1345" i="4"/>
  <c r="P1346" i="4"/>
  <c r="P1347" i="4"/>
  <c r="P1348" i="4"/>
  <c r="P1349" i="4"/>
  <c r="P1350" i="4"/>
  <c r="P1351" i="4"/>
  <c r="P1352" i="4"/>
  <c r="P1353" i="4"/>
  <c r="P1354" i="4"/>
  <c r="P1355" i="4"/>
  <c r="P1356" i="4"/>
  <c r="P1357" i="4"/>
  <c r="P1358" i="4"/>
  <c r="P1359" i="4"/>
  <c r="P1360" i="4"/>
  <c r="P1361" i="4"/>
  <c r="P1362" i="4"/>
  <c r="P1363" i="4"/>
  <c r="P1364" i="4"/>
  <c r="P1365" i="4"/>
  <c r="P1366" i="4"/>
  <c r="P1367" i="4"/>
  <c r="P1368" i="4"/>
  <c r="P1369" i="4"/>
  <c r="P1370" i="4"/>
  <c r="P117" i="4"/>
  <c r="P1371" i="4"/>
  <c r="P1372" i="4"/>
  <c r="P1373" i="4"/>
  <c r="P96" i="4"/>
  <c r="P1374" i="4"/>
  <c r="P1375" i="4"/>
  <c r="P1376" i="4"/>
  <c r="P1377" i="4"/>
  <c r="P1378" i="4"/>
  <c r="P1379" i="4"/>
  <c r="P1380" i="4"/>
  <c r="P1381" i="4"/>
  <c r="P1382" i="4"/>
  <c r="P1383" i="4"/>
  <c r="P1384" i="4"/>
  <c r="P1385" i="4"/>
  <c r="P1386" i="4"/>
  <c r="P1387" i="4"/>
  <c r="P1388" i="4"/>
  <c r="P1389" i="4"/>
  <c r="P1390" i="4"/>
  <c r="P1391" i="4"/>
  <c r="P1392" i="4"/>
  <c r="P1393" i="4"/>
  <c r="P1394" i="4"/>
  <c r="P1395" i="4"/>
  <c r="P1396" i="4"/>
  <c r="P1397" i="4"/>
  <c r="P1398" i="4"/>
  <c r="P1399" i="4"/>
  <c r="P1400" i="4"/>
  <c r="P1401" i="4"/>
  <c r="P1402" i="4"/>
  <c r="P1403" i="4"/>
  <c r="P1404" i="4"/>
  <c r="P1405" i="4"/>
  <c r="P1406" i="4"/>
  <c r="P1407" i="4"/>
  <c r="P1408" i="4"/>
  <c r="P1409" i="4"/>
  <c r="P1410" i="4"/>
  <c r="P1411" i="4"/>
  <c r="P1412" i="4"/>
  <c r="P1413" i="4"/>
  <c r="P1414" i="4"/>
  <c r="P1415" i="4"/>
  <c r="P1416" i="4"/>
  <c r="P1417" i="4"/>
  <c r="P1418" i="4"/>
  <c r="P1419" i="4"/>
  <c r="P1420" i="4"/>
  <c r="P1421" i="4"/>
  <c r="P1422" i="4"/>
  <c r="P1423" i="4"/>
  <c r="P124" i="4"/>
  <c r="P1424" i="4"/>
  <c r="P1425" i="4"/>
  <c r="P1426" i="4"/>
  <c r="P1427" i="4"/>
  <c r="P1428" i="4"/>
  <c r="P1429" i="4"/>
  <c r="P11" i="4"/>
  <c r="P1430" i="4"/>
  <c r="P1431" i="4"/>
  <c r="P15" i="4"/>
  <c r="P1432" i="4"/>
  <c r="P1433" i="4"/>
  <c r="P1434" i="4"/>
  <c r="P1435" i="4"/>
  <c r="P127" i="4"/>
  <c r="P125" i="4"/>
  <c r="P1436" i="4"/>
  <c r="P1437" i="4"/>
  <c r="P87" i="4"/>
  <c r="P1438" i="4"/>
  <c r="P52" i="4"/>
  <c r="P1439" i="4"/>
  <c r="P17" i="4"/>
  <c r="P88" i="4"/>
  <c r="P1440" i="4"/>
  <c r="P1441" i="4"/>
  <c r="P1442" i="4"/>
  <c r="P64" i="4"/>
  <c r="P42" i="4"/>
  <c r="P1443" i="4"/>
  <c r="P1444" i="4"/>
  <c r="P1445" i="4"/>
  <c r="P43" i="4"/>
  <c r="P116" i="4"/>
  <c r="P118" i="4"/>
  <c r="P1446" i="4"/>
  <c r="P120" i="4"/>
  <c r="P122" i="4"/>
  <c r="P1447" i="4"/>
  <c r="P31" i="4"/>
  <c r="P91" i="4"/>
  <c r="P1448" i="4"/>
  <c r="P1449" i="4"/>
  <c r="P1450" i="4"/>
  <c r="P1451" i="4"/>
  <c r="P97" i="4"/>
  <c r="P1452" i="4"/>
  <c r="P1453" i="4"/>
  <c r="P1454" i="4"/>
  <c r="P1455" i="4"/>
  <c r="P104" i="4"/>
  <c r="P1456" i="4"/>
  <c r="P1457" i="4"/>
  <c r="P1458" i="4"/>
  <c r="P1459" i="4"/>
  <c r="P12" i="4"/>
  <c r="P18" i="4"/>
  <c r="P65" i="4"/>
  <c r="P1460" i="4"/>
  <c r="P1461" i="4"/>
  <c r="P25" i="4"/>
  <c r="P1462" i="4"/>
  <c r="P1463" i="4"/>
  <c r="P1464" i="4"/>
  <c r="P128" i="4"/>
  <c r="P1465" i="4"/>
  <c r="P35" i="4"/>
  <c r="P1466" i="4"/>
  <c r="P1467" i="4"/>
  <c r="P75" i="4"/>
  <c r="P1468" i="4"/>
  <c r="P1469" i="4"/>
  <c r="P1470" i="4"/>
  <c r="P1471" i="4"/>
  <c r="P100" i="4"/>
  <c r="P1472" i="4"/>
  <c r="P19" i="4"/>
  <c r="P1473" i="4"/>
  <c r="P1474" i="4"/>
  <c r="P1475" i="4"/>
  <c r="P13" i="4"/>
  <c r="P77" i="4"/>
  <c r="P1476" i="4"/>
  <c r="P32" i="4"/>
  <c r="P126" i="4"/>
  <c r="P130" i="4"/>
  <c r="P66" i="4"/>
  <c r="P53" i="4"/>
  <c r="P105" i="4"/>
  <c r="P56" i="4"/>
  <c r="P29" i="4"/>
  <c r="P1477" i="4"/>
  <c r="P14" i="4"/>
  <c r="P26" i="4"/>
  <c r="P1478" i="4"/>
  <c r="P34" i="4"/>
  <c r="P40" i="4"/>
  <c r="P1479" i="4"/>
  <c r="P1480" i="4"/>
  <c r="P1481" i="4"/>
  <c r="P1482" i="4"/>
  <c r="P49" i="4"/>
  <c r="P1483" i="4"/>
  <c r="P1484" i="4"/>
  <c r="P27" i="4"/>
  <c r="P54" i="4"/>
  <c r="P1485" i="4"/>
  <c r="P59" i="4"/>
  <c r="P1486" i="4"/>
  <c r="P30" i="4"/>
  <c r="P79" i="4"/>
  <c r="P1487" i="4"/>
  <c r="P33" i="4"/>
  <c r="P90" i="4"/>
  <c r="P113" i="4"/>
  <c r="P60" i="4"/>
  <c r="P95" i="4"/>
  <c r="P76" i="4"/>
  <c r="P21" i="4"/>
  <c r="P41" i="4"/>
  <c r="P38" i="4"/>
  <c r="P1488" i="4"/>
  <c r="P22" i="4"/>
  <c r="P110" i="4"/>
  <c r="P1489" i="4"/>
  <c r="P1490" i="4"/>
  <c r="P45" i="4"/>
  <c r="P24" i="4"/>
  <c r="P108" i="4"/>
  <c r="P57" i="4"/>
  <c r="P83" i="4"/>
  <c r="P61" i="4"/>
  <c r="P46" i="4"/>
  <c r="P67" i="4"/>
  <c r="P44" i="4"/>
  <c r="P70" i="4"/>
  <c r="P85" i="4"/>
  <c r="P20" i="4"/>
  <c r="P6" i="4"/>
  <c r="P23" i="4"/>
  <c r="P1491" i="4"/>
  <c r="P1492" i="4"/>
  <c r="P1493" i="4"/>
  <c r="P1494" i="4"/>
  <c r="P1495" i="4"/>
  <c r="P1496" i="4"/>
  <c r="P1497" i="4"/>
  <c r="P1498" i="4"/>
  <c r="P1499" i="4"/>
  <c r="P28" i="4"/>
  <c r="P1500" i="4"/>
  <c r="P1501" i="4"/>
  <c r="P1502" i="4"/>
  <c r="P1503" i="4"/>
  <c r="P1504" i="4"/>
  <c r="P1505" i="4"/>
  <c r="P1506" i="4"/>
  <c r="A131" i="4"/>
  <c r="A135" i="4"/>
  <c r="A139" i="4"/>
  <c r="A142" i="4"/>
  <c r="A146" i="4"/>
  <c r="A150" i="4"/>
  <c r="A154" i="4"/>
  <c r="A158" i="4"/>
  <c r="A162" i="4"/>
  <c r="A166" i="4"/>
  <c r="A170" i="4"/>
  <c r="A174" i="4"/>
  <c r="A178" i="4"/>
  <c r="A182" i="4"/>
  <c r="A186" i="4"/>
  <c r="A190" i="4"/>
  <c r="A194" i="4"/>
  <c r="A198" i="4"/>
  <c r="A202" i="4"/>
  <c r="A98" i="4"/>
  <c r="A209" i="4"/>
  <c r="A213" i="4"/>
  <c r="A217" i="4"/>
  <c r="A221" i="4"/>
  <c r="A225" i="4"/>
  <c r="A229" i="4"/>
  <c r="A233" i="4"/>
  <c r="A237" i="4"/>
  <c r="A241" i="4"/>
  <c r="A245" i="4"/>
  <c r="A249" i="4"/>
  <c r="A253" i="4"/>
  <c r="A257" i="4"/>
  <c r="A261" i="4"/>
  <c r="A264" i="4"/>
  <c r="A268" i="4"/>
  <c r="A272" i="4"/>
  <c r="A276" i="4"/>
  <c r="A279" i="4"/>
  <c r="A283" i="4"/>
  <c r="A287" i="4"/>
  <c r="A291" i="4"/>
  <c r="A295" i="4"/>
  <c r="A115" i="4"/>
  <c r="A302" i="4"/>
  <c r="A306" i="4"/>
  <c r="A310" i="4"/>
  <c r="A314" i="4"/>
  <c r="A318" i="4"/>
  <c r="A322" i="4"/>
  <c r="A326" i="4"/>
  <c r="A330" i="4"/>
  <c r="A333" i="4"/>
  <c r="A337" i="4"/>
  <c r="A341" i="4"/>
  <c r="A345" i="4"/>
  <c r="A349" i="4"/>
  <c r="A353" i="4"/>
  <c r="A357" i="4"/>
  <c r="A361" i="4"/>
  <c r="A365" i="4"/>
  <c r="A369" i="4"/>
  <c r="A373" i="4"/>
  <c r="A377" i="4"/>
  <c r="A381" i="4"/>
  <c r="A385" i="4"/>
  <c r="A389" i="4"/>
  <c r="A393" i="4"/>
  <c r="A397" i="4"/>
  <c r="A401" i="4"/>
  <c r="A405" i="4"/>
  <c r="A409" i="4"/>
  <c r="A413" i="4"/>
  <c r="A417" i="4"/>
  <c r="A421" i="4"/>
  <c r="A424" i="4"/>
  <c r="A428" i="4"/>
  <c r="A431" i="4"/>
  <c r="A435" i="4"/>
  <c r="A439" i="4"/>
  <c r="A443" i="4"/>
  <c r="A447" i="4"/>
  <c r="A451" i="4"/>
  <c r="A455" i="4"/>
  <c r="A459" i="4"/>
  <c r="A463" i="4"/>
  <c r="A467" i="4"/>
  <c r="A471" i="4"/>
  <c r="A475" i="4"/>
  <c r="A479" i="4"/>
  <c r="A483" i="4"/>
  <c r="A487" i="4"/>
  <c r="A491" i="4"/>
  <c r="A495" i="4"/>
  <c r="A499" i="4"/>
  <c r="A503" i="4"/>
  <c r="A507" i="4"/>
  <c r="A511" i="4"/>
  <c r="A515" i="4"/>
  <c r="A519" i="4"/>
  <c r="A523" i="4"/>
  <c r="A527" i="4"/>
  <c r="A531" i="4"/>
  <c r="A535" i="4"/>
  <c r="A539" i="4"/>
  <c r="A543" i="4"/>
  <c r="A547" i="4"/>
  <c r="A551" i="4"/>
  <c r="A555" i="4"/>
  <c r="A559" i="4"/>
  <c r="A563" i="4"/>
  <c r="A567" i="4"/>
  <c r="A571" i="4"/>
  <c r="A575" i="4"/>
  <c r="A579" i="4"/>
  <c r="A583" i="4"/>
  <c r="A587" i="4"/>
  <c r="A591" i="4"/>
  <c r="A595" i="4"/>
  <c r="A599" i="4"/>
  <c r="A603" i="4"/>
  <c r="A607" i="4"/>
  <c r="A611" i="4"/>
  <c r="A615" i="4"/>
  <c r="A619" i="4"/>
  <c r="A623" i="4"/>
  <c r="A624" i="4"/>
  <c r="A132" i="4"/>
  <c r="A136" i="4"/>
  <c r="A140" i="4"/>
  <c r="A143" i="4"/>
  <c r="A147" i="4"/>
  <c r="A151" i="4"/>
  <c r="A155" i="4"/>
  <c r="A159" i="4"/>
  <c r="A163" i="4"/>
  <c r="A167" i="4"/>
  <c r="A171" i="4"/>
  <c r="A175" i="4"/>
  <c r="A179" i="4"/>
  <c r="A183" i="4"/>
  <c r="A187" i="4"/>
  <c r="A191" i="4"/>
  <c r="A195" i="4"/>
  <c r="A199" i="4"/>
  <c r="A203" i="4"/>
  <c r="A206" i="4"/>
  <c r="A210" i="4"/>
  <c r="A214" i="4"/>
  <c r="A218" i="4"/>
  <c r="A222" i="4"/>
  <c r="A226" i="4"/>
  <c r="A230" i="4"/>
  <c r="A234" i="4"/>
  <c r="A238" i="4"/>
  <c r="A242" i="4"/>
  <c r="A246" i="4"/>
  <c r="A250" i="4"/>
  <c r="A254" i="4"/>
  <c r="A258" i="4"/>
  <c r="A262" i="4"/>
  <c r="A265" i="4"/>
  <c r="A269" i="4"/>
  <c r="A273" i="4"/>
  <c r="A277" i="4"/>
  <c r="A280" i="4"/>
  <c r="A284" i="4"/>
  <c r="A288" i="4"/>
  <c r="A292" i="4"/>
  <c r="A296" i="4"/>
  <c r="A299" i="4"/>
  <c r="A303" i="4"/>
  <c r="A307" i="4"/>
  <c r="A311" i="4"/>
  <c r="A315" i="4"/>
  <c r="A319" i="4"/>
  <c r="A323" i="4"/>
  <c r="A327" i="4"/>
  <c r="A331" i="4"/>
  <c r="A334" i="4"/>
  <c r="A338" i="4"/>
  <c r="A342" i="4"/>
  <c r="A346" i="4"/>
  <c r="A350" i="4"/>
  <c r="A354" i="4"/>
  <c r="A358" i="4"/>
  <c r="A362" i="4"/>
  <c r="A366" i="4"/>
  <c r="A370" i="4"/>
  <c r="A374" i="4"/>
  <c r="A378" i="4"/>
  <c r="A382" i="4"/>
  <c r="A386" i="4"/>
  <c r="A390" i="4"/>
  <c r="A394" i="4"/>
  <c r="A398" i="4"/>
  <c r="A402" i="4"/>
  <c r="A406" i="4"/>
  <c r="A410" i="4"/>
  <c r="A414" i="4"/>
  <c r="A418" i="4"/>
  <c r="A422" i="4"/>
  <c r="A425" i="4"/>
  <c r="A429" i="4"/>
  <c r="A432" i="4"/>
  <c r="A436" i="4"/>
  <c r="A440" i="4"/>
  <c r="A444" i="4"/>
  <c r="A448" i="4"/>
  <c r="A452" i="4"/>
  <c r="A456" i="4"/>
  <c r="A460" i="4"/>
  <c r="A464" i="4"/>
  <c r="A468" i="4"/>
  <c r="A472" i="4"/>
  <c r="A476" i="4"/>
  <c r="A480" i="4"/>
  <c r="A484" i="4"/>
  <c r="A488" i="4"/>
  <c r="A492" i="4"/>
  <c r="A496" i="4"/>
  <c r="A500" i="4"/>
  <c r="A504" i="4"/>
  <c r="A508" i="4"/>
  <c r="A512" i="4"/>
  <c r="A516" i="4"/>
  <c r="A520" i="4"/>
  <c r="A524" i="4"/>
  <c r="A528" i="4"/>
  <c r="A532" i="4"/>
  <c r="A536" i="4"/>
  <c r="A540" i="4"/>
  <c r="A544" i="4"/>
  <c r="A548" i="4"/>
  <c r="A552" i="4"/>
  <c r="A556" i="4"/>
  <c r="A560" i="4"/>
  <c r="A564" i="4"/>
  <c r="A568" i="4"/>
  <c r="A572" i="4"/>
  <c r="A576" i="4"/>
  <c r="A580" i="4"/>
  <c r="A584" i="4"/>
  <c r="A588" i="4"/>
  <c r="A592" i="4"/>
  <c r="A596" i="4"/>
  <c r="A600" i="4"/>
  <c r="A604" i="4"/>
  <c r="A608" i="4"/>
  <c r="A612" i="4"/>
  <c r="A616" i="4"/>
  <c r="A620" i="4"/>
  <c r="A78" i="4"/>
  <c r="A625" i="4"/>
  <c r="A133" i="4"/>
  <c r="A137" i="4"/>
  <c r="A111" i="4"/>
  <c r="A144" i="4"/>
  <c r="A148" i="4"/>
  <c r="A152" i="4"/>
  <c r="A156" i="4"/>
  <c r="A160" i="4"/>
  <c r="A164" i="4"/>
  <c r="A168" i="4"/>
  <c r="A172" i="4"/>
  <c r="A176" i="4"/>
  <c r="A180" i="4"/>
  <c r="A184" i="4"/>
  <c r="A188" i="4"/>
  <c r="A192" i="4"/>
  <c r="A196" i="4"/>
  <c r="A200" i="4"/>
  <c r="A204" i="4"/>
  <c r="A207" i="4"/>
  <c r="A211" i="4"/>
  <c r="A215" i="4"/>
  <c r="A219" i="4"/>
  <c r="A223" i="4"/>
  <c r="A227" i="4"/>
  <c r="A231" i="4"/>
  <c r="A235" i="4"/>
  <c r="A239" i="4"/>
  <c r="A243" i="4"/>
  <c r="A247" i="4"/>
  <c r="A251" i="4"/>
  <c r="A255" i="4"/>
  <c r="A259" i="4"/>
  <c r="A263" i="4"/>
  <c r="A266" i="4"/>
  <c r="A270" i="4"/>
  <c r="A274" i="4"/>
  <c r="A278" i="4"/>
  <c r="A281" i="4"/>
  <c r="A285" i="4"/>
  <c r="A289" i="4"/>
  <c r="A293" i="4"/>
  <c r="A297" i="4"/>
  <c r="A300" i="4"/>
  <c r="A304" i="4"/>
  <c r="A308" i="4"/>
  <c r="A312" i="4"/>
  <c r="A316" i="4"/>
  <c r="A320" i="4"/>
  <c r="A324" i="4"/>
  <c r="A328" i="4"/>
  <c r="A7" i="4"/>
  <c r="A335" i="4"/>
  <c r="A339" i="4"/>
  <c r="A343" i="4"/>
  <c r="A347" i="4"/>
  <c r="A351" i="4"/>
  <c r="A355" i="4"/>
  <c r="A359" i="4"/>
  <c r="A363" i="4"/>
  <c r="A367" i="4"/>
  <c r="A371" i="4"/>
  <c r="A375" i="4"/>
  <c r="A379" i="4"/>
  <c r="A383" i="4"/>
  <c r="A387" i="4"/>
  <c r="A391" i="4"/>
  <c r="A395" i="4"/>
  <c r="A399" i="4"/>
  <c r="A403" i="4"/>
  <c r="A407" i="4"/>
  <c r="A411" i="4"/>
  <c r="A415" i="4"/>
  <c r="A419" i="4"/>
  <c r="A92" i="4"/>
  <c r="A426" i="4"/>
  <c r="A430" i="4"/>
  <c r="A433" i="4"/>
  <c r="A437" i="4"/>
  <c r="A441" i="4"/>
  <c r="A445" i="4"/>
  <c r="A449" i="4"/>
  <c r="A453" i="4"/>
  <c r="A457" i="4"/>
  <c r="A461" i="4"/>
  <c r="A465" i="4"/>
  <c r="A469" i="4"/>
  <c r="A473" i="4"/>
  <c r="A477" i="4"/>
  <c r="A481" i="4"/>
  <c r="A485" i="4"/>
  <c r="A489" i="4"/>
  <c r="A493" i="4"/>
  <c r="A497" i="4"/>
  <c r="A501" i="4"/>
  <c r="A505" i="4"/>
  <c r="A509" i="4"/>
  <c r="A513" i="4"/>
  <c r="A517" i="4"/>
  <c r="A521" i="4"/>
  <c r="A525" i="4"/>
  <c r="A529" i="4"/>
  <c r="A533" i="4"/>
  <c r="A537" i="4"/>
  <c r="A541" i="4"/>
  <c r="A545" i="4"/>
  <c r="A549" i="4"/>
  <c r="A553" i="4"/>
  <c r="A557" i="4"/>
  <c r="A561" i="4"/>
  <c r="A565" i="4"/>
  <c r="A569" i="4"/>
  <c r="A573" i="4"/>
  <c r="A577" i="4"/>
  <c r="A581" i="4"/>
  <c r="A585" i="4"/>
  <c r="A589" i="4"/>
  <c r="A593" i="4"/>
  <c r="A597" i="4"/>
  <c r="A601" i="4"/>
  <c r="A605" i="4"/>
  <c r="A609" i="4"/>
  <c r="A613" i="4"/>
  <c r="A617" i="4"/>
  <c r="A621" i="4"/>
  <c r="A121" i="4"/>
  <c r="A626" i="4"/>
  <c r="A134" i="4"/>
  <c r="A149" i="4"/>
  <c r="A165" i="4"/>
  <c r="A181" i="4"/>
  <c r="A197" i="4"/>
  <c r="A212" i="4"/>
  <c r="A228" i="4"/>
  <c r="A244" i="4"/>
  <c r="A260" i="4"/>
  <c r="A275" i="4"/>
  <c r="A290" i="4"/>
  <c r="A305" i="4"/>
  <c r="A321" i="4"/>
  <c r="A336" i="4"/>
  <c r="A352" i="4"/>
  <c r="A368" i="4"/>
  <c r="A384" i="4"/>
  <c r="A400" i="4"/>
  <c r="A416" i="4"/>
  <c r="A63" i="4"/>
  <c r="A446" i="4"/>
  <c r="A462" i="4"/>
  <c r="A478" i="4"/>
  <c r="A494" i="4"/>
  <c r="A510" i="4"/>
  <c r="A526" i="4"/>
  <c r="A542" i="4"/>
  <c r="A558" i="4"/>
  <c r="A574" i="4"/>
  <c r="A590" i="4"/>
  <c r="A606" i="4"/>
  <c r="A622" i="4"/>
  <c r="A629" i="4"/>
  <c r="A632" i="4"/>
  <c r="A636" i="4"/>
  <c r="A640" i="4"/>
  <c r="A644" i="4"/>
  <c r="A648" i="4"/>
  <c r="A652" i="4"/>
  <c r="A656" i="4"/>
  <c r="A660" i="4"/>
  <c r="A86" i="4"/>
  <c r="A667" i="4"/>
  <c r="A671" i="4"/>
  <c r="A675" i="4"/>
  <c r="A679" i="4"/>
  <c r="A683" i="4"/>
  <c r="A687" i="4"/>
  <c r="A691" i="4"/>
  <c r="A694" i="4"/>
  <c r="A698" i="4"/>
  <c r="A702" i="4"/>
  <c r="A706" i="4"/>
  <c r="A710" i="4"/>
  <c r="A714" i="4"/>
  <c r="A718" i="4"/>
  <c r="A722" i="4"/>
  <c r="A726" i="4"/>
  <c r="A730" i="4"/>
  <c r="A734" i="4"/>
  <c r="A738" i="4"/>
  <c r="A742" i="4"/>
  <c r="A746" i="4"/>
  <c r="A750" i="4"/>
  <c r="A754" i="4"/>
  <c r="A758" i="4"/>
  <c r="A762" i="4"/>
  <c r="A766" i="4"/>
  <c r="A770" i="4"/>
  <c r="A774" i="4"/>
  <c r="A778" i="4"/>
  <c r="A782" i="4"/>
  <c r="A784" i="4"/>
  <c r="A788" i="4"/>
  <c r="A792" i="4"/>
  <c r="A796" i="4"/>
  <c r="A800" i="4"/>
  <c r="A804" i="4"/>
  <c r="A808" i="4"/>
  <c r="A812" i="4"/>
  <c r="A816" i="4"/>
  <c r="A820" i="4"/>
  <c r="A824" i="4"/>
  <c r="A828" i="4"/>
  <c r="A832" i="4"/>
  <c r="A836" i="4"/>
  <c r="A840" i="4"/>
  <c r="A844" i="4"/>
  <c r="A848" i="4"/>
  <c r="A852" i="4"/>
  <c r="A856" i="4"/>
  <c r="A860" i="4"/>
  <c r="A863" i="4"/>
  <c r="A867" i="4"/>
  <c r="A871" i="4"/>
  <c r="A875" i="4"/>
  <c r="A879" i="4"/>
  <c r="A883" i="4"/>
  <c r="A887" i="4"/>
  <c r="A891" i="4"/>
  <c r="A895" i="4"/>
  <c r="A899" i="4"/>
  <c r="A903" i="4"/>
  <c r="A907" i="4"/>
  <c r="A911" i="4"/>
  <c r="A915" i="4"/>
  <c r="A919" i="4"/>
  <c r="A923" i="4"/>
  <c r="A927" i="4"/>
  <c r="A931" i="4"/>
  <c r="A935" i="4"/>
  <c r="A939" i="4"/>
  <c r="A943" i="4"/>
  <c r="A947" i="4"/>
  <c r="A951" i="4"/>
  <c r="A955" i="4"/>
  <c r="A959" i="4"/>
  <c r="A963" i="4"/>
  <c r="A967" i="4"/>
  <c r="A971" i="4"/>
  <c r="A975" i="4"/>
  <c r="A979" i="4"/>
  <c r="A982" i="4"/>
  <c r="A986" i="4"/>
  <c r="A990" i="4"/>
  <c r="A994" i="4"/>
  <c r="A998" i="4"/>
  <c r="A1002" i="4"/>
  <c r="A138" i="4"/>
  <c r="A153" i="4"/>
  <c r="A169" i="4"/>
  <c r="A185" i="4"/>
  <c r="A201" i="4"/>
  <c r="A216" i="4"/>
  <c r="A232" i="4"/>
  <c r="A248" i="4"/>
  <c r="A71" i="4"/>
  <c r="A36" i="4"/>
  <c r="A294" i="4"/>
  <c r="A309" i="4"/>
  <c r="A325" i="4"/>
  <c r="A340" i="4"/>
  <c r="A356" i="4"/>
  <c r="A372" i="4"/>
  <c r="A388" i="4"/>
  <c r="A404" i="4"/>
  <c r="A420" i="4"/>
  <c r="A434" i="4"/>
  <c r="A450" i="4"/>
  <c r="A466" i="4"/>
  <c r="A482" i="4"/>
  <c r="A498" i="4"/>
  <c r="A514" i="4"/>
  <c r="A530" i="4"/>
  <c r="A546" i="4"/>
  <c r="A562" i="4"/>
  <c r="A578" i="4"/>
  <c r="A594" i="4"/>
  <c r="A610" i="4"/>
  <c r="A81" i="4"/>
  <c r="A630" i="4"/>
  <c r="A633" i="4"/>
  <c r="A637" i="4"/>
  <c r="A641" i="4"/>
  <c r="A645" i="4"/>
  <c r="A649" i="4"/>
  <c r="A653" i="4"/>
  <c r="A657" i="4"/>
  <c r="A661" i="4"/>
  <c r="A664" i="4"/>
  <c r="A668" i="4"/>
  <c r="A672" i="4"/>
  <c r="A676" i="4"/>
  <c r="A680" i="4"/>
  <c r="A684" i="4"/>
  <c r="A688" i="4"/>
  <c r="A692" i="4"/>
  <c r="A695" i="4"/>
  <c r="A699" i="4"/>
  <c r="A703" i="4"/>
  <c r="A707" i="4"/>
  <c r="A711" i="4"/>
  <c r="A715" i="4"/>
  <c r="A719" i="4"/>
  <c r="A723" i="4"/>
  <c r="A727" i="4"/>
  <c r="A731" i="4"/>
  <c r="A735" i="4"/>
  <c r="A739" i="4"/>
  <c r="A743" i="4"/>
  <c r="A747" i="4"/>
  <c r="A751" i="4"/>
  <c r="A755" i="4"/>
  <c r="A759" i="4"/>
  <c r="A763" i="4"/>
  <c r="A767" i="4"/>
  <c r="A771" i="4"/>
  <c r="A775" i="4"/>
  <c r="A779" i="4"/>
  <c r="A101" i="4"/>
  <c r="A785" i="4"/>
  <c r="A789" i="4"/>
  <c r="A793" i="4"/>
  <c r="A797" i="4"/>
  <c r="A801" i="4"/>
  <c r="A805" i="4"/>
  <c r="A809" i="4"/>
  <c r="A813" i="4"/>
  <c r="A817" i="4"/>
  <c r="A821" i="4"/>
  <c r="A825" i="4"/>
  <c r="A829" i="4"/>
  <c r="A833" i="4"/>
  <c r="A837" i="4"/>
  <c r="A841" i="4"/>
  <c r="A845" i="4"/>
  <c r="A849" i="4"/>
  <c r="A853" i="4"/>
  <c r="A857" i="4"/>
  <c r="A8" i="4"/>
  <c r="A864" i="4"/>
  <c r="A868" i="4"/>
  <c r="A872" i="4"/>
  <c r="A876" i="4"/>
  <c r="A880" i="4"/>
  <c r="A884" i="4"/>
  <c r="A888" i="4"/>
  <c r="A892" i="4"/>
  <c r="A896" i="4"/>
  <c r="A900" i="4"/>
  <c r="A904" i="4"/>
  <c r="A908" i="4"/>
  <c r="A912" i="4"/>
  <c r="A916" i="4"/>
  <c r="A920" i="4"/>
  <c r="A924" i="4"/>
  <c r="A928" i="4"/>
  <c r="A932" i="4"/>
  <c r="A936" i="4"/>
  <c r="A940" i="4"/>
  <c r="A944" i="4"/>
  <c r="A948" i="4"/>
  <c r="A952" i="4"/>
  <c r="A956" i="4"/>
  <c r="A960" i="4"/>
  <c r="A964" i="4"/>
  <c r="A968" i="4"/>
  <c r="A972" i="4"/>
  <c r="A976" i="4"/>
  <c r="A980" i="4"/>
  <c r="A983" i="4"/>
  <c r="A987" i="4"/>
  <c r="A991" i="4"/>
  <c r="A995" i="4"/>
  <c r="A999" i="4"/>
  <c r="A141" i="4"/>
  <c r="A157" i="4"/>
  <c r="A173" i="4"/>
  <c r="A189" i="4"/>
  <c r="A205" i="4"/>
  <c r="A220" i="4"/>
  <c r="A236" i="4"/>
  <c r="A252" i="4"/>
  <c r="A267" i="4"/>
  <c r="A282" i="4"/>
  <c r="A298" i="4"/>
  <c r="A313" i="4"/>
  <c r="A329" i="4"/>
  <c r="A344" i="4"/>
  <c r="A360" i="4"/>
  <c r="A376" i="4"/>
  <c r="A392" i="4"/>
  <c r="A408" i="4"/>
  <c r="A423" i="4"/>
  <c r="A438" i="4"/>
  <c r="A454" i="4"/>
  <c r="A470" i="4"/>
  <c r="A486" i="4"/>
  <c r="A502" i="4"/>
  <c r="A518" i="4"/>
  <c r="A534" i="4"/>
  <c r="A550" i="4"/>
  <c r="A566" i="4"/>
  <c r="A582" i="4"/>
  <c r="A598" i="4"/>
  <c r="A614" i="4"/>
  <c r="A627" i="4"/>
  <c r="A631" i="4"/>
  <c r="A634" i="4"/>
  <c r="A638" i="4"/>
  <c r="A642" i="4"/>
  <c r="A646" i="4"/>
  <c r="A650" i="4"/>
  <c r="A654" i="4"/>
  <c r="A658" i="4"/>
  <c r="A662" i="4"/>
  <c r="A665" i="4"/>
  <c r="A669" i="4"/>
  <c r="A673" i="4"/>
  <c r="A677" i="4"/>
  <c r="A681" i="4"/>
  <c r="A685" i="4"/>
  <c r="A689" i="4"/>
  <c r="A693" i="4"/>
  <c r="A696" i="4"/>
  <c r="A700" i="4"/>
  <c r="A704" i="4"/>
  <c r="A708" i="4"/>
  <c r="A712" i="4"/>
  <c r="A716" i="4"/>
  <c r="A720" i="4"/>
  <c r="A724" i="4"/>
  <c r="A728" i="4"/>
  <c r="A732" i="4"/>
  <c r="A736" i="4"/>
  <c r="A740" i="4"/>
  <c r="A744" i="4"/>
  <c r="A748" i="4"/>
  <c r="A752" i="4"/>
  <c r="A756" i="4"/>
  <c r="A760" i="4"/>
  <c r="A764" i="4"/>
  <c r="A768" i="4"/>
  <c r="A772" i="4"/>
  <c r="A776" i="4"/>
  <c r="A780" i="4"/>
  <c r="A39" i="4"/>
  <c r="A786" i="4"/>
  <c r="A790" i="4"/>
  <c r="A794" i="4"/>
  <c r="A798" i="4"/>
  <c r="A802" i="4"/>
  <c r="A806" i="4"/>
  <c r="A810" i="4"/>
  <c r="A814" i="4"/>
  <c r="A818" i="4"/>
  <c r="A822" i="4"/>
  <c r="A826" i="4"/>
  <c r="A830" i="4"/>
  <c r="A834" i="4"/>
  <c r="A838" i="4"/>
  <c r="A842" i="4"/>
  <c r="A846" i="4"/>
  <c r="A850" i="4"/>
  <c r="A854" i="4"/>
  <c r="A858" i="4"/>
  <c r="A861" i="4"/>
  <c r="A865" i="4"/>
  <c r="A869" i="4"/>
  <c r="A873" i="4"/>
  <c r="A877" i="4"/>
  <c r="A881" i="4"/>
  <c r="A885" i="4"/>
  <c r="A889" i="4"/>
  <c r="A893" i="4"/>
  <c r="A897" i="4"/>
  <c r="A901" i="4"/>
  <c r="A905" i="4"/>
  <c r="A909" i="4"/>
  <c r="A913" i="4"/>
  <c r="A917" i="4"/>
  <c r="A921" i="4"/>
  <c r="A925" i="4"/>
  <c r="A929" i="4"/>
  <c r="A933" i="4"/>
  <c r="A937" i="4"/>
  <c r="A941" i="4"/>
  <c r="A945" i="4"/>
  <c r="A949" i="4"/>
  <c r="A953" i="4"/>
  <c r="A957" i="4"/>
  <c r="A961" i="4"/>
  <c r="A965" i="4"/>
  <c r="A969" i="4"/>
  <c r="A973" i="4"/>
  <c r="A977" i="4"/>
  <c r="A102" i="4"/>
  <c r="A984" i="4"/>
  <c r="A988" i="4"/>
  <c r="A992" i="4"/>
  <c r="A996" i="4"/>
  <c r="A1000" i="4"/>
  <c r="A145" i="4"/>
  <c r="A208" i="4"/>
  <c r="A271" i="4"/>
  <c r="A332" i="4"/>
  <c r="A396" i="4"/>
  <c r="A458" i="4"/>
  <c r="A522" i="4"/>
  <c r="A586" i="4"/>
  <c r="A114" i="4"/>
  <c r="A647" i="4"/>
  <c r="A663" i="4"/>
  <c r="A678" i="4"/>
  <c r="A99" i="4"/>
  <c r="A709" i="4"/>
  <c r="A725" i="4"/>
  <c r="A741" i="4"/>
  <c r="A757" i="4"/>
  <c r="A773" i="4"/>
  <c r="A787" i="4"/>
  <c r="A803" i="4"/>
  <c r="A819" i="4"/>
  <c r="A835" i="4"/>
  <c r="A851" i="4"/>
  <c r="A866" i="4"/>
  <c r="A882" i="4"/>
  <c r="A898" i="4"/>
  <c r="A914" i="4"/>
  <c r="A930" i="4"/>
  <c r="A946" i="4"/>
  <c r="A962" i="4"/>
  <c r="A978" i="4"/>
  <c r="A993" i="4"/>
  <c r="A1004" i="4"/>
  <c r="A73" i="4"/>
  <c r="A1011" i="4"/>
  <c r="A1015" i="4"/>
  <c r="A1018" i="4"/>
  <c r="A1022" i="4"/>
  <c r="A1026" i="4"/>
  <c r="A1030" i="4"/>
  <c r="A1034" i="4"/>
  <c r="A1038" i="4"/>
  <c r="A1042" i="4"/>
  <c r="A1046" i="4"/>
  <c r="A1050" i="4"/>
  <c r="A1054" i="4"/>
  <c r="A1057" i="4"/>
  <c r="A1060" i="4"/>
  <c r="A1064" i="4"/>
  <c r="A1068" i="4"/>
  <c r="A1072" i="4"/>
  <c r="A1076" i="4"/>
  <c r="A1080" i="4"/>
  <c r="A1083" i="4"/>
  <c r="A55" i="4"/>
  <c r="A80" i="4"/>
  <c r="A1091" i="4"/>
  <c r="A1094" i="4"/>
  <c r="A1098" i="4"/>
  <c r="A1102" i="4"/>
  <c r="A1105" i="4"/>
  <c r="A1109" i="4"/>
  <c r="A1112" i="4"/>
  <c r="A1116" i="4"/>
  <c r="A1120" i="4"/>
  <c r="A82" i="4"/>
  <c r="A1127" i="4"/>
  <c r="A1131" i="4"/>
  <c r="A1135" i="4"/>
  <c r="A1139" i="4"/>
  <c r="A1142" i="4"/>
  <c r="A1145" i="4"/>
  <c r="A1149" i="4"/>
  <c r="A1153" i="4"/>
  <c r="A1157" i="4"/>
  <c r="A1161" i="4"/>
  <c r="A1165" i="4"/>
  <c r="A1169" i="4"/>
  <c r="A1173" i="4"/>
  <c r="A1177" i="4"/>
  <c r="A1181" i="4"/>
  <c r="A1185" i="4"/>
  <c r="A1189" i="4"/>
  <c r="A1193" i="4"/>
  <c r="A1197" i="4"/>
  <c r="A1201" i="4"/>
  <c r="A1205" i="4"/>
  <c r="A1209" i="4"/>
  <c r="A1212" i="4"/>
  <c r="A1216" i="4"/>
  <c r="A1220" i="4"/>
  <c r="A1224" i="4"/>
  <c r="A1228" i="4"/>
  <c r="A1232" i="4"/>
  <c r="A1235" i="4"/>
  <c r="A129" i="4"/>
  <c r="A1242" i="4"/>
  <c r="A1245" i="4"/>
  <c r="A1249" i="4"/>
  <c r="A1252" i="4"/>
  <c r="A1256" i="4"/>
  <c r="A1260" i="4"/>
  <c r="A123" i="4"/>
  <c r="A1267" i="4"/>
  <c r="A1271" i="4"/>
  <c r="A1275" i="4"/>
  <c r="A1277" i="4"/>
  <c r="A1280" i="4"/>
  <c r="A1283" i="4"/>
  <c r="A1287" i="4"/>
  <c r="A1288" i="4"/>
  <c r="A1291" i="4"/>
  <c r="A1295" i="4"/>
  <c r="A1299" i="4"/>
  <c r="A1303" i="4"/>
  <c r="A1307" i="4"/>
  <c r="A1311" i="4"/>
  <c r="A1315" i="4"/>
  <c r="A1319" i="4"/>
  <c r="A1323" i="4"/>
  <c r="A112" i="4"/>
  <c r="A1330" i="4"/>
  <c r="A1334" i="4"/>
  <c r="A1338" i="4"/>
  <c r="A1342" i="4"/>
  <c r="A1346" i="4"/>
  <c r="A1350" i="4"/>
  <c r="A1354" i="4"/>
  <c r="A1358" i="4"/>
  <c r="A1362" i="4"/>
  <c r="A1366" i="4"/>
  <c r="A1370" i="4"/>
  <c r="A1373" i="4"/>
  <c r="A1376" i="4"/>
  <c r="A1380" i="4"/>
  <c r="A1384" i="4"/>
  <c r="A1388" i="4"/>
  <c r="A1392" i="4"/>
  <c r="A1396" i="4"/>
  <c r="A1400" i="4"/>
  <c r="A1404" i="4"/>
  <c r="A1408" i="4"/>
  <c r="A1412" i="4"/>
  <c r="A1416" i="4"/>
  <c r="A1420" i="4"/>
  <c r="A124" i="4"/>
  <c r="A1427" i="4"/>
  <c r="A1430" i="4"/>
  <c r="A1433" i="4"/>
  <c r="A125" i="4"/>
  <c r="A1438" i="4"/>
  <c r="A88" i="4"/>
  <c r="A64" i="4"/>
  <c r="A1445" i="4"/>
  <c r="A1446" i="4"/>
  <c r="A31" i="4"/>
  <c r="A1450" i="4"/>
  <c r="A1453" i="4"/>
  <c r="A1456" i="4"/>
  <c r="A12" i="4"/>
  <c r="A1461" i="4"/>
  <c r="A1464" i="4"/>
  <c r="A1466" i="4"/>
  <c r="A1469" i="4"/>
  <c r="A1472" i="4"/>
  <c r="A1475" i="4"/>
  <c r="A32" i="4"/>
  <c r="A53" i="4"/>
  <c r="A1477" i="4"/>
  <c r="A34" i="4"/>
  <c r="A1481" i="4"/>
  <c r="A1484" i="4"/>
  <c r="A59" i="4"/>
  <c r="A1487" i="4"/>
  <c r="A60" i="4"/>
  <c r="A41" i="4"/>
  <c r="A110" i="4"/>
  <c r="A24" i="4"/>
  <c r="A61" i="4"/>
  <c r="A70" i="4"/>
  <c r="A23" i="4"/>
  <c r="A1494" i="4"/>
  <c r="A1498" i="4"/>
  <c r="A1501" i="4"/>
  <c r="A1505" i="4"/>
  <c r="G133" i="4"/>
  <c r="G137" i="4"/>
  <c r="G111" i="4"/>
  <c r="G144" i="4"/>
  <c r="G148" i="4"/>
  <c r="G152" i="4"/>
  <c r="G156" i="4"/>
  <c r="G160" i="4"/>
  <c r="G164" i="4"/>
  <c r="G168" i="4"/>
  <c r="G172" i="4"/>
  <c r="G176" i="4"/>
  <c r="G180" i="4"/>
  <c r="G184" i="4"/>
  <c r="G188" i="4"/>
  <c r="G192" i="4"/>
  <c r="G196" i="4"/>
  <c r="G200" i="4"/>
  <c r="G204" i="4"/>
  <c r="G207" i="4"/>
  <c r="G211" i="4"/>
  <c r="G215" i="4"/>
  <c r="G219" i="4"/>
  <c r="G223" i="4"/>
  <c r="G227" i="4"/>
  <c r="G231" i="4"/>
  <c r="G235" i="4"/>
  <c r="G239" i="4"/>
  <c r="G243" i="4"/>
  <c r="G247" i="4"/>
  <c r="G251" i="4"/>
  <c r="G255" i="4"/>
  <c r="G259" i="4"/>
  <c r="G263" i="4"/>
  <c r="G266" i="4"/>
  <c r="G270" i="4"/>
  <c r="G274" i="4"/>
  <c r="G278" i="4"/>
  <c r="G281" i="4"/>
  <c r="G285" i="4"/>
  <c r="G289" i="4"/>
  <c r="G293" i="4"/>
  <c r="G297" i="4"/>
  <c r="G300" i="4"/>
  <c r="G304" i="4"/>
  <c r="G308" i="4"/>
  <c r="G312" i="4"/>
  <c r="G316" i="4"/>
  <c r="G320" i="4"/>
  <c r="G324" i="4"/>
  <c r="G328" i="4"/>
  <c r="G7" i="4"/>
  <c r="G335" i="4"/>
  <c r="G339" i="4"/>
  <c r="G343" i="4"/>
  <c r="G347" i="4"/>
  <c r="G351" i="4"/>
  <c r="G355" i="4"/>
  <c r="G359" i="4"/>
  <c r="G363" i="4"/>
  <c r="G367" i="4"/>
  <c r="G371" i="4"/>
  <c r="G375" i="4"/>
  <c r="G379" i="4"/>
  <c r="G383" i="4"/>
  <c r="G387" i="4"/>
  <c r="G391" i="4"/>
  <c r="G395" i="4"/>
  <c r="G399" i="4"/>
  <c r="G403" i="4"/>
  <c r="A161" i="4"/>
  <c r="A224" i="4"/>
  <c r="A286" i="4"/>
  <c r="A348" i="4"/>
  <c r="A412" i="4"/>
  <c r="A474" i="4"/>
  <c r="A538" i="4"/>
  <c r="A602" i="4"/>
  <c r="A635" i="4"/>
  <c r="A651" i="4"/>
  <c r="A666" i="4"/>
  <c r="A682" i="4"/>
  <c r="A697" i="4"/>
  <c r="A713" i="4"/>
  <c r="A729" i="4"/>
  <c r="A745" i="4"/>
  <c r="A761" i="4"/>
  <c r="A777" i="4"/>
  <c r="A791" i="4"/>
  <c r="A807" i="4"/>
  <c r="A823" i="4"/>
  <c r="A839" i="4"/>
  <c r="A855" i="4"/>
  <c r="A870" i="4"/>
  <c r="A886" i="4"/>
  <c r="A902" i="4"/>
  <c r="A918" i="4"/>
  <c r="A934" i="4"/>
  <c r="A950" i="4"/>
  <c r="A966" i="4"/>
  <c r="A981" i="4"/>
  <c r="A997" i="4"/>
  <c r="A1005" i="4"/>
  <c r="A1008" i="4"/>
  <c r="A1012" i="4"/>
  <c r="A1016" i="4"/>
  <c r="A1019" i="4"/>
  <c r="A1023" i="4"/>
  <c r="A1027" i="4"/>
  <c r="A1031" i="4"/>
  <c r="A1035" i="4"/>
  <c r="A1039" i="4"/>
  <c r="A1043" i="4"/>
  <c r="A1047" i="4"/>
  <c r="A1051" i="4"/>
  <c r="A1055" i="4"/>
  <c r="A68" i="4"/>
  <c r="A1061" i="4"/>
  <c r="A1065" i="4"/>
  <c r="A1069" i="4"/>
  <c r="A1073" i="4"/>
  <c r="A1077" i="4"/>
  <c r="A1081" i="4"/>
  <c r="A51" i="4"/>
  <c r="A1085" i="4"/>
  <c r="A1088" i="4"/>
  <c r="A72" i="4"/>
  <c r="A1095" i="4"/>
  <c r="A1099" i="4"/>
  <c r="A1103" i="4"/>
  <c r="A1106" i="4"/>
  <c r="A1110" i="4"/>
  <c r="A1113" i="4"/>
  <c r="A1117" i="4"/>
  <c r="A1121" i="4"/>
  <c r="A1124" i="4"/>
  <c r="A1128" i="4"/>
  <c r="A1132" i="4"/>
  <c r="A1136" i="4"/>
  <c r="A1140" i="4"/>
  <c r="A47" i="4"/>
  <c r="A1146" i="4"/>
  <c r="A1150" i="4"/>
  <c r="A1154" i="4"/>
  <c r="A1158" i="4"/>
  <c r="A1162" i="4"/>
  <c r="A1166" i="4"/>
  <c r="A1170" i="4"/>
  <c r="A1174" i="4"/>
  <c r="A1178" i="4"/>
  <c r="A1182" i="4"/>
  <c r="A1186" i="4"/>
  <c r="A1190" i="4"/>
  <c r="A1194" i="4"/>
  <c r="A1198" i="4"/>
  <c r="A1202" i="4"/>
  <c r="A1206" i="4"/>
  <c r="A58" i="4"/>
  <c r="A1213" i="4"/>
  <c r="A1217" i="4"/>
  <c r="A1221" i="4"/>
  <c r="A1225" i="4"/>
  <c r="A1229" i="4"/>
  <c r="A1233" i="4"/>
  <c r="A1236" i="4"/>
  <c r="A1239" i="4"/>
  <c r="A1243" i="4"/>
  <c r="A1246" i="4"/>
  <c r="A1250" i="4"/>
  <c r="A1253" i="4"/>
  <c r="A1257" i="4"/>
  <c r="A1261" i="4"/>
  <c r="A1264" i="4"/>
  <c r="A1268" i="4"/>
  <c r="A1272" i="4"/>
  <c r="A48" i="4"/>
  <c r="A93" i="4"/>
  <c r="A1281" i="4"/>
  <c r="A1284" i="4"/>
  <c r="A119" i="4"/>
  <c r="A103" i="4"/>
  <c r="A1292" i="4"/>
  <c r="A1296" i="4"/>
  <c r="A1300" i="4"/>
  <c r="A1304" i="4"/>
  <c r="A1308" i="4"/>
  <c r="A1312" i="4"/>
  <c r="A1316" i="4"/>
  <c r="A1320" i="4"/>
  <c r="A1324" i="4"/>
  <c r="A1327" i="4"/>
  <c r="A1331" i="4"/>
  <c r="A1335" i="4"/>
  <c r="A1339" i="4"/>
  <c r="A1343" i="4"/>
  <c r="A1347" i="4"/>
  <c r="A1351" i="4"/>
  <c r="A1355" i="4"/>
  <c r="A1359" i="4"/>
  <c r="A1363" i="4"/>
  <c r="A1367" i="4"/>
  <c r="A117" i="4"/>
  <c r="A96" i="4"/>
  <c r="A1377" i="4"/>
  <c r="A1381" i="4"/>
  <c r="A1385" i="4"/>
  <c r="A1389" i="4"/>
  <c r="A1393" i="4"/>
  <c r="A1397" i="4"/>
  <c r="A1401" i="4"/>
  <c r="A1405" i="4"/>
  <c r="A1409" i="4"/>
  <c r="A1413" i="4"/>
  <c r="A1417" i="4"/>
  <c r="A1421" i="4"/>
  <c r="A1424" i="4"/>
  <c r="A1428" i="4"/>
  <c r="A1431" i="4"/>
  <c r="A1434" i="4"/>
  <c r="A1436" i="4"/>
  <c r="A52" i="4"/>
  <c r="A1440" i="4"/>
  <c r="A42" i="4"/>
  <c r="A43" i="4"/>
  <c r="A120" i="4"/>
  <c r="A91" i="4"/>
  <c r="A1451" i="4"/>
  <c r="A1454" i="4"/>
  <c r="A1457" i="4"/>
  <c r="A18" i="4"/>
  <c r="A25" i="4"/>
  <c r="A128" i="4"/>
  <c r="A1467" i="4"/>
  <c r="A1470" i="4"/>
  <c r="A19" i="4"/>
  <c r="A13" i="4"/>
  <c r="A126" i="4"/>
  <c r="A105" i="4"/>
  <c r="A14" i="4"/>
  <c r="A40" i="4"/>
  <c r="A1482" i="4"/>
  <c r="A27" i="4"/>
  <c r="A1486" i="4"/>
  <c r="A33" i="4"/>
  <c r="A95" i="4"/>
  <c r="A38" i="4"/>
  <c r="A1489" i="4"/>
  <c r="A108" i="4"/>
  <c r="A46" i="4"/>
  <c r="A85" i="4"/>
  <c r="A1491" i="4"/>
  <c r="A1495" i="4"/>
  <c r="A1499" i="4"/>
  <c r="A1502" i="4"/>
  <c r="A1506" i="4"/>
  <c r="G134" i="4"/>
  <c r="G138" i="4"/>
  <c r="G141" i="4"/>
  <c r="G145" i="4"/>
  <c r="G149" i="4"/>
  <c r="G153" i="4"/>
  <c r="G157" i="4"/>
  <c r="G161" i="4"/>
  <c r="G165" i="4"/>
  <c r="G169" i="4"/>
  <c r="G173" i="4"/>
  <c r="G177" i="4"/>
  <c r="G181" i="4"/>
  <c r="G185" i="4"/>
  <c r="G189" i="4"/>
  <c r="G193" i="4"/>
  <c r="G197" i="4"/>
  <c r="G201" i="4"/>
  <c r="G205" i="4"/>
  <c r="G208" i="4"/>
  <c r="G212" i="4"/>
  <c r="G216" i="4"/>
  <c r="G220" i="4"/>
  <c r="G224" i="4"/>
  <c r="G228" i="4"/>
  <c r="G232" i="4"/>
  <c r="G236" i="4"/>
  <c r="G240" i="4"/>
  <c r="G244" i="4"/>
  <c r="G248" i="4"/>
  <c r="G252" i="4"/>
  <c r="G256" i="4"/>
  <c r="G260" i="4"/>
  <c r="G71" i="4"/>
  <c r="G267" i="4"/>
  <c r="G271" i="4"/>
  <c r="G275" i="4"/>
  <c r="G36" i="4"/>
  <c r="G282" i="4"/>
  <c r="G286" i="4"/>
  <c r="G290" i="4"/>
  <c r="G294" i="4"/>
  <c r="G298" i="4"/>
  <c r="G301" i="4"/>
  <c r="G305" i="4"/>
  <c r="G309" i="4"/>
  <c r="G313" i="4"/>
  <c r="G317" i="4"/>
  <c r="G321" i="4"/>
  <c r="G325" i="4"/>
  <c r="G329" i="4"/>
  <c r="G332" i="4"/>
  <c r="G336" i="4"/>
  <c r="G340" i="4"/>
  <c r="G344" i="4"/>
  <c r="G348" i="4"/>
  <c r="G352" i="4"/>
  <c r="G356" i="4"/>
  <c r="G360" i="4"/>
  <c r="G364" i="4"/>
  <c r="G368" i="4"/>
  <c r="G372" i="4"/>
  <c r="G376" i="4"/>
  <c r="G380" i="4"/>
  <c r="G384" i="4"/>
  <c r="G388" i="4"/>
  <c r="G392" i="4"/>
  <c r="G396" i="4"/>
  <c r="G400" i="4"/>
  <c r="G404" i="4"/>
  <c r="A177" i="4"/>
  <c r="A240" i="4"/>
  <c r="A301" i="4"/>
  <c r="A364" i="4"/>
  <c r="A427" i="4"/>
  <c r="A490" i="4"/>
  <c r="A554" i="4"/>
  <c r="A618" i="4"/>
  <c r="A639" i="4"/>
  <c r="A655" i="4"/>
  <c r="A670" i="4"/>
  <c r="A686" i="4"/>
  <c r="A701" i="4"/>
  <c r="A717" i="4"/>
  <c r="A733" i="4"/>
  <c r="A749" i="4"/>
  <c r="A765" i="4"/>
  <c r="A781" i="4"/>
  <c r="A795" i="4"/>
  <c r="A811" i="4"/>
  <c r="A827" i="4"/>
  <c r="A843" i="4"/>
  <c r="A859" i="4"/>
  <c r="A874" i="4"/>
  <c r="A890" i="4"/>
  <c r="A906" i="4"/>
  <c r="A922" i="4"/>
  <c r="A938" i="4"/>
  <c r="A954" i="4"/>
  <c r="A970" i="4"/>
  <c r="A985" i="4"/>
  <c r="A1001" i="4"/>
  <c r="A1006" i="4"/>
  <c r="A1009" i="4"/>
  <c r="A1013" i="4"/>
  <c r="A62" i="4"/>
  <c r="A1020" i="4"/>
  <c r="A1024" i="4"/>
  <c r="A1028" i="4"/>
  <c r="A1032" i="4"/>
  <c r="A1036" i="4"/>
  <c r="A1040" i="4"/>
  <c r="A1044" i="4"/>
  <c r="A1048" i="4"/>
  <c r="A1052" i="4"/>
  <c r="A1056" i="4"/>
  <c r="A1058" i="4"/>
  <c r="A1062" i="4"/>
  <c r="A1066" i="4"/>
  <c r="A1070" i="4"/>
  <c r="A1074" i="4"/>
  <c r="A1078" i="4"/>
  <c r="A84" i="4"/>
  <c r="A1084" i="4"/>
  <c r="A1086" i="4"/>
  <c r="A1089" i="4"/>
  <c r="A1092" i="4"/>
  <c r="A1096" i="4"/>
  <c r="A1100" i="4"/>
  <c r="A1104" i="4"/>
  <c r="A1107" i="4"/>
  <c r="A1111" i="4"/>
  <c r="A1114" i="4"/>
  <c r="A1118" i="4"/>
  <c r="A1122" i="4"/>
  <c r="A1125" i="4"/>
  <c r="A1129" i="4"/>
  <c r="A1133" i="4"/>
  <c r="A1137" i="4"/>
  <c r="A1141" i="4"/>
  <c r="A1143" i="4"/>
  <c r="A1147" i="4"/>
  <c r="A1151" i="4"/>
  <c r="A1155" i="4"/>
  <c r="A1159" i="4"/>
  <c r="A1163" i="4"/>
  <c r="A1167" i="4"/>
  <c r="A1171" i="4"/>
  <c r="A1175" i="4"/>
  <c r="A1179" i="4"/>
  <c r="A1183" i="4"/>
  <c r="A1187" i="4"/>
  <c r="A1191" i="4"/>
  <c r="A1195" i="4"/>
  <c r="A1199" i="4"/>
  <c r="A1203" i="4"/>
  <c r="A1207" i="4"/>
  <c r="A1210" i="4"/>
  <c r="A1214" i="4"/>
  <c r="A1218" i="4"/>
  <c r="A1222" i="4"/>
  <c r="A1226" i="4"/>
  <c r="A1230" i="4"/>
  <c r="A74" i="4"/>
  <c r="A1237" i="4"/>
  <c r="A1240" i="4"/>
  <c r="A1244" i="4"/>
  <c r="A1247" i="4"/>
  <c r="A107" i="4"/>
  <c r="A1254" i="4"/>
  <c r="A1258" i="4"/>
  <c r="A1262" i="4"/>
  <c r="A1265" i="4"/>
  <c r="A1269" i="4"/>
  <c r="A1273" i="4"/>
  <c r="A50" i="4"/>
  <c r="A1278" i="4"/>
  <c r="A1282" i="4"/>
  <c r="A1285" i="4"/>
  <c r="A69" i="4"/>
  <c r="A1289" i="4"/>
  <c r="A1293" i="4"/>
  <c r="A1297" i="4"/>
  <c r="A1301" i="4"/>
  <c r="A1305" i="4"/>
  <c r="A1309" i="4"/>
  <c r="A1313" i="4"/>
  <c r="A1317" i="4"/>
  <c r="A1321" i="4"/>
  <c r="A1325" i="4"/>
  <c r="A1328" i="4"/>
  <c r="A1332" i="4"/>
  <c r="A1336" i="4"/>
  <c r="A1340" i="4"/>
  <c r="A1344" i="4"/>
  <c r="A1348" i="4"/>
  <c r="A1352" i="4"/>
  <c r="A1356" i="4"/>
  <c r="A1360" i="4"/>
  <c r="A1364" i="4"/>
  <c r="A1368" i="4"/>
  <c r="A1371" i="4"/>
  <c r="A1374" i="4"/>
  <c r="A1378" i="4"/>
  <c r="A1382" i="4"/>
  <c r="A1386" i="4"/>
  <c r="A1390" i="4"/>
  <c r="A1394" i="4"/>
  <c r="A1398" i="4"/>
  <c r="A1402" i="4"/>
  <c r="A1406" i="4"/>
  <c r="A1410" i="4"/>
  <c r="A1414" i="4"/>
  <c r="A1418" i="4"/>
  <c r="A1422" i="4"/>
  <c r="A1425" i="4"/>
  <c r="A1429" i="4"/>
  <c r="A15" i="4"/>
  <c r="A1435" i="4"/>
  <c r="A1437" i="4"/>
  <c r="A1439" i="4"/>
  <c r="A1441" i="4"/>
  <c r="A1443" i="4"/>
  <c r="A116" i="4"/>
  <c r="A122" i="4"/>
  <c r="A1448" i="4"/>
  <c r="A97" i="4"/>
  <c r="A1455" i="4"/>
  <c r="A1458" i="4"/>
  <c r="A65" i="4"/>
  <c r="A1462" i="4"/>
  <c r="A1465" i="4"/>
  <c r="A75" i="4"/>
  <c r="A1471" i="4"/>
  <c r="A1473" i="4"/>
  <c r="A77" i="4"/>
  <c r="A130" i="4"/>
  <c r="A56" i="4"/>
  <c r="A26" i="4"/>
  <c r="A1479" i="4"/>
  <c r="A49" i="4"/>
  <c r="A54" i="4"/>
  <c r="A30" i="4"/>
  <c r="A90" i="4"/>
  <c r="A76" i="4"/>
  <c r="A1488" i="4"/>
  <c r="A1490" i="4"/>
  <c r="A57" i="4"/>
  <c r="A67" i="4"/>
  <c r="A20" i="4"/>
  <c r="A1492" i="4"/>
  <c r="A1496" i="4"/>
  <c r="A28" i="4"/>
  <c r="A1503" i="4"/>
  <c r="G131" i="4"/>
  <c r="G135" i="4"/>
  <c r="G139" i="4"/>
  <c r="G142" i="4"/>
  <c r="G146" i="4"/>
  <c r="G150" i="4"/>
  <c r="G154" i="4"/>
  <c r="G158" i="4"/>
  <c r="G162" i="4"/>
  <c r="G166" i="4"/>
  <c r="G170" i="4"/>
  <c r="G174" i="4"/>
  <c r="G178" i="4"/>
  <c r="G182" i="4"/>
  <c r="G186" i="4"/>
  <c r="G190" i="4"/>
  <c r="G194" i="4"/>
  <c r="G198" i="4"/>
  <c r="G202" i="4"/>
  <c r="G98" i="4"/>
  <c r="G209" i="4"/>
  <c r="G213" i="4"/>
  <c r="G217" i="4"/>
  <c r="G221" i="4"/>
  <c r="G225" i="4"/>
  <c r="G229" i="4"/>
  <c r="G233" i="4"/>
  <c r="G237" i="4"/>
  <c r="G241" i="4"/>
  <c r="G245" i="4"/>
  <c r="G249" i="4"/>
  <c r="G253" i="4"/>
  <c r="G257" i="4"/>
  <c r="G261" i="4"/>
  <c r="G264" i="4"/>
  <c r="G268" i="4"/>
  <c r="G272" i="4"/>
  <c r="G276" i="4"/>
  <c r="G279" i="4"/>
  <c r="G283" i="4"/>
  <c r="G287" i="4"/>
  <c r="G291" i="4"/>
  <c r="G295" i="4"/>
  <c r="G115" i="4"/>
  <c r="G302" i="4"/>
  <c r="G306" i="4"/>
  <c r="G310" i="4"/>
  <c r="G314" i="4"/>
  <c r="G318" i="4"/>
  <c r="G322" i="4"/>
  <c r="G326" i="4"/>
  <c r="G330" i="4"/>
  <c r="G333" i="4"/>
  <c r="G337" i="4"/>
  <c r="G341" i="4"/>
  <c r="G345" i="4"/>
  <c r="G349" i="4"/>
  <c r="G353" i="4"/>
  <c r="G357" i="4"/>
  <c r="G361" i="4"/>
  <c r="G365" i="4"/>
  <c r="G369" i="4"/>
  <c r="G373" i="4"/>
  <c r="G377" i="4"/>
  <c r="G381" i="4"/>
  <c r="G385" i="4"/>
  <c r="G389" i="4"/>
  <c r="G393" i="4"/>
  <c r="G397" i="4"/>
  <c r="G401" i="4"/>
  <c r="A193" i="4"/>
  <c r="A442" i="4"/>
  <c r="A643" i="4"/>
  <c r="A705" i="4"/>
  <c r="A769" i="4"/>
  <c r="A831" i="4"/>
  <c r="A894" i="4"/>
  <c r="A958" i="4"/>
  <c r="A1007" i="4"/>
  <c r="A1021" i="4"/>
  <c r="A1037" i="4"/>
  <c r="A1053" i="4"/>
  <c r="A1067" i="4"/>
  <c r="A1082" i="4"/>
  <c r="A1093" i="4"/>
  <c r="A1108" i="4"/>
  <c r="A1123" i="4"/>
  <c r="A1138" i="4"/>
  <c r="A1152" i="4"/>
  <c r="A1168" i="4"/>
  <c r="A1184" i="4"/>
  <c r="A1200" i="4"/>
  <c r="A1215" i="4"/>
  <c r="A1231" i="4"/>
  <c r="A109" i="4"/>
  <c r="A1259" i="4"/>
  <c r="A1274" i="4"/>
  <c r="A1286" i="4"/>
  <c r="A1298" i="4"/>
  <c r="A1314" i="4"/>
  <c r="A1329" i="4"/>
  <c r="A1345" i="4"/>
  <c r="A1361" i="4"/>
  <c r="A1375" i="4"/>
  <c r="A1391" i="4"/>
  <c r="A1407" i="4"/>
  <c r="A1423" i="4"/>
  <c r="A127" i="4"/>
  <c r="A1444" i="4"/>
  <c r="A1452" i="4"/>
  <c r="A1463" i="4"/>
  <c r="A1474" i="4"/>
  <c r="A1478" i="4"/>
  <c r="A79" i="4"/>
  <c r="A45" i="4"/>
  <c r="A1493" i="4"/>
  <c r="G132" i="4"/>
  <c r="G147" i="4"/>
  <c r="G163" i="4"/>
  <c r="G179" i="4"/>
  <c r="G195" i="4"/>
  <c r="G210" i="4"/>
  <c r="G226" i="4"/>
  <c r="G242" i="4"/>
  <c r="G258" i="4"/>
  <c r="G273" i="4"/>
  <c r="G288" i="4"/>
  <c r="G303" i="4"/>
  <c r="G319" i="4"/>
  <c r="G334" i="4"/>
  <c r="G350" i="4"/>
  <c r="G366" i="4"/>
  <c r="G382" i="4"/>
  <c r="G398" i="4"/>
  <c r="G407" i="4"/>
  <c r="G411" i="4"/>
  <c r="G415" i="4"/>
  <c r="G419" i="4"/>
  <c r="G92" i="4"/>
  <c r="G426" i="4"/>
  <c r="G430" i="4"/>
  <c r="G433" i="4"/>
  <c r="G437" i="4"/>
  <c r="G441" i="4"/>
  <c r="G445" i="4"/>
  <c r="G449" i="4"/>
  <c r="G453" i="4"/>
  <c r="G457" i="4"/>
  <c r="G461" i="4"/>
  <c r="G465" i="4"/>
  <c r="G469" i="4"/>
  <c r="G473" i="4"/>
  <c r="G477" i="4"/>
  <c r="G481" i="4"/>
  <c r="G485" i="4"/>
  <c r="G489" i="4"/>
  <c r="G493" i="4"/>
  <c r="G497" i="4"/>
  <c r="G501" i="4"/>
  <c r="G505" i="4"/>
  <c r="G509" i="4"/>
  <c r="G513" i="4"/>
  <c r="G517" i="4"/>
  <c r="G521" i="4"/>
  <c r="G525" i="4"/>
  <c r="G529" i="4"/>
  <c r="G533" i="4"/>
  <c r="G537" i="4"/>
  <c r="G541" i="4"/>
  <c r="G545" i="4"/>
  <c r="G549" i="4"/>
  <c r="G553" i="4"/>
  <c r="G557" i="4"/>
  <c r="G561" i="4"/>
  <c r="G565" i="4"/>
  <c r="G569" i="4"/>
  <c r="G573" i="4"/>
  <c r="G577" i="4"/>
  <c r="G581" i="4"/>
  <c r="G585" i="4"/>
  <c r="G589" i="4"/>
  <c r="G593" i="4"/>
  <c r="G597" i="4"/>
  <c r="G601" i="4"/>
  <c r="G605" i="4"/>
  <c r="G609" i="4"/>
  <c r="G613" i="4"/>
  <c r="G617" i="4"/>
  <c r="G621" i="4"/>
  <c r="G121" i="4"/>
  <c r="G626" i="4"/>
  <c r="G630" i="4"/>
  <c r="A256" i="4"/>
  <c r="A506" i="4"/>
  <c r="A659" i="4"/>
  <c r="A721" i="4"/>
  <c r="A783" i="4"/>
  <c r="A847" i="4"/>
  <c r="A910" i="4"/>
  <c r="A974" i="4"/>
  <c r="A1010" i="4"/>
  <c r="A1025" i="4"/>
  <c r="A1041" i="4"/>
  <c r="A9" i="4"/>
  <c r="A1071" i="4"/>
  <c r="A16" i="4"/>
  <c r="A1097" i="4"/>
  <c r="A89" i="4"/>
  <c r="A1126" i="4"/>
  <c r="A106" i="4"/>
  <c r="A1156" i="4"/>
  <c r="A1172" i="4"/>
  <c r="A1188" i="4"/>
  <c r="A1204" i="4"/>
  <c r="A1219" i="4"/>
  <c r="A1234" i="4"/>
  <c r="A1248" i="4"/>
  <c r="A1263" i="4"/>
  <c r="A1276" i="4"/>
  <c r="A94" i="4"/>
  <c r="A1302" i="4"/>
  <c r="A1318" i="4"/>
  <c r="A1333" i="4"/>
  <c r="A1349" i="4"/>
  <c r="A1365" i="4"/>
  <c r="A1379" i="4"/>
  <c r="A1395" i="4"/>
  <c r="A1411" i="4"/>
  <c r="A1426" i="4"/>
  <c r="A87" i="4"/>
  <c r="A118" i="4"/>
  <c r="A104" i="4"/>
  <c r="A35" i="4"/>
  <c r="A1476" i="4"/>
  <c r="A1480" i="4"/>
  <c r="A113" i="4"/>
  <c r="A83" i="4"/>
  <c r="A1497" i="4"/>
  <c r="G136" i="4"/>
  <c r="G151" i="4"/>
  <c r="G167" i="4"/>
  <c r="G183" i="4"/>
  <c r="G199" i="4"/>
  <c r="G214" i="4"/>
  <c r="G230" i="4"/>
  <c r="G246" i="4"/>
  <c r="G262" i="4"/>
  <c r="G277" i="4"/>
  <c r="G292" i="4"/>
  <c r="G307" i="4"/>
  <c r="G323" i="4"/>
  <c r="G338" i="4"/>
  <c r="G354" i="4"/>
  <c r="G370" i="4"/>
  <c r="G386" i="4"/>
  <c r="G402" i="4"/>
  <c r="G408" i="4"/>
  <c r="G412" i="4"/>
  <c r="G416" i="4"/>
  <c r="G420" i="4"/>
  <c r="G423" i="4"/>
  <c r="G427" i="4"/>
  <c r="G63" i="4"/>
  <c r="G434" i="4"/>
  <c r="G438" i="4"/>
  <c r="G442" i="4"/>
  <c r="G446" i="4"/>
  <c r="G450" i="4"/>
  <c r="G454" i="4"/>
  <c r="G458" i="4"/>
  <c r="G462" i="4"/>
  <c r="G466" i="4"/>
  <c r="G470" i="4"/>
  <c r="G474" i="4"/>
  <c r="G478" i="4"/>
  <c r="G482" i="4"/>
  <c r="G486" i="4"/>
  <c r="G490" i="4"/>
  <c r="G494" i="4"/>
  <c r="G498" i="4"/>
  <c r="G502" i="4"/>
  <c r="G506" i="4"/>
  <c r="G510" i="4"/>
  <c r="G514" i="4"/>
  <c r="G518" i="4"/>
  <c r="G522" i="4"/>
  <c r="G526" i="4"/>
  <c r="G530" i="4"/>
  <c r="G534" i="4"/>
  <c r="G538" i="4"/>
  <c r="G542" i="4"/>
  <c r="G546" i="4"/>
  <c r="G550" i="4"/>
  <c r="G554" i="4"/>
  <c r="G558" i="4"/>
  <c r="G562" i="4"/>
  <c r="G566" i="4"/>
  <c r="G570" i="4"/>
  <c r="G574" i="4"/>
  <c r="G578" i="4"/>
  <c r="G582" i="4"/>
  <c r="A380" i="4"/>
  <c r="A628" i="4"/>
  <c r="A690" i="4"/>
  <c r="A753" i="4"/>
  <c r="A815" i="4"/>
  <c r="A878" i="4"/>
  <c r="A942" i="4"/>
  <c r="A1003" i="4"/>
  <c r="A1017" i="4"/>
  <c r="A1033" i="4"/>
  <c r="A1049" i="4"/>
  <c r="A1063" i="4"/>
  <c r="A1079" i="4"/>
  <c r="A1090" i="4"/>
  <c r="A10" i="4"/>
  <c r="A1119" i="4"/>
  <c r="A1134" i="4"/>
  <c r="A1148" i="4"/>
  <c r="A1164" i="4"/>
  <c r="A1180" i="4"/>
  <c r="A1196" i="4"/>
  <c r="A1211" i="4"/>
  <c r="A1227" i="4"/>
  <c r="A1241" i="4"/>
  <c r="A1255" i="4"/>
  <c r="A1270" i="4"/>
  <c r="A37" i="4"/>
  <c r="A1294" i="4"/>
  <c r="A1310" i="4"/>
  <c r="A1326" i="4"/>
  <c r="A1341" i="4"/>
  <c r="A1357" i="4"/>
  <c r="A1372" i="4"/>
  <c r="A1387" i="4"/>
  <c r="A1403" i="4"/>
  <c r="A1419" i="4"/>
  <c r="A1432" i="4"/>
  <c r="A1442" i="4"/>
  <c r="A1449" i="4"/>
  <c r="A1460" i="4"/>
  <c r="A100" i="4"/>
  <c r="A29" i="4"/>
  <c r="A1485" i="4"/>
  <c r="A22" i="4"/>
  <c r="A6" i="4"/>
  <c r="A1504" i="4"/>
  <c r="G143" i="4"/>
  <c r="G159" i="4"/>
  <c r="G175" i="4"/>
  <c r="G191" i="4"/>
  <c r="G206" i="4"/>
  <c r="G222" i="4"/>
  <c r="G238" i="4"/>
  <c r="G254" i="4"/>
  <c r="G269" i="4"/>
  <c r="G284" i="4"/>
  <c r="G299" i="4"/>
  <c r="G315" i="4"/>
  <c r="G331" i="4"/>
  <c r="G346" i="4"/>
  <c r="G362" i="4"/>
  <c r="G378" i="4"/>
  <c r="G394" i="4"/>
  <c r="G406" i="4"/>
  <c r="G410" i="4"/>
  <c r="G414" i="4"/>
  <c r="G418" i="4"/>
  <c r="G422" i="4"/>
  <c r="G425" i="4"/>
  <c r="G429" i="4"/>
  <c r="G432" i="4"/>
  <c r="G436" i="4"/>
  <c r="G440" i="4"/>
  <c r="G444" i="4"/>
  <c r="G448" i="4"/>
  <c r="G452" i="4"/>
  <c r="G456" i="4"/>
  <c r="G460" i="4"/>
  <c r="G464" i="4"/>
  <c r="G468" i="4"/>
  <c r="G472" i="4"/>
  <c r="G476" i="4"/>
  <c r="G480" i="4"/>
  <c r="G484" i="4"/>
  <c r="G488" i="4"/>
  <c r="G492" i="4"/>
  <c r="G496" i="4"/>
  <c r="G500" i="4"/>
  <c r="G504" i="4"/>
  <c r="G508" i="4"/>
  <c r="G512" i="4"/>
  <c r="G516" i="4"/>
  <c r="G520" i="4"/>
  <c r="G524" i="4"/>
  <c r="G528" i="4"/>
  <c r="G532" i="4"/>
  <c r="G536" i="4"/>
  <c r="G540" i="4"/>
  <c r="G544" i="4"/>
  <c r="G548" i="4"/>
  <c r="G552" i="4"/>
  <c r="G556" i="4"/>
  <c r="G560" i="4"/>
  <c r="G564" i="4"/>
  <c r="G568" i="4"/>
  <c r="G572" i="4"/>
  <c r="G576" i="4"/>
  <c r="G580" i="4"/>
  <c r="G584" i="4"/>
  <c r="G588" i="4"/>
  <c r="G592" i="4"/>
  <c r="G596" i="4"/>
  <c r="G600" i="4"/>
  <c r="G604" i="4"/>
  <c r="G608" i="4"/>
  <c r="G612" i="4"/>
  <c r="G616" i="4"/>
  <c r="G620" i="4"/>
  <c r="G78" i="4"/>
  <c r="G625" i="4"/>
  <c r="G629" i="4"/>
  <c r="G632" i="4"/>
  <c r="G636" i="4"/>
  <c r="G640" i="4"/>
  <c r="G644" i="4"/>
  <c r="G648" i="4"/>
  <c r="G652" i="4"/>
  <c r="A317" i="4"/>
  <c r="A799" i="4"/>
  <c r="A1014" i="4"/>
  <c r="A1075" i="4"/>
  <c r="A1130" i="4"/>
  <c r="A1192" i="4"/>
  <c r="A1251" i="4"/>
  <c r="A1306" i="4"/>
  <c r="A1369" i="4"/>
  <c r="A11" i="4"/>
  <c r="A1468" i="4"/>
  <c r="A44" i="4"/>
  <c r="G171" i="4"/>
  <c r="G234" i="4"/>
  <c r="G296" i="4"/>
  <c r="G358" i="4"/>
  <c r="G409" i="4"/>
  <c r="G424" i="4"/>
  <c r="G439" i="4"/>
  <c r="G455" i="4"/>
  <c r="G471" i="4"/>
  <c r="G487" i="4"/>
  <c r="G503" i="4"/>
  <c r="G519" i="4"/>
  <c r="G535" i="4"/>
  <c r="G551" i="4"/>
  <c r="G567" i="4"/>
  <c r="G583" i="4"/>
  <c r="G591" i="4"/>
  <c r="G599" i="4"/>
  <c r="G607" i="4"/>
  <c r="G615" i="4"/>
  <c r="G623" i="4"/>
  <c r="G628" i="4"/>
  <c r="G634" i="4"/>
  <c r="G639" i="4"/>
  <c r="G645" i="4"/>
  <c r="G650" i="4"/>
  <c r="G655" i="4"/>
  <c r="G659" i="4"/>
  <c r="G663" i="4"/>
  <c r="G666" i="4"/>
  <c r="G670" i="4"/>
  <c r="G674" i="4"/>
  <c r="G678" i="4"/>
  <c r="G682" i="4"/>
  <c r="G686" i="4"/>
  <c r="G690" i="4"/>
  <c r="G99" i="4"/>
  <c r="G697" i="4"/>
  <c r="G701" i="4"/>
  <c r="G705" i="4"/>
  <c r="G709" i="4"/>
  <c r="G713" i="4"/>
  <c r="G717" i="4"/>
  <c r="G721" i="4"/>
  <c r="G725" i="4"/>
  <c r="G729" i="4"/>
  <c r="G733" i="4"/>
  <c r="G737" i="4"/>
  <c r="G741" i="4"/>
  <c r="G745" i="4"/>
  <c r="G749" i="4"/>
  <c r="G753" i="4"/>
  <c r="G757" i="4"/>
  <c r="G761" i="4"/>
  <c r="G765" i="4"/>
  <c r="G769" i="4"/>
  <c r="G773" i="4"/>
  <c r="G777" i="4"/>
  <c r="G781" i="4"/>
  <c r="G783" i="4"/>
  <c r="G787" i="4"/>
  <c r="G791" i="4"/>
  <c r="G795" i="4"/>
  <c r="G799" i="4"/>
  <c r="G803" i="4"/>
  <c r="G807" i="4"/>
  <c r="G811" i="4"/>
  <c r="G815" i="4"/>
  <c r="G819" i="4"/>
  <c r="G823" i="4"/>
  <c r="G827" i="4"/>
  <c r="G831" i="4"/>
  <c r="G835" i="4"/>
  <c r="G839" i="4"/>
  <c r="G843" i="4"/>
  <c r="G847" i="4"/>
  <c r="G851" i="4"/>
  <c r="G855" i="4"/>
  <c r="G859" i="4"/>
  <c r="G862" i="4"/>
  <c r="G866" i="4"/>
  <c r="G870" i="4"/>
  <c r="G874" i="4"/>
  <c r="G878" i="4"/>
  <c r="G882" i="4"/>
  <c r="G886" i="4"/>
  <c r="G890" i="4"/>
  <c r="G894" i="4"/>
  <c r="G898" i="4"/>
  <c r="G902" i="4"/>
  <c r="G906" i="4"/>
  <c r="G910" i="4"/>
  <c r="G914" i="4"/>
  <c r="G918" i="4"/>
  <c r="G922" i="4"/>
  <c r="G926" i="4"/>
  <c r="G930" i="4"/>
  <c r="G934" i="4"/>
  <c r="G938" i="4"/>
  <c r="G942" i="4"/>
  <c r="G946" i="4"/>
  <c r="G950" i="4"/>
  <c r="G954" i="4"/>
  <c r="G958" i="4"/>
  <c r="G962" i="4"/>
  <c r="G966" i="4"/>
  <c r="G970" i="4"/>
  <c r="G974" i="4"/>
  <c r="G978" i="4"/>
  <c r="G981" i="4"/>
  <c r="G985" i="4"/>
  <c r="G989" i="4"/>
  <c r="G993" i="4"/>
  <c r="G997" i="4"/>
  <c r="G1001" i="4"/>
  <c r="G1005" i="4"/>
  <c r="G1008" i="4"/>
  <c r="G1012" i="4"/>
  <c r="G1016" i="4"/>
  <c r="G1019" i="4"/>
  <c r="G1023" i="4"/>
  <c r="G1027" i="4"/>
  <c r="G1031" i="4"/>
  <c r="G1035" i="4"/>
  <c r="G1039" i="4"/>
  <c r="G1043" i="4"/>
  <c r="G1047" i="4"/>
  <c r="G1051" i="4"/>
  <c r="G1055" i="4"/>
  <c r="G68" i="4"/>
  <c r="G1061" i="4"/>
  <c r="G1065" i="4"/>
  <c r="G1069" i="4"/>
  <c r="G1073" i="4"/>
  <c r="G1077" i="4"/>
  <c r="G1081" i="4"/>
  <c r="G51" i="4"/>
  <c r="G1085" i="4"/>
  <c r="G1088" i="4"/>
  <c r="G72" i="4"/>
  <c r="G1095" i="4"/>
  <c r="G1099" i="4"/>
  <c r="G1103" i="4"/>
  <c r="G1106" i="4"/>
  <c r="G1110" i="4"/>
  <c r="G1113" i="4"/>
  <c r="G1117" i="4"/>
  <c r="G1121" i="4"/>
  <c r="G1124" i="4"/>
  <c r="G1128" i="4"/>
  <c r="G1132" i="4"/>
  <c r="G1136" i="4"/>
  <c r="G1140" i="4"/>
  <c r="G47" i="4"/>
  <c r="G1146" i="4"/>
  <c r="G1150" i="4"/>
  <c r="G1154" i="4"/>
  <c r="G1158" i="4"/>
  <c r="G1162" i="4"/>
  <c r="G1166" i="4"/>
  <c r="G1170" i="4"/>
  <c r="G1174" i="4"/>
  <c r="G1178" i="4"/>
  <c r="G1182" i="4"/>
  <c r="G1186" i="4"/>
  <c r="G1190" i="4"/>
  <c r="G1194" i="4"/>
  <c r="G1198" i="4"/>
  <c r="G1202" i="4"/>
  <c r="G1206" i="4"/>
  <c r="G58" i="4"/>
  <c r="G1213" i="4"/>
  <c r="G1217" i="4"/>
  <c r="G1221" i="4"/>
  <c r="G1225" i="4"/>
  <c r="G1229" i="4"/>
  <c r="G1233" i="4"/>
  <c r="G1236" i="4"/>
  <c r="G1239" i="4"/>
  <c r="G1243" i="4"/>
  <c r="G1246" i="4"/>
  <c r="G1250" i="4"/>
  <c r="G1253" i="4"/>
  <c r="G1257" i="4"/>
  <c r="G1261" i="4"/>
  <c r="G1264" i="4"/>
  <c r="G1268" i="4"/>
  <c r="G1272" i="4"/>
  <c r="G48" i="4"/>
  <c r="G93" i="4"/>
  <c r="G1281" i="4"/>
  <c r="G1284" i="4"/>
  <c r="G119" i="4"/>
  <c r="G103" i="4"/>
  <c r="G1292" i="4"/>
  <c r="G1296" i="4"/>
  <c r="G1300" i="4"/>
  <c r="G1304" i="4"/>
  <c r="G1308" i="4"/>
  <c r="G1312" i="4"/>
  <c r="G1316" i="4"/>
  <c r="G1320" i="4"/>
  <c r="G1324" i="4"/>
  <c r="G1327" i="4"/>
  <c r="G1331" i="4"/>
  <c r="G1335" i="4"/>
  <c r="G1339" i="4"/>
  <c r="G1343" i="4"/>
  <c r="G1347" i="4"/>
  <c r="G1351" i="4"/>
  <c r="G1355" i="4"/>
  <c r="G1359" i="4"/>
  <c r="G1363" i="4"/>
  <c r="G1367" i="4"/>
  <c r="G117" i="4"/>
  <c r="G96" i="4"/>
  <c r="G1377" i="4"/>
  <c r="G1381" i="4"/>
  <c r="G1385" i="4"/>
  <c r="G1389" i="4"/>
  <c r="G1393" i="4"/>
  <c r="G1397" i="4"/>
  <c r="G1401" i="4"/>
  <c r="G1405" i="4"/>
  <c r="G1409" i="4"/>
  <c r="G1413" i="4"/>
  <c r="G1417" i="4"/>
  <c r="G1421" i="4"/>
  <c r="G1424" i="4"/>
  <c r="G1428" i="4"/>
  <c r="G1431" i="4"/>
  <c r="G1434" i="4"/>
  <c r="G1436" i="4"/>
  <c r="G52" i="4"/>
  <c r="G1440" i="4"/>
  <c r="G42" i="4"/>
  <c r="G43" i="4"/>
  <c r="G120" i="4"/>
  <c r="G91" i="4"/>
  <c r="G1451" i="4"/>
  <c r="G1454" i="4"/>
  <c r="G1457" i="4"/>
  <c r="G18" i="4"/>
  <c r="G25" i="4"/>
  <c r="G128" i="4"/>
  <c r="G1467" i="4"/>
  <c r="G1470" i="4"/>
  <c r="G19" i="4"/>
  <c r="G13" i="4"/>
  <c r="G126" i="4"/>
  <c r="G105" i="4"/>
  <c r="G14" i="4"/>
  <c r="G40" i="4"/>
  <c r="G1482" i="4"/>
  <c r="G27" i="4"/>
  <c r="G1486" i="4"/>
  <c r="G33" i="4"/>
  <c r="G95" i="4"/>
  <c r="G38" i="4"/>
  <c r="G1489" i="4"/>
  <c r="G108" i="4"/>
  <c r="G46" i="4"/>
  <c r="G85" i="4"/>
  <c r="G1491" i="4"/>
  <c r="G1495" i="4"/>
  <c r="G1499" i="4"/>
  <c r="G1502" i="4"/>
  <c r="G1506" i="4"/>
  <c r="A570" i="4"/>
  <c r="A862" i="4"/>
  <c r="A1029" i="4"/>
  <c r="A1087" i="4"/>
  <c r="A1144" i="4"/>
  <c r="A1208" i="4"/>
  <c r="A1266" i="4"/>
  <c r="A1322" i="4"/>
  <c r="A1383" i="4"/>
  <c r="A17" i="4"/>
  <c r="A66" i="4"/>
  <c r="A1500" i="4"/>
  <c r="G187" i="4"/>
  <c r="G250" i="4"/>
  <c r="G311" i="4"/>
  <c r="G374" i="4"/>
  <c r="G413" i="4"/>
  <c r="G428" i="4"/>
  <c r="G443" i="4"/>
  <c r="G459" i="4"/>
  <c r="G475" i="4"/>
  <c r="G491" i="4"/>
  <c r="G507" i="4"/>
  <c r="G523" i="4"/>
  <c r="G539" i="4"/>
  <c r="G555" i="4"/>
  <c r="G571" i="4"/>
  <c r="G586" i="4"/>
  <c r="G594" i="4"/>
  <c r="G602" i="4"/>
  <c r="G610" i="4"/>
  <c r="G618" i="4"/>
  <c r="G81" i="4"/>
  <c r="G631" i="4"/>
  <c r="G635" i="4"/>
  <c r="G641" i="4"/>
  <c r="G646" i="4"/>
  <c r="G651" i="4"/>
  <c r="G656" i="4"/>
  <c r="G660" i="4"/>
  <c r="G86" i="4"/>
  <c r="G667" i="4"/>
  <c r="G671" i="4"/>
  <c r="G675" i="4"/>
  <c r="G679" i="4"/>
  <c r="G683" i="4"/>
  <c r="G687" i="4"/>
  <c r="G691" i="4"/>
  <c r="G694" i="4"/>
  <c r="G698" i="4"/>
  <c r="G702" i="4"/>
  <c r="G706" i="4"/>
  <c r="G710" i="4"/>
  <c r="G714" i="4"/>
  <c r="G718" i="4"/>
  <c r="G722" i="4"/>
  <c r="G726" i="4"/>
  <c r="G730" i="4"/>
  <c r="G734" i="4"/>
  <c r="G738" i="4"/>
  <c r="G742" i="4"/>
  <c r="G746" i="4"/>
  <c r="G750" i="4"/>
  <c r="G754" i="4"/>
  <c r="G758" i="4"/>
  <c r="G762" i="4"/>
  <c r="G766" i="4"/>
  <c r="G770" i="4"/>
  <c r="G774" i="4"/>
  <c r="G778" i="4"/>
  <c r="G782" i="4"/>
  <c r="G784" i="4"/>
  <c r="G788" i="4"/>
  <c r="G792" i="4"/>
  <c r="G796" i="4"/>
  <c r="G800" i="4"/>
  <c r="G804" i="4"/>
  <c r="G808" i="4"/>
  <c r="G812" i="4"/>
  <c r="G816" i="4"/>
  <c r="G820" i="4"/>
  <c r="G824" i="4"/>
  <c r="G828" i="4"/>
  <c r="G832" i="4"/>
  <c r="G836" i="4"/>
  <c r="G840" i="4"/>
  <c r="G844" i="4"/>
  <c r="G848" i="4"/>
  <c r="G852" i="4"/>
  <c r="G856" i="4"/>
  <c r="G860" i="4"/>
  <c r="G863" i="4"/>
  <c r="G867" i="4"/>
  <c r="G871" i="4"/>
  <c r="G875" i="4"/>
  <c r="G879" i="4"/>
  <c r="G883" i="4"/>
  <c r="G887" i="4"/>
  <c r="G891" i="4"/>
  <c r="G895" i="4"/>
  <c r="G899" i="4"/>
  <c r="G903" i="4"/>
  <c r="G907" i="4"/>
  <c r="G911" i="4"/>
  <c r="G915" i="4"/>
  <c r="G919" i="4"/>
  <c r="G923" i="4"/>
  <c r="G927" i="4"/>
  <c r="G931" i="4"/>
  <c r="G935" i="4"/>
  <c r="G939" i="4"/>
  <c r="G943" i="4"/>
  <c r="G947" i="4"/>
  <c r="G951" i="4"/>
  <c r="G955" i="4"/>
  <c r="G959" i="4"/>
  <c r="G963" i="4"/>
  <c r="G967" i="4"/>
  <c r="G971" i="4"/>
  <c r="G975" i="4"/>
  <c r="G979" i="4"/>
  <c r="G982" i="4"/>
  <c r="G986" i="4"/>
  <c r="G990" i="4"/>
  <c r="G994" i="4"/>
  <c r="G998" i="4"/>
  <c r="G1002" i="4"/>
  <c r="G1006" i="4"/>
  <c r="G1009" i="4"/>
  <c r="G1013" i="4"/>
  <c r="G62" i="4"/>
  <c r="G1020" i="4"/>
  <c r="G1024" i="4"/>
  <c r="G1028" i="4"/>
  <c r="G1032" i="4"/>
  <c r="G1036" i="4"/>
  <c r="G1040" i="4"/>
  <c r="G1044" i="4"/>
  <c r="G1048" i="4"/>
  <c r="G1052" i="4"/>
  <c r="G1056" i="4"/>
  <c r="G1058" i="4"/>
  <c r="G1062" i="4"/>
  <c r="G1066" i="4"/>
  <c r="G1070" i="4"/>
  <c r="G1074" i="4"/>
  <c r="G1078" i="4"/>
  <c r="G84" i="4"/>
  <c r="G1084" i="4"/>
  <c r="G1086" i="4"/>
  <c r="G1089" i="4"/>
  <c r="G1092" i="4"/>
  <c r="G1096" i="4"/>
  <c r="G1100" i="4"/>
  <c r="G1104" i="4"/>
  <c r="G1107" i="4"/>
  <c r="G1111" i="4"/>
  <c r="G1114" i="4"/>
  <c r="G1118" i="4"/>
  <c r="G1122" i="4"/>
  <c r="G1125" i="4"/>
  <c r="G1129" i="4"/>
  <c r="G1133" i="4"/>
  <c r="G1137" i="4"/>
  <c r="G1141" i="4"/>
  <c r="G1143" i="4"/>
  <c r="G1147" i="4"/>
  <c r="G1151" i="4"/>
  <c r="G1155" i="4"/>
  <c r="G1159" i="4"/>
  <c r="G1163" i="4"/>
  <c r="G1167" i="4"/>
  <c r="G1171" i="4"/>
  <c r="G1175" i="4"/>
  <c r="G1179" i="4"/>
  <c r="G1183" i="4"/>
  <c r="G1187" i="4"/>
  <c r="G1191" i="4"/>
  <c r="G1195" i="4"/>
  <c r="G1199" i="4"/>
  <c r="G1203" i="4"/>
  <c r="G1207" i="4"/>
  <c r="G1210" i="4"/>
  <c r="G1214" i="4"/>
  <c r="G1218" i="4"/>
  <c r="G1222" i="4"/>
  <c r="G1226" i="4"/>
  <c r="G1230" i="4"/>
  <c r="G74" i="4"/>
  <c r="G1237" i="4"/>
  <c r="G1240" i="4"/>
  <c r="G1244" i="4"/>
  <c r="G1247" i="4"/>
  <c r="G107" i="4"/>
  <c r="G1254" i="4"/>
  <c r="G1258" i="4"/>
  <c r="G1262" i="4"/>
  <c r="G1265" i="4"/>
  <c r="G1269" i="4"/>
  <c r="G1273" i="4"/>
  <c r="G50" i="4"/>
  <c r="G1278" i="4"/>
  <c r="G1282" i="4"/>
  <c r="G1285" i="4"/>
  <c r="G69" i="4"/>
  <c r="G1289" i="4"/>
  <c r="G1293" i="4"/>
  <c r="G1297" i="4"/>
  <c r="G1301" i="4"/>
  <c r="G1305" i="4"/>
  <c r="G1309" i="4"/>
  <c r="G1313" i="4"/>
  <c r="G1317" i="4"/>
  <c r="G1321" i="4"/>
  <c r="G1325" i="4"/>
  <c r="G1328" i="4"/>
  <c r="G1332" i="4"/>
  <c r="G1336" i="4"/>
  <c r="G1340" i="4"/>
  <c r="G1344" i="4"/>
  <c r="G1348" i="4"/>
  <c r="G1352" i="4"/>
  <c r="G1356" i="4"/>
  <c r="G1360" i="4"/>
  <c r="G1364" i="4"/>
  <c r="G1368" i="4"/>
  <c r="G1371" i="4"/>
  <c r="G1374" i="4"/>
  <c r="G1378" i="4"/>
  <c r="G1382" i="4"/>
  <c r="G1386" i="4"/>
  <c r="G1390" i="4"/>
  <c r="G1394" i="4"/>
  <c r="G1398" i="4"/>
  <c r="G1402" i="4"/>
  <c r="G1406" i="4"/>
  <c r="G1410" i="4"/>
  <c r="G1414" i="4"/>
  <c r="G1418" i="4"/>
  <c r="G1422" i="4"/>
  <c r="G1425" i="4"/>
  <c r="G1429" i="4"/>
  <c r="G15" i="4"/>
  <c r="G1435" i="4"/>
  <c r="G1437" i="4"/>
  <c r="G1439" i="4"/>
  <c r="G1441" i="4"/>
  <c r="G1443" i="4"/>
  <c r="G116" i="4"/>
  <c r="G122" i="4"/>
  <c r="G1448" i="4"/>
  <c r="G97" i="4"/>
  <c r="G1455" i="4"/>
  <c r="A674" i="4"/>
  <c r="A926" i="4"/>
  <c r="A1045" i="4"/>
  <c r="A1101" i="4"/>
  <c r="A1160" i="4"/>
  <c r="A1223" i="4"/>
  <c r="A1279" i="4"/>
  <c r="A1337" i="4"/>
  <c r="A1399" i="4"/>
  <c r="A1447" i="4"/>
  <c r="A1483" i="4"/>
  <c r="G140" i="4"/>
  <c r="G203" i="4"/>
  <c r="G265" i="4"/>
  <c r="G327" i="4"/>
  <c r="G390" i="4"/>
  <c r="G417" i="4"/>
  <c r="G431" i="4"/>
  <c r="G447" i="4"/>
  <c r="G463" i="4"/>
  <c r="G479" i="4"/>
  <c r="G495" i="4"/>
  <c r="G511" i="4"/>
  <c r="G527" i="4"/>
  <c r="G543" i="4"/>
  <c r="G559" i="4"/>
  <c r="G575" i="4"/>
  <c r="G587" i="4"/>
  <c r="G595" i="4"/>
  <c r="G603" i="4"/>
  <c r="G611" i="4"/>
  <c r="G619" i="4"/>
  <c r="G624" i="4"/>
  <c r="G114" i="4"/>
  <c r="G637" i="4"/>
  <c r="G642" i="4"/>
  <c r="G647" i="4"/>
  <c r="G653" i="4"/>
  <c r="G657" i="4"/>
  <c r="G661" i="4"/>
  <c r="G664" i="4"/>
  <c r="G668" i="4"/>
  <c r="G672" i="4"/>
  <c r="G676" i="4"/>
  <c r="G680" i="4"/>
  <c r="G684" i="4"/>
  <c r="G688" i="4"/>
  <c r="G692" i="4"/>
  <c r="G695" i="4"/>
  <c r="G699" i="4"/>
  <c r="G703" i="4"/>
  <c r="G707" i="4"/>
  <c r="G711" i="4"/>
  <c r="G715" i="4"/>
  <c r="G719" i="4"/>
  <c r="G723" i="4"/>
  <c r="G727" i="4"/>
  <c r="G731" i="4"/>
  <c r="G735" i="4"/>
  <c r="G739" i="4"/>
  <c r="G743" i="4"/>
  <c r="G747" i="4"/>
  <c r="G751" i="4"/>
  <c r="G755" i="4"/>
  <c r="G759" i="4"/>
  <c r="G763" i="4"/>
  <c r="G767" i="4"/>
  <c r="G771" i="4"/>
  <c r="G775" i="4"/>
  <c r="G779" i="4"/>
  <c r="G101" i="4"/>
  <c r="G785" i="4"/>
  <c r="G789" i="4"/>
  <c r="G793" i="4"/>
  <c r="G797" i="4"/>
  <c r="G801" i="4"/>
  <c r="G805" i="4"/>
  <c r="G809" i="4"/>
  <c r="G813" i="4"/>
  <c r="G817" i="4"/>
  <c r="G821" i="4"/>
  <c r="G825" i="4"/>
  <c r="G829" i="4"/>
  <c r="G833" i="4"/>
  <c r="G837" i="4"/>
  <c r="G841" i="4"/>
  <c r="G845" i="4"/>
  <c r="G849" i="4"/>
  <c r="G853" i="4"/>
  <c r="G857" i="4"/>
  <c r="G8" i="4"/>
  <c r="G864" i="4"/>
  <c r="G868" i="4"/>
  <c r="G872" i="4"/>
  <c r="G876" i="4"/>
  <c r="G880" i="4"/>
  <c r="G884" i="4"/>
  <c r="G888" i="4"/>
  <c r="G892" i="4"/>
  <c r="G896" i="4"/>
  <c r="G900" i="4"/>
  <c r="G904" i="4"/>
  <c r="G908" i="4"/>
  <c r="G912" i="4"/>
  <c r="G916" i="4"/>
  <c r="G920" i="4"/>
  <c r="G924" i="4"/>
  <c r="G928" i="4"/>
  <c r="G932" i="4"/>
  <c r="G936" i="4"/>
  <c r="G940" i="4"/>
  <c r="G944" i="4"/>
  <c r="G948" i="4"/>
  <c r="G952" i="4"/>
  <c r="G956" i="4"/>
  <c r="G960" i="4"/>
  <c r="G964" i="4"/>
  <c r="G968" i="4"/>
  <c r="G972" i="4"/>
  <c r="G976" i="4"/>
  <c r="G980" i="4"/>
  <c r="G983" i="4"/>
  <c r="G987" i="4"/>
  <c r="G991" i="4"/>
  <c r="G995" i="4"/>
  <c r="G999" i="4"/>
  <c r="G1003" i="4"/>
  <c r="G1007" i="4"/>
  <c r="G1010" i="4"/>
  <c r="G1014" i="4"/>
  <c r="G1017" i="4"/>
  <c r="G1021" i="4"/>
  <c r="G1025" i="4"/>
  <c r="G1029" i="4"/>
  <c r="G1033" i="4"/>
  <c r="G1037" i="4"/>
  <c r="G1041" i="4"/>
  <c r="G1045" i="4"/>
  <c r="G1049" i="4"/>
  <c r="G1053" i="4"/>
  <c r="G9" i="4"/>
  <c r="G1059" i="4"/>
  <c r="G1063" i="4"/>
  <c r="G1067" i="4"/>
  <c r="G1071" i="4"/>
  <c r="G1075" i="4"/>
  <c r="G1079" i="4"/>
  <c r="G1082" i="4"/>
  <c r="G16" i="4"/>
  <c r="G1087" i="4"/>
  <c r="G1090" i="4"/>
  <c r="G1093" i="4"/>
  <c r="G1097" i="4"/>
  <c r="G1101" i="4"/>
  <c r="G10" i="4"/>
  <c r="G1108" i="4"/>
  <c r="G89" i="4"/>
  <c r="G1115" i="4"/>
  <c r="G1119" i="4"/>
  <c r="G1123" i="4"/>
  <c r="G1126" i="4"/>
  <c r="G1130" i="4"/>
  <c r="G1134" i="4"/>
  <c r="G1138" i="4"/>
  <c r="G106" i="4"/>
  <c r="G1144" i="4"/>
  <c r="G1148" i="4"/>
  <c r="G1152" i="4"/>
  <c r="G1156" i="4"/>
  <c r="G1160" i="4"/>
  <c r="G1164" i="4"/>
  <c r="G1168" i="4"/>
  <c r="G1172" i="4"/>
  <c r="G1176" i="4"/>
  <c r="G1180" i="4"/>
  <c r="G1184" i="4"/>
  <c r="G1188" i="4"/>
  <c r="G1192" i="4"/>
  <c r="G1196" i="4"/>
  <c r="G1200" i="4"/>
  <c r="G1204" i="4"/>
  <c r="G1208" i="4"/>
  <c r="G1211" i="4"/>
  <c r="G1215" i="4"/>
  <c r="G1219" i="4"/>
  <c r="G1223" i="4"/>
  <c r="G1227" i="4"/>
  <c r="G1231" i="4"/>
  <c r="G1234" i="4"/>
  <c r="G1238" i="4"/>
  <c r="G1241" i="4"/>
  <c r="G109" i="4"/>
  <c r="G1248" i="4"/>
  <c r="G1251" i="4"/>
  <c r="G1255" i="4"/>
  <c r="G1259" i="4"/>
  <c r="G1263" i="4"/>
  <c r="G1266" i="4"/>
  <c r="G1270" i="4"/>
  <c r="G1274" i="4"/>
  <c r="G1276" i="4"/>
  <c r="G1279" i="4"/>
  <c r="G37" i="4"/>
  <c r="G1286" i="4"/>
  <c r="G94" i="4"/>
  <c r="G1290" i="4"/>
  <c r="G1294" i="4"/>
  <c r="G1298" i="4"/>
  <c r="G1302" i="4"/>
  <c r="G1306" i="4"/>
  <c r="G1310" i="4"/>
  <c r="G1314" i="4"/>
  <c r="G1318" i="4"/>
  <c r="G1322" i="4"/>
  <c r="G1326" i="4"/>
  <c r="G1329" i="4"/>
  <c r="G1333" i="4"/>
  <c r="G1337" i="4"/>
  <c r="G1341" i="4"/>
  <c r="G1345" i="4"/>
  <c r="G1349" i="4"/>
  <c r="G1353" i="4"/>
  <c r="G1357" i="4"/>
  <c r="G1361" i="4"/>
  <c r="G1365" i="4"/>
  <c r="G1369" i="4"/>
  <c r="G1372" i="4"/>
  <c r="G1375" i="4"/>
  <c r="G1379" i="4"/>
  <c r="G1383" i="4"/>
  <c r="G1387" i="4"/>
  <c r="G1391" i="4"/>
  <c r="G1395" i="4"/>
  <c r="G1399" i="4"/>
  <c r="G1403" i="4"/>
  <c r="G1407" i="4"/>
  <c r="G1411" i="4"/>
  <c r="G1415" i="4"/>
  <c r="G1419" i="4"/>
  <c r="G1423" i="4"/>
  <c r="G1426" i="4"/>
  <c r="G11" i="4"/>
  <c r="G1432" i="4"/>
  <c r="G127" i="4"/>
  <c r="G87" i="4"/>
  <c r="G17" i="4"/>
  <c r="G1442" i="4"/>
  <c r="G1444" i="4"/>
  <c r="G118" i="4"/>
  <c r="G1447" i="4"/>
  <c r="G1449" i="4"/>
  <c r="G1452" i="4"/>
  <c r="G104" i="4"/>
  <c r="G1459" i="4"/>
  <c r="G1460" i="4"/>
  <c r="A737" i="4"/>
  <c r="A1176" i="4"/>
  <c r="A1415" i="4"/>
  <c r="G218" i="4"/>
  <c r="G421" i="4"/>
  <c r="G483" i="4"/>
  <c r="G547" i="4"/>
  <c r="G598" i="4"/>
  <c r="G627" i="4"/>
  <c r="G649" i="4"/>
  <c r="G665" i="4"/>
  <c r="G681" i="4"/>
  <c r="G696" i="4"/>
  <c r="G712" i="4"/>
  <c r="G728" i="4"/>
  <c r="G744" i="4"/>
  <c r="G760" i="4"/>
  <c r="G776" i="4"/>
  <c r="G790" i="4"/>
  <c r="G806" i="4"/>
  <c r="G822" i="4"/>
  <c r="G838" i="4"/>
  <c r="G854" i="4"/>
  <c r="G869" i="4"/>
  <c r="G885" i="4"/>
  <c r="G901" i="4"/>
  <c r="G917" i="4"/>
  <c r="G933" i="4"/>
  <c r="G949" i="4"/>
  <c r="G965" i="4"/>
  <c r="G102" i="4"/>
  <c r="G996" i="4"/>
  <c r="G1011" i="4"/>
  <c r="G1026" i="4"/>
  <c r="G1042" i="4"/>
  <c r="G1057" i="4"/>
  <c r="G1072" i="4"/>
  <c r="G55" i="4"/>
  <c r="G1098" i="4"/>
  <c r="G1112" i="4"/>
  <c r="G1127" i="4"/>
  <c r="G1142" i="4"/>
  <c r="G1157" i="4"/>
  <c r="G1173" i="4"/>
  <c r="G1189" i="4"/>
  <c r="G1205" i="4"/>
  <c r="G1220" i="4"/>
  <c r="G1235" i="4"/>
  <c r="G1249" i="4"/>
  <c r="G123" i="4"/>
  <c r="G1277" i="4"/>
  <c r="G1288" i="4"/>
  <c r="G1303" i="4"/>
  <c r="G1319" i="4"/>
  <c r="G1334" i="4"/>
  <c r="G1350" i="4"/>
  <c r="G1366" i="4"/>
  <c r="G1380" i="4"/>
  <c r="G1396" i="4"/>
  <c r="G1412" i="4"/>
  <c r="G1427" i="4"/>
  <c r="G1438" i="4"/>
  <c r="G1446" i="4"/>
  <c r="G1456" i="4"/>
  <c r="G1461" i="4"/>
  <c r="G1465" i="4"/>
  <c r="G1468" i="4"/>
  <c r="G1472" i="4"/>
  <c r="G77" i="4"/>
  <c r="G66" i="4"/>
  <c r="G1477" i="4"/>
  <c r="G1479" i="4"/>
  <c r="G1483" i="4"/>
  <c r="G59" i="4"/>
  <c r="G90" i="4"/>
  <c r="G21" i="4"/>
  <c r="G110" i="4"/>
  <c r="G57" i="4"/>
  <c r="G44" i="4"/>
  <c r="G23" i="4"/>
  <c r="G1496" i="4"/>
  <c r="G1500" i="4"/>
  <c r="G1505" i="4"/>
  <c r="A989" i="4"/>
  <c r="A1238" i="4"/>
  <c r="A1459" i="4"/>
  <c r="G280" i="4"/>
  <c r="G435" i="4"/>
  <c r="G499" i="4"/>
  <c r="G563" i="4"/>
  <c r="G606" i="4"/>
  <c r="G633" i="4"/>
  <c r="G654" i="4"/>
  <c r="G669" i="4"/>
  <c r="G685" i="4"/>
  <c r="G700" i="4"/>
  <c r="G716" i="4"/>
  <c r="G732" i="4"/>
  <c r="G748" i="4"/>
  <c r="G764" i="4"/>
  <c r="G780" i="4"/>
  <c r="G794" i="4"/>
  <c r="G810" i="4"/>
  <c r="G826" i="4"/>
  <c r="G842" i="4"/>
  <c r="G858" i="4"/>
  <c r="G873" i="4"/>
  <c r="G889" i="4"/>
  <c r="G905" i="4"/>
  <c r="G921" i="4"/>
  <c r="G937" i="4"/>
  <c r="G953" i="4"/>
  <c r="G969" i="4"/>
  <c r="G984" i="4"/>
  <c r="G1000" i="4"/>
  <c r="G1015" i="4"/>
  <c r="G1030" i="4"/>
  <c r="G1046" i="4"/>
  <c r="G1060" i="4"/>
  <c r="G1076" i="4"/>
  <c r="G80" i="4"/>
  <c r="G1102" i="4"/>
  <c r="G1116" i="4"/>
  <c r="G1131" i="4"/>
  <c r="G1145" i="4"/>
  <c r="G1161" i="4"/>
  <c r="G1177" i="4"/>
  <c r="G1193" i="4"/>
  <c r="G1209" i="4"/>
  <c r="G1224" i="4"/>
  <c r="G129" i="4"/>
  <c r="G1252" i="4"/>
  <c r="G1267" i="4"/>
  <c r="G1280" i="4"/>
  <c r="G1291" i="4"/>
  <c r="G1307" i="4"/>
  <c r="G1323" i="4"/>
  <c r="G1338" i="4"/>
  <c r="G1354" i="4"/>
  <c r="G1370" i="4"/>
  <c r="G1384" i="4"/>
  <c r="G1400" i="4"/>
  <c r="G1416" i="4"/>
  <c r="G1430" i="4"/>
  <c r="G88" i="4"/>
  <c r="G31" i="4"/>
  <c r="G1458" i="4"/>
  <c r="G1462" i="4"/>
  <c r="G35" i="4"/>
  <c r="G1469" i="4"/>
  <c r="G1473" i="4"/>
  <c r="G1476" i="4"/>
  <c r="G53" i="4"/>
  <c r="G26" i="4"/>
  <c r="G1480" i="4"/>
  <c r="G1484" i="4"/>
  <c r="G30" i="4"/>
  <c r="G113" i="4"/>
  <c r="G41" i="4"/>
  <c r="G1490" i="4"/>
  <c r="G83" i="4"/>
  <c r="G70" i="4"/>
  <c r="G1492" i="4"/>
  <c r="G1497" i="4"/>
  <c r="G1501" i="4"/>
  <c r="A1115" i="4"/>
  <c r="A1353" i="4"/>
  <c r="G155" i="4"/>
  <c r="G405" i="4"/>
  <c r="G467" i="4"/>
  <c r="G531" i="4"/>
  <c r="G590" i="4"/>
  <c r="G622" i="4"/>
  <c r="G643" i="4"/>
  <c r="G662" i="4"/>
  <c r="G677" i="4"/>
  <c r="G693" i="4"/>
  <c r="G708" i="4"/>
  <c r="G724" i="4"/>
  <c r="G740" i="4"/>
  <c r="G756" i="4"/>
  <c r="G772" i="4"/>
  <c r="G786" i="4"/>
  <c r="G802" i="4"/>
  <c r="G818" i="4"/>
  <c r="G834" i="4"/>
  <c r="G850" i="4"/>
  <c r="G865" i="4"/>
  <c r="G881" i="4"/>
  <c r="G897" i="4"/>
  <c r="G913" i="4"/>
  <c r="G929" i="4"/>
  <c r="G945" i="4"/>
  <c r="G961" i="4"/>
  <c r="G977" i="4"/>
  <c r="G992" i="4"/>
  <c r="G73" i="4"/>
  <c r="G1022" i="4"/>
  <c r="G1038" i="4"/>
  <c r="G1054" i="4"/>
  <c r="G1068" i="4"/>
  <c r="G1083" i="4"/>
  <c r="G1094" i="4"/>
  <c r="G1109" i="4"/>
  <c r="G82" i="4"/>
  <c r="G1139" i="4"/>
  <c r="G1153" i="4"/>
  <c r="G1169" i="4"/>
  <c r="G1185" i="4"/>
  <c r="G1201" i="4"/>
  <c r="G1216" i="4"/>
  <c r="G1232" i="4"/>
  <c r="G1245" i="4"/>
  <c r="G1260" i="4"/>
  <c r="G1275" i="4"/>
  <c r="G1287" i="4"/>
  <c r="G1299" i="4"/>
  <c r="G1315" i="4"/>
  <c r="G1330" i="4"/>
  <c r="G1346" i="4"/>
  <c r="G1362" i="4"/>
  <c r="G1376" i="4"/>
  <c r="G1392" i="4"/>
  <c r="G1408" i="4"/>
  <c r="G124" i="4"/>
  <c r="G125" i="4"/>
  <c r="G1445" i="4"/>
  <c r="G1453" i="4"/>
  <c r="G65" i="4"/>
  <c r="G1464" i="4"/>
  <c r="G75" i="4"/>
  <c r="G100" i="4"/>
  <c r="G1475" i="4"/>
  <c r="G130" i="4"/>
  <c r="G29" i="4"/>
  <c r="G34" i="4"/>
  <c r="G49" i="4"/>
  <c r="G1485" i="4"/>
  <c r="G1487" i="4"/>
  <c r="G76" i="4"/>
  <c r="G22" i="4"/>
  <c r="G24" i="4"/>
  <c r="G67" i="4"/>
  <c r="G6" i="4"/>
  <c r="G1494" i="4"/>
  <c r="G28" i="4"/>
  <c r="G1504" i="4"/>
  <c r="A1059" i="4"/>
  <c r="G451" i="4"/>
  <c r="G638" i="4"/>
  <c r="G704" i="4"/>
  <c r="G768" i="4"/>
  <c r="G830" i="4"/>
  <c r="G893" i="4"/>
  <c r="G957" i="4"/>
  <c r="G1018" i="4"/>
  <c r="G1080" i="4"/>
  <c r="G1135" i="4"/>
  <c r="G1197" i="4"/>
  <c r="G1256" i="4"/>
  <c r="G1311" i="4"/>
  <c r="G1373" i="4"/>
  <c r="G1433" i="4"/>
  <c r="G1463" i="4"/>
  <c r="G32" i="4"/>
  <c r="G54" i="4"/>
  <c r="G45" i="4"/>
  <c r="G1498" i="4"/>
  <c r="A1290" i="4"/>
  <c r="G515" i="4"/>
  <c r="G658" i="4"/>
  <c r="G720" i="4"/>
  <c r="G39" i="4"/>
  <c r="G846" i="4"/>
  <c r="G909" i="4"/>
  <c r="G973" i="4"/>
  <c r="G1034" i="4"/>
  <c r="G1091" i="4"/>
  <c r="G1149" i="4"/>
  <c r="G1212" i="4"/>
  <c r="G1271" i="4"/>
  <c r="G112" i="4"/>
  <c r="G1388" i="4"/>
  <c r="G64" i="4"/>
  <c r="G1466" i="4"/>
  <c r="G56" i="4"/>
  <c r="G79" i="4"/>
  <c r="G61" i="4"/>
  <c r="G1503" i="4"/>
  <c r="A21" i="4"/>
  <c r="G579" i="4"/>
  <c r="G673" i="4"/>
  <c r="G736" i="4"/>
  <c r="G798" i="4"/>
  <c r="G861" i="4"/>
  <c r="G925" i="4"/>
  <c r="G988" i="4"/>
  <c r="G1050" i="4"/>
  <c r="G1105" i="4"/>
  <c r="G1165" i="4"/>
  <c r="G1228" i="4"/>
  <c r="G1283" i="4"/>
  <c r="G1342" i="4"/>
  <c r="G1404" i="4"/>
  <c r="G1450" i="4"/>
  <c r="G1471" i="4"/>
  <c r="G1478" i="4"/>
  <c r="G60" i="4"/>
  <c r="G20" i="4"/>
  <c r="G342" i="4"/>
  <c r="G814" i="4"/>
  <c r="G1064" i="4"/>
  <c r="G1295" i="4"/>
  <c r="G1474" i="4"/>
  <c r="G614" i="4"/>
  <c r="G877" i="4"/>
  <c r="G1120" i="4"/>
  <c r="G1358" i="4"/>
  <c r="G1481" i="4"/>
  <c r="G1004" i="4"/>
  <c r="G689" i="4"/>
  <c r="G941" i="4"/>
  <c r="G1181" i="4"/>
  <c r="G1420" i="4"/>
  <c r="G1488" i="4"/>
  <c r="G752" i="4"/>
  <c r="G1242" i="4"/>
  <c r="G12" i="4"/>
  <c r="G1493" i="4"/>
  <c r="H1493" i="4" l="1"/>
  <c r="H12" i="4"/>
  <c r="H1242" i="4"/>
  <c r="H752" i="4"/>
  <c r="H1488" i="4"/>
  <c r="H1420" i="4"/>
  <c r="H1181" i="4"/>
  <c r="H941" i="4"/>
  <c r="H689" i="4"/>
  <c r="H1004" i="4"/>
  <c r="H1481" i="4"/>
  <c r="H1358" i="4"/>
  <c r="H1120" i="4"/>
  <c r="H877" i="4"/>
  <c r="H614" i="4"/>
  <c r="H1474" i="4"/>
  <c r="H1295" i="4"/>
  <c r="H1064" i="4"/>
  <c r="H814" i="4"/>
  <c r="H342" i="4"/>
  <c r="H20" i="4"/>
  <c r="H60" i="4"/>
  <c r="H1478" i="4"/>
  <c r="H1471" i="4"/>
  <c r="H1450" i="4"/>
  <c r="H1404" i="4"/>
  <c r="H1342" i="4"/>
  <c r="H1283" i="4"/>
  <c r="H1228" i="4"/>
  <c r="H1165" i="4"/>
  <c r="H1105" i="4"/>
  <c r="H1050" i="4"/>
  <c r="H988" i="4"/>
  <c r="H925" i="4"/>
  <c r="H861" i="4"/>
  <c r="H798" i="4"/>
  <c r="H736" i="4"/>
  <c r="H673" i="4"/>
  <c r="H579" i="4"/>
  <c r="H1503" i="4"/>
  <c r="H61" i="4"/>
  <c r="H79" i="4"/>
  <c r="H56" i="4"/>
  <c r="H1466" i="4"/>
  <c r="H64" i="4"/>
  <c r="H1388" i="4"/>
  <c r="H112" i="4"/>
  <c r="H1271" i="4"/>
  <c r="H1212" i="4"/>
  <c r="H1149" i="4"/>
  <c r="H1091" i="4"/>
  <c r="H1034" i="4"/>
  <c r="H973" i="4"/>
  <c r="H909" i="4"/>
  <c r="H846" i="4"/>
  <c r="H39" i="4"/>
  <c r="H720" i="4"/>
  <c r="H658" i="4"/>
  <c r="H515" i="4"/>
  <c r="H1498" i="4"/>
  <c r="H45" i="4"/>
  <c r="H54" i="4"/>
  <c r="H32" i="4"/>
  <c r="H1463" i="4"/>
  <c r="H1433" i="4"/>
  <c r="H1373" i="4"/>
  <c r="H1311" i="4"/>
  <c r="H1256" i="4"/>
  <c r="H1197" i="4"/>
  <c r="H1135" i="4"/>
  <c r="H1080" i="4"/>
  <c r="H1018" i="4"/>
  <c r="H957" i="4"/>
  <c r="H893" i="4"/>
  <c r="H830" i="4"/>
  <c r="H768" i="4"/>
  <c r="H704" i="4"/>
  <c r="H638" i="4"/>
  <c r="H451" i="4"/>
  <c r="H1504" i="4"/>
  <c r="H28" i="4"/>
  <c r="H1494" i="4"/>
  <c r="H6" i="4"/>
  <c r="H67" i="4"/>
  <c r="H24" i="4"/>
  <c r="H22" i="4"/>
  <c r="H76" i="4"/>
  <c r="H1487" i="4"/>
  <c r="H1485" i="4"/>
  <c r="H49" i="4"/>
  <c r="H34" i="4"/>
  <c r="H29" i="4"/>
  <c r="H130" i="4"/>
  <c r="H1475" i="4"/>
  <c r="H100" i="4"/>
  <c r="H75" i="4"/>
  <c r="H1464" i="4"/>
  <c r="H65" i="4"/>
  <c r="H1453" i="4"/>
  <c r="H1445" i="4"/>
  <c r="H125" i="4"/>
  <c r="H124" i="4"/>
  <c r="H1408" i="4"/>
  <c r="H1392" i="4"/>
  <c r="H1376" i="4"/>
  <c r="H1362" i="4"/>
  <c r="H1346" i="4"/>
  <c r="H1330" i="4"/>
  <c r="H1315" i="4"/>
  <c r="H1299" i="4"/>
  <c r="H1287" i="4"/>
  <c r="H1275" i="4"/>
  <c r="H1260" i="4"/>
  <c r="H1245" i="4"/>
  <c r="H1232" i="4"/>
  <c r="H1216" i="4"/>
  <c r="H1201" i="4"/>
  <c r="H1185" i="4"/>
  <c r="H1169" i="4"/>
  <c r="H1153" i="4"/>
  <c r="H1139" i="4"/>
  <c r="H82" i="4"/>
  <c r="H1109" i="4"/>
  <c r="H1094" i="4"/>
  <c r="H1083" i="4"/>
  <c r="H1068" i="4"/>
  <c r="H1054" i="4"/>
  <c r="H1038" i="4"/>
  <c r="H1022" i="4"/>
  <c r="H73" i="4"/>
  <c r="H992" i="4"/>
  <c r="H977" i="4"/>
  <c r="H961" i="4"/>
  <c r="H945" i="4"/>
  <c r="H929" i="4"/>
  <c r="H913" i="4"/>
  <c r="H897" i="4"/>
  <c r="H881" i="4"/>
  <c r="H865" i="4"/>
  <c r="H850" i="4"/>
  <c r="H834" i="4"/>
  <c r="H818" i="4"/>
  <c r="H802" i="4"/>
  <c r="H786" i="4"/>
  <c r="H772" i="4"/>
  <c r="H756" i="4"/>
  <c r="H740" i="4"/>
  <c r="H724" i="4"/>
  <c r="H708" i="4"/>
  <c r="H693" i="4"/>
  <c r="H677" i="4"/>
  <c r="H662" i="4"/>
  <c r="H643" i="4"/>
  <c r="H622" i="4"/>
  <c r="H590" i="4"/>
  <c r="H531" i="4"/>
  <c r="H467" i="4"/>
  <c r="H405" i="4"/>
  <c r="H155" i="4"/>
  <c r="H1501" i="4"/>
  <c r="H1497" i="4"/>
  <c r="H1492" i="4"/>
  <c r="H70" i="4"/>
  <c r="H83" i="4"/>
  <c r="H1490" i="4"/>
  <c r="H41" i="4"/>
  <c r="H113" i="4"/>
  <c r="H30" i="4"/>
  <c r="H1484" i="4"/>
  <c r="H1480" i="4"/>
  <c r="H26" i="4"/>
  <c r="H53" i="4"/>
  <c r="H1476" i="4"/>
  <c r="H1473" i="4"/>
  <c r="H1469" i="4"/>
  <c r="H35" i="4"/>
  <c r="H1462" i="4"/>
  <c r="H1458" i="4"/>
  <c r="H31" i="4"/>
  <c r="H88" i="4"/>
  <c r="H1430" i="4"/>
  <c r="H1416" i="4"/>
  <c r="H1400" i="4"/>
  <c r="H1384" i="4"/>
  <c r="H1370" i="4"/>
  <c r="H1354" i="4"/>
  <c r="H1338" i="4"/>
  <c r="H1323" i="4"/>
  <c r="H1307" i="4"/>
  <c r="H1291" i="4"/>
  <c r="H1280" i="4"/>
  <c r="H1267" i="4"/>
  <c r="H1252" i="4"/>
  <c r="H129" i="4"/>
  <c r="H1224" i="4"/>
  <c r="H1209" i="4"/>
  <c r="H1193" i="4"/>
  <c r="H1177" i="4"/>
  <c r="H1161" i="4"/>
  <c r="H1145" i="4"/>
  <c r="H1131" i="4"/>
  <c r="H1116" i="4"/>
  <c r="H1102" i="4"/>
  <c r="H80" i="4"/>
  <c r="H1076" i="4"/>
  <c r="H1060" i="4"/>
  <c r="H1046" i="4"/>
  <c r="H1030" i="4"/>
  <c r="H1015" i="4"/>
  <c r="H1000" i="4"/>
  <c r="H984" i="4"/>
  <c r="H969" i="4"/>
  <c r="H953" i="4"/>
  <c r="H937" i="4"/>
  <c r="H921" i="4"/>
  <c r="H905" i="4"/>
  <c r="H889" i="4"/>
  <c r="H873" i="4"/>
  <c r="H858" i="4"/>
  <c r="H842" i="4"/>
  <c r="H826" i="4"/>
  <c r="H810" i="4"/>
  <c r="H794" i="4"/>
  <c r="H780" i="4"/>
  <c r="H764" i="4"/>
  <c r="H748" i="4"/>
  <c r="H732" i="4"/>
  <c r="H716" i="4"/>
  <c r="H700" i="4"/>
  <c r="H685" i="4"/>
  <c r="H669" i="4"/>
  <c r="H654" i="4"/>
  <c r="H633" i="4"/>
  <c r="H606" i="4"/>
  <c r="H563" i="4"/>
  <c r="H499" i="4"/>
  <c r="H435" i="4"/>
  <c r="H280" i="4"/>
  <c r="H1505" i="4"/>
  <c r="H1500" i="4"/>
  <c r="H1496" i="4"/>
  <c r="H23" i="4"/>
  <c r="H44" i="4"/>
  <c r="H57" i="4"/>
  <c r="H110" i="4"/>
  <c r="H21" i="4"/>
  <c r="H90" i="4"/>
  <c r="H59" i="4"/>
  <c r="H1483" i="4"/>
  <c r="H1479" i="4"/>
  <c r="H1477" i="4"/>
  <c r="H66" i="4"/>
  <c r="H77" i="4"/>
  <c r="H1472" i="4"/>
  <c r="H1468" i="4"/>
  <c r="H1465" i="4"/>
  <c r="H1461" i="4"/>
  <c r="H1456" i="4"/>
  <c r="H1446" i="4"/>
  <c r="H1438" i="4"/>
  <c r="H1427" i="4"/>
  <c r="H1412" i="4"/>
  <c r="H1396" i="4"/>
  <c r="H1380" i="4"/>
  <c r="H1366" i="4"/>
  <c r="H1350" i="4"/>
  <c r="H1334" i="4"/>
  <c r="H1319" i="4"/>
  <c r="H1303" i="4"/>
  <c r="H1288" i="4"/>
  <c r="H1277" i="4"/>
  <c r="H123" i="4"/>
  <c r="H1249" i="4"/>
  <c r="H1235" i="4"/>
  <c r="H1220" i="4"/>
  <c r="H1205" i="4"/>
  <c r="H1189" i="4"/>
  <c r="H1173" i="4"/>
  <c r="H1157" i="4"/>
  <c r="H1142" i="4"/>
  <c r="H1127" i="4"/>
  <c r="H1112" i="4"/>
  <c r="H1098" i="4"/>
  <c r="H55" i="4"/>
  <c r="H1072" i="4"/>
  <c r="H1057" i="4"/>
  <c r="H1042" i="4"/>
  <c r="H1026" i="4"/>
  <c r="H1011" i="4"/>
  <c r="H996" i="4"/>
  <c r="H102" i="4"/>
  <c r="H965" i="4"/>
  <c r="H949" i="4"/>
  <c r="H933" i="4"/>
  <c r="H917" i="4"/>
  <c r="H901" i="4"/>
  <c r="H885" i="4"/>
  <c r="H869" i="4"/>
  <c r="H854" i="4"/>
  <c r="H838" i="4"/>
  <c r="H822" i="4"/>
  <c r="H806" i="4"/>
  <c r="H790" i="4"/>
  <c r="H776" i="4"/>
  <c r="H760" i="4"/>
  <c r="H744" i="4"/>
  <c r="H728" i="4"/>
  <c r="H712" i="4"/>
  <c r="H696" i="4"/>
  <c r="H681" i="4"/>
  <c r="H665" i="4"/>
  <c r="H649" i="4"/>
  <c r="H627" i="4"/>
  <c r="H598" i="4"/>
  <c r="H547" i="4"/>
  <c r="H483" i="4"/>
  <c r="H421" i="4"/>
  <c r="H218" i="4"/>
  <c r="H1460" i="4"/>
  <c r="H1459" i="4"/>
  <c r="H104" i="4"/>
  <c r="H1452" i="4"/>
  <c r="H1449" i="4"/>
  <c r="H1447" i="4"/>
  <c r="H118" i="4"/>
  <c r="H1444" i="4"/>
  <c r="H1442" i="4"/>
  <c r="H17" i="4"/>
  <c r="H87" i="4"/>
  <c r="H127" i="4"/>
  <c r="H1432" i="4"/>
  <c r="H11" i="4"/>
  <c r="H1426" i="4"/>
  <c r="H1423" i="4"/>
  <c r="H1419" i="4"/>
  <c r="H1415" i="4"/>
  <c r="H1411" i="4"/>
  <c r="H1407" i="4"/>
  <c r="H1403" i="4"/>
  <c r="H1399" i="4"/>
  <c r="H1395" i="4"/>
  <c r="H1391" i="4"/>
  <c r="H1387" i="4"/>
  <c r="H1383" i="4"/>
  <c r="H1379" i="4"/>
  <c r="H1375" i="4"/>
  <c r="H1372" i="4"/>
  <c r="H1369" i="4"/>
  <c r="H1365" i="4"/>
  <c r="H1361" i="4"/>
  <c r="H1357" i="4"/>
  <c r="H1353" i="4"/>
  <c r="H1349" i="4"/>
  <c r="H1345" i="4"/>
  <c r="H1341" i="4"/>
  <c r="H1337" i="4"/>
  <c r="H1333" i="4"/>
  <c r="H1329" i="4"/>
  <c r="H1326" i="4"/>
  <c r="H1322" i="4"/>
  <c r="H1318" i="4"/>
  <c r="H1314" i="4"/>
  <c r="H1310" i="4"/>
  <c r="H1306" i="4"/>
  <c r="H1302" i="4"/>
  <c r="H1298" i="4"/>
  <c r="H1294" i="4"/>
  <c r="H1290" i="4"/>
  <c r="H94" i="4"/>
  <c r="H1286" i="4"/>
  <c r="H37" i="4"/>
  <c r="H1279" i="4"/>
  <c r="H1276" i="4"/>
  <c r="H1274" i="4"/>
  <c r="H1270" i="4"/>
  <c r="H1266" i="4"/>
  <c r="H1263" i="4"/>
  <c r="H1259" i="4"/>
  <c r="H1255" i="4"/>
  <c r="H1251" i="4"/>
  <c r="H1248" i="4"/>
  <c r="H109" i="4"/>
  <c r="H1241" i="4"/>
  <c r="H1238" i="4"/>
  <c r="H1234" i="4"/>
  <c r="H1231" i="4"/>
  <c r="H1227" i="4"/>
  <c r="H1223" i="4"/>
  <c r="H1219" i="4"/>
  <c r="H1215" i="4"/>
  <c r="H1211" i="4"/>
  <c r="H1208" i="4"/>
  <c r="H1204" i="4"/>
  <c r="H1200" i="4"/>
  <c r="H1196" i="4"/>
  <c r="H1192" i="4"/>
  <c r="H1188" i="4"/>
  <c r="H1184" i="4"/>
  <c r="H1180" i="4"/>
  <c r="H1176" i="4"/>
  <c r="H1172" i="4"/>
  <c r="H1168" i="4"/>
  <c r="H1164" i="4"/>
  <c r="H1160" i="4"/>
  <c r="H1156" i="4"/>
  <c r="H1152" i="4"/>
  <c r="H1148" i="4"/>
  <c r="H1144" i="4"/>
  <c r="H106" i="4"/>
  <c r="H1138" i="4"/>
  <c r="H1134" i="4"/>
  <c r="H1130" i="4"/>
  <c r="H1126" i="4"/>
  <c r="H1123" i="4"/>
  <c r="H1119" i="4"/>
  <c r="H1115" i="4"/>
  <c r="H89" i="4"/>
  <c r="H1108" i="4"/>
  <c r="H10" i="4"/>
  <c r="H1101" i="4"/>
  <c r="H1097" i="4"/>
  <c r="H1093" i="4"/>
  <c r="H1090" i="4"/>
  <c r="H1087" i="4"/>
  <c r="H16" i="4"/>
  <c r="H1082" i="4"/>
  <c r="H1079" i="4"/>
  <c r="H1075" i="4"/>
  <c r="H1071" i="4"/>
  <c r="H1067" i="4"/>
  <c r="H1063" i="4"/>
  <c r="H1059" i="4"/>
  <c r="H9" i="4"/>
  <c r="H1053" i="4"/>
  <c r="H1049" i="4"/>
  <c r="H1045" i="4"/>
  <c r="H1041" i="4"/>
  <c r="H1037" i="4"/>
  <c r="H1033" i="4"/>
  <c r="H1029" i="4"/>
  <c r="H1025" i="4"/>
  <c r="H1021" i="4"/>
  <c r="H1017" i="4"/>
  <c r="H1014" i="4"/>
  <c r="H1010" i="4"/>
  <c r="H1007" i="4"/>
  <c r="H1003" i="4"/>
  <c r="H999" i="4"/>
  <c r="H995" i="4"/>
  <c r="H991" i="4"/>
  <c r="H987" i="4"/>
  <c r="H983" i="4"/>
  <c r="H980" i="4"/>
  <c r="H976" i="4"/>
  <c r="H972" i="4"/>
  <c r="H968" i="4"/>
  <c r="H964" i="4"/>
  <c r="H960" i="4"/>
  <c r="H956" i="4"/>
  <c r="H952" i="4"/>
  <c r="H948" i="4"/>
  <c r="H944" i="4"/>
  <c r="H940" i="4"/>
  <c r="H936" i="4"/>
  <c r="H932" i="4"/>
  <c r="H928" i="4"/>
  <c r="H924" i="4"/>
  <c r="H920" i="4"/>
  <c r="H916" i="4"/>
  <c r="H912" i="4"/>
  <c r="H908" i="4"/>
  <c r="H904" i="4"/>
  <c r="H900" i="4"/>
  <c r="H896" i="4"/>
  <c r="H892" i="4"/>
  <c r="H888" i="4"/>
  <c r="H884" i="4"/>
  <c r="H880" i="4"/>
  <c r="H876" i="4"/>
  <c r="H872" i="4"/>
  <c r="H868" i="4"/>
  <c r="H864" i="4"/>
  <c r="H8" i="4"/>
  <c r="H857" i="4"/>
  <c r="H853" i="4"/>
  <c r="H849" i="4"/>
  <c r="H845" i="4"/>
  <c r="H841" i="4"/>
  <c r="H837" i="4"/>
  <c r="H833" i="4"/>
  <c r="H829" i="4"/>
  <c r="H825" i="4"/>
  <c r="H821" i="4"/>
  <c r="H817" i="4"/>
  <c r="H813" i="4"/>
  <c r="H809" i="4"/>
  <c r="H805" i="4"/>
  <c r="H801" i="4"/>
  <c r="H797" i="4"/>
  <c r="H793" i="4"/>
  <c r="H789" i="4"/>
  <c r="H785" i="4"/>
  <c r="H101" i="4"/>
  <c r="H779" i="4"/>
  <c r="H775" i="4"/>
  <c r="H771" i="4"/>
  <c r="H767" i="4"/>
  <c r="H763" i="4"/>
  <c r="H759" i="4"/>
  <c r="H755" i="4"/>
  <c r="H751" i="4"/>
  <c r="H747" i="4"/>
  <c r="H743" i="4"/>
  <c r="H739" i="4"/>
  <c r="H735" i="4"/>
  <c r="H731" i="4"/>
  <c r="H727" i="4"/>
  <c r="H723" i="4"/>
  <c r="H719" i="4"/>
  <c r="H715" i="4"/>
  <c r="H711" i="4"/>
  <c r="H707" i="4"/>
  <c r="H703" i="4"/>
  <c r="H699" i="4"/>
  <c r="H695" i="4"/>
  <c r="H692" i="4"/>
  <c r="H688" i="4"/>
  <c r="H684" i="4"/>
  <c r="H680" i="4"/>
  <c r="H676" i="4"/>
  <c r="H672" i="4"/>
  <c r="H668" i="4"/>
  <c r="H664" i="4"/>
  <c r="H661" i="4"/>
  <c r="H657" i="4"/>
  <c r="H653" i="4"/>
  <c r="H647" i="4"/>
  <c r="H642" i="4"/>
  <c r="H637" i="4"/>
  <c r="H114" i="4"/>
  <c r="H624" i="4"/>
  <c r="H619" i="4"/>
  <c r="H611" i="4"/>
  <c r="H603" i="4"/>
  <c r="H595" i="4"/>
  <c r="H587" i="4"/>
  <c r="H575" i="4"/>
  <c r="H559" i="4"/>
  <c r="H543" i="4"/>
  <c r="H527" i="4"/>
  <c r="H511" i="4"/>
  <c r="H495" i="4"/>
  <c r="H479" i="4"/>
  <c r="H463" i="4"/>
  <c r="H447" i="4"/>
  <c r="H431" i="4"/>
  <c r="H417" i="4"/>
  <c r="H390" i="4"/>
  <c r="H327" i="4"/>
  <c r="H265" i="4"/>
  <c r="H203" i="4"/>
  <c r="H140" i="4"/>
  <c r="H1455" i="4"/>
  <c r="H97" i="4"/>
  <c r="H1448" i="4"/>
  <c r="H122" i="4"/>
  <c r="H116" i="4"/>
  <c r="H1443" i="4"/>
  <c r="H1441" i="4"/>
  <c r="H1439" i="4"/>
  <c r="H1437" i="4"/>
  <c r="H1435" i="4"/>
  <c r="H15" i="4"/>
  <c r="H1429" i="4"/>
  <c r="H1425" i="4"/>
  <c r="H1422" i="4"/>
  <c r="H1418" i="4"/>
  <c r="H1414" i="4"/>
  <c r="H1410" i="4"/>
  <c r="H1406" i="4"/>
  <c r="H1402" i="4"/>
  <c r="H1398" i="4"/>
  <c r="H1394" i="4"/>
  <c r="H1390" i="4"/>
  <c r="H1386" i="4"/>
  <c r="H1382" i="4"/>
  <c r="H1378" i="4"/>
  <c r="H1374" i="4"/>
  <c r="H1371" i="4"/>
  <c r="H1368" i="4"/>
  <c r="H1364" i="4"/>
  <c r="H1360" i="4"/>
  <c r="H1356" i="4"/>
  <c r="H1352" i="4"/>
  <c r="H1348" i="4"/>
  <c r="H1344" i="4"/>
  <c r="H1340" i="4"/>
  <c r="H1336" i="4"/>
  <c r="H1332" i="4"/>
  <c r="H1328" i="4"/>
  <c r="H1325" i="4"/>
  <c r="H1321" i="4"/>
  <c r="H1317" i="4"/>
  <c r="H1313" i="4"/>
  <c r="H1309" i="4"/>
  <c r="H1305" i="4"/>
  <c r="H1301" i="4"/>
  <c r="H1297" i="4"/>
  <c r="H1293" i="4"/>
  <c r="H1289" i="4"/>
  <c r="H69" i="4"/>
  <c r="H1285" i="4"/>
  <c r="H1282" i="4"/>
  <c r="H1278" i="4"/>
  <c r="H50" i="4"/>
  <c r="H1273" i="4"/>
  <c r="H1269" i="4"/>
  <c r="H1265" i="4"/>
  <c r="H1262" i="4"/>
  <c r="H1258" i="4"/>
  <c r="H1254" i="4"/>
  <c r="H107" i="4"/>
  <c r="H1247" i="4"/>
  <c r="H1244" i="4"/>
  <c r="H1240" i="4"/>
  <c r="H1237" i="4"/>
  <c r="H74" i="4"/>
  <c r="H1230" i="4"/>
  <c r="H1226" i="4"/>
  <c r="H1222" i="4"/>
  <c r="H1218" i="4"/>
  <c r="H1214" i="4"/>
  <c r="H1210" i="4"/>
  <c r="H1207" i="4"/>
  <c r="H1203" i="4"/>
  <c r="H1199" i="4"/>
  <c r="H1195" i="4"/>
  <c r="H1191" i="4"/>
  <c r="H1187" i="4"/>
  <c r="H1183" i="4"/>
  <c r="H1179" i="4"/>
  <c r="H1175" i="4"/>
  <c r="H1171" i="4"/>
  <c r="H1167" i="4"/>
  <c r="H1163" i="4"/>
  <c r="H1159" i="4"/>
  <c r="H1155" i="4"/>
  <c r="H1151" i="4"/>
  <c r="H1147" i="4"/>
  <c r="H1143" i="4"/>
  <c r="H1141" i="4"/>
  <c r="H1137" i="4"/>
  <c r="H1133" i="4"/>
  <c r="H1129" i="4"/>
  <c r="H1125" i="4"/>
  <c r="H1122" i="4"/>
  <c r="H1118" i="4"/>
  <c r="H1114" i="4"/>
  <c r="H1111" i="4"/>
  <c r="H1107" i="4"/>
  <c r="H1104" i="4"/>
  <c r="H1100" i="4"/>
  <c r="H1096" i="4"/>
  <c r="H1092" i="4"/>
  <c r="H1089" i="4"/>
  <c r="H1086" i="4"/>
  <c r="H1084" i="4"/>
  <c r="H84" i="4"/>
  <c r="H1078" i="4"/>
  <c r="H1074" i="4"/>
  <c r="H1070" i="4"/>
  <c r="H1066" i="4"/>
  <c r="H1062" i="4"/>
  <c r="H1058" i="4"/>
  <c r="H1056" i="4"/>
  <c r="H1052" i="4"/>
  <c r="H1048" i="4"/>
  <c r="H1044" i="4"/>
  <c r="H1040" i="4"/>
  <c r="H1036" i="4"/>
  <c r="H1032" i="4"/>
  <c r="H1028" i="4"/>
  <c r="H1024" i="4"/>
  <c r="H1020" i="4"/>
  <c r="H62" i="4"/>
  <c r="H1013" i="4"/>
  <c r="H1009" i="4"/>
  <c r="H1006" i="4"/>
  <c r="H1002" i="4"/>
  <c r="H998" i="4"/>
  <c r="H994" i="4"/>
  <c r="H990" i="4"/>
  <c r="H986" i="4"/>
  <c r="H982" i="4"/>
  <c r="H979" i="4"/>
  <c r="H975" i="4"/>
  <c r="H971" i="4"/>
  <c r="H967" i="4"/>
  <c r="H963" i="4"/>
  <c r="H959" i="4"/>
  <c r="H955" i="4"/>
  <c r="H951" i="4"/>
  <c r="H947" i="4"/>
  <c r="H943" i="4"/>
  <c r="H939" i="4"/>
  <c r="H935" i="4"/>
  <c r="H931" i="4"/>
  <c r="H927" i="4"/>
  <c r="H923" i="4"/>
  <c r="H919" i="4"/>
  <c r="H915" i="4"/>
  <c r="H911" i="4"/>
  <c r="H907" i="4"/>
  <c r="H903" i="4"/>
  <c r="H899" i="4"/>
  <c r="H895" i="4"/>
  <c r="H891" i="4"/>
  <c r="H887" i="4"/>
  <c r="H883" i="4"/>
  <c r="H879" i="4"/>
  <c r="H875" i="4"/>
  <c r="H871" i="4"/>
  <c r="H867" i="4"/>
  <c r="H863" i="4"/>
  <c r="H860" i="4"/>
  <c r="H856" i="4"/>
  <c r="H852" i="4"/>
  <c r="H848" i="4"/>
  <c r="H844" i="4"/>
  <c r="H840" i="4"/>
  <c r="H836" i="4"/>
  <c r="H832" i="4"/>
  <c r="H828" i="4"/>
  <c r="H824" i="4"/>
  <c r="H820" i="4"/>
  <c r="H816" i="4"/>
  <c r="H812" i="4"/>
  <c r="H808" i="4"/>
  <c r="H804" i="4"/>
  <c r="H800" i="4"/>
  <c r="H796" i="4"/>
  <c r="H792" i="4"/>
  <c r="H788" i="4"/>
  <c r="H784" i="4"/>
  <c r="H782" i="4"/>
  <c r="H778" i="4"/>
  <c r="H774" i="4"/>
  <c r="H770" i="4"/>
  <c r="H766" i="4"/>
  <c r="H762" i="4"/>
  <c r="H758" i="4"/>
  <c r="H754" i="4"/>
  <c r="H750" i="4"/>
  <c r="H746" i="4"/>
  <c r="H742" i="4"/>
  <c r="H738" i="4"/>
  <c r="H734" i="4"/>
  <c r="H730" i="4"/>
  <c r="H726" i="4"/>
  <c r="H722" i="4"/>
  <c r="H718" i="4"/>
  <c r="H714" i="4"/>
  <c r="H710" i="4"/>
  <c r="H706" i="4"/>
  <c r="H702" i="4"/>
  <c r="H698" i="4"/>
  <c r="H694" i="4"/>
  <c r="H691" i="4"/>
  <c r="H687" i="4"/>
  <c r="H683" i="4"/>
  <c r="H679" i="4"/>
  <c r="H675" i="4"/>
  <c r="H671" i="4"/>
  <c r="H667" i="4"/>
  <c r="H86" i="4"/>
  <c r="H660" i="4"/>
  <c r="H656" i="4"/>
  <c r="H651" i="4"/>
  <c r="H646" i="4"/>
  <c r="H641" i="4"/>
  <c r="H635" i="4"/>
  <c r="H631" i="4"/>
  <c r="H81" i="4"/>
  <c r="H618" i="4"/>
  <c r="H610" i="4"/>
  <c r="H602" i="4"/>
  <c r="H594" i="4"/>
  <c r="H586" i="4"/>
  <c r="H571" i="4"/>
  <c r="H555" i="4"/>
  <c r="H539" i="4"/>
  <c r="H523" i="4"/>
  <c r="H507" i="4"/>
  <c r="H491" i="4"/>
  <c r="H475" i="4"/>
  <c r="H459" i="4"/>
  <c r="H443" i="4"/>
  <c r="H428" i="4"/>
  <c r="H413" i="4"/>
  <c r="H374" i="4"/>
  <c r="H311" i="4"/>
  <c r="H250" i="4"/>
  <c r="H187" i="4"/>
  <c r="H1506" i="4"/>
  <c r="H1502" i="4"/>
  <c r="H1499" i="4"/>
  <c r="H1495" i="4"/>
  <c r="H1491" i="4"/>
  <c r="H85" i="4"/>
  <c r="H46" i="4"/>
  <c r="H108" i="4"/>
  <c r="H1489" i="4"/>
  <c r="H38" i="4"/>
  <c r="H95" i="4"/>
  <c r="H33" i="4"/>
  <c r="H1486" i="4"/>
  <c r="H27" i="4"/>
  <c r="H1482" i="4"/>
  <c r="H40" i="4"/>
  <c r="H14" i="4"/>
  <c r="H105" i="4"/>
  <c r="H126" i="4"/>
  <c r="H13" i="4"/>
  <c r="H19" i="4"/>
  <c r="H1470" i="4"/>
  <c r="H1467" i="4"/>
  <c r="H128" i="4"/>
  <c r="H25" i="4"/>
  <c r="H18" i="4"/>
  <c r="H1457" i="4"/>
  <c r="H1454" i="4"/>
  <c r="H1451" i="4"/>
  <c r="H91" i="4"/>
  <c r="H120" i="4"/>
  <c r="H43" i="4"/>
  <c r="H42" i="4"/>
  <c r="H1440" i="4"/>
  <c r="H52" i="4"/>
  <c r="H1436" i="4"/>
  <c r="H1434" i="4"/>
  <c r="H1431" i="4"/>
  <c r="H1428" i="4"/>
  <c r="H1424" i="4"/>
  <c r="H1421" i="4"/>
  <c r="H1417" i="4"/>
  <c r="H1413" i="4"/>
  <c r="H1409" i="4"/>
  <c r="H1405" i="4"/>
  <c r="H1401" i="4"/>
  <c r="H1397" i="4"/>
  <c r="H1393" i="4"/>
  <c r="H1389" i="4"/>
  <c r="H1385" i="4"/>
  <c r="H1381" i="4"/>
  <c r="H1377" i="4"/>
  <c r="H96" i="4"/>
  <c r="H117" i="4"/>
  <c r="H1367" i="4"/>
  <c r="H1363" i="4"/>
  <c r="H1359" i="4"/>
  <c r="H1355" i="4"/>
  <c r="H1351" i="4"/>
  <c r="H1347" i="4"/>
  <c r="H1343" i="4"/>
  <c r="H1339" i="4"/>
  <c r="H1335" i="4"/>
  <c r="H1331" i="4"/>
  <c r="H1327" i="4"/>
  <c r="H1324" i="4"/>
  <c r="H1320" i="4"/>
  <c r="H1316" i="4"/>
  <c r="H1312" i="4"/>
  <c r="H1308" i="4"/>
  <c r="H1304" i="4"/>
  <c r="H1300" i="4"/>
  <c r="H1296" i="4"/>
  <c r="H1292" i="4"/>
  <c r="H103" i="4"/>
  <c r="H119" i="4"/>
  <c r="H1284" i="4"/>
  <c r="H1281" i="4"/>
  <c r="H93" i="4"/>
  <c r="H48" i="4"/>
  <c r="H1272" i="4"/>
  <c r="H1268" i="4"/>
  <c r="H1264" i="4"/>
  <c r="H1261" i="4"/>
  <c r="H1257" i="4"/>
  <c r="H1253" i="4"/>
  <c r="H1250" i="4"/>
  <c r="H1246" i="4"/>
  <c r="H1243" i="4"/>
  <c r="H1239" i="4"/>
  <c r="H1236" i="4"/>
  <c r="H1233" i="4"/>
  <c r="H1229" i="4"/>
  <c r="H1225" i="4"/>
  <c r="H1221" i="4"/>
  <c r="H1217" i="4"/>
  <c r="H1213" i="4"/>
  <c r="H58" i="4"/>
  <c r="H1206" i="4"/>
  <c r="H1202" i="4"/>
  <c r="H1198" i="4"/>
  <c r="H1194" i="4"/>
  <c r="H1190" i="4"/>
  <c r="H1186" i="4"/>
  <c r="H1182" i="4"/>
  <c r="H1178" i="4"/>
  <c r="H1174" i="4"/>
  <c r="H1170" i="4"/>
  <c r="H1166" i="4"/>
  <c r="H1162" i="4"/>
  <c r="H1158" i="4"/>
  <c r="H1154" i="4"/>
  <c r="H1150" i="4"/>
  <c r="H1146" i="4"/>
  <c r="H47" i="4"/>
  <c r="H1140" i="4"/>
  <c r="H1136" i="4"/>
  <c r="H1132" i="4"/>
  <c r="H1128" i="4"/>
  <c r="H1124" i="4"/>
  <c r="H1121" i="4"/>
  <c r="H1117" i="4"/>
  <c r="H1113" i="4"/>
  <c r="H1110" i="4"/>
  <c r="H1106" i="4"/>
  <c r="H1103" i="4"/>
  <c r="H1099" i="4"/>
  <c r="H1095" i="4"/>
  <c r="H72" i="4"/>
  <c r="H1088" i="4"/>
  <c r="H1085" i="4"/>
  <c r="H51" i="4"/>
  <c r="H1081" i="4"/>
  <c r="H1077" i="4"/>
  <c r="H1073" i="4"/>
  <c r="H1069" i="4"/>
  <c r="H1065" i="4"/>
  <c r="H1061" i="4"/>
  <c r="H68" i="4"/>
  <c r="H1055" i="4"/>
  <c r="H1051" i="4"/>
  <c r="H1047" i="4"/>
  <c r="H1043" i="4"/>
  <c r="H1039" i="4"/>
  <c r="H1035" i="4"/>
  <c r="H1031" i="4"/>
  <c r="H1027" i="4"/>
  <c r="H1023" i="4"/>
  <c r="H1019" i="4"/>
  <c r="H1016" i="4"/>
  <c r="H1012" i="4"/>
  <c r="H1008" i="4"/>
  <c r="H1005" i="4"/>
  <c r="H1001" i="4"/>
  <c r="H997" i="4"/>
  <c r="H993" i="4"/>
  <c r="H989" i="4"/>
  <c r="H985" i="4"/>
  <c r="H981" i="4"/>
  <c r="H978" i="4"/>
  <c r="H974" i="4"/>
  <c r="H970" i="4"/>
  <c r="H966" i="4"/>
  <c r="H962" i="4"/>
  <c r="H958" i="4"/>
  <c r="H954" i="4"/>
  <c r="H950" i="4"/>
  <c r="H946" i="4"/>
  <c r="H942" i="4"/>
  <c r="H938" i="4"/>
  <c r="H934" i="4"/>
  <c r="H930" i="4"/>
  <c r="H926" i="4"/>
  <c r="H922" i="4"/>
  <c r="H918" i="4"/>
  <c r="H914" i="4"/>
  <c r="H910" i="4"/>
  <c r="H906" i="4"/>
  <c r="H902" i="4"/>
  <c r="H898" i="4"/>
  <c r="H894" i="4"/>
  <c r="H890" i="4"/>
  <c r="H886" i="4"/>
  <c r="H882" i="4"/>
  <c r="H878" i="4"/>
  <c r="H874" i="4"/>
  <c r="H870" i="4"/>
  <c r="H866" i="4"/>
  <c r="H862" i="4"/>
  <c r="H859" i="4"/>
  <c r="H855" i="4"/>
  <c r="H851" i="4"/>
  <c r="H847" i="4"/>
  <c r="H843" i="4"/>
  <c r="H839" i="4"/>
  <c r="H835" i="4"/>
  <c r="H831" i="4"/>
  <c r="H827" i="4"/>
  <c r="H823" i="4"/>
  <c r="H819" i="4"/>
  <c r="H815" i="4"/>
  <c r="H811" i="4"/>
  <c r="H807" i="4"/>
  <c r="H803" i="4"/>
  <c r="H799" i="4"/>
  <c r="H795" i="4"/>
  <c r="H791" i="4"/>
  <c r="H787" i="4"/>
  <c r="H783" i="4"/>
  <c r="H781" i="4"/>
  <c r="H777" i="4"/>
  <c r="H773" i="4"/>
  <c r="H769" i="4"/>
  <c r="H765" i="4"/>
  <c r="H761" i="4"/>
  <c r="H757" i="4"/>
  <c r="H753" i="4"/>
  <c r="H749" i="4"/>
  <c r="H745" i="4"/>
  <c r="H741" i="4"/>
  <c r="H737" i="4"/>
  <c r="H733" i="4"/>
  <c r="H729" i="4"/>
  <c r="H725" i="4"/>
  <c r="H721" i="4"/>
  <c r="H717" i="4"/>
  <c r="H713" i="4"/>
  <c r="H709" i="4"/>
  <c r="H705" i="4"/>
  <c r="H701" i="4"/>
  <c r="H697" i="4"/>
  <c r="H99" i="4"/>
  <c r="H690" i="4"/>
  <c r="H686" i="4"/>
  <c r="H682" i="4"/>
  <c r="H678" i="4"/>
  <c r="H674" i="4"/>
  <c r="H670" i="4"/>
  <c r="H666" i="4"/>
  <c r="H663" i="4"/>
  <c r="H659" i="4"/>
  <c r="H655" i="4"/>
  <c r="H650" i="4"/>
  <c r="H645" i="4"/>
  <c r="H639" i="4"/>
  <c r="H634" i="4"/>
  <c r="H628" i="4"/>
  <c r="H623" i="4"/>
  <c r="H615" i="4"/>
  <c r="H607" i="4"/>
  <c r="H599" i="4"/>
  <c r="H591" i="4"/>
  <c r="H583" i="4"/>
  <c r="H567" i="4"/>
  <c r="H551" i="4"/>
  <c r="H535" i="4"/>
  <c r="H519" i="4"/>
  <c r="H503" i="4"/>
  <c r="H487" i="4"/>
  <c r="H471" i="4"/>
  <c r="H455" i="4"/>
  <c r="H439" i="4"/>
  <c r="H424" i="4"/>
  <c r="H409" i="4"/>
  <c r="H358" i="4"/>
  <c r="H296" i="4"/>
  <c r="H234" i="4"/>
  <c r="H171" i="4"/>
  <c r="H652" i="4"/>
  <c r="H648" i="4"/>
  <c r="H644" i="4"/>
  <c r="H640" i="4"/>
  <c r="H636" i="4"/>
  <c r="H632" i="4"/>
  <c r="H629" i="4"/>
  <c r="H625" i="4"/>
  <c r="H78" i="4"/>
  <c r="H620" i="4"/>
  <c r="H616" i="4"/>
  <c r="H612" i="4"/>
  <c r="H608" i="4"/>
  <c r="H604" i="4"/>
  <c r="H600" i="4"/>
  <c r="H596" i="4"/>
  <c r="H592" i="4"/>
  <c r="H588" i="4"/>
  <c r="H584" i="4"/>
  <c r="H580" i="4"/>
  <c r="H576" i="4"/>
  <c r="H572" i="4"/>
  <c r="H568" i="4"/>
  <c r="H564" i="4"/>
  <c r="H560" i="4"/>
  <c r="H556" i="4"/>
  <c r="H552" i="4"/>
  <c r="H548" i="4"/>
  <c r="H544" i="4"/>
  <c r="H540" i="4"/>
  <c r="H536" i="4"/>
  <c r="H532" i="4"/>
  <c r="H528" i="4"/>
  <c r="H524" i="4"/>
  <c r="H520" i="4"/>
  <c r="H516" i="4"/>
  <c r="H512" i="4"/>
  <c r="H508" i="4"/>
  <c r="H504" i="4"/>
  <c r="H500" i="4"/>
  <c r="H496" i="4"/>
  <c r="H492" i="4"/>
  <c r="H488" i="4"/>
  <c r="H484" i="4"/>
  <c r="H480" i="4"/>
  <c r="H476" i="4"/>
  <c r="H472" i="4"/>
  <c r="H468" i="4"/>
  <c r="H464" i="4"/>
  <c r="H460" i="4"/>
  <c r="H456" i="4"/>
  <c r="H452" i="4"/>
  <c r="H448" i="4"/>
  <c r="H444" i="4"/>
  <c r="H440" i="4"/>
  <c r="H436" i="4"/>
  <c r="H432" i="4"/>
  <c r="H429" i="4"/>
  <c r="H425" i="4"/>
  <c r="H422" i="4"/>
  <c r="H418" i="4"/>
  <c r="H414" i="4"/>
  <c r="H410" i="4"/>
  <c r="H406" i="4"/>
  <c r="H394" i="4"/>
  <c r="H378" i="4"/>
  <c r="H362" i="4"/>
  <c r="H346" i="4"/>
  <c r="H331" i="4"/>
  <c r="H315" i="4"/>
  <c r="H299" i="4"/>
  <c r="H284" i="4"/>
  <c r="H269" i="4"/>
  <c r="H254" i="4"/>
  <c r="H238" i="4"/>
  <c r="H222" i="4"/>
  <c r="H206" i="4"/>
  <c r="H191" i="4"/>
  <c r="H175" i="4"/>
  <c r="H159" i="4"/>
  <c r="H143" i="4"/>
  <c r="H582" i="4"/>
  <c r="H578" i="4"/>
  <c r="H574" i="4"/>
  <c r="H570" i="4"/>
  <c r="H566" i="4"/>
  <c r="H562" i="4"/>
  <c r="H558" i="4"/>
  <c r="H554" i="4"/>
  <c r="H550" i="4"/>
  <c r="H546" i="4"/>
  <c r="H542" i="4"/>
  <c r="H538" i="4"/>
  <c r="H534" i="4"/>
  <c r="H530" i="4"/>
  <c r="H526" i="4"/>
  <c r="H522" i="4"/>
  <c r="H518" i="4"/>
  <c r="H514" i="4"/>
  <c r="H510" i="4"/>
  <c r="H506" i="4"/>
  <c r="H502" i="4"/>
  <c r="H498" i="4"/>
  <c r="H494" i="4"/>
  <c r="H490" i="4"/>
  <c r="H486" i="4"/>
  <c r="H482" i="4"/>
  <c r="H478" i="4"/>
  <c r="H474" i="4"/>
  <c r="H470" i="4"/>
  <c r="H466" i="4"/>
  <c r="H462" i="4"/>
  <c r="H458" i="4"/>
  <c r="H454" i="4"/>
  <c r="H450" i="4"/>
  <c r="H446" i="4"/>
  <c r="H442" i="4"/>
  <c r="H438" i="4"/>
  <c r="H434" i="4"/>
  <c r="H63" i="4"/>
  <c r="H427" i="4"/>
  <c r="H423" i="4"/>
  <c r="H420" i="4"/>
  <c r="H416" i="4"/>
  <c r="H412" i="4"/>
  <c r="H408" i="4"/>
  <c r="H402" i="4"/>
  <c r="H386" i="4"/>
  <c r="H370" i="4"/>
  <c r="H354" i="4"/>
  <c r="H338" i="4"/>
  <c r="H323" i="4"/>
  <c r="H307" i="4"/>
  <c r="H292" i="4"/>
  <c r="H277" i="4"/>
  <c r="H262" i="4"/>
  <c r="H246" i="4"/>
  <c r="H230" i="4"/>
  <c r="H214" i="4"/>
  <c r="H199" i="4"/>
  <c r="H183" i="4"/>
  <c r="H167" i="4"/>
  <c r="H151" i="4"/>
  <c r="H136" i="4"/>
  <c r="H630" i="4"/>
  <c r="H626" i="4"/>
  <c r="H121" i="4"/>
  <c r="H621" i="4"/>
  <c r="H617" i="4"/>
  <c r="H613" i="4"/>
  <c r="H609" i="4"/>
  <c r="H605" i="4"/>
  <c r="H601" i="4"/>
  <c r="H597" i="4"/>
  <c r="H593" i="4"/>
  <c r="H589" i="4"/>
  <c r="H585" i="4"/>
  <c r="H581" i="4"/>
  <c r="H577" i="4"/>
  <c r="H573" i="4"/>
  <c r="H569" i="4"/>
  <c r="H565" i="4"/>
  <c r="H561" i="4"/>
  <c r="H557" i="4"/>
  <c r="H553" i="4"/>
  <c r="H549" i="4"/>
  <c r="H545" i="4"/>
  <c r="H541" i="4"/>
  <c r="H537" i="4"/>
  <c r="H533" i="4"/>
  <c r="H529" i="4"/>
  <c r="H525" i="4"/>
  <c r="H521" i="4"/>
  <c r="H517" i="4"/>
  <c r="H513" i="4"/>
  <c r="H509" i="4"/>
  <c r="H505" i="4"/>
  <c r="H501" i="4"/>
  <c r="H497" i="4"/>
  <c r="H493" i="4"/>
  <c r="H489" i="4"/>
  <c r="H485" i="4"/>
  <c r="H481" i="4"/>
  <c r="H477" i="4"/>
  <c r="H473" i="4"/>
  <c r="H469" i="4"/>
  <c r="H465" i="4"/>
  <c r="H461" i="4"/>
  <c r="H457" i="4"/>
  <c r="H453" i="4"/>
  <c r="H449" i="4"/>
  <c r="H445" i="4"/>
  <c r="H441" i="4"/>
  <c r="H437" i="4"/>
  <c r="H433" i="4"/>
  <c r="H430" i="4"/>
  <c r="H426" i="4"/>
  <c r="H92" i="4"/>
  <c r="H419" i="4"/>
  <c r="H415" i="4"/>
  <c r="H411" i="4"/>
  <c r="H407" i="4"/>
  <c r="H398" i="4"/>
  <c r="H382" i="4"/>
  <c r="H366" i="4"/>
  <c r="H350" i="4"/>
  <c r="H334" i="4"/>
  <c r="H319" i="4"/>
  <c r="H303" i="4"/>
  <c r="H288" i="4"/>
  <c r="H273" i="4"/>
  <c r="H258" i="4"/>
  <c r="H242" i="4"/>
  <c r="H226" i="4"/>
  <c r="H210" i="4"/>
  <c r="H195" i="4"/>
  <c r="H179" i="4"/>
  <c r="H163" i="4"/>
  <c r="H147" i="4"/>
  <c r="H132" i="4"/>
  <c r="H401" i="4"/>
  <c r="H397" i="4"/>
  <c r="H393" i="4"/>
  <c r="H389" i="4"/>
  <c r="H385" i="4"/>
  <c r="H381" i="4"/>
  <c r="H377" i="4"/>
  <c r="H373" i="4"/>
  <c r="H369" i="4"/>
  <c r="H365" i="4"/>
  <c r="H361" i="4"/>
  <c r="H357" i="4"/>
  <c r="H353" i="4"/>
  <c r="H349" i="4"/>
  <c r="H345" i="4"/>
  <c r="H341" i="4"/>
  <c r="H337" i="4"/>
  <c r="H333" i="4"/>
  <c r="H330" i="4"/>
  <c r="H326" i="4"/>
  <c r="H322" i="4"/>
  <c r="H318" i="4"/>
  <c r="H314" i="4"/>
  <c r="H310" i="4"/>
  <c r="H306" i="4"/>
  <c r="H302" i="4"/>
  <c r="H115" i="4"/>
  <c r="H295" i="4"/>
  <c r="H291" i="4"/>
  <c r="H287" i="4"/>
  <c r="H283" i="4"/>
  <c r="H279" i="4"/>
  <c r="H276" i="4"/>
  <c r="H272" i="4"/>
  <c r="H268" i="4"/>
  <c r="H264" i="4"/>
  <c r="H261" i="4"/>
  <c r="H257" i="4"/>
  <c r="H253" i="4"/>
  <c r="H249" i="4"/>
  <c r="H245" i="4"/>
  <c r="H241" i="4"/>
  <c r="H237" i="4"/>
  <c r="H233" i="4"/>
  <c r="H229" i="4"/>
  <c r="H225" i="4"/>
  <c r="H221" i="4"/>
  <c r="H217" i="4"/>
  <c r="H213" i="4"/>
  <c r="H209" i="4"/>
  <c r="H98" i="4"/>
  <c r="H202" i="4"/>
  <c r="H198" i="4"/>
  <c r="H194" i="4"/>
  <c r="H190" i="4"/>
  <c r="H186" i="4"/>
  <c r="H182" i="4"/>
  <c r="H178" i="4"/>
  <c r="H174" i="4"/>
  <c r="H170" i="4"/>
  <c r="H166" i="4"/>
  <c r="H162" i="4"/>
  <c r="H158" i="4"/>
  <c r="H154" i="4"/>
  <c r="H150" i="4"/>
  <c r="H146" i="4"/>
  <c r="H142" i="4"/>
  <c r="H139" i="4"/>
  <c r="H135" i="4"/>
  <c r="H131" i="4"/>
  <c r="H404" i="4"/>
  <c r="H400" i="4"/>
  <c r="H396" i="4"/>
  <c r="H392" i="4"/>
  <c r="H388" i="4"/>
  <c r="H384" i="4"/>
  <c r="H380" i="4"/>
  <c r="H376" i="4"/>
  <c r="H372" i="4"/>
  <c r="H368" i="4"/>
  <c r="H364" i="4"/>
  <c r="H360" i="4"/>
  <c r="H356" i="4"/>
  <c r="H352" i="4"/>
  <c r="H348" i="4"/>
  <c r="H344" i="4"/>
  <c r="H340" i="4"/>
  <c r="H336" i="4"/>
  <c r="H332" i="4"/>
  <c r="H329" i="4"/>
  <c r="H325" i="4"/>
  <c r="H321" i="4"/>
  <c r="H317" i="4"/>
  <c r="H313" i="4"/>
  <c r="H309" i="4"/>
  <c r="H305" i="4"/>
  <c r="H301" i="4"/>
  <c r="H298" i="4"/>
  <c r="H294" i="4"/>
  <c r="H290" i="4"/>
  <c r="H286" i="4"/>
  <c r="H282" i="4"/>
  <c r="H36" i="4"/>
  <c r="H275" i="4"/>
  <c r="H271" i="4"/>
  <c r="H267" i="4"/>
  <c r="H71" i="4"/>
  <c r="H260" i="4"/>
  <c r="H256" i="4"/>
  <c r="H252" i="4"/>
  <c r="H248" i="4"/>
  <c r="H244" i="4"/>
  <c r="H240" i="4"/>
  <c r="H236" i="4"/>
  <c r="H232" i="4"/>
  <c r="H228" i="4"/>
  <c r="H224" i="4"/>
  <c r="H220" i="4"/>
  <c r="H216" i="4"/>
  <c r="H212" i="4"/>
  <c r="H208" i="4"/>
  <c r="H205" i="4"/>
  <c r="H201" i="4"/>
  <c r="H197" i="4"/>
  <c r="H193" i="4"/>
  <c r="H189" i="4"/>
  <c r="H185" i="4"/>
  <c r="H181" i="4"/>
  <c r="H177" i="4"/>
  <c r="H173" i="4"/>
  <c r="H169" i="4"/>
  <c r="H165" i="4"/>
  <c r="H161" i="4"/>
  <c r="H157" i="4"/>
  <c r="H153" i="4"/>
  <c r="H149" i="4"/>
  <c r="H145" i="4"/>
  <c r="H141" i="4"/>
  <c r="H138" i="4"/>
  <c r="H134" i="4"/>
  <c r="H403" i="4"/>
  <c r="H399" i="4"/>
  <c r="H395" i="4"/>
  <c r="H391" i="4"/>
  <c r="H387" i="4"/>
  <c r="H383" i="4"/>
  <c r="H379" i="4"/>
  <c r="H375" i="4"/>
  <c r="H371" i="4"/>
  <c r="H367" i="4"/>
  <c r="H363" i="4"/>
  <c r="H359" i="4"/>
  <c r="H355" i="4"/>
  <c r="H351" i="4"/>
  <c r="H347" i="4"/>
  <c r="H343" i="4"/>
  <c r="H339" i="4"/>
  <c r="H335" i="4"/>
  <c r="H7" i="4"/>
  <c r="H328" i="4"/>
  <c r="H324" i="4"/>
  <c r="H320" i="4"/>
  <c r="H316" i="4"/>
  <c r="H312" i="4"/>
  <c r="H308" i="4"/>
  <c r="H304" i="4"/>
  <c r="H300" i="4"/>
  <c r="H297" i="4"/>
  <c r="H293" i="4"/>
  <c r="H289" i="4"/>
  <c r="H285" i="4"/>
  <c r="H281" i="4"/>
  <c r="H278" i="4"/>
  <c r="H274" i="4"/>
  <c r="H270" i="4"/>
  <c r="H266" i="4"/>
  <c r="H263" i="4"/>
  <c r="H259" i="4"/>
  <c r="H255" i="4"/>
  <c r="H251" i="4"/>
  <c r="H247" i="4"/>
  <c r="H243" i="4"/>
  <c r="H239" i="4"/>
  <c r="H235" i="4"/>
  <c r="H231" i="4"/>
  <c r="H227" i="4"/>
  <c r="H223" i="4"/>
  <c r="H219" i="4"/>
  <c r="H215" i="4"/>
  <c r="H211" i="4"/>
  <c r="H207" i="4"/>
  <c r="H204" i="4"/>
  <c r="H200" i="4"/>
  <c r="H196" i="4"/>
  <c r="H192" i="4"/>
  <c r="H188" i="4"/>
  <c r="H184" i="4"/>
  <c r="H180" i="4"/>
  <c r="H176" i="4"/>
  <c r="H172" i="4"/>
  <c r="H168" i="4"/>
  <c r="H164" i="4"/>
  <c r="H160" i="4"/>
  <c r="H156" i="4"/>
  <c r="H152" i="4"/>
  <c r="H148" i="4"/>
  <c r="H144" i="4"/>
  <c r="H111" i="4"/>
  <c r="H137" i="4"/>
  <c r="H133" i="4"/>
</calcChain>
</file>

<file path=xl/comments1.xml><?xml version="1.0" encoding="utf-8"?>
<comments xmlns="http://schemas.openxmlformats.org/spreadsheetml/2006/main">
  <authors>
    <author>Rameen B</author>
  </authors>
  <commentList>
    <comment ref="O14" authorId="0">
      <text>
        <r>
          <rPr>
            <b/>
            <sz val="11"/>
            <color indexed="81"/>
            <rFont val="Tahoma"/>
            <family val="2"/>
          </rPr>
          <t>Rameen B:</t>
        </r>
        <r>
          <rPr>
            <sz val="9"/>
            <color indexed="81"/>
            <rFont val="Tahoma"/>
            <family val="2"/>
          </rPr>
          <t xml:space="preserve">
</t>
        </r>
        <r>
          <rPr>
            <sz val="10"/>
            <color indexed="81"/>
            <rFont val="Tahoma"/>
            <family val="2"/>
          </rPr>
          <t>This value should be the name of a range that refers to the columns to hide in a specified report, a sheet named Report_&lt;name&gt; and a table on that sheet named ReportTable_&lt;nam&gt;</t>
        </r>
      </text>
    </comment>
  </commentList>
</comments>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_.R.E.P.O.S._\Halliburton RTA Manager\Resource\SQL\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Manager/Lead' = [Assigned To Manager/Lead],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Submitted By],_x000d__x000a_[Requestor Name],_x000d__x000a_[Requestor Email],_x000d__x000a_'Mfg Start Date' = [Mfg Engineering Start Date],_x000d__x000a_'Mfg Due Date' = [Mfg Engineering Due Date],_x000d__x000a_'Complete Date' = [Complete.actual]_x000d__x000a_FROM Rta_x000d__x000a_WHERE [Lab Office] like 'WD%'_x000d__x000a_AND [State] != 'Complete' AND [State] != 'Canceled'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6"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7"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8"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9"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<sst xmlns="http://schemas.openxmlformats.org/spreadsheetml/2006/main" count="22810" uniqueCount="4087">
  <si>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</si>
  <si>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</si>
  <si>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</si>
  <si>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</si>
  <si>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</si>
  <si>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</si>
  <si>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</si>
  <si>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</si>
  <si>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</si>
  <si>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</si>
  <si>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</si>
  <si>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</si>
  <si>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</si>
  <si>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</si>
  <si>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</si>
  <si>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</si>
  <si>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</si>
  <si>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</si>
  <si>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</si>
  <si>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</si>
  <si>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</si>
  <si>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</si>
  <si>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</si>
  <si>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</si>
  <si>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</si>
  <si>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</si>
  <si>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</si>
  <si>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</si>
  <si>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</si>
  <si>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</si>
  <si>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</si>
  <si>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</si>
  <si>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</si>
  <si>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</si>
  <si>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</si>
  <si>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</si>
  <si>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</si>
  <si>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</si>
  <si>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</si>
  <si>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</si>
  <si>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</si>
  <si>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</si>
  <si>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</si>
  <si>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</si>
  <si>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</si>
  <si>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</si>
  <si>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</si>
  <si>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</si>
  <si>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</si>
  <si>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</si>
  <si>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</si>
  <si>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</si>
  <si>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</si>
  <si>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</si>
  <si>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</si>
  <si>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</si>
  <si>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</si>
  <si>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</si>
  <si>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</si>
  <si>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</si>
  <si>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</si>
  <si>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</si>
  <si>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</si>
  <si>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</si>
  <si>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</si>
  <si>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</si>
  <si>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</si>
  <si>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</si>
  <si>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</si>
  <si>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</si>
  <si>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</si>
  <si>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</si>
  <si>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</si>
  <si>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</si>
  <si>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</si>
  <si>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</si>
  <si>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</si>
  <si>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</si>
  <si>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</si>
  <si>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</si>
  <si>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</si>
  <si>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</si>
  <si>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</si>
  <si>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</si>
  <si>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</si>
  <si>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</si>
  <si>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</si>
  <si>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</si>
  <si>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</si>
  <si>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</si>
  <si>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</si>
  <si>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</si>
  <si>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</si>
  <si>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</si>
  <si>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</si>
  <si>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</si>
  <si>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</si>
  <si>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</si>
  <si>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</si>
  <si>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</si>
  <si>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</si>
  <si>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</si>
  <si>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</si>
  <si>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</si>
  <si>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</si>
  <si>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</si>
  <si>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</si>
  <si>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</si>
  <si>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</si>
  <si>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</si>
  <si>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</si>
  <si>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</si>
  <si>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</si>
  <si>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</si>
  <si>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</si>
  <si>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</si>
  <si>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</si>
  <si>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</si>
  <si>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</si>
  <si>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</si>
  <si>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</si>
  <si>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</si>
  <si>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</si>
  <si>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</si>
  <si>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</si>
  <si>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</si>
  <si>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</si>
  <si>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</si>
  <si>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</si>
  <si>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</si>
  <si>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</si>
  <si>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</si>
  <si>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</si>
  <si>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</si>
  <si>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</si>
  <si>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</si>
  <si>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</si>
  <si>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</si>
  <si>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</si>
  <si>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</si>
  <si>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</si>
  <si>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</si>
  <si>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</si>
  <si>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</si>
  <si>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</si>
  <si>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</si>
  <si>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</si>
  <si>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</si>
  <si>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</si>
  <si>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</si>
  <si>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</si>
  <si>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</si>
  <si>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</si>
  <si>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</si>
  <si>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</si>
  <si>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</si>
  <si>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</si>
  <si>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</si>
  <si>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</si>
  <si>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</si>
  <si>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</si>
  <si>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</si>
  <si>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</si>
  <si>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</si>
  <si>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</si>
  <si>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</si>
  <si>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</si>
  <si>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</si>
  <si>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</si>
  <si>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</si>
  <si>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</si>
  <si>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</si>
  <si>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</si>
  <si>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</si>
  <si>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</si>
  <si>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</si>
  <si>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</si>
  <si>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</si>
  <si>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</si>
  <si>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</si>
  <si>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</si>
  <si>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</si>
  <si>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</si>
  <si>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</si>
  <si>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</si>
  <si>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</si>
  <si>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</si>
  <si>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</si>
  <si>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</si>
  <si>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</si>
  <si>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</si>
  <si>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</si>
  <si>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</si>
  <si>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</si>
  <si>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</si>
  <si>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</si>
  <si>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</si>
  <si>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</si>
  <si>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</si>
  <si>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</si>
  <si>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</si>
  <si>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</si>
  <si>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</si>
  <si>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</si>
  <si>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</si>
  <si>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</si>
  <si>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</si>
  <si>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</si>
  <si>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</si>
  <si>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</si>
  <si>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</si>
  <si>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</si>
  <si>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</si>
  <si>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</si>
  <si>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</si>
  <si>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</si>
  <si>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</si>
  <si>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</si>
  <si>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</si>
  <si>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</si>
  <si>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</si>
  <si>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</si>
  <si>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</si>
  <si>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</si>
  <si>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</si>
  <si>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</si>
  <si>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</si>
  <si>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</si>
  <si>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</si>
  <si>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ROC-H TEST APPLICATION 9381-1003 REV 3 SHOULD HAVE A FEATURE TO LOAD THE ADDRESS OF GAUGE WHEN A COF2 FILE IS LOADED.  THE SOFTWARE SHOULD BE MODIFIED TO REV D.</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</si>
  <si>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</si>
  <si>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</si>
  <si>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</si>
  <si>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</si>
  <si>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</si>
  <si>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</si>
  <si>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</si>
  <si>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</si>
  <si>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</si>
  <si>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</si>
  <si>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</si>
  <si>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</si>
  <si>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</si>
  <si>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</si>
  <si>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</si>
  <si>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</si>
  <si>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</si>
  <si>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</si>
  <si>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</si>
  <si>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</si>
  <si>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</si>
  <si>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</si>
  <si>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</si>
  <si>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</si>
  <si>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</si>
  <si>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</si>
  <si>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</si>
  <si>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</si>
  <si>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</si>
  <si>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</si>
  <si>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</si>
  <si>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</si>
  <si>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</si>
  <si>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</si>
  <si>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</si>
  <si>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</si>
  <si>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</si>
  <si>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</si>
  <si>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</si>
  <si>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</si>
  <si>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</si>
  <si>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</si>
  <si>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</si>
  <si>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</si>
  <si>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</si>
  <si>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</si>
  <si>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</si>
  <si>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</si>
  <si>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</si>
  <si>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</si>
  <si>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</si>
  <si>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</si>
  <si>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</si>
  <si>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</si>
  <si>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</si>
  <si>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</si>
  <si>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</si>
  <si>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</si>
  <si>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</si>
  <si>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</si>
  <si>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</si>
  <si>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</si>
  <si>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</si>
  <si>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</si>
  <si>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</si>
  <si>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</si>
  <si>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</si>
  <si>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</si>
  <si>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</si>
  <si>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</si>
  <si>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</si>
  <si>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</si>
  <si>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</si>
  <si>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</si>
  <si>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</si>
  <si>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</si>
  <si>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</si>
  <si>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</si>
  <si>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</si>
  <si>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</si>
  <si>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</si>
  <si>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</si>
  <si>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</si>
  <si>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</si>
  <si>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</si>
  <si>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</si>
  <si>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</si>
  <si>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</si>
  <si>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</si>
  <si>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</si>
  <si>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</si>
  <si>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</si>
  <si>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</si>
  <si>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</si>
  <si>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</si>
  <si>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</si>
  <si>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</si>
  <si>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</si>
  <si>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</si>
  <si>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</si>
  <si>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</si>
  <si>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</si>
  <si>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</si>
  <si>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</si>
  <si>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</si>
  <si>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</si>
  <si>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</si>
  <si>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</si>
  <si>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</si>
  <si>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</si>
  <si>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</si>
  <si>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</si>
  <si>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</si>
  <si>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</si>
  <si>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</si>
  <si>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</si>
  <si>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</si>
  <si>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</si>
  <si>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</si>
  <si>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</si>
  <si>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</si>
  <si>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</si>
  <si>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</si>
  <si>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</si>
  <si>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</si>
  <si>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</si>
  <si>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</si>
  <si>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</si>
  <si>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</si>
  <si>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</si>
  <si>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</si>
  <si>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</si>
  <si>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</si>
  <si>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</si>
  <si>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</si>
  <si>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</si>
  <si>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</si>
  <si>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</si>
  <si>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</si>
  <si>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</si>
  <si>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</si>
  <si>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</si>
  <si>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</si>
  <si>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</si>
  <si>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</si>
  <si>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</si>
  <si>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</si>
  <si>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</si>
  <si>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</si>
  <si>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</si>
  <si>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</si>
  <si>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</si>
  <si>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</si>
  <si>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</si>
  <si>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</si>
  <si>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</si>
  <si>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</si>
  <si>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</si>
  <si>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</si>
  <si>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</si>
  <si>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</si>
  <si>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</si>
  <si>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</si>
  <si>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</si>
  <si>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</si>
  <si>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</si>
  <si>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</si>
  <si>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</si>
  <si>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</si>
  <si>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</si>
  <si>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</si>
  <si>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</si>
  <si>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</si>
  <si>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</si>
  <si>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</si>
  <si>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</si>
  <si>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</si>
  <si>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</si>
  <si>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</si>
  <si>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</si>
  <si>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</si>
  <si>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</si>
  <si>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</si>
  <si>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</si>
  <si>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</si>
  <si>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</si>
  <si>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</si>
  <si>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</si>
  <si>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</si>
  <si>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</si>
  <si>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</si>
  <si>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</si>
  <si>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</si>
  <si>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</si>
  <si>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</si>
  <si>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</si>
  <si>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</si>
  <si>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</si>
  <si>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</si>
  <si>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</si>
  <si>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</si>
  <si>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</si>
  <si>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</si>
  <si>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</si>
  <si>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</si>
  <si>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</si>
  <si>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</si>
  <si>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</si>
  <si>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</si>
  <si>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</si>
  <si>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</si>
  <si>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</si>
  <si>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</si>
  <si>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</si>
  <si>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</si>
  <si>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</si>
  <si>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</si>
  <si>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</si>
  <si>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</si>
  <si>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</si>
  <si>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</si>
  <si>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</si>
  <si>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</si>
  <si>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</si>
  <si>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</si>
  <si>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</si>
  <si>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</si>
  <si>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</si>
  <si>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</si>
  <si>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</si>
  <si>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</si>
  <si>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</si>
  <si>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</si>
  <si>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</si>
  <si>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</si>
  <si>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</si>
  <si>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</si>
  <si>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</si>
  <si>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</si>
  <si>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</si>
  <si>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</si>
  <si>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</si>
  <si>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</si>
  <si>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</si>
  <si>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</si>
  <si>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</si>
  <si>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</si>
  <si>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</si>
  <si>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</si>
  <si>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</si>
  <si>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</si>
  <si>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</si>
  <si>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</si>
  <si>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</si>
  <si>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</si>
  <si>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</si>
  <si>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</si>
  <si>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</si>
  <si>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</si>
  <si>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</si>
  <si>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</si>
  <si>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</si>
  <si>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</si>
  <si>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</si>
  <si>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</si>
  <si>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</si>
  <si>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</si>
  <si>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</si>
  <si>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</si>
  <si>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</si>
  <si>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</si>
  <si>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</si>
  <si>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</si>
  <si>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</si>
  <si>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</si>
  <si>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</si>
  <si>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</si>
  <si>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</si>
  <si>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</si>
  <si>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</si>
  <si>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</si>
  <si>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</si>
  <si>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</si>
  <si>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</si>
  <si>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</si>
  <si>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</si>
  <si>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</si>
  <si>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</si>
  <si>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</si>
  <si>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</si>
  <si>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</si>
  <si>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</si>
  <si>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</si>
  <si>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</si>
  <si>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</si>
  <si>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</si>
  <si>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</si>
  <si>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</si>
  <si>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</si>
  <si>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</si>
  <si>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</si>
  <si>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</si>
  <si>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</si>
  <si>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</si>
  <si>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</si>
  <si>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</si>
  <si>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</si>
  <si>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</si>
  <si>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</si>
  <si>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</si>
  <si>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</si>
  <si>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</si>
  <si>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</si>
  <si>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</si>
  <si>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</si>
  <si>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</si>
  <si>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</si>
  <si>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</si>
  <si>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</si>
  <si>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</si>
  <si>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</si>
  <si>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</si>
  <si>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</si>
  <si>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</si>
  <si>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</si>
  <si>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</si>
  <si>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</si>
  <si>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</si>
  <si>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</si>
  <si>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</si>
  <si>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</si>
  <si>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</si>
  <si>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</si>
  <si>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</si>
  <si>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</si>
  <si>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</si>
  <si>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</si>
  <si>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</si>
  <si>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</si>
  <si>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</si>
  <si>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</si>
  <si>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</si>
  <si>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</si>
  <si>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</si>
  <si>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</si>
  <si>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</si>
  <si>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</si>
  <si>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</si>
  <si>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</si>
  <si>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</si>
  <si>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</si>
  <si>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</si>
  <si>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</si>
  <si>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</si>
  <si>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</si>
  <si>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</si>
  <si>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</si>
  <si>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</si>
  <si>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</si>
  <si>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</si>
  <si>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</si>
  <si>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</si>
  <si>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</si>
  <si>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</si>
  <si>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</si>
  <si>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</si>
  <si>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</si>
  <si>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</si>
  <si>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</si>
  <si>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</si>
  <si>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</si>
  <si>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</si>
  <si>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</si>
  <si>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</si>
  <si>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</si>
  <si>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</si>
  <si>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</si>
  <si>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</si>
  <si>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</si>
  <si>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</si>
  <si>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</si>
  <si>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</si>
  <si>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</si>
  <si>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</si>
  <si>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</si>
  <si>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</si>
  <si>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</si>
  <si>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</si>
  <si>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</si>
  <si>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</si>
  <si>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</si>
  <si>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</si>
  <si>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</si>
  <si>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</si>
  <si>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</si>
  <si>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</si>
  <si>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</si>
  <si>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</si>
  <si>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</si>
  <si>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</si>
  <si>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</si>
  <si>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</si>
  <si>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</si>
  <si>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</si>
  <si>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</si>
  <si>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</si>
  <si>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</si>
  <si>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</si>
  <si>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</si>
  <si>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</si>
  <si>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</si>
  <si>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</si>
  <si>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</si>
  <si>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</si>
  <si>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</si>
  <si>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</si>
  <si>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</si>
  <si>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</si>
  <si>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</si>
  <si>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</si>
  <si>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</si>
  <si>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</si>
  <si>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</si>
  <si>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</si>
  <si>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</si>
  <si>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</si>
  <si>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</si>
  <si>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</si>
  <si>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</si>
  <si>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</si>
  <si>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</si>
  <si>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</si>
  <si>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</si>
  <si>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</si>
  <si>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</si>
  <si>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</si>
  <si>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</si>
  <si>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</si>
  <si>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</si>
  <si>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</si>
  <si>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</si>
  <si>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</si>
  <si>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</si>
  <si>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</si>
  <si>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</si>
  <si>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</si>
  <si>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</si>
  <si>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</si>
  <si>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</si>
  <si>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</si>
  <si>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</si>
  <si>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</si>
  <si>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</si>
  <si>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</si>
  <si>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</si>
  <si>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</si>
  <si>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</si>
  <si>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</si>
  <si>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</si>
  <si>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</si>
  <si>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</si>
  <si>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</si>
  <si>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</si>
  <si>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</si>
  <si>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</si>
  <si>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</si>
  <si>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</si>
  <si>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</si>
  <si>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</si>
  <si>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</si>
  <si>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</si>
  <si>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</si>
  <si>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PDGIC ON-BOARD CALCULATIONS - In order to provide better data handling for customers using the PDGIC, it has been requested that the PDGIC be updated to support on-board pressure and temperature calculation.  This RTA shall cover the code modifications and the qualification there of.  The firmware will not be placed into production release until the need arises.  The goal is to couple this with the PDGIC hardware update with the new universal power supply.</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</si>
  <si>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</si>
  <si>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</si>
  <si>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</si>
  <si>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</si>
  <si>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</si>
  <si>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</si>
  <si>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</si>
  <si>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</si>
  <si>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</si>
  <si>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</si>
  <si>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</si>
  <si>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</si>
  <si>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</si>
  <si>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</si>
  <si>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</si>
  <si>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</si>
  <si>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</si>
  <si>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</si>
  <si>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</si>
  <si>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</si>
  <si>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</si>
  <si>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</si>
  <si>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</si>
  <si>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</si>
  <si>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</si>
  <si>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</si>
  <si>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</si>
  <si>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</si>
  <si>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</si>
  <si>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</si>
  <si>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</si>
  <si>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</si>
  <si>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</si>
  <si>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</si>
  <si>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</si>
  <si>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</si>
  <si>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</si>
  <si>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</si>
  <si>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</si>
  <si>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</si>
  <si>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</si>
  <si>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</si>
  <si>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</si>
  <si>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</si>
  <si>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</si>
  <si>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</si>
  <si>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</si>
  <si>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</si>
  <si>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</si>
  <si>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</si>
  <si>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</si>
  <si>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</si>
  <si>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</si>
  <si>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</si>
  <si>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</si>
  <si>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</si>
  <si>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</si>
  <si>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</si>
  <si>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</si>
  <si>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</si>
  <si>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</si>
  <si>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</si>
  <si>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</si>
  <si>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</si>
  <si>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</si>
  <si>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</si>
  <si>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</si>
  <si>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</si>
  <si>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</si>
  <si>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</si>
  <si>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</si>
  <si>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</si>
  <si>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</si>
  <si>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</si>
  <si>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</si>
  <si>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</si>
  <si>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</si>
  <si>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</si>
  <si>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</si>
  <si>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</si>
  <si>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</si>
  <si>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</si>
  <si>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</si>
  <si>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</si>
  <si>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</si>
  <si>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</si>
  <si>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</si>
  <si>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</si>
  <si>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</si>
  <si>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</si>
  <si>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</si>
  <si>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</si>
  <si>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</si>
  <si>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</si>
  <si>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</si>
  <si>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</si>
  <si>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</si>
  <si>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</si>
  <si>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</si>
  <si>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</si>
  <si>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</si>
  <si>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</si>
  <si>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</si>
  <si>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</si>
  <si>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</si>
  <si>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</si>
  <si>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</si>
  <si>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</si>
  <si>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</si>
  <si>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</si>
  <si>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</si>
  <si>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</si>
  <si>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</si>
  <si>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</si>
  <si>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</si>
  <si>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</si>
  <si>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</si>
  <si>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</si>
  <si>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</si>
  <si>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</si>
  <si>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</si>
  <si>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</si>
  <si>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</si>
  <si>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</si>
  <si>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</si>
  <si>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</si>
  <si>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</si>
  <si>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</si>
  <si>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</si>
  <si>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</si>
  <si>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</si>
  <si>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</si>
  <si>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</si>
  <si>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</si>
  <si>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</si>
  <si>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</si>
  <si>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</si>
  <si>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</si>
  <si>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</si>
  <si>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</si>
  <si>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</si>
  <si>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</si>
  <si>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</si>
  <si>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</si>
  <si>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</si>
  <si>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</si>
  <si>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</si>
  <si>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</si>
  <si>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</si>
  <si>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</si>
  <si>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</si>
  <si>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</si>
  <si>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</si>
  <si>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</si>
  <si>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</si>
  <si>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</si>
  <si>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</si>
  <si>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</si>
  <si>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</si>
  <si>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</si>
  <si>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</si>
  <si>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</si>
  <si>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</si>
  <si>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</si>
  <si>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</si>
  <si>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</si>
  <si>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</si>
  <si>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</si>
  <si>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Same As: 290HM0375000; RELEASE TOOL FOR HVICV SIZE 4500 FLOW AC
Except: During the preperation of the Glider project we found that the release tool for the 4 1_2 inch HVC_ICV was to large to get through the nipple above the valve and the one in the SSSV. 
The installation of the Glider well will happen at the beginning of April and although it is not anticipated that the design would be completed by the installation date we would need this if any intervention was carried out on the well.
Since most of the installations in the GoM have nipples in the SSSV smaller than the 3.660 inch OD of the shifting tool, drawing number 312104_00_01, we need to look into the possibilty of redesigning the shifting tool so that the OD is as small as possible and preferably less than 3.410 inches.
This shifting tool would be used worldwide by WellDynamics as a rental_service tool so the smaller the tool the more applications that we can use it in.
The material requirements as a minimum will remain the same as for the previous tool design.
This RTA needs to be handled by Product Line and Engineering to generate a tool design.
I believe that the RTA code of 6 should be used for this product.
Project Name: Internal
Special Quality Plan Required?: No
Material: 
Technical Support Deliverables:
Preliminary Design Specifications
Feb 15/2010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</si>
  <si>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</si>
  <si>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</si>
  <si>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</si>
  <si>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</si>
  <si>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</si>
  <si>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</si>
  <si>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</si>
  <si>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</si>
  <si>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</si>
  <si>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</si>
  <si>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</si>
  <si>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</si>
  <si>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</si>
  <si>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</si>
  <si>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</si>
  <si>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</si>
  <si>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</si>
  <si>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</si>
  <si>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</si>
  <si>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</si>
  <si>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</si>
  <si>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</si>
  <si>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</si>
  <si>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</si>
  <si>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</si>
  <si>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</si>
  <si>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</si>
  <si>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</si>
  <si>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</si>
  <si>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</si>
  <si>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</si>
  <si>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</si>
  <si>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</si>
  <si>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</si>
  <si>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</si>
  <si>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</si>
  <si>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</si>
  <si>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</si>
  <si>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</si>
  <si>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</si>
  <si>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</si>
  <si>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</si>
  <si>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</si>
  <si>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</si>
  <si>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</si>
  <si>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</si>
  <si>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</si>
  <si>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</si>
  <si>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</si>
  <si>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</si>
  <si>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</si>
  <si>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</si>
  <si>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</si>
  <si>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</si>
  <si>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</si>
  <si>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</si>
  <si>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</si>
  <si>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</si>
  <si>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</si>
  <si>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</si>
  <si>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</si>
  <si>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</si>
  <si>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</si>
  <si>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</si>
  <si>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</si>
  <si>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</si>
  <si>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</si>
  <si>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</si>
  <si>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</si>
  <si>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</si>
  <si>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</si>
  <si>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</si>
  <si>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</si>
  <si>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</si>
  <si>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</si>
  <si>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</si>
  <si>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</si>
  <si>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</si>
  <si>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</si>
  <si>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</si>
  <si>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</si>
  <si>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</si>
  <si>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</si>
  <si>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</si>
  <si>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</si>
  <si>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</si>
  <si>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</si>
  <si>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</si>
  <si>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</si>
  <si>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</si>
  <si>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</si>
  <si>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</si>
  <si>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</si>
  <si>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</si>
  <si>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</si>
  <si>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</si>
  <si>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</si>
  <si>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</si>
  <si>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</si>
  <si>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</si>
  <si>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</si>
  <si>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</si>
  <si>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</si>
  <si>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</si>
  <si>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</si>
  <si>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</si>
  <si>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</si>
  <si>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</si>
  <si>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</si>
  <si>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</si>
  <si>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</si>
  <si>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</si>
  <si>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</si>
  <si>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</si>
  <si>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</si>
  <si>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</si>
  <si>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</si>
  <si>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FCtype</t>
  </si>
  <si>
    <t>FCcode</t>
  </si>
  <si>
    <t>FCstate</t>
  </si>
  <si>
    <t>DItype</t>
  </si>
  <si>
    <t>DIcode</t>
  </si>
  <si>
    <t>DIstate</t>
  </si>
  <si>
    <t>Stype</t>
  </si>
  <si>
    <t>Scode</t>
  </si>
  <si>
    <t>Sstate</t>
  </si>
  <si>
    <t>Lab Office Button Filter Settings</t>
  </si>
  <si>
    <t>Soft</t>
  </si>
  <si>
    <t>ECR - Bolts (item 5, MN 587850) do not fit flush with the OD of the clamp (588343) when fully assembled. This is on Eccentric shrouded x-over (MN 101967324). The threads on the socket head cap screws are not threaded to the shoulder, which prevents it from fully making up to the crossover (101967326). Suggest either replacing the cap screw with one that is fully threaded to the head or countersinking the crossover screw hole to allow the screw to fully make up.</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</si>
  <si>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</si>
  <si>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</si>
  <si>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</si>
  <si>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</si>
  <si>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</si>
  <si>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</si>
  <si>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</si>
  <si>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</si>
  <si>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</si>
  <si>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</si>
  <si>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</si>
  <si>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</si>
  <si>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</si>
  <si>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</si>
  <si>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</si>
  <si>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</si>
  <si>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</si>
  <si>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</si>
  <si>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</si>
  <si>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</si>
  <si>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</si>
  <si>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</si>
  <si>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</si>
  <si>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</si>
  <si>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</si>
  <si>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585638</t>
  </si>
  <si>
    <t>633800</t>
  </si>
  <si>
    <t>647777</t>
  </si>
  <si>
    <t>495573</t>
  </si>
  <si>
    <t>654950</t>
  </si>
  <si>
    <t>665435</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</si>
  <si>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</si>
  <si>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</si>
  <si>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</si>
  <si>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</si>
  <si>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</si>
  <si>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</si>
  <si>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</si>
  <si>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</si>
  <si>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</si>
  <si>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</si>
  <si>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</si>
  <si>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</si>
  <si>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</si>
  <si>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</si>
  <si>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</si>
  <si>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</si>
  <si>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</si>
  <si>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</si>
  <si>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</si>
  <si>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</si>
  <si>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</si>
  <si>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</si>
  <si>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</si>
  <si>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</si>
  <si>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</si>
  <si>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</si>
  <si>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</si>
  <si>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</si>
  <si>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</si>
  <si>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</si>
  <si>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</si>
  <si>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</si>
  <si>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</si>
  <si>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</si>
  <si>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</si>
  <si>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</si>
  <si>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</si>
  <si>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</si>
  <si>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</si>
  <si>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</si>
  <si>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</si>
  <si>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</si>
  <si>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</si>
  <si>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</si>
  <si>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676159</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</si>
  <si>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</si>
  <si>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</si>
  <si>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</si>
  <si>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</si>
  <si>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</si>
  <si>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</si>
  <si>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</si>
  <si>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</si>
  <si>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</si>
  <si>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</si>
  <si>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</si>
  <si>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</si>
  <si>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</si>
  <si>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</si>
  <si>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</si>
  <si>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</si>
  <si>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</si>
  <si>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</si>
  <si>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</si>
  <si>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</si>
  <si>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</si>
  <si>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</si>
  <si>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</si>
  <si>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</si>
  <si>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</si>
  <si>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</si>
  <si>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</si>
  <si>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</si>
  <si>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</si>
  <si>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</si>
  <si>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</si>
  <si>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</si>
  <si>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</si>
  <si>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</si>
  <si>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</si>
  <si>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</si>
  <si>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</si>
  <si>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</si>
  <si>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</si>
  <si>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</si>
  <si>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</si>
  <si>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</si>
  <si>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</si>
  <si>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</si>
  <si>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</si>
  <si>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</si>
  <si>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</si>
  <si>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655296</t>
  </si>
  <si>
    <t>675315</t>
  </si>
  <si>
    <t>657824</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</si>
  <si>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</si>
  <si>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</si>
  <si>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</si>
  <si>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</si>
  <si>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</si>
  <si>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</si>
  <si>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</si>
  <si>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</si>
  <si>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</si>
  <si>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</si>
  <si>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</si>
  <si>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</si>
  <si>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</si>
  <si>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</si>
  <si>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</si>
  <si>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</si>
  <si>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</si>
  <si>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</si>
  <si>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</si>
  <si>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</si>
  <si>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</si>
  <si>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</si>
  <si>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</si>
  <si>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</si>
  <si>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</si>
  <si>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</si>
  <si>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</si>
  <si>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</si>
  <si>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</si>
  <si>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</si>
  <si>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</si>
  <si>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</si>
  <si>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</si>
  <si>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</si>
  <si>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</si>
  <si>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</si>
  <si>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</si>
  <si>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</si>
  <si>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</si>
  <si>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</si>
  <si>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</si>
  <si>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</si>
  <si>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</si>
  <si>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</si>
  <si>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</si>
  <si>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</si>
  <si>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</si>
  <si>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</si>
  <si>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691858</t>
  </si>
  <si>
    <t>622748</t>
  </si>
  <si>
    <t>573047</t>
  </si>
  <si>
    <t>555852</t>
  </si>
  <si>
    <t>591661</t>
  </si>
  <si>
    <t>591536</t>
  </si>
  <si>
    <t>538998</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</si>
  <si>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</si>
  <si>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</si>
  <si>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</si>
  <si>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</si>
  <si>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</si>
  <si>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</si>
  <si>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</si>
  <si>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</si>
  <si>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</si>
  <si>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</si>
  <si>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</si>
  <si>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</si>
  <si>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</si>
  <si>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</si>
  <si>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</si>
  <si>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</si>
  <si>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</si>
  <si>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</si>
  <si>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</si>
  <si>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</si>
  <si>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</si>
  <si>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</si>
  <si>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</si>
  <si>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</si>
  <si>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</si>
  <si>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</si>
  <si>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</si>
  <si>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</si>
  <si>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</si>
  <si>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</si>
  <si>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</si>
  <si>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</si>
  <si>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</si>
  <si>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</si>
  <si>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</si>
  <si>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</si>
  <si>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</si>
  <si>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</si>
  <si>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</si>
  <si>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</si>
  <si>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</si>
  <si>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</si>
  <si>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</si>
  <si>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</si>
  <si>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</si>
  <si>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</si>
  <si>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</si>
  <si>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</si>
  <si>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</si>
  <si>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</si>
  <si>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</si>
  <si>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</si>
  <si>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</si>
  <si>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</si>
  <si>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</si>
  <si>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</si>
  <si>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</si>
  <si>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</si>
  <si>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</si>
  <si>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</si>
  <si>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</si>
  <si>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</si>
  <si>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</si>
  <si>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</si>
  <si>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</si>
  <si>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</si>
  <si>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</si>
  <si>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</si>
  <si>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</si>
  <si>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</si>
  <si>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</si>
  <si>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</si>
  <si>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</si>
  <si>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</si>
  <si>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</si>
  <si>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</si>
  <si>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</si>
  <si>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</si>
  <si>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</si>
  <si>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</si>
  <si>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</si>
  <si>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</si>
  <si>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</si>
  <si>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</si>
  <si>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</si>
  <si>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</si>
  <si>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</si>
  <si>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</si>
  <si>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</si>
  <si>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</si>
  <si>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</si>
  <si>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</si>
  <si>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</si>
  <si>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</si>
  <si>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654889</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</si>
  <si>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</si>
  <si>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</si>
  <si>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</si>
  <si>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</si>
  <si>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</si>
  <si>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</si>
  <si>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</si>
  <si>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</si>
  <si>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</si>
  <si>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</si>
  <si>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</si>
  <si>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</si>
  <si>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</si>
  <si>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</si>
  <si>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</si>
  <si>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</si>
  <si>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</si>
  <si>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</si>
  <si>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</si>
  <si>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</si>
  <si>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</si>
  <si>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</si>
  <si>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</si>
  <si>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</si>
  <si>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</si>
  <si>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</si>
  <si>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</si>
  <si>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</si>
  <si>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</si>
  <si>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</si>
  <si>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</si>
  <si>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</si>
  <si>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</si>
  <si>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</si>
  <si>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</si>
  <si>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</si>
  <si>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</si>
  <si>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</si>
  <si>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</si>
  <si>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</si>
  <si>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</si>
  <si>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</si>
  <si>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</si>
  <si>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</si>
  <si>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</si>
  <si>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</si>
  <si>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</si>
  <si>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</si>
  <si>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</si>
  <si>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</si>
  <si>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</si>
  <si>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</si>
  <si>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</si>
  <si>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</si>
  <si>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</si>
  <si>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</si>
  <si>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</si>
  <si>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</si>
  <si>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</si>
  <si>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</si>
  <si>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</si>
  <si>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</si>
  <si>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</si>
  <si>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</si>
  <si>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</si>
  <si>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</si>
  <si>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</si>
  <si>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</si>
  <si>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</si>
  <si>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</si>
  <si>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</si>
  <si>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</si>
  <si>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</si>
  <si>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</si>
  <si>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</si>
  <si>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</si>
  <si>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</si>
  <si>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</si>
  <si>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</si>
  <si>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</si>
  <si>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</si>
  <si>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</si>
  <si>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</si>
  <si>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</si>
  <si>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</si>
  <si>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</si>
  <si>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</si>
  <si>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</si>
  <si>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</si>
  <si>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</si>
  <si>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</si>
  <si>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</si>
  <si>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</si>
  <si>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</si>
  <si>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</si>
  <si>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</si>
  <si>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</si>
  <si>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</si>
  <si>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</si>
  <si>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</si>
  <si>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</si>
  <si>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</si>
  <si>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</si>
  <si>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</si>
  <si>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</si>
  <si>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</si>
  <si>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</si>
  <si>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</si>
  <si>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</si>
  <si>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</si>
  <si>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</si>
  <si>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</si>
  <si>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</si>
  <si>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</si>
  <si>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</si>
  <si>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</si>
  <si>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</si>
  <si>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</si>
  <si>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</si>
  <si>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</si>
  <si>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</si>
  <si>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</si>
  <si>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</si>
  <si>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</si>
  <si>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</si>
  <si>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</si>
  <si>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</si>
  <si>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</si>
  <si>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</si>
  <si>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</si>
  <si>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</si>
  <si>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</si>
  <si>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</si>
  <si>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</si>
  <si>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</si>
  <si>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</si>
  <si>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</si>
  <si>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</si>
  <si>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</si>
  <si>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</si>
  <si>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</si>
  <si>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</si>
  <si>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</si>
  <si>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</si>
  <si>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</si>
  <si>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</si>
  <si>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</si>
  <si>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</si>
  <si>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</si>
  <si>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</si>
  <si>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</si>
  <si>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</si>
  <si>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</si>
  <si>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</si>
  <si>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</si>
  <si>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</si>
  <si>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</si>
  <si>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</si>
  <si>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</si>
  <si>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</si>
  <si>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</si>
  <si>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</si>
  <si>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</si>
  <si>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</si>
  <si>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</si>
  <si>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</si>
  <si>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</si>
  <si>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</si>
  <si>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</si>
  <si>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</si>
  <si>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667349</t>
  </si>
  <si>
    <t>592262</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</si>
  <si>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</si>
  <si>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</si>
  <si>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</si>
  <si>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</si>
  <si>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</si>
  <si>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</si>
  <si>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</si>
  <si>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</si>
  <si>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</si>
  <si>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</si>
  <si>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</si>
  <si>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</si>
  <si>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</si>
  <si>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</si>
  <si>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</si>
  <si>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</si>
  <si>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</si>
  <si>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</si>
  <si>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</si>
  <si>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</si>
  <si>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</si>
  <si>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</si>
  <si>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</si>
  <si>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</si>
  <si>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</si>
  <si>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</si>
  <si>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</si>
  <si>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</si>
  <si>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</si>
  <si>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</si>
  <si>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</si>
  <si>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</si>
  <si>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</si>
  <si>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</si>
  <si>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</si>
  <si>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</si>
  <si>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</si>
  <si>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</si>
  <si>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</si>
  <si>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</si>
  <si>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</si>
  <si>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</si>
  <si>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</si>
  <si>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</si>
  <si>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</si>
  <si>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</si>
  <si>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</si>
  <si>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</si>
  <si>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</si>
  <si>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</si>
  <si>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</si>
  <si>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</si>
  <si>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</si>
  <si>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</si>
  <si>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</si>
  <si>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</si>
  <si>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</si>
  <si>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</si>
  <si>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</si>
  <si>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</si>
  <si>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</si>
  <si>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</si>
  <si>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</si>
  <si>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</si>
  <si>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</si>
  <si>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</si>
  <si>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</si>
  <si>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</si>
  <si>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</si>
  <si>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</si>
  <si>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</si>
  <si>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</si>
  <si>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</si>
  <si>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</si>
  <si>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</si>
  <si>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</si>
  <si>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</si>
  <si>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</si>
  <si>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</si>
  <si>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</si>
  <si>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</si>
  <si>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</si>
  <si>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</si>
  <si>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</si>
  <si>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</si>
  <si>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</si>
  <si>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</si>
  <si>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</si>
  <si>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</si>
  <si>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</si>
  <si>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</si>
  <si>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</si>
  <si>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</si>
  <si>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</si>
  <si>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</si>
  <si>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</si>
  <si>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</si>
  <si>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</si>
  <si>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</si>
  <si>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</si>
  <si>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</si>
  <si>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</si>
  <si>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</si>
  <si>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</si>
  <si>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</si>
  <si>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</si>
  <si>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</si>
  <si>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</si>
  <si>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</si>
  <si>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</si>
  <si>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</si>
  <si>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</si>
  <si>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</si>
  <si>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</si>
  <si>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</si>
  <si>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</si>
  <si>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</si>
  <si>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</si>
  <si>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</si>
  <si>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</si>
  <si>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</si>
  <si>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</si>
  <si>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</si>
  <si>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</si>
  <si>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</si>
  <si>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</si>
  <si>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</si>
  <si>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</si>
  <si>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</si>
  <si>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</si>
  <si>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</si>
  <si>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</si>
  <si>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</si>
  <si>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</si>
  <si>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</si>
  <si>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</si>
  <si>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</si>
  <si>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</si>
  <si>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</si>
  <si>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</si>
  <si>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</si>
  <si>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</si>
  <si>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</si>
  <si>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</si>
  <si>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</si>
  <si>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</si>
  <si>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</si>
  <si>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</si>
  <si>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</si>
  <si>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</si>
  <si>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</si>
  <si>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</si>
  <si>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</si>
  <si>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629313</t>
  </si>
  <si>
    <t>665712</t>
  </si>
  <si>
    <t>677983</t>
  </si>
  <si>
    <t>660830</t>
  </si>
  <si>
    <t>620563</t>
  </si>
  <si>
    <t>662657</t>
  </si>
  <si>
    <t>629412</t>
  </si>
  <si>
    <t>627948</t>
  </si>
  <si>
    <t>519236</t>
  </si>
  <si>
    <t>630182</t>
  </si>
  <si>
    <t>637311</t>
  </si>
  <si>
    <t>606504</t>
  </si>
  <si>
    <t>647783</t>
  </si>
  <si>
    <t>606511</t>
  </si>
  <si>
    <t>678093</t>
  </si>
  <si>
    <t>675205</t>
  </si>
  <si>
    <t>512861</t>
  </si>
  <si>
    <t>657832</t>
  </si>
  <si>
    <t>644273</t>
  </si>
  <si>
    <t>581082</t>
  </si>
  <si>
    <t>573185</t>
  </si>
  <si>
    <t>562195</t>
  </si>
  <si>
    <t>649078</t>
  </si>
  <si>
    <t>678311</t>
  </si>
  <si>
    <t>678278</t>
  </si>
  <si>
    <t>625745</t>
  </si>
  <si>
    <t>689781</t>
  </si>
  <si>
    <t>662777</t>
  </si>
  <si>
    <t>495564</t>
  </si>
  <si>
    <t>652145</t>
  </si>
  <si>
    <t>670117</t>
  </si>
  <si>
    <t>685558</t>
  </si>
  <si>
    <t>669637</t>
  </si>
  <si>
    <t>657710</t>
  </si>
  <si>
    <t>647563</t>
  </si>
  <si>
    <t>689903</t>
  </si>
  <si>
    <t>669804</t>
  </si>
  <si>
    <t>666820</t>
  </si>
  <si>
    <t>662113</t>
  </si>
  <si>
    <t>646478</t>
  </si>
  <si>
    <t>659907</t>
  </si>
  <si>
    <t>669795</t>
  </si>
  <si>
    <t>667131</t>
  </si>
  <si>
    <t>675235</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</si>
  <si>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</si>
  <si>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</si>
  <si>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</si>
  <si>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</si>
  <si>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</si>
  <si>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</si>
  <si>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</si>
  <si>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</si>
  <si>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</si>
  <si>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</si>
  <si>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</si>
  <si>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</si>
  <si>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</si>
  <si>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</si>
  <si>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</si>
  <si>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</si>
  <si>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</si>
  <si>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</si>
  <si>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</si>
  <si>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</si>
  <si>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</si>
  <si>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</si>
  <si>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</si>
  <si>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</si>
  <si>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</si>
  <si>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</si>
  <si>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</si>
  <si>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</si>
  <si>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</si>
  <si>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</si>
  <si>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</si>
  <si>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</si>
  <si>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</si>
  <si>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</si>
  <si>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</si>
  <si>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</si>
  <si>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</si>
  <si>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</si>
  <si>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</si>
  <si>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</si>
  <si>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</si>
  <si>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</si>
  <si>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</si>
  <si>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</si>
  <si>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</si>
  <si>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</si>
  <si>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</si>
  <si>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</si>
  <si>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</si>
  <si>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</si>
  <si>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</si>
  <si>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</si>
  <si>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</si>
  <si>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</si>
  <si>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</si>
  <si>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</si>
  <si>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</si>
  <si>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</si>
  <si>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</si>
  <si>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</si>
  <si>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</si>
  <si>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</si>
  <si>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</si>
  <si>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</si>
  <si>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</si>
  <si>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</si>
  <si>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</si>
  <si>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</si>
  <si>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</si>
  <si>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</si>
  <si>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</si>
  <si>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</si>
  <si>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</si>
  <si>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</si>
  <si>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</si>
  <si>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</si>
  <si>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</si>
  <si>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</si>
  <si>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</si>
  <si>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</si>
  <si>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</si>
  <si>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</si>
  <si>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</si>
  <si>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</si>
  <si>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</si>
  <si>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</si>
  <si>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</si>
  <si>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</si>
  <si>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</si>
  <si>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</si>
  <si>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</si>
  <si>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</si>
  <si>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</si>
  <si>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</si>
  <si>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</si>
  <si>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</si>
  <si>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</si>
  <si>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</si>
  <si>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</si>
  <si>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</si>
  <si>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</si>
  <si>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</si>
  <si>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</si>
  <si>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</si>
  <si>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</si>
  <si>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</si>
  <si>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</si>
  <si>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</si>
  <si>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</si>
  <si>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</si>
  <si>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</si>
  <si>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</si>
  <si>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</si>
  <si>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</si>
  <si>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</si>
  <si>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</si>
  <si>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</si>
  <si>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</si>
  <si>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</si>
  <si>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</si>
  <si>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</si>
  <si>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</si>
  <si>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</si>
  <si>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</si>
  <si>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</si>
  <si>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</si>
  <si>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</si>
  <si>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</si>
  <si>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</si>
  <si>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</si>
  <si>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</si>
  <si>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</si>
  <si>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</si>
  <si>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</si>
  <si>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</si>
  <si>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</si>
  <si>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</si>
  <si>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</si>
  <si>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</si>
  <si>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</si>
  <si>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</si>
  <si>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</si>
  <si>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</si>
  <si>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</si>
  <si>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</si>
  <si>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</si>
  <si>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</si>
  <si>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</si>
  <si>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</si>
  <si>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</si>
  <si>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</si>
  <si>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</si>
  <si>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</si>
  <si>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</si>
  <si>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</si>
  <si>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</si>
  <si>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</si>
  <si>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</si>
  <si>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</si>
  <si>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</si>
  <si>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</si>
  <si>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</si>
  <si>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</si>
  <si>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</si>
  <si>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</si>
  <si>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</si>
  <si>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</si>
  <si>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</si>
  <si>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</si>
  <si>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</si>
  <si>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</si>
  <si>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562791</t>
  </si>
  <si>
    <t>575992</t>
  </si>
  <si>
    <t>578706</t>
  </si>
  <si>
    <t>578698</t>
  </si>
  <si>
    <t>529483</t>
  </si>
  <si>
    <t>533298</t>
  </si>
  <si>
    <t>495559</t>
  </si>
  <si>
    <t>540842</t>
  </si>
  <si>
    <t>511217</t>
  </si>
  <si>
    <t>599276</t>
  </si>
  <si>
    <t>583394</t>
  </si>
  <si>
    <t>599811</t>
  </si>
  <si>
    <t>599809</t>
  </si>
  <si>
    <t>522781</t>
  </si>
  <si>
    <t>605053</t>
  </si>
  <si>
    <t>603450</t>
  </si>
  <si>
    <t>600131</t>
  </si>
  <si>
    <t>572656</t>
  </si>
  <si>
    <t>613924</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</si>
  <si>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</si>
  <si>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</si>
  <si>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</si>
  <si>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</si>
  <si>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</si>
  <si>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</si>
  <si>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</si>
  <si>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</si>
  <si>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</si>
  <si>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</si>
  <si>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</si>
  <si>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</si>
  <si>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</si>
  <si>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</si>
  <si>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</si>
  <si>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</si>
  <si>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</si>
  <si>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</si>
  <si>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</si>
  <si>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</si>
  <si>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</si>
  <si>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</si>
  <si>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</si>
  <si>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</si>
  <si>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</si>
  <si>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</si>
  <si>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</si>
  <si>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</si>
  <si>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</si>
  <si>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</si>
  <si>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</si>
  <si>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</si>
  <si>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</si>
  <si>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</si>
  <si>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666558</t>
  </si>
  <si>
    <t>659333</t>
  </si>
  <si>
    <t>613989</t>
  </si>
  <si>
    <t>514302</t>
  </si>
  <si>
    <t>673797</t>
  </si>
  <si>
    <t>613047</t>
  </si>
  <si>
    <t>622806</t>
  </si>
  <si>
    <t>669478</t>
  </si>
  <si>
    <t>666603</t>
  </si>
  <si>
    <t>671221</t>
  </si>
  <si>
    <t>659194</t>
  </si>
  <si>
    <t>627852</t>
  </si>
  <si>
    <t>664801</t>
  </si>
  <si>
    <t>671607</t>
  </si>
  <si>
    <t>678617</t>
  </si>
  <si>
    <t>659326</t>
  </si>
  <si>
    <t>661903</t>
  </si>
  <si>
    <t>666702</t>
  </si>
  <si>
    <t>679658</t>
  </si>
  <si>
    <t>663259</t>
  </si>
  <si>
    <t>538472</t>
  </si>
  <si>
    <t>557734</t>
  </si>
  <si>
    <t>687815</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</si>
  <si>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</si>
  <si>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</si>
  <si>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</si>
  <si>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</si>
  <si>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</si>
  <si>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</si>
  <si>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</si>
  <si>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</si>
  <si>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</si>
  <si>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</si>
  <si>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</si>
  <si>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</si>
  <si>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</si>
  <si>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</si>
  <si>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</si>
  <si>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</si>
  <si>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</si>
  <si>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</si>
  <si>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</si>
  <si>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</si>
  <si>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</si>
  <si>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</si>
  <si>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</si>
  <si>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</si>
  <si>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</si>
  <si>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</si>
  <si>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</si>
  <si>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</si>
  <si>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</si>
  <si>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</si>
  <si>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</si>
  <si>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</si>
  <si>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</si>
  <si>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</si>
  <si>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</si>
  <si>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</si>
  <si>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</si>
  <si>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</si>
  <si>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</si>
  <si>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</si>
  <si>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</si>
  <si>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</si>
  <si>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</si>
  <si>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</si>
  <si>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</si>
  <si>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</si>
  <si>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</si>
  <si>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</si>
  <si>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</si>
  <si>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</si>
  <si>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</si>
  <si>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</si>
  <si>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</si>
  <si>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</si>
  <si>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</si>
  <si>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</si>
  <si>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</si>
  <si>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</si>
  <si>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</si>
  <si>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</si>
  <si>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692438</t>
  </si>
  <si>
    <t>692437</t>
  </si>
  <si>
    <t>692435</t>
  </si>
  <si>
    <t>692436</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</si>
  <si>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</si>
  <si>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</si>
  <si>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</si>
  <si>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</si>
  <si>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</si>
  <si>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</si>
  <si>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</si>
  <si>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</si>
  <si>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</si>
  <si>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</si>
  <si>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</si>
  <si>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</si>
  <si>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</si>
  <si>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</si>
  <si>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</si>
  <si>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</si>
  <si>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</si>
  <si>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</si>
  <si>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</si>
  <si>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</si>
  <si>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</si>
  <si>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</si>
  <si>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</si>
  <si>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</si>
  <si>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</si>
  <si>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</si>
  <si>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</si>
  <si>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</si>
  <si>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</si>
  <si>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</si>
  <si>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</si>
  <si>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695357</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</si>
  <si>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</si>
  <si>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</si>
  <si>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</si>
  <si>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</si>
  <si>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</si>
  <si>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</si>
  <si>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</si>
  <si>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</si>
  <si>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</si>
  <si>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</si>
  <si>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</si>
  <si>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</si>
  <si>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</si>
  <si>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</si>
  <si>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</si>
  <si>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</si>
  <si>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</si>
  <si>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</si>
  <si>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</si>
  <si>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</si>
  <si>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</si>
  <si>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</si>
  <si>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</si>
  <si>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</si>
  <si>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</si>
  <si>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</si>
  <si>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</si>
  <si>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</si>
  <si>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</si>
  <si>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</si>
  <si>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</si>
  <si>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</si>
  <si>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</si>
  <si>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</si>
  <si>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</si>
  <si>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</si>
  <si>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</si>
  <si>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</si>
  <si>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</si>
  <si>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</si>
  <si>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</si>
  <si>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</si>
  <si>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</si>
  <si>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</si>
  <si>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700105</t>
  </si>
  <si>
    <t>700181</t>
  </si>
  <si>
    <t>RTA CREATION FOR NEW WA FOR ROCKNI VAN CLEIF</t>
  </si>
  <si>
    <t>700190</t>
  </si>
  <si>
    <t>Rockni Van Clief</t>
  </si>
  <si>
    <t>Cole Grandjean</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</si>
  <si>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</si>
  <si>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</si>
  <si>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</si>
  <si>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</si>
  <si>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</si>
  <si>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</si>
  <si>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</si>
  <si>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</si>
  <si>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</si>
  <si>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</si>
  <si>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</si>
  <si>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</si>
  <si>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</si>
  <si>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</si>
  <si>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</si>
  <si>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</si>
  <si>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</si>
  <si>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</si>
  <si>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</si>
  <si>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</si>
  <si>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</si>
  <si>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</si>
  <si>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</si>
  <si>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</si>
  <si>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</si>
  <si>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</si>
  <si>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</si>
  <si>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</si>
  <si>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</si>
  <si>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</si>
  <si>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</si>
  <si>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</si>
  <si>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</si>
  <si>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</si>
  <si>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</si>
  <si>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</si>
  <si>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</si>
  <si>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</si>
  <si>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</si>
  <si>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</si>
  <si>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</si>
  <si>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</si>
  <si>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</si>
  <si>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</si>
  <si>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</si>
  <si>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</si>
  <si>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</si>
  <si>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</si>
  <si>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</si>
  <si>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</si>
  <si>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</si>
  <si>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</si>
  <si>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</si>
  <si>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</si>
  <si>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</si>
  <si>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</si>
  <si>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</si>
  <si>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</si>
  <si>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</si>
  <si>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</si>
  <si>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</si>
  <si>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</si>
  <si>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</si>
  <si>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</si>
  <si>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</si>
  <si>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</si>
  <si>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</si>
  <si>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</si>
  <si>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</si>
  <si>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</si>
  <si>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</si>
  <si>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</si>
  <si>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</si>
  <si>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</si>
  <si>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</si>
  <si>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</si>
  <si>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</si>
  <si>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</si>
  <si>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</si>
  <si>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</si>
  <si>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</si>
  <si>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</si>
  <si>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</si>
  <si>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</si>
  <si>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</si>
  <si>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</si>
  <si>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</si>
  <si>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</si>
  <si>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</si>
  <si>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</si>
  <si>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</si>
  <si>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</si>
  <si>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</si>
  <si>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</si>
  <si>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</si>
  <si>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Create a standardised shroud kit with the following components:
1. shroud pup
2. landing nipple
3. shroud crossover
4. lock mandrel
5. equalizing valve
6. coupling
7. tubing pup joint
8. WIRELINE REENTRY GUIDE.
This kit shall be in 13 Cr Metalurgy and rated to 10K</t>
  </si>
  <si>
    <t>Create a standardised shroud kit with the following components:
1. shroud pup
2. landing nipple
3. shroud crossover
4. lock mandrel
5. equalizing valve
6. coupling
7. tubing pup joint
8. WIRELINE REENTRY GUIDE.
This kit shall be in INC 718 Metalurgy and rated to 10K</t>
  </si>
  <si>
    <t>705960</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</si>
  <si>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</si>
  <si>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</si>
  <si>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</si>
  <si>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</si>
  <si>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</si>
  <si>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</si>
  <si>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707805</t>
  </si>
  <si>
    <t>Turkish Petroleum</t>
  </si>
  <si>
    <t>ECR TO CREATE AS BUILT DRAWINGS FOR 71CO647 FOUR WELL MODULAR SAFETY SYSTEM FOR TURKISH PETROLEUM</t>
  </si>
  <si>
    <t>705274</t>
  </si>
  <si>
    <t>707803</t>
  </si>
  <si>
    <t>ECR TO CREATE AS BUILT DRAWINGS FOR 71CO646 FOR TURKISH PETROLEUM</t>
  </si>
  <si>
    <t>A Routine Is currently running (1=true)</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</si>
  <si>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</si>
  <si>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</si>
  <si>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</si>
  <si>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</si>
  <si>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</si>
  <si>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</si>
  <si>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</si>
  <si>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</si>
  <si>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</si>
  <si>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</si>
  <si>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708728</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</si>
  <si>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</si>
  <si>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</si>
  <si>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</si>
  <si>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</si>
  <si>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</si>
  <si>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</si>
  <si>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</si>
  <si>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MISC E-MAIL REQUEST
042111 ESMERALDA MCLEANE
REF E-MAIL: FW_RFQ-FMC
042811 ALE AVILA: THESE TWO PARTS SHOULD BE CREATED IN CWI AND BOM SHOULD BE FILLED IN.  I REVIEWED THE ITEM LIST (IL) DOCUMENTS AND ALMOST ALL PARTS IN THE IL ARE DEFINED IN CWI ALREADY.  IF THEY ARE NOT IN CWI, THEN THE DRAWINGS CAN BE FOUND IN ENGINEERING PUBLIC. FOR 0146-6020, ITEM 1, 9850-2087, IS NOT IN CWI OR IN MATERIAL MASTER, BUT ITS DRAWING IS IN ENGINEERING PUBLIC (AS 98502087.DWG), SO THAT PART MUST BE CREATED AND ITS DRAWING ATTACHED.  THE OTHER THREE COMPONENTS FOR 0146-6020 ARE ALREADY LOADED IN CWI, AND THEY CAN BE CONNECTED TO THE PART BOM AS IS.  FOR 0146-6021, ALL PARTS ARE CURRENTLY LOADED IN CWI, SO THEY ARE READY TO BE CONNECTED.  MECHANICAL ENGINEERING WILL HAVE TO REVIEW ITEM 4 IN THE BOM BECAUSE THE DESCRIPTION IN THE ITEM LIST DOES NOT MATCH THE DECRIPTION OF THE PART IN CWI (DIFFERENT MATERIAL).
042811 CHANGED RTA TYPE FROM STOP WORK TO ECR - ENGINEERING TIME AND INPUT REQUIRED TO PROCESS RTA (GMC)
TSG NOTES--------------------------------------------------
081811 TSG RECD FOR PROCESSING; D. MOE WILL ADVISE 3-DIGIT IDENTIFIER QP, NEED INPUT FROM D. PATTON WHO IS OUT OF THE OFFICE TODAY (GMC)
081911 RELEASED BASE; WAITING FOR CONFIRMATION OF 3-DIGIT IDENTIFIER FROM D.MOE AND/OR D.PATTON BEFORE PROVIDING QUALITY WITH TDRs (GMC)
082411 CHECKED WITH D. MOE TO FIND OUT IF AN IDENTIFIER HAD BEEN CONFIRMED; D. PATTON STILL WAITING FOR AN ANSWER (GMC)
082911 UPDATED ENGINEERING DUE DATE WAS: 08/25/11 IS: 09/06/11 - WAITING FOR 3-DIGIT IDENTIFIER CONFIRMATION FROM CUSTOMER SERVICE (GMC)
--------------------------------------------------------END
------
8/17/2011 ST - SENT TO M. GUY FOR CHECKING
------
8/17/2011 MG - CHECKING COMPLETED, FORWARD TO SAM FOR APPROVAL
------
8/17/2011 ST - SENT TO M. SCOGIN FOR APPROVAL
------</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</si>
  <si>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</si>
  <si>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</si>
  <si>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</si>
  <si>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</si>
  <si>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</si>
  <si>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</si>
  <si>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</si>
  <si>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</si>
  <si>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</si>
  <si>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</si>
  <si>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</si>
  <si>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711284</t>
  </si>
  <si>
    <t>M/N-102000548, 594268, 594270, 594272, 594274, 602312, Drawing 313557-00-01 Rev.D
Nippon has changed the OD over box connections again and update is needed. The 5.00 24.1 Box OD blanking dimension should be 5.750/5.782 and the 5-1/2 26.0 Box OD blanking dimension should be 6.221/6.253. The .63 diameter by .160 deep counterbore shown in DETAIL-D will also need to be updated (reference dwg 307019 for proper view of the 40 deg angle at detail D).</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</si>
  <si>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</si>
  <si>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</si>
  <si>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</si>
  <si>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</si>
  <si>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</si>
  <si>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</si>
  <si>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</si>
  <si>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</si>
  <si>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</si>
  <si>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</si>
  <si>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</si>
  <si>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</si>
  <si>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</si>
  <si>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</si>
  <si>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</si>
  <si>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</si>
  <si>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</si>
  <si>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</si>
  <si>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</si>
  <si>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</si>
  <si>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</si>
  <si>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</si>
  <si>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</si>
  <si>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</si>
  <si>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</si>
  <si>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</si>
  <si>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</si>
  <si>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</si>
  <si>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</si>
  <si>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</si>
  <si>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</si>
  <si>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</si>
  <si>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</si>
  <si>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</si>
  <si>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</si>
  <si>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</si>
  <si>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714562</t>
  </si>
  <si>
    <t>OBSOLETE AND SUPERCEDE -SV1 STATOIL PARTS PER D. HICKMAN
TSG NOTES--------------------------------------------------
9-16-2011 IN PROCESS BY TSG J. CALLAWAY
-------------------------------------------------------END</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</si>
  <si>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</si>
  <si>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</si>
  <si>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</si>
  <si>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</si>
  <si>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</si>
  <si>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</si>
  <si>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</si>
  <si>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OBSOLETE -SV3 STATOIL IDENTIFIERS PER QUALITY
TSG NOTES-------------------------------------------------
9-15-2011 TO TSG FOR PROCESSING J. CALLAWAY
9-16-2011 PAPERWORK AND TASK TO QUALITY FOR APPROVAL; QUALITY CANNOT PROCESS UNTIL WEEK OF OCTOBER 3RD PER D. HICKMAN JCC
------------------------------------------------------END</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</si>
  <si>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</si>
  <si>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</si>
  <si>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</si>
  <si>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</si>
  <si>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</si>
  <si>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</si>
  <si>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</si>
  <si>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</si>
  <si>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</si>
  <si>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</si>
  <si>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</si>
  <si>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</si>
  <si>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</si>
  <si>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</si>
  <si>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</si>
  <si>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</si>
  <si>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</si>
  <si>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</si>
  <si>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</si>
  <si>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</si>
  <si>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</si>
  <si>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</si>
  <si>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</si>
  <si>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</si>
  <si>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</si>
  <si>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</si>
  <si>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</si>
  <si>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</si>
  <si>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</si>
  <si>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</si>
  <si>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</si>
  <si>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</si>
  <si>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</si>
  <si>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</si>
  <si>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</si>
  <si>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</si>
  <si>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</si>
  <si>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</si>
  <si>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</si>
  <si>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</si>
  <si>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</si>
  <si>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</si>
  <si>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</si>
  <si>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</si>
  <si>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</si>
  <si>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</si>
  <si>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</si>
  <si>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</si>
  <si>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</si>
  <si>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</si>
  <si>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</si>
  <si>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</si>
  <si>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</si>
  <si>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</si>
  <si>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</si>
  <si>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</si>
  <si>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</si>
  <si>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</si>
  <si>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</si>
  <si>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</si>
  <si>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</si>
  <si>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718491</t>
  </si>
  <si>
    <t>OBSOLETE AND, IF REQUIRED, SUPERCEDE -SH1 STATOIL PARTS PER D. HICKMAN
TSG NOTES-------------------------------------------------
9-29-2011 IN PROCESS BY TSG J. CALLAWAY
-------------------------------------------------------END</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</si>
  <si>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</si>
  <si>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</si>
  <si>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</si>
  <si>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</si>
  <si>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</si>
  <si>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</si>
  <si>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</si>
  <si>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</si>
  <si>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</si>
  <si>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</si>
  <si>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</si>
  <si>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</si>
  <si>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</si>
  <si>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</si>
  <si>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</si>
  <si>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</si>
  <si>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</si>
  <si>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</si>
  <si>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</si>
  <si>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</si>
  <si>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</si>
  <si>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</si>
  <si>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</si>
  <si>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2011-10-04 WM - THE PROJECT IS ON HOLD UNTIL COMPLETION OF GAUGE PROTECTION R00000676065. THE CIRCUIT IS BEING FINALIZED FOR DEVELOPMENT.</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</si>
  <si>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</si>
  <si>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</si>
  <si>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</si>
  <si>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</si>
  <si>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</si>
  <si>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Revise drawing for part 9388-2093 (SAP 598270). Please change the silver plating thickness to .0002 and allow for the entire part to be coated.
Revised print to be sent to Diana Clark at Quartzdyne.
------
9/30/2011 ST - SENT TO J. SEALE FOR CHECKING
------
10/14/2011 J. SEALE - CHECKING COMPLETE 
-REMOVED SEE NOTE 2 IN ZONE B7
-SENDING TO R. BAKHTIARY FOR APPROVAL</t>
  </si>
  <si>
    <t>FMC Houston</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</si>
  <si>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</si>
  <si>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</si>
  <si>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</si>
  <si>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</si>
  <si>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</si>
  <si>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</si>
  <si>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</si>
  <si>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</si>
  <si>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</si>
  <si>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</si>
  <si>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</si>
  <si>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</si>
  <si>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</si>
  <si>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</si>
  <si>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736378</t>
  </si>
  <si>
    <t>REMOVE PRESSURE TRANSMITTER, BALL VALVE, AND COMPONENTS AS SHOWN ON MARKED UP DRAWINGS FROM THE CUSTOMER ATTACHED.</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</si>
  <si>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</si>
  <si>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</si>
  <si>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</si>
  <si>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</si>
  <si>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728690</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</si>
  <si>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</si>
  <si>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</si>
  <si>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</si>
  <si>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Statoil Fast Track</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</si>
  <si>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</si>
  <si>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</si>
  <si>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</si>
  <si>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</si>
  <si>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</si>
  <si>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</si>
  <si>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</si>
  <si>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</si>
  <si>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</si>
  <si>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</si>
  <si>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</si>
  <si>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</si>
  <si>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</si>
  <si>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</si>
  <si>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</si>
  <si>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</si>
  <si>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</si>
  <si>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</si>
  <si>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</si>
  <si>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</si>
  <si>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731186</t>
  </si>
  <si>
    <t>Request for creating a SAP number for elctronic part in SHS.Item is a ADAM ethernet switch, 6520i.</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</si>
  <si>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</si>
  <si>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</si>
  <si>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</si>
  <si>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</si>
  <si>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</si>
  <si>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</si>
  <si>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</si>
  <si>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</si>
  <si>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</si>
  <si>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</si>
  <si>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</si>
  <si>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</si>
  <si>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</si>
  <si>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</si>
  <si>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</si>
  <si>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</si>
  <si>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</si>
  <si>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</si>
  <si>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</si>
  <si>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</si>
  <si>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</si>
  <si>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</si>
  <si>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733921</t>
  </si>
  <si>
    <t>NSC Chornomornaftogaz</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</si>
  <si>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</si>
  <si>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</si>
  <si>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</si>
  <si>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</si>
  <si>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</si>
  <si>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</si>
  <si>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</si>
  <si>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</si>
  <si>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</si>
  <si>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</si>
  <si>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</si>
  <si>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</si>
  <si>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</si>
  <si>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</si>
  <si>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</si>
  <si>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</si>
  <si>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</si>
  <si>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</si>
  <si>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</si>
  <si>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Statoil Snorre B</t>
  </si>
  <si>
    <t>ECR D00503211 Drawing should have a (2x) on dimension 7.050.
See attached email.
-----------------------------------------------------------IN ENGINEERING DESIGN-A.BERRET_10/17/2011---------------END
RTA WILL BE CANCELLED, BECAUSE REQUEST WAS COMPLETED ON RTA 718435 (OEWUMI 21OCT11)</t>
  </si>
  <si>
    <t>726888</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</si>
  <si>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</si>
  <si>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</si>
  <si>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724491</t>
  </si>
  <si>
    <t>SAP 101915156 Commodity 236H000735U1O01
Please change the bottom connection for the above referenc valve to 3.5in 10.2PPF Vam Top Pin / material 13 Cr</t>
  </si>
  <si>
    <t>731124</t>
  </si>
  <si>
    <t>PDX/XPIO software has a limitation on the real-time plots generated by the software.  The maximum pressure limit is 10k psi.  Increase the limit to allow for 25kpsi (30kpsi?) gauges.</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</si>
  <si>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</si>
  <si>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</si>
  <si>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</si>
  <si>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</si>
  <si>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2011-10-04, MWS - Requested design complete date updated. In final review, low priority.</t>
  </si>
  <si>
    <t>M/N-101959809 Drawing 9450-2285 Rev.1
Please change marking spec. to ES-MM-51-4
Title Block says PTFE which is teflon, should be PEEK.
------
9/30/2011 ST - SENT TO J. SEALE FOR CHECKING
------
10/14/2011 J. SEALE - CHECKING COMPLETED, SENDING TO R. BAKHTIARY FOR APPROVAL.</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</si>
  <si>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</si>
  <si>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</si>
  <si>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</si>
  <si>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</si>
  <si>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</si>
  <si>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</si>
  <si>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</si>
  <si>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</si>
  <si>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726801</t>
  </si>
  <si>
    <t>Ref.part SAP 590216,
Change design as per attached sketch: add a wedge for 11mm bumber and 2 off 3/8in lines, move the by-pass groove.
Quality plan to be SB2.</t>
  </si>
  <si>
    <t>734907</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</si>
  <si>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</si>
  <si>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</si>
  <si>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</si>
  <si>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</si>
  <si>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</si>
  <si>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</si>
  <si>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</si>
  <si>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</si>
  <si>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</si>
  <si>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</si>
  <si>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</si>
  <si>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</si>
  <si>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</si>
  <si>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</si>
  <si>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736493</t>
  </si>
  <si>
    <t>736379</t>
  </si>
  <si>
    <t>UPLOAD CWI the procedure 7403-5140 referenced in the CPI ATTACHED</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</si>
  <si>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</si>
  <si>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</si>
  <si>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</si>
  <si>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</si>
  <si>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</si>
  <si>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</si>
  <si>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</si>
  <si>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</si>
  <si>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</si>
  <si>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</si>
  <si>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</si>
  <si>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</si>
  <si>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</si>
  <si>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</si>
  <si>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</si>
  <si>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</si>
  <si>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</si>
  <si>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</si>
  <si>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</si>
  <si>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</si>
  <si>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</si>
  <si>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731729</t>
  </si>
  <si>
    <t>1/4 INCH NPT DOUBLE/CLOSE NIPPLE SWAGELOK P/N SS-4-HN-10K, OFFERED AS AN ALTERNATE TO INCOLOY/ALLOY 600</t>
  </si>
  <si>
    <t>720667</t>
  </si>
  <si>
    <t>OBSOLETE AND, IF REQUIRED, SUPERCEDE ALL STATOIL PARTS WITH -SV2 THREE-DIGIT IDENTIFIER PER D. HICKMAN</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</si>
  <si>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</si>
  <si>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</si>
  <si>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</si>
  <si>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</si>
  <si>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734308</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</si>
  <si>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</si>
  <si>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</si>
  <si>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</si>
  <si>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</si>
  <si>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</si>
  <si>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</si>
  <si>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</si>
  <si>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</si>
  <si>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</si>
  <si>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</si>
  <si>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</si>
  <si>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</si>
  <si>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</si>
  <si>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</si>
  <si>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</si>
  <si>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</si>
  <si>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731787</t>
  </si>
  <si>
    <t>728620</t>
  </si>
  <si>
    <t>MFGR SPEC - Create documentation for Eagle Downhole Solutions Extention with bushing for traveling block, MFGR PN 110804-00. This extention is used for the vise in MFG to hold smaller parts.</t>
  </si>
  <si>
    <t>735006</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</si>
  <si>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</si>
  <si>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</si>
  <si>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</si>
  <si>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</si>
  <si>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</si>
  <si>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</si>
  <si>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</si>
  <si>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</si>
  <si>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</si>
  <si>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</si>
  <si>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</si>
  <si>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</si>
  <si>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</si>
  <si>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</si>
  <si>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</si>
  <si>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</si>
  <si>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</si>
  <si>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</si>
  <si>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</si>
  <si>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732970</t>
  </si>
  <si>
    <t>736693</t>
  </si>
  <si>
    <t>Ref.part 235SF0967011-SB2  (9670 Splice Clamp Assy),
Except:
- All parts which are made of 25Cr to be made of 13Cr</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</si>
  <si>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</si>
  <si>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</si>
  <si>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</si>
  <si>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</si>
  <si>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</si>
  <si>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</si>
  <si>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</si>
  <si>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</si>
  <si>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</si>
  <si>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</si>
  <si>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</si>
  <si>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730819</t>
  </si>
  <si>
    <t>P1411</t>
  </si>
  <si>
    <t>736307</t>
  </si>
  <si>
    <t>732444</t>
  </si>
  <si>
    <t>ECR-316892-00-01. ON SHEET 2 AT SECTION E-E,DETAIL F ,CHANGE THRU HOLES TO .4 MIN. SCREW ONLY GOES IN AROUND .3. TAPS ARE NOT LONG ENOUGH TO GO THRU</t>
  </si>
  <si>
    <t>732445</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</si>
  <si>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</si>
  <si>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</si>
  <si>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</si>
  <si>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</si>
  <si>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</si>
  <si>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</si>
  <si>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</si>
  <si>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22:  splt=N/A</t>
  </si>
  <si>
    <t>720845</t>
  </si>
  <si>
    <t>PETROBRAS BRAZIL</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</si>
  <si>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</si>
  <si>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</si>
  <si>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</si>
  <si>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</si>
  <si>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</si>
  <si>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</si>
  <si>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</si>
  <si>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731916</t>
  </si>
  <si>
    <t>UPDATE DRAWING 026483-04-01 TO MEET HCT STANDARDS</t>
  </si>
  <si>
    <t>735014</t>
  </si>
  <si>
    <t>735016</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</si>
  <si>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</si>
  <si>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</si>
  <si>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</si>
  <si>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</si>
  <si>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</si>
  <si>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</si>
  <si>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</si>
  <si>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736083</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</si>
  <si>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</si>
  <si>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</si>
  <si>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</si>
  <si>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</si>
  <si>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</si>
  <si>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</si>
  <si>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</si>
  <si>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</si>
  <si>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</si>
  <si>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</si>
  <si>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</si>
  <si>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</si>
  <si>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TSG - QA REQUEST TO UPDATE CWI STRUCTURE FOR SAP MN 597308 REF NO. 9290-6524-SE1; 4-1/2 CHEM INJECTION VAM ACE MANDREL-SE1 TO MEET NEW REVISION OF SE1 QUALITY PLAN.
QUALITY REQUIREMENTS CHANGE, ONLY.
QUALITY PLAN: SE1; REV 10
05/18/11 ASSIGNED FOR PROCESSING VN</t>
  </si>
  <si>
    <t>736627</t>
  </si>
  <si>
    <t>ECR - PART STRUCTURE UPDATED TO CURRENT HES STANDARD
ATTACH TASK 575932 TO AN RTA (OEWUMI 30NOV11)</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</si>
  <si>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</si>
  <si>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</si>
  <si>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</si>
  <si>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</si>
  <si>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729048</t>
  </si>
  <si>
    <t>Checking</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</si>
  <si>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</si>
  <si>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</si>
  <si>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</si>
  <si>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</si>
  <si>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Create a standardised shroud kit with the following components:
1. shroud pup
2. landing nipple
3. shroud crossover
4. lock mandrel
5. equalizing valve
6. coupling
7. tubing pup joint
8. Wireline Entry Guide
This kit shall be in 25CR Metalurgy and rated to 10K</t>
  </si>
  <si>
    <t>Create a standardised shroud kit with the following components:
1. shroud pup
2. landing nipple
3. shroud crossover
4. lock mandrel
5. equalizing valve
6. coupling
7. tubing pup joint
8. Wireline Entry Guide.
This kit shall be in 4140 Metalurgy and rated to 10K</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</si>
  <si>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</si>
  <si>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</si>
  <si>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</si>
  <si>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</si>
  <si>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</si>
  <si>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</si>
  <si>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724202</t>
  </si>
  <si>
    <t>Suncor</t>
  </si>
  <si>
    <t>724494</t>
  </si>
  <si>
    <t>SAP 102092782 Commodity 226HA00735U5O01
Please change the bottom connection for the above referenc valve to 3 1/2-9.30 API EUE 8RD Pin / material 4140</t>
  </si>
  <si>
    <t>SPLT=0</t>
  </si>
  <si>
    <t>Daniel Clements</t>
  </si>
  <si>
    <t>728343</t>
  </si>
  <si>
    <t>Sai Karthik Rajaraman</t>
  </si>
  <si>
    <t>727979</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</si>
  <si>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</si>
  <si>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727715</t>
  </si>
  <si>
    <t>HESS</t>
  </si>
  <si>
    <t>I need two changes to part number 102095618.
Change 1. The description of this part needs to read Flatpack Dual, 1  3/8 - 1 1/4 x.065
Change 2.  In the description the 1/4 line in the flatpack needs to have a wall thickness of .065, not .049.</t>
  </si>
  <si>
    <t>727122</t>
  </si>
  <si>
    <t>728613</t>
  </si>
  <si>
    <t>Well Dynamics</t>
  </si>
  <si>
    <t>Slick joint tool used to screw on the Upper retaining ring to the slick joint</t>
  </si>
  <si>
    <t>727116</t>
  </si>
  <si>
    <t>727108</t>
  </si>
  <si>
    <t>728617</t>
  </si>
  <si>
    <t>9-5/8 inch packer straddle for upper body setting port pressure test</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</si>
  <si>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</si>
  <si>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</si>
  <si>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</si>
  <si>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</si>
  <si>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</si>
  <si>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733846</t>
  </si>
  <si>
    <t>FIELD LOCATION MADE CHANGES TO SAFETY SYSTEM 71CO651. THE CHANGES ARE LISTED IN THE DOCUMENTS ATTACHED. THESE CHANGES ARE TO BE INCORPORATED INTO 71CO651 REVESION B ENGINEERING UPDATE</t>
  </si>
  <si>
    <t>731193</t>
  </si>
  <si>
    <t>REQUEST FOR CREATING A SAP NUMBER FOR A HYDAC ADAPTER USED WITH ACCUMULATOR CHARGING KIT TO CHARGE A HYDAC ACCUMULATOR WITH N2.</t>
  </si>
  <si>
    <t>733914</t>
  </si>
  <si>
    <t>731190</t>
  </si>
  <si>
    <t>REQUEST FOR CREATING A SAP NUMBER FOR AN ACCUMULATOR CHARGING KIT USED TO PRE-CHARGE THE ACCUMULATOR IN THE SHS. ITEM DESCRIPTION IS ACCUMULATOR CHARGING KIT WITH GAUGES UP TO 3K PSI</t>
  </si>
  <si>
    <t>731187</t>
  </si>
  <si>
    <t>28:</t>
  </si>
  <si>
    <t>20:  splt=N/A</t>
  </si>
  <si>
    <t>18:</t>
  </si>
  <si>
    <t>PMT</t>
  </si>
  <si>
    <t>Need to qualify low cost water-glycol based DCV for new Multi-valve SHS design.
Resources:  Jim Kelley, Shane Barnes, Charlie Betts
Time:  160 hours
ZEWO:  103796619
Network:  HTWD601958 M001</t>
  </si>
  <si>
    <t>736993</t>
  </si>
  <si>
    <t>Create SAP MN for the attached 5.5in TR-SSSV Clamp, TubeTec Ref A5500-26A-M1-L and A5500-26A-M1-L for 44 x 12 mm flatpack.</t>
  </si>
  <si>
    <t>DH  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</si>
  <si>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Placing in design hold...S Saldanha reviewing and assessing with region.  12/1/11 DM</t>
  </si>
  <si>
    <t>737003</t>
  </si>
  <si>
    <t>Create a SAP MN linked to the following Tube-Tec  5¿¿¿¿ Cross Coupling Cable Protector Assembly Drawing A5500-26A Sheet 2 Rev 0</t>
  </si>
  <si>
    <t>736977</t>
  </si>
  <si>
    <t>REQUEST FOR CREATING A SAP NUMBER FOR ELCTRONIC PART IN SHS. ITEM IS A LEVEL TRANSMITTER PTX 7801 6K PSI 30 FOOT CABLE W/ ATEX CERT</t>
  </si>
  <si>
    <t>737556</t>
  </si>
  <si>
    <t>As a business strategy, product line would like to develop a new valve to replace the MC. This new valve is menat for the cost effective environment. Attached is a requiredments documents outlining the design specification envelope for this new valve. Please contact PLM for additional information</t>
  </si>
  <si>
    <t>737549</t>
  </si>
  <si>
    <t>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
2011-12-05, MWS:  
PQR-000007-20 for the gauge mountsub seal qualification has been completed and 58 of the 60 samples analyzed.  Qty 2 of the c-ring samples failed in an alternate method and will require additional verification.  Report is approximately 70% complete. 
PQR-000007-21 for the cable termination gauge seals has been completed for qty 30 of the 45 samples.  The outstanding qty 15 samples are targeted for the o-ring and will not be critical to reliability probablity for the FTA.
PQR-000007-22 HALT procedure is still under review by Woodside.
PQR-000007-23 QALT procedure is in review and will be sent to Woodsiwill de shortly.
Interim trip most likely push to January.</t>
  </si>
  <si>
    <t>UPDATE BOM PART NUMBER 598415; PART NUMBER 101820300 IS LISTED TWICE AS FIND NUMBER 0010 AND 0013 PER KELLEY PEGODA (SEE ATTACHED EMAIL). FIND NUMBER 0010 SHOULD BE 9388-2132; THERE IS NO SUCH PART IN CWI OR SAP, SO IT WILL HAVE TO BE CREATED. DRAWING 9388-2132 IS ATTACHED.
2011-12-05, WM:  Mark Guy to follow-up on.</t>
  </si>
  <si>
    <t>QGC</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</si>
  <si>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
2011-12-05, MWS:  Sam will start on the conceptual design by 12/7 with a design review planned for the following week.</t>
  </si>
  <si>
    <t>703289</t>
  </si>
  <si>
    <t>634112</t>
  </si>
  <si>
    <t>742633</t>
  </si>
  <si>
    <t>Ref. 7in TLC assy (235AC2107000)
Except:
- number of slots: 2 slots 90deg apart. Each w/4x.25 lines.
- threads to be 7in 29LB Vam Top Box x Pin
- material to be 25Cr
REQUEST WAS ALREADY COMPLETED FROM RTA 734944 (OEWUMI 20DEC11)</t>
  </si>
  <si>
    <t>743261</t>
  </si>
  <si>
    <t>Saudi</t>
  </si>
  <si>
    <t>Quality request on behalf of Production to update the CWI structure for SAP MN 101979013; Ref no. 722MC1964300 to include the following engineering documents per the attached e-mail.
Add ES-A-514 and ES-T-754.
RTA WILL BE CANCELLED DUE TO ABOVE REQUEST ALREADY PROCESSED AND COMPLETED ON T00000743391 (OEWUMI 04JAN12)</t>
  </si>
  <si>
    <t>740845</t>
  </si>
  <si>
    <t>DRAWING CHANGES REQUIRED FOR PISTON HOUSING FOR SIZE 7029 MC PRODUCTION PACKER.  CURRENT SPECIAL BUTTRESS THREAD AND BORE DIAMETER WILL PREVENT MATING PART, UPPER CONE, FROM SLIDING INSIDE OF PISTON HOUSING DURING ASSEMBLY.  DRAWINGS 314574-00-01 AND D00545456 NEED SPECIAL BUTTRESS THREAD CALLOUT CHANGED TO 5.374-8 TPI FROM 5.224-8 TPI; AND, BORE DIAMETER CHANGED TO 5.226 FROM 5.090/5.085.  PREVIOUS CHANGES MADE TO THESE THREADS AND BORES ON DRAWING REVISIONS TO 314574-00-01 AFTER REV. 5 (AND COPIED WHEN D00545456 WAS CREATED) WERE INCORRECT AND NEED TO BE UNDONE.  SEE ATTACHED DRAWING MARKUPS.</t>
  </si>
  <si>
    <t>Regarding SAP MN 590680 (ref no. W.300899-00) and other relevant sizes / material variants, Quality request to add the following specifications:
ES-I-125 for additional hardness testing and ES-I-30 for Dye Penetrant
The specifications should be added to the following components (1/4 INCH):
- Primary Jam Nut: W.300955-02
- Secondary Jam Nut: W.31017-JL
- Tertiary Jam Nut: 304457-JL
- Front Ferrule: W.030588-00
- Rear Ferrule: W.030587-00
- Ferrule Set: W.300449-00
(3/8 INCH - SAP NUMBER 588446)
- ALL JAM NUTS AND ALL FERRULES
(1/2 INCH - SAP NUMBER 591220 &amp; 594962 )
- ALL JAM NUTS AND ALL FERRULES
Note: A-150(USE ES-MA-189 INSTEAD per DT) is not specified in ES-I-125, can it be added to ensure an additional hardness is performed on the raw material for the ferrules consistently.
REVISION TO A-150 HAS BEEN REQUESTED FROM J.C AT CARROLTON TO INCLUDE ES-MA-189 (OEWUMI 04JAN11)</t>
  </si>
  <si>
    <t>OBSOLETE 589280 (W.028PQS252006) AND REPLACE WITH 588885 (030PQS252006)
IN ENGINEERING DESIGN-A.BERRET_10/17/2010-END
IN DRAFTING. FOLDER ASSIGENED TO CHETAN L. FOR BOM DRAWING UPDATE-A.BERRET_10/25/2011-END
FOLDER RETUNED TO P. JAMES BOX FOR APPROVAL_A. BERRET_12/06/2011_END</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</si>
  <si>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
2011-12-05 WM: The RTA will be placed in WIP.  Work will be started next week.  A kick off meeting to identify the scope will be scheduled for 2011-12-12.
2012-01-03 WM: The RTA has not been placed n WIP due to other priorities.  There will be an official kick off meeting by 2012-01-06.  The RTA will be placed in WIP.</t>
  </si>
  <si>
    <t>Kick-off mtg this wk.  12/12/11 DM</t>
  </si>
  <si>
    <t>743036</t>
  </si>
  <si>
    <t>All</t>
  </si>
  <si>
    <t>745885</t>
  </si>
  <si>
    <t>Worley Parsons</t>
  </si>
  <si>
    <t>Same As: 71SSS1; SFTY SYS STD RTA DESIGN REQ
Except: Design Control Panel as per Worley Parsons RFQ Ref No. 40500000116IN010Rev0.  Bid due date January 19, 2012.
Project Name: 
Special Quality Plan Required?: No
Material: 
Technical Support Deliverables:
Preliminary Design Specifications
Reference Assembly Drawing</t>
  </si>
  <si>
    <t>743328</t>
  </si>
  <si>
    <t>ECR-314429-00-01.  MISSING DIMENSIONS ON SHEET 2. MARKED UP DRG BY OMOTAYO ATTACHED. MASTER DRG TO BE REVISED.
FOLDER RETURNED TO T. BORDMAN FOR REVIEW AND DISTRIBUTION_A.BERRET_01/09/2012.</t>
  </si>
  <si>
    <t>744017</t>
  </si>
  <si>
    <t>REVISE 9290-6826 TO FIT MANDREL CONCENTRIC TO HOLE.</t>
  </si>
  <si>
    <t>746434</t>
  </si>
  <si>
    <t>741229</t>
  </si>
  <si>
    <t>ECR - 313295-00-01 REV E.
Move the MARK PER FIND No 802 from the position of the arrow pointing to end face &amp; move to a note at the bottom the sheet.
The marking is ES-MM-51-4. Which states do not metal stamp.
PLEASE REVIEW OTHER RELEASE KEYS AND REVISE AS NEEDED (OEWUMI 18DEC11)</t>
  </si>
  <si>
    <t>M/N-588280, Drawing W.018885-00-00 Rev.2
The BOM shows coating AC-C-024-B Phosphate, please change the coating to B-011 QPQ to reflect what is called out on the drawing.
FOLDER RETURNED TO T. BORDMAN BOX FOR DISTRIBUTION-A.BERRET
12/22/2011</t>
  </si>
  <si>
    <t>742284</t>
  </si>
  <si>
    <t>Request to update footer of document ES-A-433 to the correct revision. Page 1 shows revision C and the following pages show revision B
UPDATE TO SPEC COMPLETED. FOLDER RETURNED TO P. JAMES FOR DISTRIBUTION AND APPROVAL_A.BERRET_01/09/2012</t>
  </si>
  <si>
    <t>741854</t>
  </si>
  <si>
    <t>741009</t>
  </si>
  <si>
    <t>Statoil- Snorre A P-36</t>
  </si>
  <si>
    <t>Create new MN and drawing for custom crossover per attached redline drawing. 
Qty 1 PKR HF1 9653 CONTRL LINE SET KO 25 SB2  MN 596585 on order for Statoil Snorre A P36 on SO 8232862. CRK November 9th 2011. 
Per Qnote 200668884 lower body thread was recut and new custom crossover now required. 
Reference MN 101909799   BODY CROSSOVER SIZE 96 HF1 PACKER TBG SET, KNOCK OUT PLUG RELEASE -ST0</t>
  </si>
  <si>
    <t>742647</t>
  </si>
  <si>
    <t>ECR - Gauge mandrel assembly, MN 102102059, has assembly and test procedure ES-A-500 attached in the structure in CWI. Per Rameen Bakhtiary, the correct procedure should be ES-A-543, which is in progress of being written.</t>
  </si>
  <si>
    <t>741011</t>
  </si>
  <si>
    <t>PN 102113356  - Need pertinent documents created with PN 102113356 released to production by Friday. (12/19/11)   We have part coming in next week and can not goods receipt with out release of part number.</t>
  </si>
  <si>
    <t>746558</t>
  </si>
  <si>
    <t>742485</t>
  </si>
  <si>
    <t>MISCELLANEOUS E-MAIL REQUEST
KELLEY PEGODA 122011
REF: MN 597298</t>
  </si>
  <si>
    <t>738796</t>
  </si>
  <si>
    <t>CREATE BASIC NEXT GENERATION TRANSDUCER SIMULATOR FOR USE WITH THE ROC-X TESTING (THIS RTA TO BE SUPPLEMENTAL TO 532968)</t>
  </si>
  <si>
    <t>745037</t>
  </si>
  <si>
    <t>741522</t>
  </si>
  <si>
    <t>Murphy Malaysia</t>
  </si>
  <si>
    <t>740391</t>
  </si>
  <si>
    <t>REQUEST TO UPDATE ASSEMBLY PROCEDURE 2225-5003 TO INCLUDE THE FULL LIST OF CHECK VALVES.
Note: There are current Shell orders in progress. This may become a priority if TPI raises concerns.
Shell Princess P6
Shell Llano</t>
  </si>
  <si>
    <t>743050</t>
  </si>
  <si>
    <t>738804</t>
  </si>
  <si>
    <t>CREATE A TEST SYSTEM SOFTWARE SUITE FOR QUARTZDYNE TO TEST GAUGES (ROC-X ROC-nnn AND AEM). THIS RTA IS TO BE A SUPPLEMENT TO 532968.</t>
  </si>
  <si>
    <t>746411</t>
  </si>
  <si>
    <t>743428</t>
  </si>
  <si>
    <t>ELEC: Incoming Inspection DOC. 9381-5202 issues:
01 When testing ROC gauge PN 9381-6078 step 9.10 minimum and maximum do not match step 9.8 step 9.10 allways shows FAIL.
02 When testing ROC gauge PN 9381-6026 step 9.5 shows FAIL when my measurements are 80.0 mV - 85.0 mV.
03 Step 8.6 condition (PASS) the font does not match.</t>
  </si>
  <si>
    <t>ECR - PACKER ENVELOPE GENERATIONS FOR EXISTING HF1 PRODUCTS.  TASK WILL INCLUDE ALL REQUIRED DOCUMENTS PLUS THE PUBLISHED ENVELOPE IN A PDF FORMAT.  PART 5:
722HF1702305 
722HF1702607 
722HF1702608 
722HF1702941 - PENDING TENARIS
722HF1702944 - PENDING TENARIS
IGNORE ALL NEW VAM THREADS</t>
  </si>
  <si>
    <t>CBM project: Drawing update/migration from Domino to CWI per attached legend.
TSG NOTES 10-27-11 TO TSG TO REVIEW DWGS AND PUSH TASK SO PARTS CAN BE BACKFILLED (JCC) 12011 CHECKED DWGS, PART NUMBERS AND MODELS; RETD FOLDER TO TB FOR REVIEW AND APPROVAL (GMC) END
IN ENG. DESIGN-A.BERRET_10/31/2011----------------------END
-----------------------------------------------------------FOLDER RETUNED TO T. BORDMAN FOR DISTRIBUTION-A. BERRET_11/09/2011--------------------------------------END
IN ENGINEERING FOR CHECKING. A. BERRET_12/02/2011 END
FOLDER RETURNED TO ENG. FOR CHECKING AFTER TASK(S) CONSOLIDATION-A. BERRET_12/23/2011</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</si>
  <si>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
FOLDER (1/6) RETURNED TO STEVEN GAARE FOR UPDATING DRAWING (MISSING DIM.) OR OTHERS WHEN AND WHERE  NECESSARY
A. BERRET_12/23/2011_END</t>
  </si>
  <si>
    <t>740889</t>
  </si>
  <si>
    <t>745227</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</si>
  <si>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
2012-01-03 WM: The dual powered XPIO is being built in CWI.  This RTA will be completed after release of dual powered XPIO.</t>
  </si>
  <si>
    <t>739958</t>
  </si>
  <si>
    <t>Increased demand for a cost effective permanent monitoring gauges prompted reviving the Halliburton SmartLogU+2122 pressure, temperature, and vibration gauge. SmartLogU+2122 will target low temperature, low pressure, cost sensitive fields where a ROC Quartz gauge accuracy is not required. This development effort will be a full system development with the final product being the gauges mounted on a mandrel communicating with our standard surface equipment.</t>
  </si>
  <si>
    <t>744986</t>
  </si>
  <si>
    <t>742522</t>
  </si>
  <si>
    <t>Drawing W.020108-01-02 Rev F shows max OD dimension of CT shifting tool to be 2.715in nominal (at connector sub OD).  The connector sub (Dwg 308927-00-01 Rev B) shows maximum OD to be 2.700in.
Need to change Dwg W.020108-01-02 dimension to 2.700 MAX.
FOLDER RETURNED TO T. BORDMAN FOR REVIEW AND DISTRIBUTION_A.BERRET_01/09/2012</t>
  </si>
  <si>
    <t>738186</t>
  </si>
  <si>
    <t>Saudi Aramco MLJ 81</t>
  </si>
  <si>
    <t>DH New ROC Mdrl:Sgl ROC 175
Need drawings and part number set up for 4.5INCH, 15.1ppf, Q 125 VAM TOP HC, P x P, for single ROC - 175 Tubing Ported Mandrel. No by pass slots needed, run inside 9.625 INCH 58.4 ppf casing
------
2011-12-13 ST - SENT TO J. SEALE FOR CHECKING
PER ZUHED ABDURAHMAN -- ON HOLD UNTIL CLARIFICATIONS ON THE REQUEST ARE MADE -- SEE ATTACHED EMAIL - ST
2012-01-03, WM: RTA to be placed in DH until clarification received from submitter
-----
1/3/2012 RB - RTA not yet placed in WIP. leaving in submitted state.
2012-01-09, WM: Dana to place in define requirements.</t>
  </si>
  <si>
    <t>13: SPLT=140  Spoke to submitter...High profile project for Hal and work is already awarded to us. Gauges on order to arrive 2/8.  12/6/11 DM</t>
  </si>
  <si>
    <t>745038</t>
  </si>
  <si>
    <t>Permanent Monitoring Software - Due to migration to Windows 7 OS, standard PM group softwares, mainly Mentor Graphics PADS and IAR Compilers setup configurations have changed.  Nick Cooper has supported in installation of these softwares before.  If possible, a quick reference sheet or a cheat sheet for installing these software would be great as PM is growing and expanding with possibility of migrating to Windows 7 and new hires.</t>
  </si>
  <si>
    <t>738230</t>
  </si>
  <si>
    <t>Maersk Qatar</t>
  </si>
  <si>
    <t>738464</t>
  </si>
  <si>
    <t>Horizontal EZGauge development.</t>
  </si>
  <si>
    <t>744679</t>
  </si>
  <si>
    <t>Petrobel</t>
  </si>
  <si>
    <t>New ROC Mdrl: SGL ROC150
Create Drawing and SAP MN for a Single ROC-150 Gauge Mandrel, 3.5in 9.2ppf JFE Bear Box x Pin, Material: 13%Cr 80 Ksi MY.
2012-01-03, WM: Assign to Mark, class B.</t>
  </si>
  <si>
    <t>14: SPLT=112 Assigned to Mark G, changed class to B, changed request design complete date to 2/7/2012- 1/3/2012 RB.  Cancelling per C McKay email- attached.  1/4/12 DM</t>
  </si>
  <si>
    <t>744468</t>
  </si>
  <si>
    <t>CORRECT PAGE NUMBERING FOR ES-A-540.</t>
  </si>
  <si>
    <t>744460</t>
  </si>
  <si>
    <t>744936</t>
  </si>
  <si>
    <t>ECR TO CHANGE REFERENCE NUMBER ON ALL DOCUMENTATION FOR MC-1 PACKER 722MCS964004.  THIS PACKER SHOULD BE REFERENCE NUMBER 722MC19640XX (USE NEXT AVAILABLE NUMBER IN THAT SERIES).  THIS PACKER WAS ORIGINALLY INTENDED TO HAVE A DIFFERENT MECHANICAL DESIGN FROM STANDARD MC-1 PACKER, BUT WAS SWITCHED BACK TO STANDARD MC-1 DESIGN TOO LATE IN PROCESS TO CHANGE REFERENCE NUMBER.  PLEASE REVISE AND CHANGE REFERENCE NUMBER ON BOM FOR PACKER PART NUMBER 597452, PACKER ASSEMBLY DRAWING NUMBER 314910-04, AND PACKER DDS 722MCS964004.</t>
  </si>
  <si>
    <t>744084</t>
  </si>
  <si>
    <t>ECR - PACKER ENVELOPE GENERATIONS FOR EXISTING HF1 PRODUCTS.  TASK WILL INCLUDE ALL REQUIRED DOCUMENTS PLUS THE PUBLISHED ENVELOPE IN A PDF FORMAT.  PART 9:
722HF1964300 - NEW VAM THREADS; DO NOT CREATE ENVELOPE
722HF1964301
722HF1964302 - NEW VAM THREADS; DO NOT CREATE ENVELOPE
722HF1964303 - NEW VAM THREADS; DO NOT CREATE ENVELOPE
722HF1964304
IGNORE ALL NEW VAM THREADS</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</si>
  <si>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
RTA WILL BE CANCELLED DUE TO DUPLICATE REQUEST BEING PERFORMED ON RTA 720175 AND 720685 (OEWUMI 08DEC11)</t>
  </si>
  <si>
    <t>745740</t>
  </si>
  <si>
    <t>Same As: 722HF1965346; PKR,HF1,SZ 9653,TBG SET,KO,13CR,5,5 1/
Except: request a 5.5 HF1 with 7 feed thru.
concept work as been carried out by RTA 721795. 
attached is the packer customer in put sheet that requires all addition information. 
required all the technical support deliverables that are hightlight. 
Project Name: Greater Western Flank
Special Quality Plan Required?: No
Material: (7) 13 CR 80 MY 22HRC (ES-MA-58-7)
Technical Support Deliverables:
Preliminary Design Specifications
Reference Assembly Drawing
Reference BDMI
Reserve SAP Material Number
ZZ Drawing
Operating Envelope</t>
  </si>
  <si>
    <t>738879</t>
  </si>
  <si>
    <t>Apache</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</si>
  <si>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2/6)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
FOLDER (1/6) RETURNED TO STEVEN GAARE FOR UPDATING DRAWING (MISSING DIM.) OR OTHERS WHEN AND WHERE  NECESSARY
A. BERRET_12/23/2011_END</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</si>
  <si>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
FOLDER (3/6) RETURNED TO STEVEN GAARE FOR UPDATING DRAWING (MISSING DIM.) OR OTHERS WHEN AND WHERE  NECESSARY
A. BERRET_12/23/2011_END</t>
  </si>
  <si>
    <t>745853</t>
  </si>
  <si>
    <t>Revise 9381-8056 and 9381-8058 to make a rib on the bottom of the fixture to make it stronger.</t>
  </si>
  <si>
    <t>741526</t>
  </si>
  <si>
    <t>ExxonMobil-Kizomba</t>
  </si>
  <si>
    <t>742151</t>
  </si>
  <si>
    <t>Kuwait Oil company</t>
  </si>
  <si>
    <t>742735</t>
  </si>
  <si>
    <t>CLOSING QUALITY NOTIFICATIONS (QN) - QNs CURRENTLY OPEN IN SAP REQUIRE CLOSING USING THE ATTACHED INSTRUCTIONS. ALL QN NUMBERS ARE LISTED IN THE ATTACHED SPREADSHEET. TARGET COMPLETION FOR CLOSURE OF ALL QNs NOTED IN THE ATTACHED FILES IS BEFORE THE END OF YEAR 2011. BEEKEN IS REQUESTED AS A RESOURCE FOR THIS ACTIVITY. CLOSURE INSTRUCTIONS AND A LIST OF ALL QNS REQUIRING CLOSURE ARE ATTACHED TO THIS RTA.</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</si>
  <si>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
FOLDER (6/6) RETURNED TO STEVEN GAARE FOR UPDATING DRAWING (MISSING DIM.) OR OTHERS WHEN AND WHERE  NECESSARY
A. BERRET_12/23/2011_END</t>
  </si>
  <si>
    <t>741519</t>
  </si>
  <si>
    <t>To Create a 3.5 HSB with DEFLECTOR with CARBIDE insert with a multi purpose fitting kit. Integration level number will be 226HA0F07353DO</t>
  </si>
  <si>
    <t>745449</t>
  </si>
  <si>
    <t>ECR - Gauge assy dual ROC, MN 101938514, assembly procedure ES-A-531. Per David Gill, the current limit on pg 9 step 11 reads 21-35mA, this limit is to high for ROC gauges. Usually the current reads closer to 19 mA.</t>
  </si>
  <si>
    <t>744099</t>
  </si>
  <si>
    <t>ECR - drawing 9290-2715 has the 5.5 in. 17 lb. box thread identified as a pin thread. See attachment in hi-lite yellow.</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</si>
  <si>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
FOLDER (5/6) RETURNED TO STEVEN GAARE FOR UPDATING DRAWING (MISSING DIM.) OR OTHERS WHEN AND WHERE  NECESSARY
A. BERRET_12/23/2011_END</t>
  </si>
  <si>
    <t>New CI Mdrl: New CV Design
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
2012-01-03, WM:  Lee check valve design is under way and RTA can proceed after design has been completed.</t>
  </si>
  <si>
    <t>738440</t>
  </si>
  <si>
    <t>Develop a valve-gauge combo. The objective is to integrate the WD gauges into the ICV product line (particularly the HS).
More detail to be provided by FC PLM.</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</si>
  <si>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
FOLDER (4/6) RETURNED TO STEVEN GAARE FOR UPDATING DRAWING (MISSING DIM.) OR OTHERS WHEN AND WHERE  NECESSARY
A. BERRET_12/23/2011_END</t>
  </si>
  <si>
    <t>745441</t>
  </si>
  <si>
    <t>ECR-313479. Change drg to have a .13 radius (8 Plcs)in the corners of the 1.00 wide x 5 degree slots on sheet 2. Change Min Thread length from .95 to .8. This will allow thread  milling of the holes reducing breakage of taps Change other crimp clamp housing to the same. Ref changes already done on 316841-00-01</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</si>
  <si>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
2012-01-03, WM:  Lee check valve design is under way and RTA can proceed after design has been completed.</t>
  </si>
  <si>
    <t>DH New CI Mdrl: New CV Design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
2012-01-03, WM:  Lee check valve design is under way and RTA can proceed after design has been completed.</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</si>
  <si>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
2011-12-12 WM: Follow up with procurement is in progress.  Awaiting confirmation that purging of stock has been completed.</t>
  </si>
  <si>
    <t>New Flowmeter:Shells alternative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
2011-12-05, WM:  RTA provided to Paul Haines for checking on 11/30.  Rameen to followup.  Need two days to approve once complete.
2012-01-03, WM: Order canceled; will proceed with design release since drawings have been completed.</t>
  </si>
  <si>
    <t>DH New ROC Mdrl:SGL ROC175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
2012-01-03, WM: Still awaiting feedback from Jim.</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</si>
  <si>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
2011-12-21 Aswin Balasubramanian: The project plan has been updated and technology due dates revised.  Echo and ROC-P project requirements along with resource availability during December 2011 has changed the technology due date to 2012-06-15.</t>
  </si>
  <si>
    <t>New CI Mdrl:Special ID/OD
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
2011-12-05, WM:  Additional requirements have been requested.  Jim to look into requested HAL design for preparation for conference call.  Sam to setup a conference call towards the end of the week.  Class updated to Class B.
2012-01-03, WM: Sam to set up conference call to finalize specifications. Tech revised due date to be reviewed after specs finalized.</t>
  </si>
  <si>
    <t>1: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 Recd customer response with further questions. Forwarded to Sam.  12/2/2011  Review RTA code, AIS date, and SPLT.  12/5/11 DM  Cancelling RTA per attached email from J Flygare.  1/4/12 DM</t>
  </si>
  <si>
    <t>2: SPLT=84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  Bruce Gavin, Jim, and Dan to meet 12/6 to identify requirements to be discussed with ADCO next week.  12/5/11 DM  Mtg never happened with Craig and Bruce.  Robert in Abu Dhabi next week and will get info on modem interface.  12/9/11 DM</t>
  </si>
  <si>
    <t>17:  AIS date? Assign to J Kelley Code B.  10/10/11 DM Review in process. 12/5/11 DM  Follow up with field regaring AIS date and project.  Ted to review status with Jim.  12/9/11 DM</t>
  </si>
  <si>
    <t>DH New Flowmeter:REF 9290-6664
DH  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
2011-12-05, WM:  Mandrel is a larger diameter so the venturi will need to be redesigned.  Rameen to review venturi flowmeter design.  Prior to checking review material with Dana to verify that an update has not been requested.  Notify Dana when checking is complete so VSF can be implemented.
2012-01-03, WM: RTA has been placed on design hold due to undefined matl requirements. RTA will proceed once resolved.
2012-01-09, WM: Dana to cancel RTA.</t>
  </si>
  <si>
    <t>DH  Same As: 215HA0550018; VLV, HVC, INTEGRATION, ACCUPULSE, 5-1/2,
Except: 5.5 in HVC ICV 13Cr, Tenaris Blue Box x Pin, water injection well, choking carbide trim 31153735
Project Name: MR6 (M2A)
Special Quality Plan Required?: No
Material: (7) 13 CR 80 MY 22HRC (ES-MA-58-7)
Mating Infomation:</t>
  </si>
  <si>
    <t>New Flowmeter:Shells primary
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2011-12-05, WM:  New gauge design in progress.  Mandrel design completed, drafting in progress.
2011-11-30 MG - Mandrel ID 2.75 min drawing change completed &amp; forwarded to Paul Haines for checking.
2012-01-03, WM: Order canceled; will proceed with design release since drawings have been completed.</t>
  </si>
  <si>
    <t>DH  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</si>
  <si>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740496</t>
  </si>
  <si>
    <t>Petroleum Development Oman</t>
  </si>
  <si>
    <t>746690</t>
  </si>
  <si>
    <t>ECR - Dual ROC gauge assy, MN 102108984, does not have any assy or test procedures attached in CWI. Production cannot proceed without this. Please attach.</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</si>
  <si>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2011-01-10 AB.</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</si>
  <si>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
2011-12-05, MWS: TransControl Design to be completed by January 2012.  Qualification is targeted for February 2012.
2012-01-10 WM: TransControl has tested with ROC-L.  Further testing is scheduled to undergo with ROC-150 gauges.  The dates are to finalized.  2012-01-10 AB</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</si>
  <si>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
2012-01-03 WM: The manufacturer specification for all purchased parts has been completed and is under review.  The BOM will be built and support documentation updated accordingly.  The dual power XPIO build has a higher priority and this RTA will be revisited after XPIO build in CWI is done.</t>
  </si>
  <si>
    <t>Submitted By</t>
  </si>
  <si>
    <t>Ian Gooch</t>
  </si>
  <si>
    <t>Jay Bissell</t>
  </si>
  <si>
    <t>Philip Allardyce</t>
  </si>
  <si>
    <t>David Mills</t>
  </si>
  <si>
    <t>Eric Morrell</t>
  </si>
  <si>
    <t>Erica Notto</t>
  </si>
  <si>
    <t>Martin Staelens</t>
  </si>
  <si>
    <t>Dougie Davies</t>
  </si>
  <si>
    <t>Paul Murray</t>
  </si>
  <si>
    <t>Melissa A Allen</t>
  </si>
  <si>
    <t>Tommy Lofthus</t>
  </si>
  <si>
    <t>Colton Puckett</t>
  </si>
  <si>
    <t>Martita Gill</t>
  </si>
  <si>
    <t>Colin McKay</t>
  </si>
  <si>
    <t>Lorenzzo Breda Minassa</t>
  </si>
  <si>
    <t>Torje Tvedt</t>
  </si>
  <si>
    <t>Paul Anthony</t>
  </si>
  <si>
    <t>Kenneth Dixson</t>
  </si>
  <si>
    <t>Bill Hanks</t>
  </si>
  <si>
    <t>Steve Ewens</t>
  </si>
  <si>
    <t>Christoffer Naden</t>
  </si>
  <si>
    <t>Leary R Friebele</t>
  </si>
  <si>
    <t>Heather Gray</t>
  </si>
  <si>
    <t>Albert Nurullin</t>
  </si>
  <si>
    <t>Suzi Marcuccio</t>
  </si>
  <si>
    <t>Sigbjorn Jarstad</t>
  </si>
  <si>
    <t>Anthony Rivera</t>
  </si>
  <si>
    <t>Jonathan L Hrabik</t>
  </si>
  <si>
    <t>Keith Wee</t>
  </si>
  <si>
    <t>Brent Nelson</t>
  </si>
  <si>
    <t>Kare Hognestad</t>
  </si>
  <si>
    <t>Christopher Tawse</t>
  </si>
  <si>
    <t>Bharathwaj Kannan</t>
  </si>
  <si>
    <t>Ksenia Abakumova</t>
  </si>
  <si>
    <t>Frank Gremillion</t>
  </si>
  <si>
    <t>Omar Mirza</t>
  </si>
  <si>
    <t>Stephen Allan</t>
  </si>
  <si>
    <t>Glen Breerwood</t>
  </si>
  <si>
    <t>Jennifer Clemonds</t>
  </si>
  <si>
    <t>Peter Kemshall</t>
  </si>
  <si>
    <t>Rory Gardner</t>
  </si>
  <si>
    <t>Per Egil Riis</t>
  </si>
  <si>
    <t>Alessandro Torchiana</t>
  </si>
  <si>
    <t>Marcelo Batocchio</t>
  </si>
  <si>
    <t>Melissa Smith</t>
  </si>
  <si>
    <t>Courage Erumwunse</t>
  </si>
  <si>
    <t>Charles Shade</t>
  </si>
  <si>
    <t>Robert J Smith</t>
  </si>
  <si>
    <t>Kevin Duane</t>
  </si>
  <si>
    <t>Vinaa Raachma Maartina</t>
  </si>
  <si>
    <t>Paul Lively</t>
  </si>
  <si>
    <t>William Kruse</t>
  </si>
  <si>
    <t>Mayra Gomez</t>
  </si>
  <si>
    <t>Mariane Morgan</t>
  </si>
  <si>
    <t>Suresh Jacob</t>
  </si>
  <si>
    <t>Lindsey McAninch</t>
  </si>
  <si>
    <t>Stig-Marius Holgersen</t>
  </si>
  <si>
    <t>Alan McLauchlan</t>
  </si>
  <si>
    <t>Chris David</t>
  </si>
  <si>
    <t>Hugo Gomez</t>
  </si>
  <si>
    <t>Zuhed Abdurahman</t>
  </si>
  <si>
    <t>Tony Stuart</t>
  </si>
  <si>
    <t>Raymund Meijs</t>
  </si>
  <si>
    <t>Ameerah Muhammad</t>
  </si>
  <si>
    <t>Debra J Patton</t>
  </si>
  <si>
    <t>melissa smith</t>
  </si>
  <si>
    <t>Bartosz Krupski</t>
  </si>
  <si>
    <t>Lilia Roman</t>
  </si>
  <si>
    <t>Samuel Guerrero</t>
  </si>
  <si>
    <t>Laurese Chatman</t>
  </si>
  <si>
    <t>Graham C Fleming</t>
  </si>
  <si>
    <t>Cindy Veroba</t>
  </si>
  <si>
    <t>Gregory D Treleaven</t>
  </si>
  <si>
    <t>tengrlrw</t>
  </si>
  <si>
    <t>Tom Golden</t>
  </si>
  <si>
    <t>Saravanan Muniyandy</t>
  </si>
  <si>
    <t>Jameel Rahman</t>
  </si>
  <si>
    <t>Roar Hinna</t>
  </si>
  <si>
    <t>Kevin Wood1</t>
  </si>
  <si>
    <t>John Leitch</t>
  </si>
  <si>
    <t>Christopher Vancamp</t>
  </si>
  <si>
    <t>Barry Meldrum</t>
  </si>
  <si>
    <t>Joe Karigan</t>
  </si>
  <si>
    <t>Leif Kvarme</t>
  </si>
  <si>
    <t>Seth Cormier</t>
  </si>
  <si>
    <t>Nicholas Croke</t>
  </si>
  <si>
    <t>Steve Paterson</t>
  </si>
  <si>
    <t>JoeAngel Galindo</t>
  </si>
  <si>
    <t>Jim MacDonald</t>
  </si>
  <si>
    <t>Doug Finley</t>
  </si>
  <si>
    <t>Sandra Perryman</t>
  </si>
  <si>
    <t>Travis Pellerin</t>
  </si>
  <si>
    <t>Michel LeBlanc</t>
  </si>
  <si>
    <t>Sergio Culebro</t>
  </si>
  <si>
    <t>Abdallah A. Abdulhalim</t>
  </si>
  <si>
    <t>Rhalina Duguid</t>
  </si>
  <si>
    <t>Elward Gardner</t>
  </si>
  <si>
    <t>Blake Arabie</t>
  </si>
  <si>
    <t>Joe Requestor</t>
  </si>
  <si>
    <t>Fabio Cervini</t>
  </si>
  <si>
    <t>Simon White</t>
  </si>
  <si>
    <t>Paul Terry</t>
  </si>
  <si>
    <t>Brian Stolz</t>
  </si>
  <si>
    <t>Basheer Al-Felfel</t>
  </si>
  <si>
    <t>Jerry Hutsen</t>
  </si>
  <si>
    <t>Rob Pounds</t>
  </si>
  <si>
    <t>Nassim Mesaoudi</t>
  </si>
  <si>
    <t>Cesar Ricardo Marin1</t>
  </si>
  <si>
    <t>Bryan Norrie</t>
  </si>
  <si>
    <t>Develop and qualify Solar Panel Assy for ADCO Perm Downhole Gauges Project
Customer:  ADCO
Project:     ASAB
Quality:     AD1
10/17/11 WM Assign to James Kelley Class B  Ted/Robert still need to review requirements. Dana to email Craig &amp; Bruce and confirm AIS date and priority for all ADCO rtas.
2011-11-07, WM:  RTA reassigned to Dan.
2011-12-15 WM: awaiting information about modem.
2012-01-03 WM: Identified Modem. Create an SAP part spec to be released under subtask. Change to Development RTA type.
2012-01-10, WM: Part number sent to Jim for review. Will be changed to development RTA</t>
  </si>
  <si>
    <t>Requestor Email</t>
  </si>
  <si>
    <t>Ian.gooch@halliburton.com</t>
  </si>
  <si>
    <t>Jay.bissell@halliburton.com</t>
  </si>
  <si>
    <t>David.Mills@welldynamics.com</t>
  </si>
  <si>
    <t>ale.avila@halliburton.com</t>
  </si>
  <si>
    <t>Eric.Morrell@welldynamics.com</t>
  </si>
  <si>
    <t>Matthew.Scogin@welldynamics.com</t>
  </si>
  <si>
    <t>vicky.jackson@halliburton.com</t>
  </si>
  <si>
    <t>Scott.Hoadley@halliburton.com</t>
  </si>
  <si>
    <t>Martin.Staelens@welldynamics.com</t>
  </si>
  <si>
    <t>Holly.Marback@halliburton.com</t>
  </si>
  <si>
    <t>Dougie.Davies@Halliburton.com</t>
  </si>
  <si>
    <t>Bill.Hanks@Halliburton.com</t>
  </si>
  <si>
    <t>OMOTAYO.EWUMI@HALLIBURTON.COM</t>
  </si>
  <si>
    <t>Dyane.Henson@Halliburton.com</t>
  </si>
  <si>
    <t>DANA.MOE@WELLDYNAMICS.COM</t>
  </si>
  <si>
    <t>Melissa.Allen@welldynamics.com</t>
  </si>
  <si>
    <t>chris.david@halliburton.com</t>
  </si>
  <si>
    <t>kare.hognestad@halliburton.com</t>
  </si>
  <si>
    <t>Colton.puckett@halliburton.com</t>
  </si>
  <si>
    <t>Anand.venugopal@halliburton.com</t>
  </si>
  <si>
    <t>Gaynell.Chatelain@Halliburton.com</t>
  </si>
  <si>
    <t>gireesh.bhat@halliburton.com</t>
  </si>
  <si>
    <t>Colin.McKay@welldynamics.com</t>
  </si>
  <si>
    <t>LORENZZOBREDA.MINASSA@HALLIBURTON.com</t>
  </si>
  <si>
    <t>Savio.Saldanha@welldynamics.com</t>
  </si>
  <si>
    <t>Torje.Tvedt@welldynamics.com</t>
  </si>
  <si>
    <t>Paul.Anthony@Halliburton.com</t>
  </si>
  <si>
    <t>Kenneth.Dixson@pinntech.com</t>
  </si>
  <si>
    <t>charles.shade@halliburton.com</t>
  </si>
  <si>
    <t>Omotayo.Ewumi@halliburton.com</t>
  </si>
  <si>
    <t>chris.vancamp@halliburton.com</t>
  </si>
  <si>
    <t>Colin.mckay@halliburton.com</t>
  </si>
  <si>
    <t>steve.ewens@halliburton.com</t>
  </si>
  <si>
    <t>Dana.Moe@Halliburton.com</t>
  </si>
  <si>
    <t>Kelley.Pegoda@halliburton.com</t>
  </si>
  <si>
    <t>Debra.Hickman@welldynamics.com</t>
  </si>
  <si>
    <t>Lisbeth.Odegaard@halliburton.com</t>
  </si>
  <si>
    <t>Leary.Friebele@welldynamics.com</t>
  </si>
  <si>
    <t>Steve.Ewens@Halliburton.com</t>
  </si>
  <si>
    <t>Tommy.Lofthus@welldynamics.com</t>
  </si>
  <si>
    <t>Albert.Nurullin@Halliburton.com</t>
  </si>
  <si>
    <t>Damon.Trahan@welldynamics.com</t>
  </si>
  <si>
    <t>Suzi.Marcuccio@Halliburton.com</t>
  </si>
  <si>
    <t>Anthony.Rivera@halliburton.com</t>
  </si>
  <si>
    <t>Kenny.Pham@welldynamics.com</t>
  </si>
  <si>
    <t>GIREESH.BHAT@HALLIBURTON.COM</t>
  </si>
  <si>
    <t>Jonathan.Hrabik@Halliburton.com</t>
  </si>
  <si>
    <t>Gireesh.Bhat@welldynamics.com</t>
  </si>
  <si>
    <t>NA</t>
  </si>
  <si>
    <t>Brent.Nelson@welldynamics.com</t>
  </si>
  <si>
    <t>Bharathwaj.Kannan@welldynamics.com</t>
  </si>
  <si>
    <t>Ksenia.Abakumova@halliburton.com</t>
  </si>
  <si>
    <t>Hernandez@halliburton.com</t>
  </si>
  <si>
    <t>suzi.marcuccio@halliburton.com</t>
  </si>
  <si>
    <t>Nicholas.Cooper@welldynamics.com</t>
  </si>
  <si>
    <t>frank.gremillion@pinntech.com</t>
  </si>
  <si>
    <t>Samuel.Tehven@halliburton.com</t>
  </si>
  <si>
    <t>Joelshaw2@halliburton.com</t>
  </si>
  <si>
    <t>Stephen.Allan@welldynamics.com</t>
  </si>
  <si>
    <t>Keith.wee@halliburton.com</t>
  </si>
  <si>
    <t>Hakon.Kaltveit@halliburton.com</t>
  </si>
  <si>
    <t>Jim.Kelley@Halliburton.com</t>
  </si>
  <si>
    <t>Glen.Breerwood@welldynamics.com</t>
  </si>
  <si>
    <t>Jennifer.Clemonds@welldynamics.com</t>
  </si>
  <si>
    <t>matthew.scogin@halliburton.com</t>
  </si>
  <si>
    <t>jay.bissell@halliburton.com</t>
  </si>
  <si>
    <t>Rory.gardner@halliburton.com</t>
  </si>
  <si>
    <t>Robert.Thornburg@Halliburton.com</t>
  </si>
  <si>
    <t>Alan.McLauchlan@halliburton.com</t>
  </si>
  <si>
    <t>PerEgil.Riis@welldynamics.com</t>
  </si>
  <si>
    <t>Alessandro.Torchiana@welldynamics.com</t>
  </si>
  <si>
    <t>Robert.mcmanus@halliburton.com</t>
  </si>
  <si>
    <t>William.Kruse@welldynamics.com</t>
  </si>
  <si>
    <t>holly.marback@hallilburton.com</t>
  </si>
  <si>
    <t>Kenny.Pham@Halliburton.com</t>
  </si>
  <si>
    <t>Mayra.Hadley@welldynamics.com</t>
  </si>
  <si>
    <t>Courage.Erumwunse@halliburton.com</t>
  </si>
  <si>
    <t>Charles.Shade@welldynamics.com</t>
  </si>
  <si>
    <t>Robert.Smith@welldynamics.com</t>
  </si>
  <si>
    <t>Joel.Shaw2@halliburton.com</t>
  </si>
  <si>
    <t>suzi.marcuccio@gmail.com</t>
  </si>
  <si>
    <t>Aswin.Balasubramanian@welldynamics.com</t>
  </si>
  <si>
    <t>Paul.Lively@Halliburton.com</t>
  </si>
  <si>
    <t>janice.callaway@halliburton.com</t>
  </si>
  <si>
    <t>mariane.morgan@welldynamics.com</t>
  </si>
  <si>
    <t>Audrey.Rennie@Halliburton.com</t>
  </si>
  <si>
    <t>edwin.gonzalez@halliburton.com</t>
  </si>
  <si>
    <t>DAMON.TRAHAN@HALLIBURTON.COM</t>
  </si>
  <si>
    <t>Lindsey.McAninch@halliburton.com</t>
  </si>
  <si>
    <t>Hai.Bi@welldynamics.com</t>
  </si>
  <si>
    <t>joeangel.galindo@halliburton.com</t>
  </si>
  <si>
    <t>Hugo.Gomez@halliburton.com</t>
  </si>
  <si>
    <t>David.Gill@halliburton.com</t>
  </si>
  <si>
    <t>Zuhed.Abdurahman@welldynamics.com</t>
  </si>
  <si>
    <t>Pamela.Forester@welldynamics.com</t>
  </si>
  <si>
    <t>Esmeralda.hernandez@halliburton.com</t>
  </si>
  <si>
    <t>kathryn.moe@welldynamics.com</t>
  </si>
  <si>
    <t>Raymund.Meijs@Halliburton.com</t>
  </si>
  <si>
    <t>Ameerah.Muhammad@Halliburton.com</t>
  </si>
  <si>
    <t>Debbie.Patton@welldynamics.com</t>
  </si>
  <si>
    <t>marcelo.batocchio@halliburton.com</t>
  </si>
  <si>
    <t>roar.hinna@halliburton.com</t>
  </si>
  <si>
    <t>Bartosz.Krupski@halliburton.com</t>
  </si>
  <si>
    <t>Ravi.Vayeda@welldynamics.com</t>
  </si>
  <si>
    <t>holly.marback@halliburton.com</t>
  </si>
  <si>
    <t>Mark.Guy@welldynamics.com</t>
  </si>
  <si>
    <t>pamela.forester@halliburton.com</t>
  </si>
  <si>
    <t>David.Brightman@Halliburton.com</t>
  </si>
  <si>
    <t>Mariane.Morgan@Halliburton.com</t>
  </si>
  <si>
    <t>Laurese.Richmond@Halliburton.com</t>
  </si>
  <si>
    <t>Suzi.marcuccio@halliburton.com</t>
  </si>
  <si>
    <t>chris.david@welldynamics.com</t>
  </si>
  <si>
    <t>Paul.Haines@welldynamics.com</t>
  </si>
  <si>
    <t>Graham.Fleming@welldynamics.com</t>
  </si>
  <si>
    <t>Mark.bedry@halliburton.com</t>
  </si>
  <si>
    <t>Gregory.Treleaven@welldynamics.com</t>
  </si>
  <si>
    <t>Lori.Witherow@halliburton.com</t>
  </si>
  <si>
    <t>clifford.allen@halliburton.com</t>
  </si>
  <si>
    <t>JANICE.CALLAWAY@HALLIBURTON.COM</t>
  </si>
  <si>
    <t>Saravanan.Muniyandy@halliburton.com</t>
  </si>
  <si>
    <t>pam.funk@halliburton.com</t>
  </si>
  <si>
    <t>glen.breerwood@welldynamics.com</t>
  </si>
  <si>
    <t>courage.erumwunse</t>
  </si>
  <si>
    <t>Kevin.Bedborough@Halliburton.com</t>
  </si>
  <si>
    <t>Mark.guy@halliburton.com</t>
  </si>
  <si>
    <t>stigmarius.holgersen@halliburton.com</t>
  </si>
  <si>
    <t>Peter.Kemshall@halliburton.com</t>
  </si>
  <si>
    <t>Kevin.Wood2@halliburton.com</t>
  </si>
  <si>
    <t>James.Seale@welldynamics.com</t>
  </si>
  <si>
    <t>Rameen.Bakhtiary@halliburton.com</t>
  </si>
  <si>
    <t>ted.soules@halliburton.com</t>
  </si>
  <si>
    <t>Erica.Notto@welldynamics.com</t>
  </si>
  <si>
    <t>Chris.Vancamp@halliburton.com</t>
  </si>
  <si>
    <t>stephen.allan@halliburton.com</t>
  </si>
  <si>
    <t>Courage.erumwunse@halliburton.com</t>
  </si>
  <si>
    <t>Andre.Pinheiro@halliburton.com</t>
  </si>
  <si>
    <t>david.mclare@halliburton.com</t>
  </si>
  <si>
    <t>Kare.Hognestad@welldynamics.com</t>
  </si>
  <si>
    <t>Darryl.Jones@welldynamics.com</t>
  </si>
  <si>
    <t>STEPHEN.ALLAN</t>
  </si>
  <si>
    <t>MARIANE.MORGAN@WELLDYNAMICS.COM</t>
  </si>
  <si>
    <t>Kevin.Duane@Halliburton.com</t>
  </si>
  <si>
    <t>Ale.Avila@welldynamics.com</t>
  </si>
  <si>
    <t>seth.cormier@halliburton.com</t>
  </si>
  <si>
    <t>hai.bi@halliburton.com</t>
  </si>
  <si>
    <t>Kenny.Daves@welldynamics.com</t>
  </si>
  <si>
    <t>Nicholas.Croke@halliburton.com</t>
  </si>
  <si>
    <t>dan.taylor@halliburton.com</t>
  </si>
  <si>
    <t>KELLEY.PEGODA@WELLDYNAMICS.COM</t>
  </si>
  <si>
    <t>Matthew.scogin@halliburton.com</t>
  </si>
  <si>
    <t>ckaminski@innovaelec.com</t>
  </si>
  <si>
    <t>Stephen.Paterson@welldynamics.com</t>
  </si>
  <si>
    <t>kelley.pegoda@halliburton.com</t>
  </si>
  <si>
    <t>Joeangel.Galindo@welldynamics.com</t>
  </si>
  <si>
    <t>Thomas.Cassidy@halliburton.com</t>
  </si>
  <si>
    <t>Jim.MacDonald@welldynamics.com</t>
  </si>
  <si>
    <t>ebrewer@innovaelec.com</t>
  </si>
  <si>
    <t>Terje.Nilsen@halliburton.com</t>
  </si>
  <si>
    <t>zuhed.abdurahman@halliburton.com</t>
  </si>
  <si>
    <t>ESMERALDA.HERNANDEZ@WELLDYNAMICS.COM</t>
  </si>
  <si>
    <t>MAYRA.HADLEY@HADLEY</t>
  </si>
  <si>
    <t>Sigbjorn.jarstad@halliburton.com</t>
  </si>
  <si>
    <t>Ravi.Vayeda@Halliburton.com</t>
  </si>
  <si>
    <t>colin.mckay2@halliburton.com</t>
  </si>
  <si>
    <t>phil.allardyce@halliburton.com</t>
  </si>
  <si>
    <t>Alan.mclauchlan@halliburton.com</t>
  </si>
  <si>
    <t>Ahmed.Jasser@halliburton.com</t>
  </si>
  <si>
    <t>TIM.ORTIZ@HALLIBURTON.COM</t>
  </si>
  <si>
    <t>Travis.Pellerin@halliburton.com</t>
  </si>
  <si>
    <t>Valerie.Ngim@welldynamics.com</t>
  </si>
  <si>
    <t>Sandra.Perryman@welldynamics.com</t>
  </si>
  <si>
    <t>Steve.mackey@halliburton.com</t>
  </si>
  <si>
    <t>Gregory.Marshall@welldynamics.com</t>
  </si>
  <si>
    <t>Frank.Gremillion@pinntech.com</t>
  </si>
  <si>
    <t>Jameel.Rahman@welldynamics.com</t>
  </si>
  <si>
    <t>MAYRA.HADLEY@HALLIBURTON.COM</t>
  </si>
  <si>
    <t>Dyane.Henson@welldynamics.com</t>
  </si>
  <si>
    <t>Michel.LeBlanc@halliburton.com</t>
  </si>
  <si>
    <t>Gloria.Macias@halliburton.com</t>
  </si>
  <si>
    <t>craig.yeates@halliburton.com</t>
  </si>
  <si>
    <t>Edwin.gonzalez@halliburton.com</t>
  </si>
  <si>
    <t>Dana.Moe@welldynamics.com</t>
  </si>
  <si>
    <t>savio.saldanha@welldynamics.com</t>
  </si>
  <si>
    <t>mike.regan@halliburton.com</t>
  </si>
  <si>
    <t>SCOTT.GARNER@HALLIBURTON.COM</t>
  </si>
  <si>
    <t>alistair.stuart@halliburton.com</t>
  </si>
  <si>
    <t>debra.hickman@welldynamics.com</t>
  </si>
  <si>
    <t>David.Teale@welldynamics.com</t>
  </si>
  <si>
    <t>HOLLY.MARBACK@HALLIBURTON.COM</t>
  </si>
  <si>
    <t>Bruce.Gavin@halliburton.com</t>
  </si>
  <si>
    <t>bruce.gavin@halliburton.com</t>
  </si>
  <si>
    <t>COLTON.PUCKETT@HALLIBURTON.COM</t>
  </si>
  <si>
    <t>Tommy.lofthus@halliburton.com</t>
  </si>
  <si>
    <t>PAUL.JAMES@WELLDYNAMICS.COM</t>
  </si>
  <si>
    <t>DEBRA.HICKMAN@WELLDYNAMICS.COM</t>
  </si>
  <si>
    <t>Pranay.Asthana@welldynamics.com</t>
  </si>
  <si>
    <t>Bruce.Gavin@Halliburton.com</t>
  </si>
  <si>
    <t>janice.callaway@welldynamics.com</t>
  </si>
  <si>
    <t>Kirby.Schrader@welldynamics.com</t>
  </si>
  <si>
    <t>Kelly.Neves@halliburton.com</t>
  </si>
  <si>
    <t>Darren.Cortes@Halliburton.com</t>
  </si>
  <si>
    <t>KELLEY.PEGODA@HALLIBURTON.COM</t>
  </si>
  <si>
    <t>Phil.Allardyce@welldynamics.com</t>
  </si>
  <si>
    <t>Ikenna.Gaius@Halliburton.com</t>
  </si>
  <si>
    <t>DAVID.GILL@HALLIBURTON.COM</t>
  </si>
  <si>
    <t>Rameen.bakhtiary@halliburton.com</t>
  </si>
  <si>
    <t>Glen.breerwood@halliburton.com</t>
  </si>
  <si>
    <t>michael.boucher@halliburton.com</t>
  </si>
  <si>
    <t>michael.guillory@halliburton.com</t>
  </si>
  <si>
    <t>ALAN.MCLAUCHLAN@HALLIBURTON.COM</t>
  </si>
  <si>
    <t>JANICE.CALLAWAY@WELLDYNAMICS.COM</t>
  </si>
  <si>
    <t>JIM.MACDONALD@HALLIBURTON.COM</t>
  </si>
  <si>
    <t>Chetan.Lokesh@halliburton.com</t>
  </si>
  <si>
    <t>eric.lucyk@halliburton.com</t>
  </si>
  <si>
    <t>Dougie.Davies@halliburton.com</t>
  </si>
  <si>
    <t>savio.saldanha@halliburton.com</t>
  </si>
  <si>
    <t>Paul.James@welldynamics.com</t>
  </si>
  <si>
    <t>Brian.Stolz@Halliburton.com</t>
  </si>
  <si>
    <t>colin.mckay@halliburton.com</t>
  </si>
  <si>
    <t>Esmeralda.mcleane@halliburton.com</t>
  </si>
  <si>
    <t>Jerry.Hutsen@welldynamics.com</t>
  </si>
  <si>
    <t>Rob.pounds@halliburton.com</t>
  </si>
  <si>
    <t>Peter.kemshall@halliburton.com</t>
  </si>
  <si>
    <t>craig.yeats@halliburton.com</t>
  </si>
  <si>
    <t>Samuel.guerrero@halliburton.com</t>
  </si>
  <si>
    <t>Ted.Soules@welldynamics.com</t>
  </si>
  <si>
    <t>Kieth.wee@hallilburton.com</t>
  </si>
  <si>
    <t>Waqar.ahmed@halliburton.com</t>
  </si>
  <si>
    <t>Cole.Grandjean@halliburton.com</t>
  </si>
  <si>
    <t>Doug.finley@halliburton.com</t>
  </si>
  <si>
    <t>Theodore Soules</t>
  </si>
  <si>
    <t>Khoa Pham</t>
  </si>
  <si>
    <t>Manager/Lead</t>
  </si>
  <si>
    <t>pmSub</t>
  </si>
  <si>
    <t>Pmgroups</t>
  </si>
  <si>
    <t>PMgrpDelim</t>
  </si>
  <si>
    <t>FCgroups</t>
  </si>
  <si>
    <t>FCgrpDelim</t>
  </si>
  <si>
    <t>DIgroups</t>
  </si>
  <si>
    <t>DIgrpDelim</t>
  </si>
  <si>
    <t>Sgroups</t>
  </si>
  <si>
    <t>SgrpDelim</t>
  </si>
  <si>
    <t>746999</t>
  </si>
  <si>
    <t>747301</t>
  </si>
  <si>
    <t>SPLT=112</t>
  </si>
  <si>
    <t>747115</t>
  </si>
  <si>
    <t>DH  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</si>
  <si>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DH  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</si>
  <si>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DH Same As: 722MCS964004; PACKER, MC-1, 13CR, 5.50 17 SL APEX BOX
Except: Change of bore size / tubing connections to 3 1/2 inch 9.2lbs/ft Vam Top, Box X Pin connections.
All other spec to remain the same on packer.
Tech Start Date is in the past
Project Name: Nimr Polymer Injection
Special Quality Plan Required?: No
Material: (7) 13 CR 80 MY 22HRC (ES-MA-58-7)
Mating Infomation:</t>
  </si>
  <si>
    <t>Full Screen Option</t>
  </si>
  <si>
    <t>747414</t>
  </si>
  <si>
    <t>Same As: 226HA00735S1O00SB2; VLV INTEGD,HS-B,ACCUPULSE, - SB2
Except: 1. Modify to include Position Sensor.
2. Customize Flow Trim for D0058430002. See attachment.
Tech Start Date is in the past
Project Name: Stjerne M13
Special Quality Plan Required?: Yes
Quality Plan Identifier: SB2
Material: (9) 13 CR 105 MY 35 HRC (ES-MA-585)
Mating Infomation:</t>
  </si>
  <si>
    <t>747422</t>
  </si>
  <si>
    <t>Same As: 215HA0550023-SB2; VLV INTEGD,HVC,ACCUPULSE,5-1/2 -SB2
Except: 1. Need modifications to bypass slots to incorporate the following:
1 of 1/4 inch el line
3 of 1/4 inch hydraulic line
2. Flow trim customized for  31153721. See attachment.
3. Incoporate Position Sensor into new design.
Tech Start Date is in the past
Project Name: Stjerne M13
Special Quality Plan Required?: Yes
Quality Plan Identifier: SB2
Material: (9) 13 CR 105 MY 35 HRC (ES-MA-585)
Mating Infomation:</t>
  </si>
  <si>
    <t>747395</t>
  </si>
  <si>
    <t>Same As: 226HA00735S1O00SB2; VLV INTEGD,HS-B,ACCUPULSE, - SB2
Except: 1. Require modifications to include Position Sensor.
2. Customised Flow Trim  315955HCD. See attachment.
Tech Start Date is in the past
Project Name: Stjerne M-13
Special Quality Plan Required?: Yes
Quality Plan Identifier: SB2
Material: (9) 13 CR 105 MY 35 HRC (ES-MA-585)
Mating Infomation:</t>
  </si>
  <si>
    <t>747413</t>
  </si>
  <si>
    <t>Same As: 226HA00735S1O00SB2; VLV INTEGD,HS-B,ACCUPULSE, - SB2
Except: 1. Modify to include Position Sensor.
2. Customize flow trim for D0054830002. See attachment.
Tech Start Date is in the past
Project Name: Stjerne M13
Special Quality Plan Required?: Yes
Quality Plan Identifier: SB2
Material: (9) 13 CR 105 MY 35 HRC (ES-MA-585)
Mating Infomation:</t>
  </si>
  <si>
    <t>747823</t>
  </si>
  <si>
    <t>747933</t>
  </si>
  <si>
    <t>Jim.MacDonald@halliburton.com</t>
  </si>
  <si>
    <t>747529</t>
  </si>
  <si>
    <t>Shell  Perdido GA6</t>
  </si>
  <si>
    <t>747763</t>
  </si>
  <si>
    <t>Same As: 235SF0967018; CLP,SPLC,9670,13CR,7-29.00 VAMTOP HC BOX
Except: 1. Change Threads to 7 inch 29 lb/ft VT HC Box x 5 inch 15 lbs/ft VT pin.
2. Change Material to 25 Chrome.
3. Include SB2 Quality Plan.
Project Name: Stjerne M11
Special Quality Plan Required?: Yes
Quality Plan Identifier: SB2
Material: (12) 25 CR  AF918 85 MY (ES-MA-66-49)
Mating Infomation:</t>
  </si>
  <si>
    <t>747732</t>
  </si>
  <si>
    <t>747722</t>
  </si>
  <si>
    <t>Same As: 215PA0550003-SB2; VLV, INTEGD HVI 5-1/2 ACCUPULSE -SB2
Except: 
1. Flow Trim to be 311537-31
2. By-pass for 4 x 1/4in lines</t>
  </si>
  <si>
    <t>747720</t>
  </si>
  <si>
    <t>Same As: 216HA00728U1O00; VLV INTEGD,HS,ACCUPULSE,2-7/8,UNSHRDD,13Cr
Except: 
1. Shrouded valve
2. Position Sensor
3. All flow wetted parts to be made of Inc.718. 
Rest of equipment to be made of 13Cr
4. Flowtrim to be D00390754
5. Concentric
6. Quality plan to be SB2</t>
  </si>
  <si>
    <t>747550</t>
  </si>
  <si>
    <t>Shell Perdido</t>
  </si>
  <si>
    <t>Statoil Stjerne M13</t>
  </si>
  <si>
    <t>Statoil Stjerne M11</t>
  </si>
  <si>
    <t>42: SPLT=140</t>
  </si>
  <si>
    <t>747944</t>
  </si>
  <si>
    <t>ECR-317042-00-01. CHANGE WIDTH OF SLIP TO 2 X .858 AS PER ATTACHED MARKED UP DRG. 
ALSO REVIEW OTHER SLIPS TO CONFIRM THAT WIDTH DISCREPANCY DOES NOT EXIST. (OEWUMI 04JAN12)
FOLDER RETURNED TO T. BORDMAN FOR DISTRIBUTION_A. BERRET_01/13/2012</t>
  </si>
  <si>
    <t>Statoil  Visund S V4</t>
  </si>
  <si>
    <t>748001</t>
  </si>
  <si>
    <t>ECR - 3.5 direct HS integration, MN 102085302
The item numbers in the BOM in CWI do not match the item numbers on the drawing, 316916-04-01.
IN ENGINEERING DESIGN_A.BERRET_01/09/2012.
FOLDER RETURNED TO O. EWUMI FOR CHECKING_A. BERRET_01/13/2012.</t>
  </si>
  <si>
    <t>ELEC</t>
  </si>
  <si>
    <t>627101</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</si>
  <si>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
IN ENG DESIGN FOR EDITING. A. BERRET_12/02/2011 END
FOLDER RETURNED TO D. TRAHAN FOR APPROVAL-A. BERRET_12/19/2011
FOLDER RETURNED TO O. EWUMI FOR APPROVAL_A.BERRET_01/16/2012</t>
  </si>
  <si>
    <t>748366</t>
  </si>
  <si>
    <t>UPDATE SAP PART NUMBER 594585 AND ITS ASSOCIATED DRAWING (ENG CONTROL) REQUESTED BY K. MOE (SEE ATTACHED EMAIL)</t>
  </si>
  <si>
    <t>katie.moe@welldynamics.com</t>
  </si>
  <si>
    <t>748258</t>
  </si>
  <si>
    <t>25: SPLT=98 Changed to code 2 see attached email from submitter.  12/8/11 DM</t>
  </si>
  <si>
    <t>SPLT=N/A Dana to follow-up on AIS date and obtain SPLT from manufacturing.  Assign to Mark, class C. 10/31/2011 MS Moved up priority per PMT discussion.  11/3/11 DM Added requirements document from submitter.  11/3/11 DM Added email from submitter w/flow rate info.  12/7/11 DM  Placing on design hold until field supplies metallurgy confirmation per S Saldanha.  12/9/11 DM</t>
  </si>
  <si>
    <t>748592</t>
  </si>
  <si>
    <t>ELEC - UPDATE SAP NUMBER 614829 AT REQUEST OF K. PEGODA (SEE EMAILS ATTACHED). PIN PART NUMBER SA3350/1 NEEDS TO BE ADDED TO THE BOM (SEE EMAIL 2 ATTACHED)</t>
  </si>
  <si>
    <t>New Termination Cap
Same As: 9388-6057; ROC-S CBL TERMN ASSY (NI ALY 718)
Except: During a recent episode on Oseberg South where a dual gauge was used in the lower zone we needed to customize a blind plug PN 588628 with a cable termination ASSY to isolate the feedthrough part of the gauge.
The primary backup solution should be to have a ROCH2 gauge in stock, but there may be times when we need a box with all the required parts and a procedure to archieve a proper blind off of a feedthrough gauge.
Tech Start Date is in the past
Project Name: Dual gauges
Special Quality Plan Required?: Yes
Quality Plan Identifier: SB-2
Material: (14) Inconel 718 125 MY 40 HRC (ES-MA-46-2)
Mating Infomation:
----
2012-01-03, WM: Assign to Mark, class C. Design review will be needed when design has been completed.
2012-01-12, MG: Design &amp; drafting complete, forwarded to James for checking.
2012-01-17, J. SEALE: CHECKING COMPLETE SENDING TO R. BAKHTIARY FOR APPROVAL</t>
  </si>
  <si>
    <t>748788</t>
  </si>
  <si>
    <t>Larry Crocker</t>
  </si>
  <si>
    <t>749120</t>
  </si>
  <si>
    <t>SPLT=N/A</t>
  </si>
  <si>
    <t>42: SPLT=140 Cancelling per attached email from submitter.  1/18/12 DM</t>
  </si>
  <si>
    <t>ECR - 3.5 HS valve, MN 102085304, has FAT procedure ES-T-715 in the structure. This valve is a -ST0 variant which requires a DIACS barrier test. Please change the test procedure to  ES-T-712, DIACS barrier test for HS valves.
IN ENGINEERING DESIGN_A.BERRET_01/09/2012.
TSG NOTES 11812 RCVD. FILE FOR PROCESSING. TO BE CANCELLED REF. TASK 745606. (KEN) END</t>
  </si>
  <si>
    <t>ECR - 5.5 HVC valve, MN 102112484, has FAT procedure ES-T-715 in the structure. This valve is a -ST0 variant which requires a DIACS barrier test. Please change the test procedure to  ES-T-712, DIACS barrier test for HVC valves.
IN ENGINEERING_A.BERRET_01/09/2012
TSG NOTES 11812 RCVD. FILE FOR PROCESSING. TO BE CANCELLED REF. TASK 745606. (KEN) END</t>
  </si>
  <si>
    <t>749730</t>
  </si>
  <si>
    <t>MAKE CORRECTIONS TO BOMS WHICH CONTAIN INCORRECT QUANTITIES, WHICH SHOULD BE IN METERS, FOR P/N 101805944, 101805975.</t>
  </si>
  <si>
    <t>ted.soules@welldynamics.com</t>
  </si>
  <si>
    <t>Christopher.Tawse@Halliburton.com</t>
  </si>
  <si>
    <t>Statoil Visund V4</t>
  </si>
  <si>
    <t>Shell Europa A8</t>
  </si>
  <si>
    <t>CBM project: Drawing update/migration from Domino to CWI per attached legend.
TSG NOTES 10-27-11 TO TSG FOR REVIEW AND RELEASE SO PARTS CAN BE BACKFILLED J. CALLAWAY
IN ENGINEERING DESIGN_A.BERRET_01/17/2011---------------END
IN DRAFTINF_FOLDER RETURNED TO S. GAARE FOR BOM BUILD AND END. DRAWINGS UPDATES_A. BERRET_01/252012---------------END</t>
  </si>
  <si>
    <t>751631</t>
  </si>
  <si>
    <t>Test; please ignore</t>
  </si>
  <si>
    <t>750056</t>
  </si>
  <si>
    <t>MODIFYING THE ASSEMBLY INSTRUCTIONS FOR 71CO657 EXXON IRAQ TO FACILITATE THE ASSEMBLY OF THE SINGLE WELL SAFETY SYSTEM.</t>
  </si>
  <si>
    <t>752112</t>
  </si>
  <si>
    <t>751401</t>
  </si>
  <si>
    <t>750550</t>
  </si>
  <si>
    <t>Achmigaz</t>
  </si>
  <si>
    <t>update the 71CA118 to include the Autoclave 15MX44K8 adapter fitting</t>
  </si>
  <si>
    <t>Assign to Robert T Class A  1/23/12 DM</t>
  </si>
  <si>
    <t>750717</t>
  </si>
  <si>
    <t>750694</t>
  </si>
  <si>
    <t>CREATE DRAWINGS FOR SEAL TEST FIXTURE FOR 4.500 HS CHOKE</t>
  </si>
  <si>
    <t>ECR D00388600 REV C SAP 101838619 COULD THE BOM BE UPDATED TO REFLECT XYLAN COATING REQUIREMENT?
IN ENGINEERING DESIGN_A.BERRET_01/17/2012
FOLDER RETURNED TO O. EWUMI FOR CHECKING_A.BERRET_01/202012</t>
  </si>
  <si>
    <t>751904</t>
  </si>
  <si>
    <t>STATOIL Peregrino</t>
  </si>
  <si>
    <t>750022</t>
  </si>
  <si>
    <t>Shell Caisson</t>
  </si>
  <si>
    <t>R Smith contacting submitter.  Duplicate request being handled on another RTA.  Will cancel after contact has been made.  1/23/12 DM</t>
  </si>
  <si>
    <t>751704</t>
  </si>
  <si>
    <t>751994</t>
  </si>
  <si>
    <t>Ref.part 216HA00745U3O00 VLV,INTEGD,HS,ACCUPULSE,4-1/2,UNSHRDD
Except:
- Flow Trim - use 316612-01
- 2 off External slots for FMJ splices
- Bypass for 1 off 1/4in line
- Change material to 13Cr
- Threads to be 4,5in 12,6PPF
- Quality Plan to be SB2</t>
  </si>
  <si>
    <t>ECR- D00441840 REV C
A diameter or length for the 75 deg angle shown on 
detail E is missing.
-----------------------------------------------------------IN ENG. DESIGN-A. BERRET_10/31/2011---------------------END
IN DRAFTIONG: FOLDER RETURNED TO T. BORDMAN BOX FOR DISTRIBUTION_A. BERRET_11/28/2011
FOLDER RETURNED TO PAUL JAMES FOR APPROVAL_A.BERRET_01/25/2012----------------------------END</t>
  </si>
  <si>
    <t>Approval</t>
  </si>
  <si>
    <t>1/4 X .049, ALLOY 825 TEC
CREATE NEW PART NUMBER FOR (1 SPOOL 6600M) TEC, 1/4 X .049, ALLOY 825, P-06 FILLER FEP INSULATION, 16 GA SOLID COPPER CONDUCTOR, CP-1, 0.41
Quality plan KZ1</t>
  </si>
  <si>
    <t>752250</t>
  </si>
  <si>
    <t>750831</t>
  </si>
  <si>
    <t>751378</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</si>
  <si>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4.5- RTA 750717
ZEWO:  103456504
Network: HTWD601618 M001</t>
  </si>
  <si>
    <t>751678</t>
  </si>
  <si>
    <t>750072</t>
  </si>
  <si>
    <t>Chevron Angola Blk 0</t>
  </si>
  <si>
    <t>same as part number 102036908, but with a change in threads from the current T3SB to Tenaris Blue.</t>
  </si>
  <si>
    <t>Cancelled per attached email from C McKay.  1/23/12 DM</t>
  </si>
  <si>
    <t>751185</t>
  </si>
  <si>
    <t>Drawings 313482-00-01 Rev.2 and 316438-00-01 Rev.B
Please add 2X 15 degrees for the bevels at each end of the 3.268 length shown in SECTION B-B, both drawings.
IN ENGINEERING FOR CHECKING_A. BERRET_01/26/2012--------END
FOLDER RETURNED TO DRAFTING VIA TRAVIS BORDMAN FOR EDITING AND BOM UDATES_A. BERRET_01/27/2012---------------------END</t>
  </si>
  <si>
    <t>ECR - Steam valve, MN 101833487, has assy and test procedure 316651-00-01 rev 1 in the structure. Per Darryl Jones, the correct procedure is 316651-00-01, attached. Please change the procedures.
IN ENG. DESIGN FOR CHECKING_A.BERRET_01/20/2012---------END</t>
  </si>
  <si>
    <t>751320</t>
  </si>
  <si>
    <t>MN 101838492
Create packer envelope for 722HF1965309 and attach in CWI.</t>
  </si>
  <si>
    <t>750608</t>
  </si>
  <si>
    <t xml:space="preserve">      Issues with 9670-6060 II
01)	Step 8.6-8.8 In order to read register 30122 a change in Modbus is needed. Change Modbus Point Type to Input Register. Change address to 0100 and length to 23.
02)	Step 9.5 This sequence will not activate digital mode for the IWIS card. 
03)	Step 9.12 This sequence will not activate digital mode for the IWIS card.</t>
  </si>
  <si>
    <t>Safety System
Same As: 71SSS1; SFTY SYS STD RTA DESIGN REQ
Except: Design control panel as per email dtd Dec. 19 from Hon.
Project Name: 
Special Quality Plan Required?: No
Material: 
Technical Support Deliverables:
Preliminary Design Specifications
Reference Assembly Drawing
2012-01-03 WM: Awaiting clarification from customer. No specifications supplied.
2012-01-09, WM: Have not received safety system specifications and AIS from customer. Jay has sent request on Jan 3. Jay will resend.</t>
  </si>
  <si>
    <t>12:  SPLT=N/A Still waiting on response from field.  1/16/12 DM  Jay sending 2nd request for specs to submitter.  1/23/12 DM</t>
  </si>
  <si>
    <t>751214</t>
  </si>
  <si>
    <t>This RTA is a request to create a SAP number for the Completion Products 7in 26lb.ft VAMTOP Clamp Protector (Part number AS-7000-3-1604), Carbon Steel Material.
MATERIAL DESCRIPTION: 7in, 26lb.ft VAM TOP, Cross Coupling Protector (p/n: AS-7000-3-1604), 8.276in Running OD, two Slots for 11mm rounded encapsulated 0.250 lines, Carbon Steel material.
NOTE: THIS MATERIAL MUST BE SHIPPED STRAIGHT FROM VENDOR MANUFACTURE (UK)TO HCT-BRAZIL (MACA¿¿/RJ) WITH THE HALLIBURTON CUSTOMER SERVICE PSL SUPPORT (DO NOT PASS THIS MATERIAL THROUGH THE WELLDYNAMICS SPRING/TX FACILITY IN ORDER TO ALLOW MATCH THE CLIENT DELIVERY TIME AND COST ESTIMATION).   
PROJECT NAME: STATOIL PEREGRINO - BR11193</t>
  </si>
  <si>
    <t>12.1: SPLT=N/A</t>
  </si>
  <si>
    <t>750992</t>
  </si>
  <si>
    <t>751771</t>
  </si>
  <si>
    <t>-----CANCEL THIS RTA------
---SAME AS RTA 751781-----
----    S TEHVEN    ------
REVISE DRAWING 9290-2790 TO CHANGE THE SECTION LABEL D TO LABEL C.</t>
  </si>
  <si>
    <t>751524</t>
  </si>
  <si>
    <t>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</si>
  <si>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751525</t>
  </si>
  <si>
    <t>751408</t>
  </si>
  <si>
    <t>751317</t>
  </si>
  <si>
    <t>MN 101903675
Create packer envelope for 722HF1965346 and attach in CWI.</t>
  </si>
  <si>
    <t>751764</t>
  </si>
  <si>
    <t>751278</t>
  </si>
  <si>
    <t>ECR-9290-2786.Gauge Mandrel 9290-2786 there is a missing dimension for the face of the slot to the centre at the left hand side grid C7.E-Mail sent by Mark Guy that the dimension from the pin centre to the slot bottom at grid C7 should be 2.470.</t>
  </si>
  <si>
    <t>ECR - HVC assembly document ES-A-442 instructs to use a drift (size 3.720) on page 14, step 3.3. Valve assembly 101821390 has a special I.D. that differs from that of a common valve. This valve has a 3.688 I.D. The 3.720 drift cannot be used in a 3.688 I.D. bore.
IN ENGINEERING DESIGN_A. BERRET_01/27/2012--------------END</t>
  </si>
  <si>
    <t>750776</t>
  </si>
  <si>
    <t>Dan Taylor</t>
  </si>
  <si>
    <t>751523</t>
  </si>
  <si>
    <t>Material 102054316 MANDREL ASSEMBLY, 3 1/2-9.20, PERFORATION, 2 X 1/4 FMJ, TENARIS BLUE PIN X PIN, 13% CHROME 80K Is missing shipping plugs from the B.O.M. Suggest m/n 590839 / D  W.301664-00-00 / 9  qty 2.0   W.301664-00     ASSEMBLY, SHIPPING PLUG FOR 1/4 FMJ FITTING be added to protect the two FMJ ports.</t>
  </si>
  <si>
    <t>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  Waiting for final confirmation from customer. J Flygare indicates he anticipates and approval.  12/5/11 DM  Emailed J Flygare for update on customer approval.  1/16/12 DM</t>
  </si>
  <si>
    <t>SPLT=210  No customer PO until end of year. May need to VSF long lead items once this is received. Design waiting for development of 4.5 multi-function ftg kit which is underway. Email attached.  10/13/11 DM  Changed AIS date per PMT mtg.  1/13/12 DM</t>
  </si>
  <si>
    <t>SPLT=154 Emailed field with existing part number to verify new design is still required.  Waiting for response. Email attached.  1/4/12 DM  Customer wants to go to tender so placing RTA on hold per attached email from submitter.  1/10/12 DM</t>
  </si>
  <si>
    <t>3.5IN 9.2PPF S13CR 110 Ksi VAM Top Gauge Mandrel with Fully Redundant ROC 175 20Ksi Gauge mounted and comes with termination. 0.69IN bypass slots on both sides of the mandrel. Class B Shell Thread Class. SE1 Quality Plan. This RTA will require an EDS, an EFD and a CERT document to submit to Shell.
------
2012-01-16 ST - SENT TO J. SEALE FOR CHECKING
------
2012-01-22 J. SEALE - CHECKING COMPLETE, SENDING BACK TO S. TEHVEN FOR DRAWING CORRECTION.</t>
  </si>
  <si>
    <t>SPLT=126 Emailed submitter to verify AIS date, Code, and requirements document.  1/11/12 DM Changed material per attached email from submitter.  1/13/12 DM  Changed AIS date per Shell rig schedule and confirmation of G Breerwood. Confirmation email attached.  1/19/12 DM  Placing on hold per submitter request until tubing connections are verified by customer. Email attached. 1/24/12 DM</t>
  </si>
  <si>
    <t>750781</t>
  </si>
  <si>
    <t>MFGR SPEC - VIZ BOARD CARDS - Create a spec to define white, orange and green cards to be used in mfg on the visual management workflow board; mfgr spec that defines characteristics of card and the artwork in .jpg format should be included as a definition object in the doc object. PAUL LIVELY 1/25/2012</t>
  </si>
  <si>
    <t>M/N-594096 Drawing 312542-00-01 Rev.7
Please modify NOTE 8, find number 0803; is B-001 Moly should be B-006 Bead Blast for the 3-1/2 10.2 NSCT Pin Thread.
IN ENGINEERING CHECKING_A. BERRET_10/03/2011------------END
FOLDER RETURNED TO P. JAMES FOR APPROVAL_A. BERRET_10/05/2011---------------------------------------END
FOLDER RETURNED TO P. JAMES_AFFECTED ITEMS LIST NEEDS TO BE FURTHER EDITED_A. BERRET_10/09/2011------------------END
IN ENG. DESIGN CHECK-A. BERRET_10/31/2011---------------END
FOLDER RETURNED TO P. JAMES FOR APPROVAL-A. BERRET_11/08/2011---------------------------------------END
RETURNED TO T. BORDMAN FOR MINOR PRINT CHANGES-A. BERRET_11/17/2011---------------------------------------END
IN ENG DESIGN FOR CHECKING_A.BERRET_01/31/2012----------END</t>
  </si>
  <si>
    <t>753061</t>
  </si>
  <si>
    <t>ECR-9450-2298 should be ES-MA-89-4 in the BOM.Correct 101984516 in CWI. Ref e-mail from Mark Guy</t>
  </si>
  <si>
    <t>753241</t>
  </si>
  <si>
    <t>752611</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</si>
  <si>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 ATTACH A SERIAL CABLE TO THE TOP LEVEL PART. REPLACE COMPUTER WITH 101958496.</t>
  </si>
  <si>
    <t>753235</t>
  </si>
  <si>
    <t>RTA TO CREATE TEMPLATE FOR AMS PM CHEMICAL INJECTION INTEGRATIONS</t>
  </si>
  <si>
    <t>753237</t>
  </si>
  <si>
    <t>CREATE AMS TEMPLATE FOR EZ GAUGE</t>
  </si>
  <si>
    <t>MFGR SPEC - QN LABEL - Create a label for use in mfg to be adhered to the production folders and contain all info regarding applicable QNs associated with the production item. The lable is 1.5 inches x 3.x inches. Should be orange with black text. Refer to Task Auth T00000734980 already created.</t>
  </si>
  <si>
    <t>752585</t>
  </si>
  <si>
    <t>ECR - PFMEA RPN CHART - Create a chart for RPNs to be utilized during PFMEA reviews as a guide in documenting Severity, Occurrence and Detection criteria and related Risk Priority Number (RPN) values. Output/finished product should be a Doc Object with applicable D-number, color, two-sided card in .pdf format that can be easily printed as needed. Paul Lively 1/30/2012</t>
  </si>
  <si>
    <t>ECR - STANDARD WORK, PRESERVATION - Create and release a document that is a standard work for the preservation process for top level assemblies in the Spring facility. Paul Lively 11/18/2011</t>
  </si>
  <si>
    <t>Test MSE seals for 4 1/2 inch HS
3.5- RTA 646073</t>
  </si>
  <si>
    <t>752811</t>
  </si>
  <si>
    <t>Same As: 235SF0703550; SUB,SPLC,7035,S13CR,3 1/2-9.20 VAMTOP BO
Except: in 13Cr 80k Material
Tech Start Date is in the past
Project Name: Angsi
Special Quality Plan Required?: No
Material: (7) 13 CR 80 MY 22HRC (ES-MA-58-7)
Mating Infomation:</t>
  </si>
  <si>
    <t>752627</t>
  </si>
  <si>
    <t>SHELL</t>
  </si>
  <si>
    <t>PER RTA 701258 AND 701268, THE CLIENT WANTS ONLY FORONI MATERIAL. PLEASE UPDATE THE QUALITY VARIANT FOR THE FOLLOWING PARTS TO SHOW THE MATERIAL SPEC ES-MA-134-2 AND REMOVE ES-MA-134-22 SPEC FROM IT FOR MN 102083892, 102071813
TSG NOTES RCVD. FILE FOR PROCESSING. (KEN) END</t>
  </si>
  <si>
    <t>VALERIE.NGIM@HALLIBURTON.COM</t>
  </si>
  <si>
    <t>752654</t>
  </si>
  <si>
    <t>Open up all (10) control line feed through slots to on the lower guide ring 101990386 to remove .400 inches of materal on the left hand side of each lobe. Reference the attached drawing for the exact location of material removal.
Anthony Rivera 20120130</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</si>
  <si>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
IN ENGINEERING FOR CHECKING_A. BERRET_01/26/2012--------END
FOLDER RETURNED TO DRAFTING FOR MINOR UPDATES_A. BERRET_01/30/2012---------------------------------------END</t>
  </si>
  <si>
    <t>753233</t>
  </si>
  <si>
    <t>RTA TO CREATE TEMPLATE FOR AMS PM CHEMICAL INJECTION CHECK VALVES</t>
  </si>
  <si>
    <t>752993</t>
  </si>
  <si>
    <t>To Create a 3.5 HSB unshrouded valve (INC 718/4140) with a multipurpose fitting kit . Similar to 102047384.
RTAs already created by Jameel Rahman for shrouded and deflector versions.</t>
  </si>
  <si>
    <t>752900</t>
  </si>
  <si>
    <t>REQ - CARBIDE CARRIER FIXTURE - per HOC 504669 create a new fixture for carbide carriers that will safely secure the part during assembly steps. 
Notes: Carbide carrier is placed onto a piece stock material secured to a standard shop vise on workbench and hangs over the floor not the workbench at a declining angle. There is a potential to drop and damage the carbide carriers and/or the Technician.</t>
  </si>
  <si>
    <t>752454</t>
  </si>
  <si>
    <t>Nguyen Quang Hung</t>
  </si>
  <si>
    <t>Nguyenquang.hung@Halliburton.com</t>
  </si>
  <si>
    <t>ECR - D00433365 REV D
Position for the 2 off .25 dia holes on section B-B is missing, the dimension is on REV B. (2 X .364  /-.06)
IN ENG. DESIGN_A. BERRET_01/25/2012--------------------END
FOLDER RETURNED TO DRAFTING FOR MINOR UPDATES_A. BERRET_01/30/2012---------------------------------------END</t>
  </si>
  <si>
    <t>752610</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</si>
  <si>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t>
  </si>
  <si>
    <t>752714</t>
  </si>
  <si>
    <t>ECR - STANDARD WORK, MASTER ROUTERS - Create and release a document that is a standard work for the creation of master routers in the Spring facility. Paul Lively 11/18/2011</t>
  </si>
  <si>
    <t>752566</t>
  </si>
  <si>
    <t>MFGR SPEC - VICE EXTENSION - Create documentation for Eagle Downhole Solutions Extention with bushing for traveling block, MFGR PN 110804-00-A. This extention is used for the vise in MFG to hold smaller parts.</t>
  </si>
  <si>
    <t>9555-6212 - 19IN Rack Mount XPIO Data Acquisition Unit for Caisson ESP Level Measurement.
Need EDS, EFD -if applicable-, Cost Estimate
Attached you will find the original quote with specifications outlined. I plan to increase pricing by 15%, but I need the cost estimate to verify GP percentage.
2012-01-30, WM: RTA duplicte. Needs to be cancelled.</t>
  </si>
  <si>
    <t>752712</t>
  </si>
  <si>
    <t>MFGR SPEC - GREASE TUBES, SEAL GUARD ECF - Create a mfgr spec to define Jet Lubes Seal Guard ECF packaged in tubes as specified by Jet Lubes Code Number / Product Code Number 20950 packaged in 16 oz. tubes and also create a material number for the same. Document object should be annotated with the D-number of the doc object and also the material number. Paul Lively 1/30/12.</t>
  </si>
  <si>
    <t>752837</t>
  </si>
  <si>
    <t>Control System - 1Well 4ICV SHS, 110/220V, HW443, Fully Automated, NEMA4X, IP56, with separate XPIO.
2012-01-30, WM: Same as 102106951. RTA to be cancelled.</t>
  </si>
  <si>
    <t>REVISE 9290-2698, 9290-2729, 9290-2839 TO CHANGE STUB ACME THREAD TO GENERAL PURPOSE ACME THREAD (WHERE APPLICABLE) AND TO CORRECT THE MINOR DIAMETER TOLERANCES.
------
2012-01-31 ST - SENT TO R. BAKHTIARY FOR APPROVAL</t>
  </si>
  <si>
    <t>Ellen McGuinness</t>
  </si>
  <si>
    <t>3.5IN 9.2PPF S13CR95Ksi Foroni Only Material Class B VAM Top Threads with ROC 175 20Ksi Fully Redundant Gauge / Mandrel Assembly including Termination. SE1 Quality Plan. Requirements for EDS, EFD and CERT Documentation.
------
2012-01-17 ST - SENT TO J. SEALE FOR CHECKING
------
2012-01-24 J. SEALE - CHECKING COMPLETE, CHANGES ARE REQUIRED SEND BACK TO S. TEHVEN
------
2012-01-31 ST - SENT TO R. BAKHTIARY FOR APPROVAL</t>
  </si>
  <si>
    <t>3.5IN 9.2ppf Inconel 718 VAM Top Gauge Mandrel ROC 175 20Ksi Fully Redundant Gauge / Mandrel Assembly with Termination included. Shell Thread Class B. Shell SE1 Quality Plan. Require EDS, EFD, and CERT Documentation.
------
2012-01-16 ST - SENT TO J. SEALE FOR CHECKING
------
2012-01-25 JS - SENT BACK TO S. TEHVEN FOR CORRECTIONS
------
2012-01-31 ST - SENT TO R. BAKHTIARY FOR APPROVAL</t>
  </si>
  <si>
    <t>753373</t>
  </si>
  <si>
    <t>Requestor Name</t>
  </si>
  <si>
    <t>Edwin Gonzalez</t>
  </si>
  <si>
    <t>DANA MOE</t>
  </si>
  <si>
    <t>EDWIN GONZALEZ</t>
  </si>
  <si>
    <t>Irwan Nizam</t>
  </si>
  <si>
    <t>Samantha Livingston</t>
  </si>
  <si>
    <t>Chris Vancamp</t>
  </si>
  <si>
    <t>Esmeralda Hernandez</t>
  </si>
  <si>
    <t>G. BHAT</t>
  </si>
  <si>
    <t>Vicky Jackson-Nielsen</t>
  </si>
  <si>
    <t xml:space="preserve">Holly Marback </t>
  </si>
  <si>
    <t>MIKALA WINDHAM</t>
  </si>
  <si>
    <t>Denise Dean</t>
  </si>
  <si>
    <t>steve ewens</t>
  </si>
  <si>
    <t>Kelley Pegoda</t>
  </si>
  <si>
    <t>Monty Hubbard</t>
  </si>
  <si>
    <t>Lisbeth Odegaard</t>
  </si>
  <si>
    <t>M.GUY</t>
  </si>
  <si>
    <t>GIREESH BHAT</t>
  </si>
  <si>
    <t>HOLLY MARBACK</t>
  </si>
  <si>
    <t>Hakon Kaltveit</t>
  </si>
  <si>
    <t>Jay Bissell/Jim Ruch</t>
  </si>
  <si>
    <t>Lynn Colwell</t>
  </si>
  <si>
    <t>SUSAN MYERS</t>
  </si>
  <si>
    <t>Bob McManus</t>
  </si>
  <si>
    <t>Holly Marback</t>
  </si>
  <si>
    <t>tina.collums@halliburton.com</t>
  </si>
  <si>
    <t>DEREK MATHIESON</t>
  </si>
  <si>
    <t>Audrey Rennie</t>
  </si>
  <si>
    <t>DAMON TRAHAN</t>
  </si>
  <si>
    <t>Pamela Forester</t>
  </si>
  <si>
    <t>JoeAngle Galindo</t>
  </si>
  <si>
    <t>David Gill</t>
  </si>
  <si>
    <t>PAM FUNK</t>
  </si>
  <si>
    <t>MIKE REAGAN</t>
  </si>
  <si>
    <t>Kevin Bedborough</t>
  </si>
  <si>
    <t>Katie Moe</t>
  </si>
  <si>
    <t>JANICE C CALLAWAY</t>
  </si>
  <si>
    <t>Marcelo A. P. Batocchio</t>
  </si>
  <si>
    <t>Steven Ewens</t>
  </si>
  <si>
    <t>MELISSA HORTON</t>
  </si>
  <si>
    <t>David Brightman</t>
  </si>
  <si>
    <t>Mark Bedry</t>
  </si>
  <si>
    <t>JANICE CALLAWAY</t>
  </si>
  <si>
    <t>Pam Funk</t>
  </si>
  <si>
    <t>Stig Marius Holgersen</t>
  </si>
  <si>
    <t>STEPHEN ALLAN</t>
  </si>
  <si>
    <t>RON CURINGTON</t>
  </si>
  <si>
    <t>Andre Pinheiro</t>
  </si>
  <si>
    <t>David Mclare</t>
  </si>
  <si>
    <t>MARIANE MORGAN</t>
  </si>
  <si>
    <t>seth cormier</t>
  </si>
  <si>
    <t>KELLEY PEGODA</t>
  </si>
  <si>
    <t>Cheryl Kaminski</t>
  </si>
  <si>
    <t>Ed Brewer</t>
  </si>
  <si>
    <t>MATTHEW SCOGIN</t>
  </si>
  <si>
    <t>ESMERALDA HERNANDEZ</t>
  </si>
  <si>
    <t>MAYRA HADLEY</t>
  </si>
  <si>
    <t>Jay Bissell/Peter Auckland</t>
  </si>
  <si>
    <t>TED SOULES</t>
  </si>
  <si>
    <t>GLORIA MACIAS</t>
  </si>
  <si>
    <t>Phil Allardyce</t>
  </si>
  <si>
    <t>DENISE DEAN</t>
  </si>
  <si>
    <t>Gireesh K. Bhat</t>
  </si>
  <si>
    <t>COLIN MCKAY</t>
  </si>
  <si>
    <t>Steve Mackey</t>
  </si>
  <si>
    <t>Ron Curington</t>
  </si>
  <si>
    <t>TIM ORTIZ</t>
  </si>
  <si>
    <t>Craig Yeates</t>
  </si>
  <si>
    <t>DAVID GILL</t>
  </si>
  <si>
    <t>mar</t>
  </si>
  <si>
    <t>DYANE HENSON</t>
  </si>
  <si>
    <t>scott garner</t>
  </si>
  <si>
    <t>ALISTAIR STUART</t>
  </si>
  <si>
    <t>DEBRA HICKMAN</t>
  </si>
  <si>
    <t>Anthony Aminone</t>
  </si>
  <si>
    <t>ERIC MORRELL</t>
  </si>
  <si>
    <t>ESMERALDA MCLEANE</t>
  </si>
  <si>
    <t>Bruce Gavin</t>
  </si>
  <si>
    <t>COLTON PUCKETT</t>
  </si>
  <si>
    <t>K. DUANE/P. JAMES</t>
  </si>
  <si>
    <t>QUALITY</t>
  </si>
  <si>
    <t>Valerie Ngim</t>
  </si>
  <si>
    <t>Janice Callaway</t>
  </si>
  <si>
    <t>LIZ ROUTLEDGE</t>
  </si>
  <si>
    <t>KATIE MOE</t>
  </si>
  <si>
    <t>RAMEEN BAKHTIARY</t>
  </si>
  <si>
    <t>BRETT BOULDIN</t>
  </si>
  <si>
    <t>OLGA AKIMOVA</t>
  </si>
  <si>
    <t>VALERIE NGIM</t>
  </si>
  <si>
    <t>Darren Cortes</t>
  </si>
  <si>
    <t>Jay Bissell/Khaled El-Amir</t>
  </si>
  <si>
    <t>Kelechi Ezennaya</t>
  </si>
  <si>
    <t>Ikenna Gaius</t>
  </si>
  <si>
    <t>Mike Boucher</t>
  </si>
  <si>
    <t>Michael Guillory</t>
  </si>
  <si>
    <t>ALAN MCLAUCHLAN</t>
  </si>
  <si>
    <t>JIM MACDONALD</t>
  </si>
  <si>
    <t>Test User</t>
  </si>
  <si>
    <t>CHRIS VANCAMP</t>
  </si>
  <si>
    <t>Esmeralda McLeane</t>
  </si>
  <si>
    <t>Craig Yeats</t>
  </si>
  <si>
    <t>Jay Bissell/Robgly Urdaneta</t>
  </si>
  <si>
    <t>Jay Bissell/Mike Bergeron</t>
  </si>
  <si>
    <t>Jo Lea Froehlich</t>
  </si>
  <si>
    <t>Waqar Ahmed</t>
  </si>
  <si>
    <t>Juan Carlos Rodriguez</t>
  </si>
  <si>
    <t>753829</t>
  </si>
  <si>
    <t>ECR-316167-02-01. CAN PRE-PLATING AND POST PLATING DIMENSIONS BE ADDED TO THE DRG AS DONE ON PREVIOUS DRAWINGS THAT REQUIRE PLATING.</t>
  </si>
  <si>
    <t>753745</t>
  </si>
  <si>
    <t>Brunei Shell Petroleum</t>
  </si>
  <si>
    <t>Same As: 235SF0703507; 3.5 SPLICE SUB, 3-OFF BDY, 1-OFF YSPLICE
Except: RTA same except change slot configuration to 2x 0.25in control line for chemical injection, 1x Y splice with 1 inlet at the top and 2 outlets at the bottom for 0.25in control line, and 1 slot for ESP cable No. 4 Flat. Connections required are 3.5in VAMTOP Box x Pin and material 4140 L80 with phospate coating B004.
Project Name: Seria Shallow
Special Quality Plan Required?: No
Material: (1) Low Alloy Steel 80 MY 22HRC (ES-MA-18-9)
Mating Infomation:</t>
  </si>
  <si>
    <t>Siti Khadijah Othman</t>
  </si>
  <si>
    <t>753831</t>
  </si>
  <si>
    <t>ECR-314543-02-01. CAN PRE-PLATING AND POST PLATING DIMENSIONS BE ADDED TO THE DRG AS DONE ON PREVIOUS DRAWINGS THAT REQUIRE PLATING.</t>
  </si>
  <si>
    <t>753833</t>
  </si>
  <si>
    <t>FMC/Petrolog</t>
  </si>
  <si>
    <t>753823</t>
  </si>
  <si>
    <t>ECR-M.N.588463 PART HAS THE DESCRIPTION AS HEXAGONAL SOCKET SET SCREW ISO 3506 A2/A4 NACE 3/8 UNC X 3/8 LONG, SS.
THIS SHOULD BE 3/8 -24 UNF.  SEE PARTS THAT THIS IS USED ON AND THE LEGACY NUMBER.</t>
  </si>
  <si>
    <t>743030</t>
  </si>
  <si>
    <t>Statoil / Aibel</t>
  </si>
  <si>
    <t>Same As: 101832150; SCADAPACK 350 ASSY, W/ C07WCU300H03
Except: I need a quote for porting the exisiting code over to a Siemens PLC. Ref to emails and phnoe conferences with Harjeet Singh and Robert Smith.
Also see attached document from Aibel where this quote is mainly concerned around option 1 in the document.
Project Name: Oseberg South
Special Quality Plan Required?: No
Material: (16) Customer Supplied - Supply detail in description
Technical Support Deliverables:
Preliminary Design Specifications
2012-01-03 WM: Assign to Harjeet. Class C RTA is for quote and technical write up only.
2012-01-09, WM: Alejandro working on this document, he should email Harjeet by tomorrow and then he will review/make changes it before friday 1/13</t>
  </si>
  <si>
    <t>SPLT=N/A  Switch to Development- Feasibility Review.  1/16/12 DM</t>
  </si>
  <si>
    <t>754004</t>
  </si>
  <si>
    <t>754025</t>
  </si>
  <si>
    <t>ECR - MFG READINESS DOC - Create documentation that defines Manufacturing Readiness and the details regarding the minimum necessities associated with BOMs, Drawings, Assy Procedures, and Test Procedures used to communicate product definition to MFG Assembly.</t>
  </si>
  <si>
    <t>ECR - RCCA FORM - Create a form to be used for documenting Root Cause and Corrective Action (RCCA)notes during RCCA meetings. Paul Lively 2/2/2012</t>
  </si>
  <si>
    <t>MFGR SPEC - QN LABELS - Create a mfgr spec for QN labels used in MFG Assy &amp; Test to be adhered to the production folders and contain all info regarding applicable QNs associated with the production item. The lable is 1.5 inches x 3.x inches. Should be orange with black text. Refer to Task Auth T00000734980 already created.</t>
  </si>
  <si>
    <t>754126</t>
  </si>
  <si>
    <t>Chris Quinton</t>
  </si>
  <si>
    <t>Chris.Quinton@Halliburton.com</t>
  </si>
  <si>
    <t>8: SPLT=126 Robert S to follow up with submitter.  May cancel RTA if existing material number fulfills requirements.  // DM</t>
  </si>
  <si>
    <t>754080</t>
  </si>
  <si>
    <t>ECR-D00401548. CAN THE DATUM SYMBOL A ON THE 2.660 O-DIA BE MOVED TO THE BORE AND THE RUN OUT TOLERANCE ON THE BORE MOVE TO THE 2.660 O/DIA.THIS WILL MEAN THE 2.660 O-DIA AT 2 PLACES CAN BE ACHIEVED WITHIN .005 FIM TO THE BORE RATHER THAN THE ENTRE LENGTH OF THE BORE BEING WITHIN .005 FIM. WHICH IS BEING ASKED.  A DRIFT SIZE CAN ALSO BE ADDED TO THE DRG TO ENSURE PART IS NOT BENT.</t>
  </si>
  <si>
    <t>754377</t>
  </si>
  <si>
    <t>754154</t>
  </si>
  <si>
    <t>ECR-On drg D00504158 the 2.920 bore dimension is to 3 decimal places so tolerance would be +/-.005.
Similar 2.7/8 Top Sub, drg D00394549 has the tolerance on the 2.920 bore as +/-.002.
Drg D00504158 2.920 bore is to be changed so tolerance would be +/-.002.
IN ENG. DESIGN-A. BERRET_10/31/2011---------------------END
IN ENG. DESIGN FOR CHECKING_A. BERRET_01/31/2011--------END
FOLDER RETURNED TO O. EWUMI FOR APPROVAL_A.BERRET_02/03/2012----------------------------END</t>
  </si>
  <si>
    <t>754378</t>
  </si>
  <si>
    <t>755659</t>
  </si>
  <si>
    <t>This RTA is a request to create a SAP number for the Completion Products 7in 26lb.ft VAMTOP Clamp Protector (Part number AS-7000-3-1604-M1), Carbon Steel Material.
MATERIAL DESCRIPTION: 7in, 26lb.ft VAM TOP, SSSV-Cross Coupling Protector (p/n: AS-7000-3-1604-M1), 9.736in Running OD, two Slots for 11mm rounded encapsulated 0.250 lines, Carbon Steel material.
NOTE: THIS MATERIAL MUST BE SHIPPED STRAIGHT FROM VENDOR MANUFACTURE (UK)TO HCT-BRAZIL (MACAE/RJ) WITH THE HALLIBURTON CUSTOMER SERVICE PSL SUPPORT (DO NOT PASS THIS MATERIAL THROUGH THE WELLDYNAMICS SPRING/TX FACILITY IN ORDER TO ALLOW MATCH THE CLIENT DELIVERY TIME AND COST ESTIMATION).   
PROJECT NAME: STATOIL PEREGRINO - BR11193</t>
  </si>
  <si>
    <t>755647</t>
  </si>
  <si>
    <t>ECR-9450-7004 9102103217)MISSING DIMENSIONS FOR THE ANGLE FACES AND CBORE TEXT DEPTH OF .35 SHOULD BE REMOVED AS THIS IS DIMENSIONED AS .15 AT END VIEW.</t>
  </si>
  <si>
    <t>755180</t>
  </si>
  <si>
    <t>Shell Brazil</t>
  </si>
  <si>
    <t>Dual Gauge Mandrel for ROC150.  
4 1/2 inch 12.6lb VAM TOP BxP, 
with (2) bypass slots to secure 1 each 0.535 inch line
Material Inc 718
SE-1 Quality Plan
9290-6841 is same mandrel already in Inc 718 with SE-1 quality plan - can use this and add bypass slots</t>
  </si>
  <si>
    <t>755934</t>
  </si>
  <si>
    <t>755996</t>
  </si>
  <si>
    <t>REQ - MAKE A CUSTOM FIXTURE TO HOLD CHECK VALVE FOR TORQUE - FIXTURE USED ON STATION 6
PLEASE DISREGARD THIS IS ONLY A TEST....TESTING</t>
  </si>
  <si>
    <t>755503</t>
  </si>
  <si>
    <t>MFGR SPEC - EMS JOB BOOK - Create a mfgr spec for EMS job book associated with the Fluid Transfer project (WBS CI-10-HCPT-WDSP-02) Paul Lively 2/8/2012</t>
  </si>
  <si>
    <t>755809</t>
  </si>
  <si>
    <t>Drawing 308091-08-01 is missing Dimension G which is called out in Doc. 309840-01-01 Rev. 16 page 12, step 6. This dimension is necessary to set the Setting Chamber in the right position. This issue applies to Material Number 101849346.</t>
  </si>
  <si>
    <t>Statoil Brazil</t>
  </si>
  <si>
    <t>755387</t>
  </si>
  <si>
    <t>UPDATE OBJECTS TITLE BLOCK TO MATCH FIRST PAGE.</t>
  </si>
  <si>
    <t>756133</t>
  </si>
  <si>
    <t>When communicating with a ROC gauge, we have noticed a software lockup (freeze) after a few minutes of running Pdx software using a laptop connected to a PAU. To our knowledge, this happens only when using a laptop or a PC running Windows 7. This RTA is to investigate the issue and layout options for eliminating the problem.</t>
  </si>
  <si>
    <t>756169</t>
  </si>
  <si>
    <t>Same As: 722MC1702600; PKR,MC1,7026,TBG SET,SHIFT REL,4140 LAS,
Except: Need to change material of shift profile from 4140 to Inconel 718.  Item 30 on drawing.
Project Name: LDOR - Shaybah
Special Quality Plan Required?: No
Material: 
Technical Support Deliverables:
Preliminary Design Specifications
Reference Assembly Drawing
Reference BDMI
Reserve SAP Material Number
ZZ Drawing
Operating Envelope</t>
  </si>
  <si>
    <t>Manesh Mathew</t>
  </si>
  <si>
    <t>755890</t>
  </si>
  <si>
    <t>Same As: 235AC2965501-SB2; CLP,TPR LOCK,9655,13CR,5 1/2-23.00 -SB2
Except: 1. Require 4,5 inch size TLC Assy.
2. Requesting two wedges to accommodate 2 flat packs, both with 4 0.25inch hydraulic lines + bumper.
3. Material 13CR
4. SB2 Quality plan.
Tech Start Date is in the past
Project Name: Fast Track Stjerne M14
Special Quality Plan Required?: Yes
Quality Plan Identifier: SB2
Material: (9) 13 CR 105 MY 35 HRC (ES-MA-585)
Mating Infomation:</t>
  </si>
  <si>
    <t>755703</t>
  </si>
  <si>
    <t>Mukul Agnihotri</t>
  </si>
  <si>
    <t>755478</t>
  </si>
  <si>
    <t>This RTA is to generate an SAP number for the material GCDT Reference No. 4932-02 (p/n 16038), included in the quote Inquiry No. GCQ-4932-2 (Please look for attached file GCQ-4932-2.pdf). 
MATERIAL DESCRIPTION: Electric Cable Tube: 1/4in x 0.035in INC 825 Centralized Core: 16AWG solid bare copper with FEP insulation and PP secondary extrusion. Encapsulation: Santoprene, 11mm Round, Green; 4500mts/reel. Includes: Metal Reel 54in x 32in x 32in, 3 1/4 Arbor + Metal Shipping Skid.
PROJECT NAME: Statoil Peregrino
WELDYNAMICS QUOTE NUMBER: BR11193</t>
  </si>
  <si>
    <t>756164</t>
  </si>
  <si>
    <t>Procedure 023578-09-00 Rev. O does not reflect a complete build. Parts (65),(32) and (57) from material 102089587 Build Of Materials is not mentioned. Suggestion:
Modify step 41 from:
41. 	Fit O-Ring (62) to Release Adapter (26) and butt out against the Upper Body (22)
Modify too:
41. Install O-ring (55) to the Upper Body (22) then	fit O-Ring (62) to Release Adapter (26) and butt out against the Upper Body (22).
Next insert a step after 42.
New step 43: Install O-ring (65) to Lower body (15) then install Release Collet Support (32). Once Release Collet Support (32) is bottomed out against the Lower body (15), install quantity 4 set screws (57) through the Release Collet Support (32) until they bottom out to the Lower Body(15).
This fix will allow the technician a complete build and minimize on missing parts to the assembly and possible less rework. Christopher Vancamp 2-10-2012</t>
  </si>
  <si>
    <t>755888</t>
  </si>
  <si>
    <t>755193</t>
  </si>
  <si>
    <t>Broussard office raised a CPI for this issue.  This is regarding SAP No 597816 for a current order from Broussard.  The actual vendor number is DHCE-B30-BB-01P-000-00.  SAP has it listed as DHCE-B30-BQ-1S-000-
00.  Please correct SAP description.  Also attached is the installation procedure for this item.  If possible, please have this document loaded into CWI under the SAP No and correct part number description so that the field can access it.</t>
  </si>
  <si>
    <t>754929</t>
  </si>
  <si>
    <t>Proposed well head outlet design for all future platform/land completions required for gauge TEC line. Product line engineering to review and qualify the design Supplier - Antech
Tim Mitchell
AnTech Ltd
Tel: +44 (0) 1392 440332
Fax: +44 (0) 1392 440301
Email: timm@antech.co.uk
Web:  www.antech.co.uk</t>
  </si>
  <si>
    <t>OBSOLETE ES-SP-23 STANDARD OBJECT AND CREATE ES-SP-23 SPECIFICATION OBJECT.
------
11/2/2011 ST - SENT TO R. BAKHTIARY FOR APPROVAL.
TSG NOTES 02-09-2012 TO TSG FOR PROCESSING J. CALLAWAY PER SAM TEHVEN NEEDS MORE REVIEW 02-10-2012 JCC END</t>
  </si>
  <si>
    <t>754866</t>
  </si>
  <si>
    <t>Part drawing states mark part with part number and info, suggest bag and tag as part is small and round. Part numbers affected are 598243,598239,598223,598221.</t>
  </si>
  <si>
    <t>Nicholas Webster</t>
  </si>
  <si>
    <t>Nick.Webster@Halliburton.com</t>
  </si>
  <si>
    <t xml:space="preserve">SPLT=112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 Per Dave Christie email proceed with design using the old check valve.  1/10/12 DM Waiting for AIS date from customer for 30 upcoming wells. Follow up with Ahmed.  2/6/12 DM </t>
  </si>
  <si>
    <t>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  Follow up w/Bill re: AIS date.  2/6/12 DM</t>
  </si>
  <si>
    <t>Same As: 71SSS1; SFTY SYS STD RTA DESIGN REQ
Except: Set up SAP P/N for Check Valve 1/2 inch FNPT X 1/2 inch FNPT, 6,000 PSI 
Project Name: 
Special Quality Plan Required?: No
Material: 
Mating Infomation:
2012-02--08, TS: Send to be checked tomorrow. To be sent to TSG by Friday 02-10.</t>
  </si>
  <si>
    <t>0.5416666666666666</t>
  </si>
  <si>
    <t>754992</t>
  </si>
  <si>
    <t>754870</t>
  </si>
  <si>
    <t>Kuwait Oil Company</t>
  </si>
  <si>
    <t>755309</t>
  </si>
  <si>
    <t>ECR - Revise drawings for 6 line multi-valve control system to as-built status. Top level MN 102106951</t>
  </si>
  <si>
    <t>WD specific PR3 and PR4 tools
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</si>
  <si>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755188</t>
  </si>
  <si>
    <t>Need design circle for the mandrels submitted in RTA 755180 and 755179.  Need worst case scenario - ie, bellies are at 180 degrees to each other.  They will be run inside 9 7/8 inch 62.8 lb casing
2/8/2012 MG - x-section complete, forward to James for checking.</t>
  </si>
  <si>
    <t>755179</t>
  </si>
  <si>
    <t>756409</t>
  </si>
  <si>
    <t>756428</t>
  </si>
  <si>
    <t>ECR-102033432 Clamp calls raw material spec ES-MA-58-4. Can this be changed as unable to source flat bar to this spec. Concessed before to use ES-MA-134-23 but if can be changed to use ES-MA-89-4 would be better. Ref clamp 102103217 calls up ES-MA-89-4 material.</t>
  </si>
  <si>
    <t>Current (last) Sheet Filter Prefix</t>
  </si>
  <si>
    <t>Sheet build version number</t>
  </si>
  <si>
    <t>SPLT= 140 Emailed submitter for requirements doc.  2/13/12 DM</t>
  </si>
  <si>
    <t>759818</t>
  </si>
  <si>
    <t>Same as 214scv350000 except: add deflector
See requirements document for details
It is not necessary to modify the tool.  If it would be simpler to accomplish designing a clamp on deflector (such as a modified Cannon Clamp) that would be an acceptable solution.
Erosion testing the Deflector is not included in the scope of this RTA.  It will be up to engineering to determine what temperature testing (if any) is necessary.</t>
  </si>
  <si>
    <t>SPLT=N/A  Manufacturing locally in Canada. 2/23/12 DM</t>
  </si>
  <si>
    <t>Joel.shaw2@halliburton.com</t>
  </si>
  <si>
    <t>ECR - Request drawing 304097-00-00 to be issued a material number and set up as a part in CWI. Also, see attached marked up drawing 304097-00-00 for suggested changes, by adding QPQ coating to part to reduce corrosion and galling of the ID thread during test.
THIS RTA WILL BE CANCELLED DUE TO DUPLICATE REQUEST ON RTA 754377 (OEWUMI 13FEB12)</t>
  </si>
  <si>
    <t>756689</t>
  </si>
  <si>
    <t>760679</t>
  </si>
  <si>
    <t>Steve.Ewens@welldynamics.com</t>
  </si>
  <si>
    <t>757214</t>
  </si>
  <si>
    <t>REVISE M/N 102085390 TO INCORPORATE NEW FLATPACK SYSTEM</t>
  </si>
  <si>
    <t>758416</t>
  </si>
  <si>
    <t>CREATE AMS TEMPLATE FOR DI - CONTROL SYSTEM</t>
  </si>
  <si>
    <t>760923</t>
  </si>
  <si>
    <t>Drawing W.302273-00-01 on pg2 Section B-B the R.32 is pointing to a sharp corner and the fillets on the other end of the slot are not there. Need to fix the solid model to add the missing fillets and fix the sharp corners at the other end and Rev the drawing up to Z.</t>
  </si>
  <si>
    <t>760678</t>
  </si>
  <si>
    <t>Nexen (GEAD)</t>
  </si>
  <si>
    <t>Nexen (GEAD)would like Halliburton to provide the splice sub for a 4 x 1/4 hydraulic flatpack (36x12mm) and have a slot machined for the Weatherford splice of Fibre Optic pigtail. This would be used on every 9 5/8 packer assembly top and bottom and each well is expected to be 3 zones.
I have enclosed a requirement document and can discuss to make sure this meets requirements. There is a discussion happening between HCT/Nexen on the metallurgy and if we go with a 925 design this can be altered to a 13Cr design once the decision has been made on metallurgy.
I need a design and quote so we can confirm completion design with the client and review with TP</t>
  </si>
  <si>
    <t>ECR - (Originally created in ETQ on SDC - 000233) The call out Qty of (Item 42) P/N 313566-00 does not match the Qty called out by procedure Doc. 314826-00. A Qty of 2 on the B.O.M.would match the Assembly procedures (313285-00-01, 313285-02-01, 313285-03-01).
TSG NOTE 120211 RCVD. FILE FOR PROCESSING. SENT BACK TO ENGINEER FOR CORRECTIONS. 120711 RCVD. FILE BACK FOR CORRECTION REVIEW.SOME CORRECTIONS NOT YET COMPLETED, SENDING BACK TO ENGINEER FOR FURTHER CORRECTIONS. 022312 RCVD. FILE BACK FOR REVIEW OF CORRECTIONS. SENDING FILE BACK FOR FURTHER CORRECTIONS. RCVD. FILE BACK FOR CORRECTIONS CHECK. ALL CORRECTIONS COMPLETED. (KEN) END</t>
  </si>
  <si>
    <t>758817</t>
  </si>
  <si>
    <t>COPC</t>
  </si>
  <si>
    <t>To Create an HSB 2 7/8 HS ICV with accupulse module in 4140/718 material. HS Series Numbering will be 226HA0F07285UO</t>
  </si>
  <si>
    <t>SPLT=126 PLM requested requirements document from submitter.  2/21/12 DM Emailed submitter for requirements document.  2/28/12 DM</t>
  </si>
  <si>
    <t>760935</t>
  </si>
  <si>
    <t>Tri-wire WHO with 1/2 NPT connection (reference Part Number 9895-6004)
Require new design based on above part number but with:
1.   1/2 NPT pin thread to suit VETCO Control Line Assy - R75380-1 (drawing attached)
2.   Ability to terminate 3 wires
3.   Test port to confirm connection (as per reference)</t>
  </si>
  <si>
    <t>Bruce.gavin@halliburton.com</t>
  </si>
  <si>
    <t>To Create a 3.5 HSB with SHROUD kit with CARBIDE insert and a multi purpose fitting kit. Integration level number will be 226HA0F07355SO</t>
  </si>
  <si>
    <t>758872</t>
  </si>
  <si>
    <t>HOT:  REVISE M/N 102131825 TO INCORPORATE FEP INSULATION AND FILLER MATERIAL.</t>
  </si>
  <si>
    <t>ECR - 9 5/8 HF1 packer consumable kit, 101903556, does not have test keys in the BOM. Please add 4 each test keys, MN 595085, to the BOM in CWI.
FOLDER IN T. BORMAN BOX_A. BERRET_02/22/2012------------END</t>
  </si>
  <si>
    <t>759598</t>
  </si>
  <si>
    <t>758573</t>
  </si>
  <si>
    <t>I need technical details and a design circle regarding a 5/8IN Chemical Injection Check Valve installed into a 5.5IN 26PPF Inconel 718 125Ksi MY VAM TOP KP mandrel to fit inside 8.5IN Drift casing with bypass slots big enough to pass 2 off 3/8IN encapsulated control lines on one side of the mandrel, 1 off 11mm encapsulated TEC, and a triple 1/4IN encapsulated flatpack along the other side of the mandrel. The timeframe of this request is being driven by BP Mad Dog which is going to tender by the end of the year.</t>
  </si>
  <si>
    <t>760293</t>
  </si>
  <si>
    <t>Same As: FP-301404-BL; 3 LINE FLATPACK, 1/4 X .049 SS316, WELDE
Except: Please find attached Quote. IT HAS TO BE GCDT with safety strip. Per meter
Tech Start Date is in the past
Project Name: Angsi SmartWell
Special Quality Plan Required?: No
Material: (16) Customer Supplied - Supply detail in description
Mating Infomation:</t>
  </si>
  <si>
    <t>CREATE AMS TEMPLATE FOR SOFTWARE</t>
  </si>
  <si>
    <t>Create Drawings for all (4) plastic inserts (2-7/8, 3-1/2, 4-1/2, 5-1/2) Travis Bordman has all the SolidWorks models to be used for the drawings.
FOLDER WITH T. BORDMAN WITH DRAWINGS FROM A. RIVERA_A. BERRET--------------------------------------------------END</t>
  </si>
  <si>
    <t>758051</t>
  </si>
  <si>
    <t>HES Venezuela</t>
  </si>
  <si>
    <t>Correct Bill of Material for SAP P/N 101069756 (71GS3)to agree with drawing. No BOM in CWI or on Drawing.</t>
  </si>
  <si>
    <t>Jay Bissell/Juan Carlos Rodriguez</t>
  </si>
  <si>
    <t>756833</t>
  </si>
  <si>
    <t>Evaluate whether 596863 - 722HF1965375 can have a pressure rating of 7.5K from current 6K based on where used structural components and packing element assembly (w.302248-01)</t>
  </si>
  <si>
    <t>760294</t>
  </si>
  <si>
    <t>Same As: TEC11221; TEC, 16, A825, 1/4 X .049, TPR, ROUND
Except: Please USE QUOTE ATTACHED HAS TO BE GCDT with Safety Strip.
Per Meter
Tech Start Date is in the past
Project Name: Angsi SmartWell
Special Quality Plan Required?: No
Material: (16) Customer Supplied - Supply detail in description
Mating Infomation:</t>
  </si>
  <si>
    <t>758618</t>
  </si>
  <si>
    <t>OBSOLETE PART NUMBER 596056 IN ORDER TO CREATE NEW PART NUMBER AND CHANGE UNIT OF MEASURE FROM EA TO GAL. THERE IS A QUANTITY OF 4 IN STOCK SO STOCK WILL HAVE TO BE MOVED TO THE NEW PART BEFORE THE OLD PART CAN BE OBSOLETED.</t>
  </si>
  <si>
    <t>Same As: 71SSS1; SFTY SYS STD RTA DESIGN REQ
Except: Please update purchasing information for
SAP P/N 101470816, Legacy P/N 93F1714, Lorimer P/N 50 996 00
Hose, 316 braided, 1/2 OD, w/3/8 tube end X 3/8 tube end  to reflect the new Lorimer P/N will be 50 996 00, Rev. b. design
Project Name: 
Special Quality Plan Required?: No
Material: 
Technical Support Deliverables:
Preliminary Design Specifications
Reference Assembly Drawing
2012-02-20, TS: CHANGE TO ECR</t>
  </si>
  <si>
    <t>759165</t>
  </si>
  <si>
    <t>Petronas CariGali</t>
  </si>
  <si>
    <t>Same As: 101799339; WHD FEED THRU KIT,ASSY,W/ 1/2 IN. NPT,6
Except: I want to use ANTECH and was told that I need an RTA to be raised for it to be qualified. I have attached the WHO and Quote.
Tech Start Date is in the past
Project Name: Angsi SmartWell
Special Quality Plan Required?: No
Material: (16) Customer Supplied - Supply detail in description
Mating Infomation:</t>
  </si>
  <si>
    <t>759167</t>
  </si>
  <si>
    <t>758956</t>
  </si>
  <si>
    <t>ECR-BODY CROSSOVER M/N: 593222 (DRG: 311389-00-01) IS TO BE MOLYKOTED AS PER FIND NO 0808.
ADDITIONAL CHANGES WERE PERFORMED AS PER ATTACHED MARKUP FROM RTA 734622 (OEWUMI 22FEB12)</t>
  </si>
  <si>
    <t>Jim Macdonald</t>
  </si>
  <si>
    <t xml:space="preserve">1:  SIT has been completed successfully at Berwick, LA - AGS 7/31/11 Documentation to be completed early next year.  11/14/11 DM  Meeting held with Accelemetrics to determine schedule for delivery of remaining internal documents. New schedule added to project - AGS 27 Feb 2012 </t>
  </si>
  <si>
    <t>758006</t>
  </si>
  <si>
    <t>M/N-102054551, Drawing D00508665 Rev.B
Please remove NOTE-2 form the drawing and BOM.
Please add a 16-63 surface finish to the .2500/.2505 bore shown in SECTION R-R, page 2.
IN ENG. DESIGN_A. BERRET_02/27/2012---------------------END</t>
  </si>
  <si>
    <t>OBSOLETE AND SUPERCEDE -SG1 STATOIL 3-DIGIT IDENTIFIER- QA REQUEST DUE TO AGREEMENT ON SB2_SB3 GLOBAL QUALITY PLAN PER D. HICKMAN
TSG NOTES 022711 ON HOLD</t>
  </si>
  <si>
    <t>760404</t>
  </si>
  <si>
    <t>Create layout and inform submitter if design is mechanically feasible.  4-1/2 in 8 RD 13.5 lb API LTC Box X Pin SFrac Valve, Shiftable
Same as existing design with shifting capabilities.
See requirements document and attached drawing for additional details and suggested layout.</t>
  </si>
  <si>
    <t>ELEC - MAKE CHANGES TO THE BUILD FOR MN 597467 BASED ON THE DEVIATION APPROVALS IN ATTACHED MEMO REQUESTED BY KELLEY PEGODA. SEE ATTACHED AMENDED DEVIATIONS PER K. PEGODA 02-13-2012</t>
  </si>
  <si>
    <t>UPDATE REFERENCE NUMBER TO READ SAP PART NUMBER FOR 595765 AND 595767 AND ALSO OBSOLETE PN 595765 AND 595767 BECAUSE THE UNIT OF MEASURE WAS EA. A NEW PART NUMBER WAS CREATED FOR 595765 REF 316417-GU AND 595767 REF 316417-GU-ST0 TO CHANGE THE UOM TO MST.
IN ENG. DESIGN_A. BERRET_02/28/2012---------------------END</t>
  </si>
  <si>
    <t>759749</t>
  </si>
  <si>
    <t>M/N-102117708, Drawing D00586689
The part geometry produces a very thin wall cross section on the lower half at the left side of the 30 deg. ID bevel.
This produced an issue during machining in Livingston, Ref. Qnote 200693295. Please see the attachment in this RTA for an example of a resolution for this issue.
IN ENG. DESIGN_A. BERRET_02/27/2012---------------------END</t>
  </si>
  <si>
    <t>760677</t>
  </si>
  <si>
    <t>ECR - //FOR dwg 307019-00-01 (MN 101996090) Body Crossover, HF1 Packer with Knockout Plug, The feature control frames in 9 locations calls out concentricity but does not include a primary datum. Datums are required for concentricity callouts with GD&amp;T. Request dwg be updated to include a datum callout and updated feature control frames.  //FOR dwg 307020-00-01 (MN 592279) Spacer, HF1 Ret Packer, with knockout release, chamfer in zone D2 is undefined. The chamfer is shown on the dwg but is not being added to the parts coming in from suppliers.
IN ENGINEERING DESIGN_A. BERRET_02/23/2012--------------END
DESIGN FOLDER IN T. BORDMAN BOX. CONCERNING CHANGES TO DWG 307019-00-01, ENGINEERING WILL NOT PURSUE THE SUGGESTED IMPROVEMENTS AT THIS TIME AS PER O. EWUMI_A. BERRET_02/23/2012---------------------------------------END</t>
  </si>
  <si>
    <t>ECR - Accu-Pulse and Digi poppet vacuum test fixture requires additional dimensional callouts to achieve a tighter tolerance per Bob Gissler. Also, the parts do not have SAP part numbers. Please revise the drawings, 029984-00 and 308418-00, per the attachment, assign SAP part numbers and set up in CWI.
FOLDER IN T. BORDMAN BOX_A. BERRET_02/17/2012</t>
  </si>
  <si>
    <t>RTA TO CREATE TEMPLATE FOR AMS SERVERS AND PCS</t>
  </si>
  <si>
    <t>757343</t>
  </si>
  <si>
    <t>Exxon Indonesia</t>
  </si>
  <si>
    <t>Quote Only - EZ-Gauge Surface equipment for Exxon Indonesia.  Main components in place, but need SKID mounted system.  Please see attached e-mails.
2012-02-20, TS:Still working. Awaiting quote for skid and assembly.
2012-02-27, TS: Dana to check status.</t>
  </si>
  <si>
    <t>759394</t>
  </si>
  <si>
    <t>All of our hybrid gauges run as single gauges have a dowel pin for support with the exception of the dual redundant gauge.  This came up in a meeting with Shell that they were concerned that their single dual redundant gauge would not have the support of a dowel pin.  We need to look into the possibility of adding this feature to all dual redundant gauges run in single gauge applications.  Shell is soon to place order for this.
2012-02-27, WM: Dual red. mountsub to be analyzed to determine feasibility of adding dowel pin and the best way to proceed with this issue.</t>
  </si>
  <si>
    <t>Revise ES-A-523 Section 5.5 to clarify process for positioning of release collet.
Need to add an inspection method to verify the collet is positioned correctly relative to the release housing shoulder.  Pictures or drawings to show correct view would be helpful.
Investigate some kind of gauge or go-nogo tooling to aid the Assembly group in quickly measuring the correct location and to reduce confusion or misalignment.
Reference CPI 300211161, Conoco Bawal packer investigation.
Review other Packer sizes could utilize similar gages.</t>
  </si>
  <si>
    <t>757399</t>
  </si>
  <si>
    <t>HES Germany</t>
  </si>
  <si>
    <t>Same As: 71SSS1; SFTY SYS STD RTA DESIGN REQ
Except: part number 101010289 and drawing 93FA138 need to be updated to show Norgren part number 11 002 013 2A.
change the top of the adjusting stem from a T bar to a knob.
Project Name: 
Special Quality Plan Required?: No
Material: 
Technical Support Deliverables:
Preliminary Design Specifications
Reference Assembly Drawing</t>
  </si>
  <si>
    <t>Placed in WD3 after discussions with Aswin. His group will take care of this internally - AGS 27 Feb 2012</t>
  </si>
  <si>
    <t>760905</t>
  </si>
  <si>
    <t>760914</t>
  </si>
  <si>
    <t>CHANGE INTERNAL TEST PRESSURE VALUE IN FAT PROCEDURES AND DESIGN DATA SHEETS FOR 70XX MC1 PACKERS FROM 7500 PSI TO 5500 PSI (THE SS CONTROL LINE TUBES 313298-FC THAT SEE COLLAPSE PRESSURE DURING THE FAT ARE RATED ONLY TO 6000 PSI IN COLLAPSE AT AMBIENT)- RAVI VAYEDA
REVISE BURST AND COLLAPSE PRESSURE ON ALL 70XX PACKERS DDS AND AMS TO 5,000 PSI EACH (BASED ON SS CONTROL LINE TUBES) AS DISCUSSED WITH RAVI &amp; DAMON. (OEWUMI 23FEB12)</t>
  </si>
  <si>
    <t>759633</t>
  </si>
  <si>
    <t>ECR-9290-2831. At the VAM BOX thread end the description says PIN. Should say BOX.</t>
  </si>
  <si>
    <t>759885</t>
  </si>
  <si>
    <t>ECR- 9290-2793 REV A
WRONG MATERIAL IN MATERIAL SPEC BOX.
DIFFERENT TO BOM.</t>
  </si>
  <si>
    <t>760555</t>
  </si>
  <si>
    <t>760475</t>
  </si>
  <si>
    <t>REMOVE DDS (DESIGN DATA SHEET) FROM ASSEMBLY PARTS WHICH HAVE NEWLY-CREATED AMS SHEETS.</t>
  </si>
  <si>
    <t>damon.trahan@welldynamics.com</t>
  </si>
  <si>
    <t>Amend HF-1 Packer Drawing
HF-1 Packer drawing 033461-06-01 lists the cross section D-D as having 4 x component 37 (Transport Plug) installed. I believe this to be the incorrect component as the transport plugs are installed in the FMJ ports during transit.
The drawing needs to be updated as this particular assembly will be installed in 2 weeks time and used for an isolation prupose.
DESIGN FOLDER WITH MARK-UPS PLACED IN T. BORDMAN BOX_A. BERRET_02/21_2012---------------------------------------END</t>
  </si>
  <si>
    <t>756682</t>
  </si>
  <si>
    <t>Requesting Assembly and Test doc. 309840-01-01 Rev.16 is updated to reflect the Internal body test as an optional but not required test for punch release packers. The premium connections are under warranty and do not require testing advisable by Paul James per email inserted. This change would also need to be made to the Spec. Sheet of the following material : 101832627,101935977,101917896,101915813,101849346,101838492. This change would eliminate hours thus decreasing the cost and help maintain the original integrity of the premium threads. Change to the Spec. Sheet would clear up questions with T.P.I. And Production. Christopher Vancamp 2-13-2012 
To Whom It May Concern,
I have asked this question a few times, Do we test Premium Connections? Tools typically affected are Gauge Mandrels for example  and Punch release packers to my current knowledge. Specifically material 101849346 has two premium connections. The setting Chamber is tested well in advance and charted. So my other question is why do a body test. A straddle is installed to protect the setting chamber from seeing pressure. Is the reason because the router,  procedure 309840-01-01 Rev. 16 page 19 and the Spec. Sheet calls out a internal body test. What are we testing? Typically in an KO HF1 we are checking the KO plugs, thus is why out test practices have reverted back to the flow of the procedure. Valves get an internal to check the Metal to metal seals or choke. The point is, are we testing the premium connections when we do an internal body test for a PUNCH RELEASE Packer? This is new territory and would like feedback. 
Thank you,
Christopher Vancamp
Elec./Mech. Technician
Night Shift Back-Up Lead
WD/Halliburton Completion Tools
Cell: 281-732-7486
Chris,
                I am probably as qualified as anyone to answer this question?..
                The answer to your question is that we do not require that premium connections be tested.  As this is a licensed geometry and carries a warranty from the manufacturer, it is not necessary to test the connections.  Further unnecessary torquing and removal of test caps shortens the life of the customer connections.
                There are a few product lines that require a body test ? This is mostly a hold-over from the old ways ? This is most notably gauge and chemical injection mandrels.  This will probably not change significantly in the near future, but it would probably be wise to work to eliminate this test.
                We do not body test valve integrations.
                For the knock-out plug packers, we are testing the knock-outs.  Arguably that could be done on the body-crossover prior to assembly if we wanted to go to that length.
                I agree that the body test on the punch release packers is a holdover and of little value.
Omotayo,
                Please get with Debra and see what (if any) ramifications there would be if we removed this from the punch release packer assembly instructions.  If there is no compelling reason to maintain the test, please remove it from the procedure.
                                Paul
IN ENG. DESIGN_A. BERRET_02/27/2012---------------------END</t>
  </si>
  <si>
    <t>756766</t>
  </si>
  <si>
    <t>M/N-102030585, Drawing D00436079-04 Rev.B
M/N-102030581, Drawing D00436071-03 Rev.B
Please change the material requirement from ES-MA-46-2 to AMS-5596 for Inconel 718 plate. I spoke will Paul James about this and he agrees that it will make material procurement for these parts much easier.</t>
  </si>
  <si>
    <t>ELEC and MECH - ICE - Non-Intrusive Flow Meter MOC</t>
  </si>
  <si>
    <t>758786</t>
  </si>
  <si>
    <t>ECR-9290-2846. O/DIA BLANKING DIMENSION FOR 7-29 TENARIS HYDRIL BLUE THREAD BOX COUPLING IS INCORRECT. 7.697  .000/-.047 SHOULD BE 7.697  .000/-.040.
------
2012-02-21 ST - SENT TO J. SEALE FOR CHECKING
------
2012-02-28 ST - SENT TO R. BAKHTIARY FOR APPROVAL</t>
  </si>
  <si>
    <t>ECR - Request drawing 304097-00-00 to be issued a material number and set up as a part in CWI. Also, see attached marked up drawing 304097-00-00 for suggested changes, by adding QPQ coating to part to reduce corrosion and galling of the ID thread during test.
FOLDER RETURNED TO T. BORDMAN_A. BERRET_02/15/2012_ END</t>
  </si>
  <si>
    <t>760014</t>
  </si>
  <si>
    <t>Adx Energy, Alpine Oil and Gas</t>
  </si>
  <si>
    <t>Same As: 71SSS1; SFTY SYS STD RTA DESIGN REQ
Except: Review Safety Panel Request Form submitted by Nassim for ADX Energy and Apline Oil and Gas.  Please advise if we have an existing panel design that will work or design a new panel to these specifications if we do not.
Project Name: 
Special Quality Plan Required?: No
Material: 
Technical Support Deliverables:
Preliminary Design Specifications
Reference Assembly Drawing</t>
  </si>
  <si>
    <t>Next Generation ICV development
See requirements document.
ZEWO     103896446
Network  HTWF602103</t>
  </si>
  <si>
    <t>759824</t>
  </si>
  <si>
    <t>CHANGE INTERNAL TEST PRESSURE VALUE IN FAT PROCEDURES, AMS AND DESIGN DATA SHEETS FOR 96XX MC1 PACKERS FROM 7500 PSI TO 5500 PSI (THE SS CONTROL LINE TUBES 313298-FC THAT SEE COLLAPSE PRESSURE DURING THE FAT ARE RATED ONLY TO 6000 PSI IN COLLAPSE AT AMBIENT)- RAVI VAYEDA
REVISE BURST AND COLLAPSE PRESSURE ON ALL 96XX PACKERS DDS AND AMS TO 5,000 PSI EACH (BASED ON SS CONTROL LINE TUBES) AS DISCUSSED WITH RAVI &amp; DAMON. (OEWUMI 23FEB12)
IN ENG. DESIGN_A. BERRET_02/27/2012---------------------END</t>
  </si>
  <si>
    <t>ERIC.MORRELL@welldynamics.com</t>
  </si>
  <si>
    <t>Add position sensor simulator to the existing ramping gauge simulator software/hardware package.
ADD A SERIAL CABLE TO THE FINAL KIT</t>
  </si>
  <si>
    <t>760918</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</si>
  <si>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
2011-12-19 WM: Core functionality has been established with FPGA.  Communication has been established with modified IWIS card for SCRAMS. 2011-12-19 AB
2012-01-10 WM: The hardware development is scheduled to re-commence this week.  The FPGA code development is ongoing.  The revised project plan has been attached to the RTA.  2012-01-10 AB
2012-01-24 WM: Hardware information will be handed over to Thomas Cassidy. 2012-01-24 AB
2012-01-31 WM: The analog switch functionality is being checked.  The way forward project plan will be generated with Schematic and CL to follow. 2012-01-31 AB
2012-02-07 WM: CMAC have been provided CL and CD.  The receive and clock isolation circuit will be finalized.  2012-02-07 AB
2012-02-14 WM: Design meeting with AMC was held for capacitor quotes.  Mechanical engineering design for inductor-capacitor arranement has been conceptualized.  2012-02-14 AB
2012-02-21 WM: The schematic has been reviewed and has been placed in FTP site for CMAC.  The design from CMAC will be ongoing process followed by finalization of architecture.  2012-02-21 WM
2012-02-28 WM: CMAC have completed a preliminary part fit layout.  The schematic is being inherited into CMAC CAD database.  The test board for the power supply is being designed to verify functionality.  Sensor Design will be engaged during testing phase.  2012-02-28 AB</t>
  </si>
  <si>
    <t>758813</t>
  </si>
  <si>
    <t>To Create a HSB 2 7/8 HS ICV with Digi hydraulics and accupulse modules in 4140/718 material. HS series numbering will be 226HDAF07285U (A-F)</t>
  </si>
  <si>
    <t>SPLT=126 PLM requested requirements document from submitter.  2/21/12 DM  Emailed submitter for requirements document.  2/28/12 DM</t>
  </si>
  <si>
    <t>760944</t>
  </si>
  <si>
    <t>Total AWYN</t>
  </si>
  <si>
    <t>5in 23.2ppf, 13Cr 85Ksi, VT Chemical Injection Mandrel.
13CR 85ksi Vam Top x Vam Top
1/4 control line- 9 5/8 53.5lb Casing
1/4 FMJ-H for control line connection to the CV 
Coated Mandrel ID- Coating Material to be confirmed
Mandrel to be supplied Filter sub for down-hole filtration.</t>
  </si>
  <si>
    <t>Kelechi Ezennaya@halliburton.com</t>
  </si>
  <si>
    <t>ECR-D00572973 Rev A.Sheet 2 Detail C the dimension to the centre of the R.193/R.220 Ball Nose Slots is missing (ref 3.518?? dimension on Detail B). The right-hand End Elevation also has a (.53) ref dimension.
Aswered by Scott Hoadly by e-mail as Yes, the dimension from the center of the R.193 and R.220 Ball Nose Slots to the center of the part is 3.518??. 
The actual dimension for the .53 ref. dimension on the right-hand elevation is 3.285?? from the center of the part to top of the slot (or .53 from the nominal ID of the part to the top of the slot).
FOLDER IN T. BORDMAN BOX_A. BERRET_02/16/2012-----------END</t>
  </si>
  <si>
    <t>757314</t>
  </si>
  <si>
    <t>Need to get GUIs updated for Accupulse Test Station.  We currently have an order for a test station, and need to get the software completed to work with the system.  The Think and Do software we have needs to be upgraded, and the GUIs are not transferrable to the new version.</t>
  </si>
  <si>
    <t>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</si>
  <si>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Drawing W.304236-00-00 Rev.J
17 associated material numbers.
Please add a note to the drawing that states,
KEEP ALL 6 PIECES TOGETHER AS A MATCHED SET.
FOLDER IN T. BORDMAN BOX_A. BERRET_02/15/2012_END</t>
  </si>
  <si>
    <t>M/N-102081455, Drawing 313771-10-01 Rev.A
Please move the triangle NOTE 1 at the diameter dimension 3.5995/3.6000 to the length dimension 2.85.
FOLDER IN TRAVIS BOX FOR DISTRIBUTION_A.BERRET_02/15/2012</t>
  </si>
  <si>
    <t>756692</t>
  </si>
  <si>
    <t>Same As: C05SHS36311100W; SHS 6 WELL 440/3/60,AUTO,SYN OIL,6K ATEX
Except: 1. only for a 2 well system.
2. Each well will have 2 HS ICVs with Direct Hydraulics with Accupulse.
3. Needs SmartWell Master supervisory application.
4. Needs to be incorporated into clients DCS via satellite.
5. Needs to be able to be remotely operated via satellite.
6. Parallel connectivity to DCS via satellite and via TCP/IP also thru satellite.
7. Power supply of 24VDC or 240 VAC is available
Tech Start Date is in the past
Project Name: Angsi
Special Quality Plan Required?: Yes
Quality Plan Identifier: Standard
Material: 
Mating Infomation:</t>
  </si>
  <si>
    <t>ECR 307019 00 01 PLEASE ADD THE CORRECT BLANKING DIMENSIONS FOR THE NSCC THREAD. SEE ATTACHED EMAIL.
FOLDER IN T. BORMAN BOX_A. BERRET_02/21/2012------------END</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</si>
  <si>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
2012-01-10 WM: The driver for micro SD was tested.  A consultant will be engaged to develop and test the driver.  2012-01-10 AB
2012-02-07 WM: A consultant will be engaged on this project in February.  2012-02-07 AB
2012-02-28 WM: A low level debugger action has been initiated.  A Linux based debugger is in the works.  2012-02-28 AB</t>
  </si>
  <si>
    <t>ECR 316850-00-01 REV B CAN THE LENGTH OF THE NATIONAL THREAD BE ADDED BACK IN TO DRAWING. LENGTH SHOWS AS BEING 3.95 INCHES IN REV 1
FOLDER IN T. BORDMAN BOX_A. BERRET_02/17/2012</t>
  </si>
  <si>
    <t>759408</t>
  </si>
  <si>
    <t>ECR - request a new part number pre-swage tool, new design. Please find the attached red-lined drawing to create new pre-swage tool for shop use in Spring. The handle is longer and thicker to make use easier.
DESIGN FOLDER WITH T. BORDMAN_A. BERRET_02/23/2012------END</t>
  </si>
  <si>
    <t>759196</t>
  </si>
  <si>
    <t>ECR-9290-2496 (597044 and 102135263)The drg calls up spec A-213. The BOM calls ES-MA-20-31.  Can the BOMs and drg be changed to call up spec ES-MA-89-4 as the L80 13Cr for this Gauge Mandrel is difficult to source.</t>
  </si>
  <si>
    <t>758628</t>
  </si>
  <si>
    <t>Please create a SAP number for an unthread mandrel of 597044.  Order has been submitted and is due in April.  Need part number released ASAP.</t>
  </si>
  <si>
    <t>4 1/2 inch Multi-Conductor Electro-Hydraulic Disconnect Development for Maersk Qatar
ZEWO     103898982
Network  HTWF602098</t>
  </si>
  <si>
    <t>759860</t>
  </si>
  <si>
    <t>Same As: A5500-W02-S2-SM1; 5-1/2IN CBL PRTR ASSY JFE BEAR - SM1
Except: I need an SAP number for the GCDT 41/2 LT Protectors. Quote and drwg as attached.
Tech Start Date is in the past
Project Name: Angsi
Special Quality Plan Required?: No
Material: (16) Customer Supplied - Supply detail in description
Mating Infomation:</t>
  </si>
  <si>
    <t>759861</t>
  </si>
  <si>
    <t>Same As: A5500-W02-S2-SM1; 5-1/2IN CBL PRTR ASSY JFE BEAR - SM1
Except: 31/2 HD Protectors from GCDT. Quote and drwg as attached
Tech Start Date is in the past
Project Name: Angsi
Special Quality Plan Required?: No
Material: (16) Customer Supplied - Supply detail in description
Mating Infomation:</t>
  </si>
  <si>
    <t>760681</t>
  </si>
  <si>
    <t>Same as 102089847  3.5 Shrouded HSB ICV w/multi purpose fitting kit except:
Change trim to D00548300-01
Process as ECN- See attached trim info
Original valve design on RTA 712290</t>
  </si>
  <si>
    <t>Kevin Wood</t>
  </si>
  <si>
    <t>Kevin.wood2@halliburton.com</t>
  </si>
  <si>
    <t>760700</t>
  </si>
  <si>
    <t>ECR D00591417 REV A. THE 8.0-8 STUB ACME PIN THREAD SHOULD HAVE-LEFT HAND THREAD ON THE THREAD CALL OUT.</t>
  </si>
  <si>
    <t>758637</t>
  </si>
  <si>
    <t>ECR TO ADD MISSING DIMENSIONS PER EMAIL</t>
  </si>
  <si>
    <t>757463</t>
  </si>
  <si>
    <t>ECR-9450-2400 DRG HAS A BORE DIMENSION FOR THE 5.75-10 ACME THREAD AS 5.625 +.002-.000. THIS CAN NOT BE ACHIEVED AS THE BORE TOLEARANCE FOR THIS THREAD IS 5.6550-5.6500.</t>
  </si>
  <si>
    <t>Description:  UPDATE DRAWINGS 312660-00-01, 312087-00-01 AND 311046-00-01;
TASK 724775 HAS COMPLETED THE REQEUST ABOVE, PLEASE CANCEL RTA. (OEWUMI 14FEB12)
TSG NOTES 021412 RCVD FILE TO BE PROCESSED. TO BE CANCELLED REF. TASK NUMBER 724775. (KEN) END</t>
  </si>
  <si>
    <t>759385</t>
  </si>
  <si>
    <t>ECR - TEST CELL CAPABILITY CHART - Request that a chart be created that provides details of the pressure limitations, lengths of casings, insided diameters and other necessary information to determine capability of the test cell. Paul Lively 2/22/12</t>
  </si>
  <si>
    <t>For drawing 308091-09-01, section (N-N) requires a call out change. Change it from 33/18 to 33/9. This reflects a shorter screw length for item 9 that will avoid protrusion in the assembly.
IN ENGINEERING DESIGN_A. BERRET_02/24/2012--------------END</t>
  </si>
  <si>
    <t>758402</t>
  </si>
  <si>
    <t>CNR Ivory Coast</t>
  </si>
  <si>
    <t>5.5 - 17 TSH Blue ROC 150 Mand.
Same As: 9290-2479; MANDREL ASSY 5-1/2 17 ROC-S TENARIS BLUE
Except: This RTA is required for a ROC 150 gauge mandrel with tenaris blue thread and 5.5 inch size connection. The gauge to be used with the mandrel is a ROC 150 dual redundant gauge to measure tubing only.
Tech Start Date is in the past
Project Name: Espoir
Special Quality Plan Required?: No
Material: (7) 13 CR 80 MY 22HRC (ES-MA-58-7)
Mating Infomation:
Work With item with Part Number 9381-6142
2012-02-27, WM: Assign to James, class B</t>
  </si>
  <si>
    <t>ECR-D00515022. Missing dimension on sheet 2 grid ref G3 for position and width of radial slot. Taken dimension from solidworks drg as 2.16 and .77 wide.
FOLDER PLACED IN T. BORDMAN BOX FOR DISTRIBUTION_A. BERRET_02/15/2012---------------------------------------END</t>
  </si>
  <si>
    <t>Upper Level M/N-101840913 Carrier, Inner Carbide Assy.
M/N-101840320, Drawing D00390756 Rev.C
Please change the 7X 2.899/2.901 reference OD at the right side of DETAIL-B to 7X 2.8995/2.9000, leave the triangle 1 associated with this dimension.
FOLDER IN T. BODMAN BOX FOR DISTRIBUTION_A. BERRET_02/15/2012</t>
  </si>
  <si>
    <t>756691</t>
  </si>
  <si>
    <t>Same As: 101678747; DSPL,BEKA,PNL MTD,IS,SER TEXT
Except: Adjust Single Well Application software to handle an option of degrees C and Bar in the display.
Project Name: Grane
Special Quality Plan Required?: No
Material: 
Mating Infomation:
Work With item with RTA Number 00000682094</t>
  </si>
  <si>
    <t>760673</t>
  </si>
  <si>
    <t>Same as 102091428 3.5 HSB ICV w/deflector except:
Change trim to D00548300-01
Process as ECN- See attached trim info
Original valve design on RTA 712307</t>
  </si>
  <si>
    <t>760762</t>
  </si>
  <si>
    <t>REVISE MN 101873800 TO CHANGE WORKING PRESSURE TO 7.5K.  
HS VALVE ITSELF IS GOOD FOR 10K, BUT THE INTEGRATION IS LIMITED TO 7.5K DUE TO 9.20 LB/FT VAM TOP THREADS.
ALSO ADD SPLICE KIT TO BOM TO TERMINATE THE POSITION SENSOR PIGTAIL IN THE NON-ACTIVE HALF.  A NEW 25CR NON-ACTIVE HALF (D00409422-NL) WILL NEED TO BE CREATED.</t>
  </si>
  <si>
    <t>M/N-591124 and 591126, Drawing W.302243-00-00
Please remove the 6.995/7.000 dimension as this is not necessary for manufacturing the part and meeting geometry requirements.
FOLDER IN T. BORDMAN BOX FOR DISTRIBUTION_A.BERRET_02/15/2012------------------------END</t>
  </si>
  <si>
    <t>DH Charpy Vee Notch
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
2011-12-05, WM:  Matt to review this RTA to determine scope/feasibility.
2012-01-03, WM: Assign to Mark, class A. Mark to review requirements and determine scope/feasibility.
---
1/6/2012 RB - Rameen to contact Sandra Perryman to verify the scope of this RTA. Mark has created new assembly containing the requested O-Ring; need to verify quantities and quality needs of the new part.
----
1/10/2012 RB - Sent email to submitter &amp; requestor to verify requirements of RTA. Email has been attached
----
1/25/2012 RB - Contacted quality to look into testing requirements. Meeting set up with quality &amp; submitter to discuss requirements.</t>
  </si>
  <si>
    <t>SPLT=84 On hold waiting for quality requirements to be agreed by submitter.  1/8/12 DM  2/20/2012 DM, follow up with Valerie for status update</t>
  </si>
  <si>
    <t>42: SPLT=154 Well cancelled.  Design far enough along it will be completed for future needs. 4/18/11 DM</t>
  </si>
  <si>
    <t>The assembly requires two (P/N 313566-00 SAP 594282) key stocks.  The BOM Drawing, 313285-02-01 Rev. 2 Item 42, only has a qty of one.  Reference parts; (Upper Body 316310-00-01 Section P-P)and (Lower Body 316309-00-01 Detail C).  There needs to be two keys to secure the two bodies together.
FOLDER IN T. BORDMAN BOX_A.BERRET_02/15/2012 END</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</si>
  <si>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
2011-12-05, MWS:  Design and drawings have been completed and reviewed.  Prototype units in process with an anticipated delivery date by the end of the year.  Mechanical seal testing on the gauge termination will be application to design.  Additional qualification through HALT will validate the updated connector assembly.
ZEWO  103896444
Network  HTWM602104</t>
  </si>
  <si>
    <t>40: SPLT=N/A On design hold waiting for designs by Carrollton FC. RTA 707224-718 Landing Nipple, 707227-718 Lock Mandrel, 707231-718 Equalizing Valve/Prong.  8/22/11 DM Pushed out AIS date and TRDD per P James.  9/20/11 DM</t>
  </si>
  <si>
    <t>41: SPLT=N/A On design hold waiting for designs by Carrollton FC. RTA 707224-718 Landing Nipple, 707227-718 Lock Mandrel, 707231-718 Equalizing Valve/Prong.  8/22/11 DM Pushed out AIS date and TRDD per P James.  9/20/11 DM</t>
  </si>
  <si>
    <t>39: SPLT=N/A  On design hold waiting for designs by Carrollton FC. RTA 707224-718 Landing Nipple, 707227-718 Lock Mandrel, 707231-718 Equalizing Valve/Prong.  8/22/11 DM Pushed out AIS date and TRDD per P James.  9/20/11 DM Revised AIS and TRDD per P James.  10/5/11 DM</t>
  </si>
  <si>
    <t>38: SPLT=N/A On design hold waiting for designs by Carrollton FC. RTA 707224-718 Landing Nipple, 707227-718 Lock Mandrel, 707231-718 Equalizing Valve/Prong.  8/22/11 DM Pushed out AIS date and TRDD per P James.  9/20/11 DM Revised AIS and TRDD per P James.  10/5/11 DM</t>
  </si>
  <si>
    <t>New CI Mdrl: R Nipple Profile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
2011-12-05, WM:  Jim Flygare has assigned to Ahmed for clarification.  RTA needs to be placed into design hold by Dana.
2012-01-03, WM: RTA requirements clarified and emails to be attached to RTA by Rameen. Work can proceed.
2012-01-09, WM: Dana to verify AIS date
2012-02-20, WM: Rameen to get with Jim and contact submitter</t>
  </si>
  <si>
    <t>SPLT=112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  Place RTA into design hold/  12/5/11 DM  Emailed field re: AIS date.  1/10/12 DM  Revised AIS date per attached email from field.  1/10/12 DM  2/20/2012 DM: Place in design hold; design circle does not fit</t>
  </si>
  <si>
    <t>3: OPC interface document received from Aker, PLC logic change review meeting has been performed and project plan has been updated to include all steps required for project completion - AGS 7/31/11  Anticipate completion mid March 2012.  11/14/11 DM  2012-02-21 AGS: Added new project schedule for software configuration and testing of software</t>
  </si>
  <si>
    <t>43: SPLT=N/A</t>
  </si>
  <si>
    <t>SPLT=168  Emailed submitter and requested a requirements document.  10/27/11 DM  Recd and attached requirements document.  11/2/11 DM  Placing on design hold until field supplies metallurgy confirmation per S Saldanha.  12/9/11  DM  Cancelling per attached email from S Saldanha.  2/22/12 DM</t>
  </si>
  <si>
    <t>SPLT=168  Emailed submitter to request requirements document.  10/27/11 DM Recd and attached requirements document.  11/2/11 DM  Attached updated requirements document reflecting thread changes to Tenaris Blue.  11/17/11 DM  Emailed submitter for confirmation on number of lines required. 12/7/11 DM  Recd confirmation from submitter that 5 lines are required.  Email attached. 12/8/11 DM Cancelling per attached email from S Saldanha.  2/22/12</t>
  </si>
  <si>
    <t>SPLT=140  Attached updated requirements document reflecting thread changes to Tenaris Blue.  11/17/11 DM  Placing on design hold until field supplies metallurgy confirmation per S Saldanha.  12/9/11 DM  Cancelling per attached email from S Saldanha.  2/22/12 DM</t>
  </si>
  <si>
    <t>13: SPLT=168 @@ Emailed submitter regarding 9/1/12 delivery date per PMT. Waiting for confirmation from field to change AIS date.  1/19/12 DM Emailed Marius regarding shroud adapter threads.  2/20/12 DM Submitter confirmed threads. Design proceeding.  2/21/2012 DM</t>
  </si>
  <si>
    <t>Not required for order
Same As: 215HA0550023-SB2; VLV INTEGD,HVC,ACCUPULSE,5-1/2 -SB2
Except: 1. Need modifications to bypass slots to incorporate the following:
1 of 1/4 inch el line
3 of 1/4 inch hydraulic line
2. Flow trim customized for  31153721. See attachment.
3. Incoporate Position Sensor into new design.
Tech Start Date is in the past
Project Name: Stjerne M13
Special Quality Plan Required?: Yes
Quality Plan Identifier: SB2
Material: (9) 13 CR 105 MY 35 HRC (ES-MA-585)
Mating Infomation:</t>
  </si>
  <si>
    <t>17: SPLT=168 Emailed submitter regarding 9/1/12 delivery date per PMT. Waiting for confirmation from field to change AIS date.  1/19/12 DM EMailed submitter re: splice orientation.  2/13/12 DM</t>
  </si>
  <si>
    <t>14: SPLT=168 @@ Emailed submitter regarding 9/1/12 delivery date per PMT. Waiting for confirmation from field to change AIS date.  1/19/12 DM</t>
  </si>
  <si>
    <t>33: SPLT=168  Changed AIS date per PMT.  Need to finish design asap for field design reviews.  1/13/12 DM</t>
  </si>
  <si>
    <t>34: SPLT=168  Called submitter re: attached email from S Saldanha. Left message.  1/16/12 DM  Emailed submitter re: AIS date...well completing end of Oct,2012. 2/21/12 DM</t>
  </si>
  <si>
    <t>24: SPLT=N/A  Emailed submitter for clarification. RTA description conflicts with requirements document.  2/13/12 DM  Emailed submitter to confirm single line.  2/20/12 DM</t>
  </si>
  <si>
    <t>Chemical Injection Mandrel with 3/8 inch Check Valve.  
4 1/2 inch 12.6lb VAM TOP BxP, 
with (2) bypass slots to secure 1 each 11 mm TEC line
Material Inc 718
SE-1 Quality Plan
2-09-2012 MG - Assigned to Mark for design.
2-13-2012 MG - Design complete.
2-14-2012 MG - Forward to Sam for checking
------
2012-02-14 ST - SENT BACK TO M. GUY FOR CORRECTIONS
2012-02-14 MG - CORRECTIONS COMPLETE, FORWARD TO SAM FOR FINAL CHECK</t>
  </si>
  <si>
    <t>SPLT=168  Emailed submitter re: AIS date...well completing end of Oct,2012. 2/21/12 DM  Placing on hold per attached email from field.  2/22/12 DM</t>
  </si>
  <si>
    <t>757064</t>
  </si>
  <si>
    <t>Shell Europa</t>
  </si>
  <si>
    <t>757062</t>
  </si>
  <si>
    <t>4IN 13.2PPF S13CR110Ksi MY Class B VAM DRS Gauge Mandrel to suit ROC 175 20Ksi rated Fully Redundant Gauge Assembly. This mandrel should have bypass slots to accommodate 0.66IN Control Line. SE1 Quality Plan. EDS required. EFD required. CERT Documentation required.
2012-02-20, WM: Assign to Mark class B; standard lead time
2012-02-21, MG: Design complete, forward to James for checking
2012-02-23, J. SEALE checking completed small changes, sending back to M. GUY for correction.
2012-02-24, MG: Changes complete, forward to James for checking corrections.
2012-02-24, J. SEALE sending to R. BAKHTIARY for approval</t>
  </si>
  <si>
    <t>756490</t>
  </si>
  <si>
    <t>mark.bedry@halliburton.com</t>
  </si>
  <si>
    <t>757556</t>
  </si>
  <si>
    <t>Emailed submitter for requirements document again.  2/21/12 DM Emailed submitter with third request for requirements document.  2/28/12 DM</t>
  </si>
  <si>
    <t>Ray Taylor</t>
  </si>
  <si>
    <t>Ray.taylo2r@halliburton.com</t>
  </si>
  <si>
    <t>757068</t>
  </si>
  <si>
    <t>Shell Olympus</t>
  </si>
  <si>
    <t>756903</t>
  </si>
  <si>
    <t>Woodside Australia</t>
  </si>
  <si>
    <t>DH SAP PART NUMBER REQUIRED
In order to supply a proposal to Woodside for 14 off EFS stsyems a SAP number is required for the new tubing hnager connector.
The Tronic part number is DHCE-B36-BD-01P-1534-135.
The deatiled drawing will be supplied when released by Tronic.
The unit cost as per Tronic Quote is 21,727
021412 PRE-RELEASED PART REQUESTED AND RELEASED REF 102133441 DSH
2012-02-20, WM: Assign to Sam, class A; standard lead time</t>
  </si>
  <si>
    <t>756694</t>
  </si>
  <si>
    <t>757067</t>
  </si>
  <si>
    <t>758623</t>
  </si>
  <si>
    <t>757882</t>
  </si>
  <si>
    <t>Statoil Visund Sor V4</t>
  </si>
  <si>
    <t>Same as 105XO0554504-SB2 with the follwing modifications:
1. Change Box thread in top to 4 1/2inch 12,6 lbs/ft VT
2. Change Pin thread in bottom to 5 1/2inch 23 lbs/ft VT HC
3. Quality Plan SB2
Essentially we just need the reverse of reference x-over 105XO0554504-SB2</t>
  </si>
  <si>
    <t>16: SPLT=140 @@</t>
  </si>
  <si>
    <t>756732</t>
  </si>
  <si>
    <t>Statoil FT Hyme C4</t>
  </si>
  <si>
    <t>Same As: 022083-18-SB2; SHROUDED X-OVER ASSY,ECC - SB2
Except: 1. Requesting a NON SHROUDED xover.
2. Change threads to 7 inch 29 lbs ft box X 5,5 inch 20 lbs ft pin.
3. Change Material to 25 Chrome.
4. Quality Plan SB2.
Tech Start Date is in the past
Project Name: Hyme C4
Special Quality Plan Required?: Yes
Quality Plan Identifier: SB2
Material: (12) 25 CR  AF918 85 MY (ES-MA-66-49)
Mating Infomation:</t>
  </si>
  <si>
    <t>36: SPLT=140 Emailed submitter re: TR061 and Code 7.  2/14/12 DM Latest release of TR06 attached.  2/17/12 DM  Emailed submitter for confirmation of completion date as Hyme C2 does not complete until December 2012.  2/21/12 DM  Pushed AIS date to 2013 per attached email from submitter.  2/22/12 DM</t>
  </si>
  <si>
    <t>Statoil Stjerne M14</t>
  </si>
  <si>
    <t>30: SPLT=140  Emailed submitter re: AIS date...well completing end of Oct,2012. 2/21/12 DM</t>
  </si>
  <si>
    <t>758773</t>
  </si>
  <si>
    <t>7inch-5.5inch ShroudedCrossover
Change top connection to 7inch 29pound Vam Top HC
Change bottom connection to 5.5inch 23pound Vam Top HC</t>
  </si>
  <si>
    <t>20: SPLT=140 @@ Emailed submitter re: AIS date, project, RTA code and quality plan.  2/21/12 DM  Emailed field for info again.  2/27/12 DM</t>
  </si>
  <si>
    <t>Kare.Hognestad@halliburton.com</t>
  </si>
  <si>
    <t>SPLT=N/A  Emailed submitter for requirements doc.  2/13/12 DM  Emailed submitter for requirements doc.  2/21/12 DM  Recd spool info from submitter. 2/28/12 DM</t>
  </si>
  <si>
    <t>760641</t>
  </si>
  <si>
    <t>Perenco</t>
  </si>
  <si>
    <t>David Christie</t>
  </si>
  <si>
    <t>760643</t>
  </si>
  <si>
    <t>760861</t>
  </si>
  <si>
    <t>758769</t>
  </si>
  <si>
    <t>Statoil Grane</t>
  </si>
  <si>
    <t>5.5inch Crimp clamp assy
Change to 13Cr 80 KSI MY
Change to PxB 5.5inch 23pound Vam Top HC
see attached doc for more info
SB2 quality plan</t>
  </si>
  <si>
    <t>758770</t>
  </si>
  <si>
    <t>7inch Crimp Clamp assy
Change BxP Connection to 7inch 29pound Vam Top HC
SB2 quality plan</t>
  </si>
  <si>
    <t>759159</t>
  </si>
  <si>
    <t>Exxon Tapis</t>
  </si>
  <si>
    <t>Same As: 722HF1702610; PKR,HF1,7026,TBG SET,KO PLUG,25CR,5 FE
Except: 1. 23ppf.
2. Vam Top DDLAA BB
3. Aflas.
4. 80k yield sufficient
Tech Start Date is in the past
Project Name: Tapis
Special Quality Plan Required?: No
Material: (12) 25 CR  AF918 85 MY (ES-MA-66-49)
Mating Infomation:</t>
  </si>
  <si>
    <t>Flatpack
Set up SAP MN in specific length per meter FOR FLATPACK CONTROL LINES 3-LINE.</t>
  </si>
  <si>
    <t>759794</t>
  </si>
  <si>
    <t>Modify existing 4 pin WHO (9895-6004) to be used for fluid filled SmartPlex tri-wire spooler during installation.</t>
  </si>
  <si>
    <t>19: SPLT=168 Emailed submitter for requirements document.  2/13/12 DM  Emailed submitter again for requirements document.  2/21/12 DM. Requirements document attached with previous well schematic 2/22/12</t>
  </si>
  <si>
    <t>18: SPLT=168  Emailed submitter for requirements document.  2/13/12 DM  Attached requirements document.  2/29/12 DM</t>
  </si>
  <si>
    <t>UPDATE DRAWING W.302272-00-00 PER CWI STANDARDS. UPDATE ALL CORRESPONDING PARTS WITH W. PREFIX
TSG NOTES 022912 RCVD. FILE FOR PROCESSING. (KEN) END</t>
  </si>
  <si>
    <t>761141</t>
  </si>
  <si>
    <t>Create a SAP MN for a 0.25 in Control Line 0.049 WT with 11 x 11 mm encapsulation Santoprene, Tube A 825 pre-filled with Transaqua HT2.</t>
  </si>
  <si>
    <t>761027</t>
  </si>
  <si>
    <t>Statoil Visund S V4</t>
  </si>
  <si>
    <t>Same As: 215HVLV INTEGD,HVC,ACCUPULSE,5-1/2 -SB2
Except: 
1. Flow Trim to be 311537-31
2. By-pass for 4 x 1/4in lines</t>
  </si>
  <si>
    <t>761122</t>
  </si>
  <si>
    <t>Update the Design Data sheet for M/N: 101943136 to have the exisiting  VAM torque specifications changed to the current values. This refelect the 3-1/2 10.2 lb VAM TOP and VAM PIN
Anthony Rivera 2/29/2012.</t>
  </si>
  <si>
    <t>760983</t>
  </si>
  <si>
    <t>Need to make changes to splice clamp 235SF0965569-SB2 to fit four 1/4inch hyd line splices and one Roxar E-line splice. The E-line splice needs to be at the far left when looking at the splice assy standing in the table.</t>
  </si>
  <si>
    <t>Stian Larsen</t>
  </si>
  <si>
    <t>Stian.Larsen@halliburton.com</t>
  </si>
  <si>
    <t>REVISE WD2 ENGINEERING DRAWINGS/DOCUMENTS TO MOVE FROM ENGINEERING CONTROLLED STATE TO RELEASED STATE:
ENGR DWG 313569-00-01; ENG DWG 313571-00-01; ENGR DWG 313583-00-01
PER ATTACHED EMAIL FROM HOLLY MARBACK 06/11/11</t>
  </si>
  <si>
    <t>15: SPLT=168</t>
  </si>
  <si>
    <t>761143</t>
  </si>
  <si>
    <t>ECR - LVDT TEST FIXTURE &amp; KIT - Request that a revised process for calibrating every size of valve integration is established. Request also to develop a new test insert that follows the interal translation of the carbide carrier in the absence of a view window that has been removed from the design. This insert is to be attached to the Linear Variable Differention Transducer (LVDT) sensor so that measurements from outside the tool can be made. A new method/fixture should be designed to improve repeatability of the LVDT measurement. Paul Lively 2/29/2012</t>
  </si>
  <si>
    <t>761038</t>
  </si>
  <si>
    <t>Same As: 215HA0550023-SB2; VLV INTEGD,HVC,ACCUPULSE,5-1/2 -SB2
Except: 
1. Need to include multifunction fitting kit:
Bypass for 1 x 1/4in lines
3 x External slots for FMJ splices
1 el splice for PSA line
2. Flow trim customized for 311537-21
3. Incoporate Position Sensor</t>
  </si>
  <si>
    <t>31: SPLT=168</t>
  </si>
  <si>
    <t>760988</t>
  </si>
  <si>
    <t>Statoil, Grane</t>
  </si>
  <si>
    <t>761029</t>
  </si>
  <si>
    <t>ECR-9290-2793 MISSING DIMENSION FROM SEAL FACE TO SLOT FACE. HAVE MADE THIS .295  .005/-.000 AS ON REF DRG 9290-2603
------
2012-02-29 ST - SENT TO R. BAKHTIARY FOR APPROVAL</t>
  </si>
  <si>
    <t>REVISE WD3 ENGINEERING DRAWINGS/DOCUMENTS TO MOVE FROM ENGINEERING CONTROLLED STATE TO RELEASED STATE: 
ENGR DWG 305638-00-01; DOCUMENT 306042-00-00; DOCUMENT 306144-00-00; ENGR DWG 306148-00-00
PER ATTACHED EMAIL FROM HOLLY MARBACK 06/11/11</t>
  </si>
  <si>
    <t>SPLT=N/A Emailed submitter for completion date, Customer name, Project name.  2/29/12 DM</t>
  </si>
  <si>
    <t>Michael Nguyen</t>
  </si>
  <si>
    <t>761254</t>
  </si>
  <si>
    <t>lorenzzobreda.minassa@halliburton.com</t>
  </si>
  <si>
    <t>761223</t>
  </si>
  <si>
    <t>761238</t>
  </si>
  <si>
    <t>FMC Stjerne</t>
  </si>
  <si>
    <t>99: SPLT=168  Cancelling per submitter customer wants HS instead of HVC valves. Completed most of design so will go ahead and complete. 1/27/12 DM  Emailed submitter re: AIS date...well completing end of Oct,2012. 2/21/12 DM</t>
  </si>
  <si>
    <t>761291</t>
  </si>
  <si>
    <t>Same As: 296SF0472801; 4.750 ECC SEAL STACK ASSY WITH MULTI-LIN
Except: RTA same except change number of ports to 1 FMJ feedthrough for I Wire 11x11mm. Use same material as 296SF0472801.
Project Name: Bubut Danau
Special Quality Plan Required?: No
Material: (1) Low Alloy Steel 80 MY 22HRC (ES-MA-18-9)
Mating Infomation:</t>
  </si>
  <si>
    <t>Statoil Stjerne M-14</t>
  </si>
  <si>
    <t>Wildcards * and ? May be used
Type to filter by name:</t>
  </si>
  <si>
    <t>Table Controls</t>
  </si>
  <si>
    <t>Std. Prod. Lead Time</t>
  </si>
  <si>
    <t>Remaining Lead Time</t>
  </si>
  <si>
    <t>Available In Stock Date</t>
  </si>
  <si>
    <t>pm</t>
  </si>
  <si>
    <t>761517</t>
  </si>
  <si>
    <t>Nexen Buzzard</t>
  </si>
  <si>
    <t>761350</t>
  </si>
  <si>
    <t>Madandas</t>
  </si>
  <si>
    <t>761353</t>
  </si>
  <si>
    <t>ECR W.302548-00-00 REV Q MN 101827966 CAN THE BOM BE UPDATED TO REFLECT THE LATEST DRAWING CHANGES?</t>
  </si>
  <si>
    <t>761351</t>
  </si>
  <si>
    <t>SPLT=N/A Attached requirements document.  3/1/12 DM</t>
  </si>
  <si>
    <t>Petrobel Seth</t>
  </si>
  <si>
    <t>761387</t>
  </si>
  <si>
    <t>Requesting Material Number for the following FlatPack. Price and full description recieved from Tube Tech in Aberdeen. All relevant documents attached to RTA.
2 - 0.25 Hyd Lines.
No Bumper.</t>
  </si>
  <si>
    <t>761423</t>
  </si>
  <si>
    <t>Requesting Material Number for the following FlatPack. Price and full description recieved from Tube Tech in Aberdeen. All relevant documents attached to RTA.
4 - 0.25 Hyd Lines.
1 - Bumper.</t>
  </si>
  <si>
    <t>760985</t>
  </si>
  <si>
    <t>1) Material is to be made out of: Acrylic Plastic EX20  2) Set this up as a single source supplier: Hallmarks Laser Imaging (Vendor number: 1237055) TMB 3/1/12</t>
  </si>
  <si>
    <t>761425</t>
  </si>
  <si>
    <t>761337</t>
  </si>
  <si>
    <t>761349</t>
  </si>
  <si>
    <t>2: SPLT=N/A</t>
  </si>
  <si>
    <t>UPDATE DRAWING W.302169-00-00 PER CWI STANDARDS. UPDATE ALL CORRESPONDING PARTS WITH W. PREFIX
TSG NOTES 022412 RCVD. FILE FOR PROCESSING. 030112 WAS IS TO QUALITY FOR APPROVAL. (KEN) END</t>
  </si>
  <si>
    <t>23: SPLT=84 Assigned to Mark G, Change class to C, changed request design complete date to 2/21/2012- 1/3/2012 RB</t>
  </si>
  <si>
    <t>1: SPLT=126  2/27/2012 DM, Using design on Visund V4</t>
  </si>
  <si>
    <t>21: SPLT=126  Changed AIS date per Shell rig schedule and confirmation of G Breerwood. Confirmation email attched.  1/19/12 DM</t>
  </si>
  <si>
    <t>22: SPLT=84  2/20/2012 DM: verify quality plan. No quality applied per P Allardyce.  2/20/12 DM</t>
  </si>
  <si>
    <t>3/1/2012 Permanent Monitoring RTA Priority Report</t>
  </si>
  <si>
    <t>Tech Rev. Due Date</t>
  </si>
  <si>
    <t>761622</t>
  </si>
  <si>
    <t>ConocoPhillips Test Well</t>
  </si>
  <si>
    <t>Request a new part number for the following control line: 
3/4 inch x 0.065 inch Wall Thickness SS316L 
Line to be supplied to Conoco Phillips for test well purposes.
Mid-South control line spec sheet attached.</t>
  </si>
  <si>
    <t>761641</t>
  </si>
  <si>
    <t>Proposed well head outlet design for all future platform/land completions required for gauge TEC line. Product line engineering to review and qualify the design Supplier - Antech</t>
  </si>
  <si>
    <t>Darren.cortes@halliburton.com</t>
  </si>
  <si>
    <t>SPLT=126</t>
  </si>
  <si>
    <t>Same As: FP511411BK; 5 LINE HYD FLATPACK, SS316 CONTROL LINES
Except: Require a SAP number to be set up for the attached control line specs.
Tech Start Date is in the past
Project Name: QGC Deep Gas
Special Quality Plan Required?: No
Material: (13) Incoloy 925 110 MY 38 HRC (ES-MA-67-2)
Mating Infomation:
TSG NOTES 022812 RCVD. FILE FOR PROCESSING. SENDING BACK TO ENGINEER FOR CORRECTIONS. 030112 RCVD. FILE BACK FOR CORRECTION REVIEW. ALL CORRECTIONS COMPLETED. (KEN) END</t>
  </si>
  <si>
    <t>PDF Report Format Option</t>
  </si>
  <si>
    <t>3/2/2012 Permanent Monitoring RTA Priority Report</t>
  </si>
  <si>
    <t>4.2.3</t>
  </si>
  <si>
    <t>761710</t>
  </si>
  <si>
    <t>ECR-D00445752 UPDATE DRG TO SHOW WHAT PORTS ARE NOT TO BE QPQ OR PHOSPHATED ON THE 4140 RAW MATERIAL PARTS. MN 101919837</t>
  </si>
  <si>
    <t>761778</t>
  </si>
  <si>
    <t>The BOM for material number 101843495 needs to reflect the current call out for qty 12 set screws 588285 to be replaced with qty. 16</t>
  </si>
  <si>
    <t>761797</t>
  </si>
  <si>
    <t>5.5in 23lbs VAM-Top Cross Coupling Splice Clamp, 13Cr80 
2 x .5in FMJ splices
2 x .25in FMJ splices 
1 x ROC-S Male/Female Splice
Needs to have CT2 Quality Plan on all parts
Please confirm arrangement with Bill Hanks before completions.  want to make sure everthing is correct.  
Part will be similar to 101965617</t>
  </si>
  <si>
    <t>SPLT=140 Emailed submitter regarding standard lead time and requirements document.  3/2/12 DM</t>
  </si>
  <si>
    <t>761806</t>
  </si>
  <si>
    <t>Mfg Start Date</t>
  </si>
  <si>
    <t>Mfg Due Date</t>
  </si>
  <si>
    <t>Complete Date</t>
  </si>
  <si>
    <t>Same As: 9290-2590; MDRL,4-1/2-13.5 PPF,SNGL ROC-HS,VAMTOP H
Except: Need a mandrel to use with ROC175 gauge whose part number is 9381_6022 or 101849791 and its cable termination. Mandrel requirement as mentioned below
SOLID GAUGE MANDREL
SIZE : 4.500 INCH.
MAX OD : 5.761 INCH.
MIN ID : 3.837 INCH.
DRIFT ID: 3.795 INCH.
MATERIAL : S13CR, 95KPSI
THREADS : VAM TOP HC.
LENGTH : 59 INCH.
BURST PRESSURE : 9,300 PSI.
SENSOR PORTING : TUBING.
SHOULD FIT INSIDE 95/8, 58.4LB/FT CASING
Project Name: 
Special Quality Plan Required?: No
Material: (10) Super 13 CR 95 MY 22 HRC (ES-MA-134-3)
Technical Support Deliverables:
Preliminary Design Specifications
Reference Assembly Drawing
Reference BDMI
Reserve SAP Material Number
ZZ Drawing
Operating Envelope</t>
  </si>
  <si>
    <t>36: SPLT=112</t>
  </si>
  <si>
    <t>762380</t>
  </si>
  <si>
    <t>FMC Cardamom, Project SS-K40014</t>
  </si>
  <si>
    <t>ELEC Need FAR for RMA 884. 
WORK ORDER 103901568
MN 597447. 
SN 600270-006.
FMC QN 200235743 PO 47413690</t>
  </si>
  <si>
    <t>762255</t>
  </si>
  <si>
    <t>Murphy Sarawak Oil</t>
  </si>
  <si>
    <t>(1) It is need to set up the part number for the attached document for the control line protector</t>
  </si>
  <si>
    <t>SPLT=N/A Emailed submitter re: Protector or control line?, quality requirements, code 4.  3/7/12 DM</t>
  </si>
  <si>
    <t>Yin Ho Yap</t>
  </si>
  <si>
    <t>YinHo.Yap@Halliburton.com</t>
  </si>
  <si>
    <t>762986</t>
  </si>
  <si>
    <t>SAP MN For Welded Hydraulic Control Line (Tube:1/4 in. x 0.065, Alloy 825 material), Encapsulated: Santoprene with 80MILS,  0.410 in. OD round- ORANGE in color, stamp length in meters on Santoprene(beginning from the core ascending to end of control line)  Flushed and filled with filtered to NAS 6 HW-540-P. To be supplied on Torroidal metal spool, 48 inches maximum O.D., 36 inches wide,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R-0000762479 EXECPT to be filled with HW-540-P</t>
  </si>
  <si>
    <t>elward.gardner@halliburton.com</t>
  </si>
  <si>
    <t>762979</t>
  </si>
  <si>
    <t>Statoil Oseberg F8</t>
  </si>
  <si>
    <t>For Oseberg South(s¿¿¿¿¿¿¿¿r).
We have a PO on these Valves.
For the ref part nr the following changes to be made:
-Change out HVC valve with HS. flow trim 315955 ¿¿¿¿¿¿¿¿ 00
-add FMJ splice to multi purpose fitting kit
see attached document for more spec</t>
  </si>
  <si>
    <t>SPLT=168</t>
  </si>
  <si>
    <t>Control System - PLC Firmware Update - Statoil
Same As: 101678747; DSPL,BEKA,PNL MTD,IS,SER TEXT
Except: Adjust PLC firmware to handle an option of degrees C and Bar in the display.
Project Name: Grane
Special Quality Plan Required?: No
Material: 
Mating Infomation:
Work With item with RTA Number 00000682094
2012-02-24, TS: In the queue to be worked.
2012-03-05, TS: Implemented in the firmware and SWA. Software testing, should be completed by Monday March 12</t>
  </si>
  <si>
    <t>8: SPLT=N/A</t>
  </si>
  <si>
    <t>762462</t>
  </si>
  <si>
    <t>SAP MN For Seamless Hydraulic Control Line (Tube:1/4 in. x 0.065, Alloy 825 material), Encapsulated: Santoprene with 80MILS,  0.410 in. OD round- ORANGE in color, stamp length in meters on Santoprene(beginning from the core ascending to end of control line)  Flushed and filled with HW-443. To be supplied on Torroidal metal spool, 48 inches maximum O.D., 36 inches wide,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R-0000758948</t>
  </si>
  <si>
    <t>762985</t>
  </si>
  <si>
    <t>ECR-DRG D00506960 ON SHT 2 SECT G-G HAS RADIAL SLOTS AS 165 DEGREES.THIS 165 DEGREES LEAVES A SHARP EDGE BETWEEN THE SLOTS AND HAS TO BE DEBURRED AWAY.CAN THIS BE CHANGED TO 178 DEGREES TO RUN INTO EXISTING SLOTS AND DO AWAY WITH EXCESSIVE DEBURR.</t>
  </si>
  <si>
    <t>ELEC - eSSSV Development
2012-02-07 WM: Review of the design is under progress.  Surface unit design is being evaluated and necessary test equipment are being procured. 2012-02-07 AB
2012-02-14 WM: Review meeting is being held in Carrollton on the roadmap for eSSSV project.  The surface unit and downhole PCB assembly are being tested for handover of design to Joseph.  2012-02-14 AB
2012-02-21 WM: The meeting was completed and a road map to trial well followed by electronics redesign.  The project kick off will be held in March.
2012-02-28 WM: The surface equipment, downhole PCB testing and MCM design specification are being conceptualized.  The project kick off is on schedule to be in March.  2012-02-28 AB
2012-03-06 WM: The task list, project plan, initial memo and the RTA will be placed in WIP after Gate 1 and Gate 2 sign off.  2012-03-06 AB</t>
  </si>
  <si>
    <t>762122</t>
  </si>
  <si>
    <t>Same As: 226HA00735U5O00; VLV INTEGD,HS-B,ACCUPULSE,3-1/2,UNSHRDD,
Except: We require a Part number and Drawing  for an Inconel 718 version of this HSB valve.
HS Metallurgy INC 718  , 
Note: REF part is 4140/718
Fitting Kit Metallurgy INC 718/4140,
Note: REF part 4140
Accupulse Metallurgy INC 718, 
Note: REF part 9Cr
Fastener Metallurgy 300ss/ INC 718, Note: REF part 300ss
Project Name: 
Special Quality Plan Required?: No
Material: (14) Inconel 718 125 MY 40 HRC (ES-MA-46-2)
Technical Support Deliverables:
Preliminary Design Specifications
Reference Assembly Drawing
Reserve SAP Material Number</t>
  </si>
  <si>
    <t>Emailed submitter for requirements document. 3/5/12 DM</t>
  </si>
  <si>
    <t>Bashir Jardaneh</t>
  </si>
  <si>
    <t>762901</t>
  </si>
  <si>
    <t>Create a conversion kit to convert the typical snap-in/anchor mode disconnect into a shear-anchor mode version.
Need this currently for upcoming jobs for the Petrobras 3-1/2 Electric disconnect, and the Aramco 4-1/2 Hydraulic disconnect.</t>
  </si>
  <si>
    <t>762984</t>
  </si>
  <si>
    <t>SAP MN For Seamless Hydraulic Control Line (Tube:1/4 in. x 0.065, Alloy 825 material), Encapsulated: Santoprene with 80MILS,  0.410 in. OD round- ORANGE in color, stamp length in meters on Santoprene(beginning from the core ascending to end of control line)  Flushed and filled with filtered to NAS 6 HW-540-P. To be supplied on Torroidal metal spool, 48 inches maximum O.D., 36 inches wide,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R-0000762462 EXCEPT Fill with HW-540-P</t>
  </si>
  <si>
    <t>762502</t>
  </si>
  <si>
    <t>RELEASING OF 304HF0381300 (SAP 101936618) AND 304HF0456200 (SAP 101948807)</t>
  </si>
  <si>
    <t>Antoine.Berret@halliburton.com</t>
  </si>
  <si>
    <t>762505</t>
  </si>
  <si>
    <t>762637</t>
  </si>
  <si>
    <t>TEST RTA FOR DI REVIEW</t>
  </si>
  <si>
    <t>ECR-316436-00-01.On sheet 2 can the .63 scallop dimension be changed to .79 (20mm) with us moving the scallop ONLY pitch out by .08 to compensate.  
This will allow us to use a larger cutter to give us more reach down the body.
Okayed by Paul James with comment I do not have a problem with that.  probably helps tooling issues a lot.  
We will still have plenty of clearance for the bolt.  Effectively all that is happening is that the scallop is getting a bit wider. 18-03-2009
DESIGN FOLDER WITH T. BORDMAN_A. BERRET_02/22/2012------END
FOLDER IN ENG FOR CORRECTIONS &amp; CHECKING_A. BERRET_03/07/2012--END.
FOLDER RETURNED TO O. EWUMI FOR APPROVAL_A. BERRET_03/07/2012---END</t>
  </si>
  <si>
    <t>ECR-031092-12-01 SHEET 2 GRID REF E9. 3/8-24 UNC HOLES SHOULD BE 3/8-14 UNF.
FOLDER IN T. BORDMAN BOX_A. BERRET_02/15/2012_END
FOLDER RET. TO DRAFTING (J. ODLE) FOR UPDATING OF PART MODEL TO REFLECT ABOVE CHANGES_A. BERRET_03/07/2012---END</t>
  </si>
  <si>
    <t>762393</t>
  </si>
  <si>
    <t>M/N-102020105, Drawing D00507103 Rev. A
Please change the NOTE 2 shrink fit to .007/.008</t>
  </si>
  <si>
    <t>761885</t>
  </si>
  <si>
    <t>762266</t>
  </si>
  <si>
    <t>(1) set up the part number for the 700ft, 1/4in single encapsulated control line as per attachment</t>
  </si>
  <si>
    <t>Emailed submitter for requirements document.  3/6/12 DM</t>
  </si>
  <si>
    <t>12: @@</t>
  </si>
  <si>
    <t>763139</t>
  </si>
  <si>
    <t>Create Slimline HVC shifting tool for Hess Llano and BP Mad-Dog.  The current design of shifting tool PN 290HM0375000 is too large to fit in both completion designs.  A slimline tool is required to shift the upper 4.5 inch HVC (reference 101968158).  Current collapsed OD is 3.660 inch.  We require the maximum collapsed OD of the tool to no more than 3.500 inch.</t>
  </si>
  <si>
    <t>CREATE DOCUMENTATION RELATED TO PSA ASSEMBLY THAT DID NOT CARRY OVER CORRECTLY DURING INTEGRATION. UPDATE PSA AND VMA ASSEMBLIES WITH THE RIGHT REFERENCE DOCUMENTATION. 
TSG WILL REQUEST THE FOLLOWING PARTS BE BACKFILLED: 595965, 595967 02-29-2012. PARTS BACKFILLED; SENT TO CARROLLTON FOR BOM COMPARE (DSH) 03-07-2012 JCC</t>
  </si>
  <si>
    <t>763156</t>
  </si>
  <si>
    <t>Steven Gray</t>
  </si>
  <si>
    <t>Steven.Gray2@halliburton.com</t>
  </si>
  <si>
    <t>762386</t>
  </si>
  <si>
    <t>Husjy White Rose</t>
  </si>
  <si>
    <t>ELEC Need FAR for RMA 903. 
Will be on long term test at Clark Oilfield.
WORK ORDER 103900112
MN 101903686
SN ROC-D-10-028</t>
  </si>
  <si>
    <t>762488</t>
  </si>
  <si>
    <t>SAP MN For Welded Hydraulic Control Line (Tube:3/8 in. x 0.049, Alloy 825 material), Encapsulated: Santoprene: 0.535 in. OD round- GREEN in color, stamp length in meters on Santoprene(beginning from the core ascending to end of control line)  Flushed and filled with HW-443. To be supplied on Torroidal metal spool, 72 inches maximum O.D., 44 inches maximum width, and shipped on a skid.  Flushed and filled with HW-443.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R-0000758965</t>
  </si>
  <si>
    <t>762378</t>
  </si>
  <si>
    <t>chevron</t>
  </si>
  <si>
    <t>Need adapter similar to 102001596 except the connector needs to accomidate 1/2 FMJ 591220. Part to be CT-2 compliant.</t>
  </si>
  <si>
    <t>35: SPLT= 98 Emailed submitter re: lead time, project, where manufactured.  DM</t>
  </si>
  <si>
    <t>Seth.Cormier@Halliburton.com</t>
  </si>
  <si>
    <t>762966</t>
  </si>
  <si>
    <t>BC Petroleum</t>
  </si>
  <si>
    <t>2 Line Flatpack comprising one TEC and one Control Line, Encapsulation Santoprene Outer / Polypropylene Skim Coat 0.474 in x 0.787 in 12mm x 20mm TEC Spec is 1/4in x 0.035in WT, A825, 16AWG Double Extruded Conductor, FEP Primary Insulation, PP Secondary CL Spec  1/4 x 0.049 WT, A825, Laser Welded GCDT P/N 42566 Length TBA and Delivery 6 weeks FRO Price 5.56 / ft 18.25 / M</t>
  </si>
  <si>
    <t>keith.wee@Halliburton.com</t>
  </si>
  <si>
    <t>762491</t>
  </si>
  <si>
    <t>SAP MN For Welded Hydraulic Control Line (Tube:1/2 in. x 0.065, Alloy 825 material), Encapsulated: Santoprene: 0.660 in. OD round- BLUE in color, stamp length in meters on Santoprene(beginning from the core ascending to end of control line)  Flushed and filled with HW-443. To be supplied on Torroidal metal spool, 60 inches maximum O.D., 36 inches maximum width, and shipped on a skid.  Flushed and filled with HW-443.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R-0000758966</t>
  </si>
  <si>
    <t>34:  SPLT=N/A</t>
  </si>
  <si>
    <t>762971</t>
  </si>
  <si>
    <t>Exxon</t>
  </si>
  <si>
    <t>TapisC18 (Dual WAG Injector, DTS Well)
Casing Size 9-5/8 40ppf 
Element Aflas
No of Fit Thru Ports: 2 We only need 1 port for DTS line
Thread 3-1/2 Vam Top DDLAA B-P
Material 25Cr</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</si>
  <si>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ZEWO: 103150435
2012-01-03 WM: The fabrication information has been submited to XFAB.  The hybrids with Proto 01 ASIC will be populated for temperature testing.  The transducers for testing will be ordered.
2012-01-10 WM: The transmit baud rate bug is being fixed by Quartzdyne.  The fabrication information will be resubmitted to XFAB in two weeks.  The first batch of hybrids using Proto 01 ASIC is on schedule for January delivery.  2012-01-10 AB
2012-01-24 WM: The design review for metallization layer for second round of ASIC was completed.  The ROC-X automated testing is in conceptual stage. 2012-01-24 AB
2012-01-31 WM: XFAB is manufacturing second batch of ASIC.  The bug fixes were analyzed and accepted.  The ASIC is expected to be delivered on Feb 14.  A QD Simulator will be procured for testing from Avanti. 2012-01-31 AB
2012-02-07 WM: Prototype hybrids are being built and expected to be delivered in February.  Test kit will be assembled for prototype testing. 2012-02-07 AB
2012-02-14 WM: The hybrids are expected to be delivered on Feb 24th.  The simulators from Avanti are being evaluated.  Avanti simulators will be used for ROC-X hybrid testing.  The QD ASIC will be used to build the transducer simulator later.  2012-02-14 AB
2012-02-21 WM: The simulator PCB schematic has been completed.  ASIC are on order for the simulator.  The Hybrids are due this week and testing will be started next Monday.  2012-02-21 AB
2012-02-28 WM: ROC-X hybrid test at ambient was completed successfully.  The TX Main fix on second batch of ASICs was verified by Quartzdyne.  Test kits builds will be started and an open lid Hybrid will be probed for characterization.  2012-02-28 AB
2012-03-06 WM: The initial evaluation is underway.  A report is being generated and a review meeting will be held for design decisions.  A summary memo will be issued for PLM.  2012-03-06 AB</t>
  </si>
  <si>
    <t>762611</t>
  </si>
  <si>
    <t>UPDATE PART 594611 REF 313802-00 TO CURRENT STANDARDS AND ADD MISSING MATERIAL SPECIFICATIONS TO BOM</t>
  </si>
  <si>
    <t>762975</t>
  </si>
  <si>
    <t>7-5/8 26.4ppf fit thru packers for TAA-1 and TAA-6
3 ICV zones and TAA-2. 
25 Cr
Single Hydraulic Retrievable Packer c/w 6 penetrations - 7-5/8 in 26.4 - 29ppf Casing, 3 1/2in 9.2 premium BXP, 5,000 psi, 300 deg F, full 25Cr, std service, HF1 type.</t>
  </si>
  <si>
    <t>762479</t>
  </si>
  <si>
    <t>SAP MN For Welded Hydraulic Control Line (Tube:1/4 in. x 0.065, Alloy 825 material), Encapsulated: Santoprene with 80MILS,  0.410 in. OD round- ORANGE in color, stamp length in meters on Santoprene(beginning from the core ascending to end of control line)  Flushed and filled with HW-443. To be supplied on Torroidal metal spool, 48 inches maximum O.D., 36 inches wide,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R-0000758948</t>
  </si>
  <si>
    <t>762268</t>
  </si>
  <si>
    <t>Welldynamics</t>
  </si>
  <si>
    <t>ECR - RED TAG PROCESS - CREATE A DOCUMENT FOR A RED TAG PROCESS THAT DETAILS HOW AND WHERE TO STORE OBSOLETE ITEMS TO BE DISPOSED.</t>
  </si>
  <si>
    <t>SPLT=140 Emailed submitter to clarify need for new seal assembly with one feedthru.  3/7/12 DM</t>
  </si>
  <si>
    <t>30: SPLT=126 Emailed submitter re: AIS date and quality identifier.  2/28/12 DM</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</si>
  <si>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
2011-12-19 WM: Core functionality has been established with FPGA.  Communication has been established with modified IWIS card for SCRAMS. 2011-12-19 AB
2012-01-10 WM: The hardware development is scheduled to re-commence this week.  The FPGA code development is ongoing.  The revised project plan has been attached to the RTA.  2012-01-10 AB
2012-01-24 WM: Hardware information will be handed over to Thomas Cassidy. 2012-01-24 AB
2012-01-31 WM: The analog switch functionality is being checked.  The way forward project plan will be generated with Schematic and CL to follow. 2012-01-31 AB
2012-02-07 WM: CMAC have been provided CL and CD.  The receive and clock isolation circuit will be finalized.  2012-02-07 AB
2012-02-14 WM: Design meeting with AMC was held for capacitor quotes.  Mechanical engineering design for inductor-capacitor arranement has been conceptualized.  2012-02-14 AB
2012-02-21 WM: The schematic has been reviewed and has been placed in FTP site for CMAC.  The design from CMAC will be ongoing process followed by finalization of architecture.  2012-02-21 WM
2012-02-28 WM: CMAC have completed a preliminary part fit layout.  The schematic is being inherited into CMAC CAD database.  The test board for the power supply is being designed to verify functionality.  Sensor Design will be engaged during testing phase.  2012-02-28 AB
2012-03-06 WM: A test PCB is on order.  The components are being procured and will be assembled at Spring facility.  The inductor-capacitor arrangement is being designed by two sources.  A design review will be held after finalization.  CMAC are implementing the BOM in their design.  2012-03-06 AB</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</si>
  <si>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
2011-12-19 WM: The schematic and component list has been scheduled for completion by first week of Jan 2012.  2011-12-19 AB
2012-01-24 WM: The schematic is being finalized and expected to be complete in two weeks.  2012-01-24 AB
2012-02-14 WM: An issue with DxDesigner part lister was addressed.  The CL is being generated.  2012-02-14 AB
2012-02-21 WM: Schematic to PCB transfer is in progress.  The design is in the finalization stage.  2012-02-21 AB
2012-02-28 WM: Design review was completed.  The meeting minutes were emailed.  All follow up actions are expected to be completed by March 15.  The PCB layout will be outsourced.  2012-02-28 AB
2012-03-06 WM: The project is on hold until evaluation and decisions on ROC-X hybrids.  2012-03-06 AB</t>
  </si>
  <si>
    <t>763077</t>
  </si>
  <si>
    <t>New WHO Tool Kit
This RTA is a request to generate a Tool Kit SAP number for the Antech Wellhead outlet that will be released by the RTA R00000750776. This Tool Kit will include:
_1un of the C-Clamp: p/n:AN-03410;
_1un of the MH860 crimp tool frame,16-28awg: p/n:CM-02481;
_1un of the Wire Stripper, High precision, 16-26awg:p/n:CM-02483;
_1un of the Tool Box: p/n:CM-02498;
MATERIAL DESCRIPTION: Antech Wellhead Outlet Mini Tool Kit. 
PROJECT NAME: STATOIL PEREGRINO - BR11193
Note: Client provided a letter of intention to Halliburton.</t>
  </si>
  <si>
    <t>762492</t>
  </si>
  <si>
    <t>SAP MN For Welded Hydraulic Control Line (Tube:1/2 in. x 0.049, 316L Stainless Steel material), Encapsulated: Santoprene: 0.660 in. OD round- RED in color, stamp length in meters on Santoprene(beginning from the core ascending to end of control line)  Flushed and filled with HW-443. To be supplied on Torroidal metal spool, 60 inches maximum O.D., 36 inches maximum width, and shipped on a skid.  Flushed and filled with HW-443.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R-0000758969</t>
  </si>
  <si>
    <t>762970</t>
  </si>
  <si>
    <t>SAP MN For Welded Hydraulic Control Line (Tube:1/2 in. x 0.049, 316L Stainless Steel material), Encapsulated: Santoprene: 0.660 in. OD round- RED in color, stamp length in meters on Santoprene(beginning from the core ascending to end of control line)  Flushed and Filtered to NAS-6, pressure tested, blown dry, and capped. To be supplied on Torroidal metal spool, 60 inches maximum O.D., 36 inches maximum width,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RTA-758969 EXCEPT Blown &amp; Shipped Dry without any fluid.</t>
  </si>
  <si>
    <t>762614</t>
  </si>
  <si>
    <t>ECR-DRG 027631-00-01 REQUIRES ANGLE OF 70 DEGREES TO BE 87 DEGREES SHEAR ANGLE FOR INCONEL MATERIAL</t>
  </si>
  <si>
    <t>762988</t>
  </si>
  <si>
    <t>SAP MN For Welded Hydraulic Control Line (Tube: 3/8 in. x 0.049, Alloy 825 material), Encapsulated: Santoprene: 0.535 in. OD round- GREEN in color, stamp length in meters on Santoprene(beginning from the core ascending to end of control line)  Flushed and filled with filtered to NAS-6 HW-540-P. To be supplied on Torroidal metal spool, 72 inches maximum O.D., 44 inches maximum width,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R-0000762488 EXCEPT to be filled with HW-540-P</t>
  </si>
  <si>
    <t>762990</t>
  </si>
  <si>
    <t>SAP MN For Welded Hydraulic Control Line (Tube: 1/2 in. x 0.065, Alloy 825 material), Encapsulated: Santoprene: 0.660 in. OD round- BLUE in color, stamp length in meters on Santoprene(beginning from the core ascending to end of control line)  Flushed and filled with filtered to NAS-6 HW-540. To be supplied on Torroidal metal spool, 60 inches maximum O.D., 36 inches maximum width,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R-0000762491 EXCEPT fill with HW-540</t>
  </si>
  <si>
    <t>762715</t>
  </si>
  <si>
    <t>Change the dimensions on the Lower Guide ring (m/n 588924) dwg. number 031063-00-0 to remove .400 inch of material from the two outer most slots on the inside wall (only). reference attached drawing. Anthony Rivera 3/6/2012
IN ENG. DESIGN_A. BERRET_03/06/2012---END
IN DRAFTING_FOLDER RETURNED TO J. ODLE_A. BERRET_03/06/2012
--END</t>
  </si>
  <si>
    <t>762980</t>
  </si>
  <si>
    <t>For Oseberg South(s??r).
We have a PO on these Valves.
For the ref part nr the following changes to be made:
-Change out HVC valve with HS. flow trim 315955 ?? 00
-add FMJ splice to multi purpose fitting kit
see attached document for more spec</t>
  </si>
  <si>
    <t>ECR- SAP M/N 102000874 - 313738-00-01 REV M
See attached file, changes were made according to RTA 696291 but additional coating spec was added to SAP number and drawing.  
Please remove find number 0808 from BOM and remove notes 4 from drawing 316165-00-01
IN ENGINEER DESIGN_A.BERRET_01/17/2012_END
FOLDER RET. TO JAMES ODLE FOR MINOR CHANGES TO DRAWING_A.BERRET_03/06/2012</t>
  </si>
  <si>
    <t>762000</t>
  </si>
  <si>
    <t>We have two procedures for making up terminations to gauges or splitter blocks.  ES-A-459 and ES-A-530.  We need to use ES-A-530 as it is more recent and better written than the other.  We need to remove ES-A-459 or at least make a note on it saying it has been replaced by ES-A-530 and not to use it.</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</si>
  <si>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2012-02-21 WM: Final drawings for acoustic version is being loaded.  The test setup for long term testing has been completed.  The firmware version for long term testing will be completed this week.  2012-02-21 AB
2012-02-28 WM: A quote on tool build has been received from Quartzdyne.  Drawings have been loaded in CWI.  Test fixture for hydrophone testing is under review.  The test fixture is ready for oven testing.  The firmware is being finalized and PCBs will be programmed after finalization.  Oven testing will begin by end of this week.  Surface equipment BOM is being built.  2012-02-28 AB
2012-03-06 WM: A quote has been received Quartzdyne for Qty 12 tools.  Test of pulser was completed at Carrollton.  The surface unit BOM will be built.  2012-03-06 AB</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</si>
  <si>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10/17/11 WM  Material number will be released after completion of AEM power supply design.  TDR will be added later.
10/24/11 WM Layout is in progress and will be completed by end of this week.  IWIS card will be developed without TDR implementation initially. 10/24 AB
10/31/11 WM Layout will be ready for team design review before prototyping phase.  10/31 AB
11/07/11 WM - The board layout has been completed.  The schematic and CL will be finalized.  Prototypes will be turn-keyed at Rev C.  TDR implementation is still in works with legal.  11/07/11 AB
11/14/11 WM - The IWIS card FAB has been interrupted by other development priorities.  The FAB files will be generated by 11/25/11.  11/14/11 AB
2011-11-28, WM:  Kenny is completing the component list; estimated completion of next week.
2011-12-12 WM: The interface cards will be placed on order and turnkeyed for delivery in January 2012.
ZEWO: 103284527
2011-12-19 WM:  The PCB assemblies are on order and expected in Jan 2012.  Testing will be scheduled as soon as delivery date is finalized.  2011-12-19 AB
2012-01-03 WM: The PCB assemblies have been received.  The testing will start on 2012-01-09.  The design for higher power version is ready for implementation.  LiveWire agreement has been completed.  A meeting is scheduled for the TDR implementation.
2012-01-10 WM: The cards are scheduled for debugging in this week with John Tolman.  LiveWire is working on delivering prototype assembly for testing with the IWIS card.  2012-01-10 AB
2012-01-24 WM: The functionality has been tested.  The digital functionality is being finalized.  The final layout will be completed and will be used for qualification.  2012-01-24 AB
2012-01-31 WM: The optimization of the power supply is being further investigated by Sensor Design.  The schematic has been updated and the IWIS card is in a state similarto previous generation.  The firmware updates will be addressed after finalizing the specifications with PLM. 2012-01-31 AB
2012-02-07 WM: The optimization of power supply will be worked on this week.  The optimized design will be held in design folder.  2012-02-07 AB
2012-02-14 WM: The power supply optimization and TDR implementation is continuing.  2012-02-14 AB
2012-02-21 WM: Sensor Design is testing the optimization.  The firmware testing to verify all functionality similar to previous IWIS cards has been completed.  2012-02-21 AB
2012-02-28 WM: Sensor Design are currently working on AEM power supply.  IWIS optimization will be picked up after AEM power supply design has been completed.  2012-02-28 AB
2012-03-06 WM: LiveWire is shipping hardware for evaluation.  The evaluation will be completed after critical tasks of AEM are performed.  2012-03-06 AB</t>
  </si>
  <si>
    <t>Safety System - Quote Only - Aramco Safaniya
ESD system for Safaniya Offshore as per Mike Bergeron
e mail dated July 11.  4 well, 2 well and 1 well versions
of the 6 well panel quoted last week.
2011-07-18, Weekly Meeting:  Jay to further review and will discuss further next week.
10/17/11 WM  Customer still evaluating materials.
2011-11-07, WM:  This RTA is on hold until RTA 693965 is completed and approved by the customer.  RTA to be placed on design hold.
2012-01-09, WM: Meeting with Region tomorrow morning 1-10-2012 to decide how to proceed. Parts may already exist and RTA may need to be cancelled.
2012-01-30, WM: Robert T. responded to questions today. Still awaiting answers from previous questions. Remain on DH.
2012-02-03, TS: Requested original design. to be reviewed today. Same as 753074
2012-02-08, TS: To be sent out for quote on 02-17
2012-02-20, TS: Design review on Wednesday
2012-02-24, TS: Design review on Tuesday the 28th.
2012-02-27, TS: Due to workload push back design review to Tuesday March 6.
2012-03-05, TS: Design reveiw tomorrow.</t>
  </si>
  <si>
    <t>10: SPLT=N/A  Waiting for approval on RTA 693965.  7/25/11 DM Ted/Robert to review letter on 693965 by 8/17. Confirm AIs date with Jay.  8/15/11 DM Still waiting for approval of ltr from Dan Gibson with SaudiAramco. 9/12/11  Ditto. Contact J Bissell to inquire regarding response. 9/19/11 DM  9/25/11 WM Quoted in Feb...not awarded yet. Jay contacting Peter to visit customer and get resolution.  DM J Bissell contacting R Thornburg for response to SaudiAramco questions.  10/24/11 DM  Ted to review letter and approve.  11/14/11  DM  Letter returned with changes waiting for customer response.  11/28/11 DM  Ted to follow up on customer response with Jay Bissell.  12/9/11 DM  Ted to schedule meeting to clarify requirements.  1/16/12 DM  Jay sending 2nd request to region.  1/23/12 DM Jay to follow up onAIS date.2/20/12 DM  AIS date updated to 3/31 per Jay Bissell.  3/7/12 MWS</t>
  </si>
  <si>
    <t>29: SPLT= N/A @@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</si>
  <si>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31: SPLT=N/A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  Sent back to M Guy for minor changes.  12/5/11 DM  Removed customer requirement due to Shells cancellation.  12/8/11 DM</t>
  </si>
  <si>
    <t>Mod ROC Mdrl: Chg to annulus
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
2012-01-09, WM: RTA to be placed in DH. Waiting on response from submitter to continue. Email attached to RTA.
2012-02-20, WM: Dana to place into desgin hold and follow up on most recent attached email</t>
  </si>
  <si>
    <t>ELEC ROC-P Gauge Development: The ROC-X project under development pushes the boundary of temperature rating to a potential of reaching 225C operation and its design specification has been set to include position sensing in addition to pressure and temperature sensing.  However, with project completion date for ROC-X being in second half of 2012, the position sensing requirements for field is open to be satisfied.  This memo summarizes the three options available to complete the ROC-P (position sensing) gauge using all or some form of ROC-M design with minor modifications influenced by knowledge from ROC-200 and ROC-L gauge family.  The mandrel RTA 718494 and 724865 will be completed after ROC-P design completion.
11/07/11 WM - A conceptual review was completed.  Gate 1 and Gate 2 forms have been signed.  Waiting RTA to be put to WIP.  Schematic capture is under review.  11/07/11 AB
11/14/11 WM - Design review of schematic and PCB layout was completed.  Critical components assessment has been completed. 11/14/11 AB
2012-02-28 WM - Qty 2 PCB assembled and conformal coated for evaluation.  A document highlighting all testing requirements have been started.  Visual inspection, voltage rails tests, programming and communication establishment has been performed.  A review meeting will be scheduled this week for sign off on Gate 3 and Gate 4.  2012-02-28 AB
2011-11-21 WM Availability issues have been finalized.  The Programming Instructions has been reviewed.  ES and TP are in the works.  The reliability portfolio is being reviewed and will be available by end of November.
Network:  HTWM601951 M001
ZEWO:     103784461
2011-11-28, WM:  Kenny is completing subassembly CWI buildout.  Sai completing test procedure.  Kenny to setup a design review for Thursday.
2011-12-05 WM: PCB level documentation has been completed.  The gauge level documentation is being built.  A design review was completed and ROC-P mechanical design finalized.  The gauge part number will be released by 2011-12-12.  The RTA will remain open until PCB evaluation is completed.
2011-12-12 WM: PCB assembly has been released.  Gauge sub assembly is planned to be released this 2011-12-14.  Hunting Innova is processing quote for tested PCB assemblies.
2011-12-19 WM: ROC-P Gauge Sub Assembly has been built out in CWI.  Quotation on ROC-P is expected from Hunting Innova.  2011-12-19 AB
2012-01-03 WM: Hunting Innova is quoting on the PCB assembly.  Rev B of PCB assembly has been uploaded for review.  The development will be picked up after the PCB assemblies are released.
2012-01-10 WM: Hunting Innova will provide two PCB assemblies untested for engineering use.  PLM has been informed that Qty 5 PCB will be available for gauge sub assembly.  Hunting Innova will inform Procurement about delivery dates on the gauges.  2012-01-10 AB
2012-01-24 WM: The PCB Assemblies for testing is expected to come in during first week of March.  2012-01-24 AB
2012-01-31 WM: The delivery date will be confirmed this week for Qty 2 PCB assemblies Untested and conformal coated. 2012-01-31 AB
2012-02-07 WM: Hunting Innova have not confirmed a delivery date.  This is expected to be by first week of March.  Characterization and long term testing will be started once the boards are delivered.  2012-02-07 AB
2012-02-14 WM: Hunting Innova have started the assembly.  The delivery is expected to be on schedule.  Qty 5 PDGIC PCB assembly is ready for qualification testing.  2012-02-14 AB
2012-02-21 WM: Hunting innova confirmed delivery by end of February.  Testing will commence as soon as the Qty 2 PCBA are received.  2012-02-21 AB
2012-03-06 WM: All evaluations have been completed.  Final documentation release will be completed this week.  Long Term Test setup will be decided and procured.  2012-03-06 AB</t>
  </si>
  <si>
    <t>Control System - 2 Well SHS (460/3/60)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
2011-12-15, WM; Quote a two well SHS with ATEX certification at the system level. Warren at Lorimer was checking into whether the manufacturer needed to be an ATEX certified plant. If so, this may require sending out for quote elsewhere.
2012-01-03, WM: Lorimer to review becoming an ATEX certified shop by Monday 01/09/2012. Discuss situation with Bharath.
2012-01-09, WM: We are to supply drawings to FM (certifying body) for review. Design review of designs before sending to FM. Lorimer to look into requirements for becoming a Certified ATEX manufacturer. Send to Djeudins in Netherlands.
2012-01-30, WM: Have tried on numersous occasions to reach FM to discuss requirements for ATEX certifications. They hve not answered or called back. Will continue to try.
2012-02-03, TS: Talked to FM this morning. Dan to send drawings for their review. Meeting scheduled with them next Friday 02-10 at 9 AM
2012-02-08, TS: Drawings to be sent to FM today. Meeting Friday.
2012-02-14, TS: Creating spreadsheet for components. FM is coming to vist on 5th. Meeitng to be set up with QAN person at FM
2012-02-20 TS: Dan about halfway done with table. FM sent quote for certification. To be started after evaluation with FM week of March 5.
2012-02-24, TS: Kelley creating NDA for FM. Ted to call and confirm their visit on March 5.
2012-03-05, TS: NDA sent. FM says could be delayed so that NDA can be run through their legal department. Visit tentatively March 12th.
2012-03-07, TS: Still awaitng response from FM on NDA.</t>
  </si>
  <si>
    <t>7: SPLT=196 @@ Dan working on design and will contact SIRA for ATEX certification once design is complete.  11/28/11 DM  Waiting for Lorimer quote with ATEX certification.  12/9/11 DM  Ted sending info to alternate ATEX approved supplier.  1/16/12 DM  Mtg w/FM 1/24.  1/23/12 DM  FM coming to Spring to assess sample of our systems week of 3/5.  FM to set up design control meetings with T Soules and D Hickman. Dan preparing table of ATEX cert requirements. 2/13/12 DM</t>
  </si>
  <si>
    <t>32:  SPLT=N/A Dana to assign to Mark, Class B.  11/21/11 DM  New gauge design in progress.  Mandrel design completed, drafting in progress. 12/5/11 DM  2011-11-30 MG - Start design &amp; drafting. Venturi assembly &amp; mandrel details the same as 705274 but with feedthru at downhole end of mandrel  2011-12-8 MG - Design complete. Forward to Sam for checking.  Removed customer requirement due to Shells cancellation.  12/8/11 DM</t>
  </si>
  <si>
    <t>Safety System - Quote Only - 9 Well - NSC Chornomornaftogaz Review attached Control Panel designs.  create new halliburton designed panels with same or equal inputs and outputs.  Bid Due date has not been advised at this time.
2012-01-03 Still awaiting response from field. Rta needs to be put on DH
2012-02-08, TS: take off design hold. RObert T. and Hakeem to review drawings and complete design. ready to be sent out for quote by March 2.
2012-02-15, TS: Started working again. will schedule a design review tomorrow.
2012-02-20, TS: will have design review this week.
2012-02-24, TS; will have design review as time allows.
2012-02-27, TS: Design review tomorrow 02-28
2012-03-05, TS: have finel review before quoting on Wednesday then send out for quote. Quotes due in on 14th.
2012-03-07, TS: review today then send out to quote.</t>
  </si>
  <si>
    <t>2: SPLT=N/A Waiting for requirements document from field.  Dana to follow up.  11/28/11 DM  Jay requested requirements info from field. Field acknowledged receipt and info should come in by 12/12. Told field that quote will be ready 2 wks from recpt of info.  12/5/11 DM  Still no response from field.  Placing on design hold.  12/9/11 DM Design review this week. .  2/13/12 DM. Jay to follow up with AIS date. 2/20/2012 DM</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</si>
  <si>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11/07/11 WM - A conceptual review of scope needs to be determined along with resource allocation.  A meeting will be held to decide on course ahead along with resource allocation.  11/07/11 AB
11/14/11 Conceptual work is in progress with some basic evaluation testing scheduled for completion before end of the month.  The decision of changes will be made after testing is completed.  11/14/11 AB
2011-11-28, WM:  Terje has procured proto PCBs.  Aswin needs to provide Gate from info to Dana to place into WIP.
2011-12-19 WM: A kick off meeting was held.  A conceptual design memo was circulated.  Gate 1 and Gate 2 have been signed by TAM.  Awaiting signature from PLM for RTA to be placed in WIP.  2011-12-19 AB
Network:  HTWM602023 M001
ZEWO:     103837706
2012-01-10 WM: The wiring diagram is in progress.  Drafting resource will become available next Monday.  The part BOM will be built.  2012-01-10 AB
2012-01-12 Aswin Balasubramanian: A revised project plan with updated timelines and material cost has been added.
2012-01-24 WM: SolidWorks documentation was reviewed, expected completion end of this week.  CWI BOM will be reviewed this week. 2012-01-24 AB
2012-01-31 WM: The review was completed on the Assembly Drawing and on AC-DC Detector Circuit.  The part structure was checked.  The project will near prototyping after completion of PDGIC upgrade RTA.2012-01-31 AB
2012-02-07 WM: PDGIC customization RTA and ECR on cable simulator has placed this project on hold.  This will be restarted by end of this week.  2012-02-07 AB
2012-02-21 WM: All parts for prototyping are on order or purchase requests have been created.  All documentation has been updated and loaded in CWI.  The AD red lines will be provided to Josh after prototyping.  2012-02-21 AB
2012-02-28 WM: All purchase requests have been released along with overlay and purchase parts.  Hai has been setup to test the AC DC Detector and DC power PCB assembly.  Rack Mount XPIO and Dual Power XPIO will be worked on simultaneously.  2012-02-28 AB
2012-03-06 WM: The previously ordered parts are expected to be received.  The prototype unit will be built after procurement missing components is complete.  The overlay was reviewed and changes have been sent to PM Mech.  2012-03-06 AB</t>
  </si>
  <si>
    <t>New ROC Mdrl 2 b used on Stjerne M-14
Same As: 9290-6834-SB2; GGE MDRL ASSY,5 1/2-26.00  - SB2
Except: Same as 102116945 with the following modifications:
1. Change threads to 5,5 inch 23 lb/ft VAM TOP HC pin and box.
2. Change material to 13cr.
3. Include SB2 Quality Plan.
Tech Start Date is in the past
Project Name: Stjerne M-13
Special Quality Plan Required?: Yes
Quality Plan Identifier: SB2
Material: (9) 13 CR 105 MY 35 HRC (ES-MA-585)
Mating Infomation:
1/17/2012: MG - Job complete forwarded to james for checking
-----
1/25/2012 J. SEALE - CHECKING COMPLETED, CHANGES TO DRAWING IS NEEDED SENDING BACK TO M. GUY FOR CORRECTION
1/26/2012 MG - BACKDRAFT COMPLETE, FORWARD TO JAMES FOR RE-CHECK
------
2012-02-02 JS - SENT TO R. BAKHTIARY FOR APPROVAL.
TSG NOTES: TO TSG FOR PROCESSING; DWGS TO QUALITY FOR MARKUP 03-01-2012. DWGS BACK FROM QUALITY 03-02-2012; TO QUALITY FOR REVIEW/APPROVAL 03-05-2012 JCC END</t>
  </si>
  <si>
    <t>5: @@ SPLT=126 Changed AIS date per Shell rig schedule and confirmation of G Breerwood.  Confirmation email attached. 1/19/12 DM</t>
  </si>
  <si>
    <t>Same As: 722HF1763904-SB2; PKR ASSY,7639 TY HF1,WITH KNOCK -SB2
Except: 
1. Flow wetted parts to be made of Inconel 718
2. Rest of parts made of 25Cr, to be made of 13Cr
TSG NOTES 030212 RECD FOR PROCESSING; PROVIDED QUALITY WITH DRAWINGS TO MARKUP; EFD NEEDS FINAL APPROVAL SIGNATURE-RETD TO E. BUTLER; SUBTASK 761625 - ENGR DWGS RETD TO E. BULTER DWG 310283-00-01 NEEDS CHANGE DESCRIPTION REVISED TO CAPTURE ALL CHANGES TO DWG; ALSO SOME CHANGES TO DWG REQUIRED; 310473-00-01 CHANGE DESCRIPTION DOES NOT CAPTURE ALL CHANGES TO DWG; RETD TO ENG FOR UPDATE - ENG DWG 310262-05-01 LINE ITEM 14 UOM EA IS: MST, LINE ITEM 30 REF NO NEEDS W. ADDED TO 301617-MB; 030512 RTA FOLDER RETD TO PAUL JAMES, QUALITY REQUESTED CHANGES TO DRAWING(S) FOR CRITICAL COMPONENT DESIGNATION; REASSIGNED RTA TO SCOTT HOADLEY (GMC) END</t>
  </si>
  <si>
    <t>Control System - 6 Well SHS
Same As: C05SHS36310100; SHS 6 WELL,460/3/60,AUTO,ATEX,6K,BSP
Except: Request for creating MN for a 6well SHS for CPWJ40. Please refer to attached document for specifications. Note that this item needs to be same as MN 101893613 but with qty 6x 5Line WCMs101875079
Tech Start Date is in the past
Project Name: CPWJ40
Special Quality Plan Required?: No
Material: 
Mating Infomation:
2012-01-26, DC: BOM/ Part Structure should be complete in CWI.  Just need to update the SHS-level drawings.
2012-01-30, WM: Complete drawing for six well cabinet with six WCMs -Josh
2012-02-01, TS: Design Review on Wed Feb 8.
2012-02-08, TS: Design Review today.
2012-02-15, TS: To Ted to approve
2012-02-20, TS: Changed from cabinet with 6 modules to cabinet with 2 modules. Drawings and BOMs being changed.
2012-02-24, TS: should be ready to be sent for approval Monday. Check on fiber-ethernet issue.
2012-03--5, TS: Dan to have desgin review by Wednesday then release SHS. A new RTA to be opened for commissioning kit.
2012-03-07, TS: Design review today. Still need to create RTA for commissioning kit.</t>
  </si>
  <si>
    <t>4: SPLT=126 Design should be released by end of week.  2/13/12 DM</t>
  </si>
  <si>
    <t>Safety System - Quote Only - Achimgaz
Same As: 71SSS1; SFTY SYS STD RTA DESIGN REQ
Except: Redesign Six Achimgaz systems as per Olga s instructions and obtain quotes.
No due date advised.
Project Name: 
Special Quality Plan Required?: No
Material: 
Technical Support Deliverables:
Preliminary Design Specifications
Reference Assembly Drawing
2012-02-03; TS, Assigned to Josh. Initial design reveiw with changes next Friday 02-10
2012-02-08: TS, Awaiting on vendors for information Preliminary design review scheduled for Firday 02-10.
2012-02-15: TS, Sent out for quote. asked for quotes to be returned Monday. Finishing list of changes to be sent to Olga by Friday.
2012-02-20: TS, Quotes due in Wed
2012-02-24, TS, Still awaiting quotes. Should have today.
2012--02-27, TS, Add quotes to project file and release.
2012-03-05: TS, Recieved questions about new design. Josh to reply and put e-mail in project data file. then close RTA.
2012-03-07; TS, to be released today</t>
  </si>
  <si>
    <t>1: SPLT=N/A Waiting for vendor quotes.  Initial design review held.  2/13/12 DM</t>
  </si>
  <si>
    <t>Safety System - Quote Only - FMC/Petrolog
Same As: 71SSS1; SFTY SYS STD RTA DESIGN REQ
Except: Please redesign 71ZZ3107, 71ZZ3108, 71ZZ3109, 71ZZ3110 as per Chandrans
attached email dtd feb. 1 see attached
Bid due date Feb 16.
Project Name: 
Special Quality Plan Required?: No
Material: 
Technical Support Deliverables:
Preliminary Design Specifications
Reference Assembly Drawing
2012-02-03: TS, assign to Hakeem. Due date 2-16
2012-02-08: TS, Send out for quote on Friday 02-10. Request one week extension.
2012-02-15: TS, Received extension till the 23rd. To be sent out for quote Friday Feb 17.
2012-02-20: TS, design review first thing in morning. Will ask for extension after assessment.
2012-02-24: TS, quotes due in on 28th. T. soules to responde to Chandrans e-mail.
2012-02-27: TS, responded to E-mail. awaiting a response.
2012-03-05: TS, quotes due in today. Should send cost by tomorrow or Wednesday.
2012-03-07: TS, still awaiting quotes.</t>
  </si>
  <si>
    <t>3: SPLT=N/A Recd extension to 2/23.  Design in process.  2/13/12 DM  AIS date changed to 3/9 per Jay Bissell.  3/7/12 MWS</t>
  </si>
  <si>
    <t>6: SPLT=N/A To T Soules to approve.  2/13/12 DM</t>
  </si>
  <si>
    <t>Safety System - Quote Only - KOC
Same As: 71SSS1; SFTY SYS STD RTA DESIGN REQ
Except: Update drawing package for 71PP3
Project Name: 
Special Quality Plan Required?: No
Material: 
Technical Support Deliverables:
Preliminary Design Specifications
Reference Assembly Drawing
02-08-2012, TS: Redesign should be ready to be sent out for quote on Friday 02-10.
02-15-2012, TS: wrote e-mail to Khaled El-Amir for clarifications yesterday. Awaitng response.
02-20-2012, TS: no response. resent e-mail today.
02-27-2012, TS: sent out quote to customer. Need to close out RTA.
2012-03-05, TS: used existing equipment to provide budgetary quote. Josh to put information in project data file and release.
2012-03-07, TS: Josh to release today.</t>
  </si>
  <si>
    <t>9: SPLT=N/A  Out for quote.  2/13/12 DM  AIS date of 3/5 entered per Jay Bissell.  3/7/12 MWS</t>
  </si>
  <si>
    <t>12: SPLT=126</t>
  </si>
  <si>
    <t>13: @@ SPLT=84</t>
  </si>
  <si>
    <t>3: SPLT=N/A  To be machined locally.  2/17/12 DM</t>
  </si>
  <si>
    <t>HOLD pending Requirements Documents
1/4 OD x 0.049 WT Alloy 825 welded?? &amp; cold drawn annealed tubing
Encapsulated as 11mm 11mm in red TT260 thermoplastic, 800 ft
TUBE TEC	T-17562</t>
  </si>
  <si>
    <t>15: @@ SPLT=84</t>
  </si>
  <si>
    <t>4IN 13.2PPF S13CR110Ksi Class B VAM DRS Gauge Mandrel to suit ROC 175 25Ksi Fully Redundant Gauge. Bypass slots to accommodate bare 3/8IN Control Line. SE1 Quality Plan, EFD required. EFS required. CERT documentation required.
2012-02-20, WM: Assign to James, class B; std. lead time.
2012-03-05, J. SEALE: Design, Drafting, CWI completed ready for checking - sending to S. TEHVEN</t>
  </si>
  <si>
    <t>Control System - 2 Well - PCSB
Same As: C05SHS36311100W; SHS 6 WELL 440/3/60,AUTO,SYN OIL,6K ATEX
Except: 1. only for a 2 well system.
2. Each well will have 2 HS ICVs with Direct Hydraulics with Accupulse.
3. Needs SmartWell Master supervisory application.
4. Needs to be incorporated into clients DCS via satellite.
5. Needs to be able to be remotely operated via satellite.
6. Parallel connectivity to DCS via satellite and via TCP/IP also thru satellite.
7. Power supply of 24VDC or 240 VAC is available
Tech Start Date is in the past
Project Name: Angsi
Special Quality Plan Required?: Yes
Quality Plan Identifier: Standard
Material: 
Mating Infomation:
2012-2-20, TS: Dan to send e-mail to Keith Wee to clarify requirements.
2012-02-24, TS: still working Keith to get specifications clarified.
2012-03-05, TS: no ATEX required. should receive clarifications this week. Delayed responses may affect delivery date.
2012-03-07, TS: Still awaitng response.</t>
  </si>
  <si>
    <t>5: SPLT=126</t>
  </si>
  <si>
    <t>4: SPLT=N/A Mandrel to be machined locally,  2/22 MS.</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</si>
  <si>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2012-01-10 AB.
2012-01-24 WM:A version of QT Rack Mount unit is available.  This unit can be used as base for completing the design.  The depth of the enclosure should be increased 1 inch.  The unit will be designed as AC unit.  The AIS date will be updated.  2012-01-24 AB
2012-01-31 WM: This RTA will be kicked off this week after a scope and review of existing information. 2012-01-31 AB
2012-02-07 WM: The Cable Simulator ECR will be completed, following which this RTA will be simultaneously worked on along with Dual Power XPIO.  2012-02-07 AB
2012-02-21 WM: The cable simulator ECR has been completed.  The Dual Power XPIO is being prototyped and will transition to rack mount XPIO.  The AD will be completed after CWI and completion of all documentation.  2012-02-21 AB
2012-02-28 WM: The CWI structure has been started.  The bridge card has been entered in CWI.  The Wiring Diagram will be completed next.  2012-02-28 AB
2012-03-06 WM: A second option for enclosure is being designed.  A stack up drawing is being generated.  A decision will be made on the design outline.  2012-03-06 AB</t>
  </si>
  <si>
    <t>28: SPLT=98 Changed to code 2 see attached email from submitter.  12/8/11 DM</t>
  </si>
  <si>
    <t>1.2SPLT=N/A  Emailed submitter re: second RTA and requirements docs for each.  2/17/12 DM  Emailed submitter re: requirements document.  2/21/12 DM Attached requirements document 2/28/12 DM</t>
  </si>
  <si>
    <t>2.3: SPLT= 140 Emailed submitter re: AIS date, project, RTA code and quality plan.  2/21/12 DM Emailed field for info again.  2/27/12 DM 2/28/12 Recd required info from field.  2/28/12 DM</t>
  </si>
  <si>
    <t>2.2: SPLT=140 Emailed submitter re: AIS date, project, RTA code and quality plan.  2/21/12 DM  Emailed field for info again.  2/27/12 DM</t>
  </si>
  <si>
    <t>9: @@ SPLT=112</t>
  </si>
  <si>
    <t>8:  @@ SPLT=112</t>
  </si>
  <si>
    <t>35: SPLT=126 Emailed submitter re:standard lead and thread clarification.  2/27/12 DM  Emailed submitter suggesting Nitrile in lieu of AFLAS for element and O-rings. 2/29/12 DM  Sent 2nd email for element and o-ring material.  3/2/12 DM</t>
  </si>
  <si>
    <t>HOLD - Spool Info
Please issue SAP number for the GCDT TEC with Safety Strip. Description below and Specs attached. 
GCDT Part Number 16944 Rev A 
Description: TEC Line with Safety ?? Strip
1/4inch x 0.049inch A825 16AWG Double Extruded Core with FEP insulation &amp; PP secondary extrusion 
Printed on the Line: Husky White Rose Project and length remaining (meters) printed on the line.
Quote Price, 3.90 per ft USD, (12.79 per m USD) - see attached quote</t>
  </si>
  <si>
    <t>2.5: SPLT=98</t>
  </si>
  <si>
    <t>Same As: 71SSS1; SFTY SYS STD RTA DESIGN REQ
Except: Please see Aramco specification for Safaniya platforms SFNY 116/131 andSFNY 118/132, specification no. EWO 11T008A/EDR16489.  Please review this specification, design control panel and obtain costs for quote from our vendors.  For due date Aramco just advises Urgent.
Project Name: 
Special Quality Plan Required?: No
Material: 
Technical Support Deliverables:
Preliminary Design Specifications
Reference Assembly Drawing
2012-03-05, TS: Recieved drawings today. A redesign is required.
2012-03-07, TS: Preliminary review today.</t>
  </si>
  <si>
    <t>11:  SPLT=N/A  AIS date entered as 3/31 per Jay Bissell. 3/7/12 MWS</t>
  </si>
  <si>
    <t>7in 29ppf inc 925 mandrel for a Single redundant gauge with Vam top box x Box DDL-AA. The gauge to be used is MN 101953598 The mandrel does not require by pass. Can all the gauge clamp plates be manufactured in 4140.
2012-03-05, WM: FC emailed VAM to inquire if the BOX DDL-AA is compatible with Vam Top Box.  Once clarified assign to Sam class B.</t>
  </si>
  <si>
    <t>14.1: @@ SPLT=112  Emailed submitter regarding AIS date, location of mfg, order status, and outdated version of requirements document. FC researching the DDL-AA threads.Submitter replied with 7/1 AIS date and informed they are planning to mfg in Livingston. 3/2/12 DM</t>
  </si>
  <si>
    <t>Change the material to 25CR-7NI-4MO 80KSI; Change quality plan to PQ-3. Lower the mandrel legth to allow just one thread re-cut on the top side. Lower the mandrel legth to allow just one thread re-cut on the Bottom side. Keep one by-pass slot and remove the second by-pass slot.
PROJECT NAME: BSM 9&amp;11_BR11158
QUALITY PLAN REQUIRED?: YES
QUALITY PLAN IDENTIFIER: PQ3 PETROBRAS BRAZIL (TYPE A)
2012-03-05, WM: Assign To James Class B</t>
  </si>
  <si>
    <t>25: @@ SPlt=126</t>
  </si>
  <si>
    <t>Need to know if we can add bypass slots into Mandrel 101895909. Mandrel does not currently have bypass slots.   
Slots will be 1.3in x 0.7in as shown on included drawing.
2012-03-05, WM:  Assign to Sam Class B</t>
  </si>
  <si>
    <t>16: SPLT=N/A</t>
  </si>
  <si>
    <t>Change the material to 25CR-7NI-4MO 80KSI; Change quality plan to PQ-3. Lower the mandrel legth to allow just one thread re-cut on the top side. Lower the mandrel legth to allow just one thread re-cut on the Bottom side.
PROJECT NAME: BSM 9&amp;11_BR11158
QUALITY PLAN REQUIRED?: YES
QUALITY PLAN IDENTIFIER: PQ3 PETROBRAS BRAZIL (TYPE A)
2012-03-05, WM: Assign to James Class B</t>
  </si>
  <si>
    <t>24: @@  SPLT=126</t>
  </si>
  <si>
    <t>Shell GOM</t>
  </si>
  <si>
    <t>10:  splt=N/A</t>
  </si>
  <si>
    <t>For Statoil Grane project. SB2 QA
see attached document for spesification
2012-03-05, WM: Assign to Sam Class B</t>
  </si>
  <si>
    <t>18: SPLT=126</t>
  </si>
  <si>
    <t>9/1/For Statoil Grane Project
35inch 92pound Roc P2 gauge assy
Replace annulus port with Snorkel port.
Se attached Document for more info
2012-03-05, WM: Assign to Sam Class B</t>
  </si>
  <si>
    <t>17: SPLT=126</t>
  </si>
  <si>
    <t>11: @@ SPLT=112  Emailed submitter re: standard lead time.  2/20/12 DM  Recd response from customer and adjusted AIS date. Email attached.  2/21/12 DM</t>
  </si>
  <si>
    <t>Nexen</t>
  </si>
  <si>
    <t>Splice Sub with fiber splice
Nexen (GEAD)would like Halliburton to provide the splice sub for a 4 x 1/4 hydraulic flatpack (36x12mm) and have a slot machined for the Weatherford splice of Fibre Optic pigtail. This would be used on every 7in packer assembly top and bottom and each well is expected to be 3 zones.
I have enclosed a requirement document and can discuss to make sure this meets requirements. There is a discussion happening between HCT/Nexen on the metallurgy and if we go with a 925 design this can be altered to a 13Cr design once the decision has been made on metallurgy.
I need a design and quote so we can confirm completion design with the client and review with TP</t>
  </si>
  <si>
    <t>2.4: SPLT=140</t>
  </si>
  <si>
    <t>CoPi Bawal</t>
  </si>
  <si>
    <t>0.1: SPLT=140 @@</t>
  </si>
  <si>
    <t>Statoil Grane G-17</t>
  </si>
  <si>
    <t>SPLT=140 Emailed submitter regarding project name, completion date, and standard lead time.  3/1/12 DM Recd required info from submitter.  3/6/12 DM</t>
  </si>
  <si>
    <t>SPLT=126 Emailed field for requirement documents.  2/13/12 DM  Emailed submitter again for requirements document.  2/21/12 DM Added requirements document and tubing tally.  3/1/12 DM</t>
  </si>
  <si>
    <t>SPLT=112 Emailed submitter re: completion date and clarification of Code 4 shift sleeve metallurgy.  2/21/12 DM  Feasibility only required at this time.  50+ wells possible in the future.  3/6/12 DM</t>
  </si>
  <si>
    <t>SPLT=140 @@</t>
  </si>
  <si>
    <t>3: @@ SPLT=168</t>
  </si>
  <si>
    <t>SPLT=140</t>
  </si>
  <si>
    <t>763227</t>
  </si>
  <si>
    <t>Please create a FAR for three chk valves - RMA838, 839, and 840. MTL 102008551</t>
  </si>
  <si>
    <t>763229</t>
  </si>
  <si>
    <t>Honeywell</t>
  </si>
  <si>
    <t>Need FAR for RMA 877 - Direct Customer Honeywell.    FAR must state who is responsible for cost of repair, Halliburton (what department) or Direct Customer (Honeywell) to be quoted and billed.</t>
  </si>
  <si>
    <t>TASK TO RELEASE NEW PARTS (HF1 PACKERS). ADD DRAWINGS TO RESPECTIVE PARTS. BOM NOT REQUIRED AT THIS TIME. UPON  PARTS RELEASE, THEY ARE TO BE PLACED ON TECHNOLOGY HOLD AS PER P. JAMES
IN ENG. DESIGN_A.BERRET_02/28/2012----------------------END
FOLDER RET. TO O. EWUMI FOR APPROVAL. PART NBRS 101936618 (304HF0381300) AND 101948807 (304HF0456200) ARE TO BE PROCESSED ON RTA 762502, TASK 761153 AS PER P. JAMES_A. BERRET_03/07/2012---END</t>
  </si>
  <si>
    <t>4IN 13.2PPF S13CR110Ksi Class B VAM DRS Chemical Injection Mandrel using 3/8IN Check Valve. No bypass slots. SE1 Quality Plan. EFD required. EDS required. CERT documentation required. Update: 02/16/2012 - According to Shell Completion Engineer, we will need to make the running OD of the CIM 5.68IN if possible. Also, the ID of the mandrel design circle does not match nominal 4IN 13.2PPF tubing dimensions according to the Shell CE. Lastly, Shell wants the ability to straddle the CIM port as contingency. We will use a landing nipple above the mandrel and a sub with a polished bore below the mandrel. Carrollton will design this portion.  Mandrel design only. Carrollton will handle straddle design. 
--------
2012/02/28 J. SEALE, Design, Drafting and CWI done sending to S. TEHVEN for checking
2012-02-20, WM: Assign to James class B, standard lead time.</t>
  </si>
  <si>
    <t>763344</t>
  </si>
  <si>
    <t>322364</t>
  </si>
  <si>
    <t>Same As: 235CRS702800-CO1; CLP,CRP,SZ 7028,13CR,SHROUDED-CO1
Except: changes would be 
2 7/8 HSICV Anchor Clamps to increase grove with to allow 6 line bypass inside Anchor Clamp also included COPI identifer AZF  
desgin drawing would be attached on seperated email 
Project Name: Bawal 
Special Quality Plan Required?: No
Material: 
Mating Infomation:</t>
  </si>
  <si>
    <t>ECR-316892-00-01. ON SHEET 2 AT SECTION E-E,DETAIL F ,CHANGE THRU HOLES TO .4 MIN. SCREW ONLY GOES IN AROUND .3. TAPS ARE NOT LONG ENOUGH TO GO THRU
IN ENGINEERING DESIGN FOR CHECKING_A. BERRET_03/08/12--END
FOLDER WITH O. EWUMI FOR APPROVAL_A. BERRET_03/08/12---END</t>
  </si>
  <si>
    <t>763486</t>
  </si>
  <si>
    <t>Create Preliminary design for a 5.5 in 26 ppf VAM Top Cross coupling splice clamp.  Need to know if the splice clamp will work in system. In order to do this we need to know ODs and lengths. Please dont go to extensive detail on the design.  When you get preliminary design contact Bill Hanks.  We may have to modify some details and dont want to spend too much time on something that might change.</t>
  </si>
  <si>
    <t>763408</t>
  </si>
  <si>
    <t>Control System - 6 Well SHS (460/3/60) 
for Bulan Bulan Platform.
Request for creating a new 6-well SHS (460/3/60) unit with 6 x 3-Line Auto WCM for Bulan Bulan platform. Please refer to attached document for specifications.
Fluid - Brayco Micronic LV3
WCMs to be used for: Well names - ?.
Need to certify the entire SHS to zone 1 ATEX specification, certification to be produced at the time of delivery. Please advise standard cost and lead time as soon as possible.</t>
  </si>
  <si>
    <t>steve.paterson@halliburton.com</t>
  </si>
  <si>
    <t>763527</t>
  </si>
  <si>
    <t>Design of a packer test fixture setup to improve safety and improve efficiency of packer and element testing.</t>
  </si>
  <si>
    <t>Forwarded I&amp;P to Carrollton for network number so ZEWO can be created.  3/9/12 DM</t>
  </si>
  <si>
    <t>763261</t>
  </si>
  <si>
    <t>1) Create a part number for the surface cable called out from the Anixter catalog (or equivalent) ?? Their number A10FK-01015T-B-02
a. 1 x triple (for the three conductors of SmartPlex)
b. Each conductor of 7 strands (for reference, tri-wire is 19 strand)
c. Each conductor is about an AWG16 with 1.5mm2 area (for reference, tri-wire has three AWG18)
d. -02 defines a black outer sheath (available in grey or blue, if you want)
e. Uses a Hawke -20S gland (same as comes with the WHO as called out in the BOM, so no need to change)
f. Wire color codes are black, white, red. I don??t see any others available. Tri-wire is red, green and blue.
g. This does not cover using SmartPlex with the 4th conductor of tubing. No need in this case.
2)	Create a part number for the following Amphenol plug components
a.	Bushing ¿¿ 97-79-513-10
b.	Clamp ¿¿ 97-3057-1010
c.	Plug ¿¿ MS3106A18-10P</t>
  </si>
  <si>
    <t>763634</t>
  </si>
  <si>
    <t>ECR:  REVISE DWG D00562551 BY ADDING 591430 (QTY 3) AND 590839 (QTY 5) AS PER MARKUP ATTACHED BELOW - ALSO INCLUDE NOTE.  ALSO REVISE BOM FOR ALL APPLICABLE SAP NUMBERS AS PER ATTACHED LIST BELOW.
THIS WOULD BE A CODE 05 ECN</t>
  </si>
  <si>
    <t>Damon.Trahan@Halliburton.com</t>
  </si>
  <si>
    <t>33: SPLT=112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  Emailed Colton again for response.  2/250/12 DM  Emailed Colton for AIS date.  3/8/12 DM</t>
  </si>
  <si>
    <t>Safety System - Pump Part Specification - Conocp Phillips
Same As: 71SSS1; SFTY SYS STD RTA DESIGN REQ
Except: Set up Haskel pump model no. 4B55, Otis legacy P/N 93ST1532 with SAP P/N.
Project Name: 
Special Quality Plan Required?: No
Material: 
Mating Infomation:
2012-02--08, TS: Send to be checked tomorrow. To be sent to TSG by Friday 02-10
2012-2-24, TS: sent e-mail to Chandran to clarify pump requirement. Awaiting response.
2012-03-05, TS: still awaiting response from Chandran.
TSG NOTES 030612 RCVD. FILE FOR PROCESSING. ERRORS FOUND, SENDING BACK TO THE ENGINEER FOR CORRECTIONS. 030712 RECIEVED FILE BACK FOR CORRECTION REVIEW. HOLDING FOR CLARIFICATION PER HAKEEM. (KEN) 
030712 IN ENGINEERING FOR FURTHER ENGINEERING PROCESSING-VERIFICATIONS REQUIRED FOR THE WELL. TO BE RETURNED TO TSG EST FRIDAY. PER HAKEEM O. DSH
END
2012-03-07, TS: still corresponding with Chandran on solution.</t>
  </si>
  <si>
    <t>Gauge mandrel 2 b mfd. in Canada
This is being created for Mark Bedry.  Please address all questions to him.
He only requires the design, the carriers will be built in Alberta at a Halliburton Approved Machine Shop.
SO No. 9275368
The WD parts we require:
	WellDynamics					
	Material Number	Legacy Number	Description	QTY	  	
	101863926	9381-6034	GAUGE SUB-ASSEMBLY, ROC-175, 0.75IN OD,  0-16K PSIA, 25-177C	1	  	
	101865405	9381-6026	GAUGE SUB-ASSEMBLY, ROC-175, FEEDTHRU,  1.125 INCH OD, 0-16K PSIA, 25-177C	  2	  	
	598392	9388-6038	ROC-S CABLE TERMINATION ASSEMBLY  (MP35N)	5	  	
Each gauge is in its own carrier.  The gauges will be about 500m apart. All are in the horizontal portion of the well.
There will be a 0.25 in. bare DTS line run to the toe of the well. The carriers must have a bypass channel for this cable.
Material is standard P110
Tubing will be 114.3mm 20.09kg/m P110
Tubing connection will be LT and C
OH size is 216mm
NOTE from Martin Staelens: If it would help to get this design done this week, please concentrate on one mandrel - the feed-thru mandrel if the single sensor can be fitted to this mandrel too.
------
2012-02-20 ST - SENT TO J. SEALE FOR CHECKING
------
2012-02-29 ST - SENT TO R. BAKHTIARY FOR APPROVAL
2012-02-20, WM: Dana to follow up with requirements document and Rameen to clarify RTA scope with Martin Staelens. Dana put into WIP
030712 NO SPECIAL QUALITY PROCESSING REQUIRED PER D. MOE DSH</t>
  </si>
  <si>
    <t>SPLT=126  Placing on hold per submitters request until  Shell makes a decision on threads.  3/8/12 DM</t>
  </si>
  <si>
    <t>Qualify Antech as supplier - WHO
This RTA is a request to qualify Antech as a Halliburton Supplier and generate a SAP number for the Wellhead outlet material quoted in the Antech document QT-6110B.
MATERIAL DESCRIPTION: Antech Wellhead Outlet (Part No/Rev: AN-08874), Type X, 1in AEMP FMC connection, Single 0.25in Incoloy 825 Line, 90 Deg 15k psi WP, Max ambient temp (Ta) 90degC, T5 rating. 
PROJECT NAME: STATOIL PEREGRINO - BR11193
Note: Client provided a letter of intention to Halliburton.
3/1/2012 -MG - JOB RE-ROUTED TO M.GUY FROM P. HAINES.
3/2/2012 MG - P/N COMPLETE, FORWARDED TO P. HAINES FOR CHECKING
030712 NO SPECIAL QUALITY PROCESSING REQUIRED PER D. MOE DSH</t>
  </si>
  <si>
    <t>New WHO Redress Kit
This RTA is a request to generate a Redress Kit SAP number 
for the Antech Wellhead outlet that will be released by the RTA R00000750776. This Redress Kit (Part No/Rev AN-08486 A) is the ITEM 2 of the Antech document QT-6110B.
MATERIAL DESCRIPTION: Antech Wellhead Outlet Part No/Rev: AN-08874 Redress Kit. 
PROJECT NAME: STATOIL PEREGRINO - BR11193
Note: Client provided a letter of intention to Halliburton.
3/1/2012 MG - RE-ROUTED TO M. GUY FROM P.HAINES.
3/2/2012 MG - CWI COMPLETE, FORWARDED TO P. HAINES FOR CHECKING.
030712 NO SPECIAL QUALITY PROCESSING REQUIRED PER D. MOE DSH</t>
  </si>
  <si>
    <t>SPLT=126  2/27/2012 DM, Contact Wolfy to veryify and update RTA requirements regarding nipple profile in mandrel.  Placing on hold per submitters request until  Shell makes a decision on threads.  3/8/12 DM</t>
  </si>
  <si>
    <t>4.5-12.6 VamTop,Sngl Roc-150 10K
ROC-150 SERIES, 9381-XXXX with Dual MTM seal
Project:	Perenco Dissoni
Project Number:	TBC
Required by Date:	
Size (in.): 	4 1/2 in
Weight (lb./ft.):	12.6Ib/ft 
Material:	4140, L-80
Yield (psi):	80ksi
Thread type (If pin/box to be left unthreaded then state intended thread(s).  Design review will check suitability of pin/box for swaging/thread-cutting):	Vam Top
Thread cut or uncut:	Cut
Casing size/weight:	7 in 29ppf
Casing drift (if non-standard):	Standard
By-Pass slots cable dimensions:	None
End Configuration Type (e.g., Box x Pin)	Box (coupling) x Pin
Gauge/Chemical Inj. Configuration (e.g., single, dual, feed-through, other)	Single
Gauge Porting:	Tubing
Gauge/Chemical Injection Type:	ROC-150
Gauge/Chemical Injection Part Number:	101863921    9381-6031
Other Pertinent information:	Ref P No 101952065     9290-6765
Please see attached Input Sheets
2012-02-28, MWS:  AIS date updated to 5/21 per Colin McKay.
------------------
2/28/2012 RB - RTA inputs reviewed &amp; verified. Required AIS Date verified; The Gauge assembly required is 101954620 (9381-6144).
Prioritized per C.McKay. Assign to Sam, Class B
------
2012-03-01 ST - SENT TO J. SEALE FOR CHECKING
030712 NO SPECIAL QUALITY PROCESSING REQUIRED PER D. MOE DSH</t>
  </si>
  <si>
    <t>763310</t>
  </si>
  <si>
    <t>Flatpack
Set up SAP MN in specific length per meter FOR FLATPACK CONTROL LINES 3-LINE WITH STRIPPING AID AS PER EMAIL CORRESPONDENT ATTACHED BELOW (OEWUMI 07MAR12)</t>
  </si>
  <si>
    <t>Same As: 235SF0286403; 2-7/8 SPLICE SUB, QTY 3 SPLICE, QTY 1 B-
Except: RTA need to be 2 7/8 Splice Sub  6 hyd + 1 TEC splices 8 Splice Sub Requirements 
Project Name: South belut 
Special Quality Plan Required?: Yes
Quality Plan Identifier: CO1
Material: 
Mating Infomation:</t>
  </si>
  <si>
    <t>Same As: 296SF0472800; 4.750 ECC SEAL ASSY WITH MULT LINE FEEDT
Except: need to be 4.750 FEEDTHROUGH SEAL ASSY 7 LineTo fit  seal inside 4.750 ID Seal Bore
Tech Start Date is in the past
Project Name: South belut 
Special Quality Plan Required?: Yes
Quality Plan Identifier: CO1
Material: 
Mating Infomation:</t>
  </si>
  <si>
    <t>SPLT=140 @@ Placing on design hold per submitter request. Email attached.   DM</t>
  </si>
  <si>
    <t>Same As: 296SF0472800; 4.750 ECC SEAL ASSY WITH MULT LINE FEEDT
Except: need to be 4.750 FEEDTHROUGH SEAL ASSY 5 LineTo fit  seal inside 4.750 ID Seal Bore
Tech Start Date is in the past
Project Name: South belut 
Special Quality Plan Required?: Yes
Quality Plan Identifier: CO1
Material: 
Mating Infomation:</t>
  </si>
  <si>
    <t>reportMain</t>
  </si>
  <si>
    <t>ECR - Change the MAX. HYDRAULIC PRESSURE from 10,000PSI to 7,500 PSI on the Design Data Sheet 216H000745U1O00
FOLDER IN ENG. DESIGN_A. BERRET_02/24/2012--------------END
FOLDER IN ENG. DESIGN FOR CHECKING AND ADD-ON_A. BERRET_03/08/2012-- END
FOLDER RET. TO O. EWUMI FOR APPROVAL_A. BERRET_03/08/2012</t>
  </si>
  <si>
    <t>Need PN 596084: 
FMJ Crossover 1/2 x 3/8
Modified To: 
Replace 3/8 FMJ Female Port with 1/4 FMJ. 
Replace 1/2 tube with 3/8 tube.
Bore thru needs to be able to accomidate feed thru of 1/4 control line.
DIM B only needs to be 16 long.
TSG NOTES 030812 RECD FOR PROCESSING; RTA TYPE/CODE MISSING; VERIFY WITH D. MOE FOR CORRECT INFORMATION (GMC) END;</t>
  </si>
  <si>
    <t>763674</t>
  </si>
  <si>
    <t>Addition of PN 592427 Item 21 from 2 ea to 4 ea on Top Level PN 592301 due to the work instructions. ORing is breaking after test and per the work instructions there should be 2 ea new to put on after test and before final assy.</t>
  </si>
  <si>
    <t>Bobby Gerard Reagan</t>
  </si>
  <si>
    <t>Bobby.Reagan@Halliburton.com</t>
  </si>
  <si>
    <t>4IN 13.2PPF S13CR110Ksi Class B VAM DRS Chemical Injection Mandrel. 1/2IN Chemical Injection. No bypass slots. SE1 Quality Plan. EDS Required. EFD Required. CERT Documentation Required.
2012-02-20, WM: Assign to James, class B; std. lead time.
2012-03-08, J. SEALE: DESIGN DRAFTING AND CWI ARE COMPLETED SENDING TO S. TEHVEN FOR CHECKING.</t>
  </si>
  <si>
    <t>Non-Feed Thru Variant
WellDynamics Material Legacy Number 101863926
Description GAUGE SUB-ASSEMBLY, ROC-175, 0.75IN OD,  0-16K PSIA, 25-177C	
101865405	9381-6026	GAUGE SUB-ASSEMBLY, ROC-175, FEEDTHRU,  1.125 INCH OD, 0-16K PSIA, 25-177C	  	  	
598392	9388-6038	ROC-S CABLE TERMINATION ASSEMBLY  (MP35N)		  	
Each gauge is in its own carrier.  The gauges will be about 500m apart. All are in the horizontal portion of the well.
There will be a 0.25 in. bare DTS line run to the toe of the well. The carriers must have a bypass channel for this cable.
Material is standard P110
Tubing will be 114.3mm 20.09kg/m P110
Tubing connection will be LT and C
------
2012-02-29 ST - SENT TO J. SEALE FOR CHECKING
2012-03-08 J. SEALE, SENT BACK TO S. TEHVEN OR CORRECTIONS
030712 NO SPECIAL QUALITY PROCESSING REQUIRED PER D. MOE DSH
OH size is 216mm
------
2012-03-08 ST - SENT TO R. BAKHTIARY FOR APPROVAL</t>
  </si>
  <si>
    <t>4.5-12.6 VamTop ChemInj, 500psi CV
Chemical Injection Mandrel, 500 PSI Check Valve
Please see attached Requirment Doc. 
Project:	Perenco Dissoni
Project Number:	TBC
Required by Date:	1st May 2012
Size (in.): 	4 1/2 in
Weight (lb./ft.):	12.6Ib/ft 
Material:	4140, L-80
Yield (psi):	80ksi
Thread type (If pin/box to be left unthreaded then state intended thread(s).  Design review will check suitability of pin/box for swaging/thread-cutting):	Vam Top
Thread cut or uncut:	Cut
Casing size/weight:	9 5/8 in 53.5ppf
Casing drift (if non-standard):	Standard
By-Pass slots cable dimensions:	11 x 11mm slot to suit TEC line
End Configuration Type (e.g., Box x Pin)	Box (coupling) x Pin
Gauge/Chemical Inj. Configuration (e.g., single, dual, feed-through, other)	Single
Gauge Porting:	Tubing
Gauge/Chemical Injection Type:	500psi Check dual check valve for 3/8 control line
Gauge/Chemical Injection Part Number:	2225-0054
Please see attached Input Sheets
------------------
2/28/2012 RB - RTA inputs reviewed &amp; verified. 
Prioritized per C.McKay; Assign to James, Class B
------------------
2012/03/06 J. SEALE - completed Design, Drafting and CWI data, sending to S. TEHVEN for checking
030712 NO SPECIAL QUALITY PROCESSING REQUIRED PER D. MOE DSH
------
2012-03-08 ST - SENT BACK TO J. SEALE FOR CORRECTIONS</t>
  </si>
  <si>
    <t>Need FAR for RMA-000895, MN 101892578 SN:2118
TSG NOTES 030812 RECD FOR PROCESSING (GMC) END</t>
  </si>
</sst>
</file>

<file path=xl/styles.xml><?xml version="1.0" encoding="utf-8"?>
<styleSheet xmlns="http://schemas.openxmlformats.org/spreadsheetml/2006/main" xmlns:mc="http://schemas.openxmlformats.org/markup-compatibility/2006" xmlns:x14ac="http://schemas.microsoft.com/office/spreadsheetml/2009/9/ac" mc:Ignorable="x14ac">
  <fonts count="40">
    <font>
      <sz val="11"/>
      <color theme="1"/>
      <name val="Arial"/>
      <family val="2"/>
    </font>
    <font>
      <sz val="11"/>
      <color theme="1"/>
      <name val="Century Gothic"/>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sz val="16"/>
      <color theme="1"/>
      <name val="Vineta BT"/>
      <family val="5"/>
    </font>
    <font>
      <b/>
      <sz val="14"/>
      <color theme="1"/>
      <name val="Arial"/>
      <family val="2"/>
    </font>
    <font>
      <sz val="11"/>
      <color theme="0" tint="-0.249977111117893"/>
      <name val="Arial"/>
      <family val="2"/>
    </font>
    <font>
      <sz val="11"/>
      <color theme="1"/>
      <name val="Arial"/>
      <family val="2"/>
    </font>
    <font>
      <b/>
      <sz val="18"/>
      <color rgb="FFFF0000"/>
      <name val="Arial"/>
      <family val="2"/>
    </font>
    <font>
      <sz val="11"/>
      <name val="Arial"/>
      <family val="2"/>
    </font>
    <font>
      <sz val="11"/>
      <color theme="1"/>
      <name val="Century Gothic"/>
      <family val="2"/>
    </font>
    <font>
      <b/>
      <sz val="26"/>
      <color theme="1" tint="0.34998626667073579"/>
      <name val="Arial"/>
      <family val="2"/>
    </font>
    <font>
      <sz val="11"/>
      <color theme="1" tint="0.34998626667073579"/>
      <name val="Arial"/>
      <family val="2"/>
    </font>
    <font>
      <sz val="10.5"/>
      <color theme="1" tint="0.34998626667073579"/>
      <name val="Arial"/>
      <family val="2"/>
    </font>
    <font>
      <sz val="10.5"/>
      <color theme="0" tint="-0.249977111117893"/>
      <name val="Arial"/>
      <family val="2"/>
    </font>
    <font>
      <b/>
      <sz val="10.5"/>
      <color theme="1" tint="0.34998626667073579"/>
      <name val="Arial"/>
      <family val="2"/>
    </font>
    <font>
      <b/>
      <sz val="10.5"/>
      <color theme="0" tint="-0.249977111117893"/>
      <name val="Arial"/>
      <family val="2"/>
    </font>
    <font>
      <sz val="10.5"/>
      <color theme="0" tint="-0.499984740745262"/>
      <name val="Arial"/>
      <family val="2"/>
    </font>
    <font>
      <sz val="11"/>
      <color theme="1"/>
      <name val="Centry"/>
    </font>
    <font>
      <sz val="11"/>
      <color theme="1"/>
      <name val="Arial"/>
      <family val="2"/>
    </font>
    <font>
      <sz val="10.5"/>
      <color theme="1"/>
      <name val="Arial"/>
      <family val="2"/>
    </font>
    <font>
      <sz val="10.5"/>
      <name val="Arial"/>
      <family val="2"/>
    </font>
    <font>
      <b/>
      <sz val="10.5"/>
      <color theme="1"/>
      <name val="Arial"/>
      <family val="2"/>
    </font>
    <font>
      <sz val="13"/>
      <color theme="1"/>
      <name val="Arial"/>
      <family val="2"/>
    </font>
    <font>
      <sz val="13"/>
      <color theme="1"/>
      <name val="Century Gothic"/>
      <family val="2"/>
    </font>
    <font>
      <sz val="11"/>
      <color theme="1"/>
      <name val="Arial"/>
      <family val="2"/>
    </font>
    <font>
      <sz val="10.5"/>
      <color theme="1"/>
      <name val="Arial"/>
      <family val="2"/>
    </font>
    <font>
      <sz val="10"/>
      <color theme="1"/>
      <name val="Arial"/>
      <family val="2"/>
    </font>
    <font>
      <sz val="9"/>
      <color indexed="81"/>
      <name val="Tahoma"/>
      <family val="2"/>
    </font>
    <font>
      <sz val="10"/>
      <color indexed="81"/>
      <name val="Tahoma"/>
      <family val="2"/>
    </font>
    <font>
      <b/>
      <sz val="11"/>
      <color indexed="81"/>
      <name val="Tahoma"/>
      <family val="2"/>
    </font>
    <font>
      <sz val="11"/>
      <color theme="1"/>
      <name val="Arial"/>
    </font>
    <font>
      <sz val="10.5"/>
      <color theme="1"/>
      <name val="Arial"/>
    </font>
  </fonts>
  <fills count="10">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solid">
        <fgColor rgb="FFFFFFA3"/>
        <bgColor indexed="64"/>
      </patternFill>
    </fill>
    <fill>
      <patternFill patternType="solid">
        <fgColor theme="0"/>
        <bgColor indexed="64"/>
      </patternFill>
    </fill>
    <fill>
      <patternFill patternType="solid">
        <fgColor theme="0" tint="-0.14999847407452621"/>
        <bgColor indexed="64"/>
      </patternFill>
    </fill>
    <fill>
      <patternFill patternType="solid">
        <fgColor rgb="FFE4E4E4"/>
        <bgColor indexed="64"/>
      </patternFill>
    </fill>
  </fills>
  <borders count="33">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right/>
      <top style="double">
        <color auto="1"/>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right style="thin">
        <color indexed="64"/>
      </right>
      <top/>
      <bottom/>
      <diagonal/>
    </border>
    <border>
      <left style="thin">
        <color indexed="64"/>
      </left>
      <right style="thin">
        <color auto="1"/>
      </right>
      <top style="thin">
        <color indexed="64"/>
      </top>
      <bottom/>
      <diagonal/>
    </border>
    <border>
      <left style="thin">
        <color indexed="64"/>
      </left>
      <right style="thin">
        <color auto="1"/>
      </right>
      <top/>
      <bottom/>
      <diagonal/>
    </border>
    <border>
      <left/>
      <right/>
      <top/>
      <bottom style="thin">
        <color indexed="64"/>
      </bottom>
      <diagonal/>
    </border>
  </borders>
  <cellStyleXfs count="1">
    <xf numFmtId="0" fontId="0" fillId="0" borderId="0"/>
  </cellStyleXfs>
  <cellXfs count="182">
    <xf numFmtId="0" fontId="0" fillId="0" borderId="0" xfId="0"/>
    <xf numFmtId="0" fontId="0" fillId="4" borderId="0" xfId="0" applyFill="1"/>
    <xf numFmtId="0" fontId="0" fillId="0" borderId="0" xfId="0" applyBorder="1" applyAlignment="1">
      <alignment horizontal="center" vertical="center" wrapText="1"/>
    </xf>
    <xf numFmtId="0" fontId="4"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2" fillId="4" borderId="0" xfId="0" applyFont="1" applyFill="1" applyAlignment="1">
      <alignment horizontal="center" vertical="center" wrapText="1"/>
    </xf>
    <xf numFmtId="0" fontId="4"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7" fillId="3" borderId="21" xfId="0" applyFont="1" applyFill="1" applyBorder="1" applyAlignment="1">
      <alignment horizontal="center" vertical="center" wrapText="1"/>
    </xf>
    <xf numFmtId="0" fontId="8" fillId="0" borderId="21" xfId="0" applyFont="1" applyBorder="1" applyAlignment="1">
      <alignment horizontal="center" vertical="center" wrapText="1"/>
    </xf>
    <xf numFmtId="0" fontId="8" fillId="0" borderId="21" xfId="0" applyFont="1" applyFill="1" applyBorder="1" applyAlignment="1">
      <alignment horizontal="center" vertical="center" wrapText="1"/>
    </xf>
    <xf numFmtId="0" fontId="8" fillId="0" borderId="21" xfId="0" applyFont="1" applyBorder="1" applyAlignment="1">
      <alignment horizontal="center" vertical="center"/>
    </xf>
    <xf numFmtId="0" fontId="10" fillId="5" borderId="11" xfId="0" applyFont="1" applyFill="1" applyBorder="1" applyAlignment="1">
      <alignment horizontal="center" vertical="center"/>
    </xf>
    <xf numFmtId="0" fontId="10" fillId="5" borderId="4" xfId="0" applyFont="1" applyFill="1" applyBorder="1" applyAlignment="1">
      <alignment horizontal="center" vertical="center"/>
    </xf>
    <xf numFmtId="0" fontId="10" fillId="5" borderId="5" xfId="0" applyFont="1" applyFill="1" applyBorder="1" applyAlignment="1">
      <alignment horizontal="center" vertical="center"/>
    </xf>
    <xf numFmtId="0" fontId="10" fillId="5" borderId="12" xfId="0" applyFont="1" applyFill="1" applyBorder="1" applyAlignment="1">
      <alignment horizontal="center" vertical="center"/>
    </xf>
    <xf numFmtId="0" fontId="10" fillId="5" borderId="6" xfId="0" applyFont="1" applyFill="1" applyBorder="1" applyAlignment="1">
      <alignment horizontal="center" vertical="center"/>
    </xf>
    <xf numFmtId="0" fontId="10" fillId="5" borderId="7" xfId="0" applyFont="1" applyFill="1" applyBorder="1" applyAlignment="1">
      <alignment horizontal="center" vertical="center"/>
    </xf>
    <xf numFmtId="0" fontId="9" fillId="3" borderId="14" xfId="0" applyFont="1" applyFill="1" applyBorder="1" applyAlignment="1">
      <alignment horizontal="right" vertical="center"/>
    </xf>
    <xf numFmtId="0" fontId="9" fillId="3" borderId="15" xfId="0" applyFont="1" applyFill="1" applyBorder="1" applyAlignment="1">
      <alignment horizontal="right" vertical="center"/>
    </xf>
    <xf numFmtId="0" fontId="9" fillId="3" borderId="16" xfId="0" applyFont="1" applyFill="1" applyBorder="1" applyAlignment="1">
      <alignment horizontal="right" vertical="center"/>
    </xf>
    <xf numFmtId="0" fontId="0" fillId="0" borderId="0" xfId="0" applyFill="1" applyBorder="1" applyAlignment="1">
      <alignment horizontal="center" vertical="center" wrapText="1"/>
    </xf>
    <xf numFmtId="1" fontId="10" fillId="5" borderId="12" xfId="0" applyNumberFormat="1" applyFont="1" applyFill="1" applyBorder="1" applyAlignment="1">
      <alignment horizontal="center" vertical="center"/>
    </xf>
    <xf numFmtId="1" fontId="10" fillId="5" borderId="13" xfId="0" applyNumberFormat="1" applyFont="1" applyFill="1" applyBorder="1" applyAlignment="1">
      <alignment horizontal="center" vertical="center"/>
    </xf>
    <xf numFmtId="0" fontId="10" fillId="5" borderId="25" xfId="0" applyFont="1" applyFill="1" applyBorder="1" applyAlignment="1">
      <alignment horizontal="center" vertical="center"/>
    </xf>
    <xf numFmtId="0" fontId="10" fillId="5" borderId="26" xfId="0" applyFont="1" applyFill="1" applyBorder="1" applyAlignment="1">
      <alignment horizontal="center" vertical="center"/>
    </xf>
    <xf numFmtId="0" fontId="10" fillId="5" borderId="27" xfId="0" applyFont="1" applyFill="1" applyBorder="1" applyAlignment="1">
      <alignment horizontal="center" vertical="center"/>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6" borderId="0" xfId="0" applyFill="1" applyAlignment="1">
      <alignment wrapText="1"/>
    </xf>
    <xf numFmtId="0" fontId="14" fillId="0" borderId="0" xfId="0" applyFont="1" applyFill="1" applyAlignment="1">
      <alignment horizontal="center" vertical="center" wrapText="1"/>
    </xf>
    <xf numFmtId="0" fontId="0" fillId="0" borderId="0" xfId="0" applyFont="1" applyFill="1" applyAlignment="1">
      <alignment horizontal="center" vertical="center" wrapText="1"/>
    </xf>
    <xf numFmtId="0" fontId="12" fillId="0" borderId="0" xfId="0" applyFont="1" applyAlignment="1">
      <alignment horizontal="center" vertical="top" wrapText="1"/>
    </xf>
    <xf numFmtId="0" fontId="0" fillId="0" borderId="0" xfId="0" applyAlignment="1">
      <alignment horizontal="center" vertical="top" wrapText="1"/>
    </xf>
    <xf numFmtId="0" fontId="0" fillId="7" borderId="0" xfId="0" applyFont="1" applyFill="1" applyAlignment="1" applyProtection="1">
      <alignment horizontal="center" vertical="center"/>
      <protection locked="0"/>
    </xf>
    <xf numFmtId="0" fontId="13" fillId="7" borderId="0" xfId="0" applyFont="1" applyFill="1"/>
    <xf numFmtId="0" fontId="19" fillId="7" borderId="0" xfId="0" applyFont="1" applyFill="1"/>
    <xf numFmtId="0" fontId="18" fillId="7" borderId="0" xfId="0" applyFont="1" applyFill="1" applyAlignment="1">
      <alignment vertical="center"/>
    </xf>
    <xf numFmtId="0" fontId="18" fillId="7" borderId="0" xfId="0" applyFont="1" applyFill="1" applyAlignment="1">
      <alignment horizontal="center" vertical="center"/>
    </xf>
    <xf numFmtId="0" fontId="20" fillId="7" borderId="0" xfId="0" applyFont="1" applyFill="1"/>
    <xf numFmtId="0" fontId="21" fillId="7" borderId="0" xfId="0" applyFont="1" applyFill="1"/>
    <xf numFmtId="0" fontId="22" fillId="7" borderId="0" xfId="0" applyFont="1" applyFill="1"/>
    <xf numFmtId="0" fontId="23" fillId="7" borderId="0" xfId="0" applyFont="1" applyFill="1"/>
    <xf numFmtId="0" fontId="20" fillId="7" borderId="0" xfId="0" applyFont="1" applyFill="1" applyAlignment="1">
      <alignment horizontal="left" vertical="center"/>
    </xf>
    <xf numFmtId="0" fontId="21" fillId="7" borderId="0" xfId="0" applyFont="1" applyFill="1" applyAlignment="1">
      <alignment horizontal="left" vertical="center"/>
    </xf>
    <xf numFmtId="0" fontId="24" fillId="7" borderId="0" xfId="0" applyFont="1" applyFill="1"/>
    <xf numFmtId="0" fontId="0" fillId="7" borderId="0" xfId="0" applyFill="1"/>
    <xf numFmtId="0" fontId="25" fillId="7" borderId="0" xfId="0" applyFont="1" applyFill="1"/>
    <xf numFmtId="0" fontId="17" fillId="7" borderId="0" xfId="0" applyFont="1" applyFill="1"/>
    <xf numFmtId="0" fontId="26" fillId="0" borderId="0" xfId="0" applyFont="1" applyFill="1" applyAlignment="1">
      <alignment horizontal="center" vertical="center" wrapText="1"/>
    </xf>
    <xf numFmtId="0" fontId="0" fillId="0" borderId="0" xfId="0" applyFont="1" applyFill="1" applyBorder="1" applyAlignment="1" applyProtection="1">
      <alignment horizontal="left" vertical="top" wrapText="1"/>
      <protection locked="0"/>
    </xf>
    <xf numFmtId="0" fontId="0" fillId="9" borderId="29" xfId="0" applyFont="1" applyFill="1" applyBorder="1" applyAlignment="1" applyProtection="1">
      <alignment horizontal="center" vertical="center" wrapText="1"/>
      <protection locked="0"/>
    </xf>
    <xf numFmtId="0" fontId="27" fillId="7" borderId="0" xfId="0" applyFont="1" applyFill="1" applyAlignment="1" applyProtection="1">
      <alignment horizontal="center" vertical="top"/>
    </xf>
    <xf numFmtId="0" fontId="28" fillId="7" borderId="0" xfId="0" applyFont="1" applyFill="1" applyAlignment="1" applyProtection="1">
      <alignment horizontal="center" vertical="top"/>
    </xf>
    <xf numFmtId="0" fontId="27" fillId="7" borderId="0" xfId="0" applyFont="1" applyFill="1" applyAlignment="1" applyProtection="1">
      <alignment horizontal="center" vertical="top"/>
      <protection locked="0"/>
    </xf>
    <xf numFmtId="0" fontId="0" fillId="0" borderId="0" xfId="0" applyNumberFormat="1" applyFont="1" applyFill="1" applyBorder="1" applyAlignment="1" applyProtection="1">
      <alignment horizontal="center" vertical="center" wrapText="1"/>
    </xf>
    <xf numFmtId="0" fontId="0" fillId="0" borderId="0" xfId="0" applyNumberFormat="1" applyFont="1" applyFill="1" applyAlignment="1" applyProtection="1">
      <alignment horizontal="center" vertical="center" wrapText="1"/>
    </xf>
    <xf numFmtId="0" fontId="27" fillId="7" borderId="30" xfId="0" applyFont="1" applyFill="1" applyBorder="1" applyAlignment="1" applyProtection="1">
      <alignment horizontal="left" vertical="top"/>
    </xf>
    <xf numFmtId="14" fontId="27" fillId="7" borderId="0" xfId="0" applyNumberFormat="1" applyFont="1" applyFill="1" applyAlignment="1" applyProtection="1">
      <alignment horizontal="center" vertical="top"/>
    </xf>
    <xf numFmtId="0" fontId="27" fillId="7" borderId="31" xfId="0" applyFont="1" applyFill="1" applyBorder="1" applyAlignment="1" applyProtection="1">
      <alignment horizontal="left" vertical="top"/>
    </xf>
    <xf numFmtId="14" fontId="27" fillId="7" borderId="0" xfId="0" applyNumberFormat="1" applyFont="1" applyFill="1" applyBorder="1" applyAlignment="1" applyProtection="1">
      <alignment horizontal="center" vertical="top"/>
    </xf>
    <xf numFmtId="0" fontId="28" fillId="7" borderId="31" xfId="0" applyFont="1" applyFill="1" applyBorder="1" applyAlignment="1" applyProtection="1">
      <alignment horizontal="left" vertical="top"/>
    </xf>
    <xf numFmtId="14" fontId="28" fillId="7" borderId="0" xfId="0" applyNumberFormat="1" applyFont="1" applyFill="1" applyAlignment="1" applyProtection="1">
      <alignment horizontal="center" vertical="top"/>
    </xf>
    <xf numFmtId="0" fontId="27" fillId="0" borderId="0" xfId="0" applyFont="1" applyFill="1" applyBorder="1" applyAlignment="1" applyProtection="1">
      <alignment horizontal="center" vertical="top" wrapText="1"/>
      <protection locked="0"/>
    </xf>
    <xf numFmtId="14" fontId="27" fillId="0" borderId="0" xfId="0" applyNumberFormat="1" applyFont="1" applyFill="1" applyBorder="1" applyAlignment="1" applyProtection="1">
      <alignment horizontal="center" vertical="top" wrapText="1"/>
    </xf>
    <xf numFmtId="49" fontId="27" fillId="0" borderId="0" xfId="0" applyNumberFormat="1" applyFont="1" applyFill="1" applyBorder="1" applyAlignment="1" applyProtection="1">
      <alignment horizontal="center" vertical="top" wrapText="1"/>
      <protection locked="0"/>
    </xf>
    <xf numFmtId="0" fontId="27" fillId="0" borderId="0" xfId="0" applyFont="1" applyFill="1" applyBorder="1" applyAlignment="1">
      <alignment horizontal="center" vertical="top" wrapText="1"/>
    </xf>
    <xf numFmtId="49" fontId="27" fillId="0" borderId="0" xfId="0" applyNumberFormat="1" applyFont="1" applyFill="1" applyBorder="1" applyAlignment="1">
      <alignment horizontal="center" vertical="top" wrapText="1"/>
    </xf>
    <xf numFmtId="0" fontId="29" fillId="7" borderId="0" xfId="0" applyFont="1" applyFill="1" applyAlignment="1" applyProtection="1">
      <alignment horizontal="center" vertical="top"/>
      <protection locked="0"/>
    </xf>
    <xf numFmtId="0" fontId="27" fillId="0" borderId="0" xfId="0" applyFont="1" applyFill="1" applyAlignment="1" applyProtection="1">
      <alignment horizontal="center" vertical="top" wrapText="1"/>
      <protection locked="0"/>
    </xf>
    <xf numFmtId="14" fontId="27" fillId="0" borderId="0" xfId="0" applyNumberFormat="1" applyFont="1" applyFill="1" applyAlignment="1" applyProtection="1">
      <alignment horizontal="center" vertical="top" wrapText="1"/>
    </xf>
    <xf numFmtId="49" fontId="27" fillId="0" borderId="0" xfId="0" applyNumberFormat="1" applyFont="1" applyFill="1" applyAlignment="1" applyProtection="1">
      <alignment horizontal="center" vertical="top" wrapText="1"/>
      <protection locked="0"/>
    </xf>
    <xf numFmtId="49" fontId="27" fillId="0" borderId="0" xfId="0" quotePrefix="1" applyNumberFormat="1" applyFont="1" applyFill="1" applyBorder="1" applyAlignment="1" applyProtection="1">
      <alignment horizontal="center" vertical="top" wrapText="1"/>
      <protection locked="0"/>
    </xf>
    <xf numFmtId="14" fontId="27" fillId="7" borderId="0" xfId="0" applyNumberFormat="1" applyFont="1" applyFill="1" applyAlignment="1" applyProtection="1">
      <alignment horizontal="center" vertical="top"/>
      <protection locked="0"/>
    </xf>
    <xf numFmtId="0" fontId="0" fillId="7" borderId="0" xfId="0" applyFont="1" applyFill="1" applyAlignment="1" applyProtection="1">
      <alignment horizontal="center" vertical="center"/>
    </xf>
    <xf numFmtId="0" fontId="16" fillId="7" borderId="0" xfId="0" applyFont="1" applyFill="1" applyAlignment="1" applyProtection="1">
      <alignment horizontal="center" vertical="center"/>
    </xf>
    <xf numFmtId="14" fontId="0" fillId="0" borderId="0" xfId="0" applyNumberFormat="1" applyFont="1" applyFill="1" applyBorder="1" applyAlignment="1" applyProtection="1">
      <alignment horizontal="center" vertical="center" wrapText="1"/>
      <protection locked="0"/>
    </xf>
    <xf numFmtId="14" fontId="0" fillId="0" borderId="0" xfId="0" applyNumberFormat="1" applyFont="1" applyFill="1" applyBorder="1" applyAlignment="1">
      <alignment horizontal="center" vertical="center" wrapText="1"/>
    </xf>
    <xf numFmtId="14" fontId="0" fillId="0" borderId="0" xfId="0" applyNumberFormat="1" applyFont="1" applyFill="1" applyAlignment="1" applyProtection="1">
      <alignment horizontal="center" vertical="center" wrapText="1"/>
      <protection locked="0"/>
    </xf>
    <xf numFmtId="14" fontId="0" fillId="7" borderId="0" xfId="0" applyNumberFormat="1" applyFont="1" applyFill="1" applyAlignment="1" applyProtection="1">
      <alignment horizontal="center" vertical="center"/>
    </xf>
    <xf numFmtId="14" fontId="16" fillId="7" borderId="0" xfId="0" applyNumberFormat="1" applyFont="1" applyFill="1" applyAlignment="1" applyProtection="1">
      <alignment horizontal="center" vertical="center"/>
    </xf>
    <xf numFmtId="14" fontId="0" fillId="7" borderId="0" xfId="0" applyNumberFormat="1" applyFont="1" applyFill="1" applyAlignment="1" applyProtection="1">
      <alignment horizontal="center" vertical="center"/>
      <protection locked="0"/>
    </xf>
    <xf numFmtId="0" fontId="0" fillId="7" borderId="0" xfId="0" applyFont="1" applyFill="1" applyAlignment="1">
      <alignment horizontal="center" vertical="center"/>
    </xf>
    <xf numFmtId="0" fontId="0" fillId="7" borderId="0" xfId="0" applyFont="1" applyFill="1" applyAlignment="1" applyProtection="1">
      <alignment horizontal="center" vertical="center" wrapText="1"/>
    </xf>
    <xf numFmtId="0" fontId="16" fillId="8" borderId="30" xfId="0" applyFont="1" applyFill="1" applyBorder="1" applyAlignment="1" applyProtection="1">
      <alignment horizontal="center" vertical="center"/>
    </xf>
    <xf numFmtId="1" fontId="0" fillId="0" borderId="0" xfId="0" applyNumberFormat="1" applyFont="1" applyFill="1" applyBorder="1" applyAlignment="1" applyProtection="1">
      <alignment horizontal="center" vertical="center" wrapText="1"/>
    </xf>
    <xf numFmtId="0" fontId="0" fillId="0" borderId="0" xfId="0" applyFont="1" applyFill="1" applyBorder="1" applyAlignment="1" applyProtection="1">
      <alignment horizontal="center" vertical="center" wrapText="1"/>
      <protection locked="0"/>
    </xf>
    <xf numFmtId="1" fontId="0" fillId="0" borderId="0" xfId="0" applyNumberFormat="1" applyFont="1" applyFill="1" applyBorder="1" applyAlignment="1" applyProtection="1">
      <alignment horizontal="center" vertical="center" wrapText="1"/>
      <protection locked="0"/>
    </xf>
    <xf numFmtId="1" fontId="0" fillId="0" borderId="0" xfId="0" applyNumberFormat="1" applyFont="1" applyFill="1" applyBorder="1" applyAlignment="1">
      <alignment horizontal="center" vertical="center" wrapText="1"/>
    </xf>
    <xf numFmtId="1" fontId="0" fillId="0" borderId="0" xfId="0" applyNumberFormat="1" applyFont="1" applyFill="1" applyAlignment="1" applyProtection="1">
      <alignment horizontal="center" vertical="center" wrapText="1"/>
    </xf>
    <xf numFmtId="0" fontId="0" fillId="0" borderId="0" xfId="0" applyFont="1" applyFill="1" applyAlignment="1" applyProtection="1">
      <alignment horizontal="center" vertical="center" wrapText="1"/>
      <protection locked="0"/>
    </xf>
    <xf numFmtId="0" fontId="31" fillId="0" borderId="0" xfId="0" applyFont="1" applyFill="1" applyBorder="1" applyAlignment="1">
      <alignment horizontal="center" vertical="center" wrapText="1"/>
    </xf>
    <xf numFmtId="0" fontId="0" fillId="0" borderId="0" xfId="0" applyFont="1" applyFill="1" applyBorder="1" applyAlignment="1" applyProtection="1">
      <alignment horizontal="center" vertical="top" wrapText="1"/>
      <protection locked="0"/>
    </xf>
    <xf numFmtId="0" fontId="0" fillId="0" borderId="0" xfId="0" applyFont="1" applyFill="1" applyBorder="1" applyAlignment="1">
      <alignment horizontal="center" vertical="top" wrapText="1"/>
    </xf>
    <xf numFmtId="0" fontId="0" fillId="0" borderId="0" xfId="0" applyFont="1" applyFill="1" applyAlignment="1" applyProtection="1">
      <alignment horizontal="center" vertical="top" wrapText="1"/>
      <protection locked="0"/>
    </xf>
    <xf numFmtId="0" fontId="1" fillId="0" borderId="0" xfId="0" applyFont="1" applyFill="1" applyBorder="1" applyAlignment="1">
      <alignment horizontal="center" vertical="center"/>
    </xf>
    <xf numFmtId="0" fontId="1" fillId="0" borderId="0" xfId="0" applyFont="1" applyFill="1" applyBorder="1" applyAlignment="1">
      <alignment horizontal="center" vertical="center" wrapText="1"/>
    </xf>
    <xf numFmtId="0" fontId="0" fillId="0" borderId="0" xfId="0" applyFont="1" applyFill="1" applyBorder="1" applyAlignment="1" applyProtection="1">
      <alignment horizontal="center" vertical="center" wrapText="1"/>
    </xf>
    <xf numFmtId="0" fontId="0" fillId="7" borderId="0" xfId="0" applyFont="1" applyFill="1" applyBorder="1" applyAlignment="1" applyProtection="1">
      <alignment horizontal="center" vertical="center"/>
      <protection locked="0"/>
    </xf>
    <xf numFmtId="0" fontId="31" fillId="0" borderId="0" xfId="0" applyFont="1" applyAlignment="1">
      <alignment horizontal="center" vertical="center"/>
    </xf>
    <xf numFmtId="0" fontId="0" fillId="7" borderId="0" xfId="0" applyFont="1" applyFill="1" applyAlignment="1" applyProtection="1">
      <alignment vertical="center" wrapText="1"/>
    </xf>
    <xf numFmtId="0" fontId="0" fillId="0" borderId="0" xfId="0" applyFont="1" applyFill="1" applyBorder="1" applyAlignment="1">
      <alignment horizontal="left" vertical="top" wrapText="1"/>
    </xf>
    <xf numFmtId="14" fontId="0" fillId="0" borderId="0" xfId="0" applyNumberFormat="1" applyFont="1" applyFill="1" applyBorder="1" applyAlignment="1">
      <alignment horizontal="center" vertical="top" wrapText="1"/>
    </xf>
    <xf numFmtId="14" fontId="0" fillId="0" borderId="0" xfId="0" applyNumberFormat="1" applyFont="1" applyFill="1" applyBorder="1" applyAlignment="1" applyProtection="1">
      <alignment horizontal="left" vertical="center" wrapText="1"/>
      <protection locked="0"/>
    </xf>
    <xf numFmtId="0" fontId="27" fillId="0" borderId="0" xfId="0" applyNumberFormat="1" applyFont="1" applyFill="1" applyBorder="1" applyAlignment="1">
      <alignment horizontal="center" vertical="center" wrapText="1"/>
    </xf>
    <xf numFmtId="14" fontId="0" fillId="0" borderId="0" xfId="0" applyNumberFormat="1" applyFont="1" applyFill="1" applyAlignment="1" applyProtection="1">
      <alignment horizontal="left" vertical="center" wrapText="1"/>
      <protection locked="0"/>
    </xf>
    <xf numFmtId="14" fontId="0" fillId="0" borderId="0" xfId="0" applyNumberFormat="1" applyFont="1" applyFill="1" applyBorder="1" applyAlignment="1">
      <alignment horizontal="left" vertical="center" wrapText="1"/>
    </xf>
    <xf numFmtId="0" fontId="32" fillId="0" borderId="0" xfId="0" applyNumberFormat="1" applyFont="1" applyFill="1" applyAlignment="1" applyProtection="1">
      <alignment horizontal="center" vertical="center" wrapText="1"/>
    </xf>
    <xf numFmtId="0" fontId="32" fillId="9" borderId="29" xfId="0" applyFont="1" applyFill="1" applyBorder="1" applyAlignment="1" applyProtection="1">
      <alignment horizontal="center" vertical="center" wrapText="1"/>
      <protection locked="0"/>
    </xf>
    <xf numFmtId="14" fontId="32" fillId="0" borderId="0" xfId="0" applyNumberFormat="1" applyFont="1" applyFill="1" applyAlignment="1" applyProtection="1">
      <alignment horizontal="center" vertical="center" wrapText="1"/>
      <protection locked="0"/>
    </xf>
    <xf numFmtId="1" fontId="32" fillId="0" borderId="0" xfId="0" applyNumberFormat="1" applyFont="1" applyFill="1" applyAlignment="1" applyProtection="1">
      <alignment horizontal="center" vertical="center" wrapText="1"/>
    </xf>
    <xf numFmtId="0" fontId="32" fillId="0" borderId="0" xfId="0" applyFont="1" applyFill="1" applyAlignment="1" applyProtection="1">
      <alignment horizontal="center" vertical="top" wrapText="1"/>
      <protection locked="0"/>
    </xf>
    <xf numFmtId="0" fontId="32" fillId="0" borderId="0" xfId="0" applyFont="1" applyFill="1" applyAlignment="1" applyProtection="1">
      <alignment horizontal="center" vertical="center" wrapText="1"/>
      <protection locked="0"/>
    </xf>
    <xf numFmtId="14" fontId="33" fillId="0" borderId="0" xfId="0" applyNumberFormat="1" applyFont="1" applyFill="1" applyAlignment="1" applyProtection="1">
      <alignment horizontal="center" vertical="top" wrapText="1"/>
    </xf>
    <xf numFmtId="14" fontId="32" fillId="0" borderId="0" xfId="0" applyNumberFormat="1" applyFont="1" applyFill="1" applyAlignment="1" applyProtection="1">
      <alignment horizontal="left" vertical="center" wrapText="1"/>
      <protection locked="0"/>
    </xf>
    <xf numFmtId="49" fontId="33" fillId="0" borderId="0" xfId="0" applyNumberFormat="1" applyFont="1" applyFill="1" applyAlignment="1" applyProtection="1">
      <alignment horizontal="center" vertical="top" wrapText="1"/>
      <protection locked="0"/>
    </xf>
    <xf numFmtId="0" fontId="33" fillId="0" borderId="0" xfId="0" applyFont="1" applyFill="1" applyAlignment="1" applyProtection="1">
      <alignment horizontal="center" vertical="top" wrapText="1"/>
      <protection locked="0"/>
    </xf>
    <xf numFmtId="0" fontId="34" fillId="0" borderId="0" xfId="0" applyFont="1" applyAlignment="1">
      <alignment horizontal="center" vertical="top"/>
    </xf>
    <xf numFmtId="0" fontId="0" fillId="0" borderId="0" xfId="0" applyFont="1" applyFill="1" applyBorder="1" applyAlignment="1">
      <alignment horizontal="center" vertical="center"/>
    </xf>
    <xf numFmtId="14" fontId="0" fillId="0" borderId="0" xfId="0" applyNumberFormat="1" applyAlignment="1">
      <alignment horizontal="center" vertical="top" wrapText="1"/>
    </xf>
    <xf numFmtId="14" fontId="27" fillId="0" borderId="0" xfId="0" applyNumberFormat="1" applyFont="1" applyFill="1" applyBorder="1" applyAlignment="1">
      <alignment horizontal="center" vertical="center" wrapText="1"/>
    </xf>
    <xf numFmtId="0" fontId="4" fillId="0" borderId="0" xfId="0" applyFont="1" applyFill="1" applyBorder="1" applyAlignment="1">
      <alignment horizontal="center" vertical="center" wrapText="1"/>
    </xf>
    <xf numFmtId="1" fontId="32" fillId="0" borderId="0" xfId="0" applyNumberFormat="1" applyFont="1" applyFill="1" applyAlignment="1" applyProtection="1">
      <alignment horizontal="center" vertical="center" wrapText="1"/>
      <protection locked="0"/>
    </xf>
    <xf numFmtId="14" fontId="33" fillId="0" borderId="0" xfId="0" applyNumberFormat="1" applyFont="1" applyFill="1" applyAlignment="1" applyProtection="1">
      <alignment horizontal="center" vertical="top" wrapText="1"/>
      <protection locked="0"/>
    </xf>
    <xf numFmtId="1" fontId="0" fillId="0" borderId="0" xfId="0" applyNumberFormat="1" applyFont="1" applyFill="1" applyAlignment="1" applyProtection="1">
      <alignment horizontal="center" vertical="center" wrapText="1"/>
      <protection locked="0"/>
    </xf>
    <xf numFmtId="14" fontId="27" fillId="0" borderId="0" xfId="0" applyNumberFormat="1" applyFont="1" applyFill="1" applyAlignment="1" applyProtection="1">
      <alignment horizontal="center" vertical="top" wrapText="1"/>
      <protection locked="0"/>
    </xf>
    <xf numFmtId="0" fontId="27" fillId="0" borderId="0" xfId="0" applyFont="1" applyFill="1" applyBorder="1" applyAlignment="1">
      <alignment horizontal="center" vertical="center" wrapText="1"/>
    </xf>
    <xf numFmtId="0" fontId="27" fillId="7" borderId="0" xfId="0" applyFont="1" applyFill="1" applyAlignment="1" applyProtection="1">
      <alignment horizontal="center" vertical="top" wrapText="1"/>
      <protection locked="0"/>
    </xf>
    <xf numFmtId="0" fontId="0" fillId="0" borderId="0" xfId="0" applyFont="1" applyFill="1" applyAlignment="1" applyProtection="1">
      <alignment horizontal="left" vertical="top" wrapText="1"/>
      <protection locked="0"/>
    </xf>
    <xf numFmtId="0" fontId="0" fillId="0" borderId="0" xfId="0" applyFont="1" applyFill="1" applyBorder="1" applyAlignment="1" applyProtection="1">
      <alignment horizontal="left" vertical="top"/>
      <protection locked="0"/>
    </xf>
    <xf numFmtId="0" fontId="0" fillId="7" borderId="0" xfId="0" applyFont="1" applyFill="1" applyAlignment="1" applyProtection="1">
      <alignment horizontal="left" vertical="top"/>
      <protection locked="0"/>
    </xf>
    <xf numFmtId="0" fontId="2" fillId="7" borderId="0" xfId="0" applyFont="1" applyFill="1" applyBorder="1" applyAlignment="1" applyProtection="1">
      <alignment vertical="center"/>
      <protection locked="0"/>
    </xf>
    <xf numFmtId="0" fontId="38" fillId="0" borderId="0" xfId="0" applyNumberFormat="1" applyFont="1" applyFill="1" applyAlignment="1" applyProtection="1">
      <alignment horizontal="center" vertical="center" wrapText="1"/>
    </xf>
    <xf numFmtId="0" fontId="38" fillId="9" borderId="0" xfId="0" applyFont="1" applyFill="1" applyAlignment="1" applyProtection="1">
      <alignment horizontal="center" vertical="center" wrapText="1"/>
      <protection locked="0"/>
    </xf>
    <xf numFmtId="0" fontId="39" fillId="0" borderId="0" xfId="0" applyFont="1" applyFill="1" applyAlignment="1" applyProtection="1">
      <alignment horizontal="center" vertical="top" wrapText="1"/>
      <protection locked="0"/>
    </xf>
    <xf numFmtId="0" fontId="38" fillId="0" borderId="0" xfId="0" applyFont="1" applyFill="1" applyAlignment="1" applyProtection="1">
      <alignment horizontal="left" vertical="top" wrapText="1"/>
      <protection locked="0"/>
    </xf>
    <xf numFmtId="14" fontId="38" fillId="0" borderId="0" xfId="0" applyNumberFormat="1" applyFont="1" applyFill="1" applyAlignment="1" applyProtection="1">
      <alignment horizontal="center" vertical="center" wrapText="1"/>
      <protection locked="0"/>
    </xf>
    <xf numFmtId="1" fontId="38" fillId="0" borderId="0" xfId="0" applyNumberFormat="1" applyFont="1" applyFill="1" applyAlignment="1" applyProtection="1">
      <alignment horizontal="center" vertical="center" wrapText="1"/>
    </xf>
    <xf numFmtId="0" fontId="38" fillId="0" borderId="0" xfId="0" applyFont="1" applyFill="1" applyAlignment="1" applyProtection="1">
      <alignment horizontal="center" vertical="top" wrapText="1"/>
      <protection locked="0"/>
    </xf>
    <xf numFmtId="0" fontId="38" fillId="0" borderId="0" xfId="0" applyFont="1" applyFill="1" applyAlignment="1" applyProtection="1">
      <alignment horizontal="center" vertical="center" wrapText="1"/>
      <protection locked="0"/>
    </xf>
    <xf numFmtId="1" fontId="38" fillId="0" borderId="0" xfId="0" applyNumberFormat="1" applyFont="1" applyFill="1" applyAlignment="1" applyProtection="1">
      <alignment horizontal="center" vertical="center" wrapText="1"/>
      <protection locked="0"/>
    </xf>
    <xf numFmtId="14" fontId="39" fillId="0" borderId="0" xfId="0" applyNumberFormat="1" applyFont="1" applyFill="1" applyAlignment="1" applyProtection="1">
      <alignment horizontal="center" vertical="top" wrapText="1"/>
    </xf>
    <xf numFmtId="14" fontId="38" fillId="0" borderId="0" xfId="0" applyNumberFormat="1" applyFont="1" applyFill="1" applyAlignment="1" applyProtection="1">
      <alignment horizontal="left" vertical="center" wrapText="1"/>
      <protection locked="0"/>
    </xf>
    <xf numFmtId="49" fontId="39" fillId="0" borderId="0" xfId="0" applyNumberFormat="1" applyFont="1" applyFill="1" applyAlignment="1" applyProtection="1">
      <alignment horizontal="center" vertical="top" wrapText="1"/>
      <protection locked="0"/>
    </xf>
    <xf numFmtId="14" fontId="39" fillId="0" borderId="0" xfId="0" applyNumberFormat="1" applyFont="1" applyFill="1" applyAlignment="1" applyProtection="1">
      <alignment horizontal="center" vertical="top" wrapText="1"/>
      <protection locked="0"/>
    </xf>
    <xf numFmtId="0" fontId="38" fillId="9" borderId="29" xfId="0" applyFont="1" applyFill="1" applyBorder="1" applyAlignment="1" applyProtection="1">
      <alignment horizontal="center" vertical="center" wrapText="1"/>
      <protection locked="0"/>
    </xf>
    <xf numFmtId="49" fontId="20" fillId="7" borderId="0" xfId="0" applyNumberFormat="1" applyFont="1" applyFill="1" applyAlignment="1">
      <alignment horizontal="left" vertical="center"/>
    </xf>
    <xf numFmtId="0" fontId="15" fillId="7" borderId="0" xfId="0" applyFont="1" applyFill="1" applyAlignment="1">
      <alignment horizontal="center" vertical="center"/>
    </xf>
    <xf numFmtId="0" fontId="18" fillId="7" borderId="0" xfId="0" applyFont="1" applyFill="1" applyAlignment="1">
      <alignment horizontal="center" vertical="center"/>
    </xf>
    <xf numFmtId="0" fontId="30" fillId="8" borderId="32" xfId="0" applyFont="1" applyFill="1" applyBorder="1" applyAlignment="1">
      <alignment horizontal="center" vertical="center" wrapText="1"/>
    </xf>
    <xf numFmtId="0" fontId="30" fillId="8" borderId="25" xfId="0" applyFont="1" applyFill="1" applyBorder="1" applyAlignment="1">
      <alignment horizontal="center" vertical="center" wrapText="1"/>
    </xf>
    <xf numFmtId="0" fontId="0" fillId="0" borderId="0" xfId="0" applyAlignment="1">
      <alignment horizontal="center" vertical="center" wrapText="1"/>
    </xf>
    <xf numFmtId="0" fontId="0" fillId="0" borderId="29" xfId="0" applyBorder="1" applyAlignment="1">
      <alignment horizontal="center" vertical="center" wrapText="1"/>
    </xf>
    <xf numFmtId="0" fontId="0" fillId="0" borderId="31" xfId="0" applyBorder="1" applyAlignment="1">
      <alignment horizontal="center" vertical="center" wrapText="1"/>
    </xf>
    <xf numFmtId="0" fontId="2" fillId="2" borderId="28" xfId="0" applyFont="1" applyFill="1" applyBorder="1" applyAlignment="1">
      <alignment horizontal="center" vertical="center" wrapText="1"/>
    </xf>
    <xf numFmtId="0" fontId="2" fillId="5" borderId="17" xfId="0" applyFont="1" applyFill="1" applyBorder="1" applyAlignment="1">
      <alignment horizontal="center" vertical="center" wrapText="1"/>
    </xf>
    <xf numFmtId="0" fontId="11" fillId="2" borderId="8" xfId="0" applyFont="1" applyFill="1" applyBorder="1" applyAlignment="1">
      <alignment horizontal="center" vertical="center" wrapText="1"/>
    </xf>
    <xf numFmtId="0" fontId="11" fillId="2" borderId="9" xfId="0" applyFont="1" applyFill="1" applyBorder="1" applyAlignment="1">
      <alignment horizontal="center" vertical="center" wrapText="1"/>
    </xf>
    <xf numFmtId="0" fontId="2" fillId="5" borderId="18" xfId="0" applyFont="1" applyFill="1" applyBorder="1" applyAlignment="1">
      <alignment horizontal="center" vertical="center" wrapText="1"/>
    </xf>
    <xf numFmtId="0" fontId="2" fillId="5" borderId="0" xfId="0" applyFont="1" applyFill="1" applyBorder="1" applyAlignment="1">
      <alignment horizontal="center" vertical="center" wrapText="1"/>
    </xf>
    <xf numFmtId="0" fontId="3" fillId="2" borderId="19" xfId="0" applyFont="1" applyFill="1" applyBorder="1" applyAlignment="1">
      <alignment horizontal="center" vertical="center" wrapText="1"/>
    </xf>
    <xf numFmtId="0" fontId="3" fillId="2" borderId="18" xfId="0" applyFont="1" applyFill="1" applyBorder="1" applyAlignment="1">
      <alignment horizontal="center" vertical="center" wrapText="1"/>
    </xf>
    <xf numFmtId="0" fontId="3" fillId="2" borderId="20"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2" borderId="23" xfId="0" applyFont="1" applyFill="1" applyBorder="1" applyAlignment="1">
      <alignment horizontal="center" vertical="center" wrapText="1"/>
    </xf>
    <xf numFmtId="0" fontId="3" fillId="2" borderId="22" xfId="0" applyFont="1" applyFill="1" applyBorder="1" applyAlignment="1">
      <alignment horizontal="center" vertical="center" wrapText="1"/>
    </xf>
    <xf numFmtId="0" fontId="5" fillId="2" borderId="8" xfId="0" applyFont="1" applyFill="1" applyBorder="1" applyAlignment="1">
      <alignment horizontal="center" vertical="center" wrapText="1"/>
    </xf>
    <xf numFmtId="0" fontId="5" fillId="2" borderId="9" xfId="0" applyFont="1" applyFill="1" applyBorder="1" applyAlignment="1">
      <alignment horizontal="center" vertical="center" wrapText="1"/>
    </xf>
    <xf numFmtId="0" fontId="5" fillId="2" borderId="10"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3" xfId="0" applyFont="1" applyFill="1" applyBorder="1" applyAlignment="1">
      <alignment horizontal="center" vertical="center"/>
    </xf>
    <xf numFmtId="0" fontId="12" fillId="0" borderId="0" xfId="0" applyFont="1" applyAlignment="1">
      <alignment horizontal="center" vertical="center" wrapText="1"/>
    </xf>
  </cellXfs>
  <cellStyles count="1">
    <cellStyle name="Normal" xfId="0" builtinId="0"/>
  </cellStyles>
  <dxfs count="118">
    <dxf>
      <font>
        <color theme="1"/>
      </font>
      <fill>
        <patternFill>
          <bgColor rgb="FFB5E69A"/>
        </patternFill>
      </fill>
    </dxf>
    <dxf>
      <font>
        <color theme="0"/>
      </font>
      <fill>
        <patternFill>
          <bgColor rgb="FFD26865"/>
        </patternFill>
      </fill>
    </dxf>
    <dxf>
      <font>
        <color theme="1"/>
      </font>
      <fill>
        <patternFill>
          <bgColor rgb="FFFFFFA7"/>
        </patternFill>
      </fill>
    </dxf>
    <dxf>
      <font>
        <b val="0"/>
        <i val="0"/>
        <color rgb="FFD04340"/>
      </font>
    </dxf>
    <dxf>
      <font>
        <b val="0"/>
        <i/>
        <color rgb="FF929292"/>
      </font>
    </dxf>
    <dxf>
      <font>
        <color theme="0"/>
      </font>
      <fill>
        <patternFill>
          <bgColor rgb="FFD26865"/>
        </patternFill>
      </fill>
    </dxf>
    <dxf>
      <font>
        <b val="0"/>
        <i val="0"/>
        <strike val="0"/>
        <condense val="0"/>
        <extend val="0"/>
        <outline val="0"/>
        <shadow val="0"/>
        <u val="none"/>
        <vertAlign val="baseline"/>
        <sz val="11"/>
        <color theme="1"/>
        <name val="Arial"/>
        <scheme val="none"/>
      </font>
      <numFmt numFmtId="1" formatCode="0"/>
      <fill>
        <patternFill patternType="none">
          <fgColor indexed="64"/>
          <bgColor indexed="65"/>
        </patternFill>
      </fill>
      <alignment horizontal="center" vertical="center" textRotation="0" wrapText="1" indent="0" justifyLastLine="0" shrinkToFit="0" readingOrder="0"/>
      <protection locked="1" hidden="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ill>
        <patternFill patternType="solid">
          <fgColor indexed="64"/>
          <bgColor theme="1" tint="0.499984740745262"/>
        </patternFill>
      </fill>
      <alignment horizontal="center" vertical="center" textRotation="0" wrapText="1" indent="0" justifyLastLine="0" shrinkToFit="0" readingOrder="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numFmt numFmtId="30" formatCode="@"/>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0" formatCode="General"/>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left" vertical="top"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solid">
          <fgColor indexed="64"/>
          <bgColor rgb="FFE4E4E4"/>
        </patternFill>
      </fill>
      <alignment horizontal="center" vertical="center" textRotation="0" wrapText="1" indent="0" justifyLastLine="0" shrinkToFit="0" readingOrder="0"/>
      <border diagonalUp="0" diagonalDown="0">
        <left/>
        <right style="thin">
          <color indexed="64"/>
        </right>
        <top/>
        <bottom/>
        <vertical/>
        <horizontal/>
      </border>
      <protection locked="0" hidden="0"/>
    </dxf>
    <dxf>
      <font>
        <b val="0"/>
        <i val="0"/>
        <strike val="0"/>
        <condense val="0"/>
        <extend val="0"/>
        <outline val="0"/>
        <shadow val="0"/>
        <u val="none"/>
        <vertAlign val="baseline"/>
        <sz val="11"/>
        <color theme="1"/>
        <name val="Arial"/>
        <scheme val="none"/>
      </font>
      <numFmt numFmtId="0" formatCode="General"/>
      <fill>
        <patternFill patternType="none">
          <fgColor indexed="64"/>
          <bgColor indexed="65"/>
        </patternFill>
      </fill>
      <alignment horizontal="center" vertical="center" textRotation="0" wrapText="1" indent="0" justifyLastLine="0" shrinkToFit="0" readingOrder="0"/>
      <protection locked="1" hidden="0"/>
    </dxf>
    <dxf>
      <font>
        <b val="0"/>
        <i/>
        <color theme="0" tint="-0.499984740745262"/>
      </font>
    </dxf>
    <dxf>
      <font>
        <b val="0"/>
        <i/>
        <color theme="0" tint="-0.499984740745262"/>
      </font>
    </dxf>
    <dxf>
      <numFmt numFmtId="19" formatCode="m/d/yyyy"/>
    </dxf>
    <dxf>
      <numFmt numFmtId="19" formatCode="m/d/yyyy"/>
    </dxf>
    <dxf>
      <numFmt numFmtId="19" formatCode="m/d/yyyy"/>
    </dxf>
    <dxf>
      <numFmt numFmtId="19" formatCode="m/d/yyyy"/>
    </dxf>
    <dxf>
      <border diagonalUp="0" diagonalDown="0">
        <left style="thick">
          <color auto="1"/>
        </left>
        <right style="thick">
          <color auto="1"/>
        </right>
        <top style="thick">
          <color auto="1"/>
        </top>
        <bottom style="thick">
          <color auto="1"/>
        </bottom>
      </border>
    </dxf>
    <dxf>
      <border outline="0">
        <top style="double">
          <color auto="1"/>
        </top>
      </border>
    </dxf>
    <dxf>
      <fill>
        <patternFill patternType="solid">
          <fgColor indexed="64"/>
          <bgColor theme="1" tint="0.499984740745262"/>
        </patternFill>
      </fill>
      <alignment horizontal="center" vertical="center" textRotation="0" wrapText="1" relativeIndent="0" justifyLastLine="0" shrinkToFit="0" readingOrder="0"/>
    </dxf>
    <dxf>
      <font>
        <b/>
        <strike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numFmt numFmtId="1" formatCode="0"/>
      <fill>
        <patternFill patternType="none">
          <fgColor indexed="64"/>
          <bgColor indexed="65"/>
        </patternFill>
      </fill>
      <alignment horizontal="center" vertical="center" textRotation="0" wrapText="1" indent="0" justifyLastLine="0" shrinkToFit="0" readingOrder="0"/>
      <protection locked="0" hidden="0"/>
    </dxf>
    <dxf>
      <font>
        <strike val="0"/>
        <outline val="0"/>
        <shadow val="0"/>
        <u val="none"/>
        <vertAlign val="baseline"/>
        <sz val="10.5"/>
        <color theme="1"/>
        <name val="Arial"/>
        <scheme val="none"/>
      </font>
      <alignment vertical="top" textRotation="0" wrapText="1" indent="0" justifyLastLine="0" shrinkToFit="0" readingOrder="0"/>
    </dxf>
    <dxf>
      <font>
        <strike val="0"/>
        <outline val="0"/>
        <shadow val="0"/>
        <u val="none"/>
        <vertAlign val="baseline"/>
        <sz val="11"/>
        <color theme="1"/>
        <name val="Arial"/>
        <scheme val="none"/>
      </font>
      <alignment horizontal="center" vertical="center" textRotation="0" wrapText="1" indent="0" justifyLastLine="0" shrinkToFit="0" readingOrder="0"/>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ont>
        <b/>
        <color theme="1"/>
      </font>
      <border>
        <top style="thin">
          <color theme="1"/>
        </top>
        <bottom/>
      </border>
    </dxf>
    <dxf>
      <font>
        <color rgb="FF408CE8"/>
      </font>
      <fill>
        <patternFill>
          <bgColor theme="0" tint="-0.14996795556505021"/>
        </patternFill>
      </fill>
      <border>
        <top style="thin">
          <color rgb="FF408CE8"/>
        </top>
        <bottom style="thin">
          <color rgb="FF408CE8"/>
        </bottom>
        <vertical/>
        <horizontal/>
      </border>
    </dxf>
    <dxf>
      <border>
        <bottom style="thin">
          <color rgb="FF408CE8"/>
        </bottom>
        <vertical/>
        <horizontal/>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
      <fill>
        <patternFill patternType="solid">
          <fgColor theme="0" tint="-0.14999847407452621"/>
          <bgColor theme="0" tint="-0.14999847407452621"/>
        </patternFill>
      </fill>
    </dxf>
    <dxf>
      <fill>
        <patternFill patternType="solid">
          <fgColor theme="0" tint="-0.14996795556505021"/>
          <bgColor rgb="FFC7C7C7"/>
        </patternFill>
      </fill>
    </dxf>
    <dxf>
      <font>
        <b/>
        <color theme="1"/>
      </font>
    </dxf>
    <dxf>
      <font>
        <b/>
        <color theme="1"/>
      </font>
    </dxf>
    <dxf>
      <font>
        <b/>
        <color theme="1"/>
      </font>
      <border>
        <top style="thin">
          <color theme="1"/>
        </top>
      </border>
    </dxf>
    <dxf>
      <font>
        <b/>
        <color theme="1"/>
      </font>
      <border>
        <bottom style="thin">
          <color theme="1"/>
        </bottom>
      </border>
    </dxf>
    <dxf>
      <font>
        <color theme="1"/>
      </font>
      <border>
        <top style="thin">
          <color theme="1"/>
        </top>
        <bottom style="thin">
          <color theme="1"/>
        </bottom>
      </border>
    </dxf>
    <dxf>
      <fill>
        <patternFill>
          <bgColor rgb="FFDEDEDE"/>
        </patternFill>
      </fill>
    </dxf>
    <dxf>
      <fill>
        <patternFill>
          <bgColor rgb="FFE4E4E4"/>
        </patternFill>
      </fill>
      <border>
        <left style="thin">
          <color theme="0" tint="-0.499984740745262"/>
        </left>
        <right style="thin">
          <color theme="0" tint="-0.499984740745262"/>
        </right>
        <top style="thin">
          <color theme="0" tint="-0.499984740745262"/>
        </top>
        <bottom style="thin">
          <color theme="0" tint="-0.499984740745262"/>
        </bottom>
        <vertical/>
        <horizontal style="thin">
          <color theme="0" tint="-0.499984740745262"/>
        </horizontal>
      </border>
    </dxf>
    <dxf>
      <font>
        <b/>
        <color theme="1"/>
      </font>
      <border>
        <top style="thin">
          <color theme="1"/>
        </top>
        <bottom/>
      </border>
    </dxf>
    <dxf>
      <font>
        <color theme="0"/>
      </font>
      <fill>
        <patternFill>
          <bgColor rgb="FF629AEC"/>
        </patternFill>
      </fill>
      <border>
        <left/>
        <top style="thin">
          <color auto="1"/>
        </top>
        <bottom style="thin">
          <color auto="1"/>
        </bottom>
        <vertical/>
      </border>
    </dxf>
    <dxf>
      <border>
        <top style="thin">
          <color theme="1"/>
        </top>
        <bottom style="thin">
          <color theme="1"/>
        </bottom>
        <vertical/>
        <horizontal style="hair">
          <color theme="1"/>
        </horizontal>
      </border>
    </dxf>
    <dxf>
      <fill>
        <patternFill>
          <bgColor rgb="FFEAEAEA"/>
        </patternFill>
      </fill>
    </dxf>
    <dxf>
      <fill>
        <patternFill>
          <bgColor rgb="FFE4E4E4"/>
        </patternFill>
      </fill>
      <border>
        <left style="thin">
          <color theme="0" tint="-0.499984740745262"/>
        </left>
        <right style="thin">
          <color theme="0" tint="-0.499984740745262"/>
        </right>
        <top style="thin">
          <color theme="0" tint="-0.499984740745262"/>
        </top>
        <bottom style="thin">
          <color theme="0" tint="-0.499984740745262"/>
        </bottom>
        <vertical/>
        <horizontal style="thin">
          <color theme="0" tint="-0.499984740745262"/>
        </horizontal>
      </border>
    </dxf>
    <dxf>
      <font>
        <b/>
        <color theme="1"/>
      </font>
      <border>
        <top style="thin">
          <color theme="1"/>
        </top>
        <bottom/>
      </border>
    </dxf>
    <dxf>
      <font>
        <color theme="0"/>
      </font>
      <fill>
        <patternFill>
          <bgColor rgb="FF629AEC"/>
        </patternFill>
      </fill>
      <border>
        <vertical style="thin">
          <color theme="0"/>
        </vertical>
      </border>
    </dxf>
    <dxf>
      <fill>
        <patternFill>
          <bgColor theme="0"/>
        </patternFill>
      </fill>
      <border diagonalUp="0" diagonalDown="0">
        <left style="thin">
          <color theme="0" tint="-0.499984740745262"/>
        </left>
        <right style="thin">
          <color theme="0" tint="-0.499984740745262"/>
        </right>
        <top style="thin">
          <color theme="0" tint="-0.499984740745262"/>
        </top>
        <bottom style="thin">
          <color theme="0" tint="-0.499984740745262"/>
        </bottom>
        <vertical/>
        <horizontal style="thin">
          <color theme="0" tint="-0.499984740745262"/>
        </horizontal>
      </border>
    </dxf>
  </dxfs>
  <tableStyles count="8" defaultTableStyle="TableStyleMedium9" defaultPivotStyle="PivotStyleLight16">
    <tableStyle name="Report_Blue" pivot="0" count="5">
      <tableStyleElement type="wholeTable" dxfId="117"/>
      <tableStyleElement type="headerRow" dxfId="116"/>
      <tableStyleElement type="totalRow" dxfId="115"/>
      <tableStyleElement type="firstColumn" dxfId="114"/>
      <tableStyleElement type="firstRowStripe" dxfId="113"/>
    </tableStyle>
    <tableStyle name="Report_Blue 2" pivot="0" count="5">
      <tableStyleElement type="wholeTable" dxfId="112"/>
      <tableStyleElement type="headerRow" dxfId="111"/>
      <tableStyleElement type="totalRow" dxfId="110"/>
      <tableStyleElement type="firstColumn" dxfId="109"/>
      <tableStyleElement type="firstRowStripe" dxfId="108"/>
    </tableStyle>
    <tableStyle name="reportMain" pivot="0" count="7">
      <tableStyleElement type="wholeTable" dxfId="107"/>
      <tableStyleElement type="headerRow" dxfId="106"/>
      <tableStyleElement type="totalRow" dxfId="105"/>
      <tableStyleElement type="firstColumn" dxfId="104"/>
      <tableStyleElement type="lastColumn" dxfId="103"/>
      <tableStyleElement type="firstRowStripe" dxfId="102"/>
      <tableStyleElement type="firstColumnStripe" dxfId="101"/>
    </tableStyle>
    <tableStyle name="TableStyleDark9 2" pivot="0" count="7">
      <tableStyleElement type="wholeTable" dxfId="100"/>
      <tableStyleElement type="headerRow" dxfId="99"/>
      <tableStyleElement type="totalRow" dxfId="98"/>
      <tableStyleElement type="firstColumn" dxfId="97"/>
      <tableStyleElement type="lastColumn" dxfId="96"/>
      <tableStyleElement type="firstRowStripe" dxfId="95"/>
      <tableStyleElement type="firstColumnStripe" dxfId="94"/>
    </tableStyle>
    <tableStyle name="TableStyleLight1 2" pivot="0" count="3">
      <tableStyleElement type="wholeTable" dxfId="93"/>
      <tableStyleElement type="headerRow" dxfId="92"/>
      <tableStyleElement type="totalRow" dxfId="91"/>
    </tableStyle>
    <tableStyle name="TableStyleMedium16 2" pivot="0" count="7">
      <tableStyleElement type="wholeTable" dxfId="90"/>
      <tableStyleElement type="headerRow" dxfId="89"/>
      <tableStyleElement type="totalRow" dxfId="88"/>
      <tableStyleElement type="firstColumn" dxfId="87"/>
      <tableStyleElement type="lastColumn" dxfId="86"/>
      <tableStyleElement type="firstRowStripe" dxfId="85"/>
      <tableStyleElement type="firstColumnStripe" dxfId="84"/>
    </tableStyle>
    <tableStyle name="TableStyleMedium22 2" pivot="0" count="7">
      <tableStyleElement type="wholeTable" dxfId="83"/>
      <tableStyleElement type="headerRow" dxfId="82"/>
      <tableStyleElement type="totalRow" dxfId="81"/>
      <tableStyleElement type="firstColumn" dxfId="80"/>
      <tableStyleElement type="lastColumn" dxfId="79"/>
      <tableStyleElement type="firstRowStripe" dxfId="78"/>
      <tableStyleElement type="firstColumnStripe" dxfId="77"/>
    </tableStyle>
    <tableStyle name="TableStyleMedium23 2" pivot="0" count="8">
      <tableStyleElement type="wholeTable" dxfId="76"/>
      <tableStyleElement type="headerRow" dxfId="75"/>
      <tableStyleElement type="totalRow" dxfId="74"/>
      <tableStyleElement type="firstColumn" dxfId="73"/>
      <tableStyleElement type="lastColumn" dxfId="72"/>
      <tableStyleElement type="firstRowStripe" dxfId="71"/>
      <tableStyleElement type="firstColumnStripe" dxfId="70"/>
      <tableStyleElement type="secondColumnStripe" dxfId="69"/>
    </tableStyle>
  </tableStyles>
  <colors>
    <mruColors>
      <color rgb="FFDEDEDE"/>
      <color rgb="FFE8E8E8"/>
      <color rgb="FFE6E6E6"/>
      <color rgb="FF408CE8"/>
      <color rgb="FFDCDCDC"/>
      <color rgb="FFCDCDCD"/>
      <color rgb="FFC7C7C7"/>
      <color rgb="FFD2D2D2"/>
      <color rgb="FFB5E69A"/>
      <color rgb="FFBAE19F"/>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4C599241-6926-101B-9992-00000B65C6F9}" ax:persistence="persistStreamInit" r:id="rId1"/>
</file>

<file path=xl/activeX/activeX4.xml><?xml version="1.0" encoding="utf-8"?>
<ax:ocx xmlns:ax="http://schemas.microsoft.com/office/2006/activeX" xmlns:r="http://schemas.openxmlformats.org/officeDocument/2006/relationships" ax:classid="{4C599241-6926-101B-9992-00000B65C6F9}" ax:persistence="persistStreamInit" r:id="rId1"/>
</file>

<file path=xl/activeX/activeX5.xml><?xml version="1.0" encoding="utf-8"?>
<ax:ocx xmlns:ax="http://schemas.microsoft.com/office/2006/activeX" xmlns:r="http://schemas.openxmlformats.org/officeDocument/2006/relationships" ax:classid="{4C599241-6926-101B-9992-00000B65C6F9}" ax:persistence="persistStreamInit" r:id="rId1"/>
</file>

<file path=xl/activeX/activeX6.xml><?xml version="1.0" encoding="utf-8"?>
<ax:ocx xmlns:ax="http://schemas.microsoft.com/office/2006/activeX" xmlns:r="http://schemas.openxmlformats.org/officeDocument/2006/relationships" ax:classid="{4C599241-6926-101B-9992-00000B65C6F9}"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4C599241-6926-101B-9992-00000B65C6F9}"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8.emf"/><Relationship Id="rId3" Type="http://schemas.openxmlformats.org/officeDocument/2006/relationships/image" Target="../media/image17.emf"/><Relationship Id="rId7" Type="http://schemas.openxmlformats.org/officeDocument/2006/relationships/image" Target="../media/image14.emf"/><Relationship Id="rId12" Type="http://schemas.openxmlformats.org/officeDocument/2006/relationships/image" Target="../media/image9.emf"/><Relationship Id="rId17" Type="http://schemas.openxmlformats.org/officeDocument/2006/relationships/image" Target="../media/image4.emf"/><Relationship Id="rId2" Type="http://schemas.openxmlformats.org/officeDocument/2006/relationships/image" Target="../media/image16.emf"/><Relationship Id="rId16" Type="http://schemas.openxmlformats.org/officeDocument/2006/relationships/image" Target="../media/image5.emf"/><Relationship Id="rId1" Type="http://schemas.openxmlformats.org/officeDocument/2006/relationships/image" Target="../media/image20.emf"/><Relationship Id="rId6" Type="http://schemas.openxmlformats.org/officeDocument/2006/relationships/image" Target="../media/image15.emf"/><Relationship Id="rId11" Type="http://schemas.openxmlformats.org/officeDocument/2006/relationships/image" Target="../media/image10.emf"/><Relationship Id="rId5" Type="http://schemas.openxmlformats.org/officeDocument/2006/relationships/image" Target="../media/image19.emf"/><Relationship Id="rId15" Type="http://schemas.openxmlformats.org/officeDocument/2006/relationships/image" Target="../media/image6.emf"/><Relationship Id="rId10" Type="http://schemas.openxmlformats.org/officeDocument/2006/relationships/image" Target="../media/image11.emf"/><Relationship Id="rId4" Type="http://schemas.openxmlformats.org/officeDocument/2006/relationships/image" Target="../media/image18.emf"/><Relationship Id="rId9" Type="http://schemas.openxmlformats.org/officeDocument/2006/relationships/image" Target="../media/image12.emf"/><Relationship Id="rId1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oneCellAnchor>
    <xdr:from>
      <xdr:col>0</xdr:col>
      <xdr:colOff>262304</xdr:colOff>
      <xdr:row>0</xdr:row>
      <xdr:rowOff>0</xdr:rowOff>
    </xdr:from>
    <xdr:ext cx="5920080" cy="1150403"/>
    <xdr:grpSp>
      <xdr:nvGrpSpPr>
        <xdr:cNvPr id="2" name="Group 1"/>
        <xdr:cNvGrpSpPr>
          <a:grpSpLocks noChangeAspect="1"/>
        </xdr:cNvGrpSpPr>
      </xdr:nvGrpSpPr>
      <xdr:grpSpPr>
        <a:xfrm>
          <a:off x="262304" y="0"/>
          <a:ext cx="5920080" cy="1150403"/>
          <a:chOff x="671879" y="0"/>
          <a:chExt cx="6130001" cy="1170000"/>
        </a:xfrm>
      </xdr:grpSpPr>
      <xdr:pic>
        <xdr:nvPicPr>
          <xdr:cNvPr id="3" name="Picture 2" descr="Copy of WD RTA sheet header.jpg"/>
          <xdr:cNvPicPr>
            <a:picLocks noChangeAspect="1"/>
          </xdr:cNvPicPr>
        </xdr:nvPicPr>
        <xdr:blipFill>
          <a:blip xmlns:r="http://schemas.openxmlformats.org/officeDocument/2006/relationships" r:embed="rId1" cstate="print"/>
          <a:stretch>
            <a:fillRect/>
          </a:stretch>
        </xdr:blipFill>
        <xdr:spPr>
          <a:xfrm>
            <a:off x="671879" y="0"/>
            <a:ext cx="6130001" cy="1170000"/>
          </a:xfrm>
          <a:prstGeom prst="rect">
            <a:avLst/>
          </a:prstGeom>
          <a:ln>
            <a:noFill/>
          </a:ln>
          <a:effectLst>
            <a:outerShdw blurRad="292100" dist="139700" dir="2700000" algn="tl" rotWithShape="0">
              <a:srgbClr val="333333">
                <a:alpha val="65000"/>
              </a:srgbClr>
            </a:outerShdw>
          </a:effectLst>
        </xdr:spPr>
      </xdr:pic>
      <mc:AlternateContent xmlns:mc="http://schemas.openxmlformats.org/markup-compatibility/2006">
        <mc:Choice xmlns:a14="http://schemas.microsoft.com/office/drawing/2010/main" Requires="a14">
          <xdr:sp macro="" textlink="">
            <xdr:nvSpPr>
              <xdr:cNvPr id="10241" name="sheetRev" hidden="1">
                <a:extLst>
                  <a:ext uri="{63B3BB69-23CF-44E3-9099-C40C66FF867C}">
                    <a14:compatExt spid="_x0000_s10241"/>
                  </a:ext>
                </a:extLst>
              </xdr:cNvPr>
              <xdr:cNvSpPr/>
            </xdr:nvSpPr>
            <xdr:spPr>
              <a:xfrm>
                <a:off x="6270582" y="887706"/>
                <a:ext cx="223795" cy="211358"/>
              </a:xfrm>
              <a:prstGeom prst="rect">
                <a:avLst/>
              </a:prstGeom>
            </xdr:spPr>
          </xdr:sp>
        </mc:Choice>
        <mc:Fallback/>
      </mc:AlternateContent>
    </xdr:grpSp>
    <xdr:clientData/>
  </xdr:oneCellAnchor>
  <mc:AlternateContent xmlns:mc="http://schemas.openxmlformats.org/markup-compatibility/2006">
    <mc:Choice xmlns:a14="http://schemas.microsoft.com/office/drawing/2010/main" Requires="a14">
      <xdr:twoCellAnchor editAs="oneCell">
        <xdr:from>
          <xdr:col>3</xdr:col>
          <xdr:colOff>590204</xdr:colOff>
          <xdr:row>8</xdr:row>
          <xdr:rowOff>141316</xdr:rowOff>
        </xdr:from>
        <xdr:to>
          <xdr:col>6</xdr:col>
          <xdr:colOff>66502</xdr:colOff>
          <xdr:row>11</xdr:row>
          <xdr:rowOff>116378</xdr:rowOff>
        </xdr:to>
        <xdr:sp macro="" textlink="">
          <xdr:nvSpPr>
            <xdr:cNvPr id="10242" name="CommandButton1" hidden="1">
              <a:extLst>
                <a:ext uri="{63B3BB69-23CF-44E3-9099-C40C66FF867C}">
                  <a14:compatExt spid="_x0000_s1024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133004</xdr:colOff>
          <xdr:row>0</xdr:row>
          <xdr:rowOff>66502</xdr:rowOff>
        </xdr:from>
        <xdr:to>
          <xdr:col>3</xdr:col>
          <xdr:colOff>2818015</xdr:colOff>
          <xdr:row>1</xdr:row>
          <xdr:rowOff>191193</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191193</xdr:colOff>
          <xdr:row>1</xdr:row>
          <xdr:rowOff>241069</xdr:rowOff>
        </xdr:from>
        <xdr:to>
          <xdr:col>3</xdr:col>
          <xdr:colOff>2377440</xdr:colOff>
          <xdr:row>1</xdr:row>
          <xdr:rowOff>581891</xdr:rowOff>
        </xdr:to>
        <xdr:sp macro="" textlink="">
          <xdr:nvSpPr>
            <xdr:cNvPr id="1045" name="PM"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191193</xdr:colOff>
          <xdr:row>1</xdr:row>
          <xdr:rowOff>615142</xdr:rowOff>
        </xdr:from>
        <xdr:to>
          <xdr:col>3</xdr:col>
          <xdr:colOff>2377440</xdr:colOff>
          <xdr:row>2</xdr:row>
          <xdr:rowOff>141316</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191193</xdr:colOff>
          <xdr:row>2</xdr:row>
          <xdr:rowOff>182880</xdr:rowOff>
        </xdr:from>
        <xdr:to>
          <xdr:col>3</xdr:col>
          <xdr:colOff>2377440</xdr:colOff>
          <xdr:row>2</xdr:row>
          <xdr:rowOff>523702</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191193</xdr:colOff>
          <xdr:row>2</xdr:row>
          <xdr:rowOff>573578</xdr:rowOff>
        </xdr:from>
        <xdr:to>
          <xdr:col>3</xdr:col>
          <xdr:colOff>2377440</xdr:colOff>
          <xdr:row>3</xdr:row>
          <xdr:rowOff>41564</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282633</xdr:colOff>
          <xdr:row>2</xdr:row>
          <xdr:rowOff>764771</xdr:rowOff>
        </xdr:from>
        <xdr:to>
          <xdr:col>2</xdr:col>
          <xdr:colOff>1122218</xdr:colOff>
          <xdr:row>3</xdr:row>
          <xdr:rowOff>157942</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1163782</xdr:colOff>
          <xdr:row>2</xdr:row>
          <xdr:rowOff>731520</xdr:rowOff>
        </xdr:from>
        <xdr:to>
          <xdr:col>2</xdr:col>
          <xdr:colOff>1546167</xdr:colOff>
          <xdr:row>3</xdr:row>
          <xdr:rowOff>174567</xdr:rowOff>
        </xdr:to>
        <xdr:sp macro="" textlink="">
          <xdr:nvSpPr>
            <xdr:cNvPr id="9967" name="searchButton" hidden="1">
              <a:extLst>
                <a:ext uri="{63B3BB69-23CF-44E3-9099-C40C66FF867C}">
                  <a14:compatExt spid="_x0000_s996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133004</xdr:colOff>
          <xdr:row>1</xdr:row>
          <xdr:rowOff>149629</xdr:rowOff>
        </xdr:from>
        <xdr:to>
          <xdr:col>2</xdr:col>
          <xdr:colOff>1778924</xdr:colOff>
          <xdr:row>1</xdr:row>
          <xdr:rowOff>540327</xdr:rowOff>
        </xdr:to>
        <xdr:sp macro="" textlink="">
          <xdr:nvSpPr>
            <xdr:cNvPr id="9968" name="tools" hidden="1">
              <a:extLst>
                <a:ext uri="{63B3BB69-23CF-44E3-9099-C40C66FF867C}">
                  <a14:compatExt spid="_x0000_s996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133004</xdr:colOff>
          <xdr:row>1</xdr:row>
          <xdr:rowOff>590204</xdr:rowOff>
        </xdr:from>
        <xdr:to>
          <xdr:col>2</xdr:col>
          <xdr:colOff>1778924</xdr:colOff>
          <xdr:row>2</xdr:row>
          <xdr:rowOff>157942</xdr:rowOff>
        </xdr:to>
        <xdr:sp macro="" textlink="">
          <xdr:nvSpPr>
            <xdr:cNvPr id="9969" name="printReport" hidden="1">
              <a:extLst>
                <a:ext uri="{63B3BB69-23CF-44E3-9099-C40C66FF867C}">
                  <a14:compatExt spid="_x0000_s99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133004</xdr:colOff>
          <xdr:row>2</xdr:row>
          <xdr:rowOff>207818</xdr:rowOff>
        </xdr:from>
        <xdr:to>
          <xdr:col>2</xdr:col>
          <xdr:colOff>1778924</xdr:colOff>
          <xdr:row>2</xdr:row>
          <xdr:rowOff>598516</xdr:rowOff>
        </xdr:to>
        <xdr:sp macro="" textlink="">
          <xdr:nvSpPr>
            <xdr:cNvPr id="9970" name="prioritizer" hidden="1">
              <a:extLst>
                <a:ext uri="{63B3BB69-23CF-44E3-9099-C40C66FF867C}">
                  <a14:compatExt spid="_x0000_s997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133004</xdr:colOff>
          <xdr:row>1</xdr:row>
          <xdr:rowOff>498764</xdr:rowOff>
        </xdr:from>
        <xdr:to>
          <xdr:col>1</xdr:col>
          <xdr:colOff>573578</xdr:colOff>
          <xdr:row>2</xdr:row>
          <xdr:rowOff>141316</xdr:rowOff>
        </xdr:to>
        <xdr:sp macro="" textlink="">
          <xdr:nvSpPr>
            <xdr:cNvPr id="9971" name="gotoDept" hidden="1">
              <a:extLst>
                <a:ext uri="{63B3BB69-23CF-44E3-9099-C40C66FF867C}">
                  <a14:compatExt spid="_x0000_s997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133004</xdr:colOff>
          <xdr:row>1</xdr:row>
          <xdr:rowOff>91440</xdr:rowOff>
        </xdr:from>
        <xdr:to>
          <xdr:col>1</xdr:col>
          <xdr:colOff>573578</xdr:colOff>
          <xdr:row>1</xdr:row>
          <xdr:rowOff>432262</xdr:rowOff>
        </xdr:to>
        <xdr:sp macro="" textlink="">
          <xdr:nvSpPr>
            <xdr:cNvPr id="9972" name="ClearSort" hidden="1">
              <a:extLst>
                <a:ext uri="{63B3BB69-23CF-44E3-9099-C40C66FF867C}">
                  <a14:compatExt spid="_x0000_s997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66502</xdr:colOff>
          <xdr:row>2</xdr:row>
          <xdr:rowOff>207818</xdr:rowOff>
        </xdr:from>
        <xdr:to>
          <xdr:col>1</xdr:col>
          <xdr:colOff>706582</xdr:colOff>
          <xdr:row>2</xdr:row>
          <xdr:rowOff>573578</xdr:rowOff>
        </xdr:to>
        <xdr:sp macro="" textlink="">
          <xdr:nvSpPr>
            <xdr:cNvPr id="9973" name="refreshMain" hidden="1">
              <a:extLst>
                <a:ext uri="{63B3BB69-23CF-44E3-9099-C40C66FF867C}">
                  <a14:compatExt spid="_x0000_s997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66502</xdr:colOff>
          <xdr:row>2</xdr:row>
          <xdr:rowOff>631767</xdr:rowOff>
        </xdr:from>
        <xdr:to>
          <xdr:col>1</xdr:col>
          <xdr:colOff>706582</xdr:colOff>
          <xdr:row>3</xdr:row>
          <xdr:rowOff>124691</xdr:rowOff>
        </xdr:to>
        <xdr:sp macro="" textlink="">
          <xdr:nvSpPr>
            <xdr:cNvPr id="9974" name="posReturn" hidden="1">
              <a:extLst>
                <a:ext uri="{63B3BB69-23CF-44E3-9099-C40C66FF867C}">
                  <a14:compatExt spid="_x0000_s997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365760</xdr:colOff>
          <xdr:row>0</xdr:row>
          <xdr:rowOff>41564</xdr:rowOff>
        </xdr:from>
        <xdr:to>
          <xdr:col>2</xdr:col>
          <xdr:colOff>1546167</xdr:colOff>
          <xdr:row>1</xdr:row>
          <xdr:rowOff>108065</xdr:rowOff>
        </xdr:to>
        <xdr:sp macro="" textlink="">
          <xdr:nvSpPr>
            <xdr:cNvPr id="9975" name="fullScreenMode" hidden="1">
              <a:extLst>
                <a:ext uri="{63B3BB69-23CF-44E3-9099-C40C66FF867C}">
                  <a14:compatExt spid="_x0000_s99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2427316</xdr:colOff>
          <xdr:row>1</xdr:row>
          <xdr:rowOff>249382</xdr:rowOff>
        </xdr:from>
        <xdr:to>
          <xdr:col>3</xdr:col>
          <xdr:colOff>2743200</xdr:colOff>
          <xdr:row>1</xdr:row>
          <xdr:rowOff>573578</xdr:rowOff>
        </xdr:to>
        <xdr:sp macro="" textlink="">
          <xdr:nvSpPr>
            <xdr:cNvPr id="9976" name="pmSht" hidden="1">
              <a:extLst>
                <a:ext uri="{63B3BB69-23CF-44E3-9099-C40C66FF867C}">
                  <a14:compatExt spid="_x0000_s997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2427316</xdr:colOff>
          <xdr:row>1</xdr:row>
          <xdr:rowOff>631767</xdr:rowOff>
        </xdr:from>
        <xdr:to>
          <xdr:col>3</xdr:col>
          <xdr:colOff>2743200</xdr:colOff>
          <xdr:row>2</xdr:row>
          <xdr:rowOff>133004</xdr:rowOff>
        </xdr:to>
        <xdr:sp macro="" textlink="">
          <xdr:nvSpPr>
            <xdr:cNvPr id="9978" name="fcSht" hidden="1">
              <a:extLst>
                <a:ext uri="{63B3BB69-23CF-44E3-9099-C40C66FF867C}">
                  <a14:compatExt spid="_x0000_s997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2427316</xdr:colOff>
          <xdr:row>2</xdr:row>
          <xdr:rowOff>191193</xdr:rowOff>
        </xdr:from>
        <xdr:to>
          <xdr:col>3</xdr:col>
          <xdr:colOff>2743200</xdr:colOff>
          <xdr:row>2</xdr:row>
          <xdr:rowOff>515389</xdr:rowOff>
        </xdr:to>
        <xdr:sp macro="" textlink="">
          <xdr:nvSpPr>
            <xdr:cNvPr id="9979" name="diSht" hidden="1">
              <a:extLst>
                <a:ext uri="{63B3BB69-23CF-44E3-9099-C40C66FF867C}">
                  <a14:compatExt spid="_x0000_s997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2427316</xdr:colOff>
          <xdr:row>2</xdr:row>
          <xdr:rowOff>581891</xdr:rowOff>
        </xdr:from>
        <xdr:to>
          <xdr:col>3</xdr:col>
          <xdr:colOff>2743200</xdr:colOff>
          <xdr:row>3</xdr:row>
          <xdr:rowOff>24938</xdr:rowOff>
        </xdr:to>
        <xdr:sp macro="" textlink="">
          <xdr:nvSpPr>
            <xdr:cNvPr id="9980" name="softSht" hidden="1">
              <a:extLst>
                <a:ext uri="{63B3BB69-23CF-44E3-9099-C40C66FF867C}">
                  <a14:compatExt spid="_x0000_s9980"/>
                </a:ext>
              </a:extLst>
            </xdr:cNvPr>
            <xdr:cNvSpPr/>
          </xdr:nvSpPr>
          <xdr:spPr>
            <a:xfrm>
              <a:off x="0" y="0"/>
              <a:ext cx="0" cy="0"/>
            </a:xfrm>
            <a:prstGeom prst="rect">
              <a:avLst/>
            </a:prstGeom>
          </xdr:spPr>
        </xdr:sp>
        <xdr:clientData fPrintsWithSheet="0"/>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40" unboundColumnsLeft="1">
    <queryTableFields count="30">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 id="29" name="Submitted By" tableColumnId="24"/>
      <queryTableField id="30" name="Requestor Email" tableColumnId="25"/>
      <queryTableField id="32" name="Manager/Lead" tableColumnId="27"/>
      <queryTableField id="33" name="Requestor Name" tableColumnId="26"/>
      <queryTableField id="37" name="Mfg Start Date" tableColumnId="31"/>
      <queryTableField id="38" name="Mfg Due Date" tableColumnId="32"/>
      <queryTableField id="39" name="Complete Date" tableColumnId="33"/>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5"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6"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8"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7"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9"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AD1506" tableType="queryTable" totalsRowShown="0" headerRowDxfId="68" dataDxfId="67">
  <sortState ref="A6:AD1506">
    <sortCondition ref="A5:A1506"/>
  </sortState>
  <tableColumns count="30">
    <tableColumn id="17" uniqueName="17" name=" " queryTableFieldId="17" dataDxfId="41">
      <calculatedColumnFormula>IF(priority(Main[[#This Row],[Comments]])&lt;&gt;0, priority(Main[[#This Row],[Comments]]),"")</calculatedColumnFormula>
    </tableColumn>
    <tableColumn id="1" uniqueName="1" name="RTA" queryTableFieldId="1" dataDxfId="40"/>
    <tableColumn id="2" uniqueName="2" name="Customer" queryTableFieldId="2" dataDxfId="39"/>
    <tableColumn id="3" uniqueName="3" name="Description" queryTableFieldId="3" dataDxfId="38"/>
    <tableColumn id="4" uniqueName="4" name="Submitted" queryTableFieldId="4" dataDxfId="37"/>
    <tableColumn id="5" uniqueName="5" name="In Stock Date" queryTableFieldId="5" dataDxfId="36"/>
    <tableColumn id="19" uniqueName="19" name="Std. Prod. Lead Time" queryTableFieldId="19" dataDxfId="35">
      <calculatedColumnFormula>IF(stdProdLT(Main[[#This Row],[Comments]])=0.1,"N/A",IF(stdProdLT(Main[[#This Row],[Comments]])=0,"",TRIM(stdProdLT(Main[[#This Row],[Comments]]))))</calculatedColumnFormula>
    </tableColumn>
    <tableColumn id="18" uniqueName="18" name="Remaining Lead Time" queryTableFieldId="18" dataDxfId="6">
      <calculatedColumnFormula>IF(OR(Main[[#This Row],[Std. Prod. Lead Time]]="N/A",Main[[#This Row],[Std. Prod. Lead Time]]=""), "",IF(AND(Main[[#This Row],[In Stock Date]]&lt;&gt;"",Main[[#This Row],[Revised Due Date]]&lt;&gt;"",Main[[#This Row],[In Stock Date]]&lt;&gt;""),Main[[#This Row],[In Stock Date]]-Main[[#This Row],[Revised Due Date]],""))</calculatedColumnFormula>
    </tableColumn>
    <tableColumn id="6" uniqueName="6" name="Assigned To" queryTableFieldId="6" dataDxfId="34"/>
    <tableColumn id="7" uniqueName="7" name="Current Status" queryTableFieldId="7" dataDxfId="33"/>
    <tableColumn id="12" uniqueName="12" name="Class" queryTableFieldId="12" dataDxfId="66"/>
    <tableColumn id="9" uniqueName="9" name="Tech Start Date" queryTableFieldId="9" dataDxfId="32"/>
    <tableColumn id="22" uniqueName="22" name="Design" queryTableFieldId="23" dataDxfId="31">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30">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29">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28">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27"/>
    <tableColumn id="11" uniqueName="11" name="Revised Due Date" queryTableFieldId="11" dataDxfId="26"/>
    <tableColumn id="13" uniqueName="13" name="Type" queryTableFieldId="13" dataDxfId="25"/>
    <tableColumn id="14" uniqueName="14" name="Comments" queryTableFieldId="14" dataDxfId="24"/>
    <tableColumn id="15" uniqueName="15" name="State" queryTableFieldId="15" dataDxfId="23"/>
    <tableColumn id="8" uniqueName="8" name="Lab Office" queryTableFieldId="8" dataDxfId="22"/>
    <tableColumn id="16" uniqueName="16" name="Code" queryTableFieldId="16" dataDxfId="21"/>
    <tableColumn id="24" uniqueName="24" name="Submitted By" queryTableFieldId="29" dataDxfId="20"/>
    <tableColumn id="25" uniqueName="25" name="Requestor Email" queryTableFieldId="30" dataDxfId="19"/>
    <tableColumn id="27" uniqueName="27" name="Manager/Lead" queryTableFieldId="32" dataDxfId="18"/>
    <tableColumn id="26" uniqueName="26" name="Requestor Name" queryTableFieldId="33" dataDxfId="17"/>
    <tableColumn id="31" uniqueName="31" name="Mfg Start Date" queryTableFieldId="37" dataDxfId="16"/>
    <tableColumn id="32" uniqueName="32" name="Mfg Due Date" queryTableFieldId="38" dataDxfId="15"/>
    <tableColumn id="33" uniqueName="33" name="Complete Date" queryTableFieldId="39" dataDxfId="14"/>
  </tableColumns>
  <tableStyleInfo name="Report_Blue" showFirstColumn="1" showLastColumn="0" showRowStripes="1" showColumnStripes="0"/>
</table>
</file>

<file path=xl/tables/table2.xml><?xml version="1.0" encoding="utf-8"?>
<table xmlns="http://schemas.openxmlformats.org/spreadsheetml/2006/main" id="2" name="NamePM" displayName="NamePM" ref="C29:C53" tableType="queryTable" headerRowCount="0" totalsRowShown="0" headerRowDxfId="65" dataDxfId="64">
  <tableColumns count="1">
    <tableColumn id="1" uniqueName="1" name="Assigned To" queryTableFieldId="1" headerRowDxfId="63" dataDxfId="7"/>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3" tableType="queryTable" headerRowCount="0" totalsRowShown="0" headerRowDxfId="62" dataDxfId="61">
  <tableColumns count="1">
    <tableColumn id="1" uniqueName="1" name="Assigned To" queryTableFieldId="1" headerRowDxfId="60" dataDxfId="8"/>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6" tableType="queryTable" headerRowCount="0" totalsRowShown="0" headerRowDxfId="59" dataDxfId="58">
  <tableColumns count="1">
    <tableColumn id="1" uniqueName="1" name="Assigned To" queryTableFieldId="1" headerRowDxfId="57" dataDxfId="9"/>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9" tableType="queryTable" headerRowCount="0" totalsRowShown="0">
  <tableColumns count="1">
    <tableColumn id="1" uniqueName="1" name="Assigned To" queryTableFieldId="1" headerRowDxfId="56" dataDxfId="10"/>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40" tableType="queryTable" totalsRowShown="0" headerRowDxfId="55">
  <autoFilter ref="G28:G40"/>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54" dataDxfId="53">
  <autoFilter ref="I28:I36"/>
  <sortState ref="I29:I36">
    <sortCondition ref="I2:I10"/>
  </sortState>
  <tableColumns count="1">
    <tableColumn id="1" uniqueName="1" name="State" queryTableFieldId="1" dataDxfId="11"/>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52">
  <autoFilter ref="J28:J35"/>
  <sortState ref="J29:J35">
    <sortCondition ref="J24:J31"/>
  </sortState>
  <tableColumns count="1">
    <tableColumn id="1" uniqueName="1" name="Code" queryTableFieldId="2" dataDxfId="12"/>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6" tableType="queryTable" totalsRowShown="0" headerRowDxfId="51" dataDxfId="50" tableBorderDxfId="49">
  <autoFilter ref="H28:H36"/>
  <tableColumns count="1">
    <tableColumn id="1" uniqueName="1" name="Type" queryTableFieldId="1" dataDxfId="13"/>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48">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ReportTable_reportMain" displayName="ReportTable_reportMain" ref="A2:H3" insertRow="1" totalsRowShown="0">
  <tableColumns count="8">
    <tableColumn id="1" name="#"/>
    <tableColumn id="2" name="RTA"/>
    <tableColumn id="3" name="Customer"/>
    <tableColumn id="4" name="Description"/>
    <tableColumn id="5" name="Available In Stock" dataDxfId="47"/>
    <tableColumn id="11" name="Assigned To"/>
    <tableColumn id="8" name="Status"/>
    <tableColumn id="9" name="Tech Rev. Due Date" dataDxfId="46"/>
  </tableColumns>
  <tableStyleInfo name="reportMain" showFirstColumn="0" showLastColumn="0" showRowStripes="1" showColumnStripes="0"/>
</table>
</file>

<file path=xl/tables/table12.xml><?xml version="1.0" encoding="utf-8"?>
<table xmlns="http://schemas.openxmlformats.org/spreadsheetml/2006/main" id="11" name="ReportTable_reportBlue" displayName="ReportTable_reportBlue" ref="A2:H3" insertRow="1" totalsRowShown="0">
  <tableColumns count="8">
    <tableColumn id="1" name="#"/>
    <tableColumn id="2" name="RTA"/>
    <tableColumn id="3" name="Customer"/>
    <tableColumn id="4" name="Description"/>
    <tableColumn id="5" name="Available In Stock Date" dataDxfId="45"/>
    <tableColumn id="11" name="Assigned To"/>
    <tableColumn id="8" name="Status"/>
    <tableColumn id="9" name="Tech Rev. Due Date" dataDxfId="44"/>
  </tableColumns>
  <tableStyleInfo name="Report_Blue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8.xml"/><Relationship Id="rId18" Type="http://schemas.openxmlformats.org/officeDocument/2006/relationships/image" Target="../media/image9.emf"/><Relationship Id="rId26" Type="http://schemas.openxmlformats.org/officeDocument/2006/relationships/image" Target="../media/image13.emf"/><Relationship Id="rId39" Type="http://schemas.openxmlformats.org/officeDocument/2006/relationships/control" Target="../activeX/activeX21.xml"/><Relationship Id="rId3" Type="http://schemas.openxmlformats.org/officeDocument/2006/relationships/vmlDrawing" Target="../drawings/vmlDrawing2.vml"/><Relationship Id="rId21" Type="http://schemas.openxmlformats.org/officeDocument/2006/relationships/control" Target="../activeX/activeX12.xml"/><Relationship Id="rId34" Type="http://schemas.openxmlformats.org/officeDocument/2006/relationships/image" Target="../media/image17.emf"/><Relationship Id="rId7" Type="http://schemas.openxmlformats.org/officeDocument/2006/relationships/control" Target="../activeX/activeX4.xml"/><Relationship Id="rId12" Type="http://schemas.openxmlformats.org/officeDocument/2006/relationships/image" Target="../media/image6.emf"/><Relationship Id="rId17" Type="http://schemas.openxmlformats.org/officeDocument/2006/relationships/control" Target="../activeX/activeX10.xml"/><Relationship Id="rId25" Type="http://schemas.openxmlformats.org/officeDocument/2006/relationships/control" Target="../activeX/activeX14.xml"/><Relationship Id="rId33" Type="http://schemas.openxmlformats.org/officeDocument/2006/relationships/control" Target="../activeX/activeX18.xml"/><Relationship Id="rId38" Type="http://schemas.openxmlformats.org/officeDocument/2006/relationships/image" Target="../media/image19.emf"/><Relationship Id="rId2" Type="http://schemas.openxmlformats.org/officeDocument/2006/relationships/drawing" Target="../drawings/drawing2.xml"/><Relationship Id="rId16" Type="http://schemas.openxmlformats.org/officeDocument/2006/relationships/image" Target="../media/image8.emf"/><Relationship Id="rId20" Type="http://schemas.openxmlformats.org/officeDocument/2006/relationships/image" Target="../media/image10.emf"/><Relationship Id="rId29" Type="http://schemas.openxmlformats.org/officeDocument/2006/relationships/control" Target="../activeX/activeX16.xml"/><Relationship Id="rId41" Type="http://schemas.openxmlformats.org/officeDocument/2006/relationships/table" Target="../tables/table1.xml"/><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control" Target="../activeX/activeX7.xml"/><Relationship Id="rId24" Type="http://schemas.openxmlformats.org/officeDocument/2006/relationships/image" Target="../media/image12.emf"/><Relationship Id="rId32" Type="http://schemas.openxmlformats.org/officeDocument/2006/relationships/image" Target="../media/image16.emf"/><Relationship Id="rId37" Type="http://schemas.openxmlformats.org/officeDocument/2006/relationships/control" Target="../activeX/activeX20.xml"/><Relationship Id="rId40" Type="http://schemas.openxmlformats.org/officeDocument/2006/relationships/image" Target="../media/image20.emf"/><Relationship Id="rId5" Type="http://schemas.openxmlformats.org/officeDocument/2006/relationships/control" Target="../activeX/activeX3.xml"/><Relationship Id="rId15" Type="http://schemas.openxmlformats.org/officeDocument/2006/relationships/control" Target="../activeX/activeX9.xml"/><Relationship Id="rId23" Type="http://schemas.openxmlformats.org/officeDocument/2006/relationships/control" Target="../activeX/activeX13.xml"/><Relationship Id="rId28" Type="http://schemas.openxmlformats.org/officeDocument/2006/relationships/image" Target="../media/image14.emf"/><Relationship Id="rId36" Type="http://schemas.openxmlformats.org/officeDocument/2006/relationships/image" Target="../media/image18.emf"/><Relationship Id="rId10" Type="http://schemas.openxmlformats.org/officeDocument/2006/relationships/control" Target="../activeX/activeX6.xml"/><Relationship Id="rId19" Type="http://schemas.openxmlformats.org/officeDocument/2006/relationships/control" Target="../activeX/activeX11.xml"/><Relationship Id="rId31" Type="http://schemas.openxmlformats.org/officeDocument/2006/relationships/control" Target="../activeX/activeX17.xml"/><Relationship Id="rId4" Type="http://schemas.openxmlformats.org/officeDocument/2006/relationships/vmlDrawing" Target="../drawings/vmlDrawing3.vml"/><Relationship Id="rId9" Type="http://schemas.openxmlformats.org/officeDocument/2006/relationships/control" Target="../activeX/activeX5.xml"/><Relationship Id="rId14" Type="http://schemas.openxmlformats.org/officeDocument/2006/relationships/image" Target="../media/image7.emf"/><Relationship Id="rId22" Type="http://schemas.openxmlformats.org/officeDocument/2006/relationships/image" Target="../media/image11.emf"/><Relationship Id="rId27" Type="http://schemas.openxmlformats.org/officeDocument/2006/relationships/control" Target="../activeX/activeX15.xml"/><Relationship Id="rId30" Type="http://schemas.openxmlformats.org/officeDocument/2006/relationships/image" Target="../media/image15.emf"/><Relationship Id="rId35" Type="http://schemas.openxmlformats.org/officeDocument/2006/relationships/control" Target="../activeX/activeX19.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3.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outlinePr showOutlineSymbols="0"/>
  </sheetPr>
  <dimension ref="A1:AA32"/>
  <sheetViews>
    <sheetView showGridLines="0" showRowColHeaders="0" showZeros="0" tabSelected="1" showOutlineSymbols="0" zoomScaleNormal="100" workbookViewId="0"/>
  </sheetViews>
  <sheetFormatPr defaultColWidth="9" defaultRowHeight="15.9" customHeight="1"/>
  <cols>
    <col min="1" max="1" width="8.33203125" style="56" customWidth="1"/>
    <col min="2" max="2" width="8.33203125" style="57" customWidth="1"/>
    <col min="3" max="9" width="8.33203125" style="55" customWidth="1"/>
    <col min="10" max="10" width="9.77734375" style="55" customWidth="1"/>
    <col min="11" max="11" width="8.33203125" style="44" customWidth="1"/>
    <col min="12" max="16384" width="9" style="44"/>
  </cols>
  <sheetData>
    <row r="1" spans="1:11" ht="14.4">
      <c r="A1" s="44"/>
      <c r="B1" s="44"/>
      <c r="C1" s="44"/>
      <c r="D1" s="44"/>
      <c r="E1" s="44"/>
      <c r="F1" s="44"/>
      <c r="G1" s="44"/>
      <c r="H1" s="44"/>
      <c r="I1" s="44"/>
      <c r="J1" s="44"/>
    </row>
    <row r="2" spans="1:11" ht="14.4">
      <c r="A2" s="44"/>
      <c r="B2" s="156" t="s">
        <v>2058</v>
      </c>
      <c r="C2" s="156"/>
      <c r="D2" s="156"/>
      <c r="E2" s="156"/>
      <c r="F2" s="156"/>
      <c r="G2" s="156"/>
      <c r="H2" s="156"/>
      <c r="I2" s="156"/>
      <c r="J2" s="156"/>
    </row>
    <row r="3" spans="1:11" ht="14.4">
      <c r="A3" s="44"/>
      <c r="B3" s="156"/>
      <c r="C3" s="156"/>
      <c r="D3" s="156"/>
      <c r="E3" s="156"/>
      <c r="F3" s="156"/>
      <c r="G3" s="156"/>
      <c r="H3" s="156"/>
      <c r="I3" s="156"/>
      <c r="J3" s="156"/>
    </row>
    <row r="4" spans="1:11" ht="15.05" customHeight="1">
      <c r="A4" s="44"/>
      <c r="B4" s="156"/>
      <c r="C4" s="156"/>
      <c r="D4" s="156"/>
      <c r="E4" s="156"/>
      <c r="F4" s="156"/>
      <c r="G4" s="156"/>
      <c r="H4" s="156"/>
      <c r="I4" s="156"/>
      <c r="J4" s="156"/>
    </row>
    <row r="5" spans="1:11" ht="14.25" customHeight="1">
      <c r="A5" s="44"/>
      <c r="B5" s="156"/>
      <c r="C5" s="156"/>
      <c r="D5" s="156"/>
      <c r="E5" s="156"/>
      <c r="F5" s="156"/>
      <c r="G5" s="156"/>
      <c r="H5" s="156"/>
      <c r="I5" s="156"/>
      <c r="J5" s="156"/>
    </row>
    <row r="6" spans="1:11" ht="14.25" customHeight="1">
      <c r="A6" s="44"/>
      <c r="B6" s="156"/>
      <c r="C6" s="156"/>
      <c r="D6" s="156"/>
      <c r="E6" s="156"/>
      <c r="F6" s="156"/>
      <c r="G6" s="156"/>
      <c r="H6" s="156"/>
      <c r="I6" s="156"/>
      <c r="J6" s="156"/>
    </row>
    <row r="7" spans="1:11" ht="80.2" customHeight="1">
      <c r="A7" s="44"/>
      <c r="B7" s="157" t="s">
        <v>2032</v>
      </c>
      <c r="C7" s="157"/>
      <c r="D7" s="157"/>
      <c r="E7" s="157"/>
      <c r="F7" s="157"/>
      <c r="G7" s="157"/>
      <c r="H7" s="157"/>
      <c r="I7" s="157"/>
      <c r="J7" s="46"/>
      <c r="K7" s="46"/>
    </row>
    <row r="8" spans="1:11" ht="20.3" customHeight="1">
      <c r="A8" s="44"/>
      <c r="B8" s="47"/>
      <c r="C8" s="47"/>
      <c r="D8" s="47"/>
      <c r="E8" s="47"/>
      <c r="F8" s="47"/>
      <c r="G8" s="47"/>
      <c r="H8" s="47"/>
      <c r="I8" s="47"/>
      <c r="J8" s="46"/>
      <c r="K8" s="46"/>
    </row>
    <row r="9" spans="1:11" ht="15.9" customHeight="1">
      <c r="K9" s="45"/>
    </row>
    <row r="10" spans="1:11" s="49" customFormat="1" ht="15.9" customHeight="1">
      <c r="A10" s="56"/>
      <c r="B10" s="57"/>
      <c r="C10" s="55"/>
      <c r="D10" s="55"/>
      <c r="E10" s="55"/>
      <c r="F10" s="55"/>
      <c r="G10" s="55"/>
      <c r="H10" s="55"/>
      <c r="I10" s="55"/>
      <c r="J10" s="55"/>
      <c r="K10" s="48"/>
    </row>
    <row r="11" spans="1:11" s="51" customFormat="1" ht="15.9" customHeight="1">
      <c r="A11" s="56"/>
      <c r="B11" s="57"/>
      <c r="C11" s="55"/>
      <c r="D11" s="55"/>
      <c r="E11" s="55"/>
      <c r="F11" s="55"/>
      <c r="G11" s="55"/>
      <c r="H11" s="55"/>
      <c r="I11" s="55"/>
      <c r="J11" s="55"/>
      <c r="K11" s="50"/>
    </row>
    <row r="12" spans="1:11" s="49" customFormat="1" ht="15.9" customHeight="1">
      <c r="A12" s="56"/>
      <c r="B12" s="57"/>
      <c r="C12" s="55"/>
      <c r="D12" s="55"/>
      <c r="E12" s="55"/>
      <c r="F12" s="55"/>
      <c r="G12" s="55"/>
      <c r="H12" s="55"/>
      <c r="I12" s="55"/>
      <c r="J12" s="55"/>
      <c r="K12" s="48"/>
    </row>
    <row r="13" spans="1:11" s="49" customFormat="1" ht="15.9" customHeight="1">
      <c r="A13" s="56"/>
      <c r="B13" s="57"/>
      <c r="C13" s="55"/>
      <c r="D13" s="55"/>
      <c r="E13" s="55"/>
      <c r="F13" s="55"/>
      <c r="G13" s="55"/>
      <c r="H13" s="55"/>
      <c r="I13" s="55"/>
      <c r="J13" s="55"/>
      <c r="K13" s="48"/>
    </row>
    <row r="14" spans="1:11" s="53" customFormat="1" ht="15.9" customHeight="1">
      <c r="A14" s="56"/>
      <c r="B14" s="57"/>
      <c r="C14" s="55"/>
      <c r="D14" s="55"/>
      <c r="E14" s="55"/>
      <c r="F14" s="55"/>
      <c r="G14" s="55"/>
      <c r="H14" s="55"/>
      <c r="I14" s="55"/>
      <c r="J14" s="55"/>
      <c r="K14" s="52"/>
    </row>
    <row r="15" spans="1:11" s="53" customFormat="1" ht="15.9" customHeight="1">
      <c r="A15" s="56"/>
      <c r="B15" s="57"/>
      <c r="C15" s="55"/>
      <c r="D15" s="55"/>
      <c r="E15" s="55"/>
      <c r="F15" s="55"/>
      <c r="G15" s="55"/>
      <c r="H15" s="55"/>
      <c r="I15" s="55"/>
      <c r="J15" s="55"/>
      <c r="K15" s="52"/>
    </row>
    <row r="16" spans="1:11" s="53" customFormat="1" ht="15.9" customHeight="1">
      <c r="A16" s="56"/>
      <c r="B16" s="57"/>
      <c r="C16" s="55"/>
      <c r="D16" s="55"/>
      <c r="E16" s="55"/>
      <c r="F16" s="55"/>
      <c r="G16" s="55"/>
      <c r="H16" s="55"/>
      <c r="I16" s="55"/>
      <c r="J16" s="55"/>
      <c r="K16" s="52"/>
    </row>
    <row r="17" spans="1:27" s="49" customFormat="1" ht="15.9" customHeight="1">
      <c r="A17" s="56"/>
      <c r="B17" s="57"/>
      <c r="C17" s="55"/>
      <c r="D17" s="55"/>
      <c r="E17" s="55"/>
      <c r="F17" s="55"/>
      <c r="G17" s="55"/>
      <c r="H17" s="55"/>
      <c r="I17" s="55"/>
      <c r="J17" s="55"/>
      <c r="K17" s="54"/>
    </row>
    <row r="18" spans="1:27" s="49" customFormat="1" ht="15.9" customHeight="1">
      <c r="A18" s="56"/>
      <c r="B18" s="57"/>
      <c r="C18" s="55"/>
      <c r="D18" s="55"/>
      <c r="E18" s="55"/>
      <c r="F18" s="55"/>
      <c r="G18" s="55"/>
      <c r="H18" s="55"/>
      <c r="I18" s="55"/>
      <c r="J18" s="55"/>
    </row>
    <row r="19" spans="1:27" s="49" customFormat="1" ht="15.9" customHeight="1">
      <c r="A19" s="56"/>
      <c r="B19" s="57"/>
      <c r="C19" s="55"/>
      <c r="D19" s="55"/>
      <c r="E19" s="55"/>
      <c r="F19" s="55"/>
      <c r="G19" s="55"/>
      <c r="H19" s="55"/>
      <c r="I19" s="55"/>
      <c r="J19" s="55"/>
    </row>
    <row r="20" spans="1:27" s="49" customFormat="1" ht="15.9" customHeight="1">
      <c r="A20" s="56"/>
      <c r="B20" s="57"/>
      <c r="C20" s="55"/>
      <c r="D20" s="55"/>
      <c r="E20" s="55"/>
      <c r="F20" s="55"/>
      <c r="G20" s="55"/>
      <c r="H20" s="55"/>
      <c r="I20" s="55"/>
      <c r="J20" s="55"/>
    </row>
    <row r="21" spans="1:27" s="49" customFormat="1" ht="15.9" customHeight="1">
      <c r="A21" s="56"/>
      <c r="B21" s="57"/>
      <c r="C21" s="55"/>
      <c r="D21" s="55"/>
      <c r="E21" s="55"/>
      <c r="F21" s="55"/>
      <c r="G21" s="55"/>
      <c r="H21" s="55"/>
      <c r="I21" s="55"/>
      <c r="J21" s="55"/>
    </row>
    <row r="22" spans="1:27" s="49" customFormat="1" ht="15.9" customHeight="1">
      <c r="A22" s="56"/>
      <c r="B22" s="57"/>
      <c r="C22" s="55"/>
      <c r="D22" s="55"/>
      <c r="E22" s="55"/>
      <c r="F22" s="55"/>
      <c r="G22" s="55"/>
      <c r="H22" s="55"/>
      <c r="I22" s="55"/>
      <c r="J22" s="55"/>
    </row>
    <row r="23" spans="1:27" s="49" customFormat="1" ht="15.9" customHeight="1">
      <c r="A23" s="56"/>
      <c r="B23" s="57"/>
      <c r="C23" s="55"/>
      <c r="D23" s="55"/>
      <c r="E23" s="55"/>
      <c r="F23" s="55"/>
      <c r="G23" s="55"/>
      <c r="H23" s="55"/>
      <c r="I23" s="55"/>
      <c r="J23" s="55"/>
    </row>
    <row r="24" spans="1:27" s="49" customFormat="1" ht="15.9" customHeight="1">
      <c r="A24" s="56"/>
      <c r="B24" s="57"/>
      <c r="C24" s="55"/>
      <c r="D24" s="55"/>
      <c r="E24" s="55"/>
      <c r="F24" s="55"/>
      <c r="G24" s="55"/>
      <c r="H24" s="55"/>
      <c r="I24" s="55"/>
      <c r="J24" s="55"/>
    </row>
    <row r="25" spans="1:27" s="49" customFormat="1" ht="15.9" customHeight="1">
      <c r="A25" s="56"/>
      <c r="B25" s="57"/>
      <c r="C25" s="55"/>
      <c r="D25" s="55"/>
      <c r="E25" s="55"/>
      <c r="F25" s="55"/>
      <c r="G25" s="55"/>
      <c r="H25" s="55"/>
      <c r="I25" s="55"/>
      <c r="J25" s="55"/>
    </row>
    <row r="26" spans="1:27" s="49" customFormat="1" ht="15.9" customHeight="1">
      <c r="A26" s="56"/>
      <c r="B26" s="57"/>
      <c r="C26" s="55"/>
      <c r="D26" s="55"/>
      <c r="E26" s="55"/>
      <c r="F26" s="55"/>
      <c r="G26" s="55"/>
      <c r="H26" s="55"/>
      <c r="I26" s="55"/>
      <c r="J26" s="55"/>
    </row>
    <row r="27" spans="1:27" s="49" customFormat="1" ht="15.9" customHeight="1">
      <c r="A27" s="56"/>
      <c r="B27" s="57"/>
      <c r="C27" s="55"/>
      <c r="D27" s="55"/>
      <c r="E27" s="55"/>
      <c r="F27" s="55"/>
      <c r="G27" s="55"/>
      <c r="H27" s="55"/>
      <c r="I27" s="55"/>
      <c r="J27" s="55"/>
    </row>
    <row r="28" spans="1:27" s="49" customFormat="1" ht="15.9" customHeight="1">
      <c r="A28" s="56"/>
      <c r="B28" s="57"/>
      <c r="C28" s="55"/>
      <c r="D28" s="55"/>
      <c r="E28" s="55"/>
      <c r="F28" s="55"/>
      <c r="G28" s="55"/>
      <c r="H28" s="55"/>
      <c r="I28" s="55"/>
      <c r="J28" s="55"/>
    </row>
    <row r="29" spans="1:27" s="49" customFormat="1" ht="15.9" customHeight="1">
      <c r="A29" s="56"/>
      <c r="B29" s="57"/>
      <c r="C29" s="55"/>
      <c r="D29" s="55"/>
      <c r="E29" s="55"/>
      <c r="F29" s="55"/>
      <c r="G29" s="55"/>
      <c r="H29" s="55"/>
      <c r="I29" s="55"/>
      <c r="J29" s="55"/>
      <c r="R29" s="155"/>
      <c r="S29" s="155"/>
      <c r="T29" s="155"/>
      <c r="U29" s="155"/>
      <c r="V29" s="155"/>
      <c r="W29" s="155"/>
      <c r="X29" s="155"/>
      <c r="Y29" s="155"/>
      <c r="Z29" s="155"/>
      <c r="AA29" s="155"/>
    </row>
    <row r="30" spans="1:27" s="49" customFormat="1" ht="15.9" customHeight="1">
      <c r="A30" s="56"/>
      <c r="B30" s="57"/>
      <c r="C30" s="55"/>
      <c r="D30" s="55"/>
      <c r="E30" s="55"/>
      <c r="F30" s="55"/>
      <c r="G30" s="55"/>
      <c r="H30" s="55"/>
      <c r="I30" s="55"/>
      <c r="J30" s="55"/>
    </row>
    <row r="31" spans="1:27" s="49" customFormat="1" ht="15.9" customHeight="1">
      <c r="A31" s="56"/>
      <c r="B31" s="57"/>
      <c r="C31" s="55"/>
      <c r="D31" s="55"/>
      <c r="E31" s="55"/>
      <c r="F31" s="55"/>
      <c r="G31" s="55"/>
      <c r="H31" s="55"/>
      <c r="I31" s="55"/>
      <c r="J31" s="55"/>
    </row>
    <row r="32" spans="1:27" s="49" customFormat="1" ht="15.9" customHeight="1">
      <c r="A32" s="56"/>
      <c r="B32" s="57"/>
      <c r="C32" s="55"/>
      <c r="D32" s="55"/>
      <c r="E32" s="55"/>
      <c r="F32" s="55"/>
      <c r="G32" s="55"/>
      <c r="H32" s="55"/>
      <c r="I32" s="55"/>
      <c r="J32" s="55"/>
    </row>
  </sheetData>
  <dataConsolidate/>
  <mergeCells count="3">
    <mergeCell ref="R29:AA29"/>
    <mergeCell ref="B2:J6"/>
    <mergeCell ref="B7:I7"/>
  </mergeCells>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sheetRev">
          <controlPr defaultSize="0" autoLine="0" r:id="rId5">
            <anchor moveWithCells="1">
              <from>
                <xdr:col>9</xdr:col>
                <xdr:colOff>58189</xdr:colOff>
                <xdr:row>4</xdr:row>
                <xdr:rowOff>133004</xdr:rowOff>
              </from>
              <to>
                <xdr:col>9</xdr:col>
                <xdr:colOff>274320</xdr:colOff>
                <xdr:row>5</xdr:row>
                <xdr:rowOff>166255</xdr:rowOff>
              </to>
            </anchor>
          </controlPr>
        </control>
      </mc:Choice>
      <mc:Fallback>
        <control shapeId="10241" r:id="rId4" name="sheetRev"/>
      </mc:Fallback>
    </mc:AlternateContent>
    <mc:AlternateContent xmlns:mc="http://schemas.openxmlformats.org/markup-compatibility/2006">
      <mc:Choice Requires="x14">
        <control shapeId="10242" r:id="rId6" name="CommandButton1">
          <controlPr defaultSize="0" autoLine="0" r:id="rId7">
            <anchor moveWithCells="1">
              <from>
                <xdr:col>3</xdr:col>
                <xdr:colOff>590204</xdr:colOff>
                <xdr:row>8</xdr:row>
                <xdr:rowOff>141316</xdr:rowOff>
              </from>
              <to>
                <xdr:col>6</xdr:col>
                <xdr:colOff>66502</xdr:colOff>
                <xdr:row>11</xdr:row>
                <xdr:rowOff>116378</xdr:rowOff>
              </to>
            </anchor>
          </controlPr>
        </control>
      </mc:Choice>
      <mc:Fallback>
        <control shapeId="10242" r:id="rId6"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tint="0.59999389629810485"/>
    <pageSetUpPr fitToPage="1"/>
  </sheetPr>
  <dimension ref="A1:AL1506"/>
  <sheetViews>
    <sheetView showGridLines="0" zoomScaleNormal="100" workbookViewId="0">
      <pane xSplit="4" ySplit="5" topLeftCell="E6" activePane="bottomRight" state="frozen"/>
      <selection pane="topRight" activeCell="E1" sqref="E1"/>
      <selection pane="bottomLeft" activeCell="A6" sqref="A6"/>
      <selection pane="bottomRight" sqref="A1:B1"/>
    </sheetView>
  </sheetViews>
  <sheetFormatPr defaultColWidth="9" defaultRowHeight="17.2" customHeight="1"/>
  <cols>
    <col min="1" max="1" width="6.77734375" style="43" customWidth="1"/>
    <col min="2" max="2" width="10.109375" style="43" customWidth="1"/>
    <col min="3" max="3" width="24.88671875" style="136" customWidth="1"/>
    <col min="4" max="4" width="38.44140625" style="139" customWidth="1"/>
    <col min="5" max="5" width="11.33203125" style="43" hidden="1" customWidth="1"/>
    <col min="6" max="8" width="9.88671875" style="43" customWidth="1"/>
    <col min="9" max="9" width="21.77734375" style="43" hidden="1" customWidth="1"/>
    <col min="10" max="10" width="19" style="43" customWidth="1"/>
    <col min="11" max="11" width="6.21875" style="43" hidden="1" customWidth="1"/>
    <col min="12" max="12" width="10.44140625" style="90" hidden="1" customWidth="1"/>
    <col min="13" max="16" width="13.44140625" style="82" hidden="1" customWidth="1"/>
    <col min="17" max="17" width="13.109375" style="91" hidden="1" customWidth="1"/>
    <col min="18" max="18" width="12.33203125" style="90" customWidth="1"/>
    <col min="19" max="19" width="17.33203125" style="43" hidden="1" customWidth="1"/>
    <col min="20" max="20" width="31" style="63" hidden="1" customWidth="1"/>
    <col min="21" max="21" width="13.33203125" style="43" hidden="1" customWidth="1"/>
    <col min="22" max="22" width="11.44140625" style="43" hidden="1" customWidth="1"/>
    <col min="23" max="23" width="6.33203125" style="43" hidden="1" customWidth="1"/>
    <col min="24" max="24" width="24.88671875" style="43" hidden="1" customWidth="1"/>
    <col min="25" max="26" width="24.88671875" style="63" hidden="1" customWidth="1"/>
    <col min="27" max="27" width="24.88671875" style="43" hidden="1" customWidth="1"/>
    <col min="28" max="30" width="10.21875" style="90" hidden="1" customWidth="1"/>
    <col min="31" max="33" width="24.88671875" style="43" hidden="1" customWidth="1"/>
    <col min="34" max="34" width="24.88671875" style="63" hidden="1" customWidth="1"/>
    <col min="35" max="35" width="13.88671875" style="63" hidden="1" customWidth="1"/>
    <col min="36" max="36" width="5.88671875" style="63" hidden="1" customWidth="1"/>
    <col min="37" max="37" width="7.77734375" style="63" customWidth="1"/>
    <col min="38" max="38" width="5.77734375" style="63" customWidth="1"/>
    <col min="39" max="39" width="22.33203125" style="63" customWidth="1"/>
    <col min="40" max="42" width="9" style="63" customWidth="1"/>
    <col min="43" max="16384" width="9" style="63"/>
  </cols>
  <sheetData>
    <row r="1" spans="1:38" s="61" customFormat="1" ht="18" customHeight="1">
      <c r="A1" s="158" t="s">
        <v>3804</v>
      </c>
      <c r="B1" s="159"/>
      <c r="C1" s="162"/>
      <c r="D1" s="66"/>
      <c r="E1" s="83"/>
      <c r="F1" s="83"/>
      <c r="G1" s="83"/>
      <c r="H1" s="83"/>
      <c r="I1" s="83"/>
      <c r="J1" s="83"/>
      <c r="K1" s="83"/>
      <c r="L1" s="88"/>
      <c r="M1" s="67"/>
      <c r="N1" s="67"/>
      <c r="O1" s="67"/>
      <c r="P1" s="67"/>
      <c r="Q1" s="88"/>
      <c r="R1" s="83"/>
      <c r="S1" s="83"/>
      <c r="U1" s="83"/>
      <c r="V1" s="83"/>
      <c r="W1" s="83"/>
      <c r="X1" s="83"/>
      <c r="AA1" s="83"/>
      <c r="AB1" s="88"/>
      <c r="AC1" s="88"/>
      <c r="AD1" s="88"/>
      <c r="AE1" s="83"/>
      <c r="AF1" s="83"/>
      <c r="AG1" s="83"/>
    </row>
    <row r="2" spans="1:38" s="61" customFormat="1" ht="64.5" customHeight="1">
      <c r="A2" s="160"/>
      <c r="B2" s="161"/>
      <c r="C2" s="162"/>
      <c r="D2" s="68"/>
      <c r="E2" s="83"/>
      <c r="F2" s="83"/>
      <c r="G2" s="83"/>
      <c r="H2" s="83"/>
      <c r="I2" s="83"/>
      <c r="J2" s="83"/>
      <c r="K2" s="83"/>
      <c r="L2" s="88"/>
      <c r="M2" s="67"/>
      <c r="N2" s="67"/>
      <c r="O2" s="67"/>
      <c r="P2" s="67"/>
      <c r="Q2" s="88"/>
      <c r="R2" s="83"/>
      <c r="S2" s="83"/>
      <c r="U2" s="83"/>
      <c r="V2" s="83"/>
      <c r="W2" s="83"/>
      <c r="X2" s="83"/>
      <c r="AA2" s="83"/>
      <c r="AB2" s="88"/>
      <c r="AC2" s="88"/>
      <c r="AD2" s="88"/>
      <c r="AE2" s="83"/>
      <c r="AF2" s="83"/>
      <c r="AG2" s="83"/>
    </row>
    <row r="3" spans="1:38" s="61" customFormat="1" ht="69.05" customHeight="1">
      <c r="A3" s="160"/>
      <c r="B3" s="161"/>
      <c r="C3" s="162"/>
      <c r="D3" s="68"/>
      <c r="E3" s="83"/>
      <c r="F3" s="83"/>
      <c r="G3" s="83"/>
      <c r="H3" s="83"/>
      <c r="I3" s="92" t="s">
        <v>3803</v>
      </c>
      <c r="J3" s="109"/>
      <c r="K3" s="83"/>
      <c r="L3" s="88"/>
      <c r="M3" s="69"/>
      <c r="N3" s="67"/>
      <c r="O3" s="67"/>
      <c r="P3" s="67"/>
      <c r="Q3" s="88"/>
      <c r="R3" s="83"/>
      <c r="S3" s="83"/>
      <c r="U3" s="83"/>
      <c r="V3" s="83"/>
      <c r="W3" s="83"/>
      <c r="X3" s="83"/>
      <c r="AA3" s="83"/>
      <c r="AB3" s="88"/>
      <c r="AC3" s="88"/>
      <c r="AD3" s="88"/>
      <c r="AE3" s="83"/>
      <c r="AF3" s="83"/>
      <c r="AG3" s="83"/>
    </row>
    <row r="4" spans="1:38" s="62" customFormat="1" ht="18" customHeight="1">
      <c r="A4" s="160"/>
      <c r="B4" s="161"/>
      <c r="C4" s="162"/>
      <c r="D4" s="70"/>
      <c r="E4" s="84"/>
      <c r="F4" s="84"/>
      <c r="G4" s="84"/>
      <c r="H4" s="84"/>
      <c r="I4" s="93"/>
      <c r="J4" s="84"/>
      <c r="K4" s="84"/>
      <c r="L4" s="89"/>
      <c r="M4" s="71"/>
      <c r="N4" s="71"/>
      <c r="O4" s="71"/>
      <c r="P4" s="71"/>
      <c r="Q4" s="89"/>
      <c r="R4" s="84"/>
      <c r="S4" s="84"/>
      <c r="U4" s="84"/>
      <c r="V4" s="84"/>
      <c r="W4" s="84"/>
      <c r="X4" s="84"/>
      <c r="AA4" s="84"/>
      <c r="AB4" s="89"/>
      <c r="AC4" s="89"/>
      <c r="AD4" s="89"/>
      <c r="AE4" s="84"/>
      <c r="AF4" s="84"/>
      <c r="AG4" s="84"/>
    </row>
    <row r="5" spans="1:38" s="107" customFormat="1" ht="37.5" customHeight="1">
      <c r="A5" s="12" t="s">
        <v>86</v>
      </c>
      <c r="B5" s="108" t="s">
        <v>963</v>
      </c>
      <c r="C5" s="100" t="s">
        <v>1002</v>
      </c>
      <c r="D5" s="100" t="s">
        <v>0</v>
      </c>
      <c r="E5" s="12" t="s">
        <v>7</v>
      </c>
      <c r="F5" s="12" t="s">
        <v>1003</v>
      </c>
      <c r="G5" s="113" t="s">
        <v>3805</v>
      </c>
      <c r="H5" s="113" t="s">
        <v>3806</v>
      </c>
      <c r="I5" s="105" t="s">
        <v>1910</v>
      </c>
      <c r="J5" s="104" t="s">
        <v>1004</v>
      </c>
      <c r="K5" s="12" t="s">
        <v>966</v>
      </c>
      <c r="L5" s="12" t="s">
        <v>1005</v>
      </c>
      <c r="M5" s="106" t="s">
        <v>964</v>
      </c>
      <c r="N5" s="106" t="s">
        <v>965</v>
      </c>
      <c r="O5" s="106" t="s">
        <v>977</v>
      </c>
      <c r="P5" s="106" t="s">
        <v>978</v>
      </c>
      <c r="Q5" s="135" t="s">
        <v>1006</v>
      </c>
      <c r="R5" s="12" t="s">
        <v>1909</v>
      </c>
      <c r="S5" s="12" t="s">
        <v>967</v>
      </c>
      <c r="T5" s="12" t="s">
        <v>2</v>
      </c>
      <c r="U5" s="12" t="s">
        <v>3</v>
      </c>
      <c r="V5" s="12" t="s">
        <v>1</v>
      </c>
      <c r="W5" s="12" t="s">
        <v>1007</v>
      </c>
      <c r="X5" s="12" t="s">
        <v>2794</v>
      </c>
      <c r="Y5" s="12" t="s">
        <v>2905</v>
      </c>
      <c r="Z5" s="12" t="s">
        <v>3138</v>
      </c>
      <c r="AA5" s="12" t="s">
        <v>3332</v>
      </c>
      <c r="AB5" s="86" t="s">
        <v>3854</v>
      </c>
      <c r="AC5" s="86" t="s">
        <v>3855</v>
      </c>
      <c r="AD5" s="86" t="s">
        <v>3856</v>
      </c>
      <c r="AE5" s="140"/>
      <c r="AF5" s="140"/>
      <c r="AG5" s="140"/>
      <c r="AH5" s="140"/>
      <c r="AI5" s="140"/>
      <c r="AJ5" s="140"/>
      <c r="AK5" s="140"/>
      <c r="AL5" s="140"/>
    </row>
    <row r="6" spans="1:38" ht="17.2" customHeight="1">
      <c r="A6" s="64">
        <f>IF(priority(Main[[#This Row],[Comments]])&lt;&gt;0, priority(Main[[#This Row],[Comments]]),"")</f>
        <v>0.1</v>
      </c>
      <c r="B6" s="60" t="s">
        <v>3826</v>
      </c>
      <c r="C6" s="72" t="s">
        <v>4029</v>
      </c>
      <c r="D6" s="59" t="s">
        <v>4072</v>
      </c>
      <c r="E6" s="85">
        <v>40969.073773148149</v>
      </c>
      <c r="F6" s="85">
        <v>41144</v>
      </c>
      <c r="G6" s="64" t="str">
        <f>IF(stdProdLT(Main[[#This Row],[Comments]])=0.1,"N/A",IF(stdProdLT(Main[[#This Row],[Comments]])=0,"",TRIM(stdProdLT(Main[[#This Row],[Comments]]))))</f>
        <v>140</v>
      </c>
      <c r="H6" s="94">
        <f>IF(OR(Main[[#This Row],[Std. Prod. Lead Time]]="N/A",Main[[#This Row],[Std. Prod. Lead Time]]=""), "",IF(AND(Main[[#This Row],[In Stock Date]]&lt;&gt;"",Main[[#This Row],[Revised Due Date]]&lt;&gt;"",Main[[#This Row],[In Stock Date]]&lt;&gt;""),Main[[#This Row],[In Stock Date]]-Main[[#This Row],[Revised Due Date]],""))</f>
        <v>135</v>
      </c>
      <c r="I6" s="101" t="s">
        <v>239</v>
      </c>
      <c r="J6" s="95" t="s">
        <v>28</v>
      </c>
      <c r="K6" s="95" t="s">
        <v>1918</v>
      </c>
      <c r="L6" s="85">
        <v>40974</v>
      </c>
      <c r="M6" s="73">
        <f>IF(Main[[#This Row],[Tech Start Date]]&lt;1/1/1990,"",IF(Main[[#This Row],[Class]]="C",WORKDAY(Main[[#This Row],[Tech Start Date]],9),IF(Main[[#This Row],[Class]]="B", WORKDAY(Main[[#This Row],[Tech Start Date]],6),IF(Main[[#This Row],[Class]]="A",WORKDAY(Main[[#This Row],[Tech Start Date]],2),""))))</f>
        <v>40982</v>
      </c>
      <c r="N6" s="73">
        <f>IF(Main[[#This Row],[Tech Start Date]]&lt;1/1/1990,"",IF(Main[[#This Row],[Class]]="C",WORKDAY(Main[[#This Row],[Tech Start Date]],19),IF(Main[[#This Row],[Class]]="B", WORKDAY(Main[[#This Row],[Tech Start Date]],12),IF(Main[[#This Row],[Class]]="A",WORKDAY(Main[[#This Row],[Tech Start Date]],4),""))))</f>
        <v>40990</v>
      </c>
      <c r="O6" s="73">
        <f>IF(Main[[#This Row],[Tech Start Date]]&lt;1/1/1990,"",IF(Main[[#This Row],[Class]]="C",WORKDAY(Main[[#This Row],[Tech Start Date]],23),IF(Main[[#This Row],[Class]]="B", WORKDAY(Main[[#This Row],[Tech Start Date]],15),IF(Main[[#This Row],[Class]]="A",WORKDAY(Main[[#This Row],[Tech Start Date]],5),""))))</f>
        <v>40995</v>
      </c>
      <c r="P6" s="73">
        <f>IF(Main[[#This Row],[Tech Start Date]]&lt;1/1/1990,"",IF(Main[[#This Row],[Class]]="C",WORKDAY(Main[[#This Row],[Tech Start Date]],28),IF(Main[[#This Row],[Class]]="B", WORKDAY(Main[[#This Row],[Tech Start Date]],19),IF(Main[[#This Row],[Class]]="A",WORKDAY(Main[[#This Row],[Tech Start Date]],9),""))))</f>
        <v>41001</v>
      </c>
      <c r="Q6" s="85">
        <v>41004</v>
      </c>
      <c r="R6" s="112">
        <v>41009</v>
      </c>
      <c r="S6" s="95" t="s">
        <v>11</v>
      </c>
      <c r="T6" s="74" t="s">
        <v>4030</v>
      </c>
      <c r="U6" s="95" t="s">
        <v>29</v>
      </c>
      <c r="V6" s="95" t="s">
        <v>1921</v>
      </c>
      <c r="W6" s="95" t="s">
        <v>1917</v>
      </c>
      <c r="X6" s="95" t="s">
        <v>3812</v>
      </c>
      <c r="Y6" s="72" t="s">
        <v>4</v>
      </c>
      <c r="Z6" s="72" t="s">
        <v>530</v>
      </c>
      <c r="AA6" s="95" t="s">
        <v>3812</v>
      </c>
      <c r="AB6" s="132"/>
      <c r="AC6" s="132"/>
      <c r="AD6" s="132"/>
      <c r="AE6" s="63"/>
      <c r="AF6" s="63"/>
      <c r="AG6" s="63"/>
    </row>
    <row r="7" spans="1:38" ht="17.2" customHeight="1">
      <c r="A7" s="64">
        <f>IF(priority(Main[[#This Row],[Comments]])&lt;&gt;0, priority(Main[[#This Row],[Comments]]),"")</f>
        <v>1</v>
      </c>
      <c r="B7" s="60" t="s">
        <v>1169</v>
      </c>
      <c r="C7" s="72" t="s">
        <v>137</v>
      </c>
      <c r="D7" s="59" t="s">
        <v>224</v>
      </c>
      <c r="E7" s="85"/>
      <c r="F7" s="85">
        <v>40770</v>
      </c>
      <c r="G7" s="64" t="str">
        <f>IF(stdProdLT(Main[[#This Row],[Comments]])=0.1,"N/A",IF(stdProdLT(Main[[#This Row],[Comments]])=0,"",TRIM(stdProdLT(Main[[#This Row],[Comments]]))))</f>
        <v/>
      </c>
      <c r="H7" s="94" t="str">
        <f>IF(OR(Main[[#This Row],[Std. Prod. Lead Time]]="N/A",Main[[#This Row],[Std. Prod. Lead Time]]=""), "",IF(AND(Main[[#This Row],[In Stock Date]]&lt;&gt;"",Main[[#This Row],[Revised Due Date]]&lt;&gt;"",Main[[#This Row],[In Stock Date]]&lt;&gt;""),Main[[#This Row],[In Stock Date]]-Main[[#This Row],[Revised Due Date]],""))</f>
        <v/>
      </c>
      <c r="I7" s="101" t="s">
        <v>4</v>
      </c>
      <c r="J7" s="95" t="s">
        <v>28</v>
      </c>
      <c r="K7" s="95" t="s">
        <v>1923</v>
      </c>
      <c r="L7" s="85"/>
      <c r="M7" s="73" t="str">
        <f>IF(Main[[#This Row],[Tech Start Date]]&lt;1/1/1990,"",IF(Main[[#This Row],[Class]]="C",WORKDAY(Main[[#This Row],[Tech Start Date]],9),IF(Main[[#This Row],[Class]]="B", WORKDAY(Main[[#This Row],[Tech Start Date]],6),IF(Main[[#This Row],[Class]]="A",WORKDAY(Main[[#This Row],[Tech Start Date]],2),""))))</f>
        <v/>
      </c>
      <c r="N7" s="73" t="str">
        <f>IF(Main[[#This Row],[Tech Start Date]]&lt;1/1/1990,"",IF(Main[[#This Row],[Class]]="C",WORKDAY(Main[[#This Row],[Tech Start Date]],19),IF(Main[[#This Row],[Class]]="B", WORKDAY(Main[[#This Row],[Tech Start Date]],12),IF(Main[[#This Row],[Class]]="A",WORKDAY(Main[[#This Row],[Tech Start Date]],4),""))))</f>
        <v/>
      </c>
      <c r="O7" s="73" t="str">
        <f>IF(Main[[#This Row],[Tech Start Date]]&lt;1/1/1990,"",IF(Main[[#This Row],[Class]]="C",WORKDAY(Main[[#This Row],[Tech Start Date]],23),IF(Main[[#This Row],[Class]]="B", WORKDAY(Main[[#This Row],[Tech Start Date]],15),IF(Main[[#This Row],[Class]]="A",WORKDAY(Main[[#This Row],[Tech Start Date]],5),""))))</f>
        <v/>
      </c>
      <c r="P7" s="73" t="str">
        <f>IF(Main[[#This Row],[Tech Start Date]]&lt;1/1/1990,"",IF(Main[[#This Row],[Class]]="C",WORKDAY(Main[[#This Row],[Tech Start Date]],28),IF(Main[[#This Row],[Class]]="B", WORKDAY(Main[[#This Row],[Tech Start Date]],19),IF(Main[[#This Row],[Class]]="A",WORKDAY(Main[[#This Row],[Tech Start Date]],9),""))))</f>
        <v/>
      </c>
      <c r="Q7" s="85">
        <v>40585</v>
      </c>
      <c r="R7" s="112"/>
      <c r="S7" s="95" t="s">
        <v>11</v>
      </c>
      <c r="T7" s="74" t="s">
        <v>225</v>
      </c>
      <c r="U7" s="95" t="s">
        <v>14</v>
      </c>
      <c r="V7" s="95" t="s">
        <v>1912</v>
      </c>
      <c r="W7" s="95" t="s">
        <v>1916</v>
      </c>
      <c r="X7" s="95" t="s">
        <v>2819</v>
      </c>
      <c r="Y7" s="72" t="s">
        <v>2986</v>
      </c>
      <c r="Z7" s="72" t="s">
        <v>129</v>
      </c>
      <c r="AA7" s="95" t="s">
        <v>2819</v>
      </c>
      <c r="AB7" s="132"/>
      <c r="AC7" s="132"/>
      <c r="AD7" s="132"/>
      <c r="AE7" s="63"/>
      <c r="AF7" s="63"/>
      <c r="AG7" s="63"/>
    </row>
    <row r="8" spans="1:38" ht="17.2" customHeight="1">
      <c r="A8" s="64">
        <f>IF(priority(Main[[#This Row],[Comments]])&lt;&gt;0, priority(Main[[#This Row],[Comments]]),"")</f>
        <v>1</v>
      </c>
      <c r="B8" s="60" t="s">
        <v>3187</v>
      </c>
      <c r="C8" s="72" t="s">
        <v>72</v>
      </c>
      <c r="D8" s="59" t="s">
        <v>240</v>
      </c>
      <c r="E8" s="85">
        <v>40461.111585648148</v>
      </c>
      <c r="F8" s="85"/>
      <c r="G8" s="64" t="str">
        <f>IF(stdProdLT(Main[[#This Row],[Comments]])=0.1,"N/A",IF(stdProdLT(Main[[#This Row],[Comments]])=0,"",TRIM(stdProdLT(Main[[#This Row],[Comments]]))))</f>
        <v/>
      </c>
      <c r="H8" s="94" t="str">
        <f>IF(OR(Main[[#This Row],[Std. Prod. Lead Time]]="N/A",Main[[#This Row],[Std. Prod. Lead Time]]=""), "",IF(AND(Main[[#This Row],[In Stock Date]]&lt;&gt;"",Main[[#This Row],[Revised Due Date]]&lt;&gt;"",Main[[#This Row],[In Stock Date]]&lt;&gt;""),Main[[#This Row],[In Stock Date]]-Main[[#This Row],[Revised Due Date]],""))</f>
        <v/>
      </c>
      <c r="I8" s="101" t="s">
        <v>74</v>
      </c>
      <c r="J8" s="95" t="s">
        <v>4</v>
      </c>
      <c r="K8" s="95" t="s">
        <v>1923</v>
      </c>
      <c r="L8" s="85"/>
      <c r="M8" s="73" t="str">
        <f>IF(Main[[#This Row],[Tech Start Date]]&lt;1/1/1990,"",IF(Main[[#This Row],[Class]]="C",WORKDAY(Main[[#This Row],[Tech Start Date]],9),IF(Main[[#This Row],[Class]]="B", WORKDAY(Main[[#This Row],[Tech Start Date]],6),IF(Main[[#This Row],[Class]]="A",WORKDAY(Main[[#This Row],[Tech Start Date]],2),""))))</f>
        <v/>
      </c>
      <c r="N8" s="73" t="str">
        <f>IF(Main[[#This Row],[Tech Start Date]]&lt;1/1/1990,"",IF(Main[[#This Row],[Class]]="C",WORKDAY(Main[[#This Row],[Tech Start Date]],19),IF(Main[[#This Row],[Class]]="B", WORKDAY(Main[[#This Row],[Tech Start Date]],12),IF(Main[[#This Row],[Class]]="A",WORKDAY(Main[[#This Row],[Tech Start Date]],4),""))))</f>
        <v/>
      </c>
      <c r="O8" s="73" t="str">
        <f>IF(Main[[#This Row],[Tech Start Date]]&lt;1/1/1990,"",IF(Main[[#This Row],[Class]]="C",WORKDAY(Main[[#This Row],[Tech Start Date]],23),IF(Main[[#This Row],[Class]]="B", WORKDAY(Main[[#This Row],[Tech Start Date]],15),IF(Main[[#This Row],[Class]]="A",WORKDAY(Main[[#This Row],[Tech Start Date]],5),""))))</f>
        <v/>
      </c>
      <c r="P8" s="73" t="str">
        <f>IF(Main[[#This Row],[Tech Start Date]]&lt;1/1/1990,"",IF(Main[[#This Row],[Class]]="C",WORKDAY(Main[[#This Row],[Tech Start Date]],28),IF(Main[[#This Row],[Class]]="B", WORKDAY(Main[[#This Row],[Tech Start Date]],19),IF(Main[[#This Row],[Class]]="A",WORKDAY(Main[[#This Row],[Tech Start Date]],9),""))))</f>
        <v/>
      </c>
      <c r="Q8" s="85"/>
      <c r="R8" s="112">
        <v>40836</v>
      </c>
      <c r="S8" s="95" t="s">
        <v>17</v>
      </c>
      <c r="T8" s="74" t="s">
        <v>241</v>
      </c>
      <c r="U8" s="95" t="s">
        <v>29</v>
      </c>
      <c r="V8" s="95" t="s">
        <v>1914</v>
      </c>
      <c r="W8" s="95" t="s">
        <v>1919</v>
      </c>
      <c r="X8" s="95" t="s">
        <v>2827</v>
      </c>
      <c r="Y8" s="72" t="s">
        <v>2956</v>
      </c>
      <c r="Z8" s="72" t="s">
        <v>415</v>
      </c>
      <c r="AA8" s="95" t="s">
        <v>2827</v>
      </c>
      <c r="AB8" s="132"/>
      <c r="AC8" s="132"/>
      <c r="AD8" s="132"/>
      <c r="AE8" s="63"/>
      <c r="AF8" s="63"/>
      <c r="AG8" s="63"/>
    </row>
    <row r="9" spans="1:38" ht="17.2" customHeight="1">
      <c r="A9" s="64">
        <f>IF(priority(Main[[#This Row],[Comments]])&lt;&gt;0, priority(Main[[#This Row],[Comments]]),"")</f>
        <v>1</v>
      </c>
      <c r="B9" s="60" t="s">
        <v>1045</v>
      </c>
      <c r="C9" s="72" t="s">
        <v>72</v>
      </c>
      <c r="D9" s="59" t="s">
        <v>73</v>
      </c>
      <c r="E9" s="85">
        <v>40461.12232638889</v>
      </c>
      <c r="F9" s="85"/>
      <c r="G9" s="64" t="str">
        <f>IF(stdProdLT(Main[[#This Row],[Comments]])=0.1,"N/A",IF(stdProdLT(Main[[#This Row],[Comments]])=0,"",TRIM(stdProdLT(Main[[#This Row],[Comments]]))))</f>
        <v/>
      </c>
      <c r="H9" s="94" t="str">
        <f>IF(OR(Main[[#This Row],[Std. Prod. Lead Time]]="N/A",Main[[#This Row],[Std. Prod. Lead Time]]=""), "",IF(AND(Main[[#This Row],[In Stock Date]]&lt;&gt;"",Main[[#This Row],[Revised Due Date]]&lt;&gt;"",Main[[#This Row],[In Stock Date]]&lt;&gt;""),Main[[#This Row],[In Stock Date]]-Main[[#This Row],[Revised Due Date]],""))</f>
        <v/>
      </c>
      <c r="I9" s="101" t="s">
        <v>74</v>
      </c>
      <c r="J9" s="95" t="s">
        <v>75</v>
      </c>
      <c r="K9" s="95" t="s">
        <v>1923</v>
      </c>
      <c r="L9" s="85"/>
      <c r="M9" s="73" t="str">
        <f>IF(Main[[#This Row],[Tech Start Date]]&lt;1/1/1990,"",IF(Main[[#This Row],[Class]]="C",WORKDAY(Main[[#This Row],[Tech Start Date]],9),IF(Main[[#This Row],[Class]]="B", WORKDAY(Main[[#This Row],[Tech Start Date]],6),IF(Main[[#This Row],[Class]]="A",WORKDAY(Main[[#This Row],[Tech Start Date]],2),""))))</f>
        <v/>
      </c>
      <c r="N9" s="73" t="str">
        <f>IF(Main[[#This Row],[Tech Start Date]]&lt;1/1/1990,"",IF(Main[[#This Row],[Class]]="C",WORKDAY(Main[[#This Row],[Tech Start Date]],19),IF(Main[[#This Row],[Class]]="B", WORKDAY(Main[[#This Row],[Tech Start Date]],12),IF(Main[[#This Row],[Class]]="A",WORKDAY(Main[[#This Row],[Tech Start Date]],4),""))))</f>
        <v/>
      </c>
      <c r="O9" s="73" t="str">
        <f>IF(Main[[#This Row],[Tech Start Date]]&lt;1/1/1990,"",IF(Main[[#This Row],[Class]]="C",WORKDAY(Main[[#This Row],[Tech Start Date]],23),IF(Main[[#This Row],[Class]]="B", WORKDAY(Main[[#This Row],[Tech Start Date]],15),IF(Main[[#This Row],[Class]]="A",WORKDAY(Main[[#This Row],[Tech Start Date]],5),""))))</f>
        <v/>
      </c>
      <c r="P9" s="73" t="str">
        <f>IF(Main[[#This Row],[Tech Start Date]]&lt;1/1/1990,"",IF(Main[[#This Row],[Class]]="C",WORKDAY(Main[[#This Row],[Tech Start Date]],28),IF(Main[[#This Row],[Class]]="B", WORKDAY(Main[[#This Row],[Tech Start Date]],19),IF(Main[[#This Row],[Class]]="A",WORKDAY(Main[[#This Row],[Tech Start Date]],9),""))))</f>
        <v/>
      </c>
      <c r="Q9" s="85"/>
      <c r="R9" s="112">
        <v>40849</v>
      </c>
      <c r="S9" s="95" t="s">
        <v>17</v>
      </c>
      <c r="T9" s="74" t="s">
        <v>76</v>
      </c>
      <c r="U9" s="95" t="s">
        <v>29</v>
      </c>
      <c r="V9" s="95" t="s">
        <v>1914</v>
      </c>
      <c r="W9" s="95" t="s">
        <v>1919</v>
      </c>
      <c r="X9" s="95" t="s">
        <v>2827</v>
      </c>
      <c r="Y9" s="72" t="s">
        <v>2956</v>
      </c>
      <c r="Z9" s="72" t="s">
        <v>415</v>
      </c>
      <c r="AA9" s="95" t="s">
        <v>2827</v>
      </c>
      <c r="AB9" s="132"/>
      <c r="AC9" s="132"/>
      <c r="AD9" s="132"/>
      <c r="AE9" s="63"/>
      <c r="AF9" s="63"/>
      <c r="AG9" s="63"/>
    </row>
    <row r="10" spans="1:38" ht="17.2" customHeight="1">
      <c r="A10" s="64">
        <f>IF(priority(Main[[#This Row],[Comments]])&lt;&gt;0, priority(Main[[#This Row],[Comments]]),"")</f>
        <v>1</v>
      </c>
      <c r="B10" s="60" t="s">
        <v>2661</v>
      </c>
      <c r="C10" s="72" t="s">
        <v>19</v>
      </c>
      <c r="D10" s="59" t="s">
        <v>2591</v>
      </c>
      <c r="E10" s="85">
        <v>40487.36078703704</v>
      </c>
      <c r="F10" s="85"/>
      <c r="G10" s="64" t="str">
        <f>IF(stdProdLT(Main[[#This Row],[Comments]])=0.1,"N/A",IF(stdProdLT(Main[[#This Row],[Comments]])=0,"",TRIM(stdProdLT(Main[[#This Row],[Comments]]))))</f>
        <v/>
      </c>
      <c r="H10" s="94" t="str">
        <f>IF(OR(Main[[#This Row],[Std. Prod. Lead Time]]="N/A",Main[[#This Row],[Std. Prod. Lead Time]]=""), "",IF(AND(Main[[#This Row],[In Stock Date]]&lt;&gt;"",Main[[#This Row],[Revised Due Date]]&lt;&gt;"",Main[[#This Row],[In Stock Date]]&lt;&gt;""),Main[[#This Row],[In Stock Date]]-Main[[#This Row],[Revised Due Date]],""))</f>
        <v/>
      </c>
      <c r="I10" s="101" t="s">
        <v>2012</v>
      </c>
      <c r="J10" s="95" t="s">
        <v>28</v>
      </c>
      <c r="K10" s="95" t="s">
        <v>1923</v>
      </c>
      <c r="L10" s="85"/>
      <c r="M10" s="73" t="str">
        <f>IF(Main[[#This Row],[Tech Start Date]]&lt;1/1/1990,"",IF(Main[[#This Row],[Class]]="C",WORKDAY(Main[[#This Row],[Tech Start Date]],9),IF(Main[[#This Row],[Class]]="B", WORKDAY(Main[[#This Row],[Tech Start Date]],6),IF(Main[[#This Row],[Class]]="A",WORKDAY(Main[[#This Row],[Tech Start Date]],2),""))))</f>
        <v/>
      </c>
      <c r="N10" s="73" t="str">
        <f>IF(Main[[#This Row],[Tech Start Date]]&lt;1/1/1990,"",IF(Main[[#This Row],[Class]]="C",WORKDAY(Main[[#This Row],[Tech Start Date]],19),IF(Main[[#This Row],[Class]]="B", WORKDAY(Main[[#This Row],[Tech Start Date]],12),IF(Main[[#This Row],[Class]]="A",WORKDAY(Main[[#This Row],[Tech Start Date]],4),""))))</f>
        <v/>
      </c>
      <c r="O10" s="73" t="str">
        <f>IF(Main[[#This Row],[Tech Start Date]]&lt;1/1/1990,"",IF(Main[[#This Row],[Class]]="C",WORKDAY(Main[[#This Row],[Tech Start Date]],23),IF(Main[[#This Row],[Class]]="B", WORKDAY(Main[[#This Row],[Tech Start Date]],15),IF(Main[[#This Row],[Class]]="A",WORKDAY(Main[[#This Row],[Tech Start Date]],5),""))))</f>
        <v/>
      </c>
      <c r="P10" s="73" t="str">
        <f>IF(Main[[#This Row],[Tech Start Date]]&lt;1/1/1990,"",IF(Main[[#This Row],[Class]]="C",WORKDAY(Main[[#This Row],[Tech Start Date]],28),IF(Main[[#This Row],[Class]]="B", WORKDAY(Main[[#This Row],[Tech Start Date]],19),IF(Main[[#This Row],[Class]]="A",WORKDAY(Main[[#This Row],[Tech Start Date]],9),""))))</f>
        <v/>
      </c>
      <c r="Q10" s="85">
        <v>40862</v>
      </c>
      <c r="R10" s="112">
        <v>40862</v>
      </c>
      <c r="S10" s="95" t="s">
        <v>17</v>
      </c>
      <c r="T10" s="74" t="s">
        <v>3583</v>
      </c>
      <c r="U10" s="95" t="s">
        <v>29</v>
      </c>
      <c r="V10" s="95" t="s">
        <v>1926</v>
      </c>
      <c r="W10" s="95" t="s">
        <v>1919</v>
      </c>
      <c r="X10" s="95" t="s">
        <v>129</v>
      </c>
      <c r="Y10" s="72" t="s">
        <v>2911</v>
      </c>
      <c r="Z10" s="72" t="s">
        <v>2205</v>
      </c>
      <c r="AA10" s="95" t="s">
        <v>129</v>
      </c>
      <c r="AB10" s="132"/>
      <c r="AC10" s="132"/>
      <c r="AD10" s="132"/>
      <c r="AE10" s="63"/>
      <c r="AF10" s="63"/>
      <c r="AG10" s="63"/>
    </row>
    <row r="11" spans="1:38" ht="17.2" customHeight="1">
      <c r="A11" s="64">
        <f>IF(priority(Main[[#This Row],[Comments]])&lt;&gt;0, priority(Main[[#This Row],[Comments]]),"")</f>
        <v>1</v>
      </c>
      <c r="B11" s="60" t="s">
        <v>1878</v>
      </c>
      <c r="C11" s="72" t="s">
        <v>931</v>
      </c>
      <c r="D11" s="59" t="s">
        <v>932</v>
      </c>
      <c r="E11" s="85"/>
      <c r="F11" s="85">
        <v>40787</v>
      </c>
      <c r="G11" s="64" t="str">
        <f>IF(stdProdLT(Main[[#This Row],[Comments]])=0.1,"N/A",IF(stdProdLT(Main[[#This Row],[Comments]])=0,"",TRIM(stdProdLT(Main[[#This Row],[Comments]]))))</f>
        <v/>
      </c>
      <c r="H11" s="94" t="str">
        <f>IF(OR(Main[[#This Row],[Std. Prod. Lead Time]]="N/A",Main[[#This Row],[Std. Prod. Lead Time]]=""), "",IF(AND(Main[[#This Row],[In Stock Date]]&lt;&gt;"",Main[[#This Row],[Revised Due Date]]&lt;&gt;"",Main[[#This Row],[In Stock Date]]&lt;&gt;""),Main[[#This Row],[In Stock Date]]-Main[[#This Row],[Revised Due Date]],""))</f>
        <v/>
      </c>
      <c r="I11" s="101" t="s">
        <v>489</v>
      </c>
      <c r="J11" s="95" t="s">
        <v>70</v>
      </c>
      <c r="K11" s="95" t="s">
        <v>1920</v>
      </c>
      <c r="L11" s="85">
        <v>40658</v>
      </c>
      <c r="M11" s="73">
        <f>IF(Main[[#This Row],[Tech Start Date]]&lt;1/1/1990,"",IF(Main[[#This Row],[Class]]="C",WORKDAY(Main[[#This Row],[Tech Start Date]],9),IF(Main[[#This Row],[Class]]="B", WORKDAY(Main[[#This Row],[Tech Start Date]],6),IF(Main[[#This Row],[Class]]="A",WORKDAY(Main[[#This Row],[Tech Start Date]],2),""))))</f>
        <v>40660</v>
      </c>
      <c r="N11" s="73">
        <f>IF(Main[[#This Row],[Tech Start Date]]&lt;1/1/1990,"",IF(Main[[#This Row],[Class]]="C",WORKDAY(Main[[#This Row],[Tech Start Date]],19),IF(Main[[#This Row],[Class]]="B", WORKDAY(Main[[#This Row],[Tech Start Date]],12),IF(Main[[#This Row],[Class]]="A",WORKDAY(Main[[#This Row],[Tech Start Date]],4),""))))</f>
        <v>40662</v>
      </c>
      <c r="O11" s="73">
        <f>IF(Main[[#This Row],[Tech Start Date]]&lt;1/1/1990,"",IF(Main[[#This Row],[Class]]="C",WORKDAY(Main[[#This Row],[Tech Start Date]],23),IF(Main[[#This Row],[Class]]="B", WORKDAY(Main[[#This Row],[Tech Start Date]],15),IF(Main[[#This Row],[Class]]="A",WORKDAY(Main[[#This Row],[Tech Start Date]],5),""))))</f>
        <v>40665</v>
      </c>
      <c r="P11" s="73">
        <f>IF(Main[[#This Row],[Tech Start Date]]&lt;1/1/1990,"",IF(Main[[#This Row],[Class]]="C",WORKDAY(Main[[#This Row],[Tech Start Date]],28),IF(Main[[#This Row],[Class]]="B", WORKDAY(Main[[#This Row],[Tech Start Date]],19),IF(Main[[#This Row],[Class]]="A",WORKDAY(Main[[#This Row],[Tech Start Date]],9),""))))</f>
        <v>40669</v>
      </c>
      <c r="Q11" s="85">
        <v>40696</v>
      </c>
      <c r="R11" s="112">
        <v>40696</v>
      </c>
      <c r="S11" s="95" t="s">
        <v>11</v>
      </c>
      <c r="T11" s="74" t="s">
        <v>933</v>
      </c>
      <c r="U11" s="95" t="s">
        <v>14</v>
      </c>
      <c r="V11" s="95" t="s">
        <v>1914</v>
      </c>
      <c r="W11" s="95" t="s">
        <v>1917</v>
      </c>
      <c r="X11" s="95" t="s">
        <v>2852</v>
      </c>
      <c r="Y11" s="72" t="s">
        <v>2974</v>
      </c>
      <c r="Z11" s="72" t="s">
        <v>2045</v>
      </c>
      <c r="AA11" s="95" t="s">
        <v>2852</v>
      </c>
      <c r="AB11" s="132"/>
      <c r="AC11" s="132"/>
      <c r="AD11" s="132"/>
      <c r="AE11" s="63"/>
      <c r="AF11" s="63"/>
      <c r="AG11" s="63"/>
    </row>
    <row r="12" spans="1:38" ht="17.2" customHeight="1">
      <c r="A12" s="64">
        <f>IF(priority(Main[[#This Row],[Comments]])&lt;&gt;0, priority(Main[[#This Row],[Comments]]),"")</f>
        <v>1</v>
      </c>
      <c r="B12" s="60" t="s">
        <v>2606</v>
      </c>
      <c r="C12" s="72" t="s">
        <v>2607</v>
      </c>
      <c r="D12" s="59" t="s">
        <v>2779</v>
      </c>
      <c r="E12" s="85"/>
      <c r="F12" s="85">
        <v>40855</v>
      </c>
      <c r="G12" s="64" t="str">
        <f>IF(stdProdLT(Main[[#This Row],[Comments]])=0.1,"N/A",IF(stdProdLT(Main[[#This Row],[Comments]])=0,"",TRIM(stdProdLT(Main[[#This Row],[Comments]]))))</f>
        <v>N/A</v>
      </c>
      <c r="H12" s="94" t="str">
        <f>IF(OR(Main[[#This Row],[Std. Prod. Lead Time]]="N/A",Main[[#This Row],[Std. Prod. Lead Time]]=""), "",IF(AND(Main[[#This Row],[In Stock Date]]&lt;&gt;"",Main[[#This Row],[Revised Due Date]]&lt;&gt;"",Main[[#This Row],[In Stock Date]]&lt;&gt;""),Main[[#This Row],[In Stock Date]]-Main[[#This Row],[Revised Due Date]],""))</f>
        <v/>
      </c>
      <c r="I12" s="101" t="s">
        <v>937</v>
      </c>
      <c r="J12" s="95" t="s">
        <v>28</v>
      </c>
      <c r="K12" s="95" t="s">
        <v>1920</v>
      </c>
      <c r="L12" s="85">
        <v>40834</v>
      </c>
      <c r="M12" s="73">
        <f>IF(Main[[#This Row],[Tech Start Date]]&lt;1/1/1990,"",IF(Main[[#This Row],[Class]]="C",WORKDAY(Main[[#This Row],[Tech Start Date]],9),IF(Main[[#This Row],[Class]]="B", WORKDAY(Main[[#This Row],[Tech Start Date]],6),IF(Main[[#This Row],[Class]]="A",WORKDAY(Main[[#This Row],[Tech Start Date]],2),""))))</f>
        <v>40836</v>
      </c>
      <c r="N12" s="73">
        <f>IF(Main[[#This Row],[Tech Start Date]]&lt;1/1/1990,"",IF(Main[[#This Row],[Class]]="C",WORKDAY(Main[[#This Row],[Tech Start Date]],19),IF(Main[[#This Row],[Class]]="B", WORKDAY(Main[[#This Row],[Tech Start Date]],12),IF(Main[[#This Row],[Class]]="A",WORKDAY(Main[[#This Row],[Tech Start Date]],4),""))))</f>
        <v>40840</v>
      </c>
      <c r="O12" s="73">
        <f>IF(Main[[#This Row],[Tech Start Date]]&lt;1/1/1990,"",IF(Main[[#This Row],[Class]]="C",WORKDAY(Main[[#This Row],[Tech Start Date]],23),IF(Main[[#This Row],[Class]]="B", WORKDAY(Main[[#This Row],[Tech Start Date]],15),IF(Main[[#This Row],[Class]]="A",WORKDAY(Main[[#This Row],[Tech Start Date]],5),""))))</f>
        <v>40841</v>
      </c>
      <c r="P12" s="73">
        <f>IF(Main[[#This Row],[Tech Start Date]]&lt;1/1/1990,"",IF(Main[[#This Row],[Class]]="C",WORKDAY(Main[[#This Row],[Tech Start Date]],28),IF(Main[[#This Row],[Class]]="B", WORKDAY(Main[[#This Row],[Tech Start Date]],19),IF(Main[[#This Row],[Class]]="A",WORKDAY(Main[[#This Row],[Tech Start Date]],9),""))))</f>
        <v>40847</v>
      </c>
      <c r="Q12" s="85">
        <v>40855</v>
      </c>
      <c r="R12" s="112">
        <v>40939</v>
      </c>
      <c r="S12" s="95" t="s">
        <v>11</v>
      </c>
      <c r="T12" s="74" t="s">
        <v>2780</v>
      </c>
      <c r="U12" s="95" t="s">
        <v>14</v>
      </c>
      <c r="V12" s="95" t="s">
        <v>1911</v>
      </c>
      <c r="W12" s="95" t="s">
        <v>1913</v>
      </c>
      <c r="X12" s="95" t="s">
        <v>2811</v>
      </c>
      <c r="Y12" s="72" t="s">
        <v>2932</v>
      </c>
      <c r="Z12" s="72" t="s">
        <v>129</v>
      </c>
      <c r="AA12" s="95" t="s">
        <v>2811</v>
      </c>
      <c r="AB12" s="132"/>
      <c r="AC12" s="132"/>
      <c r="AD12" s="132"/>
      <c r="AE12" s="63"/>
      <c r="AF12" s="63"/>
      <c r="AG12" s="63"/>
    </row>
    <row r="13" spans="1:38" ht="17.2" customHeight="1">
      <c r="A13" s="64">
        <f>IF(priority(Main[[#This Row],[Comments]])&lt;&gt;0, priority(Main[[#This Row],[Comments]]),"")</f>
        <v>1</v>
      </c>
      <c r="B13" s="60" t="s">
        <v>3148</v>
      </c>
      <c r="C13" s="72" t="s">
        <v>3802</v>
      </c>
      <c r="D13" s="59" t="s">
        <v>3978</v>
      </c>
      <c r="E13" s="85">
        <v>40919.073576388888</v>
      </c>
      <c r="F13" s="85">
        <v>41153</v>
      </c>
      <c r="G13" s="64" t="str">
        <f>IF(stdProdLT(Main[[#This Row],[Comments]])=0.1,"N/A",IF(stdProdLT(Main[[#This Row],[Comments]])=0,"",TRIM(stdProdLT(Main[[#This Row],[Comments]]))))</f>
        <v>126</v>
      </c>
      <c r="H13" s="94">
        <f>IF(OR(Main[[#This Row],[Std. Prod. Lead Time]]="N/A",Main[[#This Row],[Std. Prod. Lead Time]]=""), "",IF(AND(Main[[#This Row],[In Stock Date]]&lt;&gt;"",Main[[#This Row],[Revised Due Date]]&lt;&gt;"",Main[[#This Row],[In Stock Date]]&lt;&gt;""),Main[[#This Row],[In Stock Date]]-Main[[#This Row],[Revised Due Date]],""))</f>
        <v>177</v>
      </c>
      <c r="I13" s="101" t="s">
        <v>102</v>
      </c>
      <c r="J13" s="95" t="s">
        <v>51</v>
      </c>
      <c r="K13" s="95" t="s">
        <v>1918</v>
      </c>
      <c r="L13" s="85">
        <v>40920</v>
      </c>
      <c r="M13" s="73">
        <f>IF(Main[[#This Row],[Tech Start Date]]&lt;1/1/1990,"",IF(Main[[#This Row],[Class]]="C",WORKDAY(Main[[#This Row],[Tech Start Date]],9),IF(Main[[#This Row],[Class]]="B", WORKDAY(Main[[#This Row],[Tech Start Date]],6),IF(Main[[#This Row],[Class]]="A",WORKDAY(Main[[#This Row],[Tech Start Date]],2),""))))</f>
        <v>40928</v>
      </c>
      <c r="N13" s="73">
        <f>IF(Main[[#This Row],[Tech Start Date]]&lt;1/1/1990,"",IF(Main[[#This Row],[Class]]="C",WORKDAY(Main[[#This Row],[Tech Start Date]],19),IF(Main[[#This Row],[Class]]="B", WORKDAY(Main[[#This Row],[Tech Start Date]],12),IF(Main[[#This Row],[Class]]="A",WORKDAY(Main[[#This Row],[Tech Start Date]],4),""))))</f>
        <v>40938</v>
      </c>
      <c r="O13" s="73">
        <f>IF(Main[[#This Row],[Tech Start Date]]&lt;1/1/1990,"",IF(Main[[#This Row],[Class]]="C",WORKDAY(Main[[#This Row],[Tech Start Date]],23),IF(Main[[#This Row],[Class]]="B", WORKDAY(Main[[#This Row],[Tech Start Date]],15),IF(Main[[#This Row],[Class]]="A",WORKDAY(Main[[#This Row],[Tech Start Date]],5),""))))</f>
        <v>40941</v>
      </c>
      <c r="P13" s="73">
        <f>IF(Main[[#This Row],[Tech Start Date]]&lt;1/1/1990,"",IF(Main[[#This Row],[Class]]="C",WORKDAY(Main[[#This Row],[Tech Start Date]],28),IF(Main[[#This Row],[Class]]="B", WORKDAY(Main[[#This Row],[Tech Start Date]],19),IF(Main[[#This Row],[Class]]="A",WORKDAY(Main[[#This Row],[Tech Start Date]],9),""))))</f>
        <v>40947</v>
      </c>
      <c r="Q13" s="85">
        <v>40926</v>
      </c>
      <c r="R13" s="112">
        <v>40976</v>
      </c>
      <c r="S13" s="95" t="s">
        <v>11</v>
      </c>
      <c r="T13" s="74" t="s">
        <v>3830</v>
      </c>
      <c r="U13" s="95" t="s">
        <v>29</v>
      </c>
      <c r="V13" s="95" t="s">
        <v>1911</v>
      </c>
      <c r="W13" s="95" t="s">
        <v>1922</v>
      </c>
      <c r="X13" s="95" t="s">
        <v>2826</v>
      </c>
      <c r="Y13" s="72" t="s">
        <v>4</v>
      </c>
      <c r="Z13" s="72" t="s">
        <v>129</v>
      </c>
      <c r="AA13" s="95" t="s">
        <v>2826</v>
      </c>
      <c r="AB13" s="132">
        <v>40969</v>
      </c>
      <c r="AC13" s="132">
        <v>40976</v>
      </c>
      <c r="AD13" s="132"/>
      <c r="AE13" s="63"/>
      <c r="AF13" s="63"/>
      <c r="AG13" s="63"/>
    </row>
    <row r="14" spans="1:38" ht="17.2" customHeight="1">
      <c r="A14" s="64">
        <f>IF(priority(Main[[#This Row],[Comments]])&lt;&gt;0, priority(Main[[#This Row],[Comments]]),"")</f>
        <v>1</v>
      </c>
      <c r="B14" s="60" t="s">
        <v>3217</v>
      </c>
      <c r="C14" s="72" t="s">
        <v>577</v>
      </c>
      <c r="D14" s="59" t="s">
        <v>3983</v>
      </c>
      <c r="E14" s="85">
        <v>40933.480763888889</v>
      </c>
      <c r="F14" s="85">
        <v>40969</v>
      </c>
      <c r="G14" s="64" t="str">
        <f>IF(stdProdLT(Main[[#This Row],[Comments]])=0.1,"N/A",IF(stdProdLT(Main[[#This Row],[Comments]])=0,"",TRIM(stdProdLT(Main[[#This Row],[Comments]]))))</f>
        <v>N/A</v>
      </c>
      <c r="H14" s="94" t="str">
        <f>IF(OR(Main[[#This Row],[Std. Prod. Lead Time]]="N/A",Main[[#This Row],[Std. Prod. Lead Time]]=""), "",IF(AND(Main[[#This Row],[In Stock Date]]&lt;&gt;"",Main[[#This Row],[Revised Due Date]]&lt;&gt;"",Main[[#This Row],[In Stock Date]]&lt;&gt;""),Main[[#This Row],[In Stock Date]]-Main[[#This Row],[Revised Due Date]],""))</f>
        <v/>
      </c>
      <c r="I14" s="101" t="s">
        <v>2047</v>
      </c>
      <c r="J14" s="95" t="s">
        <v>21</v>
      </c>
      <c r="K14" s="95" t="s">
        <v>1924</v>
      </c>
      <c r="L14" s="85">
        <v>40938</v>
      </c>
      <c r="M14" s="73">
        <f>IF(Main[[#This Row],[Tech Start Date]]&lt;1/1/1990,"",IF(Main[[#This Row],[Class]]="C",WORKDAY(Main[[#This Row],[Tech Start Date]],9),IF(Main[[#This Row],[Class]]="B", WORKDAY(Main[[#This Row],[Tech Start Date]],6),IF(Main[[#This Row],[Class]]="A",WORKDAY(Main[[#This Row],[Tech Start Date]],2),""))))</f>
        <v>40949</v>
      </c>
      <c r="N14" s="73">
        <f>IF(Main[[#This Row],[Tech Start Date]]&lt;1/1/1990,"",IF(Main[[#This Row],[Class]]="C",WORKDAY(Main[[#This Row],[Tech Start Date]],19),IF(Main[[#This Row],[Class]]="B", WORKDAY(Main[[#This Row],[Tech Start Date]],12),IF(Main[[#This Row],[Class]]="A",WORKDAY(Main[[#This Row],[Tech Start Date]],4),""))))</f>
        <v>40963</v>
      </c>
      <c r="O14" s="73">
        <f>IF(Main[[#This Row],[Tech Start Date]]&lt;1/1/1990,"",IF(Main[[#This Row],[Class]]="C",WORKDAY(Main[[#This Row],[Tech Start Date]],23),IF(Main[[#This Row],[Class]]="B", WORKDAY(Main[[#This Row],[Tech Start Date]],15),IF(Main[[#This Row],[Class]]="A",WORKDAY(Main[[#This Row],[Tech Start Date]],5),""))))</f>
        <v>40969</v>
      </c>
      <c r="P14" s="73">
        <f>IF(Main[[#This Row],[Tech Start Date]]&lt;1/1/1990,"",IF(Main[[#This Row],[Class]]="C",WORKDAY(Main[[#This Row],[Tech Start Date]],28),IF(Main[[#This Row],[Class]]="B", WORKDAY(Main[[#This Row],[Tech Start Date]],19),IF(Main[[#This Row],[Class]]="A",WORKDAY(Main[[#This Row],[Tech Start Date]],9),""))))</f>
        <v>40976</v>
      </c>
      <c r="Q14" s="85">
        <v>40940</v>
      </c>
      <c r="R14" s="112">
        <v>40980</v>
      </c>
      <c r="S14" s="95" t="s">
        <v>11</v>
      </c>
      <c r="T14" s="74" t="s">
        <v>3984</v>
      </c>
      <c r="U14" s="95" t="s">
        <v>29</v>
      </c>
      <c r="V14" s="95" t="s">
        <v>1912</v>
      </c>
      <c r="W14" s="95" t="s">
        <v>1913</v>
      </c>
      <c r="X14" s="95" t="s">
        <v>2796</v>
      </c>
      <c r="Y14" s="72" t="s">
        <v>4</v>
      </c>
      <c r="Z14" s="72" t="s">
        <v>2047</v>
      </c>
      <c r="AA14" s="95" t="s">
        <v>2796</v>
      </c>
      <c r="AB14" s="132"/>
      <c r="AC14" s="132"/>
      <c r="AD14" s="132"/>
      <c r="AE14" s="63"/>
      <c r="AF14" s="63"/>
      <c r="AG14" s="63"/>
    </row>
    <row r="15" spans="1:38" ht="17.2" customHeight="1">
      <c r="A15" s="64">
        <f>IF(priority(Main[[#This Row],[Comments]])&lt;&gt;0, priority(Main[[#This Row],[Comments]]),"")</f>
        <v>1.01</v>
      </c>
      <c r="B15" s="60" t="s">
        <v>1877</v>
      </c>
      <c r="C15" s="72" t="s">
        <v>113</v>
      </c>
      <c r="D15" s="59" t="s">
        <v>3696</v>
      </c>
      <c r="E15" s="85">
        <v>40633.588854166665</v>
      </c>
      <c r="F15" s="85">
        <v>40674</v>
      </c>
      <c r="G15" s="64" t="str">
        <f>IF(stdProdLT(Main[[#This Row],[Comments]])=0.1,"N/A",IF(stdProdLT(Main[[#This Row],[Comments]])=0,"",TRIM(stdProdLT(Main[[#This Row],[Comments]]))))</f>
        <v/>
      </c>
      <c r="H15" s="94" t="str">
        <f>IF(OR(Main[[#This Row],[Std. Prod. Lead Time]]="N/A",Main[[#This Row],[Std. Prod. Lead Time]]=""), "",IF(AND(Main[[#This Row],[In Stock Date]]&lt;&gt;"",Main[[#This Row],[Revised Due Date]]&lt;&gt;"",Main[[#This Row],[In Stock Date]]&lt;&gt;""),Main[[#This Row],[In Stock Date]]-Main[[#This Row],[Revised Due Date]],""))</f>
        <v/>
      </c>
      <c r="I15" s="101" t="s">
        <v>937</v>
      </c>
      <c r="J15" s="95" t="s">
        <v>28</v>
      </c>
      <c r="K15" s="95" t="s">
        <v>1923</v>
      </c>
      <c r="L15" s="85">
        <v>40666</v>
      </c>
      <c r="M15" s="73" t="str">
        <f>IF(Main[[#This Row],[Tech Start Date]]&lt;1/1/1990,"",IF(Main[[#This Row],[Class]]="C",WORKDAY(Main[[#This Row],[Tech Start Date]],9),IF(Main[[#This Row],[Class]]="B", WORKDAY(Main[[#This Row],[Tech Start Date]],6),IF(Main[[#This Row],[Class]]="A",WORKDAY(Main[[#This Row],[Tech Start Date]],2),""))))</f>
        <v/>
      </c>
      <c r="N15" s="73" t="str">
        <f>IF(Main[[#This Row],[Tech Start Date]]&lt;1/1/1990,"",IF(Main[[#This Row],[Class]]="C",WORKDAY(Main[[#This Row],[Tech Start Date]],19),IF(Main[[#This Row],[Class]]="B", WORKDAY(Main[[#This Row],[Tech Start Date]],12),IF(Main[[#This Row],[Class]]="A",WORKDAY(Main[[#This Row],[Tech Start Date]],4),""))))</f>
        <v/>
      </c>
      <c r="O15" s="73" t="str">
        <f>IF(Main[[#This Row],[Tech Start Date]]&lt;1/1/1990,"",IF(Main[[#This Row],[Class]]="C",WORKDAY(Main[[#This Row],[Tech Start Date]],23),IF(Main[[#This Row],[Class]]="B", WORKDAY(Main[[#This Row],[Tech Start Date]],15),IF(Main[[#This Row],[Class]]="A",WORKDAY(Main[[#This Row],[Tech Start Date]],5),""))))</f>
        <v/>
      </c>
      <c r="P15" s="73" t="str">
        <f>IF(Main[[#This Row],[Tech Start Date]]&lt;1/1/1990,"",IF(Main[[#This Row],[Class]]="C",WORKDAY(Main[[#This Row],[Tech Start Date]],28),IF(Main[[#This Row],[Class]]="B", WORKDAY(Main[[#This Row],[Tech Start Date]],19),IF(Main[[#This Row],[Class]]="A",WORKDAY(Main[[#This Row],[Tech Start Date]],9),""))))</f>
        <v/>
      </c>
      <c r="Q15" s="85">
        <v>40939</v>
      </c>
      <c r="R15" s="112">
        <v>41029</v>
      </c>
      <c r="S15" s="95" t="s">
        <v>17</v>
      </c>
      <c r="T15" s="74" t="s">
        <v>2596</v>
      </c>
      <c r="U15" s="95" t="s">
        <v>29</v>
      </c>
      <c r="V15" s="95" t="s">
        <v>1911</v>
      </c>
      <c r="W15" s="95" t="s">
        <v>1922</v>
      </c>
      <c r="X15" s="95" t="s">
        <v>2813</v>
      </c>
      <c r="Y15" s="72" t="s">
        <v>2917</v>
      </c>
      <c r="Z15" s="72" t="s">
        <v>129</v>
      </c>
      <c r="AA15" s="95" t="s">
        <v>2813</v>
      </c>
      <c r="AB15" s="132"/>
      <c r="AC15" s="132"/>
      <c r="AD15" s="132"/>
      <c r="AE15" s="63"/>
      <c r="AF15" s="63"/>
      <c r="AG15" s="63"/>
    </row>
    <row r="16" spans="1:38" ht="17.2" customHeight="1">
      <c r="A16" s="64">
        <f>IF(priority(Main[[#This Row],[Comments]])&lt;&gt;0, priority(Main[[#This Row],[Comments]]),"")</f>
        <v>2</v>
      </c>
      <c r="B16" s="60" t="s">
        <v>1155</v>
      </c>
      <c r="C16" s="72" t="s">
        <v>19</v>
      </c>
      <c r="D16" s="59" t="s">
        <v>2421</v>
      </c>
      <c r="E16" s="85">
        <v>40487.363657407404</v>
      </c>
      <c r="F16" s="85"/>
      <c r="G16" s="64" t="str">
        <f>IF(stdProdLT(Main[[#This Row],[Comments]])=0.1,"N/A",IF(stdProdLT(Main[[#This Row],[Comments]])=0,"",TRIM(stdProdLT(Main[[#This Row],[Comments]]))))</f>
        <v/>
      </c>
      <c r="H16" s="94" t="str">
        <f>IF(OR(Main[[#This Row],[Std. Prod. Lead Time]]="N/A",Main[[#This Row],[Std. Prod. Lead Time]]=""), "",IF(AND(Main[[#This Row],[In Stock Date]]&lt;&gt;"",Main[[#This Row],[Revised Due Date]]&lt;&gt;"",Main[[#This Row],[In Stock Date]]&lt;&gt;""),Main[[#This Row],[In Stock Date]]-Main[[#This Row],[Revised Due Date]],""))</f>
        <v/>
      </c>
      <c r="I16" s="101" t="s">
        <v>2012</v>
      </c>
      <c r="J16" s="95" t="s">
        <v>28</v>
      </c>
      <c r="K16" s="95" t="s">
        <v>4</v>
      </c>
      <c r="L16" s="85"/>
      <c r="M16" s="73" t="str">
        <f>IF(Main[[#This Row],[Tech Start Date]]&lt;1/1/1990,"",IF(Main[[#This Row],[Class]]="C",WORKDAY(Main[[#This Row],[Tech Start Date]],9),IF(Main[[#This Row],[Class]]="B", WORKDAY(Main[[#This Row],[Tech Start Date]],6),IF(Main[[#This Row],[Class]]="A",WORKDAY(Main[[#This Row],[Tech Start Date]],2),""))))</f>
        <v/>
      </c>
      <c r="N16" s="73" t="str">
        <f>IF(Main[[#This Row],[Tech Start Date]]&lt;1/1/1990,"",IF(Main[[#This Row],[Class]]="C",WORKDAY(Main[[#This Row],[Tech Start Date]],19),IF(Main[[#This Row],[Class]]="B", WORKDAY(Main[[#This Row],[Tech Start Date]],12),IF(Main[[#This Row],[Class]]="A",WORKDAY(Main[[#This Row],[Tech Start Date]],4),""))))</f>
        <v/>
      </c>
      <c r="O16" s="73" t="str">
        <f>IF(Main[[#This Row],[Tech Start Date]]&lt;1/1/1990,"",IF(Main[[#This Row],[Class]]="C",WORKDAY(Main[[#This Row],[Tech Start Date]],23),IF(Main[[#This Row],[Class]]="B", WORKDAY(Main[[#This Row],[Tech Start Date]],15),IF(Main[[#This Row],[Class]]="A",WORKDAY(Main[[#This Row],[Tech Start Date]],5),""))))</f>
        <v/>
      </c>
      <c r="P16" s="73" t="str">
        <f>IF(Main[[#This Row],[Tech Start Date]]&lt;1/1/1990,"",IF(Main[[#This Row],[Class]]="C",WORKDAY(Main[[#This Row],[Tech Start Date]],28),IF(Main[[#This Row],[Class]]="B", WORKDAY(Main[[#This Row],[Tech Start Date]],19),IF(Main[[#This Row],[Class]]="A",WORKDAY(Main[[#This Row],[Tech Start Date]],9),""))))</f>
        <v/>
      </c>
      <c r="Q16" s="85">
        <v>40862</v>
      </c>
      <c r="R16" s="112">
        <v>40862</v>
      </c>
      <c r="S16" s="95" t="s">
        <v>17</v>
      </c>
      <c r="T16" s="74" t="s">
        <v>2422</v>
      </c>
      <c r="U16" s="95" t="s">
        <v>29</v>
      </c>
      <c r="V16" s="95" t="s">
        <v>1926</v>
      </c>
      <c r="W16" s="95" t="s">
        <v>1913</v>
      </c>
      <c r="X16" s="95" t="s">
        <v>129</v>
      </c>
      <c r="Y16" s="72" t="s">
        <v>2911</v>
      </c>
      <c r="Z16" s="72" t="s">
        <v>2205</v>
      </c>
      <c r="AA16" s="95" t="s">
        <v>129</v>
      </c>
      <c r="AB16" s="132"/>
      <c r="AC16" s="132"/>
      <c r="AD16" s="132"/>
      <c r="AE16" s="63"/>
      <c r="AF16" s="63"/>
      <c r="AG16" s="63"/>
    </row>
    <row r="17" spans="1:33" ht="17.2" customHeight="1">
      <c r="A17" s="64">
        <f>IF(priority(Main[[#This Row],[Comments]])&lt;&gt;0, priority(Main[[#This Row],[Comments]]),"")</f>
        <v>2</v>
      </c>
      <c r="B17" s="60" t="s">
        <v>2039</v>
      </c>
      <c r="C17" s="72" t="s">
        <v>299</v>
      </c>
      <c r="D17" s="59" t="s">
        <v>2313</v>
      </c>
      <c r="E17" s="85">
        <v>40682.272986111115</v>
      </c>
      <c r="F17" s="85">
        <v>40909</v>
      </c>
      <c r="G17" s="64" t="str">
        <f>IF(stdProdLT(Main[[#This Row],[Comments]])=0.1,"N/A",IF(stdProdLT(Main[[#This Row],[Comments]])=0,"",TRIM(stdProdLT(Main[[#This Row],[Comments]]))))</f>
        <v>182</v>
      </c>
      <c r="H17" s="94">
        <f>IF(OR(Main[[#This Row],[Std. Prod. Lead Time]]="N/A",Main[[#This Row],[Std. Prod. Lead Time]]=""), "",IF(AND(Main[[#This Row],[In Stock Date]]&lt;&gt;"",Main[[#This Row],[Revised Due Date]]&lt;&gt;"",Main[[#This Row],[In Stock Date]]&lt;&gt;""),Main[[#This Row],[In Stock Date]]-Main[[#This Row],[Revised Due Date]],""))</f>
        <v>78</v>
      </c>
      <c r="I17" s="101" t="s">
        <v>946</v>
      </c>
      <c r="J17" s="95" t="s">
        <v>28</v>
      </c>
      <c r="K17" s="96" t="s">
        <v>1924</v>
      </c>
      <c r="L17" s="85">
        <v>40725</v>
      </c>
      <c r="M17" s="73">
        <f>IF(Main[[#This Row],[Tech Start Date]]&lt;1/1/1990,"",IF(Main[[#This Row],[Class]]="C",WORKDAY(Main[[#This Row],[Tech Start Date]],9),IF(Main[[#This Row],[Class]]="B", WORKDAY(Main[[#This Row],[Tech Start Date]],6),IF(Main[[#This Row],[Class]]="A",WORKDAY(Main[[#This Row],[Tech Start Date]],2),""))))</f>
        <v>40738</v>
      </c>
      <c r="N17" s="73">
        <f>IF(Main[[#This Row],[Tech Start Date]]&lt;1/1/1990,"",IF(Main[[#This Row],[Class]]="C",WORKDAY(Main[[#This Row],[Tech Start Date]],19),IF(Main[[#This Row],[Class]]="B", WORKDAY(Main[[#This Row],[Tech Start Date]],12),IF(Main[[#This Row],[Class]]="A",WORKDAY(Main[[#This Row],[Tech Start Date]],4),""))))</f>
        <v>40752</v>
      </c>
      <c r="O17" s="73">
        <f>IF(Main[[#This Row],[Tech Start Date]]&lt;1/1/1990,"",IF(Main[[#This Row],[Class]]="C",WORKDAY(Main[[#This Row],[Tech Start Date]],23),IF(Main[[#This Row],[Class]]="B", WORKDAY(Main[[#This Row],[Tech Start Date]],15),IF(Main[[#This Row],[Class]]="A",WORKDAY(Main[[#This Row],[Tech Start Date]],5),""))))</f>
        <v>40758</v>
      </c>
      <c r="P17" s="73">
        <f>IF(Main[[#This Row],[Tech Start Date]]&lt;1/1/1990,"",IF(Main[[#This Row],[Class]]="C",WORKDAY(Main[[#This Row],[Tech Start Date]],28),IF(Main[[#This Row],[Class]]="B", WORKDAY(Main[[#This Row],[Tech Start Date]],19),IF(Main[[#This Row],[Class]]="A",WORKDAY(Main[[#This Row],[Tech Start Date]],9),""))))</f>
        <v>40765</v>
      </c>
      <c r="Q17" s="85">
        <v>40724</v>
      </c>
      <c r="R17" s="112">
        <v>40831</v>
      </c>
      <c r="S17" s="95" t="s">
        <v>17</v>
      </c>
      <c r="T17" s="74" t="s">
        <v>2201</v>
      </c>
      <c r="U17" s="95" t="s">
        <v>29</v>
      </c>
      <c r="V17" s="95" t="s">
        <v>1912</v>
      </c>
      <c r="W17" s="95" t="s">
        <v>1916</v>
      </c>
      <c r="X17" s="95" t="s">
        <v>2815</v>
      </c>
      <c r="Y17" s="72" t="s">
        <v>4</v>
      </c>
      <c r="Z17" s="72" t="s">
        <v>2047</v>
      </c>
      <c r="AA17" s="95" t="s">
        <v>2815</v>
      </c>
      <c r="AB17" s="132"/>
      <c r="AC17" s="132"/>
      <c r="AD17" s="132"/>
      <c r="AE17" s="63"/>
      <c r="AF17" s="63"/>
      <c r="AG17" s="63"/>
    </row>
    <row r="18" spans="1:33" ht="17.2" customHeight="1">
      <c r="A18" s="64">
        <f>IF(priority(Main[[#This Row],[Comments]])&lt;&gt;0, priority(Main[[#This Row],[Comments]]),"")</f>
        <v>2</v>
      </c>
      <c r="B18" s="60" t="s">
        <v>2270</v>
      </c>
      <c r="C18" s="72" t="s">
        <v>518</v>
      </c>
      <c r="D18" s="59" t="s">
        <v>2904</v>
      </c>
      <c r="E18" s="85">
        <v>40812.552488425928</v>
      </c>
      <c r="F18" s="85">
        <v>41030</v>
      </c>
      <c r="G18" s="64" t="str">
        <f>IF(stdProdLT(Main[[#This Row],[Comments]])=0.1,"N/A",IF(stdProdLT(Main[[#This Row],[Comments]])=0,"",TRIM(stdProdLT(Main[[#This Row],[Comments]]))))</f>
        <v>84</v>
      </c>
      <c r="H18" s="94">
        <f>IF(OR(Main[[#This Row],[Std. Prod. Lead Time]]="N/A",Main[[#This Row],[Std. Prod. Lead Time]]=""), "",IF(AND(Main[[#This Row],[In Stock Date]]&lt;&gt;"",Main[[#This Row],[Revised Due Date]]&lt;&gt;"",Main[[#This Row],[In Stock Date]]&lt;&gt;""),Main[[#This Row],[In Stock Date]]-Main[[#This Row],[Revised Due Date]],""))</f>
        <v>74</v>
      </c>
      <c r="I18" s="101" t="s">
        <v>2611</v>
      </c>
      <c r="J18" s="95" t="s">
        <v>21</v>
      </c>
      <c r="K18" s="95" t="s">
        <v>1918</v>
      </c>
      <c r="L18" s="85">
        <v>40835</v>
      </c>
      <c r="M18" s="73">
        <f>IF(Main[[#This Row],[Tech Start Date]]&lt;1/1/1990,"",IF(Main[[#This Row],[Class]]="C",WORKDAY(Main[[#This Row],[Tech Start Date]],9),IF(Main[[#This Row],[Class]]="B", WORKDAY(Main[[#This Row],[Tech Start Date]],6),IF(Main[[#This Row],[Class]]="A",WORKDAY(Main[[#This Row],[Tech Start Date]],2),""))))</f>
        <v>40843</v>
      </c>
      <c r="N18" s="73">
        <f>IF(Main[[#This Row],[Tech Start Date]]&lt;1/1/1990,"",IF(Main[[#This Row],[Class]]="C",WORKDAY(Main[[#This Row],[Tech Start Date]],19),IF(Main[[#This Row],[Class]]="B", WORKDAY(Main[[#This Row],[Tech Start Date]],12),IF(Main[[#This Row],[Class]]="A",WORKDAY(Main[[#This Row],[Tech Start Date]],4),""))))</f>
        <v>40851</v>
      </c>
      <c r="O18" s="73">
        <f>IF(Main[[#This Row],[Tech Start Date]]&lt;1/1/1990,"",IF(Main[[#This Row],[Class]]="C",WORKDAY(Main[[#This Row],[Tech Start Date]],23),IF(Main[[#This Row],[Class]]="B", WORKDAY(Main[[#This Row],[Tech Start Date]],15),IF(Main[[#This Row],[Class]]="A",WORKDAY(Main[[#This Row],[Tech Start Date]],5),""))))</f>
        <v>40856</v>
      </c>
      <c r="P18" s="73">
        <f>IF(Main[[#This Row],[Tech Start Date]]&lt;1/1/1990,"",IF(Main[[#This Row],[Class]]="C",WORKDAY(Main[[#This Row],[Tech Start Date]],28),IF(Main[[#This Row],[Class]]="B", WORKDAY(Main[[#This Row],[Tech Start Date]],19),IF(Main[[#This Row],[Class]]="A",WORKDAY(Main[[#This Row],[Tech Start Date]],9),""))))</f>
        <v>40862</v>
      </c>
      <c r="Q18" s="85">
        <v>40816</v>
      </c>
      <c r="R18" s="112">
        <v>40956</v>
      </c>
      <c r="S18" s="95" t="s">
        <v>17</v>
      </c>
      <c r="T18" s="74" t="s">
        <v>2781</v>
      </c>
      <c r="U18" s="95" t="s">
        <v>29</v>
      </c>
      <c r="V18" s="95" t="s">
        <v>1912</v>
      </c>
      <c r="W18" s="95" t="s">
        <v>1919</v>
      </c>
      <c r="X18" s="95" t="s">
        <v>2889</v>
      </c>
      <c r="Y18" s="72" t="s">
        <v>3095</v>
      </c>
      <c r="Z18" s="72" t="s">
        <v>2047</v>
      </c>
      <c r="AA18" s="95" t="s">
        <v>3410</v>
      </c>
      <c r="AB18" s="132"/>
      <c r="AC18" s="132"/>
      <c r="AD18" s="132"/>
      <c r="AE18" s="63"/>
      <c r="AF18" s="63"/>
      <c r="AG18" s="63"/>
    </row>
    <row r="19" spans="1:33" ht="17.2" customHeight="1">
      <c r="A19" s="64">
        <f>IF(priority(Main[[#This Row],[Comments]])&lt;&gt;0, priority(Main[[#This Row],[Comments]]),"")</f>
        <v>2</v>
      </c>
      <c r="B19" s="60" t="s">
        <v>2391</v>
      </c>
      <c r="C19" s="72" t="s">
        <v>2392</v>
      </c>
      <c r="D19" s="59" t="s">
        <v>3975</v>
      </c>
      <c r="E19" s="85">
        <v>40864.56318287037</v>
      </c>
      <c r="F19" s="85">
        <v>40982</v>
      </c>
      <c r="G19" s="64" t="str">
        <f>IF(stdProdLT(Main[[#This Row],[Comments]])=0.1,"N/A",IF(stdProdLT(Main[[#This Row],[Comments]])=0,"",TRIM(stdProdLT(Main[[#This Row],[Comments]]))))</f>
        <v>N/A</v>
      </c>
      <c r="H19" s="94" t="str">
        <f>IF(OR(Main[[#This Row],[Std. Prod. Lead Time]]="N/A",Main[[#This Row],[Std. Prod. Lead Time]]=""), "",IF(AND(Main[[#This Row],[In Stock Date]]&lt;&gt;"",Main[[#This Row],[Revised Due Date]]&lt;&gt;"",Main[[#This Row],[In Stock Date]]&lt;&gt;""),Main[[#This Row],[In Stock Date]]-Main[[#This Row],[Revised Due Date]],""))</f>
        <v/>
      </c>
      <c r="I19" s="101" t="s">
        <v>2243</v>
      </c>
      <c r="J19" s="95" t="s">
        <v>28</v>
      </c>
      <c r="K19" s="95" t="s">
        <v>1918</v>
      </c>
      <c r="L19" s="85">
        <v>40878</v>
      </c>
      <c r="M19" s="73">
        <f>IF(Main[[#This Row],[Tech Start Date]]&lt;1/1/1990,"",IF(Main[[#This Row],[Class]]="C",WORKDAY(Main[[#This Row],[Tech Start Date]],9),IF(Main[[#This Row],[Class]]="B", WORKDAY(Main[[#This Row],[Tech Start Date]],6),IF(Main[[#This Row],[Class]]="A",WORKDAY(Main[[#This Row],[Tech Start Date]],2),""))))</f>
        <v>40886</v>
      </c>
      <c r="N19" s="73">
        <f>IF(Main[[#This Row],[Tech Start Date]]&lt;1/1/1990,"",IF(Main[[#This Row],[Class]]="C",WORKDAY(Main[[#This Row],[Tech Start Date]],19),IF(Main[[#This Row],[Class]]="B", WORKDAY(Main[[#This Row],[Tech Start Date]],12),IF(Main[[#This Row],[Class]]="A",WORKDAY(Main[[#This Row],[Tech Start Date]],4),""))))</f>
        <v>40896</v>
      </c>
      <c r="O19" s="73">
        <f>IF(Main[[#This Row],[Tech Start Date]]&lt;1/1/1990,"",IF(Main[[#This Row],[Class]]="C",WORKDAY(Main[[#This Row],[Tech Start Date]],23),IF(Main[[#This Row],[Class]]="B", WORKDAY(Main[[#This Row],[Tech Start Date]],15),IF(Main[[#This Row],[Class]]="A",WORKDAY(Main[[#This Row],[Tech Start Date]],5),""))))</f>
        <v>40899</v>
      </c>
      <c r="P19" s="73">
        <f>IF(Main[[#This Row],[Tech Start Date]]&lt;1/1/1990,"",IF(Main[[#This Row],[Class]]="C",WORKDAY(Main[[#This Row],[Tech Start Date]],28),IF(Main[[#This Row],[Class]]="B", WORKDAY(Main[[#This Row],[Tech Start Date]],19),IF(Main[[#This Row],[Class]]="A",WORKDAY(Main[[#This Row],[Tech Start Date]],9),""))))</f>
        <v>40905</v>
      </c>
      <c r="Q19" s="85"/>
      <c r="R19" s="112">
        <v>40987</v>
      </c>
      <c r="S19" s="95" t="s">
        <v>11</v>
      </c>
      <c r="T19" s="74" t="s">
        <v>3976</v>
      </c>
      <c r="U19" s="95" t="s">
        <v>29</v>
      </c>
      <c r="V19" s="95" t="s">
        <v>1912</v>
      </c>
      <c r="W19" s="95" t="s">
        <v>1913</v>
      </c>
      <c r="X19" s="95" t="s">
        <v>2796</v>
      </c>
      <c r="Y19" s="72" t="s">
        <v>2971</v>
      </c>
      <c r="Z19" s="72" t="s">
        <v>2047</v>
      </c>
      <c r="AA19" s="95" t="s">
        <v>2796</v>
      </c>
      <c r="AB19" s="132"/>
      <c r="AC19" s="132"/>
      <c r="AD19" s="132"/>
      <c r="AE19" s="63"/>
      <c r="AF19" s="63"/>
      <c r="AG19" s="63"/>
    </row>
    <row r="20" spans="1:33" ht="17.2" customHeight="1">
      <c r="A20" s="64">
        <f>IF(priority(Main[[#This Row],[Comments]])&lt;&gt;0, priority(Main[[#This Row],[Comments]]),"")</f>
        <v>2</v>
      </c>
      <c r="B20" s="60" t="s">
        <v>3551</v>
      </c>
      <c r="C20" s="72" t="s">
        <v>2730</v>
      </c>
      <c r="D20" s="59" t="s">
        <v>3552</v>
      </c>
      <c r="E20" s="85">
        <v>40967.720405092594</v>
      </c>
      <c r="F20" s="85">
        <v>41030</v>
      </c>
      <c r="G20" s="64" t="str">
        <f>IF(stdProdLT(Main[[#This Row],[Comments]])=0.1,"N/A",IF(stdProdLT(Main[[#This Row],[Comments]])=0,"",TRIM(stdProdLT(Main[[#This Row],[Comments]]))))</f>
        <v>N/A</v>
      </c>
      <c r="H20" s="94" t="str">
        <f>IF(OR(Main[[#This Row],[Std. Prod. Lead Time]]="N/A",Main[[#This Row],[Std. Prod. Lead Time]]=""), "",IF(AND(Main[[#This Row],[In Stock Date]]&lt;&gt;"",Main[[#This Row],[Revised Due Date]]&lt;&gt;"",Main[[#This Row],[In Stock Date]]&lt;&gt;""),Main[[#This Row],[In Stock Date]]-Main[[#This Row],[Revised Due Date]],""))</f>
        <v/>
      </c>
      <c r="I20" s="101" t="s">
        <v>171</v>
      </c>
      <c r="J20" s="95" t="s">
        <v>1972</v>
      </c>
      <c r="K20" s="95" t="s">
        <v>1920</v>
      </c>
      <c r="L20" s="85">
        <v>40974</v>
      </c>
      <c r="M20" s="73">
        <f>IF(Main[[#This Row],[Tech Start Date]]&lt;1/1/1990,"",IF(Main[[#This Row],[Class]]="C",WORKDAY(Main[[#This Row],[Tech Start Date]],9),IF(Main[[#This Row],[Class]]="B", WORKDAY(Main[[#This Row],[Tech Start Date]],6),IF(Main[[#This Row],[Class]]="A",WORKDAY(Main[[#This Row],[Tech Start Date]],2),""))))</f>
        <v>40976</v>
      </c>
      <c r="N20" s="73">
        <f>IF(Main[[#This Row],[Tech Start Date]]&lt;1/1/1990,"",IF(Main[[#This Row],[Class]]="C",WORKDAY(Main[[#This Row],[Tech Start Date]],19),IF(Main[[#This Row],[Class]]="B", WORKDAY(Main[[#This Row],[Tech Start Date]],12),IF(Main[[#This Row],[Class]]="A",WORKDAY(Main[[#This Row],[Tech Start Date]],4),""))))</f>
        <v>40980</v>
      </c>
      <c r="O20" s="73">
        <f>IF(Main[[#This Row],[Tech Start Date]]&lt;1/1/1990,"",IF(Main[[#This Row],[Class]]="C",WORKDAY(Main[[#This Row],[Tech Start Date]],23),IF(Main[[#This Row],[Class]]="B", WORKDAY(Main[[#This Row],[Tech Start Date]],15),IF(Main[[#This Row],[Class]]="A",WORKDAY(Main[[#This Row],[Tech Start Date]],5),""))))</f>
        <v>40981</v>
      </c>
      <c r="P20" s="73">
        <f>IF(Main[[#This Row],[Tech Start Date]]&lt;1/1/1990,"",IF(Main[[#This Row],[Class]]="C",WORKDAY(Main[[#This Row],[Tech Start Date]],28),IF(Main[[#This Row],[Class]]="B", WORKDAY(Main[[#This Row],[Tech Start Date]],19),IF(Main[[#This Row],[Class]]="A",WORKDAY(Main[[#This Row],[Tech Start Date]],9),""))))</f>
        <v>40987</v>
      </c>
      <c r="Q20" s="85"/>
      <c r="R20" s="112">
        <v>40989</v>
      </c>
      <c r="S20" s="95" t="s">
        <v>11</v>
      </c>
      <c r="T20" s="74" t="s">
        <v>3827</v>
      </c>
      <c r="U20" s="95" t="s">
        <v>29</v>
      </c>
      <c r="V20" s="95" t="s">
        <v>1914</v>
      </c>
      <c r="W20" s="95" t="s">
        <v>1919</v>
      </c>
      <c r="X20" s="95" t="s">
        <v>50</v>
      </c>
      <c r="Y20" s="72" t="s">
        <v>3553</v>
      </c>
      <c r="Z20" s="72" t="s">
        <v>530</v>
      </c>
      <c r="AA20" s="95" t="s">
        <v>3410</v>
      </c>
      <c r="AB20" s="132"/>
      <c r="AC20" s="132"/>
      <c r="AD20" s="132"/>
      <c r="AE20" s="63"/>
      <c r="AF20" s="63"/>
      <c r="AG20" s="63"/>
    </row>
    <row r="21" spans="1:33" ht="17.2" customHeight="1">
      <c r="A21" s="64">
        <f>IF(priority(Main[[#This Row],[Comments]])&lt;&gt;0, priority(Main[[#This Row],[Comments]]),"")</f>
        <v>2.2000000000000002</v>
      </c>
      <c r="B21" s="60" t="s">
        <v>3758</v>
      </c>
      <c r="C21" s="72" t="s">
        <v>3756</v>
      </c>
      <c r="D21" s="59" t="s">
        <v>3759</v>
      </c>
      <c r="E21" s="85">
        <v>40961.047662037039</v>
      </c>
      <c r="F21" s="85">
        <v>41091</v>
      </c>
      <c r="G21" s="64" t="str">
        <f>IF(stdProdLT(Main[[#This Row],[Comments]])=0.1,"N/A",IF(stdProdLT(Main[[#This Row],[Comments]])=0,"",TRIM(stdProdLT(Main[[#This Row],[Comments]]))))</f>
        <v>140</v>
      </c>
      <c r="H21" s="94">
        <f>IF(OR(Main[[#This Row],[Std. Prod. Lead Time]]="N/A",Main[[#This Row],[Std. Prod. Lead Time]]=""), "",IF(AND(Main[[#This Row],[In Stock Date]]&lt;&gt;"",Main[[#This Row],[Revised Due Date]]&lt;&gt;"",Main[[#This Row],[In Stock Date]]&lt;&gt;""),Main[[#This Row],[In Stock Date]]-Main[[#This Row],[Revised Due Date]],""))</f>
        <v>103</v>
      </c>
      <c r="I21" s="101" t="s">
        <v>130</v>
      </c>
      <c r="J21" s="95" t="s">
        <v>1972</v>
      </c>
      <c r="K21" s="95" t="s">
        <v>1920</v>
      </c>
      <c r="L21" s="85">
        <v>40967</v>
      </c>
      <c r="M21" s="73">
        <f>IF(Main[[#This Row],[Tech Start Date]]&lt;1/1/1990,"",IF(Main[[#This Row],[Class]]="C",WORKDAY(Main[[#This Row],[Tech Start Date]],9),IF(Main[[#This Row],[Class]]="B", WORKDAY(Main[[#This Row],[Tech Start Date]],6),IF(Main[[#This Row],[Class]]="A",WORKDAY(Main[[#This Row],[Tech Start Date]],2),""))))</f>
        <v>40969</v>
      </c>
      <c r="N21" s="73">
        <f>IF(Main[[#This Row],[Tech Start Date]]&lt;1/1/1990,"",IF(Main[[#This Row],[Class]]="C",WORKDAY(Main[[#This Row],[Tech Start Date]],19),IF(Main[[#This Row],[Class]]="B", WORKDAY(Main[[#This Row],[Tech Start Date]],12),IF(Main[[#This Row],[Class]]="A",WORKDAY(Main[[#This Row],[Tech Start Date]],4),""))))</f>
        <v>40973</v>
      </c>
      <c r="O21" s="73">
        <f>IF(Main[[#This Row],[Tech Start Date]]&lt;1/1/1990,"",IF(Main[[#This Row],[Class]]="C",WORKDAY(Main[[#This Row],[Tech Start Date]],23),IF(Main[[#This Row],[Class]]="B", WORKDAY(Main[[#This Row],[Tech Start Date]],15),IF(Main[[#This Row],[Class]]="A",WORKDAY(Main[[#This Row],[Tech Start Date]],5),""))))</f>
        <v>40974</v>
      </c>
      <c r="P21" s="73">
        <f>IF(Main[[#This Row],[Tech Start Date]]&lt;1/1/1990,"",IF(Main[[#This Row],[Class]]="C",WORKDAY(Main[[#This Row],[Tech Start Date]],28),IF(Main[[#This Row],[Class]]="B", WORKDAY(Main[[#This Row],[Tech Start Date]],19),IF(Main[[#This Row],[Class]]="A",WORKDAY(Main[[#This Row],[Tech Start Date]],9),""))))</f>
        <v>40980</v>
      </c>
      <c r="Q21" s="85">
        <v>40969</v>
      </c>
      <c r="R21" s="112">
        <v>40988</v>
      </c>
      <c r="S21" s="95" t="s">
        <v>11</v>
      </c>
      <c r="T21" s="74" t="s">
        <v>4003</v>
      </c>
      <c r="U21" s="95" t="s">
        <v>29</v>
      </c>
      <c r="V21" s="95" t="s">
        <v>1921</v>
      </c>
      <c r="W21" s="95" t="s">
        <v>1917</v>
      </c>
      <c r="X21" s="95" t="s">
        <v>2825</v>
      </c>
      <c r="Y21" s="72" t="s">
        <v>3748</v>
      </c>
      <c r="Z21" s="72" t="s">
        <v>530</v>
      </c>
      <c r="AA21" s="95" t="s">
        <v>2825</v>
      </c>
      <c r="AB21" s="132"/>
      <c r="AC21" s="132"/>
      <c r="AD21" s="132"/>
      <c r="AE21" s="63"/>
      <c r="AF21" s="63"/>
      <c r="AG21" s="63"/>
    </row>
    <row r="22" spans="1:33" ht="17.2" customHeight="1">
      <c r="A22" s="64">
        <f>IF(priority(Main[[#This Row],[Comments]])&lt;&gt;0, priority(Main[[#This Row],[Comments]]),"")</f>
        <v>2.2999999999999998</v>
      </c>
      <c r="B22" s="60" t="s">
        <v>3755</v>
      </c>
      <c r="C22" s="72" t="s">
        <v>3756</v>
      </c>
      <c r="D22" s="59" t="s">
        <v>3757</v>
      </c>
      <c r="E22" s="85">
        <v>40961.04891203704</v>
      </c>
      <c r="F22" s="85">
        <v>41105</v>
      </c>
      <c r="G22" s="64" t="str">
        <f>IF(stdProdLT(Main[[#This Row],[Comments]])=0.1,"N/A",IF(stdProdLT(Main[[#This Row],[Comments]])=0,"",TRIM(stdProdLT(Main[[#This Row],[Comments]]))))</f>
        <v>140</v>
      </c>
      <c r="H22" s="94">
        <f>IF(OR(Main[[#This Row],[Std. Prod. Lead Time]]="N/A",Main[[#This Row],[Std. Prod. Lead Time]]=""), "",IF(AND(Main[[#This Row],[In Stock Date]]&lt;&gt;"",Main[[#This Row],[Revised Due Date]]&lt;&gt;"",Main[[#This Row],[In Stock Date]]&lt;&gt;""),Main[[#This Row],[In Stock Date]]-Main[[#This Row],[Revised Due Date]],""))</f>
        <v>117</v>
      </c>
      <c r="I22" s="101" t="s">
        <v>30</v>
      </c>
      <c r="J22" s="95" t="s">
        <v>52</v>
      </c>
      <c r="K22" s="96" t="s">
        <v>1920</v>
      </c>
      <c r="L22" s="85">
        <v>40967</v>
      </c>
      <c r="M22" s="73">
        <f>IF(Main[[#This Row],[Tech Start Date]]&lt;1/1/1990,"",IF(Main[[#This Row],[Class]]="C",WORKDAY(Main[[#This Row],[Tech Start Date]],9),IF(Main[[#This Row],[Class]]="B", WORKDAY(Main[[#This Row],[Tech Start Date]],6),IF(Main[[#This Row],[Class]]="A",WORKDAY(Main[[#This Row],[Tech Start Date]],2),""))))</f>
        <v>40969</v>
      </c>
      <c r="N22" s="73">
        <f>IF(Main[[#This Row],[Tech Start Date]]&lt;1/1/1990,"",IF(Main[[#This Row],[Class]]="C",WORKDAY(Main[[#This Row],[Tech Start Date]],19),IF(Main[[#This Row],[Class]]="B", WORKDAY(Main[[#This Row],[Tech Start Date]],12),IF(Main[[#This Row],[Class]]="A",WORKDAY(Main[[#This Row],[Tech Start Date]],4),""))))</f>
        <v>40973</v>
      </c>
      <c r="O22" s="73">
        <f>IF(Main[[#This Row],[Tech Start Date]]&lt;1/1/1990,"",IF(Main[[#This Row],[Class]]="C",WORKDAY(Main[[#This Row],[Tech Start Date]],23),IF(Main[[#This Row],[Class]]="B", WORKDAY(Main[[#This Row],[Tech Start Date]],15),IF(Main[[#This Row],[Class]]="A",WORKDAY(Main[[#This Row],[Tech Start Date]],5),""))))</f>
        <v>40974</v>
      </c>
      <c r="P22" s="73">
        <f>IF(Main[[#This Row],[Tech Start Date]]&lt;1/1/1990,"",IF(Main[[#This Row],[Class]]="C",WORKDAY(Main[[#This Row],[Tech Start Date]],28),IF(Main[[#This Row],[Class]]="B", WORKDAY(Main[[#This Row],[Tech Start Date]],19),IF(Main[[#This Row],[Class]]="A",WORKDAY(Main[[#This Row],[Tech Start Date]],9),""))))</f>
        <v>40980</v>
      </c>
      <c r="Q22" s="85">
        <v>40969</v>
      </c>
      <c r="R22" s="112">
        <v>40988</v>
      </c>
      <c r="S22" s="95" t="s">
        <v>11</v>
      </c>
      <c r="T22" s="74" t="s">
        <v>4002</v>
      </c>
      <c r="U22" s="95" t="s">
        <v>29</v>
      </c>
      <c r="V22" s="95" t="s">
        <v>1921</v>
      </c>
      <c r="W22" s="95" t="s">
        <v>1917</v>
      </c>
      <c r="X22" s="95" t="s">
        <v>2825</v>
      </c>
      <c r="Y22" s="72" t="s">
        <v>3748</v>
      </c>
      <c r="Z22" s="72" t="s">
        <v>530</v>
      </c>
      <c r="AA22" s="95" t="s">
        <v>2825</v>
      </c>
      <c r="AB22" s="132"/>
      <c r="AC22" s="132"/>
      <c r="AD22" s="132"/>
      <c r="AE22" s="63"/>
      <c r="AF22" s="63"/>
      <c r="AG22" s="63"/>
    </row>
    <row r="23" spans="1:33" ht="17.2" customHeight="1">
      <c r="A23" s="64">
        <f>IF(priority(Main[[#This Row],[Comments]])&lt;&gt;0, priority(Main[[#This Row],[Comments]]),"")</f>
        <v>2.4</v>
      </c>
      <c r="B23" s="60" t="s">
        <v>3535</v>
      </c>
      <c r="C23" s="72" t="s">
        <v>4026</v>
      </c>
      <c r="D23" s="59" t="s">
        <v>4027</v>
      </c>
      <c r="E23" s="85">
        <v>40969.439942129633</v>
      </c>
      <c r="F23" s="85">
        <v>40982</v>
      </c>
      <c r="G23" s="64" t="str">
        <f>IF(stdProdLT(Main[[#This Row],[Comments]])=0.1,"N/A",IF(stdProdLT(Main[[#This Row],[Comments]])=0,"",TRIM(stdProdLT(Main[[#This Row],[Comments]]))))</f>
        <v>140</v>
      </c>
      <c r="H23" s="94" t="str">
        <f>IF(OR(Main[[#This Row],[Std. Prod. Lead Time]]="N/A",Main[[#This Row],[Std. Prod. Lead Time]]=""), "",IF(AND(Main[[#This Row],[In Stock Date]]&lt;&gt;"",Main[[#This Row],[Revised Due Date]]&lt;&gt;"",Main[[#This Row],[In Stock Date]]&lt;&gt;""),Main[[#This Row],[In Stock Date]]-Main[[#This Row],[Revised Due Date]],""))</f>
        <v/>
      </c>
      <c r="I23" s="101" t="s">
        <v>130</v>
      </c>
      <c r="J23" s="95" t="s">
        <v>70</v>
      </c>
      <c r="K23" s="95" t="s">
        <v>1920</v>
      </c>
      <c r="L23" s="85">
        <v>40974</v>
      </c>
      <c r="M23" s="73">
        <f>IF(Main[[#This Row],[Tech Start Date]]&lt;1/1/1990,"",IF(Main[[#This Row],[Class]]="C",WORKDAY(Main[[#This Row],[Tech Start Date]],9),IF(Main[[#This Row],[Class]]="B", WORKDAY(Main[[#This Row],[Tech Start Date]],6),IF(Main[[#This Row],[Class]]="A",WORKDAY(Main[[#This Row],[Tech Start Date]],2),""))))</f>
        <v>40976</v>
      </c>
      <c r="N23" s="73">
        <f>IF(Main[[#This Row],[Tech Start Date]]&lt;1/1/1990,"",IF(Main[[#This Row],[Class]]="C",WORKDAY(Main[[#This Row],[Tech Start Date]],19),IF(Main[[#This Row],[Class]]="B", WORKDAY(Main[[#This Row],[Tech Start Date]],12),IF(Main[[#This Row],[Class]]="A",WORKDAY(Main[[#This Row],[Tech Start Date]],4),""))))</f>
        <v>40980</v>
      </c>
      <c r="O23" s="73">
        <f>IF(Main[[#This Row],[Tech Start Date]]&lt;1/1/1990,"",IF(Main[[#This Row],[Class]]="C",WORKDAY(Main[[#This Row],[Tech Start Date]],23),IF(Main[[#This Row],[Class]]="B", WORKDAY(Main[[#This Row],[Tech Start Date]],15),IF(Main[[#This Row],[Class]]="A",WORKDAY(Main[[#This Row],[Tech Start Date]],5),""))))</f>
        <v>40981</v>
      </c>
      <c r="P23" s="73">
        <f>IF(Main[[#This Row],[Tech Start Date]]&lt;1/1/1990,"",IF(Main[[#This Row],[Class]]="C",WORKDAY(Main[[#This Row],[Tech Start Date]],28),IF(Main[[#This Row],[Class]]="B", WORKDAY(Main[[#This Row],[Tech Start Date]],19),IF(Main[[#This Row],[Class]]="A",WORKDAY(Main[[#This Row],[Tech Start Date]],9),""))))</f>
        <v>40987</v>
      </c>
      <c r="Q23" s="85"/>
      <c r="R23" s="112"/>
      <c r="S23" s="95" t="s">
        <v>11</v>
      </c>
      <c r="T23" s="74" t="s">
        <v>4028</v>
      </c>
      <c r="U23" s="95" t="s">
        <v>29</v>
      </c>
      <c r="V23" s="95" t="s">
        <v>1914</v>
      </c>
      <c r="W23" s="95" t="s">
        <v>1916</v>
      </c>
      <c r="X23" s="95" t="s">
        <v>2814</v>
      </c>
      <c r="Y23" s="72" t="s">
        <v>3536</v>
      </c>
      <c r="Z23" s="72" t="s">
        <v>530</v>
      </c>
      <c r="AA23" s="95" t="s">
        <v>2814</v>
      </c>
      <c r="AB23" s="132"/>
      <c r="AC23" s="132"/>
      <c r="AD23" s="132"/>
      <c r="AE23" s="63"/>
      <c r="AF23" s="63"/>
      <c r="AG23" s="63"/>
    </row>
    <row r="24" spans="1:33" ht="17.2" customHeight="1">
      <c r="A24" s="64">
        <f>IF(priority(Main[[#This Row],[Comments]])&lt;&gt;0, priority(Main[[#This Row],[Comments]]),"")</f>
        <v>2.5</v>
      </c>
      <c r="B24" s="60" t="s">
        <v>3764</v>
      </c>
      <c r="C24" s="72" t="s">
        <v>2730</v>
      </c>
      <c r="D24" s="59" t="s">
        <v>3765</v>
      </c>
      <c r="E24" s="85">
        <v>40962.642118055555</v>
      </c>
      <c r="F24" s="85">
        <v>41090</v>
      </c>
      <c r="G24" s="64" t="str">
        <f>IF(stdProdLT(Main[[#This Row],[Comments]])=0.1,"N/A",IF(stdProdLT(Main[[#This Row],[Comments]])=0,"",TRIM(stdProdLT(Main[[#This Row],[Comments]]))))</f>
        <v>98</v>
      </c>
      <c r="H24" s="94">
        <f>IF(OR(Main[[#This Row],[Std. Prod. Lead Time]]="N/A",Main[[#This Row],[Std. Prod. Lead Time]]=""), "",IF(AND(Main[[#This Row],[In Stock Date]]&lt;&gt;"",Main[[#This Row],[Revised Due Date]]&lt;&gt;"",Main[[#This Row],[In Stock Date]]&lt;&gt;""),Main[[#This Row],[In Stock Date]]-Main[[#This Row],[Revised Due Date]],""))</f>
        <v>94</v>
      </c>
      <c r="I24" s="101" t="s">
        <v>171</v>
      </c>
      <c r="J24" s="95" t="s">
        <v>1972</v>
      </c>
      <c r="K24" s="95" t="s">
        <v>1918</v>
      </c>
      <c r="L24" s="85">
        <v>40967</v>
      </c>
      <c r="M24" s="73">
        <f>IF(Main[[#This Row],[Tech Start Date]]&lt;1/1/1990,"",IF(Main[[#This Row],[Class]]="C",WORKDAY(Main[[#This Row],[Tech Start Date]],9),IF(Main[[#This Row],[Class]]="B", WORKDAY(Main[[#This Row],[Tech Start Date]],6),IF(Main[[#This Row],[Class]]="A",WORKDAY(Main[[#This Row],[Tech Start Date]],2),""))))</f>
        <v>40975</v>
      </c>
      <c r="N24" s="73">
        <f>IF(Main[[#This Row],[Tech Start Date]]&lt;1/1/1990,"",IF(Main[[#This Row],[Class]]="C",WORKDAY(Main[[#This Row],[Tech Start Date]],19),IF(Main[[#This Row],[Class]]="B", WORKDAY(Main[[#This Row],[Tech Start Date]],12),IF(Main[[#This Row],[Class]]="A",WORKDAY(Main[[#This Row],[Tech Start Date]],4),""))))</f>
        <v>40983</v>
      </c>
      <c r="O24" s="73">
        <f>IF(Main[[#This Row],[Tech Start Date]]&lt;1/1/1990,"",IF(Main[[#This Row],[Class]]="C",WORKDAY(Main[[#This Row],[Tech Start Date]],23),IF(Main[[#This Row],[Class]]="B", WORKDAY(Main[[#This Row],[Tech Start Date]],15),IF(Main[[#This Row],[Class]]="A",WORKDAY(Main[[#This Row],[Tech Start Date]],5),""))))</f>
        <v>40988</v>
      </c>
      <c r="P24" s="73">
        <f>IF(Main[[#This Row],[Tech Start Date]]&lt;1/1/1990,"",IF(Main[[#This Row],[Class]]="C",WORKDAY(Main[[#This Row],[Tech Start Date]],28),IF(Main[[#This Row],[Class]]="B", WORKDAY(Main[[#This Row],[Tech Start Date]],19),IF(Main[[#This Row],[Class]]="A",WORKDAY(Main[[#This Row],[Tech Start Date]],9),""))))</f>
        <v>40994</v>
      </c>
      <c r="Q24" s="85"/>
      <c r="R24" s="112">
        <v>40996</v>
      </c>
      <c r="S24" s="95" t="s">
        <v>11</v>
      </c>
      <c r="T24" s="74" t="s">
        <v>4008</v>
      </c>
      <c r="U24" s="95" t="s">
        <v>29</v>
      </c>
      <c r="V24" s="95" t="s">
        <v>1914</v>
      </c>
      <c r="W24" s="95" t="s">
        <v>1916</v>
      </c>
      <c r="X24" s="95" t="s">
        <v>652</v>
      </c>
      <c r="Y24" s="72" t="s">
        <v>3104</v>
      </c>
      <c r="Z24" s="72" t="s">
        <v>530</v>
      </c>
      <c r="AA24" s="95" t="s">
        <v>652</v>
      </c>
      <c r="AB24" s="132"/>
      <c r="AC24" s="132"/>
      <c r="AD24" s="132"/>
      <c r="AE24" s="63"/>
      <c r="AF24" s="63"/>
      <c r="AG24" s="63"/>
    </row>
    <row r="25" spans="1:33" ht="17.2" customHeight="1">
      <c r="A25" s="64">
        <f>IF(priority(Main[[#This Row],[Comments]])&lt;&gt;0, priority(Main[[#This Row],[Comments]]),"")</f>
        <v>3</v>
      </c>
      <c r="B25" s="60" t="s">
        <v>1887</v>
      </c>
      <c r="C25" s="72" t="s">
        <v>945</v>
      </c>
      <c r="D25" s="59" t="s">
        <v>2615</v>
      </c>
      <c r="E25" s="85">
        <v>40694.711041666669</v>
      </c>
      <c r="F25" s="85"/>
      <c r="G25" s="64" t="str">
        <f>IF(stdProdLT(Main[[#This Row],[Comments]])=0.1,"N/A",IF(stdProdLT(Main[[#This Row],[Comments]])=0,"",TRIM(stdProdLT(Main[[#This Row],[Comments]]))))</f>
        <v/>
      </c>
      <c r="H25" s="94" t="str">
        <f>IF(OR(Main[[#This Row],[Std. Prod. Lead Time]]="N/A",Main[[#This Row],[Std. Prod. Lead Time]]=""), "",IF(AND(Main[[#This Row],[In Stock Date]]&lt;&gt;"",Main[[#This Row],[Revised Due Date]]&lt;&gt;"",Main[[#This Row],[In Stock Date]]&lt;&gt;""),Main[[#This Row],[In Stock Date]]-Main[[#This Row],[Revised Due Date]],""))</f>
        <v/>
      </c>
      <c r="I25" s="101" t="s">
        <v>946</v>
      </c>
      <c r="J25" s="95" t="s">
        <v>28</v>
      </c>
      <c r="K25" s="95" t="s">
        <v>1923</v>
      </c>
      <c r="L25" s="85">
        <v>40848</v>
      </c>
      <c r="M25" s="73" t="str">
        <f>IF(Main[[#This Row],[Tech Start Date]]&lt;1/1/1990,"",IF(Main[[#This Row],[Class]]="C",WORKDAY(Main[[#This Row],[Tech Start Date]],9),IF(Main[[#This Row],[Class]]="B", WORKDAY(Main[[#This Row],[Tech Start Date]],6),IF(Main[[#This Row],[Class]]="A",WORKDAY(Main[[#This Row],[Tech Start Date]],2),""))))</f>
        <v/>
      </c>
      <c r="N25" s="73" t="str">
        <f>IF(Main[[#This Row],[Tech Start Date]]&lt;1/1/1990,"",IF(Main[[#This Row],[Class]]="C",WORKDAY(Main[[#This Row],[Tech Start Date]],19),IF(Main[[#This Row],[Class]]="B", WORKDAY(Main[[#This Row],[Tech Start Date]],12),IF(Main[[#This Row],[Class]]="A",WORKDAY(Main[[#This Row],[Tech Start Date]],4),""))))</f>
        <v/>
      </c>
      <c r="O25" s="73" t="str">
        <f>IF(Main[[#This Row],[Tech Start Date]]&lt;1/1/1990,"",IF(Main[[#This Row],[Class]]="C",WORKDAY(Main[[#This Row],[Tech Start Date]],23),IF(Main[[#This Row],[Class]]="B", WORKDAY(Main[[#This Row],[Tech Start Date]],15),IF(Main[[#This Row],[Class]]="A",WORKDAY(Main[[#This Row],[Tech Start Date]],5),""))))</f>
        <v/>
      </c>
      <c r="P25" s="73" t="str">
        <f>IF(Main[[#This Row],[Tech Start Date]]&lt;1/1/1990,"",IF(Main[[#This Row],[Class]]="C",WORKDAY(Main[[#This Row],[Tech Start Date]],28),IF(Main[[#This Row],[Class]]="B", WORKDAY(Main[[#This Row],[Tech Start Date]],19),IF(Main[[#This Row],[Class]]="A",WORKDAY(Main[[#This Row],[Tech Start Date]],9),""))))</f>
        <v/>
      </c>
      <c r="Q25" s="85">
        <v>40729</v>
      </c>
      <c r="R25" s="112"/>
      <c r="S25" s="95" t="s">
        <v>17</v>
      </c>
      <c r="T25" s="74" t="s">
        <v>3703</v>
      </c>
      <c r="U25" s="95" t="s">
        <v>29</v>
      </c>
      <c r="V25" s="95" t="s">
        <v>1926</v>
      </c>
      <c r="W25" s="95" t="s">
        <v>1919</v>
      </c>
      <c r="X25" s="95" t="s">
        <v>2842</v>
      </c>
      <c r="Y25" s="72" t="s">
        <v>2984</v>
      </c>
      <c r="Z25" s="72" t="s">
        <v>2205</v>
      </c>
      <c r="AA25" s="95" t="s">
        <v>2842</v>
      </c>
      <c r="AB25" s="132"/>
      <c r="AC25" s="132"/>
      <c r="AD25" s="132"/>
      <c r="AE25" s="63"/>
      <c r="AF25" s="63"/>
      <c r="AG25" s="63"/>
    </row>
    <row r="26" spans="1:33" ht="17.2" customHeight="1">
      <c r="A26" s="64">
        <f>IF(priority(Main[[#This Row],[Comments]])&lt;&gt;0, priority(Main[[#This Row],[Comments]]),"")</f>
        <v>3</v>
      </c>
      <c r="B26" s="60" t="s">
        <v>3447</v>
      </c>
      <c r="C26" s="72" t="s">
        <v>3448</v>
      </c>
      <c r="D26" s="59" t="s">
        <v>3985</v>
      </c>
      <c r="E26" s="85">
        <v>40941.352685185186</v>
      </c>
      <c r="F26" s="85">
        <v>40977</v>
      </c>
      <c r="G26" s="64" t="str">
        <f>IF(stdProdLT(Main[[#This Row],[Comments]])=0.1,"N/A",IF(stdProdLT(Main[[#This Row],[Comments]])=0,"",TRIM(stdProdLT(Main[[#This Row],[Comments]]))))</f>
        <v>N/A</v>
      </c>
      <c r="H26" s="94" t="str">
        <f>IF(OR(Main[[#This Row],[Std. Prod. Lead Time]]="N/A",Main[[#This Row],[Std. Prod. Lead Time]]=""), "",IF(AND(Main[[#This Row],[In Stock Date]]&lt;&gt;"",Main[[#This Row],[Revised Due Date]]&lt;&gt;"",Main[[#This Row],[In Stock Date]]&lt;&gt;""),Main[[#This Row],[In Stock Date]]-Main[[#This Row],[Revised Due Date]],""))</f>
        <v/>
      </c>
      <c r="I26" s="101" t="s">
        <v>2243</v>
      </c>
      <c r="J26" s="95" t="s">
        <v>28</v>
      </c>
      <c r="K26" s="96" t="s">
        <v>1924</v>
      </c>
      <c r="L26" s="85">
        <v>40942</v>
      </c>
      <c r="M26" s="73">
        <f>IF(Main[[#This Row],[Tech Start Date]]&lt;1/1/1990,"",IF(Main[[#This Row],[Class]]="C",WORKDAY(Main[[#This Row],[Tech Start Date]],9),IF(Main[[#This Row],[Class]]="B", WORKDAY(Main[[#This Row],[Tech Start Date]],6),IF(Main[[#This Row],[Class]]="A",WORKDAY(Main[[#This Row],[Tech Start Date]],2),""))))</f>
        <v>40955</v>
      </c>
      <c r="N26" s="73">
        <f>IF(Main[[#This Row],[Tech Start Date]]&lt;1/1/1990,"",IF(Main[[#This Row],[Class]]="C",WORKDAY(Main[[#This Row],[Tech Start Date]],19),IF(Main[[#This Row],[Class]]="B", WORKDAY(Main[[#This Row],[Tech Start Date]],12),IF(Main[[#This Row],[Class]]="A",WORKDAY(Main[[#This Row],[Tech Start Date]],4),""))))</f>
        <v>40969</v>
      </c>
      <c r="O26" s="73">
        <f>IF(Main[[#This Row],[Tech Start Date]]&lt;1/1/1990,"",IF(Main[[#This Row],[Class]]="C",WORKDAY(Main[[#This Row],[Tech Start Date]],23),IF(Main[[#This Row],[Class]]="B", WORKDAY(Main[[#This Row],[Tech Start Date]],15),IF(Main[[#This Row],[Class]]="A",WORKDAY(Main[[#This Row],[Tech Start Date]],5),""))))</f>
        <v>40975</v>
      </c>
      <c r="P26" s="73">
        <f>IF(Main[[#This Row],[Tech Start Date]]&lt;1/1/1990,"",IF(Main[[#This Row],[Class]]="C",WORKDAY(Main[[#This Row],[Tech Start Date]],28),IF(Main[[#This Row],[Class]]="B", WORKDAY(Main[[#This Row],[Tech Start Date]],19),IF(Main[[#This Row],[Class]]="A",WORKDAY(Main[[#This Row],[Tech Start Date]],9),""))))</f>
        <v>40982</v>
      </c>
      <c r="Q26" s="85">
        <v>40948</v>
      </c>
      <c r="R26" s="112">
        <v>40977</v>
      </c>
      <c r="S26" s="95" t="s">
        <v>11</v>
      </c>
      <c r="T26" s="74" t="s">
        <v>3986</v>
      </c>
      <c r="U26" s="95" t="s">
        <v>29</v>
      </c>
      <c r="V26" s="95" t="s">
        <v>1912</v>
      </c>
      <c r="W26" s="95" t="s">
        <v>1913</v>
      </c>
      <c r="X26" s="95" t="s">
        <v>2796</v>
      </c>
      <c r="Y26" s="72" t="s">
        <v>4</v>
      </c>
      <c r="Z26" s="72" t="s">
        <v>2047</v>
      </c>
      <c r="AA26" s="95" t="s">
        <v>2796</v>
      </c>
      <c r="AB26" s="132"/>
      <c r="AC26" s="132"/>
      <c r="AD26" s="132"/>
      <c r="AE26" s="63"/>
      <c r="AF26" s="63"/>
      <c r="AG26" s="63"/>
    </row>
    <row r="27" spans="1:33" ht="17.2" customHeight="1">
      <c r="A27" s="64">
        <f>IF(priority(Main[[#This Row],[Comments]])&lt;&gt;0, priority(Main[[#This Row],[Comments]]),"")</f>
        <v>3</v>
      </c>
      <c r="B27" s="60" t="s">
        <v>3721</v>
      </c>
      <c r="C27" s="72" t="s">
        <v>506</v>
      </c>
      <c r="D27" s="59" t="s">
        <v>4064</v>
      </c>
      <c r="E27" s="85">
        <v>40952.439212962963</v>
      </c>
      <c r="F27" s="85">
        <v>40968</v>
      </c>
      <c r="G27" s="64" t="str">
        <f>IF(stdProdLT(Main[[#This Row],[Comments]])=0.1,"N/A",IF(stdProdLT(Main[[#This Row],[Comments]])=0,"",TRIM(stdProdLT(Main[[#This Row],[Comments]]))))</f>
        <v>N/A</v>
      </c>
      <c r="H27" s="94" t="str">
        <f>IF(OR(Main[[#This Row],[Std. Prod. Lead Time]]="N/A",Main[[#This Row],[Std. Prod. Lead Time]]=""), "",IF(AND(Main[[#This Row],[In Stock Date]]&lt;&gt;"",Main[[#This Row],[Revised Due Date]]&lt;&gt;"",Main[[#This Row],[In Stock Date]]&lt;&gt;""),Main[[#This Row],[In Stock Date]]-Main[[#This Row],[Revised Due Date]],""))</f>
        <v/>
      </c>
      <c r="I27" s="101" t="s">
        <v>912</v>
      </c>
      <c r="J27" s="95" t="s">
        <v>52</v>
      </c>
      <c r="K27" s="95" t="s">
        <v>1918</v>
      </c>
      <c r="L27" s="85">
        <v>40954</v>
      </c>
      <c r="M27" s="73">
        <f>IF(Main[[#This Row],[Tech Start Date]]&lt;1/1/1990,"",IF(Main[[#This Row],[Class]]="C",WORKDAY(Main[[#This Row],[Tech Start Date]],9),IF(Main[[#This Row],[Class]]="B", WORKDAY(Main[[#This Row],[Tech Start Date]],6),IF(Main[[#This Row],[Class]]="A",WORKDAY(Main[[#This Row],[Tech Start Date]],2),""))))</f>
        <v>40962</v>
      </c>
      <c r="N27" s="73">
        <f>IF(Main[[#This Row],[Tech Start Date]]&lt;1/1/1990,"",IF(Main[[#This Row],[Class]]="C",WORKDAY(Main[[#This Row],[Tech Start Date]],19),IF(Main[[#This Row],[Class]]="B", WORKDAY(Main[[#This Row],[Tech Start Date]],12),IF(Main[[#This Row],[Class]]="A",WORKDAY(Main[[#This Row],[Tech Start Date]],4),""))))</f>
        <v>40970</v>
      </c>
      <c r="O27" s="73">
        <f>IF(Main[[#This Row],[Tech Start Date]]&lt;1/1/1990,"",IF(Main[[#This Row],[Class]]="C",WORKDAY(Main[[#This Row],[Tech Start Date]],23),IF(Main[[#This Row],[Class]]="B", WORKDAY(Main[[#This Row],[Tech Start Date]],15),IF(Main[[#This Row],[Class]]="A",WORKDAY(Main[[#This Row],[Tech Start Date]],5),""))))</f>
        <v>40975</v>
      </c>
      <c r="P27" s="73">
        <f>IF(Main[[#This Row],[Tech Start Date]]&lt;1/1/1990,"",IF(Main[[#This Row],[Class]]="C",WORKDAY(Main[[#This Row],[Tech Start Date]],28),IF(Main[[#This Row],[Class]]="B", WORKDAY(Main[[#This Row],[Tech Start Date]],19),IF(Main[[#This Row],[Class]]="A",WORKDAY(Main[[#This Row],[Tech Start Date]],9),""))))</f>
        <v>40981</v>
      </c>
      <c r="Q27" s="85">
        <v>40956</v>
      </c>
      <c r="R27" s="112">
        <v>40977</v>
      </c>
      <c r="S27" s="95" t="s">
        <v>11</v>
      </c>
      <c r="T27" s="74" t="s">
        <v>3992</v>
      </c>
      <c r="U27" s="95" t="s">
        <v>29</v>
      </c>
      <c r="V27" s="95" t="s">
        <v>1911</v>
      </c>
      <c r="W27" s="95" t="s">
        <v>1919</v>
      </c>
      <c r="X27" s="95" t="s">
        <v>2801</v>
      </c>
      <c r="Y27" s="72" t="s">
        <v>3722</v>
      </c>
      <c r="Z27" s="72" t="s">
        <v>129</v>
      </c>
      <c r="AA27" s="95" t="s">
        <v>3374</v>
      </c>
      <c r="AB27" s="132"/>
      <c r="AC27" s="132"/>
      <c r="AD27" s="132"/>
      <c r="AE27" s="63"/>
      <c r="AF27" s="63"/>
      <c r="AG27" s="63"/>
    </row>
    <row r="28" spans="1:33" ht="17.2" customHeight="1">
      <c r="A28" s="64">
        <f>IF(priority(Main[[#This Row],[Comments]])&lt;&gt;0, priority(Main[[#This Row],[Comments]]),"")</f>
        <v>3</v>
      </c>
      <c r="B28" s="60" t="s">
        <v>3771</v>
      </c>
      <c r="C28" s="72" t="s">
        <v>3772</v>
      </c>
      <c r="D28" s="59" t="s">
        <v>3773</v>
      </c>
      <c r="E28" s="85">
        <v>40968.308472222219</v>
      </c>
      <c r="F28" s="85">
        <v>41105</v>
      </c>
      <c r="G28" s="64" t="str">
        <f>IF(stdProdLT(Main[[#This Row],[Comments]])=0.1,"N/A",IF(stdProdLT(Main[[#This Row],[Comments]])=0,"",TRIM(stdProdLT(Main[[#This Row],[Comments]]))))</f>
        <v>168</v>
      </c>
      <c r="H28" s="94">
        <f>IF(OR(Main[[#This Row],[Std. Prod. Lead Time]]="N/A",Main[[#This Row],[Std. Prod. Lead Time]]=""), "",IF(AND(Main[[#This Row],[In Stock Date]]&lt;&gt;"",Main[[#This Row],[Revised Due Date]]&lt;&gt;"",Main[[#This Row],[In Stock Date]]&lt;&gt;""),Main[[#This Row],[In Stock Date]]-Main[[#This Row],[Revised Due Date]],""))</f>
        <v>96</v>
      </c>
      <c r="I28" s="101" t="s">
        <v>765</v>
      </c>
      <c r="J28" s="95" t="s">
        <v>28</v>
      </c>
      <c r="K28" s="95" t="s">
        <v>1918</v>
      </c>
      <c r="L28" s="85">
        <v>40974</v>
      </c>
      <c r="M28" s="73">
        <f>IF(Main[[#This Row],[Tech Start Date]]&lt;1/1/1990,"",IF(Main[[#This Row],[Class]]="C",WORKDAY(Main[[#This Row],[Tech Start Date]],9),IF(Main[[#This Row],[Class]]="B", WORKDAY(Main[[#This Row],[Tech Start Date]],6),IF(Main[[#This Row],[Class]]="A",WORKDAY(Main[[#This Row],[Tech Start Date]],2),""))))</f>
        <v>40982</v>
      </c>
      <c r="N28" s="73">
        <f>IF(Main[[#This Row],[Tech Start Date]]&lt;1/1/1990,"",IF(Main[[#This Row],[Class]]="C",WORKDAY(Main[[#This Row],[Tech Start Date]],19),IF(Main[[#This Row],[Class]]="B", WORKDAY(Main[[#This Row],[Tech Start Date]],12),IF(Main[[#This Row],[Class]]="A",WORKDAY(Main[[#This Row],[Tech Start Date]],4),""))))</f>
        <v>40990</v>
      </c>
      <c r="O28" s="73">
        <f>IF(Main[[#This Row],[Tech Start Date]]&lt;1/1/1990,"",IF(Main[[#This Row],[Class]]="C",WORKDAY(Main[[#This Row],[Tech Start Date]],23),IF(Main[[#This Row],[Class]]="B", WORKDAY(Main[[#This Row],[Tech Start Date]],15),IF(Main[[#This Row],[Class]]="A",WORKDAY(Main[[#This Row],[Tech Start Date]],5),""))))</f>
        <v>40995</v>
      </c>
      <c r="P28" s="73">
        <f>IF(Main[[#This Row],[Tech Start Date]]&lt;1/1/1990,"",IF(Main[[#This Row],[Class]]="C",WORKDAY(Main[[#This Row],[Tech Start Date]],28),IF(Main[[#This Row],[Class]]="B", WORKDAY(Main[[#This Row],[Tech Start Date]],19),IF(Main[[#This Row],[Class]]="A",WORKDAY(Main[[#This Row],[Tech Start Date]],9),""))))</f>
        <v>41001</v>
      </c>
      <c r="Q28" s="85"/>
      <c r="R28" s="112">
        <v>41009</v>
      </c>
      <c r="S28" s="95" t="s">
        <v>11</v>
      </c>
      <c r="T28" s="74" t="s">
        <v>4036</v>
      </c>
      <c r="U28" s="95" t="s">
        <v>29</v>
      </c>
      <c r="V28" s="95" t="s">
        <v>1914</v>
      </c>
      <c r="W28" s="95" t="s">
        <v>1917</v>
      </c>
      <c r="X28" s="95" t="s">
        <v>2826</v>
      </c>
      <c r="Y28" s="72" t="s">
        <v>3208</v>
      </c>
      <c r="Z28" s="72" t="s">
        <v>530</v>
      </c>
      <c r="AA28" s="95" t="s">
        <v>2826</v>
      </c>
      <c r="AB28" s="132"/>
      <c r="AC28" s="132"/>
      <c r="AD28" s="132"/>
      <c r="AE28" s="63"/>
      <c r="AF28" s="63"/>
      <c r="AG28" s="63"/>
    </row>
    <row r="29" spans="1:33" ht="17.2" customHeight="1">
      <c r="A29" s="64">
        <f>IF(priority(Main[[#This Row],[Comments]])&lt;&gt;0, priority(Main[[#This Row],[Comments]]),"")</f>
        <v>4</v>
      </c>
      <c r="B29" s="60" t="s">
        <v>3280</v>
      </c>
      <c r="C29" s="72" t="s">
        <v>72</v>
      </c>
      <c r="D29" s="59" t="s">
        <v>3981</v>
      </c>
      <c r="E29" s="85">
        <v>40931.826180555552</v>
      </c>
      <c r="F29" s="85">
        <v>41090</v>
      </c>
      <c r="G29" s="64" t="str">
        <f>IF(stdProdLT(Main[[#This Row],[Comments]])=0.1,"N/A",IF(stdProdLT(Main[[#This Row],[Comments]])=0,"",TRIM(stdProdLT(Main[[#This Row],[Comments]]))))</f>
        <v>126</v>
      </c>
      <c r="H29" s="94">
        <f>IF(OR(Main[[#This Row],[Std. Prod. Lead Time]]="N/A",Main[[#This Row],[Std. Prod. Lead Time]]=""), "",IF(AND(Main[[#This Row],[In Stock Date]]&lt;&gt;"",Main[[#This Row],[Revised Due Date]]&lt;&gt;"",Main[[#This Row],[In Stock Date]]&lt;&gt;""),Main[[#This Row],[In Stock Date]]-Main[[#This Row],[Revised Due Date]],""))</f>
        <v>108</v>
      </c>
      <c r="I29" s="101" t="s">
        <v>2611</v>
      </c>
      <c r="J29" s="95" t="s">
        <v>28</v>
      </c>
      <c r="K29" s="95" t="s">
        <v>1924</v>
      </c>
      <c r="L29" s="85">
        <v>40932</v>
      </c>
      <c r="M29" s="73">
        <f>IF(Main[[#This Row],[Tech Start Date]]&lt;1/1/1990,"",IF(Main[[#This Row],[Class]]="C",WORKDAY(Main[[#This Row],[Tech Start Date]],9),IF(Main[[#This Row],[Class]]="B", WORKDAY(Main[[#This Row],[Tech Start Date]],6),IF(Main[[#This Row],[Class]]="A",WORKDAY(Main[[#This Row],[Tech Start Date]],2),""))))</f>
        <v>40945</v>
      </c>
      <c r="N29" s="73">
        <f>IF(Main[[#This Row],[Tech Start Date]]&lt;1/1/1990,"",IF(Main[[#This Row],[Class]]="C",WORKDAY(Main[[#This Row],[Tech Start Date]],19),IF(Main[[#This Row],[Class]]="B", WORKDAY(Main[[#This Row],[Tech Start Date]],12),IF(Main[[#This Row],[Class]]="A",WORKDAY(Main[[#This Row],[Tech Start Date]],4),""))))</f>
        <v>40959</v>
      </c>
      <c r="O29" s="73">
        <f>IF(Main[[#This Row],[Tech Start Date]]&lt;1/1/1990,"",IF(Main[[#This Row],[Class]]="C",WORKDAY(Main[[#This Row],[Tech Start Date]],23),IF(Main[[#This Row],[Class]]="B", WORKDAY(Main[[#This Row],[Tech Start Date]],15),IF(Main[[#This Row],[Class]]="A",WORKDAY(Main[[#This Row],[Tech Start Date]],5),""))))</f>
        <v>40963</v>
      </c>
      <c r="P29" s="73">
        <f>IF(Main[[#This Row],[Tech Start Date]]&lt;1/1/1990,"",IF(Main[[#This Row],[Class]]="C",WORKDAY(Main[[#This Row],[Tech Start Date]],28),IF(Main[[#This Row],[Class]]="B", WORKDAY(Main[[#This Row],[Tech Start Date]],19),IF(Main[[#This Row],[Class]]="A",WORKDAY(Main[[#This Row],[Tech Start Date]],9),""))))</f>
        <v>40970</v>
      </c>
      <c r="Q29" s="85">
        <v>40950</v>
      </c>
      <c r="R29" s="112">
        <v>40982</v>
      </c>
      <c r="S29" s="95" t="s">
        <v>11</v>
      </c>
      <c r="T29" s="74" t="s">
        <v>3982</v>
      </c>
      <c r="U29" s="95" t="s">
        <v>29</v>
      </c>
      <c r="V29" s="95" t="s">
        <v>1912</v>
      </c>
      <c r="W29" s="95" t="s">
        <v>1919</v>
      </c>
      <c r="X29" s="95" t="s">
        <v>2827</v>
      </c>
      <c r="Y29" s="72" t="s">
        <v>4</v>
      </c>
      <c r="Z29" s="72" t="s">
        <v>2047</v>
      </c>
      <c r="AA29" s="95" t="s">
        <v>2827</v>
      </c>
      <c r="AB29" s="132"/>
      <c r="AC29" s="132"/>
      <c r="AD29" s="132"/>
      <c r="AE29" s="63"/>
      <c r="AF29" s="63"/>
      <c r="AG29" s="63"/>
    </row>
    <row r="30" spans="1:33" ht="17.2" customHeight="1">
      <c r="A30" s="64">
        <f>IF(priority(Main[[#This Row],[Comments]])&lt;&gt;0, priority(Main[[#This Row],[Comments]]),"")</f>
        <v>4</v>
      </c>
      <c r="B30" s="60" t="s">
        <v>3734</v>
      </c>
      <c r="C30" s="72" t="s">
        <v>506</v>
      </c>
      <c r="D30" s="59" t="s">
        <v>4084</v>
      </c>
      <c r="E30" s="85">
        <v>40959.590081018519</v>
      </c>
      <c r="F30" s="85">
        <v>40968</v>
      </c>
      <c r="G30" s="64" t="str">
        <f>IF(stdProdLT(Main[[#This Row],[Comments]])=0.1,"N/A",IF(stdProdLT(Main[[#This Row],[Comments]])=0,"",TRIM(stdProdLT(Main[[#This Row],[Comments]]))))</f>
        <v>N/A</v>
      </c>
      <c r="H30" s="94" t="str">
        <f>IF(OR(Main[[#This Row],[Std. Prod. Lead Time]]="N/A",Main[[#This Row],[Std. Prod. Lead Time]]=""), "",IF(AND(Main[[#This Row],[In Stock Date]]&lt;&gt;"",Main[[#This Row],[Revised Due Date]]&lt;&gt;"",Main[[#This Row],[In Stock Date]]&lt;&gt;""),Main[[#This Row],[In Stock Date]]-Main[[#This Row],[Revised Due Date]],""))</f>
        <v/>
      </c>
      <c r="I30" s="101" t="s">
        <v>912</v>
      </c>
      <c r="J30" s="95" t="s">
        <v>52</v>
      </c>
      <c r="K30" s="95" t="s">
        <v>1918</v>
      </c>
      <c r="L30" s="85">
        <v>40959</v>
      </c>
      <c r="M30" s="73">
        <f>IF(Main[[#This Row],[Tech Start Date]]&lt;1/1/1990,"",IF(Main[[#This Row],[Class]]="C",WORKDAY(Main[[#This Row],[Tech Start Date]],9),IF(Main[[#This Row],[Class]]="B", WORKDAY(Main[[#This Row],[Tech Start Date]],6),IF(Main[[#This Row],[Class]]="A",WORKDAY(Main[[#This Row],[Tech Start Date]],2),""))))</f>
        <v>40967</v>
      </c>
      <c r="N30" s="73">
        <f>IF(Main[[#This Row],[Tech Start Date]]&lt;1/1/1990,"",IF(Main[[#This Row],[Class]]="C",WORKDAY(Main[[#This Row],[Tech Start Date]],19),IF(Main[[#This Row],[Class]]="B", WORKDAY(Main[[#This Row],[Tech Start Date]],12),IF(Main[[#This Row],[Class]]="A",WORKDAY(Main[[#This Row],[Tech Start Date]],4),""))))</f>
        <v>40975</v>
      </c>
      <c r="O30" s="73">
        <f>IF(Main[[#This Row],[Tech Start Date]]&lt;1/1/1990,"",IF(Main[[#This Row],[Class]]="C",WORKDAY(Main[[#This Row],[Tech Start Date]],23),IF(Main[[#This Row],[Class]]="B", WORKDAY(Main[[#This Row],[Tech Start Date]],15),IF(Main[[#This Row],[Class]]="A",WORKDAY(Main[[#This Row],[Tech Start Date]],5),""))))</f>
        <v>40980</v>
      </c>
      <c r="P30" s="73">
        <f>IF(Main[[#This Row],[Tech Start Date]]&lt;1/1/1990,"",IF(Main[[#This Row],[Class]]="C",WORKDAY(Main[[#This Row],[Tech Start Date]],28),IF(Main[[#This Row],[Class]]="B", WORKDAY(Main[[#This Row],[Tech Start Date]],19),IF(Main[[#This Row],[Class]]="A",WORKDAY(Main[[#This Row],[Tech Start Date]],9),""))))</f>
        <v>40984</v>
      </c>
      <c r="Q30" s="85"/>
      <c r="R30" s="112">
        <v>40980</v>
      </c>
      <c r="S30" s="95" t="s">
        <v>11</v>
      </c>
      <c r="T30" s="74" t="s">
        <v>3998</v>
      </c>
      <c r="U30" s="95" t="s">
        <v>29</v>
      </c>
      <c r="V30" s="95" t="s">
        <v>1911</v>
      </c>
      <c r="W30" s="95" t="s">
        <v>1919</v>
      </c>
      <c r="X30" s="95" t="s">
        <v>50</v>
      </c>
      <c r="Y30" s="72" t="s">
        <v>3020</v>
      </c>
      <c r="Z30" s="72" t="s">
        <v>129</v>
      </c>
      <c r="AA30" s="95" t="s">
        <v>3374</v>
      </c>
      <c r="AB30" s="132"/>
      <c r="AC30" s="132"/>
      <c r="AD30" s="132"/>
      <c r="AE30" s="63"/>
      <c r="AF30" s="63"/>
      <c r="AG30" s="63"/>
    </row>
    <row r="31" spans="1:33" ht="17.2" customHeight="1">
      <c r="A31" s="64">
        <f>IF(priority(Main[[#This Row],[Comments]])&lt;&gt;0, priority(Main[[#This Row],[Comments]]),"")</f>
        <v>5</v>
      </c>
      <c r="B31" s="60" t="s">
        <v>2138</v>
      </c>
      <c r="C31" s="72" t="s">
        <v>2018</v>
      </c>
      <c r="D31" s="59" t="s">
        <v>2139</v>
      </c>
      <c r="E31" s="85"/>
      <c r="F31" s="85">
        <v>40771</v>
      </c>
      <c r="G31" s="64" t="str">
        <f>IF(stdProdLT(Main[[#This Row],[Comments]])=0.1,"N/A",IF(stdProdLT(Main[[#This Row],[Comments]])=0,"",TRIM(stdProdLT(Main[[#This Row],[Comments]]))))</f>
        <v>154</v>
      </c>
      <c r="H31" s="94">
        <f>IF(OR(Main[[#This Row],[Std. Prod. Lead Time]]="N/A",Main[[#This Row],[Std. Prod. Lead Time]]=""), "",IF(AND(Main[[#This Row],[In Stock Date]]&lt;&gt;"",Main[[#This Row],[Revised Due Date]]&lt;&gt;"",Main[[#This Row],[In Stock Date]]&lt;&gt;""),Main[[#This Row],[In Stock Date]]-Main[[#This Row],[Revised Due Date]],""))</f>
        <v>-44</v>
      </c>
      <c r="I31" s="101" t="s">
        <v>941</v>
      </c>
      <c r="J31" s="95" t="s">
        <v>28</v>
      </c>
      <c r="K31" s="95" t="s">
        <v>1924</v>
      </c>
      <c r="L31" s="85">
        <v>40772</v>
      </c>
      <c r="M31" s="73">
        <f>IF(Main[[#This Row],[Tech Start Date]]&lt;1/1/1990,"",IF(Main[[#This Row],[Class]]="C",WORKDAY(Main[[#This Row],[Tech Start Date]],9),IF(Main[[#This Row],[Class]]="B", WORKDAY(Main[[#This Row],[Tech Start Date]],6),IF(Main[[#This Row],[Class]]="A",WORKDAY(Main[[#This Row],[Tech Start Date]],2),""))))</f>
        <v>40785</v>
      </c>
      <c r="N31" s="73">
        <f>IF(Main[[#This Row],[Tech Start Date]]&lt;1/1/1990,"",IF(Main[[#This Row],[Class]]="C",WORKDAY(Main[[#This Row],[Tech Start Date]],19),IF(Main[[#This Row],[Class]]="B", WORKDAY(Main[[#This Row],[Tech Start Date]],12),IF(Main[[#This Row],[Class]]="A",WORKDAY(Main[[#This Row],[Tech Start Date]],4),""))))</f>
        <v>40799</v>
      </c>
      <c r="O31" s="73">
        <f>IF(Main[[#This Row],[Tech Start Date]]&lt;1/1/1990,"",IF(Main[[#This Row],[Class]]="C",WORKDAY(Main[[#This Row],[Tech Start Date]],23),IF(Main[[#This Row],[Class]]="B", WORKDAY(Main[[#This Row],[Tech Start Date]],15),IF(Main[[#This Row],[Class]]="A",WORKDAY(Main[[#This Row],[Tech Start Date]],5),""))))</f>
        <v>40805</v>
      </c>
      <c r="P31" s="73">
        <f>IF(Main[[#This Row],[Tech Start Date]]&lt;1/1/1990,"",IF(Main[[#This Row],[Class]]="C",WORKDAY(Main[[#This Row],[Tech Start Date]],28),IF(Main[[#This Row],[Class]]="B", WORKDAY(Main[[#This Row],[Tech Start Date]],19),IF(Main[[#This Row],[Class]]="A",WORKDAY(Main[[#This Row],[Tech Start Date]],9),""))))</f>
        <v>40812</v>
      </c>
      <c r="Q31" s="85">
        <v>40771</v>
      </c>
      <c r="R31" s="112">
        <v>40815</v>
      </c>
      <c r="S31" s="95" t="s">
        <v>11</v>
      </c>
      <c r="T31" s="74" t="s">
        <v>2140</v>
      </c>
      <c r="U31" s="95" t="s">
        <v>14</v>
      </c>
      <c r="V31" s="95" t="s">
        <v>1912</v>
      </c>
      <c r="W31" s="95" t="s">
        <v>1919</v>
      </c>
      <c r="X31" s="95" t="s">
        <v>2796</v>
      </c>
      <c r="Y31" s="72" t="s">
        <v>4</v>
      </c>
      <c r="Z31" s="72" t="s">
        <v>2047</v>
      </c>
      <c r="AA31" s="95" t="s">
        <v>2796</v>
      </c>
      <c r="AB31" s="132"/>
      <c r="AC31" s="132"/>
      <c r="AD31" s="132"/>
      <c r="AE31" s="63"/>
      <c r="AF31" s="63"/>
      <c r="AG31" s="63"/>
    </row>
    <row r="32" spans="1:33" ht="17.2" customHeight="1">
      <c r="A32" s="64">
        <f>IF(priority(Main[[#This Row],[Comments]])&lt;&gt;0, priority(Main[[#This Row],[Comments]]),"")</f>
        <v>5</v>
      </c>
      <c r="B32" s="60" t="s">
        <v>3167</v>
      </c>
      <c r="C32" s="72" t="s">
        <v>3168</v>
      </c>
      <c r="D32" s="59" t="s">
        <v>3330</v>
      </c>
      <c r="E32" s="85">
        <v>40920.45616898148</v>
      </c>
      <c r="F32" s="85">
        <v>41105</v>
      </c>
      <c r="G32" s="64" t="str">
        <f>IF(stdProdLT(Main[[#This Row],[Comments]])=0.1,"N/A",IF(stdProdLT(Main[[#This Row],[Comments]])=0,"",TRIM(stdProdLT(Main[[#This Row],[Comments]]))))</f>
        <v>126</v>
      </c>
      <c r="H32" s="94">
        <f>IF(OR(Main[[#This Row],[Std. Prod. Lead Time]]="N/A",Main[[#This Row],[Std. Prod. Lead Time]]=""), "",IF(AND(Main[[#This Row],[In Stock Date]]&lt;&gt;"",Main[[#This Row],[Revised Due Date]]&lt;&gt;"",Main[[#This Row],[In Stock Date]]&lt;&gt;""),Main[[#This Row],[In Stock Date]]-Main[[#This Row],[Revised Due Date]],""))</f>
        <v>121</v>
      </c>
      <c r="I32" s="101" t="s">
        <v>912</v>
      </c>
      <c r="J32" s="95" t="s">
        <v>52</v>
      </c>
      <c r="K32" s="95" t="s">
        <v>1918</v>
      </c>
      <c r="L32" s="85">
        <v>40924</v>
      </c>
      <c r="M32" s="73">
        <f>IF(Main[[#This Row],[Tech Start Date]]&lt;1/1/1990,"",IF(Main[[#This Row],[Class]]="C",WORKDAY(Main[[#This Row],[Tech Start Date]],9),IF(Main[[#This Row],[Class]]="B", WORKDAY(Main[[#This Row],[Tech Start Date]],6),IF(Main[[#This Row],[Class]]="A",WORKDAY(Main[[#This Row],[Tech Start Date]],2),""))))</f>
        <v>40932</v>
      </c>
      <c r="N32" s="73">
        <f>IF(Main[[#This Row],[Tech Start Date]]&lt;1/1/1990,"",IF(Main[[#This Row],[Class]]="C",WORKDAY(Main[[#This Row],[Tech Start Date]],19),IF(Main[[#This Row],[Class]]="B", WORKDAY(Main[[#This Row],[Tech Start Date]],12),IF(Main[[#This Row],[Class]]="A",WORKDAY(Main[[#This Row],[Tech Start Date]],4),""))))</f>
        <v>40940</v>
      </c>
      <c r="O32" s="73">
        <f>IF(Main[[#This Row],[Tech Start Date]]&lt;1/1/1990,"",IF(Main[[#This Row],[Class]]="C",WORKDAY(Main[[#This Row],[Tech Start Date]],23),IF(Main[[#This Row],[Class]]="B", WORKDAY(Main[[#This Row],[Tech Start Date]],15),IF(Main[[#This Row],[Class]]="A",WORKDAY(Main[[#This Row],[Tech Start Date]],5),""))))</f>
        <v>40945</v>
      </c>
      <c r="P32" s="73">
        <f>IF(Main[[#This Row],[Tech Start Date]]&lt;1/1/1990,"",IF(Main[[#This Row],[Class]]="C",WORKDAY(Main[[#This Row],[Tech Start Date]],28),IF(Main[[#This Row],[Class]]="B", WORKDAY(Main[[#This Row],[Tech Start Date]],19),IF(Main[[#This Row],[Class]]="A",WORKDAY(Main[[#This Row],[Tech Start Date]],9),""))))</f>
        <v>40949</v>
      </c>
      <c r="Q32" s="85">
        <v>41105</v>
      </c>
      <c r="R32" s="112">
        <v>40984</v>
      </c>
      <c r="S32" s="95" t="s">
        <v>11</v>
      </c>
      <c r="T32" s="74" t="s">
        <v>3979</v>
      </c>
      <c r="U32" s="95" t="s">
        <v>29</v>
      </c>
      <c r="V32" s="95" t="s">
        <v>1911</v>
      </c>
      <c r="W32" s="95" t="s">
        <v>1917</v>
      </c>
      <c r="X32" s="95" t="s">
        <v>2832</v>
      </c>
      <c r="Y32" s="72" t="s">
        <v>2968</v>
      </c>
      <c r="Z32" s="72" t="s">
        <v>129</v>
      </c>
      <c r="AA32" s="95" t="s">
        <v>2832</v>
      </c>
      <c r="AB32" s="132"/>
      <c r="AC32" s="132"/>
      <c r="AD32" s="132"/>
      <c r="AE32" s="63"/>
      <c r="AF32" s="63"/>
      <c r="AG32" s="63"/>
    </row>
    <row r="33" spans="1:35" ht="17.2" customHeight="1">
      <c r="A33" s="64">
        <f>IF(priority(Main[[#This Row],[Comments]])&lt;&gt;0, priority(Main[[#This Row],[Comments]]),"")</f>
        <v>5</v>
      </c>
      <c r="B33" s="60" t="s">
        <v>3732</v>
      </c>
      <c r="C33" s="72" t="s">
        <v>2348</v>
      </c>
      <c r="D33" s="59" t="s">
        <v>3996</v>
      </c>
      <c r="E33" s="85">
        <v>40953.07539351852</v>
      </c>
      <c r="F33" s="85">
        <v>41105</v>
      </c>
      <c r="G33" s="64" t="str">
        <f>IF(stdProdLT(Main[[#This Row],[Comments]])=0.1,"N/A",IF(stdProdLT(Main[[#This Row],[Comments]])=0,"",TRIM(stdProdLT(Main[[#This Row],[Comments]]))))</f>
        <v>126</v>
      </c>
      <c r="H33" s="94">
        <f>IF(OR(Main[[#This Row],[Std. Prod. Lead Time]]="N/A",Main[[#This Row],[Std. Prod. Lead Time]]=""), "",IF(AND(Main[[#This Row],[In Stock Date]]&lt;&gt;"",Main[[#This Row],[Revised Due Date]]&lt;&gt;"",Main[[#This Row],[In Stock Date]]&lt;&gt;""),Main[[#This Row],[In Stock Date]]-Main[[#This Row],[Revised Due Date]],""))</f>
        <v>104</v>
      </c>
      <c r="I33" s="101" t="s">
        <v>2611</v>
      </c>
      <c r="J33" s="95" t="s">
        <v>28</v>
      </c>
      <c r="K33" s="95" t="s">
        <v>1924</v>
      </c>
      <c r="L33" s="85">
        <v>40959</v>
      </c>
      <c r="M33" s="73">
        <f>IF(Main[[#This Row],[Tech Start Date]]&lt;1/1/1990,"",IF(Main[[#This Row],[Class]]="C",WORKDAY(Main[[#This Row],[Tech Start Date]],9),IF(Main[[#This Row],[Class]]="B", WORKDAY(Main[[#This Row],[Tech Start Date]],6),IF(Main[[#This Row],[Class]]="A",WORKDAY(Main[[#This Row],[Tech Start Date]],2),""))))</f>
        <v>40970</v>
      </c>
      <c r="N33" s="73">
        <f>IF(Main[[#This Row],[Tech Start Date]]&lt;1/1/1990,"",IF(Main[[#This Row],[Class]]="C",WORKDAY(Main[[#This Row],[Tech Start Date]],19),IF(Main[[#This Row],[Class]]="B", WORKDAY(Main[[#This Row],[Tech Start Date]],12),IF(Main[[#This Row],[Class]]="A",WORKDAY(Main[[#This Row],[Tech Start Date]],4),""))))</f>
        <v>40984</v>
      </c>
      <c r="O33" s="73">
        <f>IF(Main[[#This Row],[Tech Start Date]]&lt;1/1/1990,"",IF(Main[[#This Row],[Class]]="C",WORKDAY(Main[[#This Row],[Tech Start Date]],23),IF(Main[[#This Row],[Class]]="B", WORKDAY(Main[[#This Row],[Tech Start Date]],15),IF(Main[[#This Row],[Class]]="A",WORKDAY(Main[[#This Row],[Tech Start Date]],5),""))))</f>
        <v>40990</v>
      </c>
      <c r="P33" s="73">
        <f>IF(Main[[#This Row],[Tech Start Date]]&lt;1/1/1990,"",IF(Main[[#This Row],[Class]]="C",WORKDAY(Main[[#This Row],[Tech Start Date]],28),IF(Main[[#This Row],[Class]]="B", WORKDAY(Main[[#This Row],[Tech Start Date]],19),IF(Main[[#This Row],[Class]]="A",WORKDAY(Main[[#This Row],[Tech Start Date]],9),""))))</f>
        <v>40997</v>
      </c>
      <c r="Q33" s="85">
        <v>40965</v>
      </c>
      <c r="R33" s="112">
        <v>41001</v>
      </c>
      <c r="S33" s="95" t="s">
        <v>11</v>
      </c>
      <c r="T33" s="74" t="s">
        <v>3997</v>
      </c>
      <c r="U33" s="95" t="s">
        <v>7</v>
      </c>
      <c r="V33" s="95" t="s">
        <v>1912</v>
      </c>
      <c r="W33" s="95" t="s">
        <v>1919</v>
      </c>
      <c r="X33" s="95" t="s">
        <v>2823</v>
      </c>
      <c r="Y33" s="72" t="s">
        <v>4</v>
      </c>
      <c r="Z33" s="72" t="s">
        <v>2047</v>
      </c>
      <c r="AA33" s="95" t="s">
        <v>2823</v>
      </c>
      <c r="AB33" s="132"/>
      <c r="AC33" s="132"/>
      <c r="AD33" s="132"/>
      <c r="AE33" s="63"/>
      <c r="AF33" s="63"/>
      <c r="AG33" s="63"/>
    </row>
    <row r="34" spans="1:35" ht="17.2" customHeight="1">
      <c r="A34" s="64">
        <f>IF(priority(Main[[#This Row],[Comments]])&lt;&gt;0, priority(Main[[#This Row],[Comments]]),"")</f>
        <v>6</v>
      </c>
      <c r="B34" s="60" t="s">
        <v>3514</v>
      </c>
      <c r="C34" s="72" t="s">
        <v>2204</v>
      </c>
      <c r="D34" s="59" t="s">
        <v>4063</v>
      </c>
      <c r="E34" s="85">
        <v>40946.395277777781</v>
      </c>
      <c r="F34" s="85">
        <v>40984</v>
      </c>
      <c r="G34" s="64" t="str">
        <f>IF(stdProdLT(Main[[#This Row],[Comments]])=0.1,"N/A",IF(stdProdLT(Main[[#This Row],[Comments]])=0,"",TRIM(stdProdLT(Main[[#This Row],[Comments]]))))</f>
        <v>N/A</v>
      </c>
      <c r="H34" s="94" t="str">
        <f>IF(OR(Main[[#This Row],[Std. Prod. Lead Time]]="N/A",Main[[#This Row],[Std. Prod. Lead Time]]=""), "",IF(AND(Main[[#This Row],[In Stock Date]]&lt;&gt;"",Main[[#This Row],[Revised Due Date]]&lt;&gt;"",Main[[#This Row],[In Stock Date]]&lt;&gt;""),Main[[#This Row],[In Stock Date]]-Main[[#This Row],[Revised Due Date]],""))</f>
        <v/>
      </c>
      <c r="I34" s="101" t="s">
        <v>2243</v>
      </c>
      <c r="J34" s="95" t="s">
        <v>21</v>
      </c>
      <c r="K34" s="95" t="s">
        <v>1920</v>
      </c>
      <c r="L34" s="85">
        <v>40946</v>
      </c>
      <c r="M34" s="73">
        <f>IF(Main[[#This Row],[Tech Start Date]]&lt;1/1/1990,"",IF(Main[[#This Row],[Class]]="C",WORKDAY(Main[[#This Row],[Tech Start Date]],9),IF(Main[[#This Row],[Class]]="B", WORKDAY(Main[[#This Row],[Tech Start Date]],6),IF(Main[[#This Row],[Class]]="A",WORKDAY(Main[[#This Row],[Tech Start Date]],2),""))))</f>
        <v>40948</v>
      </c>
      <c r="N34" s="73">
        <f>IF(Main[[#This Row],[Tech Start Date]]&lt;1/1/1990,"",IF(Main[[#This Row],[Class]]="C",WORKDAY(Main[[#This Row],[Tech Start Date]],19),IF(Main[[#This Row],[Class]]="B", WORKDAY(Main[[#This Row],[Tech Start Date]],12),IF(Main[[#This Row],[Class]]="A",WORKDAY(Main[[#This Row],[Tech Start Date]],4),""))))</f>
        <v>40952</v>
      </c>
      <c r="O34" s="73">
        <f>IF(Main[[#This Row],[Tech Start Date]]&lt;1/1/1990,"",IF(Main[[#This Row],[Class]]="C",WORKDAY(Main[[#This Row],[Tech Start Date]],23),IF(Main[[#This Row],[Class]]="B", WORKDAY(Main[[#This Row],[Tech Start Date]],15),IF(Main[[#This Row],[Class]]="A",WORKDAY(Main[[#This Row],[Tech Start Date]],5),""))))</f>
        <v>40953</v>
      </c>
      <c r="P34" s="73">
        <f>IF(Main[[#This Row],[Tech Start Date]]&lt;1/1/1990,"",IF(Main[[#This Row],[Class]]="C",WORKDAY(Main[[#This Row],[Tech Start Date]],28),IF(Main[[#This Row],[Class]]="B", WORKDAY(Main[[#This Row],[Tech Start Date]],19),IF(Main[[#This Row],[Class]]="A",WORKDAY(Main[[#This Row],[Tech Start Date]],9),""))))</f>
        <v>40959</v>
      </c>
      <c r="Q34" s="85">
        <v>40984</v>
      </c>
      <c r="R34" s="112">
        <v>40980</v>
      </c>
      <c r="S34" s="95" t="s">
        <v>11</v>
      </c>
      <c r="T34" s="74" t="s">
        <v>3987</v>
      </c>
      <c r="U34" s="95" t="s">
        <v>29</v>
      </c>
      <c r="V34" s="95" t="s">
        <v>1912</v>
      </c>
      <c r="W34" s="95" t="s">
        <v>1916</v>
      </c>
      <c r="X34" s="95" t="s">
        <v>2796</v>
      </c>
      <c r="Y34" s="72" t="s">
        <v>4</v>
      </c>
      <c r="Z34" s="72" t="s">
        <v>2047</v>
      </c>
      <c r="AA34" s="95" t="s">
        <v>2796</v>
      </c>
      <c r="AB34" s="132"/>
      <c r="AC34" s="132"/>
      <c r="AD34" s="132"/>
      <c r="AE34" s="63"/>
      <c r="AF34" s="63"/>
      <c r="AG34" s="63"/>
      <c r="AI34" s="77"/>
    </row>
    <row r="35" spans="1:35" ht="17.2" customHeight="1">
      <c r="A35" s="64">
        <f>IF(priority(Main[[#This Row],[Comments]])&lt;&gt;0, priority(Main[[#This Row],[Comments]]),"")</f>
        <v>7</v>
      </c>
      <c r="B35" s="60" t="s">
        <v>2624</v>
      </c>
      <c r="C35" s="72" t="s">
        <v>72</v>
      </c>
      <c r="D35" s="59" t="s">
        <v>3972</v>
      </c>
      <c r="E35" s="85">
        <v>40843.078125</v>
      </c>
      <c r="F35" s="85">
        <v>41122</v>
      </c>
      <c r="G35" s="64" t="str">
        <f>IF(stdProdLT(Main[[#This Row],[Comments]])=0.1,"N/A",IF(stdProdLT(Main[[#This Row],[Comments]])=0,"",TRIM(stdProdLT(Main[[#This Row],[Comments]]))))</f>
        <v>196</v>
      </c>
      <c r="H35" s="94">
        <f>IF(OR(Main[[#This Row],[Std. Prod. Lead Time]]="N/A",Main[[#This Row],[Std. Prod. Lead Time]]=""), "",IF(AND(Main[[#This Row],[In Stock Date]]&lt;&gt;"",Main[[#This Row],[Revised Due Date]]&lt;&gt;"",Main[[#This Row],[In Stock Date]]&lt;&gt;""),Main[[#This Row],[In Stock Date]]-Main[[#This Row],[Revised Due Date]],""))</f>
        <v>138</v>
      </c>
      <c r="I35" s="101" t="s">
        <v>2611</v>
      </c>
      <c r="J35" s="95" t="s">
        <v>28</v>
      </c>
      <c r="K35" s="95" t="s">
        <v>1924</v>
      </c>
      <c r="L35" s="85">
        <v>40849</v>
      </c>
      <c r="M35" s="73">
        <f>IF(Main[[#This Row],[Tech Start Date]]&lt;1/1/1990,"",IF(Main[[#This Row],[Class]]="C",WORKDAY(Main[[#This Row],[Tech Start Date]],9),IF(Main[[#This Row],[Class]]="B", WORKDAY(Main[[#This Row],[Tech Start Date]],6),IF(Main[[#This Row],[Class]]="A",WORKDAY(Main[[#This Row],[Tech Start Date]],2),""))))</f>
        <v>40862</v>
      </c>
      <c r="N35" s="73">
        <f>IF(Main[[#This Row],[Tech Start Date]]&lt;1/1/1990,"",IF(Main[[#This Row],[Class]]="C",WORKDAY(Main[[#This Row],[Tech Start Date]],19),IF(Main[[#This Row],[Class]]="B", WORKDAY(Main[[#This Row],[Tech Start Date]],12),IF(Main[[#This Row],[Class]]="A",WORKDAY(Main[[#This Row],[Tech Start Date]],4),""))))</f>
        <v>40876</v>
      </c>
      <c r="O35" s="73">
        <f>IF(Main[[#This Row],[Tech Start Date]]&lt;1/1/1990,"",IF(Main[[#This Row],[Class]]="C",WORKDAY(Main[[#This Row],[Tech Start Date]],23),IF(Main[[#This Row],[Class]]="B", WORKDAY(Main[[#This Row],[Tech Start Date]],15),IF(Main[[#This Row],[Class]]="A",WORKDAY(Main[[#This Row],[Tech Start Date]],5),""))))</f>
        <v>40882</v>
      </c>
      <c r="P35" s="73">
        <f>IF(Main[[#This Row],[Tech Start Date]]&lt;1/1/1990,"",IF(Main[[#This Row],[Class]]="C",WORKDAY(Main[[#This Row],[Tech Start Date]],28),IF(Main[[#This Row],[Class]]="B", WORKDAY(Main[[#This Row],[Tech Start Date]],19),IF(Main[[#This Row],[Class]]="A",WORKDAY(Main[[#This Row],[Tech Start Date]],9),""))))</f>
        <v>40889</v>
      </c>
      <c r="Q35" s="85">
        <v>41122</v>
      </c>
      <c r="R35" s="112">
        <v>40984</v>
      </c>
      <c r="S35" s="95" t="s">
        <v>11</v>
      </c>
      <c r="T35" s="74" t="s">
        <v>3973</v>
      </c>
      <c r="U35" s="95" t="s">
        <v>29</v>
      </c>
      <c r="V35" s="95" t="s">
        <v>1912</v>
      </c>
      <c r="W35" s="95" t="s">
        <v>1919</v>
      </c>
      <c r="X35" s="95" t="s">
        <v>2827</v>
      </c>
      <c r="Y35" s="72" t="s">
        <v>2956</v>
      </c>
      <c r="Z35" s="72" t="s">
        <v>2047</v>
      </c>
      <c r="AA35" s="95" t="s">
        <v>2827</v>
      </c>
      <c r="AB35" s="132"/>
      <c r="AC35" s="132"/>
      <c r="AD35" s="132"/>
      <c r="AE35" s="63"/>
      <c r="AF35" s="63"/>
      <c r="AG35" s="63"/>
    </row>
    <row r="36" spans="1:35" ht="17.2" customHeight="1">
      <c r="A36" s="64">
        <f>IF(priority(Main[[#This Row],[Comments]])&lt;&gt;0, priority(Main[[#This Row],[Comments]]),"")</f>
        <v>8</v>
      </c>
      <c r="B36" s="60" t="s">
        <v>3534</v>
      </c>
      <c r="C36" s="72" t="s">
        <v>31</v>
      </c>
      <c r="D36" s="59" t="s">
        <v>3875</v>
      </c>
      <c r="E36" s="85">
        <v>40953.049583333333</v>
      </c>
      <c r="F36" s="85">
        <v>40968</v>
      </c>
      <c r="G36" s="64" t="str">
        <f>IF(stdProdLT(Main[[#This Row],[Comments]])=0.1,"N/A",IF(stdProdLT(Main[[#This Row],[Comments]])=0,"",TRIM(stdProdLT(Main[[#This Row],[Comments]]))))</f>
        <v>N/A</v>
      </c>
      <c r="H36" s="94" t="str">
        <f>IF(OR(Main[[#This Row],[Std. Prod. Lead Time]]="N/A",Main[[#This Row],[Std. Prod. Lead Time]]=""), "",IF(AND(Main[[#This Row],[In Stock Date]]&lt;&gt;"",Main[[#This Row],[Revised Due Date]]&lt;&gt;"",Main[[#This Row],[In Stock Date]]&lt;&gt;""),Main[[#This Row],[In Stock Date]]-Main[[#This Row],[Revised Due Date]],""))</f>
        <v/>
      </c>
      <c r="I36" s="101" t="s">
        <v>946</v>
      </c>
      <c r="J36" s="95" t="s">
        <v>28</v>
      </c>
      <c r="K36" s="95" t="s">
        <v>1918</v>
      </c>
      <c r="L36" s="85"/>
      <c r="M36" s="73" t="str">
        <f>IF(Main[[#This Row],[Tech Start Date]]&lt;1/1/1990,"",IF(Main[[#This Row],[Class]]="C",WORKDAY(Main[[#This Row],[Tech Start Date]],9),IF(Main[[#This Row],[Class]]="B", WORKDAY(Main[[#This Row],[Tech Start Date]],6),IF(Main[[#This Row],[Class]]="A",WORKDAY(Main[[#This Row],[Tech Start Date]],2),""))))</f>
        <v/>
      </c>
      <c r="N36" s="73" t="str">
        <f>IF(Main[[#This Row],[Tech Start Date]]&lt;1/1/1990,"",IF(Main[[#This Row],[Class]]="C",WORKDAY(Main[[#This Row],[Tech Start Date]],19),IF(Main[[#This Row],[Class]]="B", WORKDAY(Main[[#This Row],[Tech Start Date]],12),IF(Main[[#This Row],[Class]]="A",WORKDAY(Main[[#This Row],[Tech Start Date]],4),""))))</f>
        <v/>
      </c>
      <c r="O36" s="73" t="str">
        <f>IF(Main[[#This Row],[Tech Start Date]]&lt;1/1/1990,"",IF(Main[[#This Row],[Class]]="C",WORKDAY(Main[[#This Row],[Tech Start Date]],23),IF(Main[[#This Row],[Class]]="B", WORKDAY(Main[[#This Row],[Tech Start Date]],15),IF(Main[[#This Row],[Class]]="A",WORKDAY(Main[[#This Row],[Tech Start Date]],5),""))))</f>
        <v/>
      </c>
      <c r="P36" s="73" t="str">
        <f>IF(Main[[#This Row],[Tech Start Date]]&lt;1/1/1990,"",IF(Main[[#This Row],[Class]]="C",WORKDAY(Main[[#This Row],[Tech Start Date]],28),IF(Main[[#This Row],[Class]]="B", WORKDAY(Main[[#This Row],[Tech Start Date]],19),IF(Main[[#This Row],[Class]]="A",WORKDAY(Main[[#This Row],[Tech Start Date]],9),""))))</f>
        <v/>
      </c>
      <c r="Q36" s="85">
        <v>40967</v>
      </c>
      <c r="R36" s="112">
        <v>40983</v>
      </c>
      <c r="S36" s="95" t="s">
        <v>11</v>
      </c>
      <c r="T36" s="74" t="s">
        <v>3876</v>
      </c>
      <c r="U36" s="95" t="s">
        <v>7</v>
      </c>
      <c r="V36" s="95" t="s">
        <v>1912</v>
      </c>
      <c r="W36" s="95" t="s">
        <v>1916</v>
      </c>
      <c r="X36" s="95" t="s">
        <v>2815</v>
      </c>
      <c r="Y36" s="72" t="s">
        <v>4</v>
      </c>
      <c r="Z36" s="72" t="s">
        <v>2047</v>
      </c>
      <c r="AA36" s="95" t="s">
        <v>2815</v>
      </c>
      <c r="AB36" s="132"/>
      <c r="AC36" s="132"/>
      <c r="AD36" s="132"/>
      <c r="AE36" s="63"/>
      <c r="AF36" s="63"/>
      <c r="AG36" s="63"/>
    </row>
    <row r="37" spans="1:35" ht="17.2" customHeight="1">
      <c r="A37" s="116">
        <f>IF(priority(Main[[#This Row],[Comments]])&lt;&gt;0, priority(Main[[#This Row],[Comments]]),"")</f>
        <v>8</v>
      </c>
      <c r="B37" s="117" t="s">
        <v>3200</v>
      </c>
      <c r="C37" s="125" t="s">
        <v>33</v>
      </c>
      <c r="D37" s="137" t="s">
        <v>3326</v>
      </c>
      <c r="E37" s="118"/>
      <c r="F37" s="118">
        <v>41047</v>
      </c>
      <c r="G37" s="116" t="str">
        <f>IF(stdProdLT(Main[[#This Row],[Comments]])=0.1,"N/A",IF(stdProdLT(Main[[#This Row],[Comments]])=0,"",TRIM(stdProdLT(Main[[#This Row],[Comments]]))))</f>
        <v>126</v>
      </c>
      <c r="H37" s="119" t="str">
        <f>IF(OR(Main[[#This Row],[Std. Prod. Lead Time]]="N/A",Main[[#This Row],[Std. Prod. Lead Time]]=""), "",IF(AND(Main[[#This Row],[In Stock Date]]&lt;&gt;"",Main[[#This Row],[Revised Due Date]]&lt;&gt;"",Main[[#This Row],[In Stock Date]]&lt;&gt;""),Main[[#This Row],[In Stock Date]]-Main[[#This Row],[Revised Due Date]],""))</f>
        <v/>
      </c>
      <c r="I37" s="120" t="s">
        <v>4</v>
      </c>
      <c r="J37" s="121" t="s">
        <v>4</v>
      </c>
      <c r="K37" s="121" t="s">
        <v>4</v>
      </c>
      <c r="L37" s="118"/>
      <c r="M37" s="122" t="str">
        <f>IF(Main[[#This Row],[Tech Start Date]]&lt;1/1/1990,"",IF(Main[[#This Row],[Class]]="C",WORKDAY(Main[[#This Row],[Tech Start Date]],9),IF(Main[[#This Row],[Class]]="B", WORKDAY(Main[[#This Row],[Tech Start Date]],6),IF(Main[[#This Row],[Class]]="A",WORKDAY(Main[[#This Row],[Tech Start Date]],2),""))))</f>
        <v/>
      </c>
      <c r="N37" s="122" t="str">
        <f>IF(Main[[#This Row],[Tech Start Date]]&lt;1/1/1990,"",IF(Main[[#This Row],[Class]]="C",WORKDAY(Main[[#This Row],[Tech Start Date]],19),IF(Main[[#This Row],[Class]]="B", WORKDAY(Main[[#This Row],[Tech Start Date]],12),IF(Main[[#This Row],[Class]]="A",WORKDAY(Main[[#This Row],[Tech Start Date]],4),""))))</f>
        <v/>
      </c>
      <c r="O37" s="122" t="str">
        <f>IF(Main[[#This Row],[Tech Start Date]]&lt;1/1/1990,"",IF(Main[[#This Row],[Class]]="C",WORKDAY(Main[[#This Row],[Tech Start Date]],23),IF(Main[[#This Row],[Class]]="B", WORKDAY(Main[[#This Row],[Tech Start Date]],15),IF(Main[[#This Row],[Class]]="A",WORKDAY(Main[[#This Row],[Tech Start Date]],5),""))))</f>
        <v/>
      </c>
      <c r="P37" s="122" t="str">
        <f>IF(Main[[#This Row],[Tech Start Date]]&lt;1/1/1990,"",IF(Main[[#This Row],[Class]]="C",WORKDAY(Main[[#This Row],[Tech Start Date]],28),IF(Main[[#This Row],[Class]]="B", WORKDAY(Main[[#This Row],[Tech Start Date]],19),IF(Main[[#This Row],[Class]]="A",WORKDAY(Main[[#This Row],[Tech Start Date]],9),""))))</f>
        <v/>
      </c>
      <c r="Q37" s="118"/>
      <c r="R37" s="123"/>
      <c r="S37" s="121" t="s">
        <v>11</v>
      </c>
      <c r="T37" s="124" t="s">
        <v>3463</v>
      </c>
      <c r="U37" s="121" t="s">
        <v>14</v>
      </c>
      <c r="V37" s="121" t="s">
        <v>1912</v>
      </c>
      <c r="W37" s="121" t="s">
        <v>1916</v>
      </c>
      <c r="X37" s="121" t="s">
        <v>2855</v>
      </c>
      <c r="Y37" s="125" t="s">
        <v>2999</v>
      </c>
      <c r="Z37" s="125" t="s">
        <v>4</v>
      </c>
      <c r="AA37" s="121" t="s">
        <v>2855</v>
      </c>
      <c r="AB37" s="132"/>
      <c r="AC37" s="132"/>
      <c r="AD37" s="132"/>
      <c r="AE37" s="63"/>
      <c r="AF37" s="63"/>
      <c r="AG37" s="63"/>
    </row>
    <row r="38" spans="1:35" ht="17.2" customHeight="1">
      <c r="A38" s="64">
        <f>IF(priority(Main[[#This Row],[Comments]])&lt;&gt;0, priority(Main[[#This Row],[Comments]]),"")</f>
        <v>8</v>
      </c>
      <c r="B38" s="60" t="s">
        <v>3753</v>
      </c>
      <c r="C38" s="72" t="s">
        <v>3751</v>
      </c>
      <c r="D38" s="59" t="s">
        <v>4069</v>
      </c>
      <c r="E38" s="85">
        <v>40967.313819444447</v>
      </c>
      <c r="F38" s="85">
        <v>41050</v>
      </c>
      <c r="G38" s="64" t="str">
        <f>IF(stdProdLT(Main[[#This Row],[Comments]])=0.1,"N/A",IF(stdProdLT(Main[[#This Row],[Comments]])=0,"",TRIM(stdProdLT(Main[[#This Row],[Comments]]))))</f>
        <v>112</v>
      </c>
      <c r="H38" s="94">
        <f>IF(OR(Main[[#This Row],[Std. Prod. Lead Time]]="N/A",Main[[#This Row],[Std. Prod. Lead Time]]=""), "",IF(AND(Main[[#This Row],[In Stock Date]]&lt;&gt;"",Main[[#This Row],[Revised Due Date]]&lt;&gt;"",Main[[#This Row],[In Stock Date]]&lt;&gt;""),Main[[#This Row],[In Stock Date]]-Main[[#This Row],[Revised Due Date]],""))</f>
        <v>68</v>
      </c>
      <c r="I38" s="101" t="s">
        <v>126</v>
      </c>
      <c r="J38" s="95" t="s">
        <v>52</v>
      </c>
      <c r="K38" s="95" t="s">
        <v>1920</v>
      </c>
      <c r="L38" s="85">
        <v>40967</v>
      </c>
      <c r="M38" s="73">
        <f>IF(Main[[#This Row],[Tech Start Date]]&lt;1/1/1990,"",IF(Main[[#This Row],[Class]]="C",WORKDAY(Main[[#This Row],[Tech Start Date]],9),IF(Main[[#This Row],[Class]]="B", WORKDAY(Main[[#This Row],[Tech Start Date]],6),IF(Main[[#This Row],[Class]]="A",WORKDAY(Main[[#This Row],[Tech Start Date]],2),""))))</f>
        <v>40969</v>
      </c>
      <c r="N38" s="73">
        <f>IF(Main[[#This Row],[Tech Start Date]]&lt;1/1/1990,"",IF(Main[[#This Row],[Class]]="C",WORKDAY(Main[[#This Row],[Tech Start Date]],19),IF(Main[[#This Row],[Class]]="B", WORKDAY(Main[[#This Row],[Tech Start Date]],12),IF(Main[[#This Row],[Class]]="A",WORKDAY(Main[[#This Row],[Tech Start Date]],4),""))))</f>
        <v>40973</v>
      </c>
      <c r="O38" s="73">
        <f>IF(Main[[#This Row],[Tech Start Date]]&lt;1/1/1990,"",IF(Main[[#This Row],[Class]]="C",WORKDAY(Main[[#This Row],[Tech Start Date]],23),IF(Main[[#This Row],[Class]]="B", WORKDAY(Main[[#This Row],[Tech Start Date]],15),IF(Main[[#This Row],[Class]]="A",WORKDAY(Main[[#This Row],[Tech Start Date]],5),""))))</f>
        <v>40974</v>
      </c>
      <c r="P38" s="73">
        <f>IF(Main[[#This Row],[Tech Start Date]]&lt;1/1/1990,"",IF(Main[[#This Row],[Class]]="C",WORKDAY(Main[[#This Row],[Tech Start Date]],28),IF(Main[[#This Row],[Class]]="B", WORKDAY(Main[[#This Row],[Tech Start Date]],19),IF(Main[[#This Row],[Class]]="A",WORKDAY(Main[[#This Row],[Tech Start Date]],9),""))))</f>
        <v>40980</v>
      </c>
      <c r="Q38" s="85">
        <v>40973</v>
      </c>
      <c r="R38" s="112">
        <v>40982</v>
      </c>
      <c r="S38" s="95" t="s">
        <v>11</v>
      </c>
      <c r="T38" s="74" t="s">
        <v>4005</v>
      </c>
      <c r="U38" s="95" t="s">
        <v>29</v>
      </c>
      <c r="V38" s="95" t="s">
        <v>1911</v>
      </c>
      <c r="W38" s="95" t="s">
        <v>1919</v>
      </c>
      <c r="X38" s="95" t="s">
        <v>2890</v>
      </c>
      <c r="Y38" s="72" t="s">
        <v>4</v>
      </c>
      <c r="Z38" s="72" t="s">
        <v>129</v>
      </c>
      <c r="AA38" s="95" t="s">
        <v>3752</v>
      </c>
      <c r="AB38" s="132"/>
      <c r="AC38" s="132"/>
      <c r="AD38" s="132"/>
      <c r="AE38" s="63"/>
      <c r="AF38" s="63"/>
      <c r="AG38" s="63"/>
    </row>
    <row r="39" spans="1:35" ht="17.2" customHeight="1">
      <c r="A39" s="116">
        <f>IF(priority(Main[[#This Row],[Comments]])&lt;&gt;0, priority(Main[[#This Row],[Comments]]),"")</f>
        <v>9</v>
      </c>
      <c r="B39" s="117" t="s">
        <v>2094</v>
      </c>
      <c r="C39" s="125" t="s">
        <v>53</v>
      </c>
      <c r="D39" s="137" t="s">
        <v>2095</v>
      </c>
      <c r="E39" s="118"/>
      <c r="F39" s="118">
        <v>40789</v>
      </c>
      <c r="G39" s="116" t="str">
        <f>IF(stdProdLT(Main[[#This Row],[Comments]])=0.1,"N/A",IF(stdProdLT(Main[[#This Row],[Comments]])=0,"",TRIM(stdProdLT(Main[[#This Row],[Comments]]))))</f>
        <v>42</v>
      </c>
      <c r="H39" s="119">
        <f>IF(OR(Main[[#This Row],[Std. Prod. Lead Time]]="N/A",Main[[#This Row],[Std. Prod. Lead Time]]=""), "",IF(AND(Main[[#This Row],[In Stock Date]]&lt;&gt;"",Main[[#This Row],[Revised Due Date]]&lt;&gt;"",Main[[#This Row],[In Stock Date]]&lt;&gt;""),Main[[#This Row],[In Stock Date]]-Main[[#This Row],[Revised Due Date]],""))</f>
        <v>1</v>
      </c>
      <c r="I39" s="120" t="s">
        <v>941</v>
      </c>
      <c r="J39" s="121" t="s">
        <v>28</v>
      </c>
      <c r="K39" s="121" t="s">
        <v>4</v>
      </c>
      <c r="L39" s="118"/>
      <c r="M39" s="122" t="str">
        <f>IF(Main[[#This Row],[Tech Start Date]]&lt;1/1/1990,"",IF(Main[[#This Row],[Class]]="C",WORKDAY(Main[[#This Row],[Tech Start Date]],9),IF(Main[[#This Row],[Class]]="B", WORKDAY(Main[[#This Row],[Tech Start Date]],6),IF(Main[[#This Row],[Class]]="A",WORKDAY(Main[[#This Row],[Tech Start Date]],2),""))))</f>
        <v/>
      </c>
      <c r="N39" s="122" t="str">
        <f>IF(Main[[#This Row],[Tech Start Date]]&lt;1/1/1990,"",IF(Main[[#This Row],[Class]]="C",WORKDAY(Main[[#This Row],[Tech Start Date]],19),IF(Main[[#This Row],[Class]]="B", WORKDAY(Main[[#This Row],[Tech Start Date]],12),IF(Main[[#This Row],[Class]]="A",WORKDAY(Main[[#This Row],[Tech Start Date]],4),""))))</f>
        <v/>
      </c>
      <c r="O39" s="122" t="str">
        <f>IF(Main[[#This Row],[Tech Start Date]]&lt;1/1/1990,"",IF(Main[[#This Row],[Class]]="C",WORKDAY(Main[[#This Row],[Tech Start Date]],23),IF(Main[[#This Row],[Class]]="B", WORKDAY(Main[[#This Row],[Tech Start Date]],15),IF(Main[[#This Row],[Class]]="A",WORKDAY(Main[[#This Row],[Tech Start Date]],5),""))))</f>
        <v/>
      </c>
      <c r="P39" s="122" t="str">
        <f>IF(Main[[#This Row],[Tech Start Date]]&lt;1/1/1990,"",IF(Main[[#This Row],[Class]]="C",WORKDAY(Main[[#This Row],[Tech Start Date]],28),IF(Main[[#This Row],[Class]]="B", WORKDAY(Main[[#This Row],[Tech Start Date]],19),IF(Main[[#This Row],[Class]]="A",WORKDAY(Main[[#This Row],[Tech Start Date]],9),""))))</f>
        <v/>
      </c>
      <c r="Q39" s="118"/>
      <c r="R39" s="123">
        <v>40788</v>
      </c>
      <c r="S39" s="121" t="s">
        <v>11</v>
      </c>
      <c r="T39" s="124" t="s">
        <v>2096</v>
      </c>
      <c r="U39" s="121" t="s">
        <v>14</v>
      </c>
      <c r="V39" s="121" t="s">
        <v>1912</v>
      </c>
      <c r="W39" s="121" t="s">
        <v>1913</v>
      </c>
      <c r="X39" s="121" t="s">
        <v>2796</v>
      </c>
      <c r="Y39" s="125" t="s">
        <v>2971</v>
      </c>
      <c r="Z39" s="125" t="s">
        <v>2047</v>
      </c>
      <c r="AA39" s="121" t="s">
        <v>3390</v>
      </c>
      <c r="AB39" s="132"/>
      <c r="AC39" s="132"/>
      <c r="AD39" s="132"/>
      <c r="AE39" s="63"/>
      <c r="AF39" s="63"/>
      <c r="AG39" s="63"/>
    </row>
    <row r="40" spans="1:35" ht="17.2" customHeight="1">
      <c r="A40" s="64">
        <f>IF(priority(Main[[#This Row],[Comments]])&lt;&gt;0, priority(Main[[#This Row],[Comments]]),"")</f>
        <v>9</v>
      </c>
      <c r="B40" s="60" t="s">
        <v>3515</v>
      </c>
      <c r="C40" s="72" t="s">
        <v>3516</v>
      </c>
      <c r="D40" s="59" t="s">
        <v>3988</v>
      </c>
      <c r="E40" s="85">
        <v>40945.715231481481</v>
      </c>
      <c r="F40" s="85">
        <v>40973</v>
      </c>
      <c r="G40" s="64" t="str">
        <f>IF(stdProdLT(Main[[#This Row],[Comments]])=0.1,"N/A",IF(stdProdLT(Main[[#This Row],[Comments]])=0,"",TRIM(stdProdLT(Main[[#This Row],[Comments]]))))</f>
        <v>N/A</v>
      </c>
      <c r="H40" s="94" t="str">
        <f>IF(OR(Main[[#This Row],[Std. Prod. Lead Time]]="N/A",Main[[#This Row],[Std. Prod. Lead Time]]=""), "",IF(AND(Main[[#This Row],[In Stock Date]]&lt;&gt;"",Main[[#This Row],[Revised Due Date]]&lt;&gt;"",Main[[#This Row],[In Stock Date]]&lt;&gt;""),Main[[#This Row],[In Stock Date]]-Main[[#This Row],[Revised Due Date]],""))</f>
        <v/>
      </c>
      <c r="I40" s="101" t="s">
        <v>2047</v>
      </c>
      <c r="J40" s="95" t="s">
        <v>21</v>
      </c>
      <c r="K40" s="95" t="s">
        <v>1918</v>
      </c>
      <c r="L40" s="85">
        <v>40946</v>
      </c>
      <c r="M40" s="73">
        <f>IF(Main[[#This Row],[Tech Start Date]]&lt;1/1/1990,"",IF(Main[[#This Row],[Class]]="C",WORKDAY(Main[[#This Row],[Tech Start Date]],9),IF(Main[[#This Row],[Class]]="B", WORKDAY(Main[[#This Row],[Tech Start Date]],6),IF(Main[[#This Row],[Class]]="A",WORKDAY(Main[[#This Row],[Tech Start Date]],2),""))))</f>
        <v>40954</v>
      </c>
      <c r="N40" s="73">
        <f>IF(Main[[#This Row],[Tech Start Date]]&lt;1/1/1990,"",IF(Main[[#This Row],[Class]]="C",WORKDAY(Main[[#This Row],[Tech Start Date]],19),IF(Main[[#This Row],[Class]]="B", WORKDAY(Main[[#This Row],[Tech Start Date]],12),IF(Main[[#This Row],[Class]]="A",WORKDAY(Main[[#This Row],[Tech Start Date]],4),""))))</f>
        <v>40962</v>
      </c>
      <c r="O40" s="73">
        <f>IF(Main[[#This Row],[Tech Start Date]]&lt;1/1/1990,"",IF(Main[[#This Row],[Class]]="C",WORKDAY(Main[[#This Row],[Tech Start Date]],23),IF(Main[[#This Row],[Class]]="B", WORKDAY(Main[[#This Row],[Tech Start Date]],15),IF(Main[[#This Row],[Class]]="A",WORKDAY(Main[[#This Row],[Tech Start Date]],5),""))))</f>
        <v>40967</v>
      </c>
      <c r="P40" s="73">
        <f>IF(Main[[#This Row],[Tech Start Date]]&lt;1/1/1990,"",IF(Main[[#This Row],[Class]]="C",WORKDAY(Main[[#This Row],[Tech Start Date]],28),IF(Main[[#This Row],[Class]]="B", WORKDAY(Main[[#This Row],[Tech Start Date]],19),IF(Main[[#This Row],[Class]]="A",WORKDAY(Main[[#This Row],[Tech Start Date]],9),""))))</f>
        <v>40973</v>
      </c>
      <c r="Q40" s="85">
        <v>40952</v>
      </c>
      <c r="R40" s="112">
        <v>40980</v>
      </c>
      <c r="S40" s="95" t="s">
        <v>11</v>
      </c>
      <c r="T40" s="74" t="s">
        <v>3989</v>
      </c>
      <c r="U40" s="95" t="s">
        <v>29</v>
      </c>
      <c r="V40" s="95" t="s">
        <v>1912</v>
      </c>
      <c r="W40" s="95" t="s">
        <v>1913</v>
      </c>
      <c r="X40" s="95" t="s">
        <v>2796</v>
      </c>
      <c r="Y40" s="72" t="s">
        <v>4</v>
      </c>
      <c r="Z40" s="72" t="s">
        <v>2047</v>
      </c>
      <c r="AA40" s="95" t="s">
        <v>2796</v>
      </c>
      <c r="AB40" s="132"/>
      <c r="AC40" s="132"/>
      <c r="AD40" s="132"/>
      <c r="AE40" s="63"/>
      <c r="AF40" s="63"/>
      <c r="AG40" s="63"/>
    </row>
    <row r="41" spans="1:35" ht="17.2" customHeight="1">
      <c r="A41" s="64">
        <f>IF(priority(Main[[#This Row],[Comments]])&lt;&gt;0, priority(Main[[#This Row],[Comments]]),"")</f>
        <v>9</v>
      </c>
      <c r="B41" s="60" t="s">
        <v>3750</v>
      </c>
      <c r="C41" s="72" t="s">
        <v>3751</v>
      </c>
      <c r="D41" s="59" t="s">
        <v>4085</v>
      </c>
      <c r="E41" s="85">
        <v>40967.308171296296</v>
      </c>
      <c r="F41" s="85">
        <v>41050</v>
      </c>
      <c r="G41" s="64" t="str">
        <f>IF(stdProdLT(Main[[#This Row],[Comments]])=0.1,"N/A",IF(stdProdLT(Main[[#This Row],[Comments]])=0,"",TRIM(stdProdLT(Main[[#This Row],[Comments]]))))</f>
        <v>112</v>
      </c>
      <c r="H41" s="94">
        <f>IF(OR(Main[[#This Row],[Std. Prod. Lead Time]]="N/A",Main[[#This Row],[Std. Prod. Lead Time]]=""), "",IF(AND(Main[[#This Row],[In Stock Date]]&lt;&gt;"",Main[[#This Row],[Revised Due Date]]&lt;&gt;"",Main[[#This Row],[In Stock Date]]&lt;&gt;""),Main[[#This Row],[In Stock Date]]-Main[[#This Row],[Revised Due Date]],""))</f>
        <v>67</v>
      </c>
      <c r="I41" s="101" t="s">
        <v>561</v>
      </c>
      <c r="J41" s="95" t="s">
        <v>28</v>
      </c>
      <c r="K41" s="95" t="s">
        <v>1918</v>
      </c>
      <c r="L41" s="85">
        <v>40967</v>
      </c>
      <c r="M41" s="73">
        <f>IF(Main[[#This Row],[Tech Start Date]]&lt;1/1/1990,"",IF(Main[[#This Row],[Class]]="C",WORKDAY(Main[[#This Row],[Tech Start Date]],9),IF(Main[[#This Row],[Class]]="B", WORKDAY(Main[[#This Row],[Tech Start Date]],6),IF(Main[[#This Row],[Class]]="A",WORKDAY(Main[[#This Row],[Tech Start Date]],2),""))))</f>
        <v>40975</v>
      </c>
      <c r="N41" s="73">
        <f>IF(Main[[#This Row],[Tech Start Date]]&lt;1/1/1990,"",IF(Main[[#This Row],[Class]]="C",WORKDAY(Main[[#This Row],[Tech Start Date]],19),IF(Main[[#This Row],[Class]]="B", WORKDAY(Main[[#This Row],[Tech Start Date]],12),IF(Main[[#This Row],[Class]]="A",WORKDAY(Main[[#This Row],[Tech Start Date]],4),""))))</f>
        <v>40983</v>
      </c>
      <c r="O41" s="73">
        <f>IF(Main[[#This Row],[Tech Start Date]]&lt;1/1/1990,"",IF(Main[[#This Row],[Class]]="C",WORKDAY(Main[[#This Row],[Tech Start Date]],23),IF(Main[[#This Row],[Class]]="B", WORKDAY(Main[[#This Row],[Tech Start Date]],15),IF(Main[[#This Row],[Class]]="A",WORKDAY(Main[[#This Row],[Tech Start Date]],5),""))))</f>
        <v>40988</v>
      </c>
      <c r="P41" s="73">
        <f>IF(Main[[#This Row],[Tech Start Date]]&lt;1/1/1990,"",IF(Main[[#This Row],[Class]]="C",WORKDAY(Main[[#This Row],[Tech Start Date]],28),IF(Main[[#This Row],[Class]]="B", WORKDAY(Main[[#This Row],[Tech Start Date]],19),IF(Main[[#This Row],[Class]]="A",WORKDAY(Main[[#This Row],[Tech Start Date]],9),""))))</f>
        <v>40994</v>
      </c>
      <c r="Q41" s="85">
        <v>40973</v>
      </c>
      <c r="R41" s="112">
        <v>40983</v>
      </c>
      <c r="S41" s="95" t="s">
        <v>11</v>
      </c>
      <c r="T41" s="74" t="s">
        <v>4004</v>
      </c>
      <c r="U41" s="95" t="s">
        <v>29</v>
      </c>
      <c r="V41" s="95" t="s">
        <v>1911</v>
      </c>
      <c r="W41" s="95" t="s">
        <v>1919</v>
      </c>
      <c r="X41" s="95" t="s">
        <v>2890</v>
      </c>
      <c r="Y41" s="72" t="s">
        <v>4</v>
      </c>
      <c r="Z41" s="72" t="s">
        <v>937</v>
      </c>
      <c r="AA41" s="95" t="s">
        <v>3752</v>
      </c>
      <c r="AB41" s="132"/>
      <c r="AC41" s="132"/>
      <c r="AD41" s="132"/>
      <c r="AE41" s="63"/>
      <c r="AF41" s="63"/>
      <c r="AG41" s="63"/>
    </row>
    <row r="42" spans="1:35" ht="17.2" customHeight="1">
      <c r="A42" s="64">
        <f>IF(priority(Main[[#This Row],[Comments]])&lt;&gt;0, priority(Main[[#This Row],[Comments]]),"")</f>
        <v>9.1</v>
      </c>
      <c r="B42" s="60" t="s">
        <v>1981</v>
      </c>
      <c r="C42" s="72" t="s">
        <v>1982</v>
      </c>
      <c r="D42" s="59" t="s">
        <v>1983</v>
      </c>
      <c r="E42" s="85"/>
      <c r="F42" s="85"/>
      <c r="G42" s="64" t="str">
        <f>IF(stdProdLT(Main[[#This Row],[Comments]])=0.1,"N/A",IF(stdProdLT(Main[[#This Row],[Comments]])=0,"",TRIM(stdProdLT(Main[[#This Row],[Comments]]))))</f>
        <v/>
      </c>
      <c r="H42" s="94" t="str">
        <f>IF(OR(Main[[#This Row],[Std. Prod. Lead Time]]="N/A",Main[[#This Row],[Std. Prod. Lead Time]]=""), "",IF(AND(Main[[#This Row],[In Stock Date]]&lt;&gt;"",Main[[#This Row],[Revised Due Date]]&lt;&gt;"",Main[[#This Row],[In Stock Date]]&lt;&gt;""),Main[[#This Row],[In Stock Date]]-Main[[#This Row],[Revised Due Date]],""))</f>
        <v/>
      </c>
      <c r="I42" s="101" t="s">
        <v>941</v>
      </c>
      <c r="J42" s="95" t="s">
        <v>28</v>
      </c>
      <c r="K42" s="95" t="s">
        <v>4</v>
      </c>
      <c r="L42" s="85">
        <v>40745</v>
      </c>
      <c r="M42" s="73" t="str">
        <f>IF(Main[[#This Row],[Tech Start Date]]&lt;1/1/1990,"",IF(Main[[#This Row],[Class]]="C",WORKDAY(Main[[#This Row],[Tech Start Date]],9),IF(Main[[#This Row],[Class]]="B", WORKDAY(Main[[#This Row],[Tech Start Date]],6),IF(Main[[#This Row],[Class]]="A",WORKDAY(Main[[#This Row],[Tech Start Date]],2),""))))</f>
        <v/>
      </c>
      <c r="N42" s="73" t="str">
        <f>IF(Main[[#This Row],[Tech Start Date]]&lt;1/1/1990,"",IF(Main[[#This Row],[Class]]="C",WORKDAY(Main[[#This Row],[Tech Start Date]],19),IF(Main[[#This Row],[Class]]="B", WORKDAY(Main[[#This Row],[Tech Start Date]],12),IF(Main[[#This Row],[Class]]="A",WORKDAY(Main[[#This Row],[Tech Start Date]],4),""))))</f>
        <v/>
      </c>
      <c r="O42" s="73" t="str">
        <f>IF(Main[[#This Row],[Tech Start Date]]&lt;1/1/1990,"",IF(Main[[#This Row],[Class]]="C",WORKDAY(Main[[#This Row],[Tech Start Date]],23),IF(Main[[#This Row],[Class]]="B", WORKDAY(Main[[#This Row],[Tech Start Date]],15),IF(Main[[#This Row],[Class]]="A",WORKDAY(Main[[#This Row],[Tech Start Date]],5),""))))</f>
        <v/>
      </c>
      <c r="P42" s="73" t="str">
        <f>IF(Main[[#This Row],[Tech Start Date]]&lt;1/1/1990,"",IF(Main[[#This Row],[Class]]="C",WORKDAY(Main[[#This Row],[Tech Start Date]],28),IF(Main[[#This Row],[Class]]="B", WORKDAY(Main[[#This Row],[Tech Start Date]],19),IF(Main[[#This Row],[Class]]="A",WORKDAY(Main[[#This Row],[Tech Start Date]],9),""))))</f>
        <v/>
      </c>
      <c r="Q42" s="85"/>
      <c r="R42" s="112"/>
      <c r="S42" s="95" t="s">
        <v>11</v>
      </c>
      <c r="T42" s="74" t="s">
        <v>1984</v>
      </c>
      <c r="U42" s="95" t="s">
        <v>14</v>
      </c>
      <c r="V42" s="95" t="s">
        <v>1912</v>
      </c>
      <c r="W42" s="95" t="s">
        <v>1913</v>
      </c>
      <c r="X42" s="95" t="s">
        <v>2796</v>
      </c>
      <c r="Y42" s="72" t="s">
        <v>2971</v>
      </c>
      <c r="Z42" s="72" t="s">
        <v>3136</v>
      </c>
      <c r="AA42" s="95" t="s">
        <v>3434</v>
      </c>
      <c r="AB42" s="132"/>
      <c r="AC42" s="132"/>
      <c r="AD42" s="132"/>
      <c r="AE42" s="63"/>
      <c r="AF42" s="63"/>
      <c r="AG42" s="63"/>
    </row>
    <row r="43" spans="1:35" ht="17.2" customHeight="1">
      <c r="A43" s="64">
        <f>IF(priority(Main[[#This Row],[Comments]])&lt;&gt;0, priority(Main[[#This Row],[Comments]]),"")</f>
        <v>10</v>
      </c>
      <c r="B43" s="60" t="s">
        <v>1988</v>
      </c>
      <c r="C43" s="72" t="s">
        <v>53</v>
      </c>
      <c r="D43" s="59" t="s">
        <v>3966</v>
      </c>
      <c r="E43" s="85">
        <v>40735.69803240741</v>
      </c>
      <c r="F43" s="85">
        <v>40999</v>
      </c>
      <c r="G43" s="64" t="str">
        <f>IF(stdProdLT(Main[[#This Row],[Comments]])=0.1,"N/A",IF(stdProdLT(Main[[#This Row],[Comments]])=0,"",TRIM(stdProdLT(Main[[#This Row],[Comments]]))))</f>
        <v>N/A</v>
      </c>
      <c r="H43" s="94" t="str">
        <f>IF(OR(Main[[#This Row],[Std. Prod. Lead Time]]="N/A",Main[[#This Row],[Std. Prod. Lead Time]]=""), "",IF(AND(Main[[#This Row],[In Stock Date]]&lt;&gt;"",Main[[#This Row],[Revised Due Date]]&lt;&gt;"",Main[[#This Row],[In Stock Date]]&lt;&gt;""),Main[[#This Row],[In Stock Date]]-Main[[#This Row],[Revised Due Date]],""))</f>
        <v/>
      </c>
      <c r="I43" s="101" t="s">
        <v>941</v>
      </c>
      <c r="J43" s="95" t="s">
        <v>28</v>
      </c>
      <c r="K43" s="95" t="s">
        <v>1918</v>
      </c>
      <c r="L43" s="85">
        <v>40756</v>
      </c>
      <c r="M43" s="73">
        <f>IF(Main[[#This Row],[Tech Start Date]]&lt;1/1/1990,"",IF(Main[[#This Row],[Class]]="C",WORKDAY(Main[[#This Row],[Tech Start Date]],9),IF(Main[[#This Row],[Class]]="B", WORKDAY(Main[[#This Row],[Tech Start Date]],6),IF(Main[[#This Row],[Class]]="A",WORKDAY(Main[[#This Row],[Tech Start Date]],2),""))))</f>
        <v>40764</v>
      </c>
      <c r="N43" s="73">
        <f>IF(Main[[#This Row],[Tech Start Date]]&lt;1/1/1990,"",IF(Main[[#This Row],[Class]]="C",WORKDAY(Main[[#This Row],[Tech Start Date]],19),IF(Main[[#This Row],[Class]]="B", WORKDAY(Main[[#This Row],[Tech Start Date]],12),IF(Main[[#This Row],[Class]]="A",WORKDAY(Main[[#This Row],[Tech Start Date]],4),""))))</f>
        <v>40772</v>
      </c>
      <c r="O43" s="73">
        <f>IF(Main[[#This Row],[Tech Start Date]]&lt;1/1/1990,"",IF(Main[[#This Row],[Class]]="C",WORKDAY(Main[[#This Row],[Tech Start Date]],23),IF(Main[[#This Row],[Class]]="B", WORKDAY(Main[[#This Row],[Tech Start Date]],15),IF(Main[[#This Row],[Class]]="A",WORKDAY(Main[[#This Row],[Tech Start Date]],5),""))))</f>
        <v>40777</v>
      </c>
      <c r="P43" s="73">
        <f>IF(Main[[#This Row],[Tech Start Date]]&lt;1/1/1990,"",IF(Main[[#This Row],[Class]]="C",WORKDAY(Main[[#This Row],[Tech Start Date]],28),IF(Main[[#This Row],[Class]]="B", WORKDAY(Main[[#This Row],[Tech Start Date]],19),IF(Main[[#This Row],[Class]]="A",WORKDAY(Main[[#This Row],[Tech Start Date]],9),""))))</f>
        <v>40781</v>
      </c>
      <c r="Q43" s="85"/>
      <c r="R43" s="112">
        <v>40977</v>
      </c>
      <c r="S43" s="95" t="s">
        <v>11</v>
      </c>
      <c r="T43" s="74" t="s">
        <v>3967</v>
      </c>
      <c r="U43" s="95" t="s">
        <v>29</v>
      </c>
      <c r="V43" s="95" t="s">
        <v>1912</v>
      </c>
      <c r="W43" s="95" t="s">
        <v>1913</v>
      </c>
      <c r="X43" s="95" t="s">
        <v>2796</v>
      </c>
      <c r="Y43" s="72" t="s">
        <v>2971</v>
      </c>
      <c r="Z43" s="72" t="s">
        <v>2047</v>
      </c>
      <c r="AA43" s="95" t="s">
        <v>3435</v>
      </c>
      <c r="AB43" s="132"/>
      <c r="AC43" s="132"/>
      <c r="AD43" s="132"/>
      <c r="AE43" s="63"/>
      <c r="AF43" s="63"/>
      <c r="AG43" s="63"/>
    </row>
    <row r="44" spans="1:35" ht="17.2" customHeight="1">
      <c r="A44" s="64">
        <f>IF(priority(Main[[#This Row],[Comments]])&lt;&gt;0, priority(Main[[#This Row],[Comments]]),"")</f>
        <v>10</v>
      </c>
      <c r="B44" s="60" t="s">
        <v>3600</v>
      </c>
      <c r="C44" s="72" t="s">
        <v>4019</v>
      </c>
      <c r="D44" s="59" t="s">
        <v>3601</v>
      </c>
      <c r="E44" s="85">
        <v>40961.53570601852</v>
      </c>
      <c r="F44" s="85">
        <v>40984</v>
      </c>
      <c r="G44" s="64" t="str">
        <f>IF(stdProdLT(Main[[#This Row],[Comments]])=0.1,"N/A",IF(stdProdLT(Main[[#This Row],[Comments]])=0,"",TRIM(stdProdLT(Main[[#This Row],[Comments]]))))</f>
        <v>N/A</v>
      </c>
      <c r="H44" s="94" t="str">
        <f>IF(OR(Main[[#This Row],[Std. Prod. Lead Time]]="N/A",Main[[#This Row],[Std. Prod. Lead Time]]=""), "",IF(AND(Main[[#This Row],[In Stock Date]]&lt;&gt;"",Main[[#This Row],[Revised Due Date]]&lt;&gt;"",Main[[#This Row],[In Stock Date]]&lt;&gt;""),Main[[#This Row],[In Stock Date]]-Main[[#This Row],[Revised Due Date]],""))</f>
        <v/>
      </c>
      <c r="I44" s="101" t="s">
        <v>126</v>
      </c>
      <c r="J44" s="95" t="s">
        <v>28</v>
      </c>
      <c r="K44" s="95" t="s">
        <v>1924</v>
      </c>
      <c r="L44" s="85">
        <v>40973</v>
      </c>
      <c r="M44" s="73">
        <f>IF(Main[[#This Row],[Tech Start Date]]&lt;1/1/1990,"",IF(Main[[#This Row],[Class]]="C",WORKDAY(Main[[#This Row],[Tech Start Date]],9),IF(Main[[#This Row],[Class]]="B", WORKDAY(Main[[#This Row],[Tech Start Date]],6),IF(Main[[#This Row],[Class]]="A",WORKDAY(Main[[#This Row],[Tech Start Date]],2),""))))</f>
        <v>40984</v>
      </c>
      <c r="N44" s="73">
        <f>IF(Main[[#This Row],[Tech Start Date]]&lt;1/1/1990,"",IF(Main[[#This Row],[Class]]="C",WORKDAY(Main[[#This Row],[Tech Start Date]],19),IF(Main[[#This Row],[Class]]="B", WORKDAY(Main[[#This Row],[Tech Start Date]],12),IF(Main[[#This Row],[Class]]="A",WORKDAY(Main[[#This Row],[Tech Start Date]],4),""))))</f>
        <v>40998</v>
      </c>
      <c r="O44" s="73">
        <f>IF(Main[[#This Row],[Tech Start Date]]&lt;1/1/1990,"",IF(Main[[#This Row],[Class]]="C",WORKDAY(Main[[#This Row],[Tech Start Date]],23),IF(Main[[#This Row],[Class]]="B", WORKDAY(Main[[#This Row],[Tech Start Date]],15),IF(Main[[#This Row],[Class]]="A",WORKDAY(Main[[#This Row],[Tech Start Date]],5),""))))</f>
        <v>41004</v>
      </c>
      <c r="P44" s="73">
        <f>IF(Main[[#This Row],[Tech Start Date]]&lt;1/1/1990,"",IF(Main[[#This Row],[Class]]="C",WORKDAY(Main[[#This Row],[Tech Start Date]],28),IF(Main[[#This Row],[Class]]="B", WORKDAY(Main[[#This Row],[Tech Start Date]],19),IF(Main[[#This Row],[Class]]="A",WORKDAY(Main[[#This Row],[Tech Start Date]],9),""))))</f>
        <v>41011</v>
      </c>
      <c r="Q44" s="85">
        <v>40984</v>
      </c>
      <c r="R44" s="112">
        <v>40998</v>
      </c>
      <c r="S44" s="95" t="s">
        <v>11</v>
      </c>
      <c r="T44" s="74" t="s">
        <v>4020</v>
      </c>
      <c r="U44" s="95" t="s">
        <v>29</v>
      </c>
      <c r="V44" s="95" t="s">
        <v>1911</v>
      </c>
      <c r="W44" s="95" t="s">
        <v>1913</v>
      </c>
      <c r="X44" s="95" t="s">
        <v>2801</v>
      </c>
      <c r="Y44" s="72" t="s">
        <v>2914</v>
      </c>
      <c r="Z44" s="72" t="s">
        <v>129</v>
      </c>
      <c r="AA44" s="95" t="s">
        <v>2801</v>
      </c>
      <c r="AB44" s="132"/>
      <c r="AC44" s="132"/>
      <c r="AD44" s="132"/>
      <c r="AE44" s="63"/>
      <c r="AF44" s="63"/>
      <c r="AG44" s="63"/>
    </row>
    <row r="45" spans="1:35" ht="17.2" customHeight="1">
      <c r="A45" s="64">
        <f>IF(priority(Main[[#This Row],[Comments]])&lt;&gt;0, priority(Main[[#This Row],[Comments]]),"")</f>
        <v>11</v>
      </c>
      <c r="B45" s="60" t="s">
        <v>3754</v>
      </c>
      <c r="C45" s="72" t="s">
        <v>53</v>
      </c>
      <c r="D45" s="59" t="s">
        <v>4009</v>
      </c>
      <c r="E45" s="85">
        <v>40967.607476851852</v>
      </c>
      <c r="F45" s="85">
        <v>40999</v>
      </c>
      <c r="G45" s="64" t="str">
        <f>IF(stdProdLT(Main[[#This Row],[Comments]])=0.1,"N/A",IF(stdProdLT(Main[[#This Row],[Comments]])=0,"",TRIM(stdProdLT(Main[[#This Row],[Comments]]))))</f>
        <v>N/A</v>
      </c>
      <c r="H45" s="94" t="str">
        <f>IF(OR(Main[[#This Row],[Std. Prod. Lead Time]]="N/A",Main[[#This Row],[Std. Prod. Lead Time]]=""), "",IF(AND(Main[[#This Row],[In Stock Date]]&lt;&gt;"",Main[[#This Row],[Revised Due Date]]&lt;&gt;"",Main[[#This Row],[In Stock Date]]&lt;&gt;""),Main[[#This Row],[In Stock Date]]-Main[[#This Row],[Revised Due Date]],""))</f>
        <v/>
      </c>
      <c r="I45" s="101" t="s">
        <v>941</v>
      </c>
      <c r="J45" s="95" t="s">
        <v>28</v>
      </c>
      <c r="K45" s="96" t="s">
        <v>1920</v>
      </c>
      <c r="L45" s="85">
        <v>40967</v>
      </c>
      <c r="M45" s="73">
        <f>IF(Main[[#This Row],[Tech Start Date]]&lt;1/1/1990,"",IF(Main[[#This Row],[Class]]="C",WORKDAY(Main[[#This Row],[Tech Start Date]],9),IF(Main[[#This Row],[Class]]="B", WORKDAY(Main[[#This Row],[Tech Start Date]],6),IF(Main[[#This Row],[Class]]="A",WORKDAY(Main[[#This Row],[Tech Start Date]],2),""))))</f>
        <v>40969</v>
      </c>
      <c r="N45" s="73">
        <f>IF(Main[[#This Row],[Tech Start Date]]&lt;1/1/1990,"",IF(Main[[#This Row],[Class]]="C",WORKDAY(Main[[#This Row],[Tech Start Date]],19),IF(Main[[#This Row],[Class]]="B", WORKDAY(Main[[#This Row],[Tech Start Date]],12),IF(Main[[#This Row],[Class]]="A",WORKDAY(Main[[#This Row],[Tech Start Date]],4),""))))</f>
        <v>40973</v>
      </c>
      <c r="O45" s="73">
        <f>IF(Main[[#This Row],[Tech Start Date]]&lt;1/1/1990,"",IF(Main[[#This Row],[Class]]="C",WORKDAY(Main[[#This Row],[Tech Start Date]],23),IF(Main[[#This Row],[Class]]="B", WORKDAY(Main[[#This Row],[Tech Start Date]],15),IF(Main[[#This Row],[Class]]="A",WORKDAY(Main[[#This Row],[Tech Start Date]],5),""))))</f>
        <v>40974</v>
      </c>
      <c r="P45" s="73">
        <f>IF(Main[[#This Row],[Tech Start Date]]&lt;1/1/1990,"",IF(Main[[#This Row],[Class]]="C",WORKDAY(Main[[#This Row],[Tech Start Date]],28),IF(Main[[#This Row],[Class]]="B", WORKDAY(Main[[#This Row],[Tech Start Date]],19),IF(Main[[#This Row],[Class]]="A",WORKDAY(Main[[#This Row],[Tech Start Date]],9),""))))</f>
        <v>40980</v>
      </c>
      <c r="Q45" s="85">
        <v>40974</v>
      </c>
      <c r="R45" s="112">
        <v>40996</v>
      </c>
      <c r="S45" s="95" t="s">
        <v>11</v>
      </c>
      <c r="T45" s="74" t="s">
        <v>4010</v>
      </c>
      <c r="U45" s="95" t="s">
        <v>29</v>
      </c>
      <c r="V45" s="95" t="s">
        <v>1912</v>
      </c>
      <c r="W45" s="95" t="s">
        <v>1913</v>
      </c>
      <c r="X45" s="95" t="s">
        <v>2796</v>
      </c>
      <c r="Y45" s="72" t="s">
        <v>4</v>
      </c>
      <c r="Z45" s="72" t="s">
        <v>2047</v>
      </c>
      <c r="AA45" s="95" t="s">
        <v>2796</v>
      </c>
      <c r="AB45" s="132"/>
      <c r="AC45" s="132"/>
      <c r="AD45" s="132"/>
      <c r="AE45" s="63"/>
      <c r="AF45" s="63"/>
      <c r="AG45" s="63"/>
    </row>
    <row r="46" spans="1:35" ht="17.2" customHeight="1">
      <c r="A46" s="64">
        <f>IF(priority(Main[[#This Row],[Comments]])&lt;&gt;0, priority(Main[[#This Row],[Comments]]),"")</f>
        <v>11</v>
      </c>
      <c r="B46" s="60" t="s">
        <v>3680</v>
      </c>
      <c r="C46" s="72" t="s">
        <v>3681</v>
      </c>
      <c r="D46" s="59" t="s">
        <v>3682</v>
      </c>
      <c r="E46" s="85">
        <v>40959.336805555555</v>
      </c>
      <c r="F46" s="85">
        <v>41091</v>
      </c>
      <c r="G46" s="64" t="str">
        <f>IF(stdProdLT(Main[[#This Row],[Comments]])=0.1,"N/A",IF(stdProdLT(Main[[#This Row],[Comments]])=0,"",TRIM(stdProdLT(Main[[#This Row],[Comments]]))))</f>
        <v>112</v>
      </c>
      <c r="H46" s="94">
        <f>IF(OR(Main[[#This Row],[Std. Prod. Lead Time]]="N/A",Main[[#This Row],[Std. Prod. Lead Time]]=""), "",IF(AND(Main[[#This Row],[In Stock Date]]&lt;&gt;"",Main[[#This Row],[Revised Due Date]]&lt;&gt;"",Main[[#This Row],[In Stock Date]]&lt;&gt;""),Main[[#This Row],[In Stock Date]]-Main[[#This Row],[Revised Due Date]],""))</f>
        <v>100</v>
      </c>
      <c r="I46" s="101" t="s">
        <v>561</v>
      </c>
      <c r="J46" s="95" t="s">
        <v>28</v>
      </c>
      <c r="K46" s="95" t="s">
        <v>1918</v>
      </c>
      <c r="L46" s="85">
        <v>40973</v>
      </c>
      <c r="M46" s="73">
        <f>IF(Main[[#This Row],[Tech Start Date]]&lt;1/1/1990,"",IF(Main[[#This Row],[Class]]="C",WORKDAY(Main[[#This Row],[Tech Start Date]],9),IF(Main[[#This Row],[Class]]="B", WORKDAY(Main[[#This Row],[Tech Start Date]],6),IF(Main[[#This Row],[Class]]="A",WORKDAY(Main[[#This Row],[Tech Start Date]],2),""))))</f>
        <v>40981</v>
      </c>
      <c r="N46" s="73">
        <f>IF(Main[[#This Row],[Tech Start Date]]&lt;1/1/1990,"",IF(Main[[#This Row],[Class]]="C",WORKDAY(Main[[#This Row],[Tech Start Date]],19),IF(Main[[#This Row],[Class]]="B", WORKDAY(Main[[#This Row],[Tech Start Date]],12),IF(Main[[#This Row],[Class]]="A",WORKDAY(Main[[#This Row],[Tech Start Date]],4),""))))</f>
        <v>40989</v>
      </c>
      <c r="O46" s="73">
        <f>IF(Main[[#This Row],[Tech Start Date]]&lt;1/1/1990,"",IF(Main[[#This Row],[Class]]="C",WORKDAY(Main[[#This Row],[Tech Start Date]],23),IF(Main[[#This Row],[Class]]="B", WORKDAY(Main[[#This Row],[Tech Start Date]],15),IF(Main[[#This Row],[Class]]="A",WORKDAY(Main[[#This Row],[Tech Start Date]],5),""))))</f>
        <v>40994</v>
      </c>
      <c r="P46" s="73">
        <f>IF(Main[[#This Row],[Tech Start Date]]&lt;1/1/1990,"",IF(Main[[#This Row],[Class]]="C",WORKDAY(Main[[#This Row],[Tech Start Date]],28),IF(Main[[#This Row],[Class]]="B", WORKDAY(Main[[#This Row],[Tech Start Date]],19),IF(Main[[#This Row],[Class]]="A",WORKDAY(Main[[#This Row],[Tech Start Date]],9),""))))</f>
        <v>40998</v>
      </c>
      <c r="Q46" s="85">
        <v>40860</v>
      </c>
      <c r="R46" s="112">
        <v>40991</v>
      </c>
      <c r="S46" s="95" t="s">
        <v>11</v>
      </c>
      <c r="T46" s="74" t="s">
        <v>4025</v>
      </c>
      <c r="U46" s="95" t="s">
        <v>29</v>
      </c>
      <c r="V46" s="95" t="s">
        <v>1911</v>
      </c>
      <c r="W46" s="95" t="s">
        <v>1916</v>
      </c>
      <c r="X46" s="95" t="s">
        <v>2840</v>
      </c>
      <c r="Y46" s="72" t="s">
        <v>4</v>
      </c>
      <c r="Z46" s="72" t="s">
        <v>129</v>
      </c>
      <c r="AA46" s="95" t="s">
        <v>2840</v>
      </c>
      <c r="AB46" s="132"/>
      <c r="AC46" s="132"/>
      <c r="AD46" s="132"/>
      <c r="AE46" s="63"/>
      <c r="AF46" s="63"/>
      <c r="AG46" s="63"/>
    </row>
    <row r="47" spans="1:35" ht="17.2" customHeight="1">
      <c r="A47" s="116">
        <f>IF(priority(Main[[#This Row],[Comments]])&lt;&gt;0, priority(Main[[#This Row],[Comments]]),"")</f>
        <v>12</v>
      </c>
      <c r="B47" s="117" t="s">
        <v>3597</v>
      </c>
      <c r="C47" s="125" t="s">
        <v>3598</v>
      </c>
      <c r="D47" s="137" t="s">
        <v>3599</v>
      </c>
      <c r="E47" s="118">
        <v>40954.604432870372</v>
      </c>
      <c r="F47" s="118"/>
      <c r="G47" s="116" t="str">
        <f>IF(stdProdLT(Main[[#This Row],[Comments]])=0.1,"N/A",IF(stdProdLT(Main[[#This Row],[Comments]])=0,"",TRIM(stdProdLT(Main[[#This Row],[Comments]]))))</f>
        <v/>
      </c>
      <c r="H47" s="119" t="str">
        <f>IF(OR(Main[[#This Row],[Std. Prod. Lead Time]]="N/A",Main[[#This Row],[Std. Prod. Lead Time]]=""), "",IF(AND(Main[[#This Row],[In Stock Date]]&lt;&gt;"",Main[[#This Row],[Revised Due Date]]&lt;&gt;"",Main[[#This Row],[In Stock Date]]&lt;&gt;""),Main[[#This Row],[In Stock Date]]-Main[[#This Row],[Revised Due Date]],""))</f>
        <v/>
      </c>
      <c r="I47" s="120" t="s">
        <v>940</v>
      </c>
      <c r="J47" s="121" t="s">
        <v>28</v>
      </c>
      <c r="K47" s="121" t="s">
        <v>1924</v>
      </c>
      <c r="L47" s="118"/>
      <c r="M47" s="122" t="str">
        <f>IF(Main[[#This Row],[Tech Start Date]]&lt;1/1/1990,"",IF(Main[[#This Row],[Class]]="C",WORKDAY(Main[[#This Row],[Tech Start Date]],9),IF(Main[[#This Row],[Class]]="B", WORKDAY(Main[[#This Row],[Tech Start Date]],6),IF(Main[[#This Row],[Class]]="A",WORKDAY(Main[[#This Row],[Tech Start Date]],2),""))))</f>
        <v/>
      </c>
      <c r="N47" s="122" t="str">
        <f>IF(Main[[#This Row],[Tech Start Date]]&lt;1/1/1990,"",IF(Main[[#This Row],[Class]]="C",WORKDAY(Main[[#This Row],[Tech Start Date]],19),IF(Main[[#This Row],[Class]]="B", WORKDAY(Main[[#This Row],[Tech Start Date]],12),IF(Main[[#This Row],[Class]]="A",WORKDAY(Main[[#This Row],[Tech Start Date]],4),""))))</f>
        <v/>
      </c>
      <c r="O47" s="122" t="str">
        <f>IF(Main[[#This Row],[Tech Start Date]]&lt;1/1/1990,"",IF(Main[[#This Row],[Class]]="C",WORKDAY(Main[[#This Row],[Tech Start Date]],23),IF(Main[[#This Row],[Class]]="B", WORKDAY(Main[[#This Row],[Tech Start Date]],15),IF(Main[[#This Row],[Class]]="A",WORKDAY(Main[[#This Row],[Tech Start Date]],5),""))))</f>
        <v/>
      </c>
      <c r="P47" s="122" t="str">
        <f>IF(Main[[#This Row],[Tech Start Date]]&lt;1/1/1990,"",IF(Main[[#This Row],[Class]]="C",WORKDAY(Main[[#This Row],[Tech Start Date]],28),IF(Main[[#This Row],[Class]]="B", WORKDAY(Main[[#This Row],[Tech Start Date]],19),IF(Main[[#This Row],[Class]]="A",WORKDAY(Main[[#This Row],[Tech Start Date]],9),""))))</f>
        <v/>
      </c>
      <c r="Q47" s="118">
        <v>40968</v>
      </c>
      <c r="R47" s="123"/>
      <c r="S47" s="121" t="s">
        <v>11</v>
      </c>
      <c r="T47" s="124" t="s">
        <v>3904</v>
      </c>
      <c r="U47" s="121" t="s">
        <v>7</v>
      </c>
      <c r="V47" s="121" t="s">
        <v>1912</v>
      </c>
      <c r="W47" s="121" t="s">
        <v>1913</v>
      </c>
      <c r="X47" s="121" t="s">
        <v>2842</v>
      </c>
      <c r="Y47" s="125" t="s">
        <v>4</v>
      </c>
      <c r="Z47" s="125" t="s">
        <v>2047</v>
      </c>
      <c r="AA47" s="121" t="s">
        <v>4</v>
      </c>
      <c r="AB47" s="132"/>
      <c r="AC47" s="132"/>
      <c r="AD47" s="132"/>
      <c r="AE47" s="63"/>
      <c r="AF47" s="63"/>
      <c r="AG47" s="63"/>
    </row>
    <row r="48" spans="1:35" ht="17.2" customHeight="1">
      <c r="A48" s="64">
        <f>IF(priority(Main[[#This Row],[Comments]])&lt;&gt;0, priority(Main[[#This Row],[Comments]]),"")</f>
        <v>12</v>
      </c>
      <c r="B48" s="60" t="s">
        <v>2755</v>
      </c>
      <c r="C48" s="72" t="s">
        <v>2756</v>
      </c>
      <c r="D48" s="59" t="s">
        <v>3253</v>
      </c>
      <c r="E48" s="85"/>
      <c r="F48" s="85"/>
      <c r="G48" s="64" t="str">
        <f>IF(stdProdLT(Main[[#This Row],[Comments]])=0.1,"N/A",IF(stdProdLT(Main[[#This Row],[Comments]])=0,"",TRIM(stdProdLT(Main[[#This Row],[Comments]]))))</f>
        <v>N/A</v>
      </c>
      <c r="H48" s="94" t="str">
        <f>IF(OR(Main[[#This Row],[Std. Prod. Lead Time]]="N/A",Main[[#This Row],[Std. Prod. Lead Time]]=""), "",IF(AND(Main[[#This Row],[In Stock Date]]&lt;&gt;"",Main[[#This Row],[Revised Due Date]]&lt;&gt;"",Main[[#This Row],[In Stock Date]]&lt;&gt;""),Main[[#This Row],[In Stock Date]]-Main[[#This Row],[Revised Due Date]],""))</f>
        <v/>
      </c>
      <c r="I48" s="101" t="s">
        <v>4</v>
      </c>
      <c r="J48" s="95" t="s">
        <v>4</v>
      </c>
      <c r="K48" s="95" t="s">
        <v>4</v>
      </c>
      <c r="L48" s="85"/>
      <c r="M48" s="73" t="str">
        <f>IF(Main[[#This Row],[Tech Start Date]]&lt;1/1/1990,"",IF(Main[[#This Row],[Class]]="C",WORKDAY(Main[[#This Row],[Tech Start Date]],9),IF(Main[[#This Row],[Class]]="B", WORKDAY(Main[[#This Row],[Tech Start Date]],6),IF(Main[[#This Row],[Class]]="A",WORKDAY(Main[[#This Row],[Tech Start Date]],2),""))))</f>
        <v/>
      </c>
      <c r="N48" s="73" t="str">
        <f>IF(Main[[#This Row],[Tech Start Date]]&lt;1/1/1990,"",IF(Main[[#This Row],[Class]]="C",WORKDAY(Main[[#This Row],[Tech Start Date]],19),IF(Main[[#This Row],[Class]]="B", WORKDAY(Main[[#This Row],[Tech Start Date]],12),IF(Main[[#This Row],[Class]]="A",WORKDAY(Main[[#This Row],[Tech Start Date]],4),""))))</f>
        <v/>
      </c>
      <c r="O48" s="73" t="str">
        <f>IF(Main[[#This Row],[Tech Start Date]]&lt;1/1/1990,"",IF(Main[[#This Row],[Class]]="C",WORKDAY(Main[[#This Row],[Tech Start Date]],23),IF(Main[[#This Row],[Class]]="B", WORKDAY(Main[[#This Row],[Tech Start Date]],15),IF(Main[[#This Row],[Class]]="A",WORKDAY(Main[[#This Row],[Tech Start Date]],5),""))))</f>
        <v/>
      </c>
      <c r="P48" s="73" t="str">
        <f>IF(Main[[#This Row],[Tech Start Date]]&lt;1/1/1990,"",IF(Main[[#This Row],[Class]]="C",WORKDAY(Main[[#This Row],[Tech Start Date]],28),IF(Main[[#This Row],[Class]]="B", WORKDAY(Main[[#This Row],[Tech Start Date]],19),IF(Main[[#This Row],[Class]]="A",WORKDAY(Main[[#This Row],[Tech Start Date]],9),""))))</f>
        <v/>
      </c>
      <c r="Q48" s="85">
        <v>40903</v>
      </c>
      <c r="R48" s="112"/>
      <c r="S48" s="95" t="s">
        <v>11</v>
      </c>
      <c r="T48" s="74" t="s">
        <v>3254</v>
      </c>
      <c r="U48" s="95" t="s">
        <v>14</v>
      </c>
      <c r="V48" s="95" t="s">
        <v>1912</v>
      </c>
      <c r="W48" s="95" t="s">
        <v>1913</v>
      </c>
      <c r="X48" s="95" t="s">
        <v>2796</v>
      </c>
      <c r="Y48" s="72" t="s">
        <v>4</v>
      </c>
      <c r="Z48" s="72" t="s">
        <v>4</v>
      </c>
      <c r="AA48" s="95" t="s">
        <v>2796</v>
      </c>
      <c r="AB48" s="132"/>
      <c r="AC48" s="132"/>
      <c r="AD48" s="132"/>
      <c r="AE48" s="63"/>
      <c r="AF48" s="63"/>
      <c r="AG48" s="63"/>
    </row>
    <row r="49" spans="1:33" ht="17.2" customHeight="1">
      <c r="A49" s="64">
        <f>IF(priority(Main[[#This Row],[Comments]])&lt;&gt;0, priority(Main[[#This Row],[Comments]]),"")</f>
        <v>12</v>
      </c>
      <c r="B49" s="60" t="s">
        <v>3522</v>
      </c>
      <c r="C49" s="72" t="s">
        <v>3475</v>
      </c>
      <c r="D49" s="59" t="s">
        <v>3715</v>
      </c>
      <c r="E49" s="85">
        <v>40946.686157407406</v>
      </c>
      <c r="F49" s="85">
        <v>41122</v>
      </c>
      <c r="G49" s="64" t="str">
        <f>IF(stdProdLT(Main[[#This Row],[Comments]])=0.1,"N/A",IF(stdProdLT(Main[[#This Row],[Comments]])=0,"",TRIM(stdProdLT(Main[[#This Row],[Comments]]))))</f>
        <v>126</v>
      </c>
      <c r="H49" s="94">
        <f>IF(OR(Main[[#This Row],[Std. Prod. Lead Time]]="N/A",Main[[#This Row],[Std. Prod. Lead Time]]=""), "",IF(AND(Main[[#This Row],[In Stock Date]]&lt;&gt;"",Main[[#This Row],[Revised Due Date]]&lt;&gt;"",Main[[#This Row],[In Stock Date]]&lt;&gt;""),Main[[#This Row],[In Stock Date]]-Main[[#This Row],[Revised Due Date]],""))</f>
        <v>135</v>
      </c>
      <c r="I49" s="101" t="s">
        <v>912</v>
      </c>
      <c r="J49" s="95" t="s">
        <v>52</v>
      </c>
      <c r="K49" s="95" t="s">
        <v>1918</v>
      </c>
      <c r="L49" s="85">
        <v>40948</v>
      </c>
      <c r="M49" s="73">
        <f>IF(Main[[#This Row],[Tech Start Date]]&lt;1/1/1990,"",IF(Main[[#This Row],[Class]]="C",WORKDAY(Main[[#This Row],[Tech Start Date]],9),IF(Main[[#This Row],[Class]]="B", WORKDAY(Main[[#This Row],[Tech Start Date]],6),IF(Main[[#This Row],[Class]]="A",WORKDAY(Main[[#This Row],[Tech Start Date]],2),""))))</f>
        <v>40956</v>
      </c>
      <c r="N49" s="73">
        <f>IF(Main[[#This Row],[Tech Start Date]]&lt;1/1/1990,"",IF(Main[[#This Row],[Class]]="C",WORKDAY(Main[[#This Row],[Tech Start Date]],19),IF(Main[[#This Row],[Class]]="B", WORKDAY(Main[[#This Row],[Tech Start Date]],12),IF(Main[[#This Row],[Class]]="A",WORKDAY(Main[[#This Row],[Tech Start Date]],4),""))))</f>
        <v>40966</v>
      </c>
      <c r="O49" s="73">
        <f>IF(Main[[#This Row],[Tech Start Date]]&lt;1/1/1990,"",IF(Main[[#This Row],[Class]]="C",WORKDAY(Main[[#This Row],[Tech Start Date]],23),IF(Main[[#This Row],[Class]]="B", WORKDAY(Main[[#This Row],[Tech Start Date]],15),IF(Main[[#This Row],[Class]]="A",WORKDAY(Main[[#This Row],[Tech Start Date]],5),""))))</f>
        <v>40969</v>
      </c>
      <c r="P49" s="73">
        <f>IF(Main[[#This Row],[Tech Start Date]]&lt;1/1/1990,"",IF(Main[[#This Row],[Class]]="C",WORKDAY(Main[[#This Row],[Tech Start Date]],28),IF(Main[[#This Row],[Class]]="B", WORKDAY(Main[[#This Row],[Tech Start Date]],19),IF(Main[[#This Row],[Class]]="A",WORKDAY(Main[[#This Row],[Tech Start Date]],9),""))))</f>
        <v>40975</v>
      </c>
      <c r="Q49" s="85"/>
      <c r="R49" s="112">
        <v>40987</v>
      </c>
      <c r="S49" s="95" t="s">
        <v>11</v>
      </c>
      <c r="T49" s="74" t="s">
        <v>3990</v>
      </c>
      <c r="U49" s="95" t="s">
        <v>29</v>
      </c>
      <c r="V49" s="95" t="s">
        <v>1911</v>
      </c>
      <c r="W49" s="95" t="s">
        <v>1917</v>
      </c>
      <c r="X49" s="95" t="s">
        <v>2819</v>
      </c>
      <c r="Y49" s="72" t="s">
        <v>2948</v>
      </c>
      <c r="Z49" s="72" t="s">
        <v>129</v>
      </c>
      <c r="AA49" s="95" t="s">
        <v>2819</v>
      </c>
      <c r="AB49" s="132"/>
      <c r="AC49" s="132"/>
      <c r="AD49" s="132"/>
      <c r="AE49" s="63"/>
      <c r="AF49" s="63"/>
      <c r="AG49" s="63"/>
    </row>
    <row r="50" spans="1:33" ht="17.2" customHeight="1">
      <c r="A50" s="64">
        <f>IF(priority(Main[[#This Row],[Comments]])&lt;&gt;0, priority(Main[[#This Row],[Comments]]),"")</f>
        <v>12.1</v>
      </c>
      <c r="B50" s="60" t="s">
        <v>3255</v>
      </c>
      <c r="C50" s="72" t="s">
        <v>3227</v>
      </c>
      <c r="D50" s="59" t="s">
        <v>3256</v>
      </c>
      <c r="E50" s="85"/>
      <c r="F50" s="85">
        <v>41091</v>
      </c>
      <c r="G50" s="64" t="str">
        <f>IF(stdProdLT(Main[[#This Row],[Comments]])=0.1,"N/A",IF(stdProdLT(Main[[#This Row],[Comments]])=0,"",TRIM(stdProdLT(Main[[#This Row],[Comments]]))))</f>
        <v>N/A</v>
      </c>
      <c r="H50" s="94" t="str">
        <f>IF(OR(Main[[#This Row],[Std. Prod. Lead Time]]="N/A",Main[[#This Row],[Std. Prod. Lead Time]]=""), "",IF(AND(Main[[#This Row],[In Stock Date]]&lt;&gt;"",Main[[#This Row],[Revised Due Date]]&lt;&gt;"",Main[[#This Row],[In Stock Date]]&lt;&gt;""),Main[[#This Row],[In Stock Date]]-Main[[#This Row],[Revised Due Date]],""))</f>
        <v/>
      </c>
      <c r="I50" s="101" t="s">
        <v>4</v>
      </c>
      <c r="J50" s="95" t="s">
        <v>4</v>
      </c>
      <c r="K50" s="95" t="s">
        <v>4</v>
      </c>
      <c r="L50" s="85"/>
      <c r="M50" s="73" t="str">
        <f>IF(Main[[#This Row],[Tech Start Date]]&lt;1/1/1990,"",IF(Main[[#This Row],[Class]]="C",WORKDAY(Main[[#This Row],[Tech Start Date]],9),IF(Main[[#This Row],[Class]]="B", WORKDAY(Main[[#This Row],[Tech Start Date]],6),IF(Main[[#This Row],[Class]]="A",WORKDAY(Main[[#This Row],[Tech Start Date]],2),""))))</f>
        <v/>
      </c>
      <c r="N50" s="73" t="str">
        <f>IF(Main[[#This Row],[Tech Start Date]]&lt;1/1/1990,"",IF(Main[[#This Row],[Class]]="C",WORKDAY(Main[[#This Row],[Tech Start Date]],19),IF(Main[[#This Row],[Class]]="B", WORKDAY(Main[[#This Row],[Tech Start Date]],12),IF(Main[[#This Row],[Class]]="A",WORKDAY(Main[[#This Row],[Tech Start Date]],4),""))))</f>
        <v/>
      </c>
      <c r="O50" s="73" t="str">
        <f>IF(Main[[#This Row],[Tech Start Date]]&lt;1/1/1990,"",IF(Main[[#This Row],[Class]]="C",WORKDAY(Main[[#This Row],[Tech Start Date]],23),IF(Main[[#This Row],[Class]]="B", WORKDAY(Main[[#This Row],[Tech Start Date]],15),IF(Main[[#This Row],[Class]]="A",WORKDAY(Main[[#This Row],[Tech Start Date]],5),""))))</f>
        <v/>
      </c>
      <c r="P50" s="73" t="str">
        <f>IF(Main[[#This Row],[Tech Start Date]]&lt;1/1/1990,"",IF(Main[[#This Row],[Class]]="C",WORKDAY(Main[[#This Row],[Tech Start Date]],28),IF(Main[[#This Row],[Class]]="B", WORKDAY(Main[[#This Row],[Tech Start Date]],19),IF(Main[[#This Row],[Class]]="A",WORKDAY(Main[[#This Row],[Tech Start Date]],9),""))))</f>
        <v/>
      </c>
      <c r="Q50" s="85">
        <v>40945</v>
      </c>
      <c r="R50" s="112"/>
      <c r="S50" s="95" t="s">
        <v>11</v>
      </c>
      <c r="T50" s="74" t="s">
        <v>3257</v>
      </c>
      <c r="U50" s="95" t="s">
        <v>14</v>
      </c>
      <c r="V50" s="95" t="s">
        <v>1921</v>
      </c>
      <c r="W50" s="95" t="s">
        <v>1919</v>
      </c>
      <c r="X50" s="95" t="s">
        <v>2809</v>
      </c>
      <c r="Y50" s="72" t="s">
        <v>2929</v>
      </c>
      <c r="Z50" s="72" t="s">
        <v>4</v>
      </c>
      <c r="AA50" s="95" t="s">
        <v>2809</v>
      </c>
      <c r="AB50" s="132"/>
      <c r="AC50" s="132"/>
      <c r="AD50" s="132"/>
      <c r="AE50" s="63"/>
      <c r="AF50" s="63"/>
      <c r="AG50" s="63"/>
    </row>
    <row r="51" spans="1:33" ht="17.2" customHeight="1">
      <c r="A51" s="64">
        <f>IF(priority(Main[[#This Row],[Comments]])&lt;&gt;0, priority(Main[[#This Row],[Comments]]),"")</f>
        <v>13</v>
      </c>
      <c r="B51" s="60" t="s">
        <v>2723</v>
      </c>
      <c r="C51" s="72" t="s">
        <v>2724</v>
      </c>
      <c r="D51" s="59" t="s">
        <v>2725</v>
      </c>
      <c r="E51" s="85"/>
      <c r="F51" s="85">
        <v>41000</v>
      </c>
      <c r="G51" s="64" t="str">
        <f>IF(stdProdLT(Main[[#This Row],[Comments]])=0.1,"N/A",IF(stdProdLT(Main[[#This Row],[Comments]])=0,"",TRIM(stdProdLT(Main[[#This Row],[Comments]]))))</f>
        <v>140</v>
      </c>
      <c r="H51" s="94" t="str">
        <f>IF(OR(Main[[#This Row],[Std. Prod. Lead Time]]="N/A",Main[[#This Row],[Std. Prod. Lead Time]]=""), "",IF(AND(Main[[#This Row],[In Stock Date]]&lt;&gt;"",Main[[#This Row],[Revised Due Date]]&lt;&gt;"",Main[[#This Row],[In Stock Date]]&lt;&gt;""),Main[[#This Row],[In Stock Date]]-Main[[#This Row],[Revised Due Date]],""))</f>
        <v/>
      </c>
      <c r="I51" s="101" t="s">
        <v>561</v>
      </c>
      <c r="J51" s="95" t="s">
        <v>21</v>
      </c>
      <c r="K51" s="95" t="s">
        <v>4</v>
      </c>
      <c r="L51" s="85"/>
      <c r="M51" s="73" t="str">
        <f>IF(Main[[#This Row],[Tech Start Date]]&lt;1/1/1990,"",IF(Main[[#This Row],[Class]]="C",WORKDAY(Main[[#This Row],[Tech Start Date]],9),IF(Main[[#This Row],[Class]]="B", WORKDAY(Main[[#This Row],[Tech Start Date]],6),IF(Main[[#This Row],[Class]]="A",WORKDAY(Main[[#This Row],[Tech Start Date]],2),""))))</f>
        <v/>
      </c>
      <c r="N51" s="73" t="str">
        <f>IF(Main[[#This Row],[Tech Start Date]]&lt;1/1/1990,"",IF(Main[[#This Row],[Class]]="C",WORKDAY(Main[[#This Row],[Tech Start Date]],19),IF(Main[[#This Row],[Class]]="B", WORKDAY(Main[[#This Row],[Tech Start Date]],12),IF(Main[[#This Row],[Class]]="A",WORKDAY(Main[[#This Row],[Tech Start Date]],4),""))))</f>
        <v/>
      </c>
      <c r="O51" s="73" t="str">
        <f>IF(Main[[#This Row],[Tech Start Date]]&lt;1/1/1990,"",IF(Main[[#This Row],[Class]]="C",WORKDAY(Main[[#This Row],[Tech Start Date]],23),IF(Main[[#This Row],[Class]]="B", WORKDAY(Main[[#This Row],[Tech Start Date]],15),IF(Main[[#This Row],[Class]]="A",WORKDAY(Main[[#This Row],[Tech Start Date]],5),""))))</f>
        <v/>
      </c>
      <c r="P51" s="73" t="str">
        <f>IF(Main[[#This Row],[Tech Start Date]]&lt;1/1/1990,"",IF(Main[[#This Row],[Class]]="C",WORKDAY(Main[[#This Row],[Tech Start Date]],28),IF(Main[[#This Row],[Class]]="B", WORKDAY(Main[[#This Row],[Tech Start Date]],19),IF(Main[[#This Row],[Class]]="A",WORKDAY(Main[[#This Row],[Tech Start Date]],9),""))))</f>
        <v/>
      </c>
      <c r="Q51" s="85">
        <v>40964</v>
      </c>
      <c r="R51" s="112"/>
      <c r="S51" s="95" t="s">
        <v>11</v>
      </c>
      <c r="T51" s="74" t="s">
        <v>2726</v>
      </c>
      <c r="U51" s="95" t="s">
        <v>14</v>
      </c>
      <c r="V51" s="95" t="s">
        <v>1911</v>
      </c>
      <c r="W51" s="95" t="s">
        <v>1919</v>
      </c>
      <c r="X51" s="95" t="s">
        <v>2855</v>
      </c>
      <c r="Y51" s="72" t="s">
        <v>2999</v>
      </c>
      <c r="Z51" s="72" t="s">
        <v>4</v>
      </c>
      <c r="AA51" s="95" t="s">
        <v>2855</v>
      </c>
      <c r="AB51" s="132"/>
      <c r="AC51" s="132"/>
      <c r="AD51" s="132"/>
      <c r="AE51" s="63"/>
      <c r="AF51" s="63"/>
      <c r="AG51" s="63"/>
    </row>
    <row r="52" spans="1:33" ht="17.2" customHeight="1">
      <c r="A52" s="64">
        <f>IF(priority(Main[[#This Row],[Comments]])&lt;&gt;0, priority(Main[[#This Row],[Comments]]),"")</f>
        <v>13</v>
      </c>
      <c r="B52" s="60" t="s">
        <v>1892</v>
      </c>
      <c r="C52" s="72" t="s">
        <v>815</v>
      </c>
      <c r="D52" s="59" t="s">
        <v>1958</v>
      </c>
      <c r="E52" s="85"/>
      <c r="F52" s="85">
        <v>40767</v>
      </c>
      <c r="G52" s="64" t="str">
        <f>IF(stdProdLT(Main[[#This Row],[Comments]])=0.1,"N/A",IF(stdProdLT(Main[[#This Row],[Comments]])=0,"",TRIM(stdProdLT(Main[[#This Row],[Comments]]))))</f>
        <v/>
      </c>
      <c r="H52" s="94" t="str">
        <f>IF(OR(Main[[#This Row],[Std. Prod. Lead Time]]="N/A",Main[[#This Row],[Std. Prod. Lead Time]]=""), "",IF(AND(Main[[#This Row],[In Stock Date]]&lt;&gt;"",Main[[#This Row],[Revised Due Date]]&lt;&gt;"",Main[[#This Row],[In Stock Date]]&lt;&gt;""),Main[[#This Row],[In Stock Date]]-Main[[#This Row],[Revised Due Date]],""))</f>
        <v/>
      </c>
      <c r="I52" s="101" t="s">
        <v>941</v>
      </c>
      <c r="J52" s="95" t="s">
        <v>28</v>
      </c>
      <c r="K52" s="95" t="s">
        <v>1920</v>
      </c>
      <c r="L52" s="85">
        <v>40704</v>
      </c>
      <c r="M52" s="73">
        <f>IF(Main[[#This Row],[Tech Start Date]]&lt;1/1/1990,"",IF(Main[[#This Row],[Class]]="C",WORKDAY(Main[[#This Row],[Tech Start Date]],9),IF(Main[[#This Row],[Class]]="B", WORKDAY(Main[[#This Row],[Tech Start Date]],6),IF(Main[[#This Row],[Class]]="A",WORKDAY(Main[[#This Row],[Tech Start Date]],2),""))))</f>
        <v>40708</v>
      </c>
      <c r="N52" s="73">
        <f>IF(Main[[#This Row],[Tech Start Date]]&lt;1/1/1990,"",IF(Main[[#This Row],[Class]]="C",WORKDAY(Main[[#This Row],[Tech Start Date]],19),IF(Main[[#This Row],[Class]]="B", WORKDAY(Main[[#This Row],[Tech Start Date]],12),IF(Main[[#This Row],[Class]]="A",WORKDAY(Main[[#This Row],[Tech Start Date]],4),""))))</f>
        <v>40710</v>
      </c>
      <c r="O52" s="73">
        <f>IF(Main[[#This Row],[Tech Start Date]]&lt;1/1/1990,"",IF(Main[[#This Row],[Class]]="C",WORKDAY(Main[[#This Row],[Tech Start Date]],23),IF(Main[[#This Row],[Class]]="B", WORKDAY(Main[[#This Row],[Tech Start Date]],15),IF(Main[[#This Row],[Class]]="A",WORKDAY(Main[[#This Row],[Tech Start Date]],5),""))))</f>
        <v>40711</v>
      </c>
      <c r="P52" s="73">
        <f>IF(Main[[#This Row],[Tech Start Date]]&lt;1/1/1990,"",IF(Main[[#This Row],[Class]]="C",WORKDAY(Main[[#This Row],[Tech Start Date]],28),IF(Main[[#This Row],[Class]]="B", WORKDAY(Main[[#This Row],[Tech Start Date]],19),IF(Main[[#This Row],[Class]]="A",WORKDAY(Main[[#This Row],[Tech Start Date]],9),""))))</f>
        <v>40717</v>
      </c>
      <c r="Q52" s="85"/>
      <c r="R52" s="112">
        <v>40746</v>
      </c>
      <c r="S52" s="95" t="s">
        <v>11</v>
      </c>
      <c r="T52" s="74" t="s">
        <v>1998</v>
      </c>
      <c r="U52" s="95" t="s">
        <v>14</v>
      </c>
      <c r="V52" s="95" t="s">
        <v>1912</v>
      </c>
      <c r="W52" s="95" t="s">
        <v>1919</v>
      </c>
      <c r="X52" s="95" t="s">
        <v>2047</v>
      </c>
      <c r="Y52" s="72" t="s">
        <v>3131</v>
      </c>
      <c r="Z52" s="72" t="s">
        <v>3136</v>
      </c>
      <c r="AA52" s="95" t="s">
        <v>2047</v>
      </c>
      <c r="AB52" s="132"/>
      <c r="AC52" s="132"/>
      <c r="AD52" s="132"/>
      <c r="AE52" s="63"/>
      <c r="AF52" s="63"/>
      <c r="AG52" s="63"/>
    </row>
    <row r="53" spans="1:33" ht="17.2" customHeight="1">
      <c r="A53" s="64">
        <f>IF(priority(Main[[#This Row],[Comments]])&lt;&gt;0, priority(Main[[#This Row],[Comments]]),"")</f>
        <v>13</v>
      </c>
      <c r="B53" s="60" t="s">
        <v>3174</v>
      </c>
      <c r="C53" s="72" t="s">
        <v>3183</v>
      </c>
      <c r="D53" s="59" t="s">
        <v>3175</v>
      </c>
      <c r="E53" s="85">
        <v>40921.060983796298</v>
      </c>
      <c r="F53" s="85">
        <v>41105</v>
      </c>
      <c r="G53" s="64" t="str">
        <f>IF(stdProdLT(Main[[#This Row],[Comments]])=0.1,"N/A",IF(stdProdLT(Main[[#This Row],[Comments]])=0,"",TRIM(stdProdLT(Main[[#This Row],[Comments]]))))</f>
        <v>168</v>
      </c>
      <c r="H53" s="94">
        <f>IF(OR(Main[[#This Row],[Std. Prod. Lead Time]]="N/A",Main[[#This Row],[Std. Prod. Lead Time]]=""), "",IF(AND(Main[[#This Row],[In Stock Date]]&lt;&gt;"",Main[[#This Row],[Revised Due Date]]&lt;&gt;"",Main[[#This Row],[In Stock Date]]&lt;&gt;""),Main[[#This Row],[In Stock Date]]-Main[[#This Row],[Revised Due Date]],""))</f>
        <v>128</v>
      </c>
      <c r="I53" s="101" t="s">
        <v>81</v>
      </c>
      <c r="J53" s="95" t="s">
        <v>21</v>
      </c>
      <c r="K53" s="95" t="s">
        <v>1924</v>
      </c>
      <c r="L53" s="85">
        <v>40925</v>
      </c>
      <c r="M53" s="73">
        <f>IF(Main[[#This Row],[Tech Start Date]]&lt;1/1/1990,"",IF(Main[[#This Row],[Class]]="C",WORKDAY(Main[[#This Row],[Tech Start Date]],9),IF(Main[[#This Row],[Class]]="B", WORKDAY(Main[[#This Row],[Tech Start Date]],6),IF(Main[[#This Row],[Class]]="A",WORKDAY(Main[[#This Row],[Tech Start Date]],2),""))))</f>
        <v>40938</v>
      </c>
      <c r="N53" s="73">
        <f>IF(Main[[#This Row],[Tech Start Date]]&lt;1/1/1990,"",IF(Main[[#This Row],[Class]]="C",WORKDAY(Main[[#This Row],[Tech Start Date]],19),IF(Main[[#This Row],[Class]]="B", WORKDAY(Main[[#This Row],[Tech Start Date]],12),IF(Main[[#This Row],[Class]]="A",WORKDAY(Main[[#This Row],[Tech Start Date]],4),""))))</f>
        <v>40952</v>
      </c>
      <c r="O53" s="73">
        <f>IF(Main[[#This Row],[Tech Start Date]]&lt;1/1/1990,"",IF(Main[[#This Row],[Class]]="C",WORKDAY(Main[[#This Row],[Tech Start Date]],23),IF(Main[[#This Row],[Class]]="B", WORKDAY(Main[[#This Row],[Tech Start Date]],15),IF(Main[[#This Row],[Class]]="A",WORKDAY(Main[[#This Row],[Tech Start Date]],5),""))))</f>
        <v>40956</v>
      </c>
      <c r="P53" s="73">
        <f>IF(Main[[#This Row],[Tech Start Date]]&lt;1/1/1990,"",IF(Main[[#This Row],[Class]]="C",WORKDAY(Main[[#This Row],[Tech Start Date]],28),IF(Main[[#This Row],[Class]]="B", WORKDAY(Main[[#This Row],[Tech Start Date]],19),IF(Main[[#This Row],[Class]]="A",WORKDAY(Main[[#This Row],[Tech Start Date]],9),""))))</f>
        <v>40963</v>
      </c>
      <c r="Q53" s="85">
        <v>40953</v>
      </c>
      <c r="R53" s="112">
        <v>40977</v>
      </c>
      <c r="S53" s="95" t="s">
        <v>11</v>
      </c>
      <c r="T53" s="74" t="s">
        <v>3708</v>
      </c>
      <c r="U53" s="95" t="s">
        <v>29</v>
      </c>
      <c r="V53" s="95" t="s">
        <v>1914</v>
      </c>
      <c r="W53" s="95" t="s">
        <v>1917</v>
      </c>
      <c r="X53" s="95" t="s">
        <v>2828</v>
      </c>
      <c r="Y53" s="72" t="s">
        <v>2957</v>
      </c>
      <c r="Z53" s="72" t="s">
        <v>530</v>
      </c>
      <c r="AA53" s="95" t="s">
        <v>2828</v>
      </c>
      <c r="AB53" s="132"/>
      <c r="AC53" s="132"/>
      <c r="AD53" s="132"/>
      <c r="AE53" s="63"/>
      <c r="AF53" s="63"/>
      <c r="AG53" s="63"/>
    </row>
    <row r="54" spans="1:33" ht="17.2" customHeight="1">
      <c r="A54" s="64">
        <f>IF(priority(Main[[#This Row],[Comments]])&lt;&gt;0, priority(Main[[#This Row],[Comments]]),"")</f>
        <v>13</v>
      </c>
      <c r="B54" s="60" t="s">
        <v>3271</v>
      </c>
      <c r="C54" s="72" t="s">
        <v>3227</v>
      </c>
      <c r="D54" s="59" t="s">
        <v>4066</v>
      </c>
      <c r="E54" s="85">
        <v>40934.65960648148</v>
      </c>
      <c r="F54" s="85">
        <v>41065</v>
      </c>
      <c r="G54" s="64" t="str">
        <f>IF(stdProdLT(Main[[#This Row],[Comments]])=0.1,"N/A",IF(stdProdLT(Main[[#This Row],[Comments]])=0,"",TRIM(stdProdLT(Main[[#This Row],[Comments]]))))</f>
        <v>84</v>
      </c>
      <c r="H54" s="94">
        <f>IF(OR(Main[[#This Row],[Std. Prod. Lead Time]]="N/A",Main[[#This Row],[Std. Prod. Lead Time]]=""), "",IF(AND(Main[[#This Row],[In Stock Date]]&lt;&gt;"",Main[[#This Row],[Revised Due Date]]&lt;&gt;"",Main[[#This Row],[In Stock Date]]&lt;&gt;""),Main[[#This Row],[In Stock Date]]-Main[[#This Row],[Revised Due Date]],""))</f>
        <v>78</v>
      </c>
      <c r="I54" s="101" t="s">
        <v>912</v>
      </c>
      <c r="J54" s="95" t="s">
        <v>21</v>
      </c>
      <c r="K54" s="95" t="s">
        <v>1918</v>
      </c>
      <c r="L54" s="85">
        <v>40954</v>
      </c>
      <c r="M54" s="73">
        <f>IF(Main[[#This Row],[Tech Start Date]]&lt;1/1/1990,"",IF(Main[[#This Row],[Class]]="C",WORKDAY(Main[[#This Row],[Tech Start Date]],9),IF(Main[[#This Row],[Class]]="B", WORKDAY(Main[[#This Row],[Tech Start Date]],6),IF(Main[[#This Row],[Class]]="A",WORKDAY(Main[[#This Row],[Tech Start Date]],2),""))))</f>
        <v>40962</v>
      </c>
      <c r="N54" s="73">
        <f>IF(Main[[#This Row],[Tech Start Date]]&lt;1/1/1990,"",IF(Main[[#This Row],[Class]]="C",WORKDAY(Main[[#This Row],[Tech Start Date]],19),IF(Main[[#This Row],[Class]]="B", WORKDAY(Main[[#This Row],[Tech Start Date]],12),IF(Main[[#This Row],[Class]]="A",WORKDAY(Main[[#This Row],[Tech Start Date]],4),""))))</f>
        <v>40970</v>
      </c>
      <c r="O54" s="73">
        <f>IF(Main[[#This Row],[Tech Start Date]]&lt;1/1/1990,"",IF(Main[[#This Row],[Class]]="C",WORKDAY(Main[[#This Row],[Tech Start Date]],23),IF(Main[[#This Row],[Class]]="B", WORKDAY(Main[[#This Row],[Tech Start Date]],15),IF(Main[[#This Row],[Class]]="A",WORKDAY(Main[[#This Row],[Tech Start Date]],5),""))))</f>
        <v>40975</v>
      </c>
      <c r="P54" s="73">
        <f>IF(Main[[#This Row],[Tech Start Date]]&lt;1/1/1990,"",IF(Main[[#This Row],[Class]]="C",WORKDAY(Main[[#This Row],[Tech Start Date]],28),IF(Main[[#This Row],[Class]]="B", WORKDAY(Main[[#This Row],[Tech Start Date]],19),IF(Main[[#This Row],[Class]]="A",WORKDAY(Main[[#This Row],[Tech Start Date]],9),""))))</f>
        <v>40981</v>
      </c>
      <c r="Q54" s="85">
        <v>40983</v>
      </c>
      <c r="R54" s="112">
        <v>40987</v>
      </c>
      <c r="S54" s="95" t="s">
        <v>11</v>
      </c>
      <c r="T54" s="74" t="s">
        <v>3991</v>
      </c>
      <c r="U54" s="95" t="s">
        <v>29</v>
      </c>
      <c r="V54" s="95" t="s">
        <v>1911</v>
      </c>
      <c r="W54" s="95" t="s">
        <v>1919</v>
      </c>
      <c r="X54" s="95" t="s">
        <v>2809</v>
      </c>
      <c r="Y54" s="72" t="s">
        <v>2929</v>
      </c>
      <c r="Z54" s="72" t="s">
        <v>129</v>
      </c>
      <c r="AA54" s="95" t="s">
        <v>2809</v>
      </c>
      <c r="AB54" s="132"/>
      <c r="AC54" s="132"/>
      <c r="AD54" s="132"/>
      <c r="AE54" s="63"/>
      <c r="AF54" s="63"/>
      <c r="AG54" s="63"/>
    </row>
    <row r="55" spans="1:33" ht="17.2" customHeight="1">
      <c r="A55" s="64">
        <f>IF(priority(Main[[#This Row],[Comments]])&lt;&gt;0, priority(Main[[#This Row],[Comments]]),"")</f>
        <v>14</v>
      </c>
      <c r="B55" s="60" t="s">
        <v>2733</v>
      </c>
      <c r="C55" s="72" t="s">
        <v>2734</v>
      </c>
      <c r="D55" s="59" t="s">
        <v>2735</v>
      </c>
      <c r="E55" s="85"/>
      <c r="F55" s="85">
        <v>41005</v>
      </c>
      <c r="G55" s="64" t="str">
        <f>IF(stdProdLT(Main[[#This Row],[Comments]])=0.1,"N/A",IF(stdProdLT(Main[[#This Row],[Comments]])=0,"",TRIM(stdProdLT(Main[[#This Row],[Comments]]))))</f>
        <v>112</v>
      </c>
      <c r="H55" s="94" t="str">
        <f>IF(OR(Main[[#This Row],[Std. Prod. Lead Time]]="N/A",Main[[#This Row],[Std. Prod. Lead Time]]=""), "",IF(AND(Main[[#This Row],[In Stock Date]]&lt;&gt;"",Main[[#This Row],[Revised Due Date]]&lt;&gt;"",Main[[#This Row],[In Stock Date]]&lt;&gt;""),Main[[#This Row],[In Stock Date]]-Main[[#This Row],[Revised Due Date]],""))</f>
        <v/>
      </c>
      <c r="I55" s="101" t="s">
        <v>126</v>
      </c>
      <c r="J55" s="95" t="s">
        <v>28</v>
      </c>
      <c r="K55" s="95" t="s">
        <v>1918</v>
      </c>
      <c r="L55" s="85"/>
      <c r="M55" s="73" t="str">
        <f>IF(Main[[#This Row],[Tech Start Date]]&lt;1/1/1990,"",IF(Main[[#This Row],[Class]]="C",WORKDAY(Main[[#This Row],[Tech Start Date]],9),IF(Main[[#This Row],[Class]]="B", WORKDAY(Main[[#This Row],[Tech Start Date]],6),IF(Main[[#This Row],[Class]]="A",WORKDAY(Main[[#This Row],[Tech Start Date]],2),""))))</f>
        <v/>
      </c>
      <c r="N55" s="73" t="str">
        <f>IF(Main[[#This Row],[Tech Start Date]]&lt;1/1/1990,"",IF(Main[[#This Row],[Class]]="C",WORKDAY(Main[[#This Row],[Tech Start Date]],19),IF(Main[[#This Row],[Class]]="B", WORKDAY(Main[[#This Row],[Tech Start Date]],12),IF(Main[[#This Row],[Class]]="A",WORKDAY(Main[[#This Row],[Tech Start Date]],4),""))))</f>
        <v/>
      </c>
      <c r="O55" s="73" t="str">
        <f>IF(Main[[#This Row],[Tech Start Date]]&lt;1/1/1990,"",IF(Main[[#This Row],[Class]]="C",WORKDAY(Main[[#This Row],[Tech Start Date]],23),IF(Main[[#This Row],[Class]]="B", WORKDAY(Main[[#This Row],[Tech Start Date]],15),IF(Main[[#This Row],[Class]]="A",WORKDAY(Main[[#This Row],[Tech Start Date]],5),""))))</f>
        <v/>
      </c>
      <c r="P55" s="73" t="str">
        <f>IF(Main[[#This Row],[Tech Start Date]]&lt;1/1/1990,"",IF(Main[[#This Row],[Class]]="C",WORKDAY(Main[[#This Row],[Tech Start Date]],28),IF(Main[[#This Row],[Class]]="B", WORKDAY(Main[[#This Row],[Tech Start Date]],19),IF(Main[[#This Row],[Class]]="A",WORKDAY(Main[[#This Row],[Tech Start Date]],9),""))))</f>
        <v/>
      </c>
      <c r="Q55" s="85">
        <v>40946</v>
      </c>
      <c r="R55" s="112"/>
      <c r="S55" s="95" t="s">
        <v>11</v>
      </c>
      <c r="T55" s="74" t="s">
        <v>2736</v>
      </c>
      <c r="U55" s="95" t="s">
        <v>14</v>
      </c>
      <c r="V55" s="95" t="s">
        <v>1911</v>
      </c>
      <c r="W55" s="95" t="s">
        <v>1919</v>
      </c>
      <c r="X55" s="95" t="s">
        <v>2837</v>
      </c>
      <c r="Y55" s="72" t="s">
        <v>2976</v>
      </c>
      <c r="Z55" s="72" t="s">
        <v>912</v>
      </c>
      <c r="AA55" s="95" t="s">
        <v>2837</v>
      </c>
      <c r="AB55" s="132"/>
      <c r="AC55" s="132"/>
      <c r="AD55" s="132"/>
      <c r="AE55" s="63"/>
      <c r="AF55" s="63"/>
      <c r="AG55" s="63"/>
    </row>
    <row r="56" spans="1:33" ht="17.2" customHeight="1">
      <c r="A56" s="64">
        <f>IF(priority(Main[[#This Row],[Comments]])&lt;&gt;0, priority(Main[[#This Row],[Comments]]),"")</f>
        <v>14</v>
      </c>
      <c r="B56" s="60" t="s">
        <v>3171</v>
      </c>
      <c r="C56" s="72" t="s">
        <v>3183</v>
      </c>
      <c r="D56" s="59" t="s">
        <v>3980</v>
      </c>
      <c r="E56" s="85">
        <v>40921.094768518517</v>
      </c>
      <c r="F56" s="85">
        <v>41105</v>
      </c>
      <c r="G56" s="64" t="str">
        <f>IF(stdProdLT(Main[[#This Row],[Comments]])=0.1,"N/A",IF(stdProdLT(Main[[#This Row],[Comments]])=0,"",TRIM(stdProdLT(Main[[#This Row],[Comments]]))))</f>
        <v>168</v>
      </c>
      <c r="H56" s="94">
        <f>IF(OR(Main[[#This Row],[Std. Prod. Lead Time]]="N/A",Main[[#This Row],[Std. Prod. Lead Time]]=""), "",IF(AND(Main[[#This Row],[In Stock Date]]&lt;&gt;"",Main[[#This Row],[Revised Due Date]]&lt;&gt;"",Main[[#This Row],[In Stock Date]]&lt;&gt;""),Main[[#This Row],[In Stock Date]]-Main[[#This Row],[Revised Due Date]],""))</f>
        <v>135</v>
      </c>
      <c r="I56" s="101" t="s">
        <v>765</v>
      </c>
      <c r="J56" s="95" t="s">
        <v>21</v>
      </c>
      <c r="K56" s="95" t="s">
        <v>1924</v>
      </c>
      <c r="L56" s="85">
        <v>40925</v>
      </c>
      <c r="M56" s="73">
        <f>IF(Main[[#This Row],[Tech Start Date]]&lt;1/1/1990,"",IF(Main[[#This Row],[Class]]="C",WORKDAY(Main[[#This Row],[Tech Start Date]],9),IF(Main[[#This Row],[Class]]="B", WORKDAY(Main[[#This Row],[Tech Start Date]],6),IF(Main[[#This Row],[Class]]="A",WORKDAY(Main[[#This Row],[Tech Start Date]],2),""))))</f>
        <v>40938</v>
      </c>
      <c r="N56" s="73">
        <f>IF(Main[[#This Row],[Tech Start Date]]&lt;1/1/1990,"",IF(Main[[#This Row],[Class]]="C",WORKDAY(Main[[#This Row],[Tech Start Date]],19),IF(Main[[#This Row],[Class]]="B", WORKDAY(Main[[#This Row],[Tech Start Date]],12),IF(Main[[#This Row],[Class]]="A",WORKDAY(Main[[#This Row],[Tech Start Date]],4),""))))</f>
        <v>40952</v>
      </c>
      <c r="O56" s="73">
        <f>IF(Main[[#This Row],[Tech Start Date]]&lt;1/1/1990,"",IF(Main[[#This Row],[Class]]="C",WORKDAY(Main[[#This Row],[Tech Start Date]],23),IF(Main[[#This Row],[Class]]="B", WORKDAY(Main[[#This Row],[Tech Start Date]],15),IF(Main[[#This Row],[Class]]="A",WORKDAY(Main[[#This Row],[Tech Start Date]],5),""))))</f>
        <v>40956</v>
      </c>
      <c r="P56" s="73">
        <f>IF(Main[[#This Row],[Tech Start Date]]&lt;1/1/1990,"",IF(Main[[#This Row],[Class]]="C",WORKDAY(Main[[#This Row],[Tech Start Date]],28),IF(Main[[#This Row],[Class]]="B", WORKDAY(Main[[#This Row],[Tech Start Date]],19),IF(Main[[#This Row],[Class]]="A",WORKDAY(Main[[#This Row],[Tech Start Date]],9),""))))</f>
        <v>40963</v>
      </c>
      <c r="Q56" s="85">
        <v>40953</v>
      </c>
      <c r="R56" s="112">
        <v>40970</v>
      </c>
      <c r="S56" s="95" t="s">
        <v>11</v>
      </c>
      <c r="T56" s="74" t="s">
        <v>3711</v>
      </c>
      <c r="U56" s="95" t="s">
        <v>29</v>
      </c>
      <c r="V56" s="95" t="s">
        <v>1914</v>
      </c>
      <c r="W56" s="95" t="s">
        <v>1917</v>
      </c>
      <c r="X56" s="95" t="s">
        <v>2828</v>
      </c>
      <c r="Y56" s="72" t="s">
        <v>2957</v>
      </c>
      <c r="Z56" s="72" t="s">
        <v>530</v>
      </c>
      <c r="AA56" s="95" t="s">
        <v>2828</v>
      </c>
      <c r="AB56" s="132">
        <v>40970</v>
      </c>
      <c r="AC56" s="132">
        <v>40977</v>
      </c>
      <c r="AD56" s="132"/>
      <c r="AE56" s="63"/>
      <c r="AF56" s="63"/>
      <c r="AG56" s="63"/>
    </row>
    <row r="57" spans="1:33" ht="17.2" customHeight="1">
      <c r="A57" s="64">
        <f>IF(priority(Main[[#This Row],[Comments]])&lt;&gt;0, priority(Main[[#This Row],[Comments]]),"")</f>
        <v>14.1</v>
      </c>
      <c r="B57" s="60" t="s">
        <v>3809</v>
      </c>
      <c r="C57" s="72" t="s">
        <v>3810</v>
      </c>
      <c r="D57" s="59" t="s">
        <v>4011</v>
      </c>
      <c r="E57" s="85">
        <v>40970.12091435185</v>
      </c>
      <c r="F57" s="85">
        <v>41091</v>
      </c>
      <c r="G57" s="64" t="str">
        <f>IF(stdProdLT(Main[[#This Row],[Comments]])=0.1,"N/A",IF(stdProdLT(Main[[#This Row],[Comments]])=0,"",TRIM(stdProdLT(Main[[#This Row],[Comments]]))))</f>
        <v>112</v>
      </c>
      <c r="H57" s="94">
        <f>IF(OR(Main[[#This Row],[Std. Prod. Lead Time]]="N/A",Main[[#This Row],[Std. Prod. Lead Time]]=""), "",IF(AND(Main[[#This Row],[In Stock Date]]&lt;&gt;"",Main[[#This Row],[Revised Due Date]]&lt;&gt;"",Main[[#This Row],[In Stock Date]]&lt;&gt;""),Main[[#This Row],[In Stock Date]]-Main[[#This Row],[Revised Due Date]],""))</f>
        <v>100</v>
      </c>
      <c r="I57" s="101" t="s">
        <v>937</v>
      </c>
      <c r="J57" s="95" t="s">
        <v>28</v>
      </c>
      <c r="K57" s="95" t="s">
        <v>1918</v>
      </c>
      <c r="L57" s="85">
        <v>40973</v>
      </c>
      <c r="M57" s="73">
        <f>IF(Main[[#This Row],[Tech Start Date]]&lt;1/1/1990,"",IF(Main[[#This Row],[Class]]="C",WORKDAY(Main[[#This Row],[Tech Start Date]],9),IF(Main[[#This Row],[Class]]="B", WORKDAY(Main[[#This Row],[Tech Start Date]],6),IF(Main[[#This Row],[Class]]="A",WORKDAY(Main[[#This Row],[Tech Start Date]],2),""))))</f>
        <v>40981</v>
      </c>
      <c r="N57" s="73">
        <f>IF(Main[[#This Row],[Tech Start Date]]&lt;1/1/1990,"",IF(Main[[#This Row],[Class]]="C",WORKDAY(Main[[#This Row],[Tech Start Date]],19),IF(Main[[#This Row],[Class]]="B", WORKDAY(Main[[#This Row],[Tech Start Date]],12),IF(Main[[#This Row],[Class]]="A",WORKDAY(Main[[#This Row],[Tech Start Date]],4),""))))</f>
        <v>40989</v>
      </c>
      <c r="O57" s="73">
        <f>IF(Main[[#This Row],[Tech Start Date]]&lt;1/1/1990,"",IF(Main[[#This Row],[Class]]="C",WORKDAY(Main[[#This Row],[Tech Start Date]],23),IF(Main[[#This Row],[Class]]="B", WORKDAY(Main[[#This Row],[Tech Start Date]],15),IF(Main[[#This Row],[Class]]="A",WORKDAY(Main[[#This Row],[Tech Start Date]],5),""))))</f>
        <v>40994</v>
      </c>
      <c r="P57" s="73">
        <f>IF(Main[[#This Row],[Tech Start Date]]&lt;1/1/1990,"",IF(Main[[#This Row],[Class]]="C",WORKDAY(Main[[#This Row],[Tech Start Date]],28),IF(Main[[#This Row],[Class]]="B", WORKDAY(Main[[#This Row],[Tech Start Date]],19),IF(Main[[#This Row],[Class]]="A",WORKDAY(Main[[#This Row],[Tech Start Date]],9),""))))</f>
        <v>40998</v>
      </c>
      <c r="Q57" s="85"/>
      <c r="R57" s="112">
        <v>40991</v>
      </c>
      <c r="S57" s="95" t="s">
        <v>11</v>
      </c>
      <c r="T57" s="74" t="s">
        <v>4012</v>
      </c>
      <c r="U57" s="95" t="s">
        <v>29</v>
      </c>
      <c r="V57" s="95" t="s">
        <v>1911</v>
      </c>
      <c r="W57" s="95" t="s">
        <v>1919</v>
      </c>
      <c r="X57" s="95" t="s">
        <v>2814</v>
      </c>
      <c r="Y57" s="72" t="s">
        <v>3536</v>
      </c>
      <c r="Z57" s="72" t="s">
        <v>129</v>
      </c>
      <c r="AA57" s="95" t="s">
        <v>2814</v>
      </c>
      <c r="AB57" s="132"/>
      <c r="AC57" s="132"/>
      <c r="AD57" s="132"/>
      <c r="AE57" s="63"/>
      <c r="AF57" s="63"/>
      <c r="AG57" s="63"/>
    </row>
    <row r="58" spans="1:33" ht="17.2" customHeight="1">
      <c r="A58" s="64">
        <f>IF(priority(Main[[#This Row],[Comments]])&lt;&gt;0, priority(Main[[#This Row],[Comments]]),"")</f>
        <v>15</v>
      </c>
      <c r="B58" s="60" t="s">
        <v>3558</v>
      </c>
      <c r="C58" s="72" t="s">
        <v>3209</v>
      </c>
      <c r="D58" s="59" t="s">
        <v>3159</v>
      </c>
      <c r="E58" s="85"/>
      <c r="F58" s="85">
        <v>41122</v>
      </c>
      <c r="G58" s="64" t="str">
        <f>IF(stdProdLT(Main[[#This Row],[Comments]])=0.1,"N/A",IF(stdProdLT(Main[[#This Row],[Comments]])=0,"",TRIM(stdProdLT(Main[[#This Row],[Comments]]))))</f>
        <v>168</v>
      </c>
      <c r="H58" s="94" t="str">
        <f>IF(OR(Main[[#This Row],[Std. Prod. Lead Time]]="N/A",Main[[#This Row],[Std. Prod. Lead Time]]=""), "",IF(AND(Main[[#This Row],[In Stock Date]]&lt;&gt;"",Main[[#This Row],[Revised Due Date]]&lt;&gt;"",Main[[#This Row],[In Stock Date]]&lt;&gt;""),Main[[#This Row],[In Stock Date]]-Main[[#This Row],[Revised Due Date]],""))</f>
        <v/>
      </c>
      <c r="I58" s="101" t="s">
        <v>4</v>
      </c>
      <c r="J58" s="95" t="s">
        <v>4</v>
      </c>
      <c r="K58" s="95" t="s">
        <v>4</v>
      </c>
      <c r="L58" s="85"/>
      <c r="M58" s="73" t="str">
        <f>IF(Main[[#This Row],[Tech Start Date]]&lt;1/1/1990,"",IF(Main[[#This Row],[Class]]="C",WORKDAY(Main[[#This Row],[Tech Start Date]],9),IF(Main[[#This Row],[Class]]="B", WORKDAY(Main[[#This Row],[Tech Start Date]],6),IF(Main[[#This Row],[Class]]="A",WORKDAY(Main[[#This Row],[Tech Start Date]],2),""))))</f>
        <v/>
      </c>
      <c r="N58" s="73" t="str">
        <f>IF(Main[[#This Row],[Tech Start Date]]&lt;1/1/1990,"",IF(Main[[#This Row],[Class]]="C",WORKDAY(Main[[#This Row],[Tech Start Date]],19),IF(Main[[#This Row],[Class]]="B", WORKDAY(Main[[#This Row],[Tech Start Date]],12),IF(Main[[#This Row],[Class]]="A",WORKDAY(Main[[#This Row],[Tech Start Date]],4),""))))</f>
        <v/>
      </c>
      <c r="O58" s="73" t="str">
        <f>IF(Main[[#This Row],[Tech Start Date]]&lt;1/1/1990,"",IF(Main[[#This Row],[Class]]="C",WORKDAY(Main[[#This Row],[Tech Start Date]],23),IF(Main[[#This Row],[Class]]="B", WORKDAY(Main[[#This Row],[Tech Start Date]],15),IF(Main[[#This Row],[Class]]="A",WORKDAY(Main[[#This Row],[Tech Start Date]],5),""))))</f>
        <v/>
      </c>
      <c r="P58" s="73" t="str">
        <f>IF(Main[[#This Row],[Tech Start Date]]&lt;1/1/1990,"",IF(Main[[#This Row],[Class]]="C",WORKDAY(Main[[#This Row],[Tech Start Date]],28),IF(Main[[#This Row],[Class]]="B", WORKDAY(Main[[#This Row],[Tech Start Date]],19),IF(Main[[#This Row],[Class]]="A",WORKDAY(Main[[#This Row],[Tech Start Date]],9),""))))</f>
        <v/>
      </c>
      <c r="Q58" s="85">
        <v>41105</v>
      </c>
      <c r="R58" s="112"/>
      <c r="S58" s="95" t="s">
        <v>11</v>
      </c>
      <c r="T58" s="74" t="s">
        <v>3781</v>
      </c>
      <c r="U58" s="95" t="s">
        <v>14</v>
      </c>
      <c r="V58" s="95" t="s">
        <v>1914</v>
      </c>
      <c r="W58" s="95" t="s">
        <v>1922</v>
      </c>
      <c r="X58" s="95" t="s">
        <v>2826</v>
      </c>
      <c r="Y58" s="72" t="s">
        <v>3208</v>
      </c>
      <c r="Z58" s="72" t="s">
        <v>4</v>
      </c>
      <c r="AA58" s="95" t="s">
        <v>2826</v>
      </c>
      <c r="AB58" s="132"/>
      <c r="AC58" s="132"/>
      <c r="AD58" s="132"/>
      <c r="AE58" s="63"/>
      <c r="AF58" s="63"/>
      <c r="AG58" s="63"/>
    </row>
    <row r="59" spans="1:33" ht="17.2" customHeight="1">
      <c r="A59" s="64">
        <f>IF(priority(Main[[#This Row],[Comments]])&lt;&gt;0, priority(Main[[#This Row],[Comments]]),"")</f>
        <v>15</v>
      </c>
      <c r="B59" s="60" t="s">
        <v>3226</v>
      </c>
      <c r="C59" s="72" t="s">
        <v>3227</v>
      </c>
      <c r="D59" s="59" t="s">
        <v>4067</v>
      </c>
      <c r="E59" s="85">
        <v>40934.707789351851</v>
      </c>
      <c r="F59" s="85">
        <v>41065</v>
      </c>
      <c r="G59" s="64" t="str">
        <f>IF(stdProdLT(Main[[#This Row],[Comments]])=0.1,"N/A",IF(stdProdLT(Main[[#This Row],[Comments]])=0,"",TRIM(stdProdLT(Main[[#This Row],[Comments]]))))</f>
        <v>84</v>
      </c>
      <c r="H59" s="94">
        <f>IF(OR(Main[[#This Row],[Std. Prod. Lead Time]]="N/A",Main[[#This Row],[Std. Prod. Lead Time]]=""), "",IF(AND(Main[[#This Row],[In Stock Date]]&lt;&gt;"",Main[[#This Row],[Revised Due Date]]&lt;&gt;"",Main[[#This Row],[In Stock Date]]&lt;&gt;""),Main[[#This Row],[In Stock Date]]-Main[[#This Row],[Revised Due Date]],""))</f>
        <v>78</v>
      </c>
      <c r="I59" s="101" t="s">
        <v>912</v>
      </c>
      <c r="J59" s="95" t="s">
        <v>21</v>
      </c>
      <c r="K59" s="95" t="s">
        <v>1924</v>
      </c>
      <c r="L59" s="85">
        <v>40956</v>
      </c>
      <c r="M59" s="73">
        <f>IF(Main[[#This Row],[Tech Start Date]]&lt;1/1/1990,"",IF(Main[[#This Row],[Class]]="C",WORKDAY(Main[[#This Row],[Tech Start Date]],9),IF(Main[[#This Row],[Class]]="B", WORKDAY(Main[[#This Row],[Tech Start Date]],6),IF(Main[[#This Row],[Class]]="A",WORKDAY(Main[[#This Row],[Tech Start Date]],2),""))))</f>
        <v>40969</v>
      </c>
      <c r="N59" s="73">
        <f>IF(Main[[#This Row],[Tech Start Date]]&lt;1/1/1990,"",IF(Main[[#This Row],[Class]]="C",WORKDAY(Main[[#This Row],[Tech Start Date]],19),IF(Main[[#This Row],[Class]]="B", WORKDAY(Main[[#This Row],[Tech Start Date]],12),IF(Main[[#This Row],[Class]]="A",WORKDAY(Main[[#This Row],[Tech Start Date]],4),""))))</f>
        <v>40983</v>
      </c>
      <c r="O59" s="73">
        <f>IF(Main[[#This Row],[Tech Start Date]]&lt;1/1/1990,"",IF(Main[[#This Row],[Class]]="C",WORKDAY(Main[[#This Row],[Tech Start Date]],23),IF(Main[[#This Row],[Class]]="B", WORKDAY(Main[[#This Row],[Tech Start Date]],15),IF(Main[[#This Row],[Class]]="A",WORKDAY(Main[[#This Row],[Tech Start Date]],5),""))))</f>
        <v>40989</v>
      </c>
      <c r="P59" s="73">
        <f>IF(Main[[#This Row],[Tech Start Date]]&lt;1/1/1990,"",IF(Main[[#This Row],[Class]]="C",WORKDAY(Main[[#This Row],[Tech Start Date]],28),IF(Main[[#This Row],[Class]]="B", WORKDAY(Main[[#This Row],[Tech Start Date]],19),IF(Main[[#This Row],[Class]]="A",WORKDAY(Main[[#This Row],[Tech Start Date]],9),""))))</f>
        <v>40996</v>
      </c>
      <c r="Q59" s="85">
        <v>40945</v>
      </c>
      <c r="R59" s="112">
        <v>40987</v>
      </c>
      <c r="S59" s="95" t="s">
        <v>11</v>
      </c>
      <c r="T59" s="74" t="s">
        <v>3994</v>
      </c>
      <c r="U59" s="95" t="s">
        <v>29</v>
      </c>
      <c r="V59" s="95" t="s">
        <v>1911</v>
      </c>
      <c r="W59" s="95" t="s">
        <v>1919</v>
      </c>
      <c r="X59" s="95" t="s">
        <v>2809</v>
      </c>
      <c r="Y59" s="72" t="s">
        <v>2929</v>
      </c>
      <c r="Z59" s="72" t="s">
        <v>129</v>
      </c>
      <c r="AA59" s="95" t="s">
        <v>2809</v>
      </c>
      <c r="AB59" s="132"/>
      <c r="AC59" s="132"/>
      <c r="AD59" s="132"/>
      <c r="AE59" s="63"/>
      <c r="AF59" s="63"/>
      <c r="AG59" s="63"/>
    </row>
    <row r="60" spans="1:33" ht="17.2" customHeight="1">
      <c r="A60" s="64">
        <f>IF(priority(Main[[#This Row],[Comments]])&lt;&gt;0, priority(Main[[#This Row],[Comments]]),"")</f>
        <v>16</v>
      </c>
      <c r="B60" s="60" t="s">
        <v>3735</v>
      </c>
      <c r="C60" s="72" t="s">
        <v>3736</v>
      </c>
      <c r="D60" s="59" t="s">
        <v>3737</v>
      </c>
      <c r="E60" s="85"/>
      <c r="F60" s="85">
        <v>41105</v>
      </c>
      <c r="G60" s="64" t="str">
        <f>IF(stdProdLT(Main[[#This Row],[Comments]])=0.1,"N/A",IF(stdProdLT(Main[[#This Row],[Comments]])=0,"",TRIM(stdProdLT(Main[[#This Row],[Comments]]))))</f>
        <v>140</v>
      </c>
      <c r="H60" s="94">
        <f>IF(OR(Main[[#This Row],[Std. Prod. Lead Time]]="N/A",Main[[#This Row],[Std. Prod. Lead Time]]=""), "",IF(AND(Main[[#This Row],[In Stock Date]]&lt;&gt;"",Main[[#This Row],[Revised Due Date]]&lt;&gt;"",Main[[#This Row],[In Stock Date]]&lt;&gt;""),Main[[#This Row],[In Stock Date]]-Main[[#This Row],[Revised Due Date]],""))</f>
        <v>124</v>
      </c>
      <c r="I60" s="101" t="s">
        <v>130</v>
      </c>
      <c r="J60" s="95" t="s">
        <v>70</v>
      </c>
      <c r="K60" s="95" t="s">
        <v>1920</v>
      </c>
      <c r="L60" s="85">
        <v>40960</v>
      </c>
      <c r="M60" s="73">
        <f>IF(Main[[#This Row],[Tech Start Date]]&lt;1/1/1990,"",IF(Main[[#This Row],[Class]]="C",WORKDAY(Main[[#This Row],[Tech Start Date]],9),IF(Main[[#This Row],[Class]]="B", WORKDAY(Main[[#This Row],[Tech Start Date]],6),IF(Main[[#This Row],[Class]]="A",WORKDAY(Main[[#This Row],[Tech Start Date]],2),""))))</f>
        <v>40962</v>
      </c>
      <c r="N60" s="73">
        <f>IF(Main[[#This Row],[Tech Start Date]]&lt;1/1/1990,"",IF(Main[[#This Row],[Class]]="C",WORKDAY(Main[[#This Row],[Tech Start Date]],19),IF(Main[[#This Row],[Class]]="B", WORKDAY(Main[[#This Row],[Tech Start Date]],12),IF(Main[[#This Row],[Class]]="A",WORKDAY(Main[[#This Row],[Tech Start Date]],4),""))))</f>
        <v>40966</v>
      </c>
      <c r="O60" s="73">
        <f>IF(Main[[#This Row],[Tech Start Date]]&lt;1/1/1990,"",IF(Main[[#This Row],[Class]]="C",WORKDAY(Main[[#This Row],[Tech Start Date]],23),IF(Main[[#This Row],[Class]]="B", WORKDAY(Main[[#This Row],[Tech Start Date]],15),IF(Main[[#This Row],[Class]]="A",WORKDAY(Main[[#This Row],[Tech Start Date]],5),""))))</f>
        <v>40967</v>
      </c>
      <c r="P60" s="73">
        <f>IF(Main[[#This Row],[Tech Start Date]]&lt;1/1/1990,"",IF(Main[[#This Row],[Class]]="C",WORKDAY(Main[[#This Row],[Tech Start Date]],28),IF(Main[[#This Row],[Class]]="B", WORKDAY(Main[[#This Row],[Tech Start Date]],19),IF(Main[[#This Row],[Class]]="A",WORKDAY(Main[[#This Row],[Tech Start Date]],9),""))))</f>
        <v>40973</v>
      </c>
      <c r="Q60" s="85">
        <v>41000</v>
      </c>
      <c r="R60" s="112">
        <v>40981</v>
      </c>
      <c r="S60" s="95" t="s">
        <v>11</v>
      </c>
      <c r="T60" s="74" t="s">
        <v>3738</v>
      </c>
      <c r="U60" s="95" t="s">
        <v>14</v>
      </c>
      <c r="V60" s="95" t="s">
        <v>1921</v>
      </c>
      <c r="W60" s="95" t="s">
        <v>1917</v>
      </c>
      <c r="X60" s="95" t="s">
        <v>2826</v>
      </c>
      <c r="Y60" s="72" t="s">
        <v>3208</v>
      </c>
      <c r="Z60" s="72" t="s">
        <v>530</v>
      </c>
      <c r="AA60" s="95" t="s">
        <v>2826</v>
      </c>
      <c r="AB60" s="132"/>
      <c r="AC60" s="132"/>
      <c r="AD60" s="132"/>
      <c r="AE60" s="63"/>
      <c r="AF60" s="63"/>
      <c r="AG60" s="63"/>
    </row>
    <row r="61" spans="1:33" ht="17.2" customHeight="1">
      <c r="A61" s="64">
        <f>IF(priority(Main[[#This Row],[Comments]])&lt;&gt;0, priority(Main[[#This Row],[Comments]]),"")</f>
        <v>16</v>
      </c>
      <c r="B61" s="60" t="s">
        <v>3853</v>
      </c>
      <c r="C61" s="72" t="s">
        <v>113</v>
      </c>
      <c r="D61" s="59" t="s">
        <v>4015</v>
      </c>
      <c r="E61" s="85">
        <v>40970.40519675926</v>
      </c>
      <c r="F61" s="85">
        <v>41030</v>
      </c>
      <c r="G61" s="64" t="str">
        <f>IF(stdProdLT(Main[[#This Row],[Comments]])=0.1,"N/A",IF(stdProdLT(Main[[#This Row],[Comments]])=0,"",TRIM(stdProdLT(Main[[#This Row],[Comments]]))))</f>
        <v>N/A</v>
      </c>
      <c r="H61" s="94" t="str">
        <f>IF(OR(Main[[#This Row],[Std. Prod. Lead Time]]="N/A",Main[[#This Row],[Std. Prod. Lead Time]]=""), "",IF(AND(Main[[#This Row],[In Stock Date]]&lt;&gt;"",Main[[#This Row],[Revised Due Date]]&lt;&gt;"",Main[[#This Row],[In Stock Date]]&lt;&gt;""),Main[[#This Row],[In Stock Date]]-Main[[#This Row],[Revised Due Date]],""))</f>
        <v/>
      </c>
      <c r="I61" s="101" t="s">
        <v>937</v>
      </c>
      <c r="J61" s="95" t="s">
        <v>28</v>
      </c>
      <c r="K61" s="95" t="s">
        <v>1918</v>
      </c>
      <c r="L61" s="85">
        <v>40973</v>
      </c>
      <c r="M61" s="73">
        <f>IF(Main[[#This Row],[Tech Start Date]]&lt;1/1/1990,"",IF(Main[[#This Row],[Class]]="C",WORKDAY(Main[[#This Row],[Tech Start Date]],9),IF(Main[[#This Row],[Class]]="B", WORKDAY(Main[[#This Row],[Tech Start Date]],6),IF(Main[[#This Row],[Class]]="A",WORKDAY(Main[[#This Row],[Tech Start Date]],2),""))))</f>
        <v>40981</v>
      </c>
      <c r="N61" s="73">
        <f>IF(Main[[#This Row],[Tech Start Date]]&lt;1/1/1990,"",IF(Main[[#This Row],[Class]]="C",WORKDAY(Main[[#This Row],[Tech Start Date]],19),IF(Main[[#This Row],[Class]]="B", WORKDAY(Main[[#This Row],[Tech Start Date]],12),IF(Main[[#This Row],[Class]]="A",WORKDAY(Main[[#This Row],[Tech Start Date]],4),""))))</f>
        <v>40989</v>
      </c>
      <c r="O61" s="73">
        <f>IF(Main[[#This Row],[Tech Start Date]]&lt;1/1/1990,"",IF(Main[[#This Row],[Class]]="C",WORKDAY(Main[[#This Row],[Tech Start Date]],23),IF(Main[[#This Row],[Class]]="B", WORKDAY(Main[[#This Row],[Tech Start Date]],15),IF(Main[[#This Row],[Class]]="A",WORKDAY(Main[[#This Row],[Tech Start Date]],5),""))))</f>
        <v>40994</v>
      </c>
      <c r="P61" s="73">
        <f>IF(Main[[#This Row],[Tech Start Date]]&lt;1/1/1990,"",IF(Main[[#This Row],[Class]]="C",WORKDAY(Main[[#This Row],[Tech Start Date]],28),IF(Main[[#This Row],[Class]]="B", WORKDAY(Main[[#This Row],[Tech Start Date]],19),IF(Main[[#This Row],[Class]]="A",WORKDAY(Main[[#This Row],[Tech Start Date]],9),""))))</f>
        <v>40998</v>
      </c>
      <c r="Q61" s="85"/>
      <c r="R61" s="112">
        <v>40991</v>
      </c>
      <c r="S61" s="95" t="s">
        <v>11</v>
      </c>
      <c r="T61" s="74" t="s">
        <v>4016</v>
      </c>
      <c r="U61" s="95" t="s">
        <v>29</v>
      </c>
      <c r="V61" s="95" t="s">
        <v>1911</v>
      </c>
      <c r="W61" s="95" t="s">
        <v>1913</v>
      </c>
      <c r="X61" s="95" t="s">
        <v>2813</v>
      </c>
      <c r="Y61" s="72" t="s">
        <v>2917</v>
      </c>
      <c r="Z61" s="72" t="s">
        <v>129</v>
      </c>
      <c r="AA61" s="95" t="s">
        <v>2813</v>
      </c>
      <c r="AB61" s="132"/>
      <c r="AC61" s="132"/>
      <c r="AD61" s="132"/>
      <c r="AE61" s="63"/>
      <c r="AF61" s="63"/>
      <c r="AG61" s="63"/>
    </row>
    <row r="62" spans="1:33" ht="17.2" customHeight="1">
      <c r="A62" s="64">
        <f>IF(priority(Main[[#This Row],[Comments]])&lt;&gt;0, priority(Main[[#This Row],[Comments]]),"")</f>
        <v>16.2</v>
      </c>
      <c r="B62" s="60" t="s">
        <v>2393</v>
      </c>
      <c r="C62" s="72" t="s">
        <v>31</v>
      </c>
      <c r="D62" s="59" t="s">
        <v>2394</v>
      </c>
      <c r="E62" s="85"/>
      <c r="F62" s="85">
        <v>41000</v>
      </c>
      <c r="G62" s="64" t="str">
        <f>IF(stdProdLT(Main[[#This Row],[Comments]])=0.1,"N/A",IF(stdProdLT(Main[[#This Row],[Comments]])=0,"",TRIM(stdProdLT(Main[[#This Row],[Comments]]))))</f>
        <v>140</v>
      </c>
      <c r="H62" s="94" t="str">
        <f>IF(OR(Main[[#This Row],[Std. Prod. Lead Time]]="N/A",Main[[#This Row],[Std. Prod. Lead Time]]=""), "",IF(AND(Main[[#This Row],[In Stock Date]]&lt;&gt;"",Main[[#This Row],[Revised Due Date]]&lt;&gt;"",Main[[#This Row],[In Stock Date]]&lt;&gt;""),Main[[#This Row],[In Stock Date]]-Main[[#This Row],[Revised Due Date]],""))</f>
        <v/>
      </c>
      <c r="I62" s="101" t="s">
        <v>4</v>
      </c>
      <c r="J62" s="95" t="s">
        <v>4</v>
      </c>
      <c r="K62" s="95" t="s">
        <v>4</v>
      </c>
      <c r="L62" s="85"/>
      <c r="M62" s="73" t="str">
        <f>IF(Main[[#This Row],[Tech Start Date]]&lt;1/1/1990,"",IF(Main[[#This Row],[Class]]="C",WORKDAY(Main[[#This Row],[Tech Start Date]],9),IF(Main[[#This Row],[Class]]="B", WORKDAY(Main[[#This Row],[Tech Start Date]],6),IF(Main[[#This Row],[Class]]="A",WORKDAY(Main[[#This Row],[Tech Start Date]],2),""))))</f>
        <v/>
      </c>
      <c r="N62" s="73" t="str">
        <f>IF(Main[[#This Row],[Tech Start Date]]&lt;1/1/1990,"",IF(Main[[#This Row],[Class]]="C",WORKDAY(Main[[#This Row],[Tech Start Date]],19),IF(Main[[#This Row],[Class]]="B", WORKDAY(Main[[#This Row],[Tech Start Date]],12),IF(Main[[#This Row],[Class]]="A",WORKDAY(Main[[#This Row],[Tech Start Date]],4),""))))</f>
        <v/>
      </c>
      <c r="O62" s="73" t="str">
        <f>IF(Main[[#This Row],[Tech Start Date]]&lt;1/1/1990,"",IF(Main[[#This Row],[Class]]="C",WORKDAY(Main[[#This Row],[Tech Start Date]],23),IF(Main[[#This Row],[Class]]="B", WORKDAY(Main[[#This Row],[Tech Start Date]],15),IF(Main[[#This Row],[Class]]="A",WORKDAY(Main[[#This Row],[Tech Start Date]],5),""))))</f>
        <v/>
      </c>
      <c r="P62" s="73" t="str">
        <f>IF(Main[[#This Row],[Tech Start Date]]&lt;1/1/1990,"",IF(Main[[#This Row],[Class]]="C",WORKDAY(Main[[#This Row],[Tech Start Date]],28),IF(Main[[#This Row],[Class]]="B", WORKDAY(Main[[#This Row],[Tech Start Date]],19),IF(Main[[#This Row],[Class]]="A",WORKDAY(Main[[#This Row],[Tech Start Date]],9),""))))</f>
        <v/>
      </c>
      <c r="Q62" s="85">
        <v>40916</v>
      </c>
      <c r="R62" s="112"/>
      <c r="S62" s="95" t="s">
        <v>11</v>
      </c>
      <c r="T62" s="74" t="s">
        <v>2395</v>
      </c>
      <c r="U62" s="95" t="s">
        <v>14</v>
      </c>
      <c r="V62" s="95" t="s">
        <v>1921</v>
      </c>
      <c r="W62" s="95" t="s">
        <v>1917</v>
      </c>
      <c r="X62" s="95" t="s">
        <v>2820</v>
      </c>
      <c r="Y62" s="72" t="s">
        <v>3067</v>
      </c>
      <c r="Z62" s="72" t="s">
        <v>4</v>
      </c>
      <c r="AA62" s="95" t="s">
        <v>2820</v>
      </c>
      <c r="AB62" s="132"/>
      <c r="AC62" s="132"/>
      <c r="AD62" s="132"/>
      <c r="AE62" s="63"/>
      <c r="AF62" s="63"/>
      <c r="AG62" s="63"/>
    </row>
    <row r="63" spans="1:33" ht="17.2" customHeight="1">
      <c r="A63" s="64">
        <f>IF(priority(Main[[#This Row],[Comments]])&lt;&gt;0, priority(Main[[#This Row],[Comments]]),"")</f>
        <v>17</v>
      </c>
      <c r="B63" s="60" t="s">
        <v>1222</v>
      </c>
      <c r="C63" s="72" t="s">
        <v>33</v>
      </c>
      <c r="D63" s="59" t="s">
        <v>326</v>
      </c>
      <c r="E63" s="85"/>
      <c r="F63" s="85">
        <v>40695</v>
      </c>
      <c r="G63" s="64" t="str">
        <f>IF(stdProdLT(Main[[#This Row],[Comments]])=0.1,"N/A",IF(stdProdLT(Main[[#This Row],[Comments]])=0,"",TRIM(stdProdLT(Main[[#This Row],[Comments]]))))</f>
        <v/>
      </c>
      <c r="H63" s="94" t="str">
        <f>IF(OR(Main[[#This Row],[Std. Prod. Lead Time]]="N/A",Main[[#This Row],[Std. Prod. Lead Time]]=""), "",IF(AND(Main[[#This Row],[In Stock Date]]&lt;&gt;"",Main[[#This Row],[Revised Due Date]]&lt;&gt;"",Main[[#This Row],[In Stock Date]]&lt;&gt;""),Main[[#This Row],[In Stock Date]]-Main[[#This Row],[Revised Due Date]],""))</f>
        <v/>
      </c>
      <c r="I63" s="101" t="s">
        <v>108</v>
      </c>
      <c r="J63" s="95" t="s">
        <v>28</v>
      </c>
      <c r="K63" s="95" t="s">
        <v>4</v>
      </c>
      <c r="L63" s="85"/>
      <c r="M63" s="73" t="str">
        <f>IF(Main[[#This Row],[Tech Start Date]]&lt;1/1/1990,"",IF(Main[[#This Row],[Class]]="C",WORKDAY(Main[[#This Row],[Tech Start Date]],9),IF(Main[[#This Row],[Class]]="B", WORKDAY(Main[[#This Row],[Tech Start Date]],6),IF(Main[[#This Row],[Class]]="A",WORKDAY(Main[[#This Row],[Tech Start Date]],2),""))))</f>
        <v/>
      </c>
      <c r="N63" s="73" t="str">
        <f>IF(Main[[#This Row],[Tech Start Date]]&lt;1/1/1990,"",IF(Main[[#This Row],[Class]]="C",WORKDAY(Main[[#This Row],[Tech Start Date]],19),IF(Main[[#This Row],[Class]]="B", WORKDAY(Main[[#This Row],[Tech Start Date]],12),IF(Main[[#This Row],[Class]]="A",WORKDAY(Main[[#This Row],[Tech Start Date]],4),""))))</f>
        <v/>
      </c>
      <c r="O63" s="73" t="str">
        <f>IF(Main[[#This Row],[Tech Start Date]]&lt;1/1/1990,"",IF(Main[[#This Row],[Class]]="C",WORKDAY(Main[[#This Row],[Tech Start Date]],23),IF(Main[[#This Row],[Class]]="B", WORKDAY(Main[[#This Row],[Tech Start Date]],15),IF(Main[[#This Row],[Class]]="A",WORKDAY(Main[[#This Row],[Tech Start Date]],5),""))))</f>
        <v/>
      </c>
      <c r="P63" s="73" t="str">
        <f>IF(Main[[#This Row],[Tech Start Date]]&lt;1/1/1990,"",IF(Main[[#This Row],[Class]]="C",WORKDAY(Main[[#This Row],[Tech Start Date]],28),IF(Main[[#This Row],[Class]]="B", WORKDAY(Main[[#This Row],[Tech Start Date]],19),IF(Main[[#This Row],[Class]]="A",WORKDAY(Main[[#This Row],[Tech Start Date]],9),""))))</f>
        <v/>
      </c>
      <c r="Q63" s="85">
        <v>40695</v>
      </c>
      <c r="R63" s="112"/>
      <c r="S63" s="95" t="s">
        <v>11</v>
      </c>
      <c r="T63" s="74" t="s">
        <v>327</v>
      </c>
      <c r="U63" s="95" t="s">
        <v>14</v>
      </c>
      <c r="V63" s="95" t="s">
        <v>1912</v>
      </c>
      <c r="W63" s="95" t="s">
        <v>1916</v>
      </c>
      <c r="X63" s="95" t="s">
        <v>2855</v>
      </c>
      <c r="Y63" s="72" t="s">
        <v>2999</v>
      </c>
      <c r="Z63" s="72" t="s">
        <v>3136</v>
      </c>
      <c r="AA63" s="95" t="s">
        <v>2855</v>
      </c>
      <c r="AB63" s="132"/>
      <c r="AC63" s="132"/>
      <c r="AD63" s="132"/>
      <c r="AE63" s="63"/>
      <c r="AF63" s="63"/>
      <c r="AG63" s="63"/>
    </row>
    <row r="64" spans="1:33" ht="17.2" customHeight="1">
      <c r="A64" s="64">
        <f>IF(priority(Main[[#This Row],[Comments]])&lt;&gt;0, priority(Main[[#This Row],[Comments]]),"")</f>
        <v>17</v>
      </c>
      <c r="B64" s="60" t="s">
        <v>2017</v>
      </c>
      <c r="C64" s="72" t="s">
        <v>2018</v>
      </c>
      <c r="D64" s="59" t="s">
        <v>2129</v>
      </c>
      <c r="E64" s="85"/>
      <c r="F64" s="85">
        <v>40752</v>
      </c>
      <c r="G64" s="64" t="str">
        <f>IF(stdProdLT(Main[[#This Row],[Comments]])=0.1,"N/A",IF(stdProdLT(Main[[#This Row],[Comments]])=0,"",TRIM(stdProdLT(Main[[#This Row],[Comments]]))))</f>
        <v>42</v>
      </c>
      <c r="H64" s="94">
        <f>IF(OR(Main[[#This Row],[Std. Prod. Lead Time]]="N/A",Main[[#This Row],[Std. Prod. Lead Time]]=""), "",IF(AND(Main[[#This Row],[In Stock Date]]&lt;&gt;"",Main[[#This Row],[Revised Due Date]]&lt;&gt;"",Main[[#This Row],[In Stock Date]]&lt;&gt;""),Main[[#This Row],[In Stock Date]]-Main[[#This Row],[Revised Due Date]],""))</f>
        <v>-32</v>
      </c>
      <c r="I64" s="101" t="s">
        <v>956</v>
      </c>
      <c r="J64" s="95" t="s">
        <v>28</v>
      </c>
      <c r="K64" s="95" t="s">
        <v>1918</v>
      </c>
      <c r="L64" s="85">
        <v>40745</v>
      </c>
      <c r="M64" s="73">
        <f>IF(Main[[#This Row],[Tech Start Date]]&lt;1/1/1990,"",IF(Main[[#This Row],[Class]]="C",WORKDAY(Main[[#This Row],[Tech Start Date]],9),IF(Main[[#This Row],[Class]]="B", WORKDAY(Main[[#This Row],[Tech Start Date]],6),IF(Main[[#This Row],[Class]]="A",WORKDAY(Main[[#This Row],[Tech Start Date]],2),""))))</f>
        <v>40753</v>
      </c>
      <c r="N64" s="73">
        <f>IF(Main[[#This Row],[Tech Start Date]]&lt;1/1/1990,"",IF(Main[[#This Row],[Class]]="C",WORKDAY(Main[[#This Row],[Tech Start Date]],19),IF(Main[[#This Row],[Class]]="B", WORKDAY(Main[[#This Row],[Tech Start Date]],12),IF(Main[[#This Row],[Class]]="A",WORKDAY(Main[[#This Row],[Tech Start Date]],4),""))))</f>
        <v>40763</v>
      </c>
      <c r="O64" s="73">
        <f>IF(Main[[#This Row],[Tech Start Date]]&lt;1/1/1990,"",IF(Main[[#This Row],[Class]]="C",WORKDAY(Main[[#This Row],[Tech Start Date]],23),IF(Main[[#This Row],[Class]]="B", WORKDAY(Main[[#This Row],[Tech Start Date]],15),IF(Main[[#This Row],[Class]]="A",WORKDAY(Main[[#This Row],[Tech Start Date]],5),""))))</f>
        <v>40766</v>
      </c>
      <c r="P64" s="73">
        <f>IF(Main[[#This Row],[Tech Start Date]]&lt;1/1/1990,"",IF(Main[[#This Row],[Class]]="C",WORKDAY(Main[[#This Row],[Tech Start Date]],28),IF(Main[[#This Row],[Class]]="B", WORKDAY(Main[[#This Row],[Tech Start Date]],19),IF(Main[[#This Row],[Class]]="A",WORKDAY(Main[[#This Row],[Tech Start Date]],9),""))))</f>
        <v>40772</v>
      </c>
      <c r="Q64" s="85">
        <v>40752</v>
      </c>
      <c r="R64" s="112">
        <v>40784</v>
      </c>
      <c r="S64" s="95" t="s">
        <v>11</v>
      </c>
      <c r="T64" s="74" t="s">
        <v>2130</v>
      </c>
      <c r="U64" s="95" t="s">
        <v>14</v>
      </c>
      <c r="V64" s="95" t="s">
        <v>1912</v>
      </c>
      <c r="W64" s="95" t="s">
        <v>1913</v>
      </c>
      <c r="X64" s="95" t="s">
        <v>2796</v>
      </c>
      <c r="Y64" s="72" t="s">
        <v>2907</v>
      </c>
      <c r="Z64" s="72" t="s">
        <v>2047</v>
      </c>
      <c r="AA64" s="95" t="s">
        <v>2796</v>
      </c>
      <c r="AB64" s="132"/>
      <c r="AC64" s="132"/>
      <c r="AD64" s="132"/>
      <c r="AE64" s="63"/>
      <c r="AF64" s="63"/>
      <c r="AG64" s="63"/>
    </row>
    <row r="65" spans="1:33" ht="17.2" customHeight="1">
      <c r="A65" s="64">
        <f>IF(priority(Main[[#This Row],[Comments]])&lt;&gt;0, priority(Main[[#This Row],[Comments]]),"")</f>
        <v>17</v>
      </c>
      <c r="B65" s="60" t="s">
        <v>1162</v>
      </c>
      <c r="C65" s="72" t="s">
        <v>1961</v>
      </c>
      <c r="D65" s="59" t="s">
        <v>217</v>
      </c>
      <c r="E65" s="85"/>
      <c r="F65" s="85">
        <v>40724</v>
      </c>
      <c r="G65" s="64" t="str">
        <f>IF(stdProdLT(Main[[#This Row],[Comments]])=0.1,"N/A",IF(stdProdLT(Main[[#This Row],[Comments]])=0,"",TRIM(stdProdLT(Main[[#This Row],[Comments]]))))</f>
        <v/>
      </c>
      <c r="H65" s="94" t="str">
        <f>IF(OR(Main[[#This Row],[Std. Prod. Lead Time]]="N/A",Main[[#This Row],[Std. Prod. Lead Time]]=""), "",IF(AND(Main[[#This Row],[In Stock Date]]&lt;&gt;"",Main[[#This Row],[Revised Due Date]]&lt;&gt;"",Main[[#This Row],[In Stock Date]]&lt;&gt;""),Main[[#This Row],[In Stock Date]]-Main[[#This Row],[Revised Due Date]],""))</f>
        <v/>
      </c>
      <c r="I65" s="101" t="s">
        <v>942</v>
      </c>
      <c r="J65" s="95" t="s">
        <v>28</v>
      </c>
      <c r="K65" s="96" t="s">
        <v>1918</v>
      </c>
      <c r="L65" s="85">
        <v>40835</v>
      </c>
      <c r="M65" s="73">
        <f>IF(Main[[#This Row],[Tech Start Date]]&lt;1/1/1990,"",IF(Main[[#This Row],[Class]]="C",WORKDAY(Main[[#This Row],[Tech Start Date]],9),IF(Main[[#This Row],[Class]]="B", WORKDAY(Main[[#This Row],[Tech Start Date]],6),IF(Main[[#This Row],[Class]]="A",WORKDAY(Main[[#This Row],[Tech Start Date]],2),""))))</f>
        <v>40843</v>
      </c>
      <c r="N65" s="73">
        <f>IF(Main[[#This Row],[Tech Start Date]]&lt;1/1/1990,"",IF(Main[[#This Row],[Class]]="C",WORKDAY(Main[[#This Row],[Tech Start Date]],19),IF(Main[[#This Row],[Class]]="B", WORKDAY(Main[[#This Row],[Tech Start Date]],12),IF(Main[[#This Row],[Class]]="A",WORKDAY(Main[[#This Row],[Tech Start Date]],4),""))))</f>
        <v>40851</v>
      </c>
      <c r="O65" s="73">
        <f>IF(Main[[#This Row],[Tech Start Date]]&lt;1/1/1990,"",IF(Main[[#This Row],[Class]]="C",WORKDAY(Main[[#This Row],[Tech Start Date]],23),IF(Main[[#This Row],[Class]]="B", WORKDAY(Main[[#This Row],[Tech Start Date]],15),IF(Main[[#This Row],[Class]]="A",WORKDAY(Main[[#This Row],[Tech Start Date]],5),""))))</f>
        <v>40856</v>
      </c>
      <c r="P65" s="73">
        <f>IF(Main[[#This Row],[Tech Start Date]]&lt;1/1/1990,"",IF(Main[[#This Row],[Class]]="C",WORKDAY(Main[[#This Row],[Tech Start Date]],28),IF(Main[[#This Row],[Class]]="B", WORKDAY(Main[[#This Row],[Tech Start Date]],19),IF(Main[[#This Row],[Class]]="A",WORKDAY(Main[[#This Row],[Tech Start Date]],9),""))))</f>
        <v>40862</v>
      </c>
      <c r="Q65" s="85">
        <v>40724</v>
      </c>
      <c r="R65" s="112">
        <v>40900</v>
      </c>
      <c r="S65" s="95" t="s">
        <v>11</v>
      </c>
      <c r="T65" s="74" t="s">
        <v>2782</v>
      </c>
      <c r="U65" s="95" t="s">
        <v>14</v>
      </c>
      <c r="V65" s="95" t="s">
        <v>1912</v>
      </c>
      <c r="W65" s="95" t="s">
        <v>1919</v>
      </c>
      <c r="X65" s="95" t="s">
        <v>2837</v>
      </c>
      <c r="Y65" s="72" t="s">
        <v>2976</v>
      </c>
      <c r="Z65" s="72" t="s">
        <v>2047</v>
      </c>
      <c r="AA65" s="95" t="s">
        <v>2837</v>
      </c>
      <c r="AB65" s="132"/>
      <c r="AC65" s="132"/>
      <c r="AD65" s="132"/>
      <c r="AE65" s="63"/>
      <c r="AF65" s="63"/>
      <c r="AG65" s="63"/>
    </row>
    <row r="66" spans="1:33" ht="17.2" customHeight="1">
      <c r="A66" s="64">
        <f>IF(priority(Main[[#This Row],[Comments]])&lt;&gt;0, priority(Main[[#This Row],[Comments]]),"")</f>
        <v>17</v>
      </c>
      <c r="B66" s="60" t="s">
        <v>3172</v>
      </c>
      <c r="C66" s="72" t="s">
        <v>3183</v>
      </c>
      <c r="D66" s="59" t="s">
        <v>3173</v>
      </c>
      <c r="E66" s="85"/>
      <c r="F66" s="85">
        <v>41122</v>
      </c>
      <c r="G66" s="64" t="str">
        <f>IF(stdProdLT(Main[[#This Row],[Comments]])=0.1,"N/A",IF(stdProdLT(Main[[#This Row],[Comments]])=0,"",TRIM(stdProdLT(Main[[#This Row],[Comments]]))))</f>
        <v>168</v>
      </c>
      <c r="H66" s="94">
        <f>IF(OR(Main[[#This Row],[Std. Prod. Lead Time]]="N/A",Main[[#This Row],[Std. Prod. Lead Time]]=""), "",IF(AND(Main[[#This Row],[In Stock Date]]&lt;&gt;"",Main[[#This Row],[Revised Due Date]]&lt;&gt;"",Main[[#This Row],[In Stock Date]]&lt;&gt;""),Main[[#This Row],[In Stock Date]]-Main[[#This Row],[Revised Due Date]],""))</f>
        <v>173</v>
      </c>
      <c r="I66" s="101" t="s">
        <v>44</v>
      </c>
      <c r="J66" s="95" t="s">
        <v>28</v>
      </c>
      <c r="K66" s="95" t="s">
        <v>1924</v>
      </c>
      <c r="L66" s="85">
        <v>40925</v>
      </c>
      <c r="M66" s="73">
        <f>IF(Main[[#This Row],[Tech Start Date]]&lt;1/1/1990,"",IF(Main[[#This Row],[Class]]="C",WORKDAY(Main[[#This Row],[Tech Start Date]],9),IF(Main[[#This Row],[Class]]="B", WORKDAY(Main[[#This Row],[Tech Start Date]],6),IF(Main[[#This Row],[Class]]="A",WORKDAY(Main[[#This Row],[Tech Start Date]],2),""))))</f>
        <v>40938</v>
      </c>
      <c r="N66" s="73">
        <f>IF(Main[[#This Row],[Tech Start Date]]&lt;1/1/1990,"",IF(Main[[#This Row],[Class]]="C",WORKDAY(Main[[#This Row],[Tech Start Date]],19),IF(Main[[#This Row],[Class]]="B", WORKDAY(Main[[#This Row],[Tech Start Date]],12),IF(Main[[#This Row],[Class]]="A",WORKDAY(Main[[#This Row],[Tech Start Date]],4),""))))</f>
        <v>40952</v>
      </c>
      <c r="O66" s="73">
        <f>IF(Main[[#This Row],[Tech Start Date]]&lt;1/1/1990,"",IF(Main[[#This Row],[Class]]="C",WORKDAY(Main[[#This Row],[Tech Start Date]],23),IF(Main[[#This Row],[Class]]="B", WORKDAY(Main[[#This Row],[Tech Start Date]],15),IF(Main[[#This Row],[Class]]="A",WORKDAY(Main[[#This Row],[Tech Start Date]],5),""))))</f>
        <v>40956</v>
      </c>
      <c r="P66" s="73">
        <f>IF(Main[[#This Row],[Tech Start Date]]&lt;1/1/1990,"",IF(Main[[#This Row],[Class]]="C",WORKDAY(Main[[#This Row],[Tech Start Date]],28),IF(Main[[#This Row],[Class]]="B", WORKDAY(Main[[#This Row],[Tech Start Date]],19),IF(Main[[#This Row],[Class]]="A",WORKDAY(Main[[#This Row],[Tech Start Date]],9),""))))</f>
        <v>40963</v>
      </c>
      <c r="Q66" s="85">
        <v>40973</v>
      </c>
      <c r="R66" s="112">
        <v>40949</v>
      </c>
      <c r="S66" s="95" t="s">
        <v>11</v>
      </c>
      <c r="T66" s="74" t="s">
        <v>3710</v>
      </c>
      <c r="U66" s="95" t="s">
        <v>14</v>
      </c>
      <c r="V66" s="95" t="s">
        <v>1914</v>
      </c>
      <c r="W66" s="95" t="s">
        <v>1917</v>
      </c>
      <c r="X66" s="95" t="s">
        <v>2828</v>
      </c>
      <c r="Y66" s="72" t="s">
        <v>2957</v>
      </c>
      <c r="Z66" s="72" t="s">
        <v>530</v>
      </c>
      <c r="AA66" s="95" t="s">
        <v>2828</v>
      </c>
      <c r="AB66" s="132"/>
      <c r="AC66" s="132"/>
      <c r="AD66" s="132"/>
      <c r="AE66" s="63"/>
      <c r="AF66" s="63"/>
      <c r="AG66" s="63"/>
    </row>
    <row r="67" spans="1:33" ht="17.2" customHeight="1">
      <c r="A67" s="64">
        <f>IF(priority(Main[[#This Row],[Comments]])&lt;&gt;0, priority(Main[[#This Row],[Comments]]),"")</f>
        <v>17</v>
      </c>
      <c r="B67" s="60" t="s">
        <v>3822</v>
      </c>
      <c r="C67" s="72" t="s">
        <v>3788</v>
      </c>
      <c r="D67" s="59" t="s">
        <v>4023</v>
      </c>
      <c r="E67" s="85">
        <v>40969.193483796298</v>
      </c>
      <c r="F67" s="85">
        <v>41153</v>
      </c>
      <c r="G67" s="64" t="str">
        <f>IF(stdProdLT(Main[[#This Row],[Comments]])=0.1,"N/A",IF(stdProdLT(Main[[#This Row],[Comments]])=0,"",TRIM(stdProdLT(Main[[#This Row],[Comments]]))))</f>
        <v>126</v>
      </c>
      <c r="H67" s="94">
        <f>IF(OR(Main[[#This Row],[Std. Prod. Lead Time]]="N/A",Main[[#This Row],[Std. Prod. Lead Time]]=""), "",IF(AND(Main[[#This Row],[In Stock Date]]&lt;&gt;"",Main[[#This Row],[Revised Due Date]]&lt;&gt;"",Main[[#This Row],[In Stock Date]]&lt;&gt;""),Main[[#This Row],[In Stock Date]]-Main[[#This Row],[Revised Due Date]],""))</f>
        <v>162</v>
      </c>
      <c r="I67" s="101" t="s">
        <v>937</v>
      </c>
      <c r="J67" s="95" t="s">
        <v>28</v>
      </c>
      <c r="K67" s="95" t="s">
        <v>1918</v>
      </c>
      <c r="L67" s="85">
        <v>40973</v>
      </c>
      <c r="M67" s="73">
        <f>IF(Main[[#This Row],[Tech Start Date]]&lt;1/1/1990,"",IF(Main[[#This Row],[Class]]="C",WORKDAY(Main[[#This Row],[Tech Start Date]],9),IF(Main[[#This Row],[Class]]="B", WORKDAY(Main[[#This Row],[Tech Start Date]],6),IF(Main[[#This Row],[Class]]="A",WORKDAY(Main[[#This Row],[Tech Start Date]],2),""))))</f>
        <v>40981</v>
      </c>
      <c r="N67" s="73">
        <f>IF(Main[[#This Row],[Tech Start Date]]&lt;1/1/1990,"",IF(Main[[#This Row],[Class]]="C",WORKDAY(Main[[#This Row],[Tech Start Date]],19),IF(Main[[#This Row],[Class]]="B", WORKDAY(Main[[#This Row],[Tech Start Date]],12),IF(Main[[#This Row],[Class]]="A",WORKDAY(Main[[#This Row],[Tech Start Date]],4),""))))</f>
        <v>40989</v>
      </c>
      <c r="O67" s="73">
        <f>IF(Main[[#This Row],[Tech Start Date]]&lt;1/1/1990,"",IF(Main[[#This Row],[Class]]="C",WORKDAY(Main[[#This Row],[Tech Start Date]],23),IF(Main[[#This Row],[Class]]="B", WORKDAY(Main[[#This Row],[Tech Start Date]],15),IF(Main[[#This Row],[Class]]="A",WORKDAY(Main[[#This Row],[Tech Start Date]],5),""))))</f>
        <v>40994</v>
      </c>
      <c r="P67" s="73">
        <f>IF(Main[[#This Row],[Tech Start Date]]&lt;1/1/1990,"",IF(Main[[#This Row],[Class]]="C",WORKDAY(Main[[#This Row],[Tech Start Date]],28),IF(Main[[#This Row],[Class]]="B", WORKDAY(Main[[#This Row],[Tech Start Date]],19),IF(Main[[#This Row],[Class]]="A",WORKDAY(Main[[#This Row],[Tech Start Date]],9),""))))</f>
        <v>40998</v>
      </c>
      <c r="Q67" s="85"/>
      <c r="R67" s="112">
        <v>40991</v>
      </c>
      <c r="S67" s="95" t="s">
        <v>11</v>
      </c>
      <c r="T67" s="74" t="s">
        <v>4024</v>
      </c>
      <c r="U67" s="95" t="s">
        <v>29</v>
      </c>
      <c r="V67" s="95" t="s">
        <v>1911</v>
      </c>
      <c r="W67" s="95" t="s">
        <v>1922</v>
      </c>
      <c r="X67" s="95" t="s">
        <v>2825</v>
      </c>
      <c r="Y67" s="72" t="s">
        <v>3748</v>
      </c>
      <c r="Z67" s="72" t="s">
        <v>129</v>
      </c>
      <c r="AA67" s="95" t="s">
        <v>2825</v>
      </c>
      <c r="AB67" s="132"/>
      <c r="AC67" s="132"/>
      <c r="AD67" s="132"/>
      <c r="AE67" s="63"/>
      <c r="AF67" s="63"/>
      <c r="AG67" s="63"/>
    </row>
    <row r="68" spans="1:33" ht="17.2" customHeight="1">
      <c r="A68" s="64">
        <f>IF(priority(Main[[#This Row],[Comments]])&lt;&gt;0, priority(Main[[#This Row],[Comments]]),"")</f>
        <v>18</v>
      </c>
      <c r="B68" s="60" t="s">
        <v>2760</v>
      </c>
      <c r="C68" s="72" t="s">
        <v>2703</v>
      </c>
      <c r="D68" s="59" t="s">
        <v>2761</v>
      </c>
      <c r="E68" s="85">
        <v>40968.365127314813</v>
      </c>
      <c r="F68" s="85">
        <v>41061</v>
      </c>
      <c r="G68" s="64" t="str">
        <f>IF(stdProdLT(Main[[#This Row],[Comments]])=0.1,"N/A",IF(stdProdLT(Main[[#This Row],[Comments]])=0,"",TRIM(stdProdLT(Main[[#This Row],[Comments]]))))</f>
        <v>168</v>
      </c>
      <c r="H68" s="94" t="str">
        <f>IF(OR(Main[[#This Row],[Std. Prod. Lead Time]]="N/A",Main[[#This Row],[Std. Prod. Lead Time]]=""), "",IF(AND(Main[[#This Row],[In Stock Date]]&lt;&gt;"",Main[[#This Row],[Revised Due Date]]&lt;&gt;"",Main[[#This Row],[In Stock Date]]&lt;&gt;""),Main[[#This Row],[In Stock Date]]-Main[[#This Row],[Revised Due Date]],""))</f>
        <v/>
      </c>
      <c r="I68" s="101" t="s">
        <v>4</v>
      </c>
      <c r="J68" s="95" t="s">
        <v>4</v>
      </c>
      <c r="K68" s="95" t="s">
        <v>4</v>
      </c>
      <c r="L68" s="85"/>
      <c r="M68" s="73" t="str">
        <f>IF(Main[[#This Row],[Tech Start Date]]&lt;1/1/1990,"",IF(Main[[#This Row],[Class]]="C",WORKDAY(Main[[#This Row],[Tech Start Date]],9),IF(Main[[#This Row],[Class]]="B", WORKDAY(Main[[#This Row],[Tech Start Date]],6),IF(Main[[#This Row],[Class]]="A",WORKDAY(Main[[#This Row],[Tech Start Date]],2),""))))</f>
        <v/>
      </c>
      <c r="N68" s="73" t="str">
        <f>IF(Main[[#This Row],[Tech Start Date]]&lt;1/1/1990,"",IF(Main[[#This Row],[Class]]="C",WORKDAY(Main[[#This Row],[Tech Start Date]],19),IF(Main[[#This Row],[Class]]="B", WORKDAY(Main[[#This Row],[Tech Start Date]],12),IF(Main[[#This Row],[Class]]="A",WORKDAY(Main[[#This Row],[Tech Start Date]],4),""))))</f>
        <v/>
      </c>
      <c r="O68" s="73" t="str">
        <f>IF(Main[[#This Row],[Tech Start Date]]&lt;1/1/1990,"",IF(Main[[#This Row],[Class]]="C",WORKDAY(Main[[#This Row],[Tech Start Date]],23),IF(Main[[#This Row],[Class]]="B", WORKDAY(Main[[#This Row],[Tech Start Date]],15),IF(Main[[#This Row],[Class]]="A",WORKDAY(Main[[#This Row],[Tech Start Date]],5),""))))</f>
        <v/>
      </c>
      <c r="P68" s="73" t="str">
        <f>IF(Main[[#This Row],[Tech Start Date]]&lt;1/1/1990,"",IF(Main[[#This Row],[Class]]="C",WORKDAY(Main[[#This Row],[Tech Start Date]],28),IF(Main[[#This Row],[Class]]="B", WORKDAY(Main[[#This Row],[Tech Start Date]],19),IF(Main[[#This Row],[Class]]="A",WORKDAY(Main[[#This Row],[Tech Start Date]],9),""))))</f>
        <v/>
      </c>
      <c r="Q68" s="85"/>
      <c r="R68" s="112"/>
      <c r="S68" s="95" t="s">
        <v>11</v>
      </c>
      <c r="T68" s="74" t="s">
        <v>3767</v>
      </c>
      <c r="U68" s="95" t="s">
        <v>7</v>
      </c>
      <c r="V68" s="95" t="s">
        <v>1914</v>
      </c>
      <c r="W68" s="95" t="s">
        <v>1916</v>
      </c>
      <c r="X68" s="95" t="s">
        <v>2873</v>
      </c>
      <c r="Y68" s="72" t="s">
        <v>3033</v>
      </c>
      <c r="Z68" s="72" t="s">
        <v>4</v>
      </c>
      <c r="AA68" s="95" t="s">
        <v>2873</v>
      </c>
      <c r="AB68" s="132"/>
      <c r="AC68" s="132"/>
      <c r="AD68" s="132"/>
      <c r="AE68" s="63"/>
      <c r="AF68" s="63"/>
      <c r="AG68" s="63"/>
    </row>
    <row r="69" spans="1:33" ht="17.2" customHeight="1">
      <c r="A69" s="64">
        <f>IF(priority(Main[[#This Row],[Comments]])&lt;&gt;0, priority(Main[[#This Row],[Comments]]),"")</f>
        <v>18</v>
      </c>
      <c r="B69" s="60" t="s">
        <v>1233</v>
      </c>
      <c r="C69" s="72" t="s">
        <v>294</v>
      </c>
      <c r="D69" s="59" t="s">
        <v>2304</v>
      </c>
      <c r="E69" s="85">
        <v>40466.671342592592</v>
      </c>
      <c r="F69" s="85"/>
      <c r="G69" s="64" t="str">
        <f>IF(stdProdLT(Main[[#This Row],[Comments]])=0.1,"N/A",IF(stdProdLT(Main[[#This Row],[Comments]])=0,"",TRIM(stdProdLT(Main[[#This Row],[Comments]]))))</f>
        <v/>
      </c>
      <c r="H69" s="94" t="str">
        <f>IF(OR(Main[[#This Row],[Std. Prod. Lead Time]]="N/A",Main[[#This Row],[Std. Prod. Lead Time]]=""), "",IF(AND(Main[[#This Row],[In Stock Date]]&lt;&gt;"",Main[[#This Row],[Revised Due Date]]&lt;&gt;"",Main[[#This Row],[In Stock Date]]&lt;&gt;""),Main[[#This Row],[In Stock Date]]-Main[[#This Row],[Revised Due Date]],""))</f>
        <v/>
      </c>
      <c r="I69" s="101" t="s">
        <v>4</v>
      </c>
      <c r="J69" s="95" t="s">
        <v>28</v>
      </c>
      <c r="K69" s="95" t="s">
        <v>4</v>
      </c>
      <c r="L69" s="85"/>
      <c r="M69" s="73" t="str">
        <f>IF(Main[[#This Row],[Tech Start Date]]&lt;1/1/1990,"",IF(Main[[#This Row],[Class]]="C",WORKDAY(Main[[#This Row],[Tech Start Date]],9),IF(Main[[#This Row],[Class]]="B", WORKDAY(Main[[#This Row],[Tech Start Date]],6),IF(Main[[#This Row],[Class]]="A",WORKDAY(Main[[#This Row],[Tech Start Date]],2),""))))</f>
        <v/>
      </c>
      <c r="N69" s="73" t="str">
        <f>IF(Main[[#This Row],[Tech Start Date]]&lt;1/1/1990,"",IF(Main[[#This Row],[Class]]="C",WORKDAY(Main[[#This Row],[Tech Start Date]],19),IF(Main[[#This Row],[Class]]="B", WORKDAY(Main[[#This Row],[Tech Start Date]],12),IF(Main[[#This Row],[Class]]="A",WORKDAY(Main[[#This Row],[Tech Start Date]],4),""))))</f>
        <v/>
      </c>
      <c r="O69" s="73" t="str">
        <f>IF(Main[[#This Row],[Tech Start Date]]&lt;1/1/1990,"",IF(Main[[#This Row],[Class]]="C",WORKDAY(Main[[#This Row],[Tech Start Date]],23),IF(Main[[#This Row],[Class]]="B", WORKDAY(Main[[#This Row],[Tech Start Date]],15),IF(Main[[#This Row],[Class]]="A",WORKDAY(Main[[#This Row],[Tech Start Date]],5),""))))</f>
        <v/>
      </c>
      <c r="P69" s="73" t="str">
        <f>IF(Main[[#This Row],[Tech Start Date]]&lt;1/1/1990,"",IF(Main[[#This Row],[Class]]="C",WORKDAY(Main[[#This Row],[Tech Start Date]],28),IF(Main[[#This Row],[Class]]="B", WORKDAY(Main[[#This Row],[Tech Start Date]],19),IF(Main[[#This Row],[Class]]="A",WORKDAY(Main[[#This Row],[Tech Start Date]],9),""))))</f>
        <v/>
      </c>
      <c r="Q69" s="85"/>
      <c r="R69" s="112"/>
      <c r="S69" s="95" t="s">
        <v>6</v>
      </c>
      <c r="T69" s="74" t="s">
        <v>2642</v>
      </c>
      <c r="U69" s="95" t="s">
        <v>7</v>
      </c>
      <c r="V69" s="95" t="s">
        <v>1911</v>
      </c>
      <c r="W69" s="95" t="s">
        <v>1919</v>
      </c>
      <c r="X69" s="95" t="s">
        <v>883</v>
      </c>
      <c r="Y69" s="72" t="s">
        <v>2941</v>
      </c>
      <c r="Z69" s="72" t="s">
        <v>129</v>
      </c>
      <c r="AA69" s="95" t="s">
        <v>883</v>
      </c>
      <c r="AB69" s="132"/>
      <c r="AC69" s="132"/>
      <c r="AD69" s="132"/>
      <c r="AE69" s="63"/>
      <c r="AF69" s="63"/>
      <c r="AG69" s="63"/>
    </row>
    <row r="70" spans="1:33" ht="17.2" customHeight="1">
      <c r="A70" s="64">
        <f>IF(priority(Main[[#This Row],[Comments]])&lt;&gt;0, priority(Main[[#This Row],[Comments]]),"")</f>
        <v>18</v>
      </c>
      <c r="B70" s="60" t="s">
        <v>3787</v>
      </c>
      <c r="C70" s="72" t="s">
        <v>3788</v>
      </c>
      <c r="D70" s="59" t="s">
        <v>4021</v>
      </c>
      <c r="E70" s="85">
        <v>40968.159571759257</v>
      </c>
      <c r="F70" s="85">
        <v>41153</v>
      </c>
      <c r="G70" s="64" t="str">
        <f>IF(stdProdLT(Main[[#This Row],[Comments]])=0.1,"N/A",IF(stdProdLT(Main[[#This Row],[Comments]])=0,"",TRIM(stdProdLT(Main[[#This Row],[Comments]]))))</f>
        <v>126</v>
      </c>
      <c r="H70" s="94">
        <f>IF(OR(Main[[#This Row],[Std. Prod. Lead Time]]="N/A",Main[[#This Row],[Std. Prod. Lead Time]]=""), "",IF(AND(Main[[#This Row],[In Stock Date]]&lt;&gt;"",Main[[#This Row],[Revised Due Date]]&lt;&gt;"",Main[[#This Row],[In Stock Date]]&lt;&gt;""),Main[[#This Row],[In Stock Date]]-Main[[#This Row],[Revised Due Date]],""))</f>
        <v>162</v>
      </c>
      <c r="I70" s="101" t="s">
        <v>937</v>
      </c>
      <c r="J70" s="95" t="s">
        <v>28</v>
      </c>
      <c r="K70" s="95" t="s">
        <v>1918</v>
      </c>
      <c r="L70" s="85">
        <v>40973</v>
      </c>
      <c r="M70" s="73">
        <f>IF(Main[[#This Row],[Tech Start Date]]&lt;1/1/1990,"",IF(Main[[#This Row],[Class]]="C",WORKDAY(Main[[#This Row],[Tech Start Date]],9),IF(Main[[#This Row],[Class]]="B", WORKDAY(Main[[#This Row],[Tech Start Date]],6),IF(Main[[#This Row],[Class]]="A",WORKDAY(Main[[#This Row],[Tech Start Date]],2),""))))</f>
        <v>40981</v>
      </c>
      <c r="N70" s="73">
        <f>IF(Main[[#This Row],[Tech Start Date]]&lt;1/1/1990,"",IF(Main[[#This Row],[Class]]="C",WORKDAY(Main[[#This Row],[Tech Start Date]],19),IF(Main[[#This Row],[Class]]="B", WORKDAY(Main[[#This Row],[Tech Start Date]],12),IF(Main[[#This Row],[Class]]="A",WORKDAY(Main[[#This Row],[Tech Start Date]],4),""))))</f>
        <v>40989</v>
      </c>
      <c r="O70" s="73">
        <f>IF(Main[[#This Row],[Tech Start Date]]&lt;1/1/1990,"",IF(Main[[#This Row],[Class]]="C",WORKDAY(Main[[#This Row],[Tech Start Date]],23),IF(Main[[#This Row],[Class]]="B", WORKDAY(Main[[#This Row],[Tech Start Date]],15),IF(Main[[#This Row],[Class]]="A",WORKDAY(Main[[#This Row],[Tech Start Date]],5),""))))</f>
        <v>40994</v>
      </c>
      <c r="P70" s="73">
        <f>IF(Main[[#This Row],[Tech Start Date]]&lt;1/1/1990,"",IF(Main[[#This Row],[Class]]="C",WORKDAY(Main[[#This Row],[Tech Start Date]],28),IF(Main[[#This Row],[Class]]="B", WORKDAY(Main[[#This Row],[Tech Start Date]],19),IF(Main[[#This Row],[Class]]="A",WORKDAY(Main[[#This Row],[Tech Start Date]],9),""))))</f>
        <v>40998</v>
      </c>
      <c r="Q70" s="85">
        <v>41000</v>
      </c>
      <c r="R70" s="112">
        <v>40991</v>
      </c>
      <c r="S70" s="95" t="s">
        <v>11</v>
      </c>
      <c r="T70" s="74" t="s">
        <v>4022</v>
      </c>
      <c r="U70" s="95" t="s">
        <v>29</v>
      </c>
      <c r="V70" s="95" t="s">
        <v>1911</v>
      </c>
      <c r="W70" s="95" t="s">
        <v>1922</v>
      </c>
      <c r="X70" s="95" t="s">
        <v>2825</v>
      </c>
      <c r="Y70" s="72" t="s">
        <v>3748</v>
      </c>
      <c r="Z70" s="72" t="s">
        <v>129</v>
      </c>
      <c r="AA70" s="95" t="s">
        <v>2825</v>
      </c>
      <c r="AB70" s="132"/>
      <c r="AC70" s="132"/>
      <c r="AD70" s="132"/>
      <c r="AE70" s="63"/>
      <c r="AF70" s="63"/>
      <c r="AG70" s="63"/>
    </row>
    <row r="71" spans="1:33" ht="17.2" customHeight="1">
      <c r="A71" s="64">
        <f>IF(priority(Main[[#This Row],[Comments]])&lt;&gt;0, priority(Main[[#This Row],[Comments]]),"")</f>
        <v>19</v>
      </c>
      <c r="B71" s="60" t="s">
        <v>1580</v>
      </c>
      <c r="C71" s="72" t="s">
        <v>122</v>
      </c>
      <c r="D71" s="59" t="s">
        <v>661</v>
      </c>
      <c r="E71" s="85"/>
      <c r="F71" s="85">
        <v>40704</v>
      </c>
      <c r="G71" s="64" t="str">
        <f>IF(stdProdLT(Main[[#This Row],[Comments]])=0.1,"N/A",IF(stdProdLT(Main[[#This Row],[Comments]])=0,"",TRIM(stdProdLT(Main[[#This Row],[Comments]]))))</f>
        <v/>
      </c>
      <c r="H71" s="94" t="str">
        <f>IF(OR(Main[[#This Row],[Std. Prod. Lead Time]]="N/A",Main[[#This Row],[Std. Prod. Lead Time]]=""), "",IF(AND(Main[[#This Row],[In Stock Date]]&lt;&gt;"",Main[[#This Row],[Revised Due Date]]&lt;&gt;"",Main[[#This Row],[In Stock Date]]&lt;&gt;""),Main[[#This Row],[In Stock Date]]-Main[[#This Row],[Revised Due Date]],""))</f>
        <v/>
      </c>
      <c r="I71" s="101" t="s">
        <v>4</v>
      </c>
      <c r="J71" s="95" t="s">
        <v>28</v>
      </c>
      <c r="K71" s="95" t="s">
        <v>1920</v>
      </c>
      <c r="L71" s="85"/>
      <c r="M71" s="73" t="str">
        <f>IF(Main[[#This Row],[Tech Start Date]]&lt;1/1/1990,"",IF(Main[[#This Row],[Class]]="C",WORKDAY(Main[[#This Row],[Tech Start Date]],9),IF(Main[[#This Row],[Class]]="B", WORKDAY(Main[[#This Row],[Tech Start Date]],6),IF(Main[[#This Row],[Class]]="A",WORKDAY(Main[[#This Row],[Tech Start Date]],2),""))))</f>
        <v/>
      </c>
      <c r="N71" s="73" t="str">
        <f>IF(Main[[#This Row],[Tech Start Date]]&lt;1/1/1990,"",IF(Main[[#This Row],[Class]]="C",WORKDAY(Main[[#This Row],[Tech Start Date]],19),IF(Main[[#This Row],[Class]]="B", WORKDAY(Main[[#This Row],[Tech Start Date]],12),IF(Main[[#This Row],[Class]]="A",WORKDAY(Main[[#This Row],[Tech Start Date]],4),""))))</f>
        <v/>
      </c>
      <c r="O71" s="73" t="str">
        <f>IF(Main[[#This Row],[Tech Start Date]]&lt;1/1/1990,"",IF(Main[[#This Row],[Class]]="C",WORKDAY(Main[[#This Row],[Tech Start Date]],23),IF(Main[[#This Row],[Class]]="B", WORKDAY(Main[[#This Row],[Tech Start Date]],15),IF(Main[[#This Row],[Class]]="A",WORKDAY(Main[[#This Row],[Tech Start Date]],5),""))))</f>
        <v/>
      </c>
      <c r="P71" s="73" t="str">
        <f>IF(Main[[#This Row],[Tech Start Date]]&lt;1/1/1990,"",IF(Main[[#This Row],[Class]]="C",WORKDAY(Main[[#This Row],[Tech Start Date]],28),IF(Main[[#This Row],[Class]]="B", WORKDAY(Main[[#This Row],[Tech Start Date]],19),IF(Main[[#This Row],[Class]]="A",WORKDAY(Main[[#This Row],[Tech Start Date]],9),""))))</f>
        <v/>
      </c>
      <c r="Q71" s="85">
        <v>40704</v>
      </c>
      <c r="R71" s="112"/>
      <c r="S71" s="95" t="s">
        <v>11</v>
      </c>
      <c r="T71" s="74" t="s">
        <v>1973</v>
      </c>
      <c r="U71" s="95" t="s">
        <v>14</v>
      </c>
      <c r="V71" s="95" t="s">
        <v>1911</v>
      </c>
      <c r="W71" s="95" t="s">
        <v>1913</v>
      </c>
      <c r="X71" s="95" t="s">
        <v>2832</v>
      </c>
      <c r="Y71" s="72" t="s">
        <v>2968</v>
      </c>
      <c r="Z71" s="72" t="s">
        <v>129</v>
      </c>
      <c r="AA71" s="95" t="s">
        <v>2832</v>
      </c>
      <c r="AB71" s="132"/>
      <c r="AC71" s="132"/>
      <c r="AD71" s="132"/>
      <c r="AE71" s="63"/>
      <c r="AF71" s="63"/>
      <c r="AG71" s="63"/>
    </row>
    <row r="72" spans="1:33" ht="17.2" customHeight="1">
      <c r="A72" s="64">
        <f>IF(priority(Main[[#This Row],[Comments]])&lt;&gt;0, priority(Main[[#This Row],[Comments]]),"")</f>
        <v>19</v>
      </c>
      <c r="B72" s="60" t="s">
        <v>2702</v>
      </c>
      <c r="C72" s="72" t="s">
        <v>2703</v>
      </c>
      <c r="D72" s="59" t="s">
        <v>3554</v>
      </c>
      <c r="E72" s="85">
        <v>40968.374976851854</v>
      </c>
      <c r="F72" s="85">
        <v>41061</v>
      </c>
      <c r="G72" s="64" t="str">
        <f>IF(stdProdLT(Main[[#This Row],[Comments]])=0.1,"N/A",IF(stdProdLT(Main[[#This Row],[Comments]])=0,"",TRIM(stdProdLT(Main[[#This Row],[Comments]]))))</f>
        <v>168</v>
      </c>
      <c r="H72" s="94" t="str">
        <f>IF(OR(Main[[#This Row],[Std. Prod. Lead Time]]="N/A",Main[[#This Row],[Std. Prod. Lead Time]]=""), "",IF(AND(Main[[#This Row],[In Stock Date]]&lt;&gt;"",Main[[#This Row],[Revised Due Date]]&lt;&gt;"",Main[[#This Row],[In Stock Date]]&lt;&gt;""),Main[[#This Row],[In Stock Date]]-Main[[#This Row],[Revised Due Date]],""))</f>
        <v/>
      </c>
      <c r="I72" s="101" t="s">
        <v>4</v>
      </c>
      <c r="J72" s="95" t="s">
        <v>4</v>
      </c>
      <c r="K72" s="95" t="s">
        <v>4</v>
      </c>
      <c r="L72" s="85"/>
      <c r="M72" s="73" t="str">
        <f>IF(Main[[#This Row],[Tech Start Date]]&lt;1/1/1990,"",IF(Main[[#This Row],[Class]]="C",WORKDAY(Main[[#This Row],[Tech Start Date]],9),IF(Main[[#This Row],[Class]]="B", WORKDAY(Main[[#This Row],[Tech Start Date]],6),IF(Main[[#This Row],[Class]]="A",WORKDAY(Main[[#This Row],[Tech Start Date]],2),""))))</f>
        <v/>
      </c>
      <c r="N72" s="73" t="str">
        <f>IF(Main[[#This Row],[Tech Start Date]]&lt;1/1/1990,"",IF(Main[[#This Row],[Class]]="C",WORKDAY(Main[[#This Row],[Tech Start Date]],19),IF(Main[[#This Row],[Class]]="B", WORKDAY(Main[[#This Row],[Tech Start Date]],12),IF(Main[[#This Row],[Class]]="A",WORKDAY(Main[[#This Row],[Tech Start Date]],4),""))))</f>
        <v/>
      </c>
      <c r="O72" s="73" t="str">
        <f>IF(Main[[#This Row],[Tech Start Date]]&lt;1/1/1990,"",IF(Main[[#This Row],[Class]]="C",WORKDAY(Main[[#This Row],[Tech Start Date]],23),IF(Main[[#This Row],[Class]]="B", WORKDAY(Main[[#This Row],[Tech Start Date]],15),IF(Main[[#This Row],[Class]]="A",WORKDAY(Main[[#This Row],[Tech Start Date]],5),""))))</f>
        <v/>
      </c>
      <c r="P72" s="73" t="str">
        <f>IF(Main[[#This Row],[Tech Start Date]]&lt;1/1/1990,"",IF(Main[[#This Row],[Class]]="C",WORKDAY(Main[[#This Row],[Tech Start Date]],28),IF(Main[[#This Row],[Class]]="B", WORKDAY(Main[[#This Row],[Tech Start Date]],19),IF(Main[[#This Row],[Class]]="A",WORKDAY(Main[[#This Row],[Tech Start Date]],9),""))))</f>
        <v/>
      </c>
      <c r="Q72" s="85"/>
      <c r="R72" s="112"/>
      <c r="S72" s="95" t="s">
        <v>11</v>
      </c>
      <c r="T72" s="74" t="s">
        <v>3766</v>
      </c>
      <c r="U72" s="95" t="s">
        <v>7</v>
      </c>
      <c r="V72" s="95" t="s">
        <v>1914</v>
      </c>
      <c r="W72" s="95" t="s">
        <v>1916</v>
      </c>
      <c r="X72" s="95" t="s">
        <v>2873</v>
      </c>
      <c r="Y72" s="72" t="s">
        <v>3033</v>
      </c>
      <c r="Z72" s="72" t="s">
        <v>4</v>
      </c>
      <c r="AA72" s="95" t="s">
        <v>2873</v>
      </c>
      <c r="AB72" s="132"/>
      <c r="AC72" s="132"/>
      <c r="AD72" s="132"/>
      <c r="AE72" s="63"/>
      <c r="AF72" s="63"/>
      <c r="AG72" s="63"/>
    </row>
    <row r="73" spans="1:33" ht="17.2" customHeight="1">
      <c r="A73" s="64">
        <f>IF(priority(Main[[#This Row],[Comments]])&lt;&gt;0, priority(Main[[#This Row],[Comments]]),"")</f>
        <v>20</v>
      </c>
      <c r="B73" s="60" t="s">
        <v>1898</v>
      </c>
      <c r="C73" s="72" t="s">
        <v>952</v>
      </c>
      <c r="D73" s="59" t="s">
        <v>2031</v>
      </c>
      <c r="E73" s="85"/>
      <c r="F73" s="85"/>
      <c r="G73" s="64" t="str">
        <f>IF(stdProdLT(Main[[#This Row],[Comments]])=0.1,"N/A",IF(stdProdLT(Main[[#This Row],[Comments]])=0,"",TRIM(stdProdLT(Main[[#This Row],[Comments]]))))</f>
        <v>112</v>
      </c>
      <c r="H73" s="94" t="str">
        <f>IF(OR(Main[[#This Row],[Std. Prod. Lead Time]]="N/A",Main[[#This Row],[Std. Prod. Lead Time]]=""), "",IF(AND(Main[[#This Row],[In Stock Date]]&lt;&gt;"",Main[[#This Row],[Revised Due Date]]&lt;&gt;"",Main[[#This Row],[In Stock Date]]&lt;&gt;""),Main[[#This Row],[In Stock Date]]-Main[[#This Row],[Revised Due Date]],""))</f>
        <v/>
      </c>
      <c r="I73" s="101" t="s">
        <v>50</v>
      </c>
      <c r="J73" s="95" t="s">
        <v>52</v>
      </c>
      <c r="K73" s="95" t="s">
        <v>1924</v>
      </c>
      <c r="L73" s="85"/>
      <c r="M73" s="73" t="str">
        <f>IF(Main[[#This Row],[Tech Start Date]]&lt;1/1/1990,"",IF(Main[[#This Row],[Class]]="C",WORKDAY(Main[[#This Row],[Tech Start Date]],9),IF(Main[[#This Row],[Class]]="B", WORKDAY(Main[[#This Row],[Tech Start Date]],6),IF(Main[[#This Row],[Class]]="A",WORKDAY(Main[[#This Row],[Tech Start Date]],2),""))))</f>
        <v/>
      </c>
      <c r="N73" s="73" t="str">
        <f>IF(Main[[#This Row],[Tech Start Date]]&lt;1/1/1990,"",IF(Main[[#This Row],[Class]]="C",WORKDAY(Main[[#This Row],[Tech Start Date]],19),IF(Main[[#This Row],[Class]]="B", WORKDAY(Main[[#This Row],[Tech Start Date]],12),IF(Main[[#This Row],[Class]]="A",WORKDAY(Main[[#This Row],[Tech Start Date]],4),""))))</f>
        <v/>
      </c>
      <c r="O73" s="73" t="str">
        <f>IF(Main[[#This Row],[Tech Start Date]]&lt;1/1/1990,"",IF(Main[[#This Row],[Class]]="C",WORKDAY(Main[[#This Row],[Tech Start Date]],23),IF(Main[[#This Row],[Class]]="B", WORKDAY(Main[[#This Row],[Tech Start Date]],15),IF(Main[[#This Row],[Class]]="A",WORKDAY(Main[[#This Row],[Tech Start Date]],5),""))))</f>
        <v/>
      </c>
      <c r="P73" s="73" t="str">
        <f>IF(Main[[#This Row],[Tech Start Date]]&lt;1/1/1990,"",IF(Main[[#This Row],[Class]]="C",WORKDAY(Main[[#This Row],[Tech Start Date]],28),IF(Main[[#This Row],[Class]]="B", WORKDAY(Main[[#This Row],[Tech Start Date]],19),IF(Main[[#This Row],[Class]]="A",WORKDAY(Main[[#This Row],[Tech Start Date]],9),""))))</f>
        <v/>
      </c>
      <c r="Q73" s="85">
        <v>40598</v>
      </c>
      <c r="R73" s="112">
        <v>40786</v>
      </c>
      <c r="S73" s="95" t="s">
        <v>11</v>
      </c>
      <c r="T73" s="74" t="s">
        <v>2117</v>
      </c>
      <c r="U73" s="95" t="s">
        <v>14</v>
      </c>
      <c r="V73" s="95" t="s">
        <v>1912</v>
      </c>
      <c r="W73" s="95" t="s">
        <v>1913</v>
      </c>
      <c r="X73" s="95" t="s">
        <v>2796</v>
      </c>
      <c r="Y73" s="72" t="s">
        <v>2907</v>
      </c>
      <c r="Z73" s="72" t="s">
        <v>2047</v>
      </c>
      <c r="AA73" s="95" t="s">
        <v>2796</v>
      </c>
      <c r="AB73" s="132"/>
      <c r="AC73" s="132"/>
      <c r="AD73" s="132"/>
      <c r="AE73" s="63"/>
      <c r="AF73" s="63"/>
      <c r="AG73" s="63"/>
    </row>
    <row r="74" spans="1:33" ht="17.2" customHeight="1">
      <c r="A74" s="64">
        <f>IF(priority(Main[[#This Row],[Comments]])&lt;&gt;0, priority(Main[[#This Row],[Comments]]),"")</f>
        <v>20</v>
      </c>
      <c r="B74" s="60" t="s">
        <v>1950</v>
      </c>
      <c r="C74" s="72" t="s">
        <v>4</v>
      </c>
      <c r="D74" s="59" t="s">
        <v>2263</v>
      </c>
      <c r="E74" s="85">
        <v>40722.471516203703</v>
      </c>
      <c r="F74" s="85"/>
      <c r="G74" s="64" t="str">
        <f>IF(stdProdLT(Main[[#This Row],[Comments]])=0.1,"N/A",IF(stdProdLT(Main[[#This Row],[Comments]])=0,"",TRIM(stdProdLT(Main[[#This Row],[Comments]]))))</f>
        <v>N/A</v>
      </c>
      <c r="H74" s="94" t="str">
        <f>IF(OR(Main[[#This Row],[Std. Prod. Lead Time]]="N/A",Main[[#This Row],[Std. Prod. Lead Time]]=""), "",IF(AND(Main[[#This Row],[In Stock Date]]&lt;&gt;"",Main[[#This Row],[Revised Due Date]]&lt;&gt;"",Main[[#This Row],[In Stock Date]]&lt;&gt;""),Main[[#This Row],[In Stock Date]]-Main[[#This Row],[Revised Due Date]],""))</f>
        <v/>
      </c>
      <c r="I74" s="101" t="s">
        <v>912</v>
      </c>
      <c r="J74" s="95" t="s">
        <v>21</v>
      </c>
      <c r="K74" s="95" t="s">
        <v>1920</v>
      </c>
      <c r="L74" s="85"/>
      <c r="M74" s="73" t="str">
        <f>IF(Main[[#This Row],[Tech Start Date]]&lt;1/1/1990,"",IF(Main[[#This Row],[Class]]="C",WORKDAY(Main[[#This Row],[Tech Start Date]],9),IF(Main[[#This Row],[Class]]="B", WORKDAY(Main[[#This Row],[Tech Start Date]],6),IF(Main[[#This Row],[Class]]="A",WORKDAY(Main[[#This Row],[Tech Start Date]],2),""))))</f>
        <v/>
      </c>
      <c r="N74" s="73" t="str">
        <f>IF(Main[[#This Row],[Tech Start Date]]&lt;1/1/1990,"",IF(Main[[#This Row],[Class]]="C",WORKDAY(Main[[#This Row],[Tech Start Date]],19),IF(Main[[#This Row],[Class]]="B", WORKDAY(Main[[#This Row],[Tech Start Date]],12),IF(Main[[#This Row],[Class]]="A",WORKDAY(Main[[#This Row],[Tech Start Date]],4),""))))</f>
        <v/>
      </c>
      <c r="O74" s="73" t="str">
        <f>IF(Main[[#This Row],[Tech Start Date]]&lt;1/1/1990,"",IF(Main[[#This Row],[Class]]="C",WORKDAY(Main[[#This Row],[Tech Start Date]],23),IF(Main[[#This Row],[Class]]="B", WORKDAY(Main[[#This Row],[Tech Start Date]],15),IF(Main[[#This Row],[Class]]="A",WORKDAY(Main[[#This Row],[Tech Start Date]],5),""))))</f>
        <v/>
      </c>
      <c r="P74" s="73" t="str">
        <f>IF(Main[[#This Row],[Tech Start Date]]&lt;1/1/1990,"",IF(Main[[#This Row],[Class]]="C",WORKDAY(Main[[#This Row],[Tech Start Date]],28),IF(Main[[#This Row],[Class]]="B", WORKDAY(Main[[#This Row],[Tech Start Date]],19),IF(Main[[#This Row],[Class]]="A",WORKDAY(Main[[#This Row],[Tech Start Date]],9),""))))</f>
        <v/>
      </c>
      <c r="Q74" s="85">
        <v>40753</v>
      </c>
      <c r="R74" s="112">
        <v>40756</v>
      </c>
      <c r="S74" s="95" t="s">
        <v>6</v>
      </c>
      <c r="T74" s="74" t="s">
        <v>2641</v>
      </c>
      <c r="U74" s="95" t="s">
        <v>29</v>
      </c>
      <c r="V74" s="95" t="s">
        <v>1911</v>
      </c>
      <c r="W74" s="95" t="s">
        <v>1915</v>
      </c>
      <c r="X74" s="95" t="s">
        <v>2798</v>
      </c>
      <c r="Y74" s="72" t="s">
        <v>2908</v>
      </c>
      <c r="Z74" s="72" t="s">
        <v>129</v>
      </c>
      <c r="AA74" s="95" t="s">
        <v>2798</v>
      </c>
      <c r="AB74" s="132"/>
      <c r="AC74" s="132"/>
      <c r="AD74" s="132"/>
      <c r="AE74" s="63"/>
      <c r="AF74" s="63"/>
      <c r="AG74" s="63"/>
    </row>
    <row r="75" spans="1:33" ht="17.2" customHeight="1">
      <c r="A75" s="64">
        <f>IF(priority(Main[[#This Row],[Comments]])&lt;&gt;0, priority(Main[[#This Row],[Comments]]),"")</f>
        <v>20</v>
      </c>
      <c r="B75" s="60" t="s">
        <v>2627</v>
      </c>
      <c r="C75" s="72" t="s">
        <v>53</v>
      </c>
      <c r="D75" s="59" t="s">
        <v>2628</v>
      </c>
      <c r="E75" s="85"/>
      <c r="F75" s="85"/>
      <c r="G75" s="64" t="str">
        <f>IF(stdProdLT(Main[[#This Row],[Comments]])=0.1,"N/A",IF(stdProdLT(Main[[#This Row],[Comments]])=0,"",TRIM(stdProdLT(Main[[#This Row],[Comments]]))))</f>
        <v>N/A</v>
      </c>
      <c r="H75" s="94" t="str">
        <f>IF(OR(Main[[#This Row],[Std. Prod. Lead Time]]="N/A",Main[[#This Row],[Std. Prod. Lead Time]]=""), "",IF(AND(Main[[#This Row],[In Stock Date]]&lt;&gt;"",Main[[#This Row],[Revised Due Date]]&lt;&gt;"",Main[[#This Row],[In Stock Date]]&lt;&gt;""),Main[[#This Row],[In Stock Date]]-Main[[#This Row],[Revised Due Date]],""))</f>
        <v/>
      </c>
      <c r="I75" s="101" t="s">
        <v>941</v>
      </c>
      <c r="J75" s="95" t="s">
        <v>28</v>
      </c>
      <c r="K75" s="95" t="s">
        <v>1918</v>
      </c>
      <c r="L75" s="85">
        <v>40854</v>
      </c>
      <c r="M75" s="73">
        <f>IF(Main[[#This Row],[Tech Start Date]]&lt;1/1/1990,"",IF(Main[[#This Row],[Class]]="C",WORKDAY(Main[[#This Row],[Tech Start Date]],9),IF(Main[[#This Row],[Class]]="B", WORKDAY(Main[[#This Row],[Tech Start Date]],6),IF(Main[[#This Row],[Class]]="A",WORKDAY(Main[[#This Row],[Tech Start Date]],2),""))))</f>
        <v>40862</v>
      </c>
      <c r="N75" s="73">
        <f>IF(Main[[#This Row],[Tech Start Date]]&lt;1/1/1990,"",IF(Main[[#This Row],[Class]]="C",WORKDAY(Main[[#This Row],[Tech Start Date]],19),IF(Main[[#This Row],[Class]]="B", WORKDAY(Main[[#This Row],[Tech Start Date]],12),IF(Main[[#This Row],[Class]]="A",WORKDAY(Main[[#This Row],[Tech Start Date]],4),""))))</f>
        <v>40870</v>
      </c>
      <c r="O75" s="73">
        <f>IF(Main[[#This Row],[Tech Start Date]]&lt;1/1/1990,"",IF(Main[[#This Row],[Class]]="C",WORKDAY(Main[[#This Row],[Tech Start Date]],23),IF(Main[[#This Row],[Class]]="B", WORKDAY(Main[[#This Row],[Tech Start Date]],15),IF(Main[[#This Row],[Class]]="A",WORKDAY(Main[[#This Row],[Tech Start Date]],5),""))))</f>
        <v>40875</v>
      </c>
      <c r="P75" s="73">
        <f>IF(Main[[#This Row],[Tech Start Date]]&lt;1/1/1990,"",IF(Main[[#This Row],[Class]]="C",WORKDAY(Main[[#This Row],[Tech Start Date]],28),IF(Main[[#This Row],[Class]]="B", WORKDAY(Main[[#This Row],[Tech Start Date]],19),IF(Main[[#This Row],[Class]]="A",WORKDAY(Main[[#This Row],[Tech Start Date]],9),""))))</f>
        <v>40879</v>
      </c>
      <c r="Q75" s="85">
        <v>40883</v>
      </c>
      <c r="R75" s="112">
        <v>40877</v>
      </c>
      <c r="S75" s="95" t="s">
        <v>11</v>
      </c>
      <c r="T75" s="74" t="s">
        <v>2629</v>
      </c>
      <c r="U75" s="95" t="s">
        <v>14</v>
      </c>
      <c r="V75" s="95" t="s">
        <v>1912</v>
      </c>
      <c r="W75" s="95" t="s">
        <v>1913</v>
      </c>
      <c r="X75" s="95" t="s">
        <v>2796</v>
      </c>
      <c r="Y75" s="72" t="s">
        <v>2971</v>
      </c>
      <c r="Z75" s="72" t="s">
        <v>2047</v>
      </c>
      <c r="AA75" s="95" t="s">
        <v>2796</v>
      </c>
      <c r="AB75" s="132"/>
      <c r="AC75" s="132"/>
      <c r="AD75" s="132"/>
      <c r="AE75" s="63"/>
      <c r="AF75" s="63"/>
      <c r="AG75" s="63"/>
    </row>
    <row r="76" spans="1:33" ht="17.2" customHeight="1">
      <c r="A76" s="64">
        <f>IF(priority(Main[[#This Row],[Comments]])&lt;&gt;0, priority(Main[[#This Row],[Comments]]),"")</f>
        <v>20</v>
      </c>
      <c r="B76" s="60" t="s">
        <v>3745</v>
      </c>
      <c r="C76" s="72" t="s">
        <v>3756</v>
      </c>
      <c r="D76" s="59" t="s">
        <v>3746</v>
      </c>
      <c r="E76" s="85">
        <v>40960.080937500003</v>
      </c>
      <c r="F76" s="85">
        <v>41105</v>
      </c>
      <c r="G76" s="64" t="str">
        <f>IF(stdProdLT(Main[[#This Row],[Comments]])=0.1,"N/A",IF(stdProdLT(Main[[#This Row],[Comments]])=0,"",TRIM(stdProdLT(Main[[#This Row],[Comments]]))))</f>
        <v>140</v>
      </c>
      <c r="H76" s="94">
        <f>IF(OR(Main[[#This Row],[Std. Prod. Lead Time]]="N/A",Main[[#This Row],[Std. Prod. Lead Time]]=""), "",IF(AND(Main[[#This Row],[In Stock Date]]&lt;&gt;"",Main[[#This Row],[Revised Due Date]]&lt;&gt;"",Main[[#This Row],[In Stock Date]]&lt;&gt;""),Main[[#This Row],[In Stock Date]]-Main[[#This Row],[Revised Due Date]],""))</f>
        <v>110</v>
      </c>
      <c r="I76" s="101" t="s">
        <v>239</v>
      </c>
      <c r="J76" s="95" t="s">
        <v>21</v>
      </c>
      <c r="K76" s="95" t="s">
        <v>1918</v>
      </c>
      <c r="L76" s="85">
        <v>40960</v>
      </c>
      <c r="M76" s="73">
        <f>IF(Main[[#This Row],[Tech Start Date]]&lt;1/1/1990,"",IF(Main[[#This Row],[Class]]="C",WORKDAY(Main[[#This Row],[Tech Start Date]],9),IF(Main[[#This Row],[Class]]="B", WORKDAY(Main[[#This Row],[Tech Start Date]],6),IF(Main[[#This Row],[Class]]="A",WORKDAY(Main[[#This Row],[Tech Start Date]],2),""))))</f>
        <v>40968</v>
      </c>
      <c r="N76" s="73">
        <f>IF(Main[[#This Row],[Tech Start Date]]&lt;1/1/1990,"",IF(Main[[#This Row],[Class]]="C",WORKDAY(Main[[#This Row],[Tech Start Date]],19),IF(Main[[#This Row],[Class]]="B", WORKDAY(Main[[#This Row],[Tech Start Date]],12),IF(Main[[#This Row],[Class]]="A",WORKDAY(Main[[#This Row],[Tech Start Date]],4),""))))</f>
        <v>40976</v>
      </c>
      <c r="O76" s="73">
        <f>IF(Main[[#This Row],[Tech Start Date]]&lt;1/1/1990,"",IF(Main[[#This Row],[Class]]="C",WORKDAY(Main[[#This Row],[Tech Start Date]],23),IF(Main[[#This Row],[Class]]="B", WORKDAY(Main[[#This Row],[Tech Start Date]],15),IF(Main[[#This Row],[Class]]="A",WORKDAY(Main[[#This Row],[Tech Start Date]],5),""))))</f>
        <v>40981</v>
      </c>
      <c r="P76" s="73">
        <f>IF(Main[[#This Row],[Tech Start Date]]&lt;1/1/1990,"",IF(Main[[#This Row],[Class]]="C",WORKDAY(Main[[#This Row],[Tech Start Date]],28),IF(Main[[#This Row],[Class]]="B", WORKDAY(Main[[#This Row],[Tech Start Date]],19),IF(Main[[#This Row],[Class]]="A",WORKDAY(Main[[#This Row],[Tech Start Date]],9),""))))</f>
        <v>40987</v>
      </c>
      <c r="Q76" s="85">
        <v>40995</v>
      </c>
      <c r="R76" s="112">
        <v>40995</v>
      </c>
      <c r="S76" s="95" t="s">
        <v>11</v>
      </c>
      <c r="T76" s="74" t="s">
        <v>3747</v>
      </c>
      <c r="U76" s="95" t="s">
        <v>29</v>
      </c>
      <c r="V76" s="95" t="s">
        <v>1921</v>
      </c>
      <c r="W76" s="95" t="s">
        <v>1916</v>
      </c>
      <c r="X76" s="95" t="s">
        <v>2825</v>
      </c>
      <c r="Y76" s="72" t="s">
        <v>3748</v>
      </c>
      <c r="Z76" s="72" t="s">
        <v>69</v>
      </c>
      <c r="AA76" s="95" t="s">
        <v>2825</v>
      </c>
      <c r="AB76" s="132"/>
      <c r="AC76" s="132"/>
      <c r="AD76" s="132"/>
      <c r="AE76" s="63"/>
      <c r="AF76" s="63"/>
      <c r="AG76" s="63"/>
    </row>
    <row r="77" spans="1:33" ht="17.2" customHeight="1">
      <c r="A77" s="64">
        <f>IF(priority(Main[[#This Row],[Comments]])&lt;&gt;0, priority(Main[[#This Row],[Comments]]),"")</f>
        <v>21</v>
      </c>
      <c r="B77" s="60" t="s">
        <v>3176</v>
      </c>
      <c r="C77" s="72" t="s">
        <v>3177</v>
      </c>
      <c r="D77" s="59" t="s">
        <v>3329</v>
      </c>
      <c r="E77" s="85">
        <v>40920.494050925925</v>
      </c>
      <c r="F77" s="85">
        <v>41197</v>
      </c>
      <c r="G77" s="64" t="str">
        <f>IF(stdProdLT(Main[[#This Row],[Comments]])=0.1,"N/A",IF(stdProdLT(Main[[#This Row],[Comments]])=0,"",TRIM(stdProdLT(Main[[#This Row],[Comments]]))))</f>
        <v>126</v>
      </c>
      <c r="H77" s="94">
        <f>IF(OR(Main[[#This Row],[Std. Prod. Lead Time]]="N/A",Main[[#This Row],[Std. Prod. Lead Time]]=""), "",IF(AND(Main[[#This Row],[In Stock Date]]&lt;&gt;"",Main[[#This Row],[Revised Due Date]]&lt;&gt;"",Main[[#This Row],[In Stock Date]]&lt;&gt;""),Main[[#This Row],[In Stock Date]]-Main[[#This Row],[Revised Due Date]],""))</f>
        <v>220</v>
      </c>
      <c r="I77" s="101" t="s">
        <v>912</v>
      </c>
      <c r="J77" s="95" t="s">
        <v>52</v>
      </c>
      <c r="K77" s="95" t="s">
        <v>1918</v>
      </c>
      <c r="L77" s="85">
        <v>40921</v>
      </c>
      <c r="M77" s="73">
        <f>IF(Main[[#This Row],[Tech Start Date]]&lt;1/1/1990,"",IF(Main[[#This Row],[Class]]="C",WORKDAY(Main[[#This Row],[Tech Start Date]],9),IF(Main[[#This Row],[Class]]="B", WORKDAY(Main[[#This Row],[Tech Start Date]],6),IF(Main[[#This Row],[Class]]="A",WORKDAY(Main[[#This Row],[Tech Start Date]],2),""))))</f>
        <v>40931</v>
      </c>
      <c r="N77" s="73">
        <f>IF(Main[[#This Row],[Tech Start Date]]&lt;1/1/1990,"",IF(Main[[#This Row],[Class]]="C",WORKDAY(Main[[#This Row],[Tech Start Date]],19),IF(Main[[#This Row],[Class]]="B", WORKDAY(Main[[#This Row],[Tech Start Date]],12),IF(Main[[#This Row],[Class]]="A",WORKDAY(Main[[#This Row],[Tech Start Date]],4),""))))</f>
        <v>40939</v>
      </c>
      <c r="O77" s="73">
        <f>IF(Main[[#This Row],[Tech Start Date]]&lt;1/1/1990,"",IF(Main[[#This Row],[Class]]="C",WORKDAY(Main[[#This Row],[Tech Start Date]],23),IF(Main[[#This Row],[Class]]="B", WORKDAY(Main[[#This Row],[Tech Start Date]],15),IF(Main[[#This Row],[Class]]="A",WORKDAY(Main[[#This Row],[Tech Start Date]],5),""))))</f>
        <v>40942</v>
      </c>
      <c r="P77" s="73">
        <f>IF(Main[[#This Row],[Tech Start Date]]&lt;1/1/1990,"",IF(Main[[#This Row],[Class]]="C",WORKDAY(Main[[#This Row],[Tech Start Date]],28),IF(Main[[#This Row],[Class]]="B", WORKDAY(Main[[#This Row],[Tech Start Date]],19),IF(Main[[#This Row],[Class]]="A",WORKDAY(Main[[#This Row],[Tech Start Date]],9),""))))</f>
        <v>40948</v>
      </c>
      <c r="Q77" s="85">
        <v>41197</v>
      </c>
      <c r="R77" s="112">
        <v>40977</v>
      </c>
      <c r="S77" s="95" t="s">
        <v>11</v>
      </c>
      <c r="T77" s="74" t="s">
        <v>3831</v>
      </c>
      <c r="U77" s="95" t="s">
        <v>29</v>
      </c>
      <c r="V77" s="95" t="s">
        <v>1911</v>
      </c>
      <c r="W77" s="95" t="s">
        <v>1917</v>
      </c>
      <c r="X77" s="95" t="s">
        <v>2832</v>
      </c>
      <c r="Y77" s="72" t="s">
        <v>2968</v>
      </c>
      <c r="Z77" s="72" t="s">
        <v>129</v>
      </c>
      <c r="AA77" s="95" t="s">
        <v>2832</v>
      </c>
      <c r="AB77" s="132"/>
      <c r="AC77" s="132"/>
      <c r="AD77" s="132"/>
      <c r="AE77" s="63"/>
      <c r="AF77" s="63"/>
      <c r="AG77" s="63"/>
    </row>
    <row r="78" spans="1:33" ht="17.2" customHeight="1">
      <c r="A78" s="64">
        <f>IF(priority(Main[[#This Row],[Comments]])&lt;&gt;0, priority(Main[[#This Row],[Comments]]),"")</f>
        <v>22</v>
      </c>
      <c r="B78" s="60" t="s">
        <v>1678</v>
      </c>
      <c r="C78" s="72" t="s">
        <v>4</v>
      </c>
      <c r="D78" s="59" t="s">
        <v>2302</v>
      </c>
      <c r="E78" s="85">
        <v>40715.570891203701</v>
      </c>
      <c r="F78" s="85"/>
      <c r="G78" s="64" t="str">
        <f>IF(stdProdLT(Main[[#This Row],[Comments]])=0.1,"N/A",IF(stdProdLT(Main[[#This Row],[Comments]])=0,"",TRIM(stdProdLT(Main[[#This Row],[Comments]]))))</f>
        <v>N/A</v>
      </c>
      <c r="H78" s="94" t="str">
        <f>IF(OR(Main[[#This Row],[Std. Prod. Lead Time]]="N/A",Main[[#This Row],[Std. Prod. Lead Time]]=""), "",IF(AND(Main[[#This Row],[In Stock Date]]&lt;&gt;"",Main[[#This Row],[Revised Due Date]]&lt;&gt;"",Main[[#This Row],[In Stock Date]]&lt;&gt;""),Main[[#This Row],[In Stock Date]]-Main[[#This Row],[Revised Due Date]],""))</f>
        <v/>
      </c>
      <c r="I78" s="101" t="s">
        <v>912</v>
      </c>
      <c r="J78" s="95" t="s">
        <v>52</v>
      </c>
      <c r="K78" s="95" t="s">
        <v>4</v>
      </c>
      <c r="L78" s="85"/>
      <c r="M78" s="73" t="str">
        <f>IF(Main[[#This Row],[Tech Start Date]]&lt;1/1/1990,"",IF(Main[[#This Row],[Class]]="C",WORKDAY(Main[[#This Row],[Tech Start Date]],9),IF(Main[[#This Row],[Class]]="B", WORKDAY(Main[[#This Row],[Tech Start Date]],6),IF(Main[[#This Row],[Class]]="A",WORKDAY(Main[[#This Row],[Tech Start Date]],2),""))))</f>
        <v/>
      </c>
      <c r="N78" s="73" t="str">
        <f>IF(Main[[#This Row],[Tech Start Date]]&lt;1/1/1990,"",IF(Main[[#This Row],[Class]]="C",WORKDAY(Main[[#This Row],[Tech Start Date]],19),IF(Main[[#This Row],[Class]]="B", WORKDAY(Main[[#This Row],[Tech Start Date]],12),IF(Main[[#This Row],[Class]]="A",WORKDAY(Main[[#This Row],[Tech Start Date]],4),""))))</f>
        <v/>
      </c>
      <c r="O78" s="73" t="str">
        <f>IF(Main[[#This Row],[Tech Start Date]]&lt;1/1/1990,"",IF(Main[[#This Row],[Class]]="C",WORKDAY(Main[[#This Row],[Tech Start Date]],23),IF(Main[[#This Row],[Class]]="B", WORKDAY(Main[[#This Row],[Tech Start Date]],15),IF(Main[[#This Row],[Class]]="A",WORKDAY(Main[[#This Row],[Tech Start Date]],5),""))))</f>
        <v/>
      </c>
      <c r="P78" s="73" t="str">
        <f>IF(Main[[#This Row],[Tech Start Date]]&lt;1/1/1990,"",IF(Main[[#This Row],[Class]]="C",WORKDAY(Main[[#This Row],[Tech Start Date]],28),IF(Main[[#This Row],[Class]]="B", WORKDAY(Main[[#This Row],[Tech Start Date]],19),IF(Main[[#This Row],[Class]]="A",WORKDAY(Main[[#This Row],[Tech Start Date]],9),""))))</f>
        <v/>
      </c>
      <c r="Q78" s="85">
        <v>40733</v>
      </c>
      <c r="R78" s="112">
        <v>40756</v>
      </c>
      <c r="S78" s="95" t="s">
        <v>6</v>
      </c>
      <c r="T78" s="74" t="s">
        <v>2551</v>
      </c>
      <c r="U78" s="95" t="s">
        <v>29</v>
      </c>
      <c r="V78" s="95" t="s">
        <v>1911</v>
      </c>
      <c r="W78" s="95" t="s">
        <v>1915</v>
      </c>
      <c r="X78" s="95" t="s">
        <v>2816</v>
      </c>
      <c r="Y78" s="72" t="s">
        <v>2943</v>
      </c>
      <c r="Z78" s="72" t="s">
        <v>4</v>
      </c>
      <c r="AA78" s="95" t="s">
        <v>2816</v>
      </c>
      <c r="AB78" s="132"/>
      <c r="AC78" s="132"/>
      <c r="AD78" s="132"/>
      <c r="AE78" s="63"/>
      <c r="AF78" s="63"/>
      <c r="AG78" s="63"/>
    </row>
    <row r="79" spans="1:33" ht="17.2" customHeight="1">
      <c r="A79" s="64">
        <f>IF(priority(Main[[#This Row],[Comments]])&lt;&gt;0, priority(Main[[#This Row],[Comments]]),"")</f>
        <v>22</v>
      </c>
      <c r="B79" s="60" t="s">
        <v>3729</v>
      </c>
      <c r="C79" s="72" t="s">
        <v>3730</v>
      </c>
      <c r="D79" s="59" t="s">
        <v>3731</v>
      </c>
      <c r="E79" s="85">
        <v>40953.469097222223</v>
      </c>
      <c r="F79" s="85">
        <v>41183</v>
      </c>
      <c r="G79" s="64" t="str">
        <f>IF(stdProdLT(Main[[#This Row],[Comments]])=0.1,"N/A",IF(stdProdLT(Main[[#This Row],[Comments]])=0,"",TRIM(stdProdLT(Main[[#This Row],[Comments]]))))</f>
        <v>84</v>
      </c>
      <c r="H79" s="94">
        <f>IF(OR(Main[[#This Row],[Std. Prod. Lead Time]]="N/A",Main[[#This Row],[Std. Prod. Lead Time]]=""), "",IF(AND(Main[[#This Row],[In Stock Date]]&lt;&gt;"",Main[[#This Row],[Revised Due Date]]&lt;&gt;"",Main[[#This Row],[In Stock Date]]&lt;&gt;""),Main[[#This Row],[In Stock Date]]-Main[[#This Row],[Revised Due Date]],""))</f>
        <v>200</v>
      </c>
      <c r="I79" s="101" t="s">
        <v>937</v>
      </c>
      <c r="J79" s="95" t="s">
        <v>28</v>
      </c>
      <c r="K79" s="95" t="s">
        <v>1920</v>
      </c>
      <c r="L79" s="85">
        <v>40959</v>
      </c>
      <c r="M79" s="73">
        <f>IF(Main[[#This Row],[Tech Start Date]]&lt;1/1/1990,"",IF(Main[[#This Row],[Class]]="C",WORKDAY(Main[[#This Row],[Tech Start Date]],9),IF(Main[[#This Row],[Class]]="B", WORKDAY(Main[[#This Row],[Tech Start Date]],6),IF(Main[[#This Row],[Class]]="A",WORKDAY(Main[[#This Row],[Tech Start Date]],2),""))))</f>
        <v>40961</v>
      </c>
      <c r="N79" s="73">
        <f>IF(Main[[#This Row],[Tech Start Date]]&lt;1/1/1990,"",IF(Main[[#This Row],[Class]]="C",WORKDAY(Main[[#This Row],[Tech Start Date]],19),IF(Main[[#This Row],[Class]]="B", WORKDAY(Main[[#This Row],[Tech Start Date]],12),IF(Main[[#This Row],[Class]]="A",WORKDAY(Main[[#This Row],[Tech Start Date]],4),""))))</f>
        <v>40963</v>
      </c>
      <c r="O79" s="73">
        <f>IF(Main[[#This Row],[Tech Start Date]]&lt;1/1/1990,"",IF(Main[[#This Row],[Class]]="C",WORKDAY(Main[[#This Row],[Tech Start Date]],23),IF(Main[[#This Row],[Class]]="B", WORKDAY(Main[[#This Row],[Tech Start Date]],15),IF(Main[[#This Row],[Class]]="A",WORKDAY(Main[[#This Row],[Tech Start Date]],5),""))))</f>
        <v>40966</v>
      </c>
      <c r="P79" s="73">
        <f>IF(Main[[#This Row],[Tech Start Date]]&lt;1/1/1990,"",IF(Main[[#This Row],[Class]]="C",WORKDAY(Main[[#This Row],[Tech Start Date]],28),IF(Main[[#This Row],[Class]]="B", WORKDAY(Main[[#This Row],[Tech Start Date]],19),IF(Main[[#This Row],[Class]]="A",WORKDAY(Main[[#This Row],[Tech Start Date]],9),""))))</f>
        <v>40970</v>
      </c>
      <c r="Q79" s="85"/>
      <c r="R79" s="112">
        <v>40983</v>
      </c>
      <c r="S79" s="95" t="s">
        <v>11</v>
      </c>
      <c r="T79" s="74" t="s">
        <v>3832</v>
      </c>
      <c r="U79" s="95" t="s">
        <v>29</v>
      </c>
      <c r="V79" s="95" t="s">
        <v>1911</v>
      </c>
      <c r="W79" s="95" t="s">
        <v>1916</v>
      </c>
      <c r="X79" s="95" t="s">
        <v>2797</v>
      </c>
      <c r="Y79" s="72" t="s">
        <v>3108</v>
      </c>
      <c r="Z79" s="72" t="s">
        <v>129</v>
      </c>
      <c r="AA79" s="95" t="s">
        <v>2797</v>
      </c>
      <c r="AB79" s="132"/>
      <c r="AC79" s="132"/>
      <c r="AD79" s="132"/>
      <c r="AE79" s="63"/>
      <c r="AF79" s="63"/>
      <c r="AG79" s="63"/>
    </row>
    <row r="80" spans="1:33" ht="17.2" customHeight="1">
      <c r="A80" s="64">
        <f>IF(priority(Main[[#This Row],[Comments]])&lt;&gt;0, priority(Main[[#This Row],[Comments]]),"")</f>
        <v>23</v>
      </c>
      <c r="B80" s="60" t="s">
        <v>2673</v>
      </c>
      <c r="C80" s="72" t="s">
        <v>2674</v>
      </c>
      <c r="D80" s="59" t="s">
        <v>3197</v>
      </c>
      <c r="E80" s="85">
        <v>40899.118032407408</v>
      </c>
      <c r="F80" s="85">
        <v>41122</v>
      </c>
      <c r="G80" s="64" t="str">
        <f>IF(stdProdLT(Main[[#This Row],[Comments]])=0.1,"N/A",IF(stdProdLT(Main[[#This Row],[Comments]])=0,"",TRIM(stdProdLT(Main[[#This Row],[Comments]]))))</f>
        <v>84</v>
      </c>
      <c r="H80" s="94">
        <f>IF(OR(Main[[#This Row],[Std. Prod. Lead Time]]="N/A",Main[[#This Row],[Std. Prod. Lead Time]]=""), "",IF(AND(Main[[#This Row],[In Stock Date]]&lt;&gt;"",Main[[#This Row],[Revised Due Date]]&lt;&gt;"",Main[[#This Row],[In Stock Date]]&lt;&gt;""),Main[[#This Row],[In Stock Date]]-Main[[#This Row],[Revised Due Date]],""))</f>
        <v>138</v>
      </c>
      <c r="I80" s="101" t="s">
        <v>894</v>
      </c>
      <c r="J80" s="95" t="s">
        <v>52</v>
      </c>
      <c r="K80" s="95" t="s">
        <v>1924</v>
      </c>
      <c r="L80" s="85"/>
      <c r="M80" s="73" t="str">
        <f>IF(Main[[#This Row],[Tech Start Date]]&lt;1/1/1990,"",IF(Main[[#This Row],[Class]]="C",WORKDAY(Main[[#This Row],[Tech Start Date]],9),IF(Main[[#This Row],[Class]]="B", WORKDAY(Main[[#This Row],[Tech Start Date]],6),IF(Main[[#This Row],[Class]]="A",WORKDAY(Main[[#This Row],[Tech Start Date]],2),""))))</f>
        <v/>
      </c>
      <c r="N80" s="73" t="str">
        <f>IF(Main[[#This Row],[Tech Start Date]]&lt;1/1/1990,"",IF(Main[[#This Row],[Class]]="C",WORKDAY(Main[[#This Row],[Tech Start Date]],19),IF(Main[[#This Row],[Class]]="B", WORKDAY(Main[[#This Row],[Tech Start Date]],12),IF(Main[[#This Row],[Class]]="A",WORKDAY(Main[[#This Row],[Tech Start Date]],4),""))))</f>
        <v/>
      </c>
      <c r="O80" s="73" t="str">
        <f>IF(Main[[#This Row],[Tech Start Date]]&lt;1/1/1990,"",IF(Main[[#This Row],[Class]]="C",WORKDAY(Main[[#This Row],[Tech Start Date]],23),IF(Main[[#This Row],[Class]]="B", WORKDAY(Main[[#This Row],[Tech Start Date]],15),IF(Main[[#This Row],[Class]]="A",WORKDAY(Main[[#This Row],[Tech Start Date]],5),""))))</f>
        <v/>
      </c>
      <c r="P80" s="73" t="str">
        <f>IF(Main[[#This Row],[Tech Start Date]]&lt;1/1/1990,"",IF(Main[[#This Row],[Class]]="C",WORKDAY(Main[[#This Row],[Tech Start Date]],28),IF(Main[[#This Row],[Class]]="B", WORKDAY(Main[[#This Row],[Tech Start Date]],19),IF(Main[[#This Row],[Class]]="A",WORKDAY(Main[[#This Row],[Tech Start Date]],9),""))))</f>
        <v/>
      </c>
      <c r="Q80" s="85">
        <v>40960</v>
      </c>
      <c r="R80" s="112">
        <v>40984</v>
      </c>
      <c r="S80" s="95" t="s">
        <v>11</v>
      </c>
      <c r="T80" s="74" t="s">
        <v>3829</v>
      </c>
      <c r="U80" s="95" t="s">
        <v>29</v>
      </c>
      <c r="V80" s="95" t="s">
        <v>1911</v>
      </c>
      <c r="W80" s="95" t="s">
        <v>1917</v>
      </c>
      <c r="X80" s="95" t="s">
        <v>2815</v>
      </c>
      <c r="Y80" s="72" t="s">
        <v>4</v>
      </c>
      <c r="Z80" s="72" t="s">
        <v>912</v>
      </c>
      <c r="AA80" s="95" t="s">
        <v>2815</v>
      </c>
      <c r="AB80" s="132"/>
      <c r="AC80" s="132"/>
      <c r="AD80" s="132"/>
      <c r="AE80" s="63"/>
      <c r="AF80" s="63"/>
      <c r="AG80" s="63"/>
    </row>
    <row r="81" spans="1:33" ht="17.2" customHeight="1">
      <c r="A81" s="64">
        <f>IF(priority(Main[[#This Row],[Comments]])&lt;&gt;0, priority(Main[[#This Row],[Comments]]),"")</f>
        <v>24</v>
      </c>
      <c r="B81" s="60" t="s">
        <v>1556</v>
      </c>
      <c r="C81" s="72" t="s">
        <v>4</v>
      </c>
      <c r="D81" s="59" t="s">
        <v>2293</v>
      </c>
      <c r="E81" s="85">
        <v>40710.712175925924</v>
      </c>
      <c r="F81" s="85"/>
      <c r="G81" s="64" t="str">
        <f>IF(stdProdLT(Main[[#This Row],[Comments]])=0.1,"N/A",IF(stdProdLT(Main[[#This Row],[Comments]])=0,"",TRIM(stdProdLT(Main[[#This Row],[Comments]]))))</f>
        <v>N/A</v>
      </c>
      <c r="H81" s="94" t="str">
        <f>IF(OR(Main[[#This Row],[Std. Prod. Lead Time]]="N/A",Main[[#This Row],[Std. Prod. Lead Time]]=""), "",IF(AND(Main[[#This Row],[In Stock Date]]&lt;&gt;"",Main[[#This Row],[Revised Due Date]]&lt;&gt;"",Main[[#This Row],[In Stock Date]]&lt;&gt;""),Main[[#This Row],[In Stock Date]]-Main[[#This Row],[Revised Due Date]],""))</f>
        <v/>
      </c>
      <c r="I81" s="101" t="s">
        <v>912</v>
      </c>
      <c r="J81" s="95" t="s">
        <v>4</v>
      </c>
      <c r="K81" s="95" t="s">
        <v>4</v>
      </c>
      <c r="L81" s="85"/>
      <c r="M81" s="73" t="str">
        <f>IF(Main[[#This Row],[Tech Start Date]]&lt;1/1/1990,"",IF(Main[[#This Row],[Class]]="C",WORKDAY(Main[[#This Row],[Tech Start Date]],9),IF(Main[[#This Row],[Class]]="B", WORKDAY(Main[[#This Row],[Tech Start Date]],6),IF(Main[[#This Row],[Class]]="A",WORKDAY(Main[[#This Row],[Tech Start Date]],2),""))))</f>
        <v/>
      </c>
      <c r="N81" s="73" t="str">
        <f>IF(Main[[#This Row],[Tech Start Date]]&lt;1/1/1990,"",IF(Main[[#This Row],[Class]]="C",WORKDAY(Main[[#This Row],[Tech Start Date]],19),IF(Main[[#This Row],[Class]]="B", WORKDAY(Main[[#This Row],[Tech Start Date]],12),IF(Main[[#This Row],[Class]]="A",WORKDAY(Main[[#This Row],[Tech Start Date]],4),""))))</f>
        <v/>
      </c>
      <c r="O81" s="73" t="str">
        <f>IF(Main[[#This Row],[Tech Start Date]]&lt;1/1/1990,"",IF(Main[[#This Row],[Class]]="C",WORKDAY(Main[[#This Row],[Tech Start Date]],23),IF(Main[[#This Row],[Class]]="B", WORKDAY(Main[[#This Row],[Tech Start Date]],15),IF(Main[[#This Row],[Class]]="A",WORKDAY(Main[[#This Row],[Tech Start Date]],5),""))))</f>
        <v/>
      </c>
      <c r="P81" s="73" t="str">
        <f>IF(Main[[#This Row],[Tech Start Date]]&lt;1/1/1990,"",IF(Main[[#This Row],[Class]]="C",WORKDAY(Main[[#This Row],[Tech Start Date]],28),IF(Main[[#This Row],[Class]]="B", WORKDAY(Main[[#This Row],[Tech Start Date]],19),IF(Main[[#This Row],[Class]]="A",WORKDAY(Main[[#This Row],[Tech Start Date]],9),""))))</f>
        <v/>
      </c>
      <c r="Q81" s="85"/>
      <c r="R81" s="112">
        <v>40756</v>
      </c>
      <c r="S81" s="95" t="s">
        <v>6</v>
      </c>
      <c r="T81" s="74" t="s">
        <v>2255</v>
      </c>
      <c r="U81" s="95" t="s">
        <v>29</v>
      </c>
      <c r="V81" s="95" t="s">
        <v>1911</v>
      </c>
      <c r="W81" s="95" t="s">
        <v>1915</v>
      </c>
      <c r="X81" s="95" t="s">
        <v>2846</v>
      </c>
      <c r="Y81" s="72" t="s">
        <v>2978</v>
      </c>
      <c r="Z81" s="72" t="s">
        <v>4</v>
      </c>
      <c r="AA81" s="95" t="s">
        <v>2846</v>
      </c>
      <c r="AB81" s="132"/>
      <c r="AC81" s="132"/>
      <c r="AD81" s="132"/>
      <c r="AE81" s="63"/>
      <c r="AF81" s="63"/>
      <c r="AG81" s="63"/>
    </row>
    <row r="82" spans="1:33" ht="17.2" customHeight="1">
      <c r="A82" s="64">
        <f>IF(priority(Main[[#This Row],[Comments]])&lt;&gt;0, priority(Main[[#This Row],[Comments]]),"")</f>
        <v>24</v>
      </c>
      <c r="B82" s="60" t="s">
        <v>3900</v>
      </c>
      <c r="C82" s="72" t="s">
        <v>2658</v>
      </c>
      <c r="D82" s="59" t="s">
        <v>3842</v>
      </c>
      <c r="E82" s="85"/>
      <c r="F82" s="85">
        <v>41013</v>
      </c>
      <c r="G82" s="64" t="str">
        <f>IF(stdProdLT(Main[[#This Row],[Comments]])=0.1,"N/A",IF(stdProdLT(Main[[#This Row],[Comments]])=0,"",TRIM(stdProdLT(Main[[#This Row],[Comments]]))))</f>
        <v>N/A</v>
      </c>
      <c r="H82" s="94" t="str">
        <f>IF(OR(Main[[#This Row],[Std. Prod. Lead Time]]="N/A",Main[[#This Row],[Std. Prod. Lead Time]]=""), "",IF(AND(Main[[#This Row],[In Stock Date]]&lt;&gt;"",Main[[#This Row],[Revised Due Date]]&lt;&gt;"",Main[[#This Row],[In Stock Date]]&lt;&gt;""),Main[[#This Row],[In Stock Date]]-Main[[#This Row],[Revised Due Date]],""))</f>
        <v/>
      </c>
      <c r="I82" s="101" t="s">
        <v>4</v>
      </c>
      <c r="J82" s="95" t="s">
        <v>75</v>
      </c>
      <c r="K82" s="96" t="s">
        <v>4</v>
      </c>
      <c r="L82" s="85"/>
      <c r="M82" s="73" t="str">
        <f>IF(Main[[#This Row],[Tech Start Date]]&lt;1/1/1990,"",IF(Main[[#This Row],[Class]]="C",WORKDAY(Main[[#This Row],[Tech Start Date]],9),IF(Main[[#This Row],[Class]]="B", WORKDAY(Main[[#This Row],[Tech Start Date]],6),IF(Main[[#This Row],[Class]]="A",WORKDAY(Main[[#This Row],[Tech Start Date]],2),""))))</f>
        <v/>
      </c>
      <c r="N82" s="73" t="str">
        <f>IF(Main[[#This Row],[Tech Start Date]]&lt;1/1/1990,"",IF(Main[[#This Row],[Class]]="C",WORKDAY(Main[[#This Row],[Tech Start Date]],19),IF(Main[[#This Row],[Class]]="B", WORKDAY(Main[[#This Row],[Tech Start Date]],12),IF(Main[[#This Row],[Class]]="A",WORKDAY(Main[[#This Row],[Tech Start Date]],4),""))))</f>
        <v/>
      </c>
      <c r="O82" s="73" t="str">
        <f>IF(Main[[#This Row],[Tech Start Date]]&lt;1/1/1990,"",IF(Main[[#This Row],[Class]]="C",WORKDAY(Main[[#This Row],[Tech Start Date]],23),IF(Main[[#This Row],[Class]]="B", WORKDAY(Main[[#This Row],[Tech Start Date]],15),IF(Main[[#This Row],[Class]]="A",WORKDAY(Main[[#This Row],[Tech Start Date]],5),""))))</f>
        <v/>
      </c>
      <c r="P82" s="73" t="str">
        <f>IF(Main[[#This Row],[Tech Start Date]]&lt;1/1/1990,"",IF(Main[[#This Row],[Class]]="C",WORKDAY(Main[[#This Row],[Tech Start Date]],28),IF(Main[[#This Row],[Class]]="B", WORKDAY(Main[[#This Row],[Tech Start Date]],19),IF(Main[[#This Row],[Class]]="A",WORKDAY(Main[[#This Row],[Tech Start Date]],9),""))))</f>
        <v/>
      </c>
      <c r="Q82" s="85">
        <v>40915</v>
      </c>
      <c r="R82" s="112"/>
      <c r="S82" s="95" t="s">
        <v>11</v>
      </c>
      <c r="T82" s="74" t="s">
        <v>3714</v>
      </c>
      <c r="U82" s="95" t="s">
        <v>14</v>
      </c>
      <c r="V82" s="95" t="s">
        <v>1921</v>
      </c>
      <c r="W82" s="95" t="s">
        <v>1919</v>
      </c>
      <c r="X82" s="95" t="s">
        <v>2804</v>
      </c>
      <c r="Y82" s="72" t="s">
        <v>4</v>
      </c>
      <c r="Z82" s="72" t="s">
        <v>530</v>
      </c>
      <c r="AA82" s="95" t="s">
        <v>3328</v>
      </c>
      <c r="AB82" s="132"/>
      <c r="AC82" s="132"/>
      <c r="AD82" s="132"/>
      <c r="AE82" s="63"/>
      <c r="AF82" s="63"/>
      <c r="AG82" s="63"/>
    </row>
    <row r="83" spans="1:33" ht="17.2" customHeight="1">
      <c r="A83" s="64">
        <f>IF(priority(Main[[#This Row],[Comments]])&lt;&gt;0, priority(Main[[#This Row],[Comments]]),"")</f>
        <v>24</v>
      </c>
      <c r="B83" s="60" t="s">
        <v>3796</v>
      </c>
      <c r="C83" s="72" t="s">
        <v>58</v>
      </c>
      <c r="D83" s="59" t="s">
        <v>4017</v>
      </c>
      <c r="E83" s="85">
        <v>40968.615104166667</v>
      </c>
      <c r="F83" s="85">
        <v>41108</v>
      </c>
      <c r="G83" s="64" t="str">
        <f>IF(stdProdLT(Main[[#This Row],[Comments]])=0.1,"N/A",IF(stdProdLT(Main[[#This Row],[Comments]])=0,"",TRIM(stdProdLT(Main[[#This Row],[Comments]]))))</f>
        <v>126</v>
      </c>
      <c r="H83" s="94">
        <f>IF(OR(Main[[#This Row],[Std. Prod. Lead Time]]="N/A",Main[[#This Row],[Std. Prod. Lead Time]]=""), "",IF(AND(Main[[#This Row],[In Stock Date]]&lt;&gt;"",Main[[#This Row],[Revised Due Date]]&lt;&gt;"",Main[[#This Row],[In Stock Date]]&lt;&gt;""),Main[[#This Row],[In Stock Date]]-Main[[#This Row],[Revised Due Date]],""))</f>
        <v>117</v>
      </c>
      <c r="I83" s="101" t="s">
        <v>561</v>
      </c>
      <c r="J83" s="95" t="s">
        <v>28</v>
      </c>
      <c r="K83" s="95" t="s">
        <v>1918</v>
      </c>
      <c r="L83" s="85">
        <v>40973</v>
      </c>
      <c r="M83" s="73">
        <f>IF(Main[[#This Row],[Tech Start Date]]&lt;1/1/1990,"",IF(Main[[#This Row],[Class]]="C",WORKDAY(Main[[#This Row],[Tech Start Date]],9),IF(Main[[#This Row],[Class]]="B", WORKDAY(Main[[#This Row],[Tech Start Date]],6),IF(Main[[#This Row],[Class]]="A",WORKDAY(Main[[#This Row],[Tech Start Date]],2),""))))</f>
        <v>40981</v>
      </c>
      <c r="N83" s="73">
        <f>IF(Main[[#This Row],[Tech Start Date]]&lt;1/1/1990,"",IF(Main[[#This Row],[Class]]="C",WORKDAY(Main[[#This Row],[Tech Start Date]],19),IF(Main[[#This Row],[Class]]="B", WORKDAY(Main[[#This Row],[Tech Start Date]],12),IF(Main[[#This Row],[Class]]="A",WORKDAY(Main[[#This Row],[Tech Start Date]],4),""))))</f>
        <v>40989</v>
      </c>
      <c r="O83" s="73">
        <f>IF(Main[[#This Row],[Tech Start Date]]&lt;1/1/1990,"",IF(Main[[#This Row],[Class]]="C",WORKDAY(Main[[#This Row],[Tech Start Date]],23),IF(Main[[#This Row],[Class]]="B", WORKDAY(Main[[#This Row],[Tech Start Date]],15),IF(Main[[#This Row],[Class]]="A",WORKDAY(Main[[#This Row],[Tech Start Date]],5),""))))</f>
        <v>40994</v>
      </c>
      <c r="P83" s="73">
        <f>IF(Main[[#This Row],[Tech Start Date]]&lt;1/1/1990,"",IF(Main[[#This Row],[Class]]="C",WORKDAY(Main[[#This Row],[Tech Start Date]],28),IF(Main[[#This Row],[Class]]="B", WORKDAY(Main[[#This Row],[Tech Start Date]],19),IF(Main[[#This Row],[Class]]="A",WORKDAY(Main[[#This Row],[Tech Start Date]],9),""))))</f>
        <v>40998</v>
      </c>
      <c r="Q83" s="85">
        <v>40996</v>
      </c>
      <c r="R83" s="112">
        <v>40991</v>
      </c>
      <c r="S83" s="95" t="s">
        <v>11</v>
      </c>
      <c r="T83" s="74" t="s">
        <v>4018</v>
      </c>
      <c r="U83" s="95" t="s">
        <v>29</v>
      </c>
      <c r="V83" s="95" t="s">
        <v>1911</v>
      </c>
      <c r="W83" s="95" t="s">
        <v>1922</v>
      </c>
      <c r="X83" s="95" t="s">
        <v>2809</v>
      </c>
      <c r="Y83" s="72" t="s">
        <v>3795</v>
      </c>
      <c r="Z83" s="72" t="s">
        <v>129</v>
      </c>
      <c r="AA83" s="95" t="s">
        <v>2809</v>
      </c>
      <c r="AB83" s="132"/>
      <c r="AC83" s="132"/>
      <c r="AD83" s="132"/>
      <c r="AE83" s="63"/>
      <c r="AF83" s="63"/>
      <c r="AG83" s="63"/>
    </row>
    <row r="84" spans="1:33" ht="17.2" customHeight="1">
      <c r="A84" s="64">
        <f>IF(priority(Main[[#This Row],[Comments]])&lt;&gt;0, priority(Main[[#This Row],[Comments]]),"")</f>
        <v>25</v>
      </c>
      <c r="B84" s="60" t="s">
        <v>3198</v>
      </c>
      <c r="C84" s="72" t="s">
        <v>2748</v>
      </c>
      <c r="D84" s="59" t="s">
        <v>2791</v>
      </c>
      <c r="E84" s="85"/>
      <c r="F84" s="85"/>
      <c r="G84" s="64" t="str">
        <f>IF(stdProdLT(Main[[#This Row],[Comments]])=0.1,"N/A",IF(stdProdLT(Main[[#This Row],[Comments]])=0,"",TRIM(stdProdLT(Main[[#This Row],[Comments]]))))</f>
        <v>98</v>
      </c>
      <c r="H84" s="94" t="str">
        <f>IF(OR(Main[[#This Row],[Std. Prod. Lead Time]]="N/A",Main[[#This Row],[Std. Prod. Lead Time]]=""), "",IF(AND(Main[[#This Row],[In Stock Date]]&lt;&gt;"",Main[[#This Row],[Revised Due Date]]&lt;&gt;"",Main[[#This Row],[In Stock Date]]&lt;&gt;""),Main[[#This Row],[In Stock Date]]-Main[[#This Row],[Revised Due Date]],""))</f>
        <v/>
      </c>
      <c r="I84" s="101" t="s">
        <v>4</v>
      </c>
      <c r="J84" s="95" t="s">
        <v>4</v>
      </c>
      <c r="K84" s="95" t="s">
        <v>4</v>
      </c>
      <c r="L84" s="85"/>
      <c r="M84" s="73" t="str">
        <f>IF(Main[[#This Row],[Tech Start Date]]&lt;1/1/1990,"",IF(Main[[#This Row],[Class]]="C",WORKDAY(Main[[#This Row],[Tech Start Date]],9),IF(Main[[#This Row],[Class]]="B", WORKDAY(Main[[#This Row],[Tech Start Date]],6),IF(Main[[#This Row],[Class]]="A",WORKDAY(Main[[#This Row],[Tech Start Date]],2),""))))</f>
        <v/>
      </c>
      <c r="N84" s="73" t="str">
        <f>IF(Main[[#This Row],[Tech Start Date]]&lt;1/1/1990,"",IF(Main[[#This Row],[Class]]="C",WORKDAY(Main[[#This Row],[Tech Start Date]],19),IF(Main[[#This Row],[Class]]="B", WORKDAY(Main[[#This Row],[Tech Start Date]],12),IF(Main[[#This Row],[Class]]="A",WORKDAY(Main[[#This Row],[Tech Start Date]],4),""))))</f>
        <v/>
      </c>
      <c r="O84" s="73" t="str">
        <f>IF(Main[[#This Row],[Tech Start Date]]&lt;1/1/1990,"",IF(Main[[#This Row],[Class]]="C",WORKDAY(Main[[#This Row],[Tech Start Date]],23),IF(Main[[#This Row],[Class]]="B", WORKDAY(Main[[#This Row],[Tech Start Date]],15),IF(Main[[#This Row],[Class]]="A",WORKDAY(Main[[#This Row],[Tech Start Date]],5),""))))</f>
        <v/>
      </c>
      <c r="P84" s="73" t="str">
        <f>IF(Main[[#This Row],[Tech Start Date]]&lt;1/1/1990,"",IF(Main[[#This Row],[Class]]="C",WORKDAY(Main[[#This Row],[Tech Start Date]],28),IF(Main[[#This Row],[Class]]="B", WORKDAY(Main[[#This Row],[Tech Start Date]],19),IF(Main[[#This Row],[Class]]="A",WORKDAY(Main[[#This Row],[Tech Start Date]],9),""))))</f>
        <v/>
      </c>
      <c r="Q84" s="85">
        <v>40889</v>
      </c>
      <c r="R84" s="112"/>
      <c r="S84" s="95" t="s">
        <v>11</v>
      </c>
      <c r="T84" s="74" t="s">
        <v>3193</v>
      </c>
      <c r="U84" s="95" t="s">
        <v>12</v>
      </c>
      <c r="V84" s="95" t="s">
        <v>1911</v>
      </c>
      <c r="W84" s="95" t="s">
        <v>1917</v>
      </c>
      <c r="X84" s="95" t="s">
        <v>3199</v>
      </c>
      <c r="Y84" s="72" t="s">
        <v>4</v>
      </c>
      <c r="Z84" s="72" t="s">
        <v>4</v>
      </c>
      <c r="AA84" s="95" t="s">
        <v>2834</v>
      </c>
      <c r="AB84" s="132"/>
      <c r="AC84" s="132"/>
      <c r="AD84" s="132"/>
      <c r="AE84" s="63"/>
      <c r="AF84" s="63"/>
      <c r="AG84" s="63"/>
    </row>
    <row r="85" spans="1:33" ht="17.2" customHeight="1">
      <c r="A85" s="64">
        <f>IF(priority(Main[[#This Row],[Comments]])&lt;&gt;0, priority(Main[[#This Row],[Comments]]),"")</f>
        <v>25</v>
      </c>
      <c r="B85" s="60" t="s">
        <v>3794</v>
      </c>
      <c r="C85" s="72" t="s">
        <v>58</v>
      </c>
      <c r="D85" s="59" t="s">
        <v>4013</v>
      </c>
      <c r="E85" s="85">
        <v>40968.637592592589</v>
      </c>
      <c r="F85" s="85">
        <v>41108</v>
      </c>
      <c r="G85" s="64" t="str">
        <f>IF(stdProdLT(Main[[#This Row],[Comments]])=0.1,"N/A",IF(stdProdLT(Main[[#This Row],[Comments]])=0,"",TRIM(stdProdLT(Main[[#This Row],[Comments]]))))</f>
        <v>126</v>
      </c>
      <c r="H85" s="94">
        <f>IF(OR(Main[[#This Row],[Std. Prod. Lead Time]]="N/A",Main[[#This Row],[Std. Prod. Lead Time]]=""), "",IF(AND(Main[[#This Row],[In Stock Date]]&lt;&gt;"",Main[[#This Row],[Revised Due Date]]&lt;&gt;"",Main[[#This Row],[In Stock Date]]&lt;&gt;""),Main[[#This Row],[In Stock Date]]-Main[[#This Row],[Revised Due Date]],""))</f>
        <v>117</v>
      </c>
      <c r="I85" s="101" t="s">
        <v>561</v>
      </c>
      <c r="J85" s="95" t="s">
        <v>28</v>
      </c>
      <c r="K85" s="95" t="s">
        <v>1918</v>
      </c>
      <c r="L85" s="85">
        <v>40973</v>
      </c>
      <c r="M85" s="73">
        <f>IF(Main[[#This Row],[Tech Start Date]]&lt;1/1/1990,"",IF(Main[[#This Row],[Class]]="C",WORKDAY(Main[[#This Row],[Tech Start Date]],9),IF(Main[[#This Row],[Class]]="B", WORKDAY(Main[[#This Row],[Tech Start Date]],6),IF(Main[[#This Row],[Class]]="A",WORKDAY(Main[[#This Row],[Tech Start Date]],2),""))))</f>
        <v>40981</v>
      </c>
      <c r="N85" s="73">
        <f>IF(Main[[#This Row],[Tech Start Date]]&lt;1/1/1990,"",IF(Main[[#This Row],[Class]]="C",WORKDAY(Main[[#This Row],[Tech Start Date]],19),IF(Main[[#This Row],[Class]]="B", WORKDAY(Main[[#This Row],[Tech Start Date]],12),IF(Main[[#This Row],[Class]]="A",WORKDAY(Main[[#This Row],[Tech Start Date]],4),""))))</f>
        <v>40989</v>
      </c>
      <c r="O85" s="73">
        <f>IF(Main[[#This Row],[Tech Start Date]]&lt;1/1/1990,"",IF(Main[[#This Row],[Class]]="C",WORKDAY(Main[[#This Row],[Tech Start Date]],23),IF(Main[[#This Row],[Class]]="B", WORKDAY(Main[[#This Row],[Tech Start Date]],15),IF(Main[[#This Row],[Class]]="A",WORKDAY(Main[[#This Row],[Tech Start Date]],5),""))))</f>
        <v>40994</v>
      </c>
      <c r="P85" s="73">
        <f>IF(Main[[#This Row],[Tech Start Date]]&lt;1/1/1990,"",IF(Main[[#This Row],[Class]]="C",WORKDAY(Main[[#This Row],[Tech Start Date]],28),IF(Main[[#This Row],[Class]]="B", WORKDAY(Main[[#This Row],[Tech Start Date]],19),IF(Main[[#This Row],[Class]]="A",WORKDAY(Main[[#This Row],[Tech Start Date]],9),""))))</f>
        <v>40998</v>
      </c>
      <c r="Q85" s="85">
        <v>40996</v>
      </c>
      <c r="R85" s="112">
        <v>40991</v>
      </c>
      <c r="S85" s="95" t="s">
        <v>11</v>
      </c>
      <c r="T85" s="74" t="s">
        <v>4014</v>
      </c>
      <c r="U85" s="95" t="s">
        <v>29</v>
      </c>
      <c r="V85" s="95" t="s">
        <v>1911</v>
      </c>
      <c r="W85" s="95" t="s">
        <v>1922</v>
      </c>
      <c r="X85" s="95" t="s">
        <v>2809</v>
      </c>
      <c r="Y85" s="72" t="s">
        <v>3795</v>
      </c>
      <c r="Z85" s="72" t="s">
        <v>129</v>
      </c>
      <c r="AA85" s="95" t="s">
        <v>2809</v>
      </c>
      <c r="AB85" s="132"/>
      <c r="AC85" s="132"/>
      <c r="AD85" s="132"/>
      <c r="AE85" s="63"/>
      <c r="AF85" s="63"/>
      <c r="AG85" s="63"/>
    </row>
    <row r="86" spans="1:33" ht="17.2" customHeight="1">
      <c r="A86" s="64">
        <f>IF(priority(Main[[#This Row],[Comments]])&lt;&gt;0, priority(Main[[#This Row],[Comments]]),"")</f>
        <v>26</v>
      </c>
      <c r="B86" s="60" t="s">
        <v>1460</v>
      </c>
      <c r="C86" s="72" t="s">
        <v>4</v>
      </c>
      <c r="D86" s="59" t="s">
        <v>2306</v>
      </c>
      <c r="E86" s="85">
        <v>40702.622164351851</v>
      </c>
      <c r="F86" s="85"/>
      <c r="G86" s="64" t="str">
        <f>IF(stdProdLT(Main[[#This Row],[Comments]])=0.1,"N/A",IF(stdProdLT(Main[[#This Row],[Comments]])=0,"",TRIM(stdProdLT(Main[[#This Row],[Comments]]))))</f>
        <v>N/A</v>
      </c>
      <c r="H86" s="94" t="str">
        <f>IF(OR(Main[[#This Row],[Std. Prod. Lead Time]]="N/A",Main[[#This Row],[Std. Prod. Lead Time]]=""), "",IF(AND(Main[[#This Row],[In Stock Date]]&lt;&gt;"",Main[[#This Row],[Revised Due Date]]&lt;&gt;"",Main[[#This Row],[In Stock Date]]&lt;&gt;""),Main[[#This Row],[In Stock Date]]-Main[[#This Row],[Revised Due Date]],""))</f>
        <v/>
      </c>
      <c r="I86" s="101" t="s">
        <v>912</v>
      </c>
      <c r="J86" s="95" t="s">
        <v>52</v>
      </c>
      <c r="K86" s="95" t="s">
        <v>4</v>
      </c>
      <c r="L86" s="85"/>
      <c r="M86" s="73" t="str">
        <f>IF(Main[[#This Row],[Tech Start Date]]&lt;1/1/1990,"",IF(Main[[#This Row],[Class]]="C",WORKDAY(Main[[#This Row],[Tech Start Date]],9),IF(Main[[#This Row],[Class]]="B", WORKDAY(Main[[#This Row],[Tech Start Date]],6),IF(Main[[#This Row],[Class]]="A",WORKDAY(Main[[#This Row],[Tech Start Date]],2),""))))</f>
        <v/>
      </c>
      <c r="N86" s="73" t="str">
        <f>IF(Main[[#This Row],[Tech Start Date]]&lt;1/1/1990,"",IF(Main[[#This Row],[Class]]="C",WORKDAY(Main[[#This Row],[Tech Start Date]],19),IF(Main[[#This Row],[Class]]="B", WORKDAY(Main[[#This Row],[Tech Start Date]],12),IF(Main[[#This Row],[Class]]="A",WORKDAY(Main[[#This Row],[Tech Start Date]],4),""))))</f>
        <v/>
      </c>
      <c r="O86" s="73" t="str">
        <f>IF(Main[[#This Row],[Tech Start Date]]&lt;1/1/1990,"",IF(Main[[#This Row],[Class]]="C",WORKDAY(Main[[#This Row],[Tech Start Date]],23),IF(Main[[#This Row],[Class]]="B", WORKDAY(Main[[#This Row],[Tech Start Date]],15),IF(Main[[#This Row],[Class]]="A",WORKDAY(Main[[#This Row],[Tech Start Date]],5),""))))</f>
        <v/>
      </c>
      <c r="P86" s="73" t="str">
        <f>IF(Main[[#This Row],[Tech Start Date]]&lt;1/1/1990,"",IF(Main[[#This Row],[Class]]="C",WORKDAY(Main[[#This Row],[Tech Start Date]],28),IF(Main[[#This Row],[Class]]="B", WORKDAY(Main[[#This Row],[Tech Start Date]],19),IF(Main[[#This Row],[Class]]="A",WORKDAY(Main[[#This Row],[Tech Start Date]],9),""))))</f>
        <v/>
      </c>
      <c r="Q86" s="85"/>
      <c r="R86" s="112">
        <v>40756</v>
      </c>
      <c r="S86" s="95" t="s">
        <v>6</v>
      </c>
      <c r="T86" s="74" t="s">
        <v>2254</v>
      </c>
      <c r="U86" s="95" t="s">
        <v>29</v>
      </c>
      <c r="V86" s="95" t="s">
        <v>1911</v>
      </c>
      <c r="W86" s="95" t="s">
        <v>1915</v>
      </c>
      <c r="X86" s="95" t="s">
        <v>912</v>
      </c>
      <c r="Y86" s="72" t="s">
        <v>3035</v>
      </c>
      <c r="Z86" s="72" t="s">
        <v>4</v>
      </c>
      <c r="AA86" s="95" t="s">
        <v>912</v>
      </c>
      <c r="AB86" s="132"/>
      <c r="AC86" s="132"/>
      <c r="AD86" s="132"/>
      <c r="AE86" s="63"/>
      <c r="AF86" s="63"/>
      <c r="AG86" s="63"/>
    </row>
    <row r="87" spans="1:33" ht="17.2" customHeight="1">
      <c r="A87" s="64">
        <f>IF(priority(Main[[#This Row],[Comments]])&lt;&gt;0, priority(Main[[#This Row],[Comments]]),"")</f>
        <v>26</v>
      </c>
      <c r="B87" s="60" t="s">
        <v>1901</v>
      </c>
      <c r="C87" s="72" t="s">
        <v>954</v>
      </c>
      <c r="D87" s="59" t="s">
        <v>2015</v>
      </c>
      <c r="E87" s="85"/>
      <c r="F87" s="85"/>
      <c r="G87" s="64" t="str">
        <f>IF(stdProdLT(Main[[#This Row],[Comments]])=0.1,"N/A",IF(stdProdLT(Main[[#This Row],[Comments]])=0,"",TRIM(stdProdLT(Main[[#This Row],[Comments]]))))</f>
        <v>112</v>
      </c>
      <c r="H87" s="94" t="str">
        <f>IF(OR(Main[[#This Row],[Std. Prod. Lead Time]]="N/A",Main[[#This Row],[Std. Prod. Lead Time]]=""), "",IF(AND(Main[[#This Row],[In Stock Date]]&lt;&gt;"",Main[[#This Row],[Revised Due Date]]&lt;&gt;"",Main[[#This Row],[In Stock Date]]&lt;&gt;""),Main[[#This Row],[In Stock Date]]-Main[[#This Row],[Revised Due Date]],""))</f>
        <v/>
      </c>
      <c r="I87" s="101" t="s">
        <v>4</v>
      </c>
      <c r="J87" s="95" t="s">
        <v>52</v>
      </c>
      <c r="K87" s="95" t="s">
        <v>1924</v>
      </c>
      <c r="L87" s="85">
        <v>40694</v>
      </c>
      <c r="M87" s="73">
        <f>IF(Main[[#This Row],[Tech Start Date]]&lt;1/1/1990,"",IF(Main[[#This Row],[Class]]="C",WORKDAY(Main[[#This Row],[Tech Start Date]],9),IF(Main[[#This Row],[Class]]="B", WORKDAY(Main[[#This Row],[Tech Start Date]],6),IF(Main[[#This Row],[Class]]="A",WORKDAY(Main[[#This Row],[Tech Start Date]],2),""))))</f>
        <v>40707</v>
      </c>
      <c r="N87" s="73">
        <f>IF(Main[[#This Row],[Tech Start Date]]&lt;1/1/1990,"",IF(Main[[#This Row],[Class]]="C",WORKDAY(Main[[#This Row],[Tech Start Date]],19),IF(Main[[#This Row],[Class]]="B", WORKDAY(Main[[#This Row],[Tech Start Date]],12),IF(Main[[#This Row],[Class]]="A",WORKDAY(Main[[#This Row],[Tech Start Date]],4),""))))</f>
        <v>40721</v>
      </c>
      <c r="O87" s="73">
        <f>IF(Main[[#This Row],[Tech Start Date]]&lt;1/1/1990,"",IF(Main[[#This Row],[Class]]="C",WORKDAY(Main[[#This Row],[Tech Start Date]],23),IF(Main[[#This Row],[Class]]="B", WORKDAY(Main[[#This Row],[Tech Start Date]],15),IF(Main[[#This Row],[Class]]="A",WORKDAY(Main[[#This Row],[Tech Start Date]],5),""))))</f>
        <v>40725</v>
      </c>
      <c r="P87" s="73">
        <f>IF(Main[[#This Row],[Tech Start Date]]&lt;1/1/1990,"",IF(Main[[#This Row],[Class]]="C",WORKDAY(Main[[#This Row],[Tech Start Date]],28),IF(Main[[#This Row],[Class]]="B", WORKDAY(Main[[#This Row],[Tech Start Date]],19),IF(Main[[#This Row],[Class]]="A",WORKDAY(Main[[#This Row],[Tech Start Date]],9),""))))</f>
        <v>40732</v>
      </c>
      <c r="Q87" s="85">
        <v>40723</v>
      </c>
      <c r="R87" s="112">
        <v>40753</v>
      </c>
      <c r="S87" s="95" t="s">
        <v>11</v>
      </c>
      <c r="T87" s="74" t="s">
        <v>1997</v>
      </c>
      <c r="U87" s="95" t="s">
        <v>14</v>
      </c>
      <c r="V87" s="95" t="s">
        <v>1911</v>
      </c>
      <c r="W87" s="95" t="s">
        <v>1913</v>
      </c>
      <c r="X87" s="95" t="s">
        <v>2863</v>
      </c>
      <c r="Y87" s="72" t="s">
        <v>3130</v>
      </c>
      <c r="Z87" s="72" t="s">
        <v>3137</v>
      </c>
      <c r="AA87" s="95" t="s">
        <v>2863</v>
      </c>
      <c r="AB87" s="132"/>
      <c r="AC87" s="132"/>
      <c r="AD87" s="132"/>
      <c r="AE87" s="63"/>
      <c r="AF87" s="63"/>
      <c r="AG87" s="63"/>
    </row>
    <row r="88" spans="1:33" ht="17.2" customHeight="1">
      <c r="A88" s="64">
        <f>IF(priority(Main[[#This Row],[Comments]])&lt;&gt;0, priority(Main[[#This Row],[Comments]]),"")</f>
        <v>26</v>
      </c>
      <c r="B88" s="60" t="s">
        <v>1435</v>
      </c>
      <c r="C88" s="72" t="s">
        <v>131</v>
      </c>
      <c r="D88" s="59" t="s">
        <v>1999</v>
      </c>
      <c r="E88" s="85"/>
      <c r="F88" s="85">
        <v>40939</v>
      </c>
      <c r="G88" s="64" t="str">
        <f>IF(stdProdLT(Main[[#This Row],[Comments]])=0.1,"N/A",IF(stdProdLT(Main[[#This Row],[Comments]])=0,"",TRIM(stdProdLT(Main[[#This Row],[Comments]]))))</f>
        <v>126</v>
      </c>
      <c r="H88" s="94">
        <f>IF(OR(Main[[#This Row],[Std. Prod. Lead Time]]="N/A",Main[[#This Row],[Std. Prod. Lead Time]]=""), "",IF(AND(Main[[#This Row],[In Stock Date]]&lt;&gt;"",Main[[#This Row],[Revised Due Date]]&lt;&gt;"",Main[[#This Row],[In Stock Date]]&lt;&gt;""),Main[[#This Row],[In Stock Date]]-Main[[#This Row],[Revised Due Date]],""))</f>
        <v>154</v>
      </c>
      <c r="I88" s="101" t="s">
        <v>126</v>
      </c>
      <c r="J88" s="95" t="s">
        <v>28</v>
      </c>
      <c r="K88" s="95" t="s">
        <v>1924</v>
      </c>
      <c r="L88" s="85">
        <v>40736</v>
      </c>
      <c r="M88" s="73">
        <f>IF(Main[[#This Row],[Tech Start Date]]&lt;1/1/1990,"",IF(Main[[#This Row],[Class]]="C",WORKDAY(Main[[#This Row],[Tech Start Date]],9),IF(Main[[#This Row],[Class]]="B", WORKDAY(Main[[#This Row],[Tech Start Date]],6),IF(Main[[#This Row],[Class]]="A",WORKDAY(Main[[#This Row],[Tech Start Date]],2),""))))</f>
        <v>40749</v>
      </c>
      <c r="N88" s="73">
        <f>IF(Main[[#This Row],[Tech Start Date]]&lt;1/1/1990,"",IF(Main[[#This Row],[Class]]="C",WORKDAY(Main[[#This Row],[Tech Start Date]],19),IF(Main[[#This Row],[Class]]="B", WORKDAY(Main[[#This Row],[Tech Start Date]],12),IF(Main[[#This Row],[Class]]="A",WORKDAY(Main[[#This Row],[Tech Start Date]],4),""))))</f>
        <v>40763</v>
      </c>
      <c r="O88" s="73">
        <f>IF(Main[[#This Row],[Tech Start Date]]&lt;1/1/1990,"",IF(Main[[#This Row],[Class]]="C",WORKDAY(Main[[#This Row],[Tech Start Date]],23),IF(Main[[#This Row],[Class]]="B", WORKDAY(Main[[#This Row],[Tech Start Date]],15),IF(Main[[#This Row],[Class]]="A",WORKDAY(Main[[#This Row],[Tech Start Date]],5),""))))</f>
        <v>40767</v>
      </c>
      <c r="P88" s="73">
        <f>IF(Main[[#This Row],[Tech Start Date]]&lt;1/1/1990,"",IF(Main[[#This Row],[Class]]="C",WORKDAY(Main[[#This Row],[Tech Start Date]],28),IF(Main[[#This Row],[Class]]="B", WORKDAY(Main[[#This Row],[Tech Start Date]],19),IF(Main[[#This Row],[Class]]="A",WORKDAY(Main[[#This Row],[Tech Start Date]],9),""))))</f>
        <v>40774</v>
      </c>
      <c r="Q88" s="85">
        <v>40799</v>
      </c>
      <c r="R88" s="112">
        <v>40785</v>
      </c>
      <c r="S88" s="95" t="s">
        <v>11</v>
      </c>
      <c r="T88" s="74" t="s">
        <v>2000</v>
      </c>
      <c r="U88" s="95" t="s">
        <v>14</v>
      </c>
      <c r="V88" s="95" t="s">
        <v>1911</v>
      </c>
      <c r="W88" s="95" t="s">
        <v>1922</v>
      </c>
      <c r="X88" s="95" t="s">
        <v>2832</v>
      </c>
      <c r="Y88" s="72" t="s">
        <v>3112</v>
      </c>
      <c r="Z88" s="72" t="s">
        <v>129</v>
      </c>
      <c r="AA88" s="95" t="s">
        <v>2832</v>
      </c>
      <c r="AB88" s="132"/>
      <c r="AC88" s="132"/>
      <c r="AD88" s="132"/>
      <c r="AE88" s="63"/>
      <c r="AF88" s="63"/>
      <c r="AG88" s="63"/>
    </row>
    <row r="89" spans="1:33" ht="17.2" customHeight="1">
      <c r="A89" s="64">
        <f>IF(priority(Main[[#This Row],[Comments]])&lt;&gt;0, priority(Main[[#This Row],[Comments]]),"")</f>
        <v>28</v>
      </c>
      <c r="B89" s="60" t="s">
        <v>1017</v>
      </c>
      <c r="C89" s="72" t="s">
        <v>4</v>
      </c>
      <c r="D89" s="59" t="s">
        <v>2301</v>
      </c>
      <c r="E89" s="85">
        <v>40603.481041666666</v>
      </c>
      <c r="F89" s="85"/>
      <c r="G89" s="64" t="str">
        <f>IF(stdProdLT(Main[[#This Row],[Comments]])=0.1,"N/A",IF(stdProdLT(Main[[#This Row],[Comments]])=0,"",TRIM(stdProdLT(Main[[#This Row],[Comments]]))))</f>
        <v/>
      </c>
      <c r="H89" s="94" t="str">
        <f>IF(OR(Main[[#This Row],[Std. Prod. Lead Time]]="N/A",Main[[#This Row],[Std. Prod. Lead Time]]=""), "",IF(AND(Main[[#This Row],[In Stock Date]]&lt;&gt;"",Main[[#This Row],[Revised Due Date]]&lt;&gt;"",Main[[#This Row],[In Stock Date]]&lt;&gt;""),Main[[#This Row],[In Stock Date]]-Main[[#This Row],[Revised Due Date]],""))</f>
        <v/>
      </c>
      <c r="I89" s="101" t="s">
        <v>912</v>
      </c>
      <c r="J89" s="95" t="s">
        <v>52</v>
      </c>
      <c r="K89" s="95" t="s">
        <v>1920</v>
      </c>
      <c r="L89" s="85"/>
      <c r="M89" s="73" t="str">
        <f>IF(Main[[#This Row],[Tech Start Date]]&lt;1/1/1990,"",IF(Main[[#This Row],[Class]]="C",WORKDAY(Main[[#This Row],[Tech Start Date]],9),IF(Main[[#This Row],[Class]]="B", WORKDAY(Main[[#This Row],[Tech Start Date]],6),IF(Main[[#This Row],[Class]]="A",WORKDAY(Main[[#This Row],[Tech Start Date]],2),""))))</f>
        <v/>
      </c>
      <c r="N89" s="73" t="str">
        <f>IF(Main[[#This Row],[Tech Start Date]]&lt;1/1/1990,"",IF(Main[[#This Row],[Class]]="C",WORKDAY(Main[[#This Row],[Tech Start Date]],19),IF(Main[[#This Row],[Class]]="B", WORKDAY(Main[[#This Row],[Tech Start Date]],12),IF(Main[[#This Row],[Class]]="A",WORKDAY(Main[[#This Row],[Tech Start Date]],4),""))))</f>
        <v/>
      </c>
      <c r="O89" s="73" t="str">
        <f>IF(Main[[#This Row],[Tech Start Date]]&lt;1/1/1990,"",IF(Main[[#This Row],[Class]]="C",WORKDAY(Main[[#This Row],[Tech Start Date]],23),IF(Main[[#This Row],[Class]]="B", WORKDAY(Main[[#This Row],[Tech Start Date]],15),IF(Main[[#This Row],[Class]]="A",WORKDAY(Main[[#This Row],[Tech Start Date]],5),""))))</f>
        <v/>
      </c>
      <c r="P89" s="73" t="str">
        <f>IF(Main[[#This Row],[Tech Start Date]]&lt;1/1/1990,"",IF(Main[[#This Row],[Class]]="C",WORKDAY(Main[[#This Row],[Tech Start Date]],28),IF(Main[[#This Row],[Class]]="B", WORKDAY(Main[[#This Row],[Tech Start Date]],19),IF(Main[[#This Row],[Class]]="A",WORKDAY(Main[[#This Row],[Tech Start Date]],9),""))))</f>
        <v/>
      </c>
      <c r="Q89" s="85">
        <v>40637</v>
      </c>
      <c r="R89" s="112"/>
      <c r="S89" s="95" t="s">
        <v>6</v>
      </c>
      <c r="T89" s="74" t="s">
        <v>2640</v>
      </c>
      <c r="U89" s="95" t="s">
        <v>29</v>
      </c>
      <c r="V89" s="95" t="s">
        <v>1911</v>
      </c>
      <c r="W89" s="95" t="s">
        <v>1913</v>
      </c>
      <c r="X89" s="95" t="s">
        <v>2802</v>
      </c>
      <c r="Y89" s="72" t="s">
        <v>2916</v>
      </c>
      <c r="Z89" s="72" t="s">
        <v>129</v>
      </c>
      <c r="AA89" s="95" t="s">
        <v>2802</v>
      </c>
      <c r="AB89" s="132"/>
      <c r="AC89" s="132"/>
      <c r="AD89" s="132"/>
      <c r="AE89" s="63"/>
      <c r="AF89" s="63"/>
      <c r="AG89" s="63"/>
    </row>
    <row r="90" spans="1:33" ht="17.2" customHeight="1">
      <c r="A90" s="64">
        <f>IF(priority(Main[[#This Row],[Comments]])&lt;&gt;0, priority(Main[[#This Row],[Comments]]),"")</f>
        <v>28</v>
      </c>
      <c r="B90" s="60" t="s">
        <v>2747</v>
      </c>
      <c r="C90" s="72" t="s">
        <v>2748</v>
      </c>
      <c r="D90" s="59" t="s">
        <v>3999</v>
      </c>
      <c r="E90" s="85">
        <v>40885.00640046296</v>
      </c>
      <c r="F90" s="85">
        <v>41090</v>
      </c>
      <c r="G90" s="64" t="str">
        <f>IF(stdProdLT(Main[[#This Row],[Comments]])=0.1,"N/A",IF(stdProdLT(Main[[#This Row],[Comments]])=0,"",TRIM(stdProdLT(Main[[#This Row],[Comments]]))))</f>
        <v>98</v>
      </c>
      <c r="H90" s="94">
        <f>IF(OR(Main[[#This Row],[Std. Prod. Lead Time]]="N/A",Main[[#This Row],[Std. Prod. Lead Time]]=""), "",IF(AND(Main[[#This Row],[In Stock Date]]&lt;&gt;"",Main[[#This Row],[Revised Due Date]]&lt;&gt;"",Main[[#This Row],[In Stock Date]]&lt;&gt;""),Main[[#This Row],[In Stock Date]]-Main[[#This Row],[Revised Due Date]],""))</f>
        <v>102</v>
      </c>
      <c r="I90" s="101" t="s">
        <v>889</v>
      </c>
      <c r="J90" s="95" t="s">
        <v>28</v>
      </c>
      <c r="K90" s="95" t="s">
        <v>1924</v>
      </c>
      <c r="L90" s="85">
        <v>40960</v>
      </c>
      <c r="M90" s="73">
        <f>IF(Main[[#This Row],[Tech Start Date]]&lt;1/1/1990,"",IF(Main[[#This Row],[Class]]="C",WORKDAY(Main[[#This Row],[Tech Start Date]],9),IF(Main[[#This Row],[Class]]="B", WORKDAY(Main[[#This Row],[Tech Start Date]],6),IF(Main[[#This Row],[Class]]="A",WORKDAY(Main[[#This Row],[Tech Start Date]],2),""))))</f>
        <v>40973</v>
      </c>
      <c r="N90" s="73">
        <f>IF(Main[[#This Row],[Tech Start Date]]&lt;1/1/1990,"",IF(Main[[#This Row],[Class]]="C",WORKDAY(Main[[#This Row],[Tech Start Date]],19),IF(Main[[#This Row],[Class]]="B", WORKDAY(Main[[#This Row],[Tech Start Date]],12),IF(Main[[#This Row],[Class]]="A",WORKDAY(Main[[#This Row],[Tech Start Date]],4),""))))</f>
        <v>40987</v>
      </c>
      <c r="O90" s="73">
        <f>IF(Main[[#This Row],[Tech Start Date]]&lt;1/1/1990,"",IF(Main[[#This Row],[Class]]="C",WORKDAY(Main[[#This Row],[Tech Start Date]],23),IF(Main[[#This Row],[Class]]="B", WORKDAY(Main[[#This Row],[Tech Start Date]],15),IF(Main[[#This Row],[Class]]="A",WORKDAY(Main[[#This Row],[Tech Start Date]],5),""))))</f>
        <v>40991</v>
      </c>
      <c r="P90" s="73">
        <f>IF(Main[[#This Row],[Tech Start Date]]&lt;1/1/1990,"",IF(Main[[#This Row],[Class]]="C",WORKDAY(Main[[#This Row],[Tech Start Date]],28),IF(Main[[#This Row],[Class]]="B", WORKDAY(Main[[#This Row],[Tech Start Date]],19),IF(Main[[#This Row],[Class]]="A",WORKDAY(Main[[#This Row],[Tech Start Date]],9),""))))</f>
        <v>40998</v>
      </c>
      <c r="Q90" s="85">
        <v>40889</v>
      </c>
      <c r="R90" s="112">
        <v>40988</v>
      </c>
      <c r="S90" s="95" t="s">
        <v>11</v>
      </c>
      <c r="T90" s="74" t="s">
        <v>4000</v>
      </c>
      <c r="U90" s="95" t="s">
        <v>29</v>
      </c>
      <c r="V90" s="95" t="s">
        <v>1911</v>
      </c>
      <c r="W90" s="95" t="s">
        <v>1917</v>
      </c>
      <c r="X90" s="95" t="s">
        <v>2834</v>
      </c>
      <c r="Y90" s="72" t="s">
        <v>4</v>
      </c>
      <c r="Z90" s="72" t="s">
        <v>877</v>
      </c>
      <c r="AA90" s="95" t="s">
        <v>2834</v>
      </c>
      <c r="AB90" s="132"/>
      <c r="AC90" s="132"/>
      <c r="AD90" s="132"/>
      <c r="AE90" s="63"/>
      <c r="AF90" s="63"/>
      <c r="AG90" s="63"/>
    </row>
    <row r="91" spans="1:33" ht="17.2" customHeight="1">
      <c r="A91" s="64">
        <f>IF(priority(Main[[#This Row],[Comments]])&lt;&gt;0, priority(Main[[#This Row],[Comments]]),"")</f>
        <v>29</v>
      </c>
      <c r="B91" s="60" t="s">
        <v>2660</v>
      </c>
      <c r="C91" s="72" t="s">
        <v>116</v>
      </c>
      <c r="D91" s="59" t="s">
        <v>2793</v>
      </c>
      <c r="E91" s="85">
        <v>40763.500717592593</v>
      </c>
      <c r="F91" s="85">
        <v>41090</v>
      </c>
      <c r="G91" s="64" t="str">
        <f>IF(stdProdLT(Main[[#This Row],[Comments]])=0.1,"N/A",IF(stdProdLT(Main[[#This Row],[Comments]])=0,"",TRIM(stdProdLT(Main[[#This Row],[Comments]]))))</f>
        <v>N/A</v>
      </c>
      <c r="H91" s="94" t="str">
        <f>IF(OR(Main[[#This Row],[Std. Prod. Lead Time]]="N/A",Main[[#This Row],[Std. Prod. Lead Time]]=""), "",IF(AND(Main[[#This Row],[In Stock Date]]&lt;&gt;"",Main[[#This Row],[Revised Due Date]]&lt;&gt;"",Main[[#This Row],[In Stock Date]]&lt;&gt;""),Main[[#This Row],[In Stock Date]]-Main[[#This Row],[Revised Due Date]],""))</f>
        <v/>
      </c>
      <c r="I91" s="101" t="s">
        <v>889</v>
      </c>
      <c r="J91" s="95" t="s">
        <v>28</v>
      </c>
      <c r="K91" s="95" t="s">
        <v>1924</v>
      </c>
      <c r="L91" s="85">
        <v>40772</v>
      </c>
      <c r="M91" s="73">
        <f>IF(Main[[#This Row],[Tech Start Date]]&lt;1/1/1990,"",IF(Main[[#This Row],[Class]]="C",WORKDAY(Main[[#This Row],[Tech Start Date]],9),IF(Main[[#This Row],[Class]]="B", WORKDAY(Main[[#This Row],[Tech Start Date]],6),IF(Main[[#This Row],[Class]]="A",WORKDAY(Main[[#This Row],[Tech Start Date]],2),""))))</f>
        <v>40785</v>
      </c>
      <c r="N91" s="73">
        <f>IF(Main[[#This Row],[Tech Start Date]]&lt;1/1/1990,"",IF(Main[[#This Row],[Class]]="C",WORKDAY(Main[[#This Row],[Tech Start Date]],19),IF(Main[[#This Row],[Class]]="B", WORKDAY(Main[[#This Row],[Tech Start Date]],12),IF(Main[[#This Row],[Class]]="A",WORKDAY(Main[[#This Row],[Tech Start Date]],4),""))))</f>
        <v>40799</v>
      </c>
      <c r="O91" s="73">
        <f>IF(Main[[#This Row],[Tech Start Date]]&lt;1/1/1990,"",IF(Main[[#This Row],[Class]]="C",WORKDAY(Main[[#This Row],[Tech Start Date]],23),IF(Main[[#This Row],[Class]]="B", WORKDAY(Main[[#This Row],[Tech Start Date]],15),IF(Main[[#This Row],[Class]]="A",WORKDAY(Main[[#This Row],[Tech Start Date]],5),""))))</f>
        <v>40805</v>
      </c>
      <c r="P91" s="73">
        <f>IF(Main[[#This Row],[Tech Start Date]]&lt;1/1/1990,"",IF(Main[[#This Row],[Class]]="C",WORKDAY(Main[[#This Row],[Tech Start Date]],28),IF(Main[[#This Row],[Class]]="B", WORKDAY(Main[[#This Row],[Tech Start Date]],19),IF(Main[[#This Row],[Class]]="A",WORKDAY(Main[[#This Row],[Tech Start Date]],9),""))))</f>
        <v>40812</v>
      </c>
      <c r="Q91" s="85">
        <v>40687</v>
      </c>
      <c r="R91" s="112">
        <v>41045</v>
      </c>
      <c r="S91" s="95" t="s">
        <v>11</v>
      </c>
      <c r="T91" s="74" t="s">
        <v>3968</v>
      </c>
      <c r="U91" s="95" t="s">
        <v>29</v>
      </c>
      <c r="V91" s="95" t="s">
        <v>1911</v>
      </c>
      <c r="W91" s="95" t="s">
        <v>1916</v>
      </c>
      <c r="X91" s="95" t="s">
        <v>2823</v>
      </c>
      <c r="Y91" s="72" t="s">
        <v>3132</v>
      </c>
      <c r="Z91" s="72" t="s">
        <v>877</v>
      </c>
      <c r="AA91" s="95" t="s">
        <v>2823</v>
      </c>
      <c r="AB91" s="132"/>
      <c r="AC91" s="132"/>
      <c r="AD91" s="132"/>
      <c r="AE91" s="63"/>
      <c r="AF91" s="63"/>
      <c r="AG91" s="63"/>
    </row>
    <row r="92" spans="1:33" ht="17.2" customHeight="1">
      <c r="A92" s="64">
        <f>IF(priority(Main[[#This Row],[Comments]])&lt;&gt;0, priority(Main[[#This Row],[Comments]]),"")</f>
        <v>30</v>
      </c>
      <c r="B92" s="60" t="s">
        <v>1571</v>
      </c>
      <c r="C92" s="72" t="s">
        <v>1961</v>
      </c>
      <c r="D92" s="59" t="s">
        <v>653</v>
      </c>
      <c r="E92" s="85"/>
      <c r="F92" s="85"/>
      <c r="G92" s="64" t="str">
        <f>IF(stdProdLT(Main[[#This Row],[Comments]])=0.1,"N/A",IF(stdProdLT(Main[[#This Row],[Comments]])=0,"",TRIM(stdProdLT(Main[[#This Row],[Comments]]))))</f>
        <v>126</v>
      </c>
      <c r="H92" s="94" t="str">
        <f>IF(OR(Main[[#This Row],[Std. Prod. Lead Time]]="N/A",Main[[#This Row],[Std. Prod. Lead Time]]=""), "",IF(AND(Main[[#This Row],[In Stock Date]]&lt;&gt;"",Main[[#This Row],[Revised Due Date]]&lt;&gt;"",Main[[#This Row],[In Stock Date]]&lt;&gt;""),Main[[#This Row],[In Stock Date]]-Main[[#This Row],[Revised Due Date]],""))</f>
        <v/>
      </c>
      <c r="I92" s="101" t="s">
        <v>4</v>
      </c>
      <c r="J92" s="95" t="s">
        <v>4</v>
      </c>
      <c r="K92" s="96" t="s">
        <v>4</v>
      </c>
      <c r="L92" s="85"/>
      <c r="M92" s="73" t="str">
        <f>IF(Main[[#This Row],[Tech Start Date]]&lt;1/1/1990,"",IF(Main[[#This Row],[Class]]="C",WORKDAY(Main[[#This Row],[Tech Start Date]],9),IF(Main[[#This Row],[Class]]="B", WORKDAY(Main[[#This Row],[Tech Start Date]],6),IF(Main[[#This Row],[Class]]="A",WORKDAY(Main[[#This Row],[Tech Start Date]],2),""))))</f>
        <v/>
      </c>
      <c r="N92" s="73" t="str">
        <f>IF(Main[[#This Row],[Tech Start Date]]&lt;1/1/1990,"",IF(Main[[#This Row],[Class]]="C",WORKDAY(Main[[#This Row],[Tech Start Date]],19),IF(Main[[#This Row],[Class]]="B", WORKDAY(Main[[#This Row],[Tech Start Date]],12),IF(Main[[#This Row],[Class]]="A",WORKDAY(Main[[#This Row],[Tech Start Date]],4),""))))</f>
        <v/>
      </c>
      <c r="O92" s="73" t="str">
        <f>IF(Main[[#This Row],[Tech Start Date]]&lt;1/1/1990,"",IF(Main[[#This Row],[Class]]="C",WORKDAY(Main[[#This Row],[Tech Start Date]],23),IF(Main[[#This Row],[Class]]="B", WORKDAY(Main[[#This Row],[Tech Start Date]],15),IF(Main[[#This Row],[Class]]="A",WORKDAY(Main[[#This Row],[Tech Start Date]],5),""))))</f>
        <v/>
      </c>
      <c r="P92" s="73" t="str">
        <f>IF(Main[[#This Row],[Tech Start Date]]&lt;1/1/1990,"",IF(Main[[#This Row],[Class]]="C",WORKDAY(Main[[#This Row],[Tech Start Date]],28),IF(Main[[#This Row],[Class]]="B", WORKDAY(Main[[#This Row],[Tech Start Date]],19),IF(Main[[#This Row],[Class]]="A",WORKDAY(Main[[#This Row],[Tech Start Date]],9),""))))</f>
        <v/>
      </c>
      <c r="Q92" s="85">
        <v>40710</v>
      </c>
      <c r="R92" s="112">
        <v>40778</v>
      </c>
      <c r="S92" s="95" t="s">
        <v>11</v>
      </c>
      <c r="T92" s="74" t="s">
        <v>1962</v>
      </c>
      <c r="U92" s="95" t="s">
        <v>14</v>
      </c>
      <c r="V92" s="95" t="s">
        <v>1911</v>
      </c>
      <c r="W92" s="95" t="s">
        <v>1913</v>
      </c>
      <c r="X92" s="95" t="s">
        <v>2837</v>
      </c>
      <c r="Y92" s="72" t="s">
        <v>2976</v>
      </c>
      <c r="Z92" s="72" t="s">
        <v>4</v>
      </c>
      <c r="AA92" s="95" t="s">
        <v>2837</v>
      </c>
      <c r="AB92" s="132"/>
      <c r="AC92" s="132"/>
      <c r="AD92" s="132"/>
      <c r="AE92" s="63"/>
      <c r="AF92" s="63"/>
      <c r="AG92" s="63"/>
    </row>
    <row r="93" spans="1:33" ht="17.2" customHeight="1">
      <c r="A93" s="64">
        <f>IF(priority(Main[[#This Row],[Comments]])&lt;&gt;0, priority(Main[[#This Row],[Comments]]),"")</f>
        <v>30</v>
      </c>
      <c r="B93" s="60" t="s">
        <v>3640</v>
      </c>
      <c r="C93" s="72" t="s">
        <v>3641</v>
      </c>
      <c r="D93" s="59" t="s">
        <v>3642</v>
      </c>
      <c r="E93" s="85">
        <v>40967.774861111109</v>
      </c>
      <c r="F93" s="85">
        <v>41275</v>
      </c>
      <c r="G93" s="64" t="str">
        <f>IF(stdProdLT(Main[[#This Row],[Comments]])=0.1,"N/A",IF(stdProdLT(Main[[#This Row],[Comments]])=0,"",TRIM(stdProdLT(Main[[#This Row],[Comments]]))))</f>
        <v>126</v>
      </c>
      <c r="H93" s="94" t="str">
        <f>IF(OR(Main[[#This Row],[Std. Prod. Lead Time]]="N/A",Main[[#This Row],[Std. Prod. Lead Time]]=""), "",IF(AND(Main[[#This Row],[In Stock Date]]&lt;&gt;"",Main[[#This Row],[Revised Due Date]]&lt;&gt;"",Main[[#This Row],[In Stock Date]]&lt;&gt;""),Main[[#This Row],[In Stock Date]]-Main[[#This Row],[Revised Due Date]],""))</f>
        <v/>
      </c>
      <c r="I93" s="101" t="s">
        <v>4</v>
      </c>
      <c r="J93" s="95" t="s">
        <v>4</v>
      </c>
      <c r="K93" s="95" t="s">
        <v>4</v>
      </c>
      <c r="L93" s="85"/>
      <c r="M93" s="73" t="str">
        <f>IF(Main[[#This Row],[Tech Start Date]]&lt;1/1/1990,"",IF(Main[[#This Row],[Class]]="C",WORKDAY(Main[[#This Row],[Tech Start Date]],9),IF(Main[[#This Row],[Class]]="B", WORKDAY(Main[[#This Row],[Tech Start Date]],6),IF(Main[[#This Row],[Class]]="A",WORKDAY(Main[[#This Row],[Tech Start Date]],2),""))))</f>
        <v/>
      </c>
      <c r="N93" s="73" t="str">
        <f>IF(Main[[#This Row],[Tech Start Date]]&lt;1/1/1990,"",IF(Main[[#This Row],[Class]]="C",WORKDAY(Main[[#This Row],[Tech Start Date]],19),IF(Main[[#This Row],[Class]]="B", WORKDAY(Main[[#This Row],[Tech Start Date]],12),IF(Main[[#This Row],[Class]]="A",WORKDAY(Main[[#This Row],[Tech Start Date]],4),""))))</f>
        <v/>
      </c>
      <c r="O93" s="73" t="str">
        <f>IF(Main[[#This Row],[Tech Start Date]]&lt;1/1/1990,"",IF(Main[[#This Row],[Class]]="C",WORKDAY(Main[[#This Row],[Tech Start Date]],23),IF(Main[[#This Row],[Class]]="B", WORKDAY(Main[[#This Row],[Tech Start Date]],15),IF(Main[[#This Row],[Class]]="A",WORKDAY(Main[[#This Row],[Tech Start Date]],5),""))))</f>
        <v/>
      </c>
      <c r="P93" s="73" t="str">
        <f>IF(Main[[#This Row],[Tech Start Date]]&lt;1/1/1990,"",IF(Main[[#This Row],[Class]]="C",WORKDAY(Main[[#This Row],[Tech Start Date]],28),IF(Main[[#This Row],[Class]]="B", WORKDAY(Main[[#This Row],[Tech Start Date]],19),IF(Main[[#This Row],[Class]]="A",WORKDAY(Main[[#This Row],[Tech Start Date]],9),""))))</f>
        <v/>
      </c>
      <c r="Q93" s="85"/>
      <c r="R93" s="112"/>
      <c r="S93" s="95" t="s">
        <v>11</v>
      </c>
      <c r="T93" s="74" t="s">
        <v>3942</v>
      </c>
      <c r="U93" s="95" t="s">
        <v>7</v>
      </c>
      <c r="V93" s="95" t="s">
        <v>1911</v>
      </c>
      <c r="W93" s="95" t="s">
        <v>1919</v>
      </c>
      <c r="X93" s="95" t="s">
        <v>50</v>
      </c>
      <c r="Y93" s="72" t="s">
        <v>3643</v>
      </c>
      <c r="Z93" s="72" t="s">
        <v>4</v>
      </c>
      <c r="AA93" s="95" t="s">
        <v>3424</v>
      </c>
      <c r="AB93" s="132"/>
      <c r="AC93" s="132"/>
      <c r="AD93" s="132"/>
      <c r="AE93" s="63"/>
      <c r="AF93" s="63"/>
      <c r="AG93" s="63"/>
    </row>
    <row r="94" spans="1:33" ht="17.2" customHeight="1">
      <c r="A94" s="64">
        <f>IF(priority(Main[[#This Row],[Comments]])&lt;&gt;0, priority(Main[[#This Row],[Comments]]),"")</f>
        <v>30</v>
      </c>
      <c r="B94" s="60" t="s">
        <v>1030</v>
      </c>
      <c r="C94" s="72" t="s">
        <v>37</v>
      </c>
      <c r="D94" s="59" t="s">
        <v>2300</v>
      </c>
      <c r="E94" s="85">
        <v>40578.593101851853</v>
      </c>
      <c r="F94" s="85">
        <v>40603</v>
      </c>
      <c r="G94" s="64" t="str">
        <f>IF(stdProdLT(Main[[#This Row],[Comments]])=0.1,"N/A",IF(stdProdLT(Main[[#This Row],[Comments]])=0,"",TRIM(stdProdLT(Main[[#This Row],[Comments]]))))</f>
        <v/>
      </c>
      <c r="H94" s="94" t="str">
        <f>IF(OR(Main[[#This Row],[Std. Prod. Lead Time]]="N/A",Main[[#This Row],[Std. Prod. Lead Time]]=""), "",IF(AND(Main[[#This Row],[In Stock Date]]&lt;&gt;"",Main[[#This Row],[Revised Due Date]]&lt;&gt;"",Main[[#This Row],[In Stock Date]]&lt;&gt;""),Main[[#This Row],[In Stock Date]]-Main[[#This Row],[Revised Due Date]],""))</f>
        <v/>
      </c>
      <c r="I94" s="101" t="s">
        <v>50</v>
      </c>
      <c r="J94" s="95" t="s">
        <v>51</v>
      </c>
      <c r="K94" s="96" t="s">
        <v>1920</v>
      </c>
      <c r="L94" s="85"/>
      <c r="M94" s="73" t="str">
        <f>IF(Main[[#This Row],[Tech Start Date]]&lt;1/1/1990,"",IF(Main[[#This Row],[Class]]="C",WORKDAY(Main[[#This Row],[Tech Start Date]],9),IF(Main[[#This Row],[Class]]="B", WORKDAY(Main[[#This Row],[Tech Start Date]],6),IF(Main[[#This Row],[Class]]="A",WORKDAY(Main[[#This Row],[Tech Start Date]],2),""))))</f>
        <v/>
      </c>
      <c r="N94" s="73" t="str">
        <f>IF(Main[[#This Row],[Tech Start Date]]&lt;1/1/1990,"",IF(Main[[#This Row],[Class]]="C",WORKDAY(Main[[#This Row],[Tech Start Date]],19),IF(Main[[#This Row],[Class]]="B", WORKDAY(Main[[#This Row],[Tech Start Date]],12),IF(Main[[#This Row],[Class]]="A",WORKDAY(Main[[#This Row],[Tech Start Date]],4),""))))</f>
        <v/>
      </c>
      <c r="O94" s="73" t="str">
        <f>IF(Main[[#This Row],[Tech Start Date]]&lt;1/1/1990,"",IF(Main[[#This Row],[Class]]="C",WORKDAY(Main[[#This Row],[Tech Start Date]],23),IF(Main[[#This Row],[Class]]="B", WORKDAY(Main[[#This Row],[Tech Start Date]],15),IF(Main[[#This Row],[Class]]="A",WORKDAY(Main[[#This Row],[Tech Start Date]],5),""))))</f>
        <v/>
      </c>
      <c r="P94" s="73" t="str">
        <f>IF(Main[[#This Row],[Tech Start Date]]&lt;1/1/1990,"",IF(Main[[#This Row],[Class]]="C",WORKDAY(Main[[#This Row],[Tech Start Date]],28),IF(Main[[#This Row],[Class]]="B", WORKDAY(Main[[#This Row],[Tech Start Date]],19),IF(Main[[#This Row],[Class]]="A",WORKDAY(Main[[#This Row],[Tech Start Date]],9),""))))</f>
        <v/>
      </c>
      <c r="Q94" s="85">
        <v>40603</v>
      </c>
      <c r="R94" s="112"/>
      <c r="S94" s="95" t="s">
        <v>6</v>
      </c>
      <c r="T94" s="74" t="s">
        <v>2262</v>
      </c>
      <c r="U94" s="95" t="s">
        <v>29</v>
      </c>
      <c r="V94" s="95" t="s">
        <v>1911</v>
      </c>
      <c r="W94" s="95" t="s">
        <v>1922</v>
      </c>
      <c r="X94" s="95" t="s">
        <v>883</v>
      </c>
      <c r="Y94" s="72" t="s">
        <v>2941</v>
      </c>
      <c r="Z94" s="72" t="s">
        <v>129</v>
      </c>
      <c r="AA94" s="95" t="s">
        <v>883</v>
      </c>
      <c r="AB94" s="132"/>
      <c r="AC94" s="132"/>
      <c r="AD94" s="132"/>
      <c r="AE94" s="63"/>
      <c r="AF94" s="63"/>
      <c r="AG94" s="63"/>
    </row>
    <row r="95" spans="1:33" ht="17.2" customHeight="1">
      <c r="A95" s="64">
        <f>IF(priority(Main[[#This Row],[Comments]])&lt;&gt;0, priority(Main[[#This Row],[Comments]]),"")</f>
        <v>30</v>
      </c>
      <c r="B95" s="60" t="s">
        <v>3492</v>
      </c>
      <c r="C95" s="72" t="s">
        <v>3743</v>
      </c>
      <c r="D95" s="59" t="s">
        <v>3493</v>
      </c>
      <c r="E95" s="85"/>
      <c r="F95" s="85">
        <v>41153</v>
      </c>
      <c r="G95" s="64" t="str">
        <f>IF(stdProdLT(Main[[#This Row],[Comments]])=0.1,"N/A",IF(stdProdLT(Main[[#This Row],[Comments]])=0,"",TRIM(stdProdLT(Main[[#This Row],[Comments]]))))</f>
        <v>140</v>
      </c>
      <c r="H95" s="94">
        <f>IF(OR(Main[[#This Row],[Std. Prod. Lead Time]]="N/A",Main[[#This Row],[Std. Prod. Lead Time]]=""), "",IF(AND(Main[[#This Row],[In Stock Date]]&lt;&gt;"",Main[[#This Row],[Revised Due Date]]&lt;&gt;"",Main[[#This Row],[In Stock Date]]&lt;&gt;""),Main[[#This Row],[In Stock Date]]-Main[[#This Row],[Revised Due Date]],""))</f>
        <v>158</v>
      </c>
      <c r="I95" s="101" t="s">
        <v>3793</v>
      </c>
      <c r="J95" s="95" t="s">
        <v>28</v>
      </c>
      <c r="K95" s="95" t="s">
        <v>1918</v>
      </c>
      <c r="L95" s="85">
        <v>40960</v>
      </c>
      <c r="M95" s="73">
        <f>IF(Main[[#This Row],[Tech Start Date]]&lt;1/1/1990,"",IF(Main[[#This Row],[Class]]="C",WORKDAY(Main[[#This Row],[Tech Start Date]],9),IF(Main[[#This Row],[Class]]="B", WORKDAY(Main[[#This Row],[Tech Start Date]],6),IF(Main[[#This Row],[Class]]="A",WORKDAY(Main[[#This Row],[Tech Start Date]],2),""))))</f>
        <v>40968</v>
      </c>
      <c r="N95" s="73">
        <f>IF(Main[[#This Row],[Tech Start Date]]&lt;1/1/1990,"",IF(Main[[#This Row],[Class]]="C",WORKDAY(Main[[#This Row],[Tech Start Date]],19),IF(Main[[#This Row],[Class]]="B", WORKDAY(Main[[#This Row],[Tech Start Date]],12),IF(Main[[#This Row],[Class]]="A",WORKDAY(Main[[#This Row],[Tech Start Date]],4),""))))</f>
        <v>40976</v>
      </c>
      <c r="O95" s="73">
        <f>IF(Main[[#This Row],[Tech Start Date]]&lt;1/1/1990,"",IF(Main[[#This Row],[Class]]="C",WORKDAY(Main[[#This Row],[Tech Start Date]],23),IF(Main[[#This Row],[Class]]="B", WORKDAY(Main[[#This Row],[Tech Start Date]],15),IF(Main[[#This Row],[Class]]="A",WORKDAY(Main[[#This Row],[Tech Start Date]],5),""))))</f>
        <v>40981</v>
      </c>
      <c r="P95" s="73">
        <f>IF(Main[[#This Row],[Tech Start Date]]&lt;1/1/1990,"",IF(Main[[#This Row],[Class]]="C",WORKDAY(Main[[#This Row],[Tech Start Date]],28),IF(Main[[#This Row],[Class]]="B", WORKDAY(Main[[#This Row],[Tech Start Date]],19),IF(Main[[#This Row],[Class]]="A",WORKDAY(Main[[#This Row],[Tech Start Date]],9),""))))</f>
        <v>40987</v>
      </c>
      <c r="Q95" s="85">
        <v>40995</v>
      </c>
      <c r="R95" s="112">
        <v>40995</v>
      </c>
      <c r="S95" s="95" t="s">
        <v>11</v>
      </c>
      <c r="T95" s="74" t="s">
        <v>3744</v>
      </c>
      <c r="U95" s="95" t="s">
        <v>14</v>
      </c>
      <c r="V95" s="95" t="s">
        <v>1921</v>
      </c>
      <c r="W95" s="95" t="s">
        <v>1922</v>
      </c>
      <c r="X95" s="95" t="s">
        <v>2826</v>
      </c>
      <c r="Y95" s="72" t="s">
        <v>4</v>
      </c>
      <c r="Z95" s="72" t="s">
        <v>530</v>
      </c>
      <c r="AA95" s="95" t="s">
        <v>2826</v>
      </c>
      <c r="AB95" s="132"/>
      <c r="AC95" s="132"/>
      <c r="AD95" s="132"/>
      <c r="AE95" s="63"/>
      <c r="AF95" s="63"/>
      <c r="AG95" s="63"/>
    </row>
    <row r="96" spans="1:33" ht="17.2" customHeight="1">
      <c r="A96" s="64">
        <f>IF(priority(Main[[#This Row],[Comments]])&lt;&gt;0, priority(Main[[#This Row],[Comments]]),"")</f>
        <v>31</v>
      </c>
      <c r="B96" s="60" t="s">
        <v>3784</v>
      </c>
      <c r="C96" s="72" t="s">
        <v>3743</v>
      </c>
      <c r="D96" s="59" t="s">
        <v>3785</v>
      </c>
      <c r="E96" s="85"/>
      <c r="F96" s="85">
        <v>41153</v>
      </c>
      <c r="G96" s="64" t="str">
        <f>IF(stdProdLT(Main[[#This Row],[Comments]])=0.1,"N/A",IF(stdProdLT(Main[[#This Row],[Comments]])=0,"",TRIM(stdProdLT(Main[[#This Row],[Comments]]))))</f>
        <v>168</v>
      </c>
      <c r="H96" s="94" t="str">
        <f>IF(OR(Main[[#This Row],[Std. Prod. Lead Time]]="N/A",Main[[#This Row],[Std. Prod. Lead Time]]=""), "",IF(AND(Main[[#This Row],[In Stock Date]]&lt;&gt;"",Main[[#This Row],[Revised Due Date]]&lt;&gt;"",Main[[#This Row],[In Stock Date]]&lt;&gt;""),Main[[#This Row],[In Stock Date]]-Main[[#This Row],[Revised Due Date]],""))</f>
        <v/>
      </c>
      <c r="I96" s="101" t="s">
        <v>4</v>
      </c>
      <c r="J96" s="95" t="s">
        <v>52</v>
      </c>
      <c r="K96" s="95" t="s">
        <v>4</v>
      </c>
      <c r="L96" s="85"/>
      <c r="M96" s="73" t="str">
        <f>IF(Main[[#This Row],[Tech Start Date]]&lt;1/1/1990,"",IF(Main[[#This Row],[Class]]="C",WORKDAY(Main[[#This Row],[Tech Start Date]],9),IF(Main[[#This Row],[Class]]="B", WORKDAY(Main[[#This Row],[Tech Start Date]],6),IF(Main[[#This Row],[Class]]="A",WORKDAY(Main[[#This Row],[Tech Start Date]],2),""))))</f>
        <v/>
      </c>
      <c r="N96" s="73" t="str">
        <f>IF(Main[[#This Row],[Tech Start Date]]&lt;1/1/1990,"",IF(Main[[#This Row],[Class]]="C",WORKDAY(Main[[#This Row],[Tech Start Date]],19),IF(Main[[#This Row],[Class]]="B", WORKDAY(Main[[#This Row],[Tech Start Date]],12),IF(Main[[#This Row],[Class]]="A",WORKDAY(Main[[#This Row],[Tech Start Date]],4),""))))</f>
        <v/>
      </c>
      <c r="O96" s="73" t="str">
        <f>IF(Main[[#This Row],[Tech Start Date]]&lt;1/1/1990,"",IF(Main[[#This Row],[Class]]="C",WORKDAY(Main[[#This Row],[Tech Start Date]],23),IF(Main[[#This Row],[Class]]="B", WORKDAY(Main[[#This Row],[Tech Start Date]],15),IF(Main[[#This Row],[Class]]="A",WORKDAY(Main[[#This Row],[Tech Start Date]],5),""))))</f>
        <v/>
      </c>
      <c r="P96" s="73" t="str">
        <f>IF(Main[[#This Row],[Tech Start Date]]&lt;1/1/1990,"",IF(Main[[#This Row],[Class]]="C",WORKDAY(Main[[#This Row],[Tech Start Date]],28),IF(Main[[#This Row],[Class]]="B", WORKDAY(Main[[#This Row],[Tech Start Date]],19),IF(Main[[#This Row],[Class]]="A",WORKDAY(Main[[#This Row],[Tech Start Date]],9),""))))</f>
        <v/>
      </c>
      <c r="Q96" s="85">
        <v>41014</v>
      </c>
      <c r="R96" s="112"/>
      <c r="S96" s="95" t="s">
        <v>11</v>
      </c>
      <c r="T96" s="74" t="s">
        <v>3786</v>
      </c>
      <c r="U96" s="95" t="s">
        <v>14</v>
      </c>
      <c r="V96" s="95" t="s">
        <v>1914</v>
      </c>
      <c r="W96" s="95" t="s">
        <v>1919</v>
      </c>
      <c r="X96" s="95" t="s">
        <v>2828</v>
      </c>
      <c r="Y96" s="72" t="s">
        <v>4</v>
      </c>
      <c r="Z96" s="72" t="s">
        <v>530</v>
      </c>
      <c r="AA96" s="95" t="s">
        <v>2828</v>
      </c>
      <c r="AB96" s="132"/>
      <c r="AC96" s="132"/>
      <c r="AD96" s="132"/>
      <c r="AE96" s="63"/>
      <c r="AF96" s="63"/>
      <c r="AG96" s="63"/>
    </row>
    <row r="97" spans="1:33" ht="17.2" customHeight="1">
      <c r="A97" s="64">
        <f>IF(priority(Main[[#This Row],[Comments]])&lt;&gt;0, priority(Main[[#This Row],[Comments]]),"")</f>
        <v>31</v>
      </c>
      <c r="B97" s="60" t="s">
        <v>2146</v>
      </c>
      <c r="C97" s="72" t="s">
        <v>116</v>
      </c>
      <c r="D97" s="59" t="s">
        <v>2776</v>
      </c>
      <c r="E97" s="85">
        <v>40770.33797453704</v>
      </c>
      <c r="F97" s="85">
        <v>41044</v>
      </c>
      <c r="G97" s="64" t="str">
        <f>IF(stdProdLT(Main[[#This Row],[Comments]])=0.1,"N/A",IF(stdProdLT(Main[[#This Row],[Comments]])=0,"",TRIM(stdProdLT(Main[[#This Row],[Comments]]))))</f>
        <v>N/A</v>
      </c>
      <c r="H97" s="94" t="str">
        <f>IF(OR(Main[[#This Row],[Std. Prod. Lead Time]]="N/A",Main[[#This Row],[Std. Prod. Lead Time]]=""), "",IF(AND(Main[[#This Row],[In Stock Date]]&lt;&gt;"",Main[[#This Row],[Revised Due Date]]&lt;&gt;"",Main[[#This Row],[In Stock Date]]&lt;&gt;""),Main[[#This Row],[In Stock Date]]-Main[[#This Row],[Revised Due Date]],""))</f>
        <v/>
      </c>
      <c r="I97" s="101" t="s">
        <v>937</v>
      </c>
      <c r="J97" s="95" t="s">
        <v>21</v>
      </c>
      <c r="K97" s="95" t="s">
        <v>1924</v>
      </c>
      <c r="L97" s="85">
        <v>40778</v>
      </c>
      <c r="M97" s="73">
        <f>IF(Main[[#This Row],[Tech Start Date]]&lt;1/1/1990,"",IF(Main[[#This Row],[Class]]="C",WORKDAY(Main[[#This Row],[Tech Start Date]],9),IF(Main[[#This Row],[Class]]="B", WORKDAY(Main[[#This Row],[Tech Start Date]],6),IF(Main[[#This Row],[Class]]="A",WORKDAY(Main[[#This Row],[Tech Start Date]],2),""))))</f>
        <v>40791</v>
      </c>
      <c r="N97" s="73">
        <f>IF(Main[[#This Row],[Tech Start Date]]&lt;1/1/1990,"",IF(Main[[#This Row],[Class]]="C",WORKDAY(Main[[#This Row],[Tech Start Date]],19),IF(Main[[#This Row],[Class]]="B", WORKDAY(Main[[#This Row],[Tech Start Date]],12),IF(Main[[#This Row],[Class]]="A",WORKDAY(Main[[#This Row],[Tech Start Date]],4),""))))</f>
        <v>40805</v>
      </c>
      <c r="O97" s="73">
        <f>IF(Main[[#This Row],[Tech Start Date]]&lt;1/1/1990,"",IF(Main[[#This Row],[Class]]="C",WORKDAY(Main[[#This Row],[Tech Start Date]],23),IF(Main[[#This Row],[Class]]="B", WORKDAY(Main[[#This Row],[Tech Start Date]],15),IF(Main[[#This Row],[Class]]="A",WORKDAY(Main[[#This Row],[Tech Start Date]],5),""))))</f>
        <v>40809</v>
      </c>
      <c r="P97" s="73">
        <f>IF(Main[[#This Row],[Tech Start Date]]&lt;1/1/1990,"",IF(Main[[#This Row],[Class]]="C",WORKDAY(Main[[#This Row],[Tech Start Date]],28),IF(Main[[#This Row],[Class]]="B", WORKDAY(Main[[#This Row],[Tech Start Date]],19),IF(Main[[#This Row],[Class]]="A",WORKDAY(Main[[#This Row],[Tech Start Date]],9),""))))</f>
        <v>40816</v>
      </c>
      <c r="Q97" s="85">
        <v>40802</v>
      </c>
      <c r="R97" s="112">
        <v>40998</v>
      </c>
      <c r="S97" s="95" t="s">
        <v>11</v>
      </c>
      <c r="T97" s="74" t="s">
        <v>3969</v>
      </c>
      <c r="U97" s="95" t="s">
        <v>29</v>
      </c>
      <c r="V97" s="95" t="s">
        <v>1911</v>
      </c>
      <c r="W97" s="95" t="s">
        <v>1919</v>
      </c>
      <c r="X97" s="95" t="s">
        <v>2832</v>
      </c>
      <c r="Y97" s="72" t="s">
        <v>3112</v>
      </c>
      <c r="Z97" s="72" t="s">
        <v>129</v>
      </c>
      <c r="AA97" s="95" t="s">
        <v>2832</v>
      </c>
      <c r="AB97" s="132"/>
      <c r="AC97" s="132"/>
      <c r="AD97" s="132"/>
      <c r="AE97" s="63"/>
      <c r="AF97" s="63"/>
      <c r="AG97" s="63"/>
    </row>
    <row r="98" spans="1:33" ht="17.2" customHeight="1">
      <c r="A98" s="64">
        <f>IF(priority(Main[[#This Row],[Comments]])&lt;&gt;0, priority(Main[[#This Row],[Comments]]),"")</f>
        <v>32</v>
      </c>
      <c r="B98" s="60" t="s">
        <v>1074</v>
      </c>
      <c r="C98" s="72" t="s">
        <v>116</v>
      </c>
      <c r="D98" s="59" t="s">
        <v>117</v>
      </c>
      <c r="E98" s="85"/>
      <c r="F98" s="85"/>
      <c r="G98" s="64" t="str">
        <f>IF(stdProdLT(Main[[#This Row],[Comments]])=0.1,"N/A",IF(stdProdLT(Main[[#This Row],[Comments]])=0,"",TRIM(stdProdLT(Main[[#This Row],[Comments]]))))</f>
        <v/>
      </c>
      <c r="H98" s="94" t="str">
        <f>IF(OR(Main[[#This Row],[Std. Prod. Lead Time]]="N/A",Main[[#This Row],[Std. Prod. Lead Time]]=""), "",IF(AND(Main[[#This Row],[In Stock Date]]&lt;&gt;"",Main[[#This Row],[Revised Due Date]]&lt;&gt;"",Main[[#This Row],[In Stock Date]]&lt;&gt;""),Main[[#This Row],[In Stock Date]]-Main[[#This Row],[Revised Due Date]],""))</f>
        <v/>
      </c>
      <c r="I98" s="101" t="s">
        <v>4</v>
      </c>
      <c r="J98" s="95" t="s">
        <v>4</v>
      </c>
      <c r="K98" s="95" t="s">
        <v>4</v>
      </c>
      <c r="L98" s="85"/>
      <c r="M98" s="73" t="str">
        <f>IF(Main[[#This Row],[Tech Start Date]]&lt;1/1/1990,"",IF(Main[[#This Row],[Class]]="C",WORKDAY(Main[[#This Row],[Tech Start Date]],9),IF(Main[[#This Row],[Class]]="B", WORKDAY(Main[[#This Row],[Tech Start Date]],6),IF(Main[[#This Row],[Class]]="A",WORKDAY(Main[[#This Row],[Tech Start Date]],2),""))))</f>
        <v/>
      </c>
      <c r="N98" s="73" t="str">
        <f>IF(Main[[#This Row],[Tech Start Date]]&lt;1/1/1990,"",IF(Main[[#This Row],[Class]]="C",WORKDAY(Main[[#This Row],[Tech Start Date]],19),IF(Main[[#This Row],[Class]]="B", WORKDAY(Main[[#This Row],[Tech Start Date]],12),IF(Main[[#This Row],[Class]]="A",WORKDAY(Main[[#This Row],[Tech Start Date]],4),""))))</f>
        <v/>
      </c>
      <c r="O98" s="73" t="str">
        <f>IF(Main[[#This Row],[Tech Start Date]]&lt;1/1/1990,"",IF(Main[[#This Row],[Class]]="C",WORKDAY(Main[[#This Row],[Tech Start Date]],23),IF(Main[[#This Row],[Class]]="B", WORKDAY(Main[[#This Row],[Tech Start Date]],15),IF(Main[[#This Row],[Class]]="A",WORKDAY(Main[[#This Row],[Tech Start Date]],5),""))))</f>
        <v/>
      </c>
      <c r="P98" s="73" t="str">
        <f>IF(Main[[#This Row],[Tech Start Date]]&lt;1/1/1990,"",IF(Main[[#This Row],[Class]]="C",WORKDAY(Main[[#This Row],[Tech Start Date]],28),IF(Main[[#This Row],[Class]]="B", WORKDAY(Main[[#This Row],[Tech Start Date]],19),IF(Main[[#This Row],[Class]]="A",WORKDAY(Main[[#This Row],[Tech Start Date]],9),""))))</f>
        <v/>
      </c>
      <c r="Q98" s="85">
        <v>40786</v>
      </c>
      <c r="R98" s="112"/>
      <c r="S98" s="95" t="s">
        <v>11</v>
      </c>
      <c r="T98" s="74" t="s">
        <v>118</v>
      </c>
      <c r="U98" s="95" t="s">
        <v>14</v>
      </c>
      <c r="V98" s="95" t="s">
        <v>1911</v>
      </c>
      <c r="W98" s="95" t="s">
        <v>1916</v>
      </c>
      <c r="X98" s="95" t="s">
        <v>2819</v>
      </c>
      <c r="Y98" s="72" t="s">
        <v>2948</v>
      </c>
      <c r="Z98" s="72" t="s">
        <v>4</v>
      </c>
      <c r="AA98" s="95" t="s">
        <v>2819</v>
      </c>
      <c r="AB98" s="132"/>
      <c r="AC98" s="132"/>
      <c r="AD98" s="132"/>
      <c r="AE98" s="63"/>
      <c r="AF98" s="63"/>
      <c r="AG98" s="63"/>
    </row>
    <row r="99" spans="1:33" ht="17.2" customHeight="1">
      <c r="A99" s="64">
        <f>IF(priority(Main[[#This Row],[Comments]])&lt;&gt;0, priority(Main[[#This Row],[Comments]]),"")</f>
        <v>32</v>
      </c>
      <c r="B99" s="60" t="s">
        <v>1066</v>
      </c>
      <c r="C99" s="72" t="s">
        <v>4</v>
      </c>
      <c r="D99" s="59" t="s">
        <v>2303</v>
      </c>
      <c r="E99" s="85">
        <v>40591.506215277775</v>
      </c>
      <c r="F99" s="85"/>
      <c r="G99" s="64" t="str">
        <f>IF(stdProdLT(Main[[#This Row],[Comments]])=0.1,"N/A",IF(stdProdLT(Main[[#This Row],[Comments]])=0,"",TRIM(stdProdLT(Main[[#This Row],[Comments]]))))</f>
        <v/>
      </c>
      <c r="H99" s="94" t="str">
        <f>IF(OR(Main[[#This Row],[Std. Prod. Lead Time]]="N/A",Main[[#This Row],[Std. Prod. Lead Time]]=""), "",IF(AND(Main[[#This Row],[In Stock Date]]&lt;&gt;"",Main[[#This Row],[Revised Due Date]]&lt;&gt;"",Main[[#This Row],[In Stock Date]]&lt;&gt;""),Main[[#This Row],[In Stock Date]]-Main[[#This Row],[Revised Due Date]],""))</f>
        <v/>
      </c>
      <c r="I99" s="101" t="s">
        <v>912</v>
      </c>
      <c r="J99" s="95" t="s">
        <v>52</v>
      </c>
      <c r="K99" s="95" t="s">
        <v>1920</v>
      </c>
      <c r="L99" s="85"/>
      <c r="M99" s="73" t="str">
        <f>IF(Main[[#This Row],[Tech Start Date]]&lt;1/1/1990,"",IF(Main[[#This Row],[Class]]="C",WORKDAY(Main[[#This Row],[Tech Start Date]],9),IF(Main[[#This Row],[Class]]="B", WORKDAY(Main[[#This Row],[Tech Start Date]],6),IF(Main[[#This Row],[Class]]="A",WORKDAY(Main[[#This Row],[Tech Start Date]],2),""))))</f>
        <v/>
      </c>
      <c r="N99" s="73" t="str">
        <f>IF(Main[[#This Row],[Tech Start Date]]&lt;1/1/1990,"",IF(Main[[#This Row],[Class]]="C",WORKDAY(Main[[#This Row],[Tech Start Date]],19),IF(Main[[#This Row],[Class]]="B", WORKDAY(Main[[#This Row],[Tech Start Date]],12),IF(Main[[#This Row],[Class]]="A",WORKDAY(Main[[#This Row],[Tech Start Date]],4),""))))</f>
        <v/>
      </c>
      <c r="O99" s="73" t="str">
        <f>IF(Main[[#This Row],[Tech Start Date]]&lt;1/1/1990,"",IF(Main[[#This Row],[Class]]="C",WORKDAY(Main[[#This Row],[Tech Start Date]],23),IF(Main[[#This Row],[Class]]="B", WORKDAY(Main[[#This Row],[Tech Start Date]],15),IF(Main[[#This Row],[Class]]="A",WORKDAY(Main[[#This Row],[Tech Start Date]],5),""))))</f>
        <v/>
      </c>
      <c r="P99" s="73" t="str">
        <f>IF(Main[[#This Row],[Tech Start Date]]&lt;1/1/1990,"",IF(Main[[#This Row],[Class]]="C",WORKDAY(Main[[#This Row],[Tech Start Date]],28),IF(Main[[#This Row],[Class]]="B", WORKDAY(Main[[#This Row],[Tech Start Date]],19),IF(Main[[#This Row],[Class]]="A",WORKDAY(Main[[#This Row],[Tech Start Date]],9),""))))</f>
        <v/>
      </c>
      <c r="Q99" s="85">
        <v>40605</v>
      </c>
      <c r="R99" s="112"/>
      <c r="S99" s="95" t="s">
        <v>6</v>
      </c>
      <c r="T99" s="74" t="s">
        <v>118</v>
      </c>
      <c r="U99" s="95" t="s">
        <v>29</v>
      </c>
      <c r="V99" s="95" t="s">
        <v>1911</v>
      </c>
      <c r="W99" s="95" t="s">
        <v>1913</v>
      </c>
      <c r="X99" s="95" t="s">
        <v>2880</v>
      </c>
      <c r="Y99" s="72" t="s">
        <v>3052</v>
      </c>
      <c r="Z99" s="72" t="s">
        <v>129</v>
      </c>
      <c r="AA99" s="95" t="s">
        <v>2880</v>
      </c>
      <c r="AB99" s="132"/>
      <c r="AC99" s="132"/>
      <c r="AD99" s="132"/>
      <c r="AE99" s="63"/>
      <c r="AF99" s="63"/>
      <c r="AG99" s="63"/>
    </row>
    <row r="100" spans="1:33" ht="17.2" customHeight="1">
      <c r="A100" s="64">
        <f>IF(priority(Main[[#This Row],[Comments]])&lt;&gt;0, priority(Main[[#This Row],[Comments]]),"")</f>
        <v>32</v>
      </c>
      <c r="B100" s="60" t="s">
        <v>2636</v>
      </c>
      <c r="C100" s="72" t="s">
        <v>116</v>
      </c>
      <c r="D100" s="59" t="s">
        <v>2785</v>
      </c>
      <c r="E100" s="85">
        <v>40864.570104166669</v>
      </c>
      <c r="F100" s="85">
        <v>41044</v>
      </c>
      <c r="G100" s="64" t="str">
        <f>IF(stdProdLT(Main[[#This Row],[Comments]])=0.1,"N/A",IF(stdProdLT(Main[[#This Row],[Comments]])=0,"",TRIM(stdProdLT(Main[[#This Row],[Comments]]))))</f>
        <v>N/A</v>
      </c>
      <c r="H100" s="94" t="str">
        <f>IF(OR(Main[[#This Row],[Std. Prod. Lead Time]]="N/A",Main[[#This Row],[Std. Prod. Lead Time]]=""), "",IF(AND(Main[[#This Row],[In Stock Date]]&lt;&gt;"",Main[[#This Row],[Revised Due Date]]&lt;&gt;"",Main[[#This Row],[In Stock Date]]&lt;&gt;""),Main[[#This Row],[In Stock Date]]-Main[[#This Row],[Revised Due Date]],""))</f>
        <v/>
      </c>
      <c r="I100" s="101" t="s">
        <v>937</v>
      </c>
      <c r="J100" s="95" t="s">
        <v>21</v>
      </c>
      <c r="K100" s="95" t="s">
        <v>1918</v>
      </c>
      <c r="L100" s="85">
        <v>40869</v>
      </c>
      <c r="M100" s="73">
        <f>IF(Main[[#This Row],[Tech Start Date]]&lt;1/1/1990,"",IF(Main[[#This Row],[Class]]="C",WORKDAY(Main[[#This Row],[Tech Start Date]],9),IF(Main[[#This Row],[Class]]="B", WORKDAY(Main[[#This Row],[Tech Start Date]],6),IF(Main[[#This Row],[Class]]="A",WORKDAY(Main[[#This Row],[Tech Start Date]],2),""))))</f>
        <v>40877</v>
      </c>
      <c r="N100" s="73">
        <f>IF(Main[[#This Row],[Tech Start Date]]&lt;1/1/1990,"",IF(Main[[#This Row],[Class]]="C",WORKDAY(Main[[#This Row],[Tech Start Date]],19),IF(Main[[#This Row],[Class]]="B", WORKDAY(Main[[#This Row],[Tech Start Date]],12),IF(Main[[#This Row],[Class]]="A",WORKDAY(Main[[#This Row],[Tech Start Date]],4),""))))</f>
        <v>40885</v>
      </c>
      <c r="O100" s="73">
        <f>IF(Main[[#This Row],[Tech Start Date]]&lt;1/1/1990,"",IF(Main[[#This Row],[Class]]="C",WORKDAY(Main[[#This Row],[Tech Start Date]],23),IF(Main[[#This Row],[Class]]="B", WORKDAY(Main[[#This Row],[Tech Start Date]],15),IF(Main[[#This Row],[Class]]="A",WORKDAY(Main[[#This Row],[Tech Start Date]],5),""))))</f>
        <v>40890</v>
      </c>
      <c r="P100" s="73">
        <f>IF(Main[[#This Row],[Tech Start Date]]&lt;1/1/1990,"",IF(Main[[#This Row],[Class]]="C",WORKDAY(Main[[#This Row],[Tech Start Date]],28),IF(Main[[#This Row],[Class]]="B", WORKDAY(Main[[#This Row],[Tech Start Date]],19),IF(Main[[#This Row],[Class]]="A",WORKDAY(Main[[#This Row],[Tech Start Date]],9),""))))</f>
        <v>40896</v>
      </c>
      <c r="Q100" s="85">
        <v>40904</v>
      </c>
      <c r="R100" s="112">
        <v>40998</v>
      </c>
      <c r="S100" s="95" t="s">
        <v>11</v>
      </c>
      <c r="T100" s="74" t="s">
        <v>3974</v>
      </c>
      <c r="U100" s="95" t="s">
        <v>29</v>
      </c>
      <c r="V100" s="95" t="s">
        <v>1911</v>
      </c>
      <c r="W100" s="95" t="s">
        <v>1919</v>
      </c>
      <c r="X100" s="95" t="s">
        <v>2832</v>
      </c>
      <c r="Y100" s="72" t="s">
        <v>3112</v>
      </c>
      <c r="Z100" s="72" t="s">
        <v>129</v>
      </c>
      <c r="AA100" s="95" t="s">
        <v>2832</v>
      </c>
      <c r="AB100" s="132"/>
      <c r="AC100" s="132"/>
      <c r="AD100" s="132"/>
      <c r="AE100" s="63"/>
      <c r="AF100" s="63"/>
      <c r="AG100" s="63"/>
    </row>
    <row r="101" spans="1:33" ht="17.2" customHeight="1">
      <c r="A101" s="64">
        <f>IF(priority(Main[[#This Row],[Comments]])&lt;&gt;0, priority(Main[[#This Row],[Comments]]),"")</f>
        <v>32.1</v>
      </c>
      <c r="B101" s="60" t="s">
        <v>2165</v>
      </c>
      <c r="C101" s="72" t="s">
        <v>2166</v>
      </c>
      <c r="D101" s="59" t="s">
        <v>2167</v>
      </c>
      <c r="E101" s="85"/>
      <c r="F101" s="85">
        <v>40795</v>
      </c>
      <c r="G101" s="64" t="str">
        <f>IF(stdProdLT(Main[[#This Row],[Comments]])=0.1,"N/A",IF(stdProdLT(Main[[#This Row],[Comments]])=0,"",TRIM(stdProdLT(Main[[#This Row],[Comments]]))))</f>
        <v>21</v>
      </c>
      <c r="H101" s="94" t="str">
        <f>IF(OR(Main[[#This Row],[Std. Prod. Lead Time]]="N/A",Main[[#This Row],[Std. Prod. Lead Time]]=""), "",IF(AND(Main[[#This Row],[In Stock Date]]&lt;&gt;"",Main[[#This Row],[Revised Due Date]]&lt;&gt;"",Main[[#This Row],[In Stock Date]]&lt;&gt;""),Main[[#This Row],[In Stock Date]]-Main[[#This Row],[Revised Due Date]],""))</f>
        <v/>
      </c>
      <c r="I101" s="101" t="s">
        <v>4</v>
      </c>
      <c r="J101" s="95" t="s">
        <v>4</v>
      </c>
      <c r="K101" s="95" t="s">
        <v>4</v>
      </c>
      <c r="L101" s="85"/>
      <c r="M101" s="73" t="str">
        <f>IF(Main[[#This Row],[Tech Start Date]]&lt;1/1/1990,"",IF(Main[[#This Row],[Class]]="C",WORKDAY(Main[[#This Row],[Tech Start Date]],9),IF(Main[[#This Row],[Class]]="B", WORKDAY(Main[[#This Row],[Tech Start Date]],6),IF(Main[[#This Row],[Class]]="A",WORKDAY(Main[[#This Row],[Tech Start Date]],2),""))))</f>
        <v/>
      </c>
      <c r="N101" s="73" t="str">
        <f>IF(Main[[#This Row],[Tech Start Date]]&lt;1/1/1990,"",IF(Main[[#This Row],[Class]]="C",WORKDAY(Main[[#This Row],[Tech Start Date]],19),IF(Main[[#This Row],[Class]]="B", WORKDAY(Main[[#This Row],[Tech Start Date]],12),IF(Main[[#This Row],[Class]]="A",WORKDAY(Main[[#This Row],[Tech Start Date]],4),""))))</f>
        <v/>
      </c>
      <c r="O101" s="73" t="str">
        <f>IF(Main[[#This Row],[Tech Start Date]]&lt;1/1/1990,"",IF(Main[[#This Row],[Class]]="C",WORKDAY(Main[[#This Row],[Tech Start Date]],23),IF(Main[[#This Row],[Class]]="B", WORKDAY(Main[[#This Row],[Tech Start Date]],15),IF(Main[[#This Row],[Class]]="A",WORKDAY(Main[[#This Row],[Tech Start Date]],5),""))))</f>
        <v/>
      </c>
      <c r="P101" s="73" t="str">
        <f>IF(Main[[#This Row],[Tech Start Date]]&lt;1/1/1990,"",IF(Main[[#This Row],[Class]]="C",WORKDAY(Main[[#This Row],[Tech Start Date]],28),IF(Main[[#This Row],[Class]]="B", WORKDAY(Main[[#This Row],[Tech Start Date]],19),IF(Main[[#This Row],[Class]]="A",WORKDAY(Main[[#This Row],[Tech Start Date]],9),""))))</f>
        <v/>
      </c>
      <c r="Q101" s="85">
        <v>40795</v>
      </c>
      <c r="R101" s="112"/>
      <c r="S101" s="95" t="s">
        <v>11</v>
      </c>
      <c r="T101" s="74" t="s">
        <v>2217</v>
      </c>
      <c r="U101" s="95" t="s">
        <v>14</v>
      </c>
      <c r="V101" s="95" t="s">
        <v>1911</v>
      </c>
      <c r="W101" s="95" t="s">
        <v>1916</v>
      </c>
      <c r="X101" s="95" t="s">
        <v>2809</v>
      </c>
      <c r="Y101" s="72" t="s">
        <v>2929</v>
      </c>
      <c r="Z101" s="72" t="s">
        <v>4</v>
      </c>
      <c r="AA101" s="95" t="s">
        <v>2809</v>
      </c>
      <c r="AB101" s="132"/>
      <c r="AC101" s="132"/>
      <c r="AD101" s="132"/>
      <c r="AE101" s="63"/>
      <c r="AF101" s="63"/>
      <c r="AG101" s="63"/>
    </row>
    <row r="102" spans="1:33" ht="17.2" customHeight="1">
      <c r="A102" s="64">
        <f>IF(priority(Main[[#This Row],[Comments]])&lt;&gt;0, priority(Main[[#This Row],[Comments]]),"")</f>
        <v>33</v>
      </c>
      <c r="B102" s="60" t="s">
        <v>1221</v>
      </c>
      <c r="C102" s="72" t="s">
        <v>116</v>
      </c>
      <c r="D102" s="59" t="s">
        <v>324</v>
      </c>
      <c r="E102" s="85"/>
      <c r="F102" s="85"/>
      <c r="G102" s="64" t="str">
        <f>IF(stdProdLT(Main[[#This Row],[Comments]])=0.1,"N/A",IF(stdProdLT(Main[[#This Row],[Comments]])=0,"",TRIM(stdProdLT(Main[[#This Row],[Comments]]))))</f>
        <v/>
      </c>
      <c r="H102" s="94" t="str">
        <f>IF(OR(Main[[#This Row],[Std. Prod. Lead Time]]="N/A",Main[[#This Row],[Std. Prod. Lead Time]]=""), "",IF(AND(Main[[#This Row],[In Stock Date]]&lt;&gt;"",Main[[#This Row],[Revised Due Date]]&lt;&gt;"",Main[[#This Row],[In Stock Date]]&lt;&gt;""),Main[[#This Row],[In Stock Date]]-Main[[#This Row],[Revised Due Date]],""))</f>
        <v/>
      </c>
      <c r="I102" s="101" t="s">
        <v>4</v>
      </c>
      <c r="J102" s="95" t="s">
        <v>4</v>
      </c>
      <c r="K102" s="96" t="s">
        <v>4</v>
      </c>
      <c r="L102" s="85"/>
      <c r="M102" s="73" t="str">
        <f>IF(Main[[#This Row],[Tech Start Date]]&lt;1/1/1990,"",IF(Main[[#This Row],[Class]]="C",WORKDAY(Main[[#This Row],[Tech Start Date]],9),IF(Main[[#This Row],[Class]]="B", WORKDAY(Main[[#This Row],[Tech Start Date]],6),IF(Main[[#This Row],[Class]]="A",WORKDAY(Main[[#This Row],[Tech Start Date]],2),""))))</f>
        <v/>
      </c>
      <c r="N102" s="73" t="str">
        <f>IF(Main[[#This Row],[Tech Start Date]]&lt;1/1/1990,"",IF(Main[[#This Row],[Class]]="C",WORKDAY(Main[[#This Row],[Tech Start Date]],19),IF(Main[[#This Row],[Class]]="B", WORKDAY(Main[[#This Row],[Tech Start Date]],12),IF(Main[[#This Row],[Class]]="A",WORKDAY(Main[[#This Row],[Tech Start Date]],4),""))))</f>
        <v/>
      </c>
      <c r="O102" s="73" t="str">
        <f>IF(Main[[#This Row],[Tech Start Date]]&lt;1/1/1990,"",IF(Main[[#This Row],[Class]]="C",WORKDAY(Main[[#This Row],[Tech Start Date]],23),IF(Main[[#This Row],[Class]]="B", WORKDAY(Main[[#This Row],[Tech Start Date]],15),IF(Main[[#This Row],[Class]]="A",WORKDAY(Main[[#This Row],[Tech Start Date]],5),""))))</f>
        <v/>
      </c>
      <c r="P102" s="73" t="str">
        <f>IF(Main[[#This Row],[Tech Start Date]]&lt;1/1/1990,"",IF(Main[[#This Row],[Class]]="C",WORKDAY(Main[[#This Row],[Tech Start Date]],28),IF(Main[[#This Row],[Class]]="B", WORKDAY(Main[[#This Row],[Tech Start Date]],19),IF(Main[[#This Row],[Class]]="A",WORKDAY(Main[[#This Row],[Tech Start Date]],9),""))))</f>
        <v/>
      </c>
      <c r="Q102" s="85"/>
      <c r="R102" s="112"/>
      <c r="S102" s="95" t="s">
        <v>11</v>
      </c>
      <c r="T102" s="74" t="s">
        <v>325</v>
      </c>
      <c r="U102" s="95" t="s">
        <v>14</v>
      </c>
      <c r="V102" s="95" t="s">
        <v>1911</v>
      </c>
      <c r="W102" s="95" t="s">
        <v>1916</v>
      </c>
      <c r="X102" s="95" t="s">
        <v>2819</v>
      </c>
      <c r="Y102" s="72" t="s">
        <v>2948</v>
      </c>
      <c r="Z102" s="72" t="s">
        <v>4</v>
      </c>
      <c r="AA102" s="95" t="s">
        <v>2819</v>
      </c>
      <c r="AB102" s="132"/>
      <c r="AC102" s="132"/>
      <c r="AD102" s="132"/>
      <c r="AE102" s="63"/>
      <c r="AF102" s="63"/>
      <c r="AG102" s="63"/>
    </row>
    <row r="103" spans="1:33" ht="17.2" customHeight="1">
      <c r="A103" s="64">
        <f>IF(priority(Main[[#This Row],[Comments]])&lt;&gt;0, priority(Main[[#This Row],[Comments]]),"")</f>
        <v>33</v>
      </c>
      <c r="B103" s="60" t="s">
        <v>1080</v>
      </c>
      <c r="C103" s="72" t="s">
        <v>122</v>
      </c>
      <c r="D103" s="59" t="s">
        <v>123</v>
      </c>
      <c r="E103" s="85">
        <v>40534.411678240744</v>
      </c>
      <c r="F103" s="85">
        <v>40541</v>
      </c>
      <c r="G103" s="64" t="str">
        <f>IF(stdProdLT(Main[[#This Row],[Comments]])=0.1,"N/A",IF(stdProdLT(Main[[#This Row],[Comments]])=0,"",TRIM(stdProdLT(Main[[#This Row],[Comments]]))))</f>
        <v/>
      </c>
      <c r="H103" s="94" t="str">
        <f>IF(OR(Main[[#This Row],[Std. Prod. Lead Time]]="N/A",Main[[#This Row],[Std. Prod. Lead Time]]=""), "",IF(AND(Main[[#This Row],[In Stock Date]]&lt;&gt;"",Main[[#This Row],[Revised Due Date]]&lt;&gt;"",Main[[#This Row],[In Stock Date]]&lt;&gt;""),Main[[#This Row],[In Stock Date]]-Main[[#This Row],[Revised Due Date]],""))</f>
        <v/>
      </c>
      <c r="I103" s="101" t="s">
        <v>4</v>
      </c>
      <c r="J103" s="95" t="s">
        <v>28</v>
      </c>
      <c r="K103" s="95" t="s">
        <v>1920</v>
      </c>
      <c r="L103" s="85"/>
      <c r="M103" s="73" t="str">
        <f>IF(Main[[#This Row],[Tech Start Date]]&lt;1/1/1990,"",IF(Main[[#This Row],[Class]]="C",WORKDAY(Main[[#This Row],[Tech Start Date]],9),IF(Main[[#This Row],[Class]]="B", WORKDAY(Main[[#This Row],[Tech Start Date]],6),IF(Main[[#This Row],[Class]]="A",WORKDAY(Main[[#This Row],[Tech Start Date]],2),""))))</f>
        <v/>
      </c>
      <c r="N103" s="73" t="str">
        <f>IF(Main[[#This Row],[Tech Start Date]]&lt;1/1/1990,"",IF(Main[[#This Row],[Class]]="C",WORKDAY(Main[[#This Row],[Tech Start Date]],19),IF(Main[[#This Row],[Class]]="B", WORKDAY(Main[[#This Row],[Tech Start Date]],12),IF(Main[[#This Row],[Class]]="A",WORKDAY(Main[[#This Row],[Tech Start Date]],4),""))))</f>
        <v/>
      </c>
      <c r="O103" s="73" t="str">
        <f>IF(Main[[#This Row],[Tech Start Date]]&lt;1/1/1990,"",IF(Main[[#This Row],[Class]]="C",WORKDAY(Main[[#This Row],[Tech Start Date]],23),IF(Main[[#This Row],[Class]]="B", WORKDAY(Main[[#This Row],[Tech Start Date]],15),IF(Main[[#This Row],[Class]]="A",WORKDAY(Main[[#This Row],[Tech Start Date]],5),""))))</f>
        <v/>
      </c>
      <c r="P103" s="73" t="str">
        <f>IF(Main[[#This Row],[Tech Start Date]]&lt;1/1/1990,"",IF(Main[[#This Row],[Class]]="C",WORKDAY(Main[[#This Row],[Tech Start Date]],28),IF(Main[[#This Row],[Class]]="B", WORKDAY(Main[[#This Row],[Tech Start Date]],19),IF(Main[[#This Row],[Class]]="A",WORKDAY(Main[[#This Row],[Tech Start Date]],9),""))))</f>
        <v/>
      </c>
      <c r="Q103" s="85">
        <v>40541</v>
      </c>
      <c r="R103" s="112"/>
      <c r="S103" s="95" t="s">
        <v>6</v>
      </c>
      <c r="T103" s="74" t="s">
        <v>325</v>
      </c>
      <c r="U103" s="95" t="s">
        <v>7</v>
      </c>
      <c r="V103" s="95" t="s">
        <v>1911</v>
      </c>
      <c r="W103" s="95" t="s">
        <v>1915</v>
      </c>
      <c r="X103" s="95" t="s">
        <v>2797</v>
      </c>
      <c r="Y103" s="72" t="s">
        <v>3108</v>
      </c>
      <c r="Z103" s="72" t="s">
        <v>129</v>
      </c>
      <c r="AA103" s="95" t="s">
        <v>2797</v>
      </c>
      <c r="AB103" s="132"/>
      <c r="AC103" s="132"/>
      <c r="AD103" s="132"/>
      <c r="AE103" s="63"/>
      <c r="AF103" s="63"/>
      <c r="AG103" s="63"/>
    </row>
    <row r="104" spans="1:33" ht="17.2" customHeight="1">
      <c r="A104" s="64">
        <f>IF(priority(Main[[#This Row],[Comments]])&lt;&gt;0, priority(Main[[#This Row],[Comments]]),"")</f>
        <v>33</v>
      </c>
      <c r="B104" s="60" t="s">
        <v>2070</v>
      </c>
      <c r="C104" s="72" t="s">
        <v>33</v>
      </c>
      <c r="D104" s="59" t="s">
        <v>3970</v>
      </c>
      <c r="E104" s="85">
        <v>40776.124837962961</v>
      </c>
      <c r="F104" s="85"/>
      <c r="G104" s="64" t="str">
        <f>IF(stdProdLT(Main[[#This Row],[Comments]])=0.1,"N/A",IF(stdProdLT(Main[[#This Row],[Comments]])=0,"",TRIM(stdProdLT(Main[[#This Row],[Comments]]))))</f>
        <v>112</v>
      </c>
      <c r="H104" s="94" t="str">
        <f>IF(OR(Main[[#This Row],[Std. Prod. Lead Time]]="N/A",Main[[#This Row],[Std. Prod. Lead Time]]=""), "",IF(AND(Main[[#This Row],[In Stock Date]]&lt;&gt;"",Main[[#This Row],[Revised Due Date]]&lt;&gt;"",Main[[#This Row],[In Stock Date]]&lt;&gt;""),Main[[#This Row],[In Stock Date]]-Main[[#This Row],[Revised Due Date]],""))</f>
        <v/>
      </c>
      <c r="I104" s="101" t="s">
        <v>561</v>
      </c>
      <c r="J104" s="95" t="s">
        <v>28</v>
      </c>
      <c r="K104" s="95" t="s">
        <v>1924</v>
      </c>
      <c r="L104" s="85">
        <v>40805</v>
      </c>
      <c r="M104" s="73">
        <f>IF(Main[[#This Row],[Tech Start Date]]&lt;1/1/1990,"",IF(Main[[#This Row],[Class]]="C",WORKDAY(Main[[#This Row],[Tech Start Date]],9),IF(Main[[#This Row],[Class]]="B", WORKDAY(Main[[#This Row],[Tech Start Date]],6),IF(Main[[#This Row],[Class]]="A",WORKDAY(Main[[#This Row],[Tech Start Date]],2),""))))</f>
        <v>40816</v>
      </c>
      <c r="N104" s="73">
        <f>IF(Main[[#This Row],[Tech Start Date]]&lt;1/1/1990,"",IF(Main[[#This Row],[Class]]="C",WORKDAY(Main[[#This Row],[Tech Start Date]],19),IF(Main[[#This Row],[Class]]="B", WORKDAY(Main[[#This Row],[Tech Start Date]],12),IF(Main[[#This Row],[Class]]="A",WORKDAY(Main[[#This Row],[Tech Start Date]],4),""))))</f>
        <v>40830</v>
      </c>
      <c r="O104" s="73">
        <f>IF(Main[[#This Row],[Tech Start Date]]&lt;1/1/1990,"",IF(Main[[#This Row],[Class]]="C",WORKDAY(Main[[#This Row],[Tech Start Date]],23),IF(Main[[#This Row],[Class]]="B", WORKDAY(Main[[#This Row],[Tech Start Date]],15),IF(Main[[#This Row],[Class]]="A",WORKDAY(Main[[#This Row],[Tech Start Date]],5),""))))</f>
        <v>40836</v>
      </c>
      <c r="P104" s="73">
        <f>IF(Main[[#This Row],[Tech Start Date]]&lt;1/1/1990,"",IF(Main[[#This Row],[Class]]="C",WORKDAY(Main[[#This Row],[Tech Start Date]],28),IF(Main[[#This Row],[Class]]="B", WORKDAY(Main[[#This Row],[Tech Start Date]],19),IF(Main[[#This Row],[Class]]="A",WORKDAY(Main[[#This Row],[Tech Start Date]],9),""))))</f>
        <v>40843</v>
      </c>
      <c r="Q104" s="85">
        <v>40811</v>
      </c>
      <c r="R104" s="112">
        <v>40991</v>
      </c>
      <c r="S104" s="95" t="s">
        <v>11</v>
      </c>
      <c r="T104" s="74" t="s">
        <v>4062</v>
      </c>
      <c r="U104" s="95" t="s">
        <v>29</v>
      </c>
      <c r="V104" s="95" t="s">
        <v>1911</v>
      </c>
      <c r="W104" s="95" t="s">
        <v>1916</v>
      </c>
      <c r="X104" s="95" t="s">
        <v>2806</v>
      </c>
      <c r="Y104" s="72" t="s">
        <v>2924</v>
      </c>
      <c r="Z104" s="72" t="s">
        <v>129</v>
      </c>
      <c r="AA104" s="95" t="s">
        <v>2806</v>
      </c>
      <c r="AB104" s="132"/>
      <c r="AC104" s="132"/>
      <c r="AD104" s="132"/>
      <c r="AE104" s="63"/>
      <c r="AF104" s="63"/>
      <c r="AG104" s="63"/>
    </row>
    <row r="105" spans="1:33" ht="17.2" customHeight="1">
      <c r="A105" s="64">
        <f>IF(priority(Main[[#This Row],[Comments]])&lt;&gt;0, priority(Main[[#This Row],[Comments]]),"")</f>
        <v>33</v>
      </c>
      <c r="B105" s="60" t="s">
        <v>2745</v>
      </c>
      <c r="C105" s="72" t="s">
        <v>2002</v>
      </c>
      <c r="D105" s="59" t="s">
        <v>2746</v>
      </c>
      <c r="E105" s="85">
        <v>40914.055902777778</v>
      </c>
      <c r="F105" s="85">
        <v>41153</v>
      </c>
      <c r="G105" s="64" t="str">
        <f>IF(stdProdLT(Main[[#This Row],[Comments]])=0.1,"N/A",IF(stdProdLT(Main[[#This Row],[Comments]])=0,"",TRIM(stdProdLT(Main[[#This Row],[Comments]]))))</f>
        <v>168</v>
      </c>
      <c r="H105" s="94">
        <f>IF(OR(Main[[#This Row],[Std. Prod. Lead Time]]="N/A",Main[[#This Row],[Std. Prod. Lead Time]]=""), "",IF(AND(Main[[#This Row],[In Stock Date]]&lt;&gt;"",Main[[#This Row],[Revised Due Date]]&lt;&gt;"",Main[[#This Row],[In Stock Date]]&lt;&gt;""),Main[[#This Row],[In Stock Date]]-Main[[#This Row],[Revised Due Date]],""))</f>
        <v>176</v>
      </c>
      <c r="I105" s="101" t="s">
        <v>30</v>
      </c>
      <c r="J105" s="95" t="s">
        <v>21</v>
      </c>
      <c r="K105" s="95" t="s">
        <v>1924</v>
      </c>
      <c r="L105" s="85">
        <v>40925</v>
      </c>
      <c r="M105" s="73">
        <f>IF(Main[[#This Row],[Tech Start Date]]&lt;1/1/1990,"",IF(Main[[#This Row],[Class]]="C",WORKDAY(Main[[#This Row],[Tech Start Date]],9),IF(Main[[#This Row],[Class]]="B", WORKDAY(Main[[#This Row],[Tech Start Date]],6),IF(Main[[#This Row],[Class]]="A",WORKDAY(Main[[#This Row],[Tech Start Date]],2),""))))</f>
        <v>40938</v>
      </c>
      <c r="N105" s="73">
        <f>IF(Main[[#This Row],[Tech Start Date]]&lt;1/1/1990,"",IF(Main[[#This Row],[Class]]="C",WORKDAY(Main[[#This Row],[Tech Start Date]],19),IF(Main[[#This Row],[Class]]="B", WORKDAY(Main[[#This Row],[Tech Start Date]],12),IF(Main[[#This Row],[Class]]="A",WORKDAY(Main[[#This Row],[Tech Start Date]],4),""))))</f>
        <v>40952</v>
      </c>
      <c r="O105" s="73">
        <f>IF(Main[[#This Row],[Tech Start Date]]&lt;1/1/1990,"",IF(Main[[#This Row],[Class]]="C",WORKDAY(Main[[#This Row],[Tech Start Date]],23),IF(Main[[#This Row],[Class]]="B", WORKDAY(Main[[#This Row],[Tech Start Date]],15),IF(Main[[#This Row],[Class]]="A",WORKDAY(Main[[#This Row],[Tech Start Date]],5),""))))</f>
        <v>40956</v>
      </c>
      <c r="P105" s="73">
        <f>IF(Main[[#This Row],[Tech Start Date]]&lt;1/1/1990,"",IF(Main[[#This Row],[Class]]="C",WORKDAY(Main[[#This Row],[Tech Start Date]],28),IF(Main[[#This Row],[Class]]="B", WORKDAY(Main[[#This Row],[Tech Start Date]],19),IF(Main[[#This Row],[Class]]="A",WORKDAY(Main[[#This Row],[Tech Start Date]],9),""))))</f>
        <v>40963</v>
      </c>
      <c r="Q105" s="85">
        <v>40984</v>
      </c>
      <c r="R105" s="112">
        <v>40977</v>
      </c>
      <c r="S105" s="95" t="s">
        <v>11</v>
      </c>
      <c r="T105" s="74" t="s">
        <v>3712</v>
      </c>
      <c r="U105" s="95" t="s">
        <v>29</v>
      </c>
      <c r="V105" s="95" t="s">
        <v>1914</v>
      </c>
      <c r="W105" s="95" t="s">
        <v>1917</v>
      </c>
      <c r="X105" s="95" t="s">
        <v>2834</v>
      </c>
      <c r="Y105" s="72" t="s">
        <v>4</v>
      </c>
      <c r="Z105" s="72" t="s">
        <v>530</v>
      </c>
      <c r="AA105" s="95" t="s">
        <v>2834</v>
      </c>
      <c r="AB105" s="132"/>
      <c r="AC105" s="132"/>
      <c r="AD105" s="132"/>
      <c r="AE105" s="63"/>
      <c r="AF105" s="63"/>
      <c r="AG105" s="63"/>
    </row>
    <row r="106" spans="1:33" ht="17.2" customHeight="1">
      <c r="A106" s="64">
        <f>IF(priority(Main[[#This Row],[Comments]])&lt;&gt;0, priority(Main[[#This Row],[Comments]]),"")</f>
        <v>34</v>
      </c>
      <c r="B106" s="60" t="s">
        <v>1102</v>
      </c>
      <c r="C106" s="72" t="s">
        <v>4</v>
      </c>
      <c r="D106" s="59" t="s">
        <v>2291</v>
      </c>
      <c r="E106" s="85">
        <v>40561.117199074077</v>
      </c>
      <c r="F106" s="85">
        <v>40592</v>
      </c>
      <c r="G106" s="64" t="str">
        <f>IF(stdProdLT(Main[[#This Row],[Comments]])=0.1,"N/A",IF(stdProdLT(Main[[#This Row],[Comments]])=0,"",TRIM(stdProdLT(Main[[#This Row],[Comments]]))))</f>
        <v/>
      </c>
      <c r="H106" s="94" t="str">
        <f>IF(OR(Main[[#This Row],[Std. Prod. Lead Time]]="N/A",Main[[#This Row],[Std. Prod. Lead Time]]=""), "",IF(AND(Main[[#This Row],[In Stock Date]]&lt;&gt;"",Main[[#This Row],[Revised Due Date]]&lt;&gt;"",Main[[#This Row],[In Stock Date]]&lt;&gt;""),Main[[#This Row],[In Stock Date]]-Main[[#This Row],[Revised Due Date]],""))</f>
        <v/>
      </c>
      <c r="I106" s="101" t="s">
        <v>912</v>
      </c>
      <c r="J106" s="95" t="s">
        <v>21</v>
      </c>
      <c r="K106" s="95" t="s">
        <v>1918</v>
      </c>
      <c r="L106" s="85"/>
      <c r="M106" s="73" t="str">
        <f>IF(Main[[#This Row],[Tech Start Date]]&lt;1/1/1990,"",IF(Main[[#This Row],[Class]]="C",WORKDAY(Main[[#This Row],[Tech Start Date]],9),IF(Main[[#This Row],[Class]]="B", WORKDAY(Main[[#This Row],[Tech Start Date]],6),IF(Main[[#This Row],[Class]]="A",WORKDAY(Main[[#This Row],[Tech Start Date]],2),""))))</f>
        <v/>
      </c>
      <c r="N106" s="73" t="str">
        <f>IF(Main[[#This Row],[Tech Start Date]]&lt;1/1/1990,"",IF(Main[[#This Row],[Class]]="C",WORKDAY(Main[[#This Row],[Tech Start Date]],19),IF(Main[[#This Row],[Class]]="B", WORKDAY(Main[[#This Row],[Tech Start Date]],12),IF(Main[[#This Row],[Class]]="A",WORKDAY(Main[[#This Row],[Tech Start Date]],4),""))))</f>
        <v/>
      </c>
      <c r="O106" s="73" t="str">
        <f>IF(Main[[#This Row],[Tech Start Date]]&lt;1/1/1990,"",IF(Main[[#This Row],[Class]]="C",WORKDAY(Main[[#This Row],[Tech Start Date]],23),IF(Main[[#This Row],[Class]]="B", WORKDAY(Main[[#This Row],[Tech Start Date]],15),IF(Main[[#This Row],[Class]]="A",WORKDAY(Main[[#This Row],[Tech Start Date]],5),""))))</f>
        <v/>
      </c>
      <c r="P106" s="73" t="str">
        <f>IF(Main[[#This Row],[Tech Start Date]]&lt;1/1/1990,"",IF(Main[[#This Row],[Class]]="C",WORKDAY(Main[[#This Row],[Tech Start Date]],28),IF(Main[[#This Row],[Class]]="B", WORKDAY(Main[[#This Row],[Tech Start Date]],19),IF(Main[[#This Row],[Class]]="A",WORKDAY(Main[[#This Row],[Tech Start Date]],9),""))))</f>
        <v/>
      </c>
      <c r="Q106" s="85">
        <v>40592</v>
      </c>
      <c r="R106" s="112"/>
      <c r="S106" s="95" t="s">
        <v>6</v>
      </c>
      <c r="T106" s="74" t="s">
        <v>2023</v>
      </c>
      <c r="U106" s="95" t="s">
        <v>29</v>
      </c>
      <c r="V106" s="95" t="s">
        <v>1911</v>
      </c>
      <c r="W106" s="95" t="s">
        <v>1913</v>
      </c>
      <c r="X106" s="95" t="s">
        <v>2883</v>
      </c>
      <c r="Y106" s="72" t="s">
        <v>3061</v>
      </c>
      <c r="Z106" s="72" t="s">
        <v>129</v>
      </c>
      <c r="AA106" s="95" t="s">
        <v>2883</v>
      </c>
      <c r="AB106" s="132"/>
      <c r="AC106" s="132"/>
      <c r="AD106" s="132"/>
      <c r="AE106" s="63"/>
      <c r="AF106" s="63"/>
      <c r="AG106" s="63"/>
    </row>
    <row r="107" spans="1:33" ht="17.2" customHeight="1">
      <c r="A107" s="64">
        <f>IF(priority(Main[[#This Row],[Comments]])&lt;&gt;0, priority(Main[[#This Row],[Comments]]),"")</f>
        <v>34</v>
      </c>
      <c r="B107" s="60" t="s">
        <v>3838</v>
      </c>
      <c r="C107" s="72" t="s">
        <v>2198</v>
      </c>
      <c r="D107" s="59" t="s">
        <v>3839</v>
      </c>
      <c r="E107" s="85">
        <v>40969.681030092594</v>
      </c>
      <c r="F107" s="85"/>
      <c r="G107" s="64" t="str">
        <f>IF(stdProdLT(Main[[#This Row],[Comments]])=0.1,"N/A",IF(stdProdLT(Main[[#This Row],[Comments]])=0,"",TRIM(stdProdLT(Main[[#This Row],[Comments]]))))</f>
        <v>N/A</v>
      </c>
      <c r="H107" s="94" t="str">
        <f>IF(OR(Main[[#This Row],[Std. Prod. Lead Time]]="N/A",Main[[#This Row],[Std. Prod. Lead Time]]=""), "",IF(AND(Main[[#This Row],[In Stock Date]]&lt;&gt;"",Main[[#This Row],[Revised Due Date]]&lt;&gt;"",Main[[#This Row],[In Stock Date]]&lt;&gt;""),Main[[#This Row],[In Stock Date]]-Main[[#This Row],[Revised Due Date]],""))</f>
        <v/>
      </c>
      <c r="I107" s="101" t="s">
        <v>4</v>
      </c>
      <c r="J107" s="95" t="s">
        <v>4</v>
      </c>
      <c r="K107" s="96" t="s">
        <v>4</v>
      </c>
      <c r="L107" s="85"/>
      <c r="M107" s="73" t="str">
        <f>IF(Main[[#This Row],[Tech Start Date]]&lt;1/1/1990,"",IF(Main[[#This Row],[Class]]="C",WORKDAY(Main[[#This Row],[Tech Start Date]],9),IF(Main[[#This Row],[Class]]="B", WORKDAY(Main[[#This Row],[Tech Start Date]],6),IF(Main[[#This Row],[Class]]="A",WORKDAY(Main[[#This Row],[Tech Start Date]],2),""))))</f>
        <v/>
      </c>
      <c r="N107" s="73" t="str">
        <f>IF(Main[[#This Row],[Tech Start Date]]&lt;1/1/1990,"",IF(Main[[#This Row],[Class]]="C",WORKDAY(Main[[#This Row],[Tech Start Date]],19),IF(Main[[#This Row],[Class]]="B", WORKDAY(Main[[#This Row],[Tech Start Date]],12),IF(Main[[#This Row],[Class]]="A",WORKDAY(Main[[#This Row],[Tech Start Date]],4),""))))</f>
        <v/>
      </c>
      <c r="O107" s="73" t="str">
        <f>IF(Main[[#This Row],[Tech Start Date]]&lt;1/1/1990,"",IF(Main[[#This Row],[Class]]="C",WORKDAY(Main[[#This Row],[Tech Start Date]],23),IF(Main[[#This Row],[Class]]="B", WORKDAY(Main[[#This Row],[Tech Start Date]],15),IF(Main[[#This Row],[Class]]="A",WORKDAY(Main[[#This Row],[Tech Start Date]],5),""))))</f>
        <v/>
      </c>
      <c r="P107" s="73" t="str">
        <f>IF(Main[[#This Row],[Tech Start Date]]&lt;1/1/1990,"",IF(Main[[#This Row],[Class]]="C",WORKDAY(Main[[#This Row],[Tech Start Date]],28),IF(Main[[#This Row],[Class]]="B", WORKDAY(Main[[#This Row],[Tech Start Date]],19),IF(Main[[#This Row],[Class]]="A",WORKDAY(Main[[#This Row],[Tech Start Date]],9),""))))</f>
        <v/>
      </c>
      <c r="Q107" s="85">
        <v>40984</v>
      </c>
      <c r="R107" s="112"/>
      <c r="S107" s="95" t="s">
        <v>11</v>
      </c>
      <c r="T107" s="74" t="s">
        <v>3927</v>
      </c>
      <c r="U107" s="95" t="s">
        <v>7</v>
      </c>
      <c r="V107" s="95" t="s">
        <v>1911</v>
      </c>
      <c r="W107" s="95" t="s">
        <v>1919</v>
      </c>
      <c r="X107" s="95" t="s">
        <v>50</v>
      </c>
      <c r="Y107" s="72" t="s">
        <v>3840</v>
      </c>
      <c r="Z107" s="72" t="s">
        <v>4</v>
      </c>
      <c r="AA107" s="95" t="s">
        <v>3422</v>
      </c>
      <c r="AB107" s="132"/>
      <c r="AC107" s="132"/>
      <c r="AD107" s="132"/>
      <c r="AE107" s="63"/>
      <c r="AF107" s="63"/>
      <c r="AG107" s="63"/>
    </row>
    <row r="108" spans="1:33" ht="17.2" customHeight="1">
      <c r="A108" s="64">
        <f>IF(priority(Main[[#This Row],[Comments]])&lt;&gt;0, priority(Main[[#This Row],[Comments]]),"")</f>
        <v>34</v>
      </c>
      <c r="B108" s="60" t="s">
        <v>3156</v>
      </c>
      <c r="C108" s="72" t="s">
        <v>3743</v>
      </c>
      <c r="D108" s="59" t="s">
        <v>3157</v>
      </c>
      <c r="E108" s="85">
        <v>40920.243854166663</v>
      </c>
      <c r="F108" s="85">
        <v>41153</v>
      </c>
      <c r="G108" s="64" t="str">
        <f>IF(stdProdLT(Main[[#This Row],[Comments]])=0.1,"N/A",IF(stdProdLT(Main[[#This Row],[Comments]])=0,"",TRIM(stdProdLT(Main[[#This Row],[Comments]]))))</f>
        <v>168</v>
      </c>
      <c r="H108" s="94">
        <f>IF(OR(Main[[#This Row],[Std. Prod. Lead Time]]="N/A",Main[[#This Row],[Std. Prod. Lead Time]]=""), "",IF(AND(Main[[#This Row],[In Stock Date]]&lt;&gt;"",Main[[#This Row],[Revised Due Date]]&lt;&gt;"",Main[[#This Row],[In Stock Date]]&lt;&gt;""),Main[[#This Row],[In Stock Date]]-Main[[#This Row],[Revised Due Date]],""))</f>
        <v>157</v>
      </c>
      <c r="I108" s="101" t="s">
        <v>130</v>
      </c>
      <c r="J108" s="95" t="s">
        <v>1972</v>
      </c>
      <c r="K108" s="95" t="s">
        <v>1924</v>
      </c>
      <c r="L108" s="85">
        <v>40968</v>
      </c>
      <c r="M108" s="73">
        <f>IF(Main[[#This Row],[Tech Start Date]]&lt;1/1/1990,"",IF(Main[[#This Row],[Class]]="C",WORKDAY(Main[[#This Row],[Tech Start Date]],9),IF(Main[[#This Row],[Class]]="B", WORKDAY(Main[[#This Row],[Tech Start Date]],6),IF(Main[[#This Row],[Class]]="A",WORKDAY(Main[[#This Row],[Tech Start Date]],2),""))))</f>
        <v>40981</v>
      </c>
      <c r="N108" s="73">
        <f>IF(Main[[#This Row],[Tech Start Date]]&lt;1/1/1990,"",IF(Main[[#This Row],[Class]]="C",WORKDAY(Main[[#This Row],[Tech Start Date]],19),IF(Main[[#This Row],[Class]]="B", WORKDAY(Main[[#This Row],[Tech Start Date]],12),IF(Main[[#This Row],[Class]]="A",WORKDAY(Main[[#This Row],[Tech Start Date]],4),""))))</f>
        <v>40995</v>
      </c>
      <c r="O108" s="73">
        <f>IF(Main[[#This Row],[Tech Start Date]]&lt;1/1/1990,"",IF(Main[[#This Row],[Class]]="C",WORKDAY(Main[[#This Row],[Tech Start Date]],23),IF(Main[[#This Row],[Class]]="B", WORKDAY(Main[[#This Row],[Tech Start Date]],15),IF(Main[[#This Row],[Class]]="A",WORKDAY(Main[[#This Row],[Tech Start Date]],5),""))))</f>
        <v>41001</v>
      </c>
      <c r="P108" s="73">
        <f>IF(Main[[#This Row],[Tech Start Date]]&lt;1/1/1990,"",IF(Main[[#This Row],[Class]]="C",WORKDAY(Main[[#This Row],[Tech Start Date]],28),IF(Main[[#This Row],[Class]]="B", WORKDAY(Main[[#This Row],[Tech Start Date]],19),IF(Main[[#This Row],[Class]]="A",WORKDAY(Main[[#This Row],[Tech Start Date]],9),""))))</f>
        <v>41008</v>
      </c>
      <c r="Q108" s="85">
        <v>40984</v>
      </c>
      <c r="R108" s="112">
        <v>40996</v>
      </c>
      <c r="S108" s="95" t="s">
        <v>11</v>
      </c>
      <c r="T108" s="74" t="s">
        <v>3713</v>
      </c>
      <c r="U108" s="95" t="s">
        <v>29</v>
      </c>
      <c r="V108" s="95" t="s">
        <v>1914</v>
      </c>
      <c r="W108" s="95" t="s">
        <v>1922</v>
      </c>
      <c r="X108" s="95" t="s">
        <v>2826</v>
      </c>
      <c r="Y108" s="72" t="s">
        <v>4</v>
      </c>
      <c r="Z108" s="72" t="s">
        <v>530</v>
      </c>
      <c r="AA108" s="95" t="s">
        <v>2826</v>
      </c>
      <c r="AB108" s="132"/>
      <c r="AC108" s="132"/>
      <c r="AD108" s="132"/>
      <c r="AE108" s="63"/>
      <c r="AF108" s="63"/>
      <c r="AG108" s="63"/>
    </row>
    <row r="109" spans="1:33" ht="17.2" customHeight="1">
      <c r="A109" s="64">
        <f>IF(priority(Main[[#This Row],[Comments]])&lt;&gt;0, priority(Main[[#This Row],[Comments]]),"")</f>
        <v>35</v>
      </c>
      <c r="B109" s="60" t="s">
        <v>3916</v>
      </c>
      <c r="C109" s="72" t="s">
        <v>3917</v>
      </c>
      <c r="D109" s="59" t="s">
        <v>3918</v>
      </c>
      <c r="E109" s="85">
        <v>40973.449930555558</v>
      </c>
      <c r="F109" s="85">
        <v>41060</v>
      </c>
      <c r="G109" s="64" t="str">
        <f>IF(stdProdLT(Main[[#This Row],[Comments]])=0.1,"N/A",IF(stdProdLT(Main[[#This Row],[Comments]])=0,"",TRIM(stdProdLT(Main[[#This Row],[Comments]]))))</f>
        <v>98</v>
      </c>
      <c r="H109" s="94" t="str">
        <f>IF(OR(Main[[#This Row],[Std. Prod. Lead Time]]="N/A",Main[[#This Row],[Std. Prod. Lead Time]]=""), "",IF(AND(Main[[#This Row],[In Stock Date]]&lt;&gt;"",Main[[#This Row],[Revised Due Date]]&lt;&gt;"",Main[[#This Row],[In Stock Date]]&lt;&gt;""),Main[[#This Row],[In Stock Date]]-Main[[#This Row],[Revised Due Date]],""))</f>
        <v/>
      </c>
      <c r="I109" s="101" t="s">
        <v>4</v>
      </c>
      <c r="J109" s="95" t="s">
        <v>4</v>
      </c>
      <c r="K109" s="95" t="s">
        <v>4</v>
      </c>
      <c r="L109" s="85"/>
      <c r="M109" s="73" t="str">
        <f>IF(Main[[#This Row],[Tech Start Date]]&lt;1/1/1990,"",IF(Main[[#This Row],[Class]]="C",WORKDAY(Main[[#This Row],[Tech Start Date]],9),IF(Main[[#This Row],[Class]]="B", WORKDAY(Main[[#This Row],[Tech Start Date]],6),IF(Main[[#This Row],[Class]]="A",WORKDAY(Main[[#This Row],[Tech Start Date]],2),""))))</f>
        <v/>
      </c>
      <c r="N109" s="73" t="str">
        <f>IF(Main[[#This Row],[Tech Start Date]]&lt;1/1/1990,"",IF(Main[[#This Row],[Class]]="C",WORKDAY(Main[[#This Row],[Tech Start Date]],19),IF(Main[[#This Row],[Class]]="B", WORKDAY(Main[[#This Row],[Tech Start Date]],12),IF(Main[[#This Row],[Class]]="A",WORKDAY(Main[[#This Row],[Tech Start Date]],4),""))))</f>
        <v/>
      </c>
      <c r="O109" s="73" t="str">
        <f>IF(Main[[#This Row],[Tech Start Date]]&lt;1/1/1990,"",IF(Main[[#This Row],[Class]]="C",WORKDAY(Main[[#This Row],[Tech Start Date]],23),IF(Main[[#This Row],[Class]]="B", WORKDAY(Main[[#This Row],[Tech Start Date]],15),IF(Main[[#This Row],[Class]]="A",WORKDAY(Main[[#This Row],[Tech Start Date]],5),""))))</f>
        <v/>
      </c>
      <c r="P109" s="73" t="str">
        <f>IF(Main[[#This Row],[Tech Start Date]]&lt;1/1/1990,"",IF(Main[[#This Row],[Class]]="C",WORKDAY(Main[[#This Row],[Tech Start Date]],28),IF(Main[[#This Row],[Class]]="B", WORKDAY(Main[[#This Row],[Tech Start Date]],19),IF(Main[[#This Row],[Class]]="A",WORKDAY(Main[[#This Row],[Tech Start Date]],9),""))))</f>
        <v/>
      </c>
      <c r="Q109" s="85"/>
      <c r="R109" s="112"/>
      <c r="S109" s="95" t="s">
        <v>11</v>
      </c>
      <c r="T109" s="74" t="s">
        <v>3919</v>
      </c>
      <c r="U109" s="95" t="s">
        <v>7</v>
      </c>
      <c r="V109" s="95" t="s">
        <v>1911</v>
      </c>
      <c r="W109" s="95" t="s">
        <v>1919</v>
      </c>
      <c r="X109" s="95" t="s">
        <v>2879</v>
      </c>
      <c r="Y109" s="72" t="s">
        <v>3920</v>
      </c>
      <c r="Z109" s="72" t="s">
        <v>4</v>
      </c>
      <c r="AA109" s="95" t="s">
        <v>2879</v>
      </c>
      <c r="AB109" s="132"/>
      <c r="AC109" s="132"/>
      <c r="AD109" s="132"/>
      <c r="AE109" s="63"/>
      <c r="AF109" s="63"/>
      <c r="AG109" s="63"/>
    </row>
    <row r="110" spans="1:33" ht="17.2" customHeight="1">
      <c r="A110" s="64">
        <f>IF(priority(Main[[#This Row],[Comments]])&lt;&gt;0, priority(Main[[#This Row],[Comments]]),"")</f>
        <v>35</v>
      </c>
      <c r="B110" s="60" t="s">
        <v>3760</v>
      </c>
      <c r="C110" s="72" t="s">
        <v>3761</v>
      </c>
      <c r="D110" s="59" t="s">
        <v>3762</v>
      </c>
      <c r="E110" s="85">
        <v>40961.049814814818</v>
      </c>
      <c r="F110" s="85">
        <v>41153</v>
      </c>
      <c r="G110" s="64" t="str">
        <f>IF(stdProdLT(Main[[#This Row],[Comments]])=0.1,"N/A",IF(stdProdLT(Main[[#This Row],[Comments]])=0,"",TRIM(stdProdLT(Main[[#This Row],[Comments]]))))</f>
        <v>126</v>
      </c>
      <c r="H110" s="94">
        <f>IF(OR(Main[[#This Row],[Std. Prod. Lead Time]]="N/A",Main[[#This Row],[Std. Prod. Lead Time]]=""), "",IF(AND(Main[[#This Row],[In Stock Date]]&lt;&gt;"",Main[[#This Row],[Revised Due Date]]&lt;&gt;"",Main[[#This Row],[In Stock Date]]&lt;&gt;""),Main[[#This Row],[In Stock Date]]-Main[[#This Row],[Revised Due Date]],""))</f>
        <v>143</v>
      </c>
      <c r="I110" s="101" t="s">
        <v>171</v>
      </c>
      <c r="J110" s="95" t="s">
        <v>1972</v>
      </c>
      <c r="K110" s="95" t="s">
        <v>1924</v>
      </c>
      <c r="L110" s="85">
        <v>40967</v>
      </c>
      <c r="M110" s="73">
        <f>IF(Main[[#This Row],[Tech Start Date]]&lt;1/1/1990,"",IF(Main[[#This Row],[Class]]="C",WORKDAY(Main[[#This Row],[Tech Start Date]],9),IF(Main[[#This Row],[Class]]="B", WORKDAY(Main[[#This Row],[Tech Start Date]],6),IF(Main[[#This Row],[Class]]="A",WORKDAY(Main[[#This Row],[Tech Start Date]],2),""))))</f>
        <v>40980</v>
      </c>
      <c r="N110" s="73">
        <f>IF(Main[[#This Row],[Tech Start Date]]&lt;1/1/1990,"",IF(Main[[#This Row],[Class]]="C",WORKDAY(Main[[#This Row],[Tech Start Date]],19),IF(Main[[#This Row],[Class]]="B", WORKDAY(Main[[#This Row],[Tech Start Date]],12),IF(Main[[#This Row],[Class]]="A",WORKDAY(Main[[#This Row],[Tech Start Date]],4),""))))</f>
        <v>40994</v>
      </c>
      <c r="O110" s="73">
        <f>IF(Main[[#This Row],[Tech Start Date]]&lt;1/1/1990,"",IF(Main[[#This Row],[Class]]="C",WORKDAY(Main[[#This Row],[Tech Start Date]],23),IF(Main[[#This Row],[Class]]="B", WORKDAY(Main[[#This Row],[Tech Start Date]],15),IF(Main[[#This Row],[Class]]="A",WORKDAY(Main[[#This Row],[Tech Start Date]],5),""))))</f>
        <v>40998</v>
      </c>
      <c r="P110" s="73">
        <f>IF(Main[[#This Row],[Tech Start Date]]&lt;1/1/1990,"",IF(Main[[#This Row],[Class]]="C",WORKDAY(Main[[#This Row],[Tech Start Date]],28),IF(Main[[#This Row],[Class]]="B", WORKDAY(Main[[#This Row],[Tech Start Date]],19),IF(Main[[#This Row],[Class]]="A",WORKDAY(Main[[#This Row],[Tech Start Date]],9),""))))</f>
        <v>41005</v>
      </c>
      <c r="Q110" s="85">
        <v>40909</v>
      </c>
      <c r="R110" s="112">
        <v>41010</v>
      </c>
      <c r="S110" s="95" t="s">
        <v>11</v>
      </c>
      <c r="T110" s="74" t="s">
        <v>4006</v>
      </c>
      <c r="U110" s="95" t="s">
        <v>29</v>
      </c>
      <c r="V110" s="95" t="s">
        <v>1914</v>
      </c>
      <c r="W110" s="95" t="s">
        <v>1916</v>
      </c>
      <c r="X110" s="95" t="s">
        <v>2823</v>
      </c>
      <c r="Y110" s="72" t="s">
        <v>4</v>
      </c>
      <c r="Z110" s="72" t="s">
        <v>530</v>
      </c>
      <c r="AA110" s="95" t="s">
        <v>2823</v>
      </c>
      <c r="AB110" s="132"/>
      <c r="AC110" s="132"/>
      <c r="AD110" s="132"/>
      <c r="AE110" s="63"/>
      <c r="AF110" s="63"/>
      <c r="AG110" s="63"/>
    </row>
    <row r="111" spans="1:33" ht="17.2" customHeight="1">
      <c r="A111" s="64">
        <f>IF(priority(Main[[#This Row],[Comments]])&lt;&gt;0, priority(Main[[#This Row],[Comments]]),"")</f>
        <v>36</v>
      </c>
      <c r="B111" s="60" t="s">
        <v>3825</v>
      </c>
      <c r="C111" s="72" t="s">
        <v>53</v>
      </c>
      <c r="D111" s="59" t="s">
        <v>3857</v>
      </c>
      <c r="E111" s="85">
        <v>40969.011064814818</v>
      </c>
      <c r="F111" s="85"/>
      <c r="G111" s="64" t="str">
        <f>IF(stdProdLT(Main[[#This Row],[Comments]])=0.1,"N/A",IF(stdProdLT(Main[[#This Row],[Comments]])=0,"",TRIM(stdProdLT(Main[[#This Row],[Comments]]))))</f>
        <v>112</v>
      </c>
      <c r="H111" s="94" t="str">
        <f>IF(OR(Main[[#This Row],[Std. Prod. Lead Time]]="N/A",Main[[#This Row],[Std. Prod. Lead Time]]=""), "",IF(AND(Main[[#This Row],[In Stock Date]]&lt;&gt;"",Main[[#This Row],[Revised Due Date]]&lt;&gt;"",Main[[#This Row],[In Stock Date]]&lt;&gt;""),Main[[#This Row],[In Stock Date]]-Main[[#This Row],[Revised Due Date]],""))</f>
        <v/>
      </c>
      <c r="I111" s="101" t="s">
        <v>4</v>
      </c>
      <c r="J111" s="95" t="s">
        <v>4</v>
      </c>
      <c r="K111" s="95" t="s">
        <v>4</v>
      </c>
      <c r="L111" s="85"/>
      <c r="M111" s="73" t="str">
        <f>IF(Main[[#This Row],[Tech Start Date]]&lt;1/1/1990,"",IF(Main[[#This Row],[Class]]="C",WORKDAY(Main[[#This Row],[Tech Start Date]],9),IF(Main[[#This Row],[Class]]="B", WORKDAY(Main[[#This Row],[Tech Start Date]],6),IF(Main[[#This Row],[Class]]="A",WORKDAY(Main[[#This Row],[Tech Start Date]],2),""))))</f>
        <v/>
      </c>
      <c r="N111" s="73" t="str">
        <f>IF(Main[[#This Row],[Tech Start Date]]&lt;1/1/1990,"",IF(Main[[#This Row],[Class]]="C",WORKDAY(Main[[#This Row],[Tech Start Date]],19),IF(Main[[#This Row],[Class]]="B", WORKDAY(Main[[#This Row],[Tech Start Date]],12),IF(Main[[#This Row],[Class]]="A",WORKDAY(Main[[#This Row],[Tech Start Date]],4),""))))</f>
        <v/>
      </c>
      <c r="O111" s="73" t="str">
        <f>IF(Main[[#This Row],[Tech Start Date]]&lt;1/1/1990,"",IF(Main[[#This Row],[Class]]="C",WORKDAY(Main[[#This Row],[Tech Start Date]],23),IF(Main[[#This Row],[Class]]="B", WORKDAY(Main[[#This Row],[Tech Start Date]],15),IF(Main[[#This Row],[Class]]="A",WORKDAY(Main[[#This Row],[Tech Start Date]],5),""))))</f>
        <v/>
      </c>
      <c r="P111" s="73" t="str">
        <f>IF(Main[[#This Row],[Tech Start Date]]&lt;1/1/1990,"",IF(Main[[#This Row],[Class]]="C",WORKDAY(Main[[#This Row],[Tech Start Date]],28),IF(Main[[#This Row],[Class]]="B", WORKDAY(Main[[#This Row],[Tech Start Date]],19),IF(Main[[#This Row],[Class]]="A",WORKDAY(Main[[#This Row],[Tech Start Date]],9),""))))</f>
        <v/>
      </c>
      <c r="Q111" s="85">
        <v>40976</v>
      </c>
      <c r="R111" s="112"/>
      <c r="S111" s="95" t="s">
        <v>11</v>
      </c>
      <c r="T111" s="74" t="s">
        <v>3858</v>
      </c>
      <c r="U111" s="95" t="s">
        <v>7</v>
      </c>
      <c r="V111" s="95" t="s">
        <v>1911</v>
      </c>
      <c r="W111" s="95" t="s">
        <v>1913</v>
      </c>
      <c r="X111" s="95" t="s">
        <v>3491</v>
      </c>
      <c r="Y111" s="72" t="s">
        <v>4</v>
      </c>
      <c r="Z111" s="72" t="s">
        <v>4</v>
      </c>
      <c r="AA111" s="95" t="s">
        <v>3491</v>
      </c>
      <c r="AB111" s="132"/>
      <c r="AC111" s="132"/>
      <c r="AD111" s="132"/>
      <c r="AE111" s="63"/>
      <c r="AF111" s="63"/>
      <c r="AG111" s="63"/>
    </row>
    <row r="112" spans="1:33" ht="17.2" customHeight="1">
      <c r="A112" s="64">
        <f>IF(priority(Main[[#This Row],[Comments]])&lt;&gt;0, priority(Main[[#This Row],[Comments]]),"")</f>
        <v>36</v>
      </c>
      <c r="B112" s="60" t="s">
        <v>1208</v>
      </c>
      <c r="C112" s="72" t="s">
        <v>4</v>
      </c>
      <c r="D112" s="59" t="s">
        <v>267</v>
      </c>
      <c r="E112" s="85">
        <v>40681.617800925924</v>
      </c>
      <c r="F112" s="85"/>
      <c r="G112" s="64" t="str">
        <f>IF(stdProdLT(Main[[#This Row],[Comments]])=0.1,"N/A",IF(stdProdLT(Main[[#This Row],[Comments]])=0,"",TRIM(stdProdLT(Main[[#This Row],[Comments]]))))</f>
        <v/>
      </c>
      <c r="H112" s="94" t="str">
        <f>IF(OR(Main[[#This Row],[Std. Prod. Lead Time]]="N/A",Main[[#This Row],[Std. Prod. Lead Time]]=""), "",IF(AND(Main[[#This Row],[In Stock Date]]&lt;&gt;"",Main[[#This Row],[Revised Due Date]]&lt;&gt;"",Main[[#This Row],[In Stock Date]]&lt;&gt;""),Main[[#This Row],[In Stock Date]]-Main[[#This Row],[Revised Due Date]],""))</f>
        <v/>
      </c>
      <c r="I112" s="101" t="s">
        <v>4</v>
      </c>
      <c r="J112" s="95" t="s">
        <v>21</v>
      </c>
      <c r="K112" s="96" t="s">
        <v>4</v>
      </c>
      <c r="L112" s="85"/>
      <c r="M112" s="73" t="str">
        <f>IF(Main[[#This Row],[Tech Start Date]]&lt;1/1/1990,"",IF(Main[[#This Row],[Class]]="C",WORKDAY(Main[[#This Row],[Tech Start Date]],9),IF(Main[[#This Row],[Class]]="B", WORKDAY(Main[[#This Row],[Tech Start Date]],6),IF(Main[[#This Row],[Class]]="A",WORKDAY(Main[[#This Row],[Tech Start Date]],2),""))))</f>
        <v/>
      </c>
      <c r="N112" s="73" t="str">
        <f>IF(Main[[#This Row],[Tech Start Date]]&lt;1/1/1990,"",IF(Main[[#This Row],[Class]]="C",WORKDAY(Main[[#This Row],[Tech Start Date]],19),IF(Main[[#This Row],[Class]]="B", WORKDAY(Main[[#This Row],[Tech Start Date]],12),IF(Main[[#This Row],[Class]]="A",WORKDAY(Main[[#This Row],[Tech Start Date]],4),""))))</f>
        <v/>
      </c>
      <c r="O112" s="73" t="str">
        <f>IF(Main[[#This Row],[Tech Start Date]]&lt;1/1/1990,"",IF(Main[[#This Row],[Class]]="C",WORKDAY(Main[[#This Row],[Tech Start Date]],23),IF(Main[[#This Row],[Class]]="B", WORKDAY(Main[[#This Row],[Tech Start Date]],15),IF(Main[[#This Row],[Class]]="A",WORKDAY(Main[[#This Row],[Tech Start Date]],5),""))))</f>
        <v/>
      </c>
      <c r="P112" s="73" t="str">
        <f>IF(Main[[#This Row],[Tech Start Date]]&lt;1/1/1990,"",IF(Main[[#This Row],[Class]]="C",WORKDAY(Main[[#This Row],[Tech Start Date]],28),IF(Main[[#This Row],[Class]]="B", WORKDAY(Main[[#This Row],[Tech Start Date]],19),IF(Main[[#This Row],[Class]]="A",WORKDAY(Main[[#This Row],[Tech Start Date]],9),""))))</f>
        <v/>
      </c>
      <c r="Q112" s="85">
        <v>40710</v>
      </c>
      <c r="R112" s="112"/>
      <c r="S112" s="95" t="s">
        <v>6</v>
      </c>
      <c r="T112" s="74" t="s">
        <v>2264</v>
      </c>
      <c r="U112" s="95" t="s">
        <v>534</v>
      </c>
      <c r="V112" s="95" t="s">
        <v>1911</v>
      </c>
      <c r="W112" s="95" t="s">
        <v>1922</v>
      </c>
      <c r="X112" s="95" t="s">
        <v>970</v>
      </c>
      <c r="Y112" s="72" t="s">
        <v>3075</v>
      </c>
      <c r="Z112" s="72" t="s">
        <v>4</v>
      </c>
      <c r="AA112" s="95" t="s">
        <v>970</v>
      </c>
      <c r="AB112" s="132"/>
      <c r="AC112" s="132"/>
      <c r="AD112" s="132"/>
      <c r="AE112" s="63"/>
      <c r="AF112" s="63"/>
      <c r="AG112" s="63"/>
    </row>
    <row r="113" spans="1:33" ht="17.2" customHeight="1">
      <c r="A113" s="64">
        <f>IF(priority(Main[[#This Row],[Comments]])&lt;&gt;0, priority(Main[[#This Row],[Comments]]),"")</f>
        <v>36</v>
      </c>
      <c r="B113" s="60" t="s">
        <v>3739</v>
      </c>
      <c r="C113" s="72" t="s">
        <v>3740</v>
      </c>
      <c r="D113" s="59" t="s">
        <v>3741</v>
      </c>
      <c r="E113" s="85">
        <v>40953.264710648145</v>
      </c>
      <c r="F113" s="85">
        <v>41289</v>
      </c>
      <c r="G113" s="64" t="str">
        <f>IF(stdProdLT(Main[[#This Row],[Comments]])=0.1,"N/A",IF(stdProdLT(Main[[#This Row],[Comments]])=0,"",TRIM(stdProdLT(Main[[#This Row],[Comments]]))))</f>
        <v>140</v>
      </c>
      <c r="H113" s="94">
        <f>IF(OR(Main[[#This Row],[Std. Prod. Lead Time]]="N/A",Main[[#This Row],[Std. Prod. Lead Time]]=""), "",IF(AND(Main[[#This Row],[In Stock Date]]&lt;&gt;"",Main[[#This Row],[Revised Due Date]]&lt;&gt;"",Main[[#This Row],[In Stock Date]]&lt;&gt;""),Main[[#This Row],[In Stock Date]]-Main[[#This Row],[Revised Due Date]],""))</f>
        <v>294</v>
      </c>
      <c r="I113" s="101" t="s">
        <v>530</v>
      </c>
      <c r="J113" s="95" t="s">
        <v>52</v>
      </c>
      <c r="K113" s="95" t="s">
        <v>1918</v>
      </c>
      <c r="L113" s="85">
        <v>40960</v>
      </c>
      <c r="M113" s="73">
        <f>IF(Main[[#This Row],[Tech Start Date]]&lt;1/1/1990,"",IF(Main[[#This Row],[Class]]="C",WORKDAY(Main[[#This Row],[Tech Start Date]],9),IF(Main[[#This Row],[Class]]="B", WORKDAY(Main[[#This Row],[Tech Start Date]],6),IF(Main[[#This Row],[Class]]="A",WORKDAY(Main[[#This Row],[Tech Start Date]],2),""))))</f>
        <v>40968</v>
      </c>
      <c r="N113" s="73">
        <f>IF(Main[[#This Row],[Tech Start Date]]&lt;1/1/1990,"",IF(Main[[#This Row],[Class]]="C",WORKDAY(Main[[#This Row],[Tech Start Date]],19),IF(Main[[#This Row],[Class]]="B", WORKDAY(Main[[#This Row],[Tech Start Date]],12),IF(Main[[#This Row],[Class]]="A",WORKDAY(Main[[#This Row],[Tech Start Date]],4),""))))</f>
        <v>40976</v>
      </c>
      <c r="O113" s="73">
        <f>IF(Main[[#This Row],[Tech Start Date]]&lt;1/1/1990,"",IF(Main[[#This Row],[Class]]="C",WORKDAY(Main[[#This Row],[Tech Start Date]],23),IF(Main[[#This Row],[Class]]="B", WORKDAY(Main[[#This Row],[Tech Start Date]],15),IF(Main[[#This Row],[Class]]="A",WORKDAY(Main[[#This Row],[Tech Start Date]],5),""))))</f>
        <v>40981</v>
      </c>
      <c r="P113" s="73">
        <f>IF(Main[[#This Row],[Tech Start Date]]&lt;1/1/1990,"",IF(Main[[#This Row],[Class]]="C",WORKDAY(Main[[#This Row],[Tech Start Date]],28),IF(Main[[#This Row],[Class]]="B", WORKDAY(Main[[#This Row],[Tech Start Date]],19),IF(Main[[#This Row],[Class]]="A",WORKDAY(Main[[#This Row],[Tech Start Date]],9),""))))</f>
        <v>40987</v>
      </c>
      <c r="Q113" s="85">
        <v>40995</v>
      </c>
      <c r="R113" s="112">
        <v>40995</v>
      </c>
      <c r="S113" s="95" t="s">
        <v>11</v>
      </c>
      <c r="T113" s="74" t="s">
        <v>3742</v>
      </c>
      <c r="U113" s="95" t="s">
        <v>29</v>
      </c>
      <c r="V113" s="95" t="s">
        <v>1921</v>
      </c>
      <c r="W113" s="95" t="s">
        <v>1917</v>
      </c>
      <c r="X113" s="95" t="s">
        <v>2826</v>
      </c>
      <c r="Y113" s="72" t="s">
        <v>4</v>
      </c>
      <c r="Z113" s="72" t="s">
        <v>530</v>
      </c>
      <c r="AA113" s="95" t="s">
        <v>2826</v>
      </c>
      <c r="AB113" s="132"/>
      <c r="AC113" s="132"/>
      <c r="AD113" s="132"/>
      <c r="AE113" s="63"/>
      <c r="AF113" s="63"/>
      <c r="AG113" s="63"/>
    </row>
    <row r="114" spans="1:33" ht="17.2" customHeight="1">
      <c r="A114" s="64">
        <f>IF(priority(Main[[#This Row],[Comments]])&lt;&gt;0, priority(Main[[#This Row],[Comments]]),"")</f>
        <v>37</v>
      </c>
      <c r="B114" s="60" t="s">
        <v>1172</v>
      </c>
      <c r="C114" s="72" t="s">
        <v>4</v>
      </c>
      <c r="D114" s="59" t="s">
        <v>227</v>
      </c>
      <c r="E114" s="85">
        <v>40567.332951388889</v>
      </c>
      <c r="F114" s="85">
        <v>40602</v>
      </c>
      <c r="G114" s="64" t="str">
        <f>IF(stdProdLT(Main[[#This Row],[Comments]])=0.1,"N/A",IF(stdProdLT(Main[[#This Row],[Comments]])=0,"",TRIM(stdProdLT(Main[[#This Row],[Comments]]))))</f>
        <v/>
      </c>
      <c r="H114" s="94" t="str">
        <f>IF(OR(Main[[#This Row],[Std. Prod. Lead Time]]="N/A",Main[[#This Row],[Std. Prod. Lead Time]]=""), "",IF(AND(Main[[#This Row],[In Stock Date]]&lt;&gt;"",Main[[#This Row],[Revised Due Date]]&lt;&gt;"",Main[[#This Row],[In Stock Date]]&lt;&gt;""),Main[[#This Row],[In Stock Date]]-Main[[#This Row],[Revised Due Date]],""))</f>
        <v/>
      </c>
      <c r="I114" s="101" t="s">
        <v>912</v>
      </c>
      <c r="J114" s="95" t="s">
        <v>52</v>
      </c>
      <c r="K114" s="95" t="s">
        <v>1920</v>
      </c>
      <c r="L114" s="85"/>
      <c r="M114" s="73" t="str">
        <f>IF(Main[[#This Row],[Tech Start Date]]&lt;1/1/1990,"",IF(Main[[#This Row],[Class]]="C",WORKDAY(Main[[#This Row],[Tech Start Date]],9),IF(Main[[#This Row],[Class]]="B", WORKDAY(Main[[#This Row],[Tech Start Date]],6),IF(Main[[#This Row],[Class]]="A",WORKDAY(Main[[#This Row],[Tech Start Date]],2),""))))</f>
        <v/>
      </c>
      <c r="N114" s="73" t="str">
        <f>IF(Main[[#This Row],[Tech Start Date]]&lt;1/1/1990,"",IF(Main[[#This Row],[Class]]="C",WORKDAY(Main[[#This Row],[Tech Start Date]],19),IF(Main[[#This Row],[Class]]="B", WORKDAY(Main[[#This Row],[Tech Start Date]],12),IF(Main[[#This Row],[Class]]="A",WORKDAY(Main[[#This Row],[Tech Start Date]],4),""))))</f>
        <v/>
      </c>
      <c r="O114" s="73" t="str">
        <f>IF(Main[[#This Row],[Tech Start Date]]&lt;1/1/1990,"",IF(Main[[#This Row],[Class]]="C",WORKDAY(Main[[#This Row],[Tech Start Date]],23),IF(Main[[#This Row],[Class]]="B", WORKDAY(Main[[#This Row],[Tech Start Date]],15),IF(Main[[#This Row],[Class]]="A",WORKDAY(Main[[#This Row],[Tech Start Date]],5),""))))</f>
        <v/>
      </c>
      <c r="P114" s="73" t="str">
        <f>IF(Main[[#This Row],[Tech Start Date]]&lt;1/1/1990,"",IF(Main[[#This Row],[Class]]="C",WORKDAY(Main[[#This Row],[Tech Start Date]],28),IF(Main[[#This Row],[Class]]="B", WORKDAY(Main[[#This Row],[Tech Start Date]],19),IF(Main[[#This Row],[Class]]="A",WORKDAY(Main[[#This Row],[Tech Start Date]],9),""))))</f>
        <v/>
      </c>
      <c r="Q114" s="85">
        <v>40602</v>
      </c>
      <c r="R114" s="112"/>
      <c r="S114" s="95" t="s">
        <v>6</v>
      </c>
      <c r="T114" s="74" t="s">
        <v>2024</v>
      </c>
      <c r="U114" s="95" t="s">
        <v>29</v>
      </c>
      <c r="V114" s="95" t="s">
        <v>1911</v>
      </c>
      <c r="W114" s="95" t="s">
        <v>1913</v>
      </c>
      <c r="X114" s="95" t="s">
        <v>126</v>
      </c>
      <c r="Y114" s="72" t="s">
        <v>3030</v>
      </c>
      <c r="Z114" s="72" t="s">
        <v>129</v>
      </c>
      <c r="AA114" s="95" t="s">
        <v>126</v>
      </c>
      <c r="AB114" s="132"/>
      <c r="AC114" s="132"/>
      <c r="AD114" s="132"/>
      <c r="AE114" s="63"/>
      <c r="AF114" s="63"/>
      <c r="AG114" s="63"/>
    </row>
    <row r="115" spans="1:33" ht="17.2" customHeight="1">
      <c r="A115" s="64">
        <f>IF(priority(Main[[#This Row],[Comments]])&lt;&gt;0, priority(Main[[#This Row],[Comments]]),"")</f>
        <v>38</v>
      </c>
      <c r="B115" s="60" t="s">
        <v>1226</v>
      </c>
      <c r="C115" s="72" t="s">
        <v>4</v>
      </c>
      <c r="D115" s="59" t="s">
        <v>2358</v>
      </c>
      <c r="E115" s="85">
        <v>40337.30976851852</v>
      </c>
      <c r="F115" s="85"/>
      <c r="G115" s="64" t="str">
        <f>IF(stdProdLT(Main[[#This Row],[Comments]])=0.1,"N/A",IF(stdProdLT(Main[[#This Row],[Comments]])=0,"",TRIM(stdProdLT(Main[[#This Row],[Comments]]))))</f>
        <v/>
      </c>
      <c r="H115" s="94" t="str">
        <f>IF(OR(Main[[#This Row],[Std. Prod. Lead Time]]="N/A",Main[[#This Row],[Std. Prod. Lead Time]]=""), "",IF(AND(Main[[#This Row],[In Stock Date]]&lt;&gt;"",Main[[#This Row],[Revised Due Date]]&lt;&gt;"",Main[[#This Row],[In Stock Date]]&lt;&gt;""),Main[[#This Row],[In Stock Date]]-Main[[#This Row],[Revised Due Date]],""))</f>
        <v/>
      </c>
      <c r="I115" s="101" t="s">
        <v>912</v>
      </c>
      <c r="J115" s="95" t="s">
        <v>52</v>
      </c>
      <c r="K115" s="95" t="s">
        <v>4</v>
      </c>
      <c r="L115" s="85"/>
      <c r="M115" s="73" t="str">
        <f>IF(Main[[#This Row],[Tech Start Date]]&lt;1/1/1990,"",IF(Main[[#This Row],[Class]]="C",WORKDAY(Main[[#This Row],[Tech Start Date]],9),IF(Main[[#This Row],[Class]]="B", WORKDAY(Main[[#This Row],[Tech Start Date]],6),IF(Main[[#This Row],[Class]]="A",WORKDAY(Main[[#This Row],[Tech Start Date]],2),""))))</f>
        <v/>
      </c>
      <c r="N115" s="73" t="str">
        <f>IF(Main[[#This Row],[Tech Start Date]]&lt;1/1/1990,"",IF(Main[[#This Row],[Class]]="C",WORKDAY(Main[[#This Row],[Tech Start Date]],19),IF(Main[[#This Row],[Class]]="B", WORKDAY(Main[[#This Row],[Tech Start Date]],12),IF(Main[[#This Row],[Class]]="A",WORKDAY(Main[[#This Row],[Tech Start Date]],4),""))))</f>
        <v/>
      </c>
      <c r="O115" s="73" t="str">
        <f>IF(Main[[#This Row],[Tech Start Date]]&lt;1/1/1990,"",IF(Main[[#This Row],[Class]]="C",WORKDAY(Main[[#This Row],[Tech Start Date]],23),IF(Main[[#This Row],[Class]]="B", WORKDAY(Main[[#This Row],[Tech Start Date]],15),IF(Main[[#This Row],[Class]]="A",WORKDAY(Main[[#This Row],[Tech Start Date]],5),""))))</f>
        <v/>
      </c>
      <c r="P115" s="73" t="str">
        <f>IF(Main[[#This Row],[Tech Start Date]]&lt;1/1/1990,"",IF(Main[[#This Row],[Class]]="C",WORKDAY(Main[[#This Row],[Tech Start Date]],28),IF(Main[[#This Row],[Class]]="B", WORKDAY(Main[[#This Row],[Tech Start Date]],19),IF(Main[[#This Row],[Class]]="A",WORKDAY(Main[[#This Row],[Tech Start Date]],9),""))))</f>
        <v/>
      </c>
      <c r="Q115" s="85">
        <v>40344</v>
      </c>
      <c r="R115" s="112"/>
      <c r="S115" s="95" t="s">
        <v>6</v>
      </c>
      <c r="T115" s="74" t="s">
        <v>2025</v>
      </c>
      <c r="U115" s="95" t="s">
        <v>29</v>
      </c>
      <c r="V115" s="95" t="s">
        <v>1911</v>
      </c>
      <c r="W115" s="95" t="s">
        <v>1915</v>
      </c>
      <c r="X115" s="95" t="s">
        <v>2846</v>
      </c>
      <c r="Y115" s="72" t="s">
        <v>2978</v>
      </c>
      <c r="Z115" s="72" t="s">
        <v>129</v>
      </c>
      <c r="AA115" s="95" t="s">
        <v>2846</v>
      </c>
      <c r="AB115" s="132"/>
      <c r="AC115" s="132"/>
      <c r="AD115" s="132"/>
      <c r="AE115" s="63"/>
      <c r="AF115" s="63"/>
      <c r="AG115" s="63"/>
    </row>
    <row r="116" spans="1:33" ht="17.2" customHeight="1">
      <c r="A116" s="64">
        <f>IF(priority(Main[[#This Row],[Comments]])&lt;&gt;0, priority(Main[[#This Row],[Comments]]),"")</f>
        <v>38</v>
      </c>
      <c r="B116" s="60" t="s">
        <v>1953</v>
      </c>
      <c r="C116" s="72" t="s">
        <v>116</v>
      </c>
      <c r="D116" s="59" t="s">
        <v>2598</v>
      </c>
      <c r="E116" s="85">
        <v>40722.573900462965</v>
      </c>
      <c r="F116" s="85">
        <v>41379</v>
      </c>
      <c r="G116" s="64" t="str">
        <f>IF(stdProdLT(Main[[#This Row],[Comments]])=0.1,"N/A",IF(stdProdLT(Main[[#This Row],[Comments]])=0,"",TRIM(stdProdLT(Main[[#This Row],[Comments]]))))</f>
        <v>N/A</v>
      </c>
      <c r="H116" s="94" t="str">
        <f>IF(OR(Main[[#This Row],[Std. Prod. Lead Time]]="N/A",Main[[#This Row],[Std. Prod. Lead Time]]=""), "",IF(AND(Main[[#This Row],[In Stock Date]]&lt;&gt;"",Main[[#This Row],[Revised Due Date]]&lt;&gt;"",Main[[#This Row],[In Stock Date]]&lt;&gt;""),Main[[#This Row],[In Stock Date]]-Main[[#This Row],[Revised Due Date]],""))</f>
        <v/>
      </c>
      <c r="I116" s="101" t="s">
        <v>81</v>
      </c>
      <c r="J116" s="95" t="s">
        <v>21</v>
      </c>
      <c r="K116" s="96" t="s">
        <v>1924</v>
      </c>
      <c r="L116" s="85">
        <v>40767</v>
      </c>
      <c r="M116" s="73">
        <f>IF(Main[[#This Row],[Tech Start Date]]&lt;1/1/1990,"",IF(Main[[#This Row],[Class]]="C",WORKDAY(Main[[#This Row],[Tech Start Date]],9),IF(Main[[#This Row],[Class]]="B", WORKDAY(Main[[#This Row],[Tech Start Date]],6),IF(Main[[#This Row],[Class]]="A",WORKDAY(Main[[#This Row],[Tech Start Date]],2),""))))</f>
        <v>40780</v>
      </c>
      <c r="N116" s="73">
        <f>IF(Main[[#This Row],[Tech Start Date]]&lt;1/1/1990,"",IF(Main[[#This Row],[Class]]="C",WORKDAY(Main[[#This Row],[Tech Start Date]],19),IF(Main[[#This Row],[Class]]="B", WORKDAY(Main[[#This Row],[Tech Start Date]],12),IF(Main[[#This Row],[Class]]="A",WORKDAY(Main[[#This Row],[Tech Start Date]],4),""))))</f>
        <v>40794</v>
      </c>
      <c r="O116" s="73">
        <f>IF(Main[[#This Row],[Tech Start Date]]&lt;1/1/1990,"",IF(Main[[#This Row],[Class]]="C",WORKDAY(Main[[#This Row],[Tech Start Date]],23),IF(Main[[#This Row],[Class]]="B", WORKDAY(Main[[#This Row],[Tech Start Date]],15),IF(Main[[#This Row],[Class]]="A",WORKDAY(Main[[#This Row],[Tech Start Date]],5),""))))</f>
        <v>40800</v>
      </c>
      <c r="P116" s="73">
        <f>IF(Main[[#This Row],[Tech Start Date]]&lt;1/1/1990,"",IF(Main[[#This Row],[Class]]="C",WORKDAY(Main[[#This Row],[Tech Start Date]],28),IF(Main[[#This Row],[Class]]="B", WORKDAY(Main[[#This Row],[Tech Start Date]],19),IF(Main[[#This Row],[Class]]="A",WORKDAY(Main[[#This Row],[Tech Start Date]],9),""))))</f>
        <v>40807</v>
      </c>
      <c r="Q116" s="85">
        <v>41061</v>
      </c>
      <c r="R116" s="112">
        <v>40977</v>
      </c>
      <c r="S116" s="95" t="s">
        <v>11</v>
      </c>
      <c r="T116" s="74" t="s">
        <v>3700</v>
      </c>
      <c r="U116" s="95" t="s">
        <v>29</v>
      </c>
      <c r="V116" s="95" t="s">
        <v>1914</v>
      </c>
      <c r="W116" s="95" t="s">
        <v>1916</v>
      </c>
      <c r="X116" s="95" t="s">
        <v>2871</v>
      </c>
      <c r="Y116" s="72" t="s">
        <v>3080</v>
      </c>
      <c r="Z116" s="72" t="s">
        <v>81</v>
      </c>
      <c r="AA116" s="95" t="s">
        <v>2871</v>
      </c>
      <c r="AB116" s="132"/>
      <c r="AC116" s="132"/>
      <c r="AD116" s="132"/>
      <c r="AE116" s="63"/>
      <c r="AF116" s="63"/>
      <c r="AG116" s="63"/>
    </row>
    <row r="117" spans="1:33" ht="17.2" customHeight="1">
      <c r="A117" s="64">
        <f>IF(priority(Main[[#This Row],[Comments]])&lt;&gt;0, priority(Main[[#This Row],[Comments]]),"")</f>
        <v>39</v>
      </c>
      <c r="B117" s="60" t="s">
        <v>1403</v>
      </c>
      <c r="C117" s="72" t="s">
        <v>37</v>
      </c>
      <c r="D117" s="59" t="s">
        <v>485</v>
      </c>
      <c r="E117" s="85">
        <v>40682.478391203702</v>
      </c>
      <c r="F117" s="85"/>
      <c r="G117" s="64" t="str">
        <f>IF(stdProdLT(Main[[#This Row],[Comments]])=0.1,"N/A",IF(stdProdLT(Main[[#This Row],[Comments]])=0,"",TRIM(stdProdLT(Main[[#This Row],[Comments]]))))</f>
        <v/>
      </c>
      <c r="H117" s="94" t="str">
        <f>IF(OR(Main[[#This Row],[Std. Prod. Lead Time]]="N/A",Main[[#This Row],[Std. Prod. Lead Time]]=""), "",IF(AND(Main[[#This Row],[In Stock Date]]&lt;&gt;"",Main[[#This Row],[Revised Due Date]]&lt;&gt;"",Main[[#This Row],[In Stock Date]]&lt;&gt;""),Main[[#This Row],[In Stock Date]]-Main[[#This Row],[Revised Due Date]],""))</f>
        <v/>
      </c>
      <c r="I117" s="101" t="s">
        <v>4</v>
      </c>
      <c r="J117" s="95" t="s">
        <v>21</v>
      </c>
      <c r="K117" s="95" t="s">
        <v>4</v>
      </c>
      <c r="L117" s="85"/>
      <c r="M117" s="73" t="str">
        <f>IF(Main[[#This Row],[Tech Start Date]]&lt;1/1/1990,"",IF(Main[[#This Row],[Class]]="C",WORKDAY(Main[[#This Row],[Tech Start Date]],9),IF(Main[[#This Row],[Class]]="B", WORKDAY(Main[[#This Row],[Tech Start Date]],6),IF(Main[[#This Row],[Class]]="A",WORKDAY(Main[[#This Row],[Tech Start Date]],2),""))))</f>
        <v/>
      </c>
      <c r="N117" s="73" t="str">
        <f>IF(Main[[#This Row],[Tech Start Date]]&lt;1/1/1990,"",IF(Main[[#This Row],[Class]]="C",WORKDAY(Main[[#This Row],[Tech Start Date]],19),IF(Main[[#This Row],[Class]]="B", WORKDAY(Main[[#This Row],[Tech Start Date]],12),IF(Main[[#This Row],[Class]]="A",WORKDAY(Main[[#This Row],[Tech Start Date]],4),""))))</f>
        <v/>
      </c>
      <c r="O117" s="73" t="str">
        <f>IF(Main[[#This Row],[Tech Start Date]]&lt;1/1/1990,"",IF(Main[[#This Row],[Class]]="C",WORKDAY(Main[[#This Row],[Tech Start Date]],23),IF(Main[[#This Row],[Class]]="B", WORKDAY(Main[[#This Row],[Tech Start Date]],15),IF(Main[[#This Row],[Class]]="A",WORKDAY(Main[[#This Row],[Tech Start Date]],5),""))))</f>
        <v/>
      </c>
      <c r="P117" s="73" t="str">
        <f>IF(Main[[#This Row],[Tech Start Date]]&lt;1/1/1990,"",IF(Main[[#This Row],[Class]]="C",WORKDAY(Main[[#This Row],[Tech Start Date]],28),IF(Main[[#This Row],[Class]]="B", WORKDAY(Main[[#This Row],[Tech Start Date]],19),IF(Main[[#This Row],[Class]]="A",WORKDAY(Main[[#This Row],[Tech Start Date]],9),""))))</f>
        <v/>
      </c>
      <c r="Q117" s="85">
        <v>40696</v>
      </c>
      <c r="R117" s="112"/>
      <c r="S117" s="95" t="s">
        <v>6</v>
      </c>
      <c r="T117" s="74" t="s">
        <v>2026</v>
      </c>
      <c r="U117" s="95" t="s">
        <v>534</v>
      </c>
      <c r="V117" s="95" t="s">
        <v>1911</v>
      </c>
      <c r="W117" s="95" t="s">
        <v>1922</v>
      </c>
      <c r="X117" s="95" t="s">
        <v>970</v>
      </c>
      <c r="Y117" s="72" t="s">
        <v>3075</v>
      </c>
      <c r="Z117" s="72" t="s">
        <v>4</v>
      </c>
      <c r="AA117" s="95" t="s">
        <v>970</v>
      </c>
      <c r="AB117" s="132"/>
      <c r="AC117" s="132"/>
      <c r="AD117" s="132"/>
      <c r="AE117" s="63"/>
      <c r="AF117" s="63"/>
      <c r="AG117" s="63"/>
    </row>
    <row r="118" spans="1:33" ht="17.2" customHeight="1">
      <c r="A118" s="64">
        <f>IF(priority(Main[[#This Row],[Comments]])&lt;&gt;0, priority(Main[[#This Row],[Comments]]),"")</f>
        <v>39</v>
      </c>
      <c r="B118" s="60" t="s">
        <v>1955</v>
      </c>
      <c r="C118" s="72" t="s">
        <v>116</v>
      </c>
      <c r="D118" s="59" t="s">
        <v>2134</v>
      </c>
      <c r="E118" s="85">
        <v>40722.571018518516</v>
      </c>
      <c r="F118" s="85">
        <v>41379</v>
      </c>
      <c r="G118" s="64" t="str">
        <f>IF(stdProdLT(Main[[#This Row],[Comments]])=0.1,"N/A",IF(stdProdLT(Main[[#This Row],[Comments]])=0,"",TRIM(stdProdLT(Main[[#This Row],[Comments]]))))</f>
        <v>N/A</v>
      </c>
      <c r="H118" s="94" t="str">
        <f>IF(OR(Main[[#This Row],[Std. Prod. Lead Time]]="N/A",Main[[#This Row],[Std. Prod. Lead Time]]=""), "",IF(AND(Main[[#This Row],[In Stock Date]]&lt;&gt;"",Main[[#This Row],[Revised Due Date]]&lt;&gt;"",Main[[#This Row],[In Stock Date]]&lt;&gt;""),Main[[#This Row],[In Stock Date]]-Main[[#This Row],[Revised Due Date]],""))</f>
        <v/>
      </c>
      <c r="I118" s="101" t="s">
        <v>81</v>
      </c>
      <c r="J118" s="95" t="s">
        <v>21</v>
      </c>
      <c r="K118" s="95" t="s">
        <v>1924</v>
      </c>
      <c r="L118" s="85">
        <v>40767</v>
      </c>
      <c r="M118" s="73">
        <f>IF(Main[[#This Row],[Tech Start Date]]&lt;1/1/1990,"",IF(Main[[#This Row],[Class]]="C",WORKDAY(Main[[#This Row],[Tech Start Date]],9),IF(Main[[#This Row],[Class]]="B", WORKDAY(Main[[#This Row],[Tech Start Date]],6),IF(Main[[#This Row],[Class]]="A",WORKDAY(Main[[#This Row],[Tech Start Date]],2),""))))</f>
        <v>40780</v>
      </c>
      <c r="N118" s="73">
        <f>IF(Main[[#This Row],[Tech Start Date]]&lt;1/1/1990,"",IF(Main[[#This Row],[Class]]="C",WORKDAY(Main[[#This Row],[Tech Start Date]],19),IF(Main[[#This Row],[Class]]="B", WORKDAY(Main[[#This Row],[Tech Start Date]],12),IF(Main[[#This Row],[Class]]="A",WORKDAY(Main[[#This Row],[Tech Start Date]],4),""))))</f>
        <v>40794</v>
      </c>
      <c r="O118" s="73">
        <f>IF(Main[[#This Row],[Tech Start Date]]&lt;1/1/1990,"",IF(Main[[#This Row],[Class]]="C",WORKDAY(Main[[#This Row],[Tech Start Date]],23),IF(Main[[#This Row],[Class]]="B", WORKDAY(Main[[#This Row],[Tech Start Date]],15),IF(Main[[#This Row],[Class]]="A",WORKDAY(Main[[#This Row],[Tech Start Date]],5),""))))</f>
        <v>40800</v>
      </c>
      <c r="P118" s="73">
        <f>IF(Main[[#This Row],[Tech Start Date]]&lt;1/1/1990,"",IF(Main[[#This Row],[Class]]="C",WORKDAY(Main[[#This Row],[Tech Start Date]],28),IF(Main[[#This Row],[Class]]="B", WORKDAY(Main[[#This Row],[Tech Start Date]],19),IF(Main[[#This Row],[Class]]="A",WORKDAY(Main[[#This Row],[Tech Start Date]],9),""))))</f>
        <v>40807</v>
      </c>
      <c r="Q118" s="85">
        <v>41061</v>
      </c>
      <c r="R118" s="112">
        <v>40977</v>
      </c>
      <c r="S118" s="95" t="s">
        <v>11</v>
      </c>
      <c r="T118" s="74" t="s">
        <v>3699</v>
      </c>
      <c r="U118" s="95" t="s">
        <v>29</v>
      </c>
      <c r="V118" s="95" t="s">
        <v>1914</v>
      </c>
      <c r="W118" s="95" t="s">
        <v>1916</v>
      </c>
      <c r="X118" s="95" t="s">
        <v>2871</v>
      </c>
      <c r="Y118" s="72" t="s">
        <v>3080</v>
      </c>
      <c r="Z118" s="72" t="s">
        <v>81</v>
      </c>
      <c r="AA118" s="95" t="s">
        <v>2871</v>
      </c>
      <c r="AB118" s="132"/>
      <c r="AC118" s="132"/>
      <c r="AD118" s="132"/>
      <c r="AE118" s="63"/>
      <c r="AF118" s="63"/>
      <c r="AG118" s="63"/>
    </row>
    <row r="119" spans="1:33" ht="17.2" customHeight="1">
      <c r="A119" s="64">
        <f>IF(priority(Main[[#This Row],[Comments]])&lt;&gt;0, priority(Main[[#This Row],[Comments]]),"")</f>
        <v>40</v>
      </c>
      <c r="B119" s="60" t="s">
        <v>1441</v>
      </c>
      <c r="C119" s="72" t="s">
        <v>4</v>
      </c>
      <c r="D119" s="59" t="s">
        <v>531</v>
      </c>
      <c r="E119" s="85">
        <v>40358.575729166667</v>
      </c>
      <c r="F119" s="85"/>
      <c r="G119" s="64" t="str">
        <f>IF(stdProdLT(Main[[#This Row],[Comments]])=0.1,"N/A",IF(stdProdLT(Main[[#This Row],[Comments]])=0,"",TRIM(stdProdLT(Main[[#This Row],[Comments]]))))</f>
        <v/>
      </c>
      <c r="H119" s="94" t="str">
        <f>IF(OR(Main[[#This Row],[Std. Prod. Lead Time]]="N/A",Main[[#This Row],[Std. Prod. Lead Time]]=""), "",IF(AND(Main[[#This Row],[In Stock Date]]&lt;&gt;"",Main[[#This Row],[Revised Due Date]]&lt;&gt;"",Main[[#This Row],[In Stock Date]]&lt;&gt;""),Main[[#This Row],[In Stock Date]]-Main[[#This Row],[Revised Due Date]],""))</f>
        <v/>
      </c>
      <c r="I119" s="101" t="s">
        <v>4</v>
      </c>
      <c r="J119" s="95" t="s">
        <v>21</v>
      </c>
      <c r="K119" s="96" t="s">
        <v>4</v>
      </c>
      <c r="L119" s="85"/>
      <c r="M119" s="73" t="str">
        <f>IF(Main[[#This Row],[Tech Start Date]]&lt;1/1/1990,"",IF(Main[[#This Row],[Class]]="C",WORKDAY(Main[[#This Row],[Tech Start Date]],9),IF(Main[[#This Row],[Class]]="B", WORKDAY(Main[[#This Row],[Tech Start Date]],6),IF(Main[[#This Row],[Class]]="A",WORKDAY(Main[[#This Row],[Tech Start Date]],2),""))))</f>
        <v/>
      </c>
      <c r="N119" s="73" t="str">
        <f>IF(Main[[#This Row],[Tech Start Date]]&lt;1/1/1990,"",IF(Main[[#This Row],[Class]]="C",WORKDAY(Main[[#This Row],[Tech Start Date]],19),IF(Main[[#This Row],[Class]]="B", WORKDAY(Main[[#This Row],[Tech Start Date]],12),IF(Main[[#This Row],[Class]]="A",WORKDAY(Main[[#This Row],[Tech Start Date]],4),""))))</f>
        <v/>
      </c>
      <c r="O119" s="73" t="str">
        <f>IF(Main[[#This Row],[Tech Start Date]]&lt;1/1/1990,"",IF(Main[[#This Row],[Class]]="C",WORKDAY(Main[[#This Row],[Tech Start Date]],23),IF(Main[[#This Row],[Class]]="B", WORKDAY(Main[[#This Row],[Tech Start Date]],15),IF(Main[[#This Row],[Class]]="A",WORKDAY(Main[[#This Row],[Tech Start Date]],5),""))))</f>
        <v/>
      </c>
      <c r="P119" s="73" t="str">
        <f>IF(Main[[#This Row],[Tech Start Date]]&lt;1/1/1990,"",IF(Main[[#This Row],[Class]]="C",WORKDAY(Main[[#This Row],[Tech Start Date]],28),IF(Main[[#This Row],[Class]]="B", WORKDAY(Main[[#This Row],[Tech Start Date]],19),IF(Main[[#This Row],[Class]]="A",WORKDAY(Main[[#This Row],[Tech Start Date]],9),""))))</f>
        <v/>
      </c>
      <c r="Q119" s="85">
        <v>40389</v>
      </c>
      <c r="R119" s="112"/>
      <c r="S119" s="95" t="s">
        <v>6</v>
      </c>
      <c r="T119" s="74" t="s">
        <v>2027</v>
      </c>
      <c r="U119" s="95" t="s">
        <v>7</v>
      </c>
      <c r="V119" s="95" t="s">
        <v>1911</v>
      </c>
      <c r="W119" s="95" t="s">
        <v>1915</v>
      </c>
      <c r="X119" s="95" t="s">
        <v>2799</v>
      </c>
      <c r="Y119" s="72" t="s">
        <v>2910</v>
      </c>
      <c r="Z119" s="72" t="s">
        <v>129</v>
      </c>
      <c r="AA119" s="95" t="s">
        <v>2799</v>
      </c>
      <c r="AB119" s="132"/>
      <c r="AC119" s="132"/>
      <c r="AD119" s="132"/>
      <c r="AE119" s="63"/>
      <c r="AF119" s="63"/>
      <c r="AG119" s="63"/>
    </row>
    <row r="120" spans="1:33" ht="17.2" customHeight="1">
      <c r="A120" s="64">
        <f>IF(priority(Main[[#This Row],[Comments]])&lt;&gt;0, priority(Main[[#This Row],[Comments]]),"")</f>
        <v>40</v>
      </c>
      <c r="B120" s="60" t="s">
        <v>1956</v>
      </c>
      <c r="C120" s="72" t="s">
        <v>116</v>
      </c>
      <c r="D120" s="59" t="s">
        <v>2135</v>
      </c>
      <c r="E120" s="85">
        <v>40722.572418981479</v>
      </c>
      <c r="F120" s="85">
        <v>41379</v>
      </c>
      <c r="G120" s="64" t="str">
        <f>IF(stdProdLT(Main[[#This Row],[Comments]])=0.1,"N/A",IF(stdProdLT(Main[[#This Row],[Comments]])=0,"",TRIM(stdProdLT(Main[[#This Row],[Comments]]))))</f>
        <v>N/A</v>
      </c>
      <c r="H120" s="94" t="str">
        <f>IF(OR(Main[[#This Row],[Std. Prod. Lead Time]]="N/A",Main[[#This Row],[Std. Prod. Lead Time]]=""), "",IF(AND(Main[[#This Row],[In Stock Date]]&lt;&gt;"",Main[[#This Row],[Revised Due Date]]&lt;&gt;"",Main[[#This Row],[In Stock Date]]&lt;&gt;""),Main[[#This Row],[In Stock Date]]-Main[[#This Row],[Revised Due Date]],""))</f>
        <v/>
      </c>
      <c r="I120" s="101" t="s">
        <v>81</v>
      </c>
      <c r="J120" s="95" t="s">
        <v>21</v>
      </c>
      <c r="K120" s="95" t="s">
        <v>1924</v>
      </c>
      <c r="L120" s="85">
        <v>40767</v>
      </c>
      <c r="M120" s="73">
        <f>IF(Main[[#This Row],[Tech Start Date]]&lt;1/1/1990,"",IF(Main[[#This Row],[Class]]="C",WORKDAY(Main[[#This Row],[Tech Start Date]],9),IF(Main[[#This Row],[Class]]="B", WORKDAY(Main[[#This Row],[Tech Start Date]],6),IF(Main[[#This Row],[Class]]="A",WORKDAY(Main[[#This Row],[Tech Start Date]],2),""))))</f>
        <v>40780</v>
      </c>
      <c r="N120" s="73">
        <f>IF(Main[[#This Row],[Tech Start Date]]&lt;1/1/1990,"",IF(Main[[#This Row],[Class]]="C",WORKDAY(Main[[#This Row],[Tech Start Date]],19),IF(Main[[#This Row],[Class]]="B", WORKDAY(Main[[#This Row],[Tech Start Date]],12),IF(Main[[#This Row],[Class]]="A",WORKDAY(Main[[#This Row],[Tech Start Date]],4),""))))</f>
        <v>40794</v>
      </c>
      <c r="O120" s="73">
        <f>IF(Main[[#This Row],[Tech Start Date]]&lt;1/1/1990,"",IF(Main[[#This Row],[Class]]="C",WORKDAY(Main[[#This Row],[Tech Start Date]],23),IF(Main[[#This Row],[Class]]="B", WORKDAY(Main[[#This Row],[Tech Start Date]],15),IF(Main[[#This Row],[Class]]="A",WORKDAY(Main[[#This Row],[Tech Start Date]],5),""))))</f>
        <v>40800</v>
      </c>
      <c r="P120" s="73">
        <f>IF(Main[[#This Row],[Tech Start Date]]&lt;1/1/1990,"",IF(Main[[#This Row],[Class]]="C",WORKDAY(Main[[#This Row],[Tech Start Date]],28),IF(Main[[#This Row],[Class]]="B", WORKDAY(Main[[#This Row],[Tech Start Date]],19),IF(Main[[#This Row],[Class]]="A",WORKDAY(Main[[#This Row],[Tech Start Date]],9),""))))</f>
        <v>40807</v>
      </c>
      <c r="Q120" s="85">
        <v>41061</v>
      </c>
      <c r="R120" s="112">
        <v>40977</v>
      </c>
      <c r="S120" s="95" t="s">
        <v>11</v>
      </c>
      <c r="T120" s="74" t="s">
        <v>3697</v>
      </c>
      <c r="U120" s="95" t="s">
        <v>29</v>
      </c>
      <c r="V120" s="95" t="s">
        <v>1914</v>
      </c>
      <c r="W120" s="95" t="s">
        <v>1916</v>
      </c>
      <c r="X120" s="95" t="s">
        <v>2871</v>
      </c>
      <c r="Y120" s="72" t="s">
        <v>3080</v>
      </c>
      <c r="Z120" s="72" t="s">
        <v>81</v>
      </c>
      <c r="AA120" s="95" t="s">
        <v>2871</v>
      </c>
      <c r="AB120" s="132"/>
      <c r="AC120" s="132"/>
      <c r="AD120" s="132"/>
      <c r="AE120" s="63"/>
      <c r="AF120" s="63"/>
      <c r="AG120" s="63"/>
    </row>
    <row r="121" spans="1:33" ht="17.2" customHeight="1">
      <c r="A121" s="64">
        <f>IF(priority(Main[[#This Row],[Comments]])&lt;&gt;0, priority(Main[[#This Row],[Comments]]),"")</f>
        <v>41</v>
      </c>
      <c r="B121" s="60" t="s">
        <v>1992</v>
      </c>
      <c r="C121" s="72" t="s">
        <v>4</v>
      </c>
      <c r="D121" s="59" t="s">
        <v>1993</v>
      </c>
      <c r="E121" s="85">
        <v>40738.567210648151</v>
      </c>
      <c r="F121" s="85"/>
      <c r="G121" s="64" t="str">
        <f>IF(stdProdLT(Main[[#This Row],[Comments]])=0.1,"N/A",IF(stdProdLT(Main[[#This Row],[Comments]])=0,"",TRIM(stdProdLT(Main[[#This Row],[Comments]]))))</f>
        <v/>
      </c>
      <c r="H121" s="94" t="str">
        <f>IF(OR(Main[[#This Row],[Std. Prod. Lead Time]]="N/A",Main[[#This Row],[Std. Prod. Lead Time]]=""), "",IF(AND(Main[[#This Row],[In Stock Date]]&lt;&gt;"",Main[[#This Row],[Revised Due Date]]&lt;&gt;"",Main[[#This Row],[In Stock Date]]&lt;&gt;""),Main[[#This Row],[In Stock Date]]-Main[[#This Row],[Revised Due Date]],""))</f>
        <v/>
      </c>
      <c r="I121" s="101" t="s">
        <v>912</v>
      </c>
      <c r="J121" s="95" t="s">
        <v>52</v>
      </c>
      <c r="K121" s="95" t="s">
        <v>4</v>
      </c>
      <c r="L121" s="85"/>
      <c r="M121" s="73" t="str">
        <f>IF(Main[[#This Row],[Tech Start Date]]&lt;1/1/1990,"",IF(Main[[#This Row],[Class]]="C",WORKDAY(Main[[#This Row],[Tech Start Date]],9),IF(Main[[#This Row],[Class]]="B", WORKDAY(Main[[#This Row],[Tech Start Date]],6),IF(Main[[#This Row],[Class]]="A",WORKDAY(Main[[#This Row],[Tech Start Date]],2),""))))</f>
        <v/>
      </c>
      <c r="N121" s="73" t="str">
        <f>IF(Main[[#This Row],[Tech Start Date]]&lt;1/1/1990,"",IF(Main[[#This Row],[Class]]="C",WORKDAY(Main[[#This Row],[Tech Start Date]],19),IF(Main[[#This Row],[Class]]="B", WORKDAY(Main[[#This Row],[Tech Start Date]],12),IF(Main[[#This Row],[Class]]="A",WORKDAY(Main[[#This Row],[Tech Start Date]],4),""))))</f>
        <v/>
      </c>
      <c r="O121" s="73" t="str">
        <f>IF(Main[[#This Row],[Tech Start Date]]&lt;1/1/1990,"",IF(Main[[#This Row],[Class]]="C",WORKDAY(Main[[#This Row],[Tech Start Date]],23),IF(Main[[#This Row],[Class]]="B", WORKDAY(Main[[#This Row],[Tech Start Date]],15),IF(Main[[#This Row],[Class]]="A",WORKDAY(Main[[#This Row],[Tech Start Date]],5),""))))</f>
        <v/>
      </c>
      <c r="P121" s="73" t="str">
        <f>IF(Main[[#This Row],[Tech Start Date]]&lt;1/1/1990,"",IF(Main[[#This Row],[Class]]="C",WORKDAY(Main[[#This Row],[Tech Start Date]],28),IF(Main[[#This Row],[Class]]="B", WORKDAY(Main[[#This Row],[Tech Start Date]],19),IF(Main[[#This Row],[Class]]="A",WORKDAY(Main[[#This Row],[Tech Start Date]],9),""))))</f>
        <v/>
      </c>
      <c r="Q121" s="85">
        <v>40749</v>
      </c>
      <c r="R121" s="112"/>
      <c r="S121" s="95" t="s">
        <v>6</v>
      </c>
      <c r="T121" s="74" t="s">
        <v>2029</v>
      </c>
      <c r="U121" s="95" t="s">
        <v>29</v>
      </c>
      <c r="V121" s="95" t="s">
        <v>1911</v>
      </c>
      <c r="W121" s="95" t="s">
        <v>1917</v>
      </c>
      <c r="X121" s="95" t="s">
        <v>912</v>
      </c>
      <c r="Y121" s="72" t="s">
        <v>3027</v>
      </c>
      <c r="Z121" s="72" t="s">
        <v>129</v>
      </c>
      <c r="AA121" s="95" t="s">
        <v>2832</v>
      </c>
      <c r="AB121" s="132"/>
      <c r="AC121" s="132"/>
      <c r="AD121" s="132"/>
      <c r="AE121" s="63"/>
      <c r="AF121" s="63"/>
      <c r="AG121" s="63"/>
    </row>
    <row r="122" spans="1:33" ht="17.2" customHeight="1">
      <c r="A122" s="64">
        <f>IF(priority(Main[[#This Row],[Comments]])&lt;&gt;0, priority(Main[[#This Row],[Comments]]),"")</f>
        <v>41</v>
      </c>
      <c r="B122" s="60" t="s">
        <v>1954</v>
      </c>
      <c r="C122" s="72" t="s">
        <v>116</v>
      </c>
      <c r="D122" s="59" t="s">
        <v>2599</v>
      </c>
      <c r="E122" s="85">
        <v>40722.573182870372</v>
      </c>
      <c r="F122" s="85">
        <v>41379</v>
      </c>
      <c r="G122" s="64" t="str">
        <f>IF(stdProdLT(Main[[#This Row],[Comments]])=0.1,"N/A",IF(stdProdLT(Main[[#This Row],[Comments]])=0,"",TRIM(stdProdLT(Main[[#This Row],[Comments]]))))</f>
        <v>N/A</v>
      </c>
      <c r="H122" s="94" t="str">
        <f>IF(OR(Main[[#This Row],[Std. Prod. Lead Time]]="N/A",Main[[#This Row],[Std. Prod. Lead Time]]=""), "",IF(AND(Main[[#This Row],[In Stock Date]]&lt;&gt;"",Main[[#This Row],[Revised Due Date]]&lt;&gt;"",Main[[#This Row],[In Stock Date]]&lt;&gt;""),Main[[#This Row],[In Stock Date]]-Main[[#This Row],[Revised Due Date]],""))</f>
        <v/>
      </c>
      <c r="I122" s="101" t="s">
        <v>81</v>
      </c>
      <c r="J122" s="95" t="s">
        <v>21</v>
      </c>
      <c r="K122" s="95" t="s">
        <v>1924</v>
      </c>
      <c r="L122" s="85">
        <v>40767</v>
      </c>
      <c r="M122" s="73">
        <f>IF(Main[[#This Row],[Tech Start Date]]&lt;1/1/1990,"",IF(Main[[#This Row],[Class]]="C",WORKDAY(Main[[#This Row],[Tech Start Date]],9),IF(Main[[#This Row],[Class]]="B", WORKDAY(Main[[#This Row],[Tech Start Date]],6),IF(Main[[#This Row],[Class]]="A",WORKDAY(Main[[#This Row],[Tech Start Date]],2),""))))</f>
        <v>40780</v>
      </c>
      <c r="N122" s="73">
        <f>IF(Main[[#This Row],[Tech Start Date]]&lt;1/1/1990,"",IF(Main[[#This Row],[Class]]="C",WORKDAY(Main[[#This Row],[Tech Start Date]],19),IF(Main[[#This Row],[Class]]="B", WORKDAY(Main[[#This Row],[Tech Start Date]],12),IF(Main[[#This Row],[Class]]="A",WORKDAY(Main[[#This Row],[Tech Start Date]],4),""))))</f>
        <v>40794</v>
      </c>
      <c r="O122" s="73">
        <f>IF(Main[[#This Row],[Tech Start Date]]&lt;1/1/1990,"",IF(Main[[#This Row],[Class]]="C",WORKDAY(Main[[#This Row],[Tech Start Date]],23),IF(Main[[#This Row],[Class]]="B", WORKDAY(Main[[#This Row],[Tech Start Date]],15),IF(Main[[#This Row],[Class]]="A",WORKDAY(Main[[#This Row],[Tech Start Date]],5),""))))</f>
        <v>40800</v>
      </c>
      <c r="P122" s="73">
        <f>IF(Main[[#This Row],[Tech Start Date]]&lt;1/1/1990,"",IF(Main[[#This Row],[Class]]="C",WORKDAY(Main[[#This Row],[Tech Start Date]],28),IF(Main[[#This Row],[Class]]="B", WORKDAY(Main[[#This Row],[Tech Start Date]],19),IF(Main[[#This Row],[Class]]="A",WORKDAY(Main[[#This Row],[Tech Start Date]],9),""))))</f>
        <v>40807</v>
      </c>
      <c r="Q122" s="85">
        <v>41061</v>
      </c>
      <c r="R122" s="112">
        <v>40977</v>
      </c>
      <c r="S122" s="95" t="s">
        <v>11</v>
      </c>
      <c r="T122" s="74" t="s">
        <v>3698</v>
      </c>
      <c r="U122" s="95" t="s">
        <v>29</v>
      </c>
      <c r="V122" s="95" t="s">
        <v>1914</v>
      </c>
      <c r="W122" s="95" t="s">
        <v>1916</v>
      </c>
      <c r="X122" s="95" t="s">
        <v>2871</v>
      </c>
      <c r="Y122" s="72" t="s">
        <v>3080</v>
      </c>
      <c r="Z122" s="72" t="s">
        <v>81</v>
      </c>
      <c r="AA122" s="95" t="s">
        <v>2871</v>
      </c>
      <c r="AB122" s="132"/>
      <c r="AC122" s="132"/>
      <c r="AD122" s="132"/>
      <c r="AE122" s="63"/>
      <c r="AF122" s="63"/>
      <c r="AG122" s="63"/>
    </row>
    <row r="123" spans="1:33" ht="17.2" customHeight="1">
      <c r="A123" s="64">
        <f>IF(priority(Main[[#This Row],[Comments]])&lt;&gt;0, priority(Main[[#This Row],[Comments]]),"")</f>
        <v>42</v>
      </c>
      <c r="B123" s="60" t="s">
        <v>3195</v>
      </c>
      <c r="C123" s="72" t="s">
        <v>3179</v>
      </c>
      <c r="D123" s="59" t="s">
        <v>3170</v>
      </c>
      <c r="E123" s="85"/>
      <c r="F123" s="85">
        <v>41153</v>
      </c>
      <c r="G123" s="64" t="str">
        <f>IF(stdProdLT(Main[[#This Row],[Comments]])=0.1,"N/A",IF(stdProdLT(Main[[#This Row],[Comments]])=0,"",TRIM(stdProdLT(Main[[#This Row],[Comments]]))))</f>
        <v>140</v>
      </c>
      <c r="H123" s="94" t="str">
        <f>IF(OR(Main[[#This Row],[Std. Prod. Lead Time]]="N/A",Main[[#This Row],[Std. Prod. Lead Time]]=""), "",IF(AND(Main[[#This Row],[In Stock Date]]&lt;&gt;"",Main[[#This Row],[Revised Due Date]]&lt;&gt;"",Main[[#This Row],[In Stock Date]]&lt;&gt;""),Main[[#This Row],[In Stock Date]]-Main[[#This Row],[Revised Due Date]],""))</f>
        <v/>
      </c>
      <c r="I123" s="101" t="s">
        <v>4</v>
      </c>
      <c r="J123" s="95" t="s">
        <v>4</v>
      </c>
      <c r="K123" s="95" t="s">
        <v>4</v>
      </c>
      <c r="L123" s="85"/>
      <c r="M123" s="73" t="str">
        <f>IF(Main[[#This Row],[Tech Start Date]]&lt;1/1/1990,"",IF(Main[[#This Row],[Class]]="C",WORKDAY(Main[[#This Row],[Tech Start Date]],9),IF(Main[[#This Row],[Class]]="B", WORKDAY(Main[[#This Row],[Tech Start Date]],6),IF(Main[[#This Row],[Class]]="A",WORKDAY(Main[[#This Row],[Tech Start Date]],2),""))))</f>
        <v/>
      </c>
      <c r="N123" s="73" t="str">
        <f>IF(Main[[#This Row],[Tech Start Date]]&lt;1/1/1990,"",IF(Main[[#This Row],[Class]]="C",WORKDAY(Main[[#This Row],[Tech Start Date]],19),IF(Main[[#This Row],[Class]]="B", WORKDAY(Main[[#This Row],[Tech Start Date]],12),IF(Main[[#This Row],[Class]]="A",WORKDAY(Main[[#This Row],[Tech Start Date]],4),""))))</f>
        <v/>
      </c>
      <c r="O123" s="73" t="str">
        <f>IF(Main[[#This Row],[Tech Start Date]]&lt;1/1/1990,"",IF(Main[[#This Row],[Class]]="C",WORKDAY(Main[[#This Row],[Tech Start Date]],23),IF(Main[[#This Row],[Class]]="B", WORKDAY(Main[[#This Row],[Tech Start Date]],15),IF(Main[[#This Row],[Class]]="A",WORKDAY(Main[[#This Row],[Tech Start Date]],5),""))))</f>
        <v/>
      </c>
      <c r="P123" s="73" t="str">
        <f>IF(Main[[#This Row],[Tech Start Date]]&lt;1/1/1990,"",IF(Main[[#This Row],[Class]]="C",WORKDAY(Main[[#This Row],[Tech Start Date]],28),IF(Main[[#This Row],[Class]]="B", WORKDAY(Main[[#This Row],[Tech Start Date]],19),IF(Main[[#This Row],[Class]]="A",WORKDAY(Main[[#This Row],[Tech Start Date]],9),""))))</f>
        <v/>
      </c>
      <c r="Q123" s="85">
        <v>40982</v>
      </c>
      <c r="R123" s="112"/>
      <c r="S123" s="95" t="s">
        <v>11</v>
      </c>
      <c r="T123" s="74" t="s">
        <v>3180</v>
      </c>
      <c r="U123" s="95" t="s">
        <v>12</v>
      </c>
      <c r="V123" s="95" t="s">
        <v>1921</v>
      </c>
      <c r="W123" s="95" t="s">
        <v>1917</v>
      </c>
      <c r="X123" s="95" t="s">
        <v>2828</v>
      </c>
      <c r="Y123" s="72" t="s">
        <v>4</v>
      </c>
      <c r="Z123" s="72" t="s">
        <v>4</v>
      </c>
      <c r="AA123" s="95" t="s">
        <v>2826</v>
      </c>
      <c r="AB123" s="132"/>
      <c r="AC123" s="132"/>
      <c r="AD123" s="132"/>
      <c r="AE123" s="63"/>
      <c r="AF123" s="63"/>
      <c r="AG123" s="63"/>
    </row>
    <row r="124" spans="1:33" ht="17.2" customHeight="1">
      <c r="A124" s="64">
        <f>IF(priority(Main[[#This Row],[Comments]])&lt;&gt;0, priority(Main[[#This Row],[Comments]]),"")</f>
        <v>42</v>
      </c>
      <c r="B124" s="60" t="s">
        <v>1886</v>
      </c>
      <c r="C124" s="72" t="s">
        <v>116</v>
      </c>
      <c r="D124" s="59" t="s">
        <v>2127</v>
      </c>
      <c r="E124" s="85">
        <v>40606.548784722225</v>
      </c>
      <c r="F124" s="85">
        <v>41258</v>
      </c>
      <c r="G124" s="64" t="str">
        <f>IF(stdProdLT(Main[[#This Row],[Comments]])=0.1,"N/A",IF(stdProdLT(Main[[#This Row],[Comments]])=0,"",TRIM(stdProdLT(Main[[#This Row],[Comments]]))))</f>
        <v>154</v>
      </c>
      <c r="H124" s="94">
        <f>IF(OR(Main[[#This Row],[Std. Prod. Lead Time]]="N/A",Main[[#This Row],[Std. Prod. Lead Time]]=""), "",IF(AND(Main[[#This Row],[In Stock Date]]&lt;&gt;"",Main[[#This Row],[Revised Due Date]]&lt;&gt;"",Main[[#This Row],[In Stock Date]]&lt;&gt;""),Main[[#This Row],[In Stock Date]]-Main[[#This Row],[Revised Due Date]],""))</f>
        <v>281</v>
      </c>
      <c r="I124" s="101" t="s">
        <v>415</v>
      </c>
      <c r="J124" s="95" t="s">
        <v>2593</v>
      </c>
      <c r="K124" s="96" t="s">
        <v>1924</v>
      </c>
      <c r="L124" s="85">
        <v>40623</v>
      </c>
      <c r="M124" s="73">
        <f>IF(Main[[#This Row],[Tech Start Date]]&lt;1/1/1990,"",IF(Main[[#This Row],[Class]]="C",WORKDAY(Main[[#This Row],[Tech Start Date]],9),IF(Main[[#This Row],[Class]]="B", WORKDAY(Main[[#This Row],[Tech Start Date]],6),IF(Main[[#This Row],[Class]]="A",WORKDAY(Main[[#This Row],[Tech Start Date]],2),""))))</f>
        <v>40634</v>
      </c>
      <c r="N124" s="73">
        <f>IF(Main[[#This Row],[Tech Start Date]]&lt;1/1/1990,"",IF(Main[[#This Row],[Class]]="C",WORKDAY(Main[[#This Row],[Tech Start Date]],19),IF(Main[[#This Row],[Class]]="B", WORKDAY(Main[[#This Row],[Tech Start Date]],12),IF(Main[[#This Row],[Class]]="A",WORKDAY(Main[[#This Row],[Tech Start Date]],4),""))))</f>
        <v>40648</v>
      </c>
      <c r="O124" s="73">
        <f>IF(Main[[#This Row],[Tech Start Date]]&lt;1/1/1990,"",IF(Main[[#This Row],[Class]]="C",WORKDAY(Main[[#This Row],[Tech Start Date]],23),IF(Main[[#This Row],[Class]]="B", WORKDAY(Main[[#This Row],[Tech Start Date]],15),IF(Main[[#This Row],[Class]]="A",WORKDAY(Main[[#This Row],[Tech Start Date]],5),""))))</f>
        <v>40654</v>
      </c>
      <c r="P124" s="73">
        <f>IF(Main[[#This Row],[Tech Start Date]]&lt;1/1/1990,"",IF(Main[[#This Row],[Class]]="C",WORKDAY(Main[[#This Row],[Tech Start Date]],28),IF(Main[[#This Row],[Class]]="B", WORKDAY(Main[[#This Row],[Tech Start Date]],19),IF(Main[[#This Row],[Class]]="A",WORKDAY(Main[[#This Row],[Tech Start Date]],9),""))))</f>
        <v>40661</v>
      </c>
      <c r="Q124" s="85">
        <v>41082</v>
      </c>
      <c r="R124" s="112">
        <v>40977</v>
      </c>
      <c r="S124" s="95" t="s">
        <v>11</v>
      </c>
      <c r="T124" s="74" t="s">
        <v>3694</v>
      </c>
      <c r="U124" s="95" t="s">
        <v>29</v>
      </c>
      <c r="V124" s="95" t="s">
        <v>1914</v>
      </c>
      <c r="W124" s="95" t="s">
        <v>1916</v>
      </c>
      <c r="X124" s="95" t="s">
        <v>2824</v>
      </c>
      <c r="Y124" s="72" t="s">
        <v>2955</v>
      </c>
      <c r="Z124" s="72" t="s">
        <v>894</v>
      </c>
      <c r="AA124" s="95" t="s">
        <v>2824</v>
      </c>
      <c r="AB124" s="132"/>
      <c r="AC124" s="132"/>
      <c r="AD124" s="132"/>
      <c r="AE124" s="63"/>
      <c r="AF124" s="63"/>
      <c r="AG124" s="63"/>
    </row>
    <row r="125" spans="1:33" ht="17.2" customHeight="1">
      <c r="A125" s="64">
        <f>IF(priority(Main[[#This Row],[Comments]])&lt;&gt;0, priority(Main[[#This Row],[Comments]]),"")</f>
        <v>42</v>
      </c>
      <c r="B125" s="60" t="s">
        <v>1883</v>
      </c>
      <c r="C125" s="72" t="s">
        <v>116</v>
      </c>
      <c r="D125" s="59" t="s">
        <v>2311</v>
      </c>
      <c r="E125" s="85">
        <v>40641.274907407409</v>
      </c>
      <c r="F125" s="85">
        <v>40714</v>
      </c>
      <c r="G125" s="64" t="str">
        <f>IF(stdProdLT(Main[[#This Row],[Comments]])=0.1,"N/A",IF(stdProdLT(Main[[#This Row],[Comments]])=0,"",TRIM(stdProdLT(Main[[#This Row],[Comments]]))))</f>
        <v/>
      </c>
      <c r="H125" s="94" t="str">
        <f>IF(OR(Main[[#This Row],[Std. Prod. Lead Time]]="N/A",Main[[#This Row],[Std. Prod. Lead Time]]=""), "",IF(AND(Main[[#This Row],[In Stock Date]]&lt;&gt;"",Main[[#This Row],[Revised Due Date]]&lt;&gt;"",Main[[#This Row],[In Stock Date]]&lt;&gt;""),Main[[#This Row],[In Stock Date]]-Main[[#This Row],[Revised Due Date]],""))</f>
        <v/>
      </c>
      <c r="I125" s="101" t="s">
        <v>912</v>
      </c>
      <c r="J125" s="95" t="s">
        <v>21</v>
      </c>
      <c r="K125" s="95" t="s">
        <v>1924</v>
      </c>
      <c r="L125" s="85">
        <v>40679</v>
      </c>
      <c r="M125" s="73">
        <f>IF(Main[[#This Row],[Tech Start Date]]&lt;1/1/1990,"",IF(Main[[#This Row],[Class]]="C",WORKDAY(Main[[#This Row],[Tech Start Date]],9),IF(Main[[#This Row],[Class]]="B", WORKDAY(Main[[#This Row],[Tech Start Date]],6),IF(Main[[#This Row],[Class]]="A",WORKDAY(Main[[#This Row],[Tech Start Date]],2),""))))</f>
        <v>40690</v>
      </c>
      <c r="N125" s="73">
        <f>IF(Main[[#This Row],[Tech Start Date]]&lt;1/1/1990,"",IF(Main[[#This Row],[Class]]="C",WORKDAY(Main[[#This Row],[Tech Start Date]],19),IF(Main[[#This Row],[Class]]="B", WORKDAY(Main[[#This Row],[Tech Start Date]],12),IF(Main[[#This Row],[Class]]="A",WORKDAY(Main[[#This Row],[Tech Start Date]],4),""))))</f>
        <v>40704</v>
      </c>
      <c r="O125" s="73">
        <f>IF(Main[[#This Row],[Tech Start Date]]&lt;1/1/1990,"",IF(Main[[#This Row],[Class]]="C",WORKDAY(Main[[#This Row],[Tech Start Date]],23),IF(Main[[#This Row],[Class]]="B", WORKDAY(Main[[#This Row],[Tech Start Date]],15),IF(Main[[#This Row],[Class]]="A",WORKDAY(Main[[#This Row],[Tech Start Date]],5),""))))</f>
        <v>40710</v>
      </c>
      <c r="P125" s="73">
        <f>IF(Main[[#This Row],[Tech Start Date]]&lt;1/1/1990,"",IF(Main[[#This Row],[Class]]="C",WORKDAY(Main[[#This Row],[Tech Start Date]],28),IF(Main[[#This Row],[Class]]="B", WORKDAY(Main[[#This Row],[Tech Start Date]],19),IF(Main[[#This Row],[Class]]="A",WORKDAY(Main[[#This Row],[Tech Start Date]],9),""))))</f>
        <v>40717</v>
      </c>
      <c r="Q125" s="85">
        <v>40714</v>
      </c>
      <c r="R125" s="112">
        <v>40714</v>
      </c>
      <c r="S125" s="95" t="s">
        <v>6</v>
      </c>
      <c r="T125" s="74" t="s">
        <v>2030</v>
      </c>
      <c r="U125" s="95" t="s">
        <v>29</v>
      </c>
      <c r="V125" s="95" t="s">
        <v>1911</v>
      </c>
      <c r="W125" s="95" t="s">
        <v>1913</v>
      </c>
      <c r="X125" s="95" t="s">
        <v>126</v>
      </c>
      <c r="Y125" s="72" t="s">
        <v>3011</v>
      </c>
      <c r="Z125" s="72" t="s">
        <v>129</v>
      </c>
      <c r="AA125" s="95" t="s">
        <v>126</v>
      </c>
      <c r="AB125" s="132"/>
      <c r="AC125" s="132"/>
      <c r="AD125" s="132"/>
      <c r="AE125" s="63"/>
      <c r="AF125" s="63"/>
      <c r="AG125" s="63"/>
    </row>
    <row r="126" spans="1:33" ht="17.2" customHeight="1">
      <c r="A126" s="64">
        <f>IF(priority(Main[[#This Row],[Comments]])&lt;&gt;0, priority(Main[[#This Row],[Comments]]),"")</f>
        <v>42</v>
      </c>
      <c r="B126" s="60" t="s">
        <v>3169</v>
      </c>
      <c r="C126" s="72" t="s">
        <v>3179</v>
      </c>
      <c r="D126" s="59" t="s">
        <v>3170</v>
      </c>
      <c r="E126" s="85"/>
      <c r="F126" s="85">
        <v>41153</v>
      </c>
      <c r="G126" s="64" t="str">
        <f>IF(stdProdLT(Main[[#This Row],[Comments]])=0.1,"N/A",IF(stdProdLT(Main[[#This Row],[Comments]])=0,"",TRIM(stdProdLT(Main[[#This Row],[Comments]]))))</f>
        <v>140</v>
      </c>
      <c r="H126" s="94">
        <f>IF(OR(Main[[#This Row],[Std. Prod. Lead Time]]="N/A",Main[[#This Row],[Std. Prod. Lead Time]]=""), "",IF(AND(Main[[#This Row],[In Stock Date]]&lt;&gt;"",Main[[#This Row],[Revised Due Date]]&lt;&gt;"",Main[[#This Row],[In Stock Date]]&lt;&gt;""),Main[[#This Row],[In Stock Date]]-Main[[#This Row],[Revised Due Date]],""))</f>
        <v>194</v>
      </c>
      <c r="I126" s="101" t="s">
        <v>69</v>
      </c>
      <c r="J126" s="95" t="s">
        <v>70</v>
      </c>
      <c r="K126" s="95" t="s">
        <v>1918</v>
      </c>
      <c r="L126" s="85">
        <v>40925</v>
      </c>
      <c r="M126" s="73">
        <f>IF(Main[[#This Row],[Tech Start Date]]&lt;1/1/1990,"",IF(Main[[#This Row],[Class]]="C",WORKDAY(Main[[#This Row],[Tech Start Date]],9),IF(Main[[#This Row],[Class]]="B", WORKDAY(Main[[#This Row],[Tech Start Date]],6),IF(Main[[#This Row],[Class]]="A",WORKDAY(Main[[#This Row],[Tech Start Date]],2),""))))</f>
        <v>40933</v>
      </c>
      <c r="N126" s="73">
        <f>IF(Main[[#This Row],[Tech Start Date]]&lt;1/1/1990,"",IF(Main[[#This Row],[Class]]="C",WORKDAY(Main[[#This Row],[Tech Start Date]],19),IF(Main[[#This Row],[Class]]="B", WORKDAY(Main[[#This Row],[Tech Start Date]],12),IF(Main[[#This Row],[Class]]="A",WORKDAY(Main[[#This Row],[Tech Start Date]],4),""))))</f>
        <v>40941</v>
      </c>
      <c r="O126" s="73">
        <f>IF(Main[[#This Row],[Tech Start Date]]&lt;1/1/1990,"",IF(Main[[#This Row],[Class]]="C",WORKDAY(Main[[#This Row],[Tech Start Date]],23),IF(Main[[#This Row],[Class]]="B", WORKDAY(Main[[#This Row],[Tech Start Date]],15),IF(Main[[#This Row],[Class]]="A",WORKDAY(Main[[#This Row],[Tech Start Date]],5),""))))</f>
        <v>40946</v>
      </c>
      <c r="P126" s="73">
        <f>IF(Main[[#This Row],[Tech Start Date]]&lt;1/1/1990,"",IF(Main[[#This Row],[Class]]="C",WORKDAY(Main[[#This Row],[Tech Start Date]],28),IF(Main[[#This Row],[Class]]="B", WORKDAY(Main[[#This Row],[Tech Start Date]],19),IF(Main[[#This Row],[Class]]="A",WORKDAY(Main[[#This Row],[Tech Start Date]],9),""))))</f>
        <v>40952</v>
      </c>
      <c r="Q126" s="85">
        <v>40959</v>
      </c>
      <c r="R126" s="112">
        <v>40959</v>
      </c>
      <c r="S126" s="95" t="s">
        <v>11</v>
      </c>
      <c r="T126" s="74" t="s">
        <v>3202</v>
      </c>
      <c r="U126" s="95" t="s">
        <v>14</v>
      </c>
      <c r="V126" s="95" t="s">
        <v>1921</v>
      </c>
      <c r="W126" s="95" t="s">
        <v>1917</v>
      </c>
      <c r="X126" s="95" t="s">
        <v>2826</v>
      </c>
      <c r="Y126" s="72" t="s">
        <v>4</v>
      </c>
      <c r="Z126" s="72" t="s">
        <v>530</v>
      </c>
      <c r="AA126" s="95" t="s">
        <v>2826</v>
      </c>
      <c r="AB126" s="132"/>
      <c r="AC126" s="132"/>
      <c r="AD126" s="132"/>
      <c r="AE126" s="63"/>
      <c r="AF126" s="63"/>
      <c r="AG126" s="63"/>
    </row>
    <row r="127" spans="1:33" ht="17.2" customHeight="1">
      <c r="A127" s="64">
        <f>IF(priority(Main[[#This Row],[Comments]])&lt;&gt;0, priority(Main[[#This Row],[Comments]]),"")</f>
        <v>43</v>
      </c>
      <c r="B127" s="60" t="s">
        <v>1884</v>
      </c>
      <c r="C127" s="72" t="s">
        <v>116</v>
      </c>
      <c r="D127" s="59" t="s">
        <v>2312</v>
      </c>
      <c r="E127" s="85">
        <v>40668.56144675926</v>
      </c>
      <c r="F127" s="85">
        <v>40714</v>
      </c>
      <c r="G127" s="64" t="str">
        <f>IF(stdProdLT(Main[[#This Row],[Comments]])=0.1,"N/A",IF(stdProdLT(Main[[#This Row],[Comments]])=0,"",TRIM(stdProdLT(Main[[#This Row],[Comments]]))))</f>
        <v/>
      </c>
      <c r="H127" s="94" t="str">
        <f>IF(OR(Main[[#This Row],[Std. Prod. Lead Time]]="N/A",Main[[#This Row],[Std. Prod. Lead Time]]=""), "",IF(AND(Main[[#This Row],[In Stock Date]]&lt;&gt;"",Main[[#This Row],[Revised Due Date]]&lt;&gt;"",Main[[#This Row],[In Stock Date]]&lt;&gt;""),Main[[#This Row],[In Stock Date]]-Main[[#This Row],[Revised Due Date]],""))</f>
        <v/>
      </c>
      <c r="I127" s="101" t="s">
        <v>912</v>
      </c>
      <c r="J127" s="95" t="s">
        <v>21</v>
      </c>
      <c r="K127" s="95" t="s">
        <v>1924</v>
      </c>
      <c r="L127" s="85">
        <v>40679</v>
      </c>
      <c r="M127" s="73">
        <f>IF(Main[[#This Row],[Tech Start Date]]&lt;1/1/1990,"",IF(Main[[#This Row],[Class]]="C",WORKDAY(Main[[#This Row],[Tech Start Date]],9),IF(Main[[#This Row],[Class]]="B", WORKDAY(Main[[#This Row],[Tech Start Date]],6),IF(Main[[#This Row],[Class]]="A",WORKDAY(Main[[#This Row],[Tech Start Date]],2),""))))</f>
        <v>40690</v>
      </c>
      <c r="N127" s="73">
        <f>IF(Main[[#This Row],[Tech Start Date]]&lt;1/1/1990,"",IF(Main[[#This Row],[Class]]="C",WORKDAY(Main[[#This Row],[Tech Start Date]],19),IF(Main[[#This Row],[Class]]="B", WORKDAY(Main[[#This Row],[Tech Start Date]],12),IF(Main[[#This Row],[Class]]="A",WORKDAY(Main[[#This Row],[Tech Start Date]],4),""))))</f>
        <v>40704</v>
      </c>
      <c r="O127" s="73">
        <f>IF(Main[[#This Row],[Tech Start Date]]&lt;1/1/1990,"",IF(Main[[#This Row],[Class]]="C",WORKDAY(Main[[#This Row],[Tech Start Date]],23),IF(Main[[#This Row],[Class]]="B", WORKDAY(Main[[#This Row],[Tech Start Date]],15),IF(Main[[#This Row],[Class]]="A",WORKDAY(Main[[#This Row],[Tech Start Date]],5),""))))</f>
        <v>40710</v>
      </c>
      <c r="P127" s="73">
        <f>IF(Main[[#This Row],[Tech Start Date]]&lt;1/1/1990,"",IF(Main[[#This Row],[Class]]="C",WORKDAY(Main[[#This Row],[Tech Start Date]],28),IF(Main[[#This Row],[Class]]="B", WORKDAY(Main[[#This Row],[Tech Start Date]],19),IF(Main[[#This Row],[Class]]="A",WORKDAY(Main[[#This Row],[Tech Start Date]],9),""))))</f>
        <v>40717</v>
      </c>
      <c r="Q127" s="85">
        <v>40714</v>
      </c>
      <c r="R127" s="112">
        <v>40714</v>
      </c>
      <c r="S127" s="95" t="s">
        <v>6</v>
      </c>
      <c r="T127" s="74" t="s">
        <v>2491</v>
      </c>
      <c r="U127" s="95" t="s">
        <v>29</v>
      </c>
      <c r="V127" s="95" t="s">
        <v>1911</v>
      </c>
      <c r="W127" s="95" t="s">
        <v>1913</v>
      </c>
      <c r="X127" s="95" t="s">
        <v>126</v>
      </c>
      <c r="Y127" s="72" t="s">
        <v>3011</v>
      </c>
      <c r="Z127" s="72" t="s">
        <v>129</v>
      </c>
      <c r="AA127" s="95" t="s">
        <v>126</v>
      </c>
      <c r="AB127" s="132"/>
      <c r="AC127" s="132"/>
      <c r="AD127" s="132"/>
      <c r="AE127" s="63"/>
      <c r="AF127" s="63"/>
      <c r="AG127" s="63"/>
    </row>
    <row r="128" spans="1:33" ht="17.2" customHeight="1">
      <c r="A128" s="64">
        <f>IF(priority(Main[[#This Row],[Comments]])&lt;&gt;0, priority(Main[[#This Row],[Comments]]),"")</f>
        <v>43</v>
      </c>
      <c r="B128" s="60" t="s">
        <v>2620</v>
      </c>
      <c r="C128" s="72" t="s">
        <v>2621</v>
      </c>
      <c r="D128" s="59" t="s">
        <v>2622</v>
      </c>
      <c r="E128" s="85">
        <v>40848.70516203704</v>
      </c>
      <c r="F128" s="85">
        <v>40969</v>
      </c>
      <c r="G128" s="64" t="str">
        <f>IF(stdProdLT(Main[[#This Row],[Comments]])=0.1,"N/A",IF(stdProdLT(Main[[#This Row],[Comments]])=0,"",TRIM(stdProdLT(Main[[#This Row],[Comments]]))))</f>
        <v>N/A</v>
      </c>
      <c r="H128" s="94" t="str">
        <f>IF(OR(Main[[#This Row],[Std. Prod. Lead Time]]="N/A",Main[[#This Row],[Std. Prod. Lead Time]]=""), "",IF(AND(Main[[#This Row],[In Stock Date]]&lt;&gt;"",Main[[#This Row],[Revised Due Date]]&lt;&gt;"",Main[[#This Row],[In Stock Date]]&lt;&gt;""),Main[[#This Row],[In Stock Date]]-Main[[#This Row],[Revised Due Date]],""))</f>
        <v/>
      </c>
      <c r="I128" s="101" t="s">
        <v>69</v>
      </c>
      <c r="J128" s="95" t="s">
        <v>28</v>
      </c>
      <c r="K128" s="95" t="s">
        <v>1920</v>
      </c>
      <c r="L128" s="85">
        <v>40849</v>
      </c>
      <c r="M128" s="73">
        <f>IF(Main[[#This Row],[Tech Start Date]]&lt;1/1/1990,"",IF(Main[[#This Row],[Class]]="C",WORKDAY(Main[[#This Row],[Tech Start Date]],9),IF(Main[[#This Row],[Class]]="B", WORKDAY(Main[[#This Row],[Tech Start Date]],6),IF(Main[[#This Row],[Class]]="A",WORKDAY(Main[[#This Row],[Tech Start Date]],2),""))))</f>
        <v>40851</v>
      </c>
      <c r="N128" s="73">
        <f>IF(Main[[#This Row],[Tech Start Date]]&lt;1/1/1990,"",IF(Main[[#This Row],[Class]]="C",WORKDAY(Main[[#This Row],[Tech Start Date]],19),IF(Main[[#This Row],[Class]]="B", WORKDAY(Main[[#This Row],[Tech Start Date]],12),IF(Main[[#This Row],[Class]]="A",WORKDAY(Main[[#This Row],[Tech Start Date]],4),""))))</f>
        <v>40855</v>
      </c>
      <c r="O128" s="73">
        <f>IF(Main[[#This Row],[Tech Start Date]]&lt;1/1/1990,"",IF(Main[[#This Row],[Class]]="C",WORKDAY(Main[[#This Row],[Tech Start Date]],23),IF(Main[[#This Row],[Class]]="B", WORKDAY(Main[[#This Row],[Tech Start Date]],15),IF(Main[[#This Row],[Class]]="A",WORKDAY(Main[[#This Row],[Tech Start Date]],5),""))))</f>
        <v>40856</v>
      </c>
      <c r="P128" s="73">
        <f>IF(Main[[#This Row],[Tech Start Date]]&lt;1/1/1990,"",IF(Main[[#This Row],[Class]]="C",WORKDAY(Main[[#This Row],[Tech Start Date]],28),IF(Main[[#This Row],[Class]]="B", WORKDAY(Main[[#This Row],[Tech Start Date]],19),IF(Main[[#This Row],[Class]]="A",WORKDAY(Main[[#This Row],[Tech Start Date]],9),""))))</f>
        <v>40862</v>
      </c>
      <c r="Q128" s="85"/>
      <c r="R128" s="112">
        <v>40989</v>
      </c>
      <c r="S128" s="95" t="s">
        <v>11</v>
      </c>
      <c r="T128" s="74" t="s">
        <v>3704</v>
      </c>
      <c r="U128" s="95" t="s">
        <v>29</v>
      </c>
      <c r="V128" s="95" t="s">
        <v>1921</v>
      </c>
      <c r="W128" s="95" t="s">
        <v>1915</v>
      </c>
      <c r="X128" s="95" t="s">
        <v>2821</v>
      </c>
      <c r="Y128" s="72" t="s">
        <v>2949</v>
      </c>
      <c r="Z128" s="72" t="s">
        <v>2845</v>
      </c>
      <c r="AA128" s="95" t="s">
        <v>2821</v>
      </c>
      <c r="AB128" s="132"/>
      <c r="AC128" s="132"/>
      <c r="AD128" s="132"/>
      <c r="AE128" s="63"/>
      <c r="AF128" s="63"/>
      <c r="AG128" s="63"/>
    </row>
    <row r="129" spans="1:33" ht="17.2" customHeight="1">
      <c r="A129" s="64">
        <f>IF(priority(Main[[#This Row],[Comments]])&lt;&gt;0, priority(Main[[#This Row],[Comments]]),"")</f>
        <v>46</v>
      </c>
      <c r="B129" s="60" t="s">
        <v>2518</v>
      </c>
      <c r="C129" s="72" t="s">
        <v>2002</v>
      </c>
      <c r="D129" s="59" t="s">
        <v>2519</v>
      </c>
      <c r="E129" s="85"/>
      <c r="F129" s="85"/>
      <c r="G129" s="64" t="str">
        <f>IF(stdProdLT(Main[[#This Row],[Comments]])=0.1,"N/A",IF(stdProdLT(Main[[#This Row],[Comments]])=0,"",TRIM(stdProdLT(Main[[#This Row],[Comments]]))))</f>
        <v>168</v>
      </c>
      <c r="H129" s="94" t="str">
        <f>IF(OR(Main[[#This Row],[Std. Prod. Lead Time]]="N/A",Main[[#This Row],[Std. Prod. Lead Time]]=""), "",IF(AND(Main[[#This Row],[In Stock Date]]&lt;&gt;"",Main[[#This Row],[Revised Due Date]]&lt;&gt;"",Main[[#This Row],[In Stock Date]]&lt;&gt;""),Main[[#This Row],[In Stock Date]]-Main[[#This Row],[Revised Due Date]],""))</f>
        <v/>
      </c>
      <c r="I129" s="101" t="s">
        <v>4</v>
      </c>
      <c r="J129" s="95" t="s">
        <v>4</v>
      </c>
      <c r="K129" s="95" t="s">
        <v>4</v>
      </c>
      <c r="L129" s="85"/>
      <c r="M129" s="73" t="str">
        <f>IF(Main[[#This Row],[Tech Start Date]]&lt;1/1/1990,"",IF(Main[[#This Row],[Class]]="C",WORKDAY(Main[[#This Row],[Tech Start Date]],9),IF(Main[[#This Row],[Class]]="B", WORKDAY(Main[[#This Row],[Tech Start Date]],6),IF(Main[[#This Row],[Class]]="A",WORKDAY(Main[[#This Row],[Tech Start Date]],2),""))))</f>
        <v/>
      </c>
      <c r="N129" s="73" t="str">
        <f>IF(Main[[#This Row],[Tech Start Date]]&lt;1/1/1990,"",IF(Main[[#This Row],[Class]]="C",WORKDAY(Main[[#This Row],[Tech Start Date]],19),IF(Main[[#This Row],[Class]]="B", WORKDAY(Main[[#This Row],[Tech Start Date]],12),IF(Main[[#This Row],[Class]]="A",WORKDAY(Main[[#This Row],[Tech Start Date]],4),""))))</f>
        <v/>
      </c>
      <c r="O129" s="73" t="str">
        <f>IF(Main[[#This Row],[Tech Start Date]]&lt;1/1/1990,"",IF(Main[[#This Row],[Class]]="C",WORKDAY(Main[[#This Row],[Tech Start Date]],23),IF(Main[[#This Row],[Class]]="B", WORKDAY(Main[[#This Row],[Tech Start Date]],15),IF(Main[[#This Row],[Class]]="A",WORKDAY(Main[[#This Row],[Tech Start Date]],5),""))))</f>
        <v/>
      </c>
      <c r="P129" s="73" t="str">
        <f>IF(Main[[#This Row],[Tech Start Date]]&lt;1/1/1990,"",IF(Main[[#This Row],[Class]]="C",WORKDAY(Main[[#This Row],[Tech Start Date]],28),IF(Main[[#This Row],[Class]]="B", WORKDAY(Main[[#This Row],[Tech Start Date]],19),IF(Main[[#This Row],[Class]]="A",WORKDAY(Main[[#This Row],[Tech Start Date]],9),""))))</f>
        <v/>
      </c>
      <c r="Q129" s="85">
        <v>40874</v>
      </c>
      <c r="R129" s="112"/>
      <c r="S129" s="95" t="s">
        <v>11</v>
      </c>
      <c r="T129" s="74" t="s">
        <v>2520</v>
      </c>
      <c r="U129" s="95" t="s">
        <v>14</v>
      </c>
      <c r="V129" s="95" t="s">
        <v>1914</v>
      </c>
      <c r="W129" s="95" t="s">
        <v>1913</v>
      </c>
      <c r="X129" s="95" t="s">
        <v>2834</v>
      </c>
      <c r="Y129" s="72" t="s">
        <v>4</v>
      </c>
      <c r="Z129" s="72" t="s">
        <v>4</v>
      </c>
      <c r="AA129" s="95" t="s">
        <v>2834</v>
      </c>
      <c r="AB129" s="132"/>
      <c r="AC129" s="132"/>
      <c r="AD129" s="132"/>
      <c r="AE129" s="63"/>
      <c r="AF129" s="63"/>
      <c r="AG129" s="63"/>
    </row>
    <row r="130" spans="1:33" ht="17.2" customHeight="1">
      <c r="A130" s="64">
        <f>IF(priority(Main[[#This Row],[Comments]])&lt;&gt;0, priority(Main[[#This Row],[Comments]]),"")</f>
        <v>99</v>
      </c>
      <c r="B130" s="60" t="s">
        <v>3158</v>
      </c>
      <c r="C130" s="72" t="s">
        <v>3743</v>
      </c>
      <c r="D130" s="59" t="s">
        <v>3709</v>
      </c>
      <c r="E130" s="85">
        <v>40920.303043981483</v>
      </c>
      <c r="F130" s="85">
        <v>41153</v>
      </c>
      <c r="G130" s="64" t="str">
        <f>IF(stdProdLT(Main[[#This Row],[Comments]])=0.1,"N/A",IF(stdProdLT(Main[[#This Row],[Comments]])=0,"",TRIM(stdProdLT(Main[[#This Row],[Comments]]))))</f>
        <v>168</v>
      </c>
      <c r="H130" s="94">
        <f>IF(OR(Main[[#This Row],[Std. Prod. Lead Time]]="N/A",Main[[#This Row],[Std. Prod. Lead Time]]=""), "",IF(AND(Main[[#This Row],[In Stock Date]]&lt;&gt;"",Main[[#This Row],[Revised Due Date]]&lt;&gt;"",Main[[#This Row],[In Stock Date]]&lt;&gt;""),Main[[#This Row],[In Stock Date]]-Main[[#This Row],[Revised Due Date]],""))</f>
        <v>176</v>
      </c>
      <c r="I130" s="101" t="s">
        <v>765</v>
      </c>
      <c r="J130" s="95" t="s">
        <v>52</v>
      </c>
      <c r="K130" s="95" t="s">
        <v>1924</v>
      </c>
      <c r="L130" s="85">
        <v>40925</v>
      </c>
      <c r="M130" s="73">
        <f>IF(Main[[#This Row],[Tech Start Date]]&lt;1/1/1990,"",IF(Main[[#This Row],[Class]]="C",WORKDAY(Main[[#This Row],[Tech Start Date]],9),IF(Main[[#This Row],[Class]]="B", WORKDAY(Main[[#This Row],[Tech Start Date]],6),IF(Main[[#This Row],[Class]]="A",WORKDAY(Main[[#This Row],[Tech Start Date]],2),""))))</f>
        <v>40938</v>
      </c>
      <c r="N130" s="73">
        <f>IF(Main[[#This Row],[Tech Start Date]]&lt;1/1/1990,"",IF(Main[[#This Row],[Class]]="C",WORKDAY(Main[[#This Row],[Tech Start Date]],19),IF(Main[[#This Row],[Class]]="B", WORKDAY(Main[[#This Row],[Tech Start Date]],12),IF(Main[[#This Row],[Class]]="A",WORKDAY(Main[[#This Row],[Tech Start Date]],4),""))))</f>
        <v>40952</v>
      </c>
      <c r="O130" s="73">
        <f>IF(Main[[#This Row],[Tech Start Date]]&lt;1/1/1990,"",IF(Main[[#This Row],[Class]]="C",WORKDAY(Main[[#This Row],[Tech Start Date]],23),IF(Main[[#This Row],[Class]]="B", WORKDAY(Main[[#This Row],[Tech Start Date]],15),IF(Main[[#This Row],[Class]]="A",WORKDAY(Main[[#This Row],[Tech Start Date]],5),""))))</f>
        <v>40956</v>
      </c>
      <c r="P130" s="73">
        <f>IF(Main[[#This Row],[Tech Start Date]]&lt;1/1/1990,"",IF(Main[[#This Row],[Class]]="C",WORKDAY(Main[[#This Row],[Tech Start Date]],28),IF(Main[[#This Row],[Class]]="B", WORKDAY(Main[[#This Row],[Tech Start Date]],19),IF(Main[[#This Row],[Class]]="A",WORKDAY(Main[[#This Row],[Tech Start Date]],9),""))))</f>
        <v>40963</v>
      </c>
      <c r="Q130" s="85">
        <v>40984</v>
      </c>
      <c r="R130" s="112">
        <v>40977</v>
      </c>
      <c r="S130" s="95" t="s">
        <v>11</v>
      </c>
      <c r="T130" s="74" t="s">
        <v>3799</v>
      </c>
      <c r="U130" s="95" t="s">
        <v>29</v>
      </c>
      <c r="V130" s="95" t="s">
        <v>1914</v>
      </c>
      <c r="W130" s="95" t="s">
        <v>1922</v>
      </c>
      <c r="X130" s="95" t="s">
        <v>2826</v>
      </c>
      <c r="Y130" s="72" t="s">
        <v>4</v>
      </c>
      <c r="Z130" s="72" t="s">
        <v>530</v>
      </c>
      <c r="AA130" s="95" t="s">
        <v>2826</v>
      </c>
      <c r="AB130" s="132"/>
      <c r="AC130" s="132"/>
      <c r="AD130" s="132"/>
      <c r="AE130" s="63"/>
      <c r="AF130" s="63"/>
      <c r="AG130" s="63"/>
    </row>
    <row r="131" spans="1:33" ht="17.2" customHeight="1">
      <c r="A131" s="64" t="str">
        <f>IF(priority(Main[[#This Row],[Comments]])&lt;&gt;0, priority(Main[[#This Row],[Comments]]),"")</f>
        <v/>
      </c>
      <c r="B131" s="60" t="s">
        <v>1041</v>
      </c>
      <c r="C131" s="72" t="s">
        <v>83</v>
      </c>
      <c r="D131" s="59" t="s">
        <v>84</v>
      </c>
      <c r="E131" s="85"/>
      <c r="F131" s="85"/>
      <c r="G131" s="64" t="str">
        <f>IF(stdProdLT(Main[[#This Row],[Comments]])=0.1,"N/A",IF(stdProdLT(Main[[#This Row],[Comments]])=0,"",TRIM(stdProdLT(Main[[#This Row],[Comments]]))))</f>
        <v/>
      </c>
      <c r="H131" s="94" t="str">
        <f>IF(OR(Main[[#This Row],[Std. Prod. Lead Time]]="N/A",Main[[#This Row],[Std. Prod. Lead Time]]=""), "",IF(AND(Main[[#This Row],[In Stock Date]]&lt;&gt;"",Main[[#This Row],[Revised Due Date]]&lt;&gt;"",Main[[#This Row],[In Stock Date]]&lt;&gt;""),Main[[#This Row],[In Stock Date]]-Main[[#This Row],[Revised Due Date]],""))</f>
        <v/>
      </c>
      <c r="I131" s="101" t="s">
        <v>4</v>
      </c>
      <c r="J131" s="95" t="s">
        <v>4</v>
      </c>
      <c r="K131" s="95" t="s">
        <v>4</v>
      </c>
      <c r="L131" s="85"/>
      <c r="M131" s="73" t="str">
        <f>IF(Main[[#This Row],[Tech Start Date]]&lt;1/1/1990,"",IF(Main[[#This Row],[Class]]="C",WORKDAY(Main[[#This Row],[Tech Start Date]],9),IF(Main[[#This Row],[Class]]="B", WORKDAY(Main[[#This Row],[Tech Start Date]],6),IF(Main[[#This Row],[Class]]="A",WORKDAY(Main[[#This Row],[Tech Start Date]],2),""))))</f>
        <v/>
      </c>
      <c r="N131" s="73" t="str">
        <f>IF(Main[[#This Row],[Tech Start Date]]&lt;1/1/1990,"",IF(Main[[#This Row],[Class]]="C",WORKDAY(Main[[#This Row],[Tech Start Date]],19),IF(Main[[#This Row],[Class]]="B", WORKDAY(Main[[#This Row],[Tech Start Date]],12),IF(Main[[#This Row],[Class]]="A",WORKDAY(Main[[#This Row],[Tech Start Date]],4),""))))</f>
        <v/>
      </c>
      <c r="O131" s="73" t="str">
        <f>IF(Main[[#This Row],[Tech Start Date]]&lt;1/1/1990,"",IF(Main[[#This Row],[Class]]="C",WORKDAY(Main[[#This Row],[Tech Start Date]],23),IF(Main[[#This Row],[Class]]="B", WORKDAY(Main[[#This Row],[Tech Start Date]],15),IF(Main[[#This Row],[Class]]="A",WORKDAY(Main[[#This Row],[Tech Start Date]],5),""))))</f>
        <v/>
      </c>
      <c r="P131" s="73" t="str">
        <f>IF(Main[[#This Row],[Tech Start Date]]&lt;1/1/1990,"",IF(Main[[#This Row],[Class]]="C",WORKDAY(Main[[#This Row],[Tech Start Date]],28),IF(Main[[#This Row],[Class]]="B", WORKDAY(Main[[#This Row],[Tech Start Date]],19),IF(Main[[#This Row],[Class]]="A",WORKDAY(Main[[#This Row],[Tech Start Date]],9),""))))</f>
        <v/>
      </c>
      <c r="Q131" s="85">
        <v>40259</v>
      </c>
      <c r="R131" s="112"/>
      <c r="S131" s="95" t="s">
        <v>11</v>
      </c>
      <c r="T131" s="74" t="s">
        <v>4</v>
      </c>
      <c r="U131" s="95" t="s">
        <v>14</v>
      </c>
      <c r="V131" s="95" t="s">
        <v>1911</v>
      </c>
      <c r="W131" s="95" t="s">
        <v>1922</v>
      </c>
      <c r="X131" s="95" t="s">
        <v>2797</v>
      </c>
      <c r="Y131" s="72" t="s">
        <v>4</v>
      </c>
      <c r="Z131" s="72" t="s">
        <v>4</v>
      </c>
      <c r="AA131" s="95" t="s">
        <v>2797</v>
      </c>
      <c r="AB131" s="132"/>
      <c r="AC131" s="132"/>
      <c r="AD131" s="132"/>
      <c r="AE131" s="63"/>
      <c r="AF131" s="63"/>
      <c r="AG131" s="63"/>
    </row>
    <row r="132" spans="1:33" ht="17.2" customHeight="1">
      <c r="A132" s="64" t="str">
        <f>IF(priority(Main[[#This Row],[Comments]])&lt;&gt;0, priority(Main[[#This Row],[Comments]]),"")</f>
        <v/>
      </c>
      <c r="B132" s="60" t="s">
        <v>3239</v>
      </c>
      <c r="C132" s="72" t="s">
        <v>47</v>
      </c>
      <c r="D132" s="59" t="s">
        <v>3281</v>
      </c>
      <c r="E132" s="85">
        <v>40933.456712962965</v>
      </c>
      <c r="F132" s="85"/>
      <c r="G132" s="64" t="str">
        <f>IF(stdProdLT(Main[[#This Row],[Comments]])=0.1,"N/A",IF(stdProdLT(Main[[#This Row],[Comments]])=0,"",TRIM(stdProdLT(Main[[#This Row],[Comments]]))))</f>
        <v/>
      </c>
      <c r="H132" s="94" t="str">
        <f>IF(OR(Main[[#This Row],[Std. Prod. Lead Time]]="N/A",Main[[#This Row],[Std. Prod. Lead Time]]=""), "",IF(AND(Main[[#This Row],[In Stock Date]]&lt;&gt;"",Main[[#This Row],[Revised Due Date]]&lt;&gt;"",Main[[#This Row],[In Stock Date]]&lt;&gt;""),Main[[#This Row],[In Stock Date]]-Main[[#This Row],[Revised Due Date]],""))</f>
        <v/>
      </c>
      <c r="I132" s="101" t="s">
        <v>4</v>
      </c>
      <c r="J132" s="95" t="s">
        <v>4</v>
      </c>
      <c r="K132" s="96" t="s">
        <v>4</v>
      </c>
      <c r="L132" s="85"/>
      <c r="M132" s="73" t="str">
        <f>IF(Main[[#This Row],[Tech Start Date]]&lt;1/1/1990,"",IF(Main[[#This Row],[Class]]="C",WORKDAY(Main[[#This Row],[Tech Start Date]],9),IF(Main[[#This Row],[Class]]="B", WORKDAY(Main[[#This Row],[Tech Start Date]],6),IF(Main[[#This Row],[Class]]="A",WORKDAY(Main[[#This Row],[Tech Start Date]],2),""))))</f>
        <v/>
      </c>
      <c r="N132" s="73" t="str">
        <f>IF(Main[[#This Row],[Tech Start Date]]&lt;1/1/1990,"",IF(Main[[#This Row],[Class]]="C",WORKDAY(Main[[#This Row],[Tech Start Date]],19),IF(Main[[#This Row],[Class]]="B", WORKDAY(Main[[#This Row],[Tech Start Date]],12),IF(Main[[#This Row],[Class]]="A",WORKDAY(Main[[#This Row],[Tech Start Date]],4),""))))</f>
        <v/>
      </c>
      <c r="O132" s="73" t="str">
        <f>IF(Main[[#This Row],[Tech Start Date]]&lt;1/1/1990,"",IF(Main[[#This Row],[Class]]="C",WORKDAY(Main[[#This Row],[Tech Start Date]],23),IF(Main[[#This Row],[Class]]="B", WORKDAY(Main[[#This Row],[Tech Start Date]],15),IF(Main[[#This Row],[Class]]="A",WORKDAY(Main[[#This Row],[Tech Start Date]],5),""))))</f>
        <v/>
      </c>
      <c r="P132" s="73" t="str">
        <f>IF(Main[[#This Row],[Tech Start Date]]&lt;1/1/1990,"",IF(Main[[#This Row],[Class]]="C",WORKDAY(Main[[#This Row],[Tech Start Date]],28),IF(Main[[#This Row],[Class]]="B", WORKDAY(Main[[#This Row],[Tech Start Date]],19),IF(Main[[#This Row],[Class]]="A",WORKDAY(Main[[#This Row],[Tech Start Date]],9),""))))</f>
        <v/>
      </c>
      <c r="Q132" s="85">
        <v>40939</v>
      </c>
      <c r="R132" s="112"/>
      <c r="S132" s="95" t="s">
        <v>6</v>
      </c>
      <c r="T132" s="74" t="s">
        <v>4</v>
      </c>
      <c r="U132" s="95" t="s">
        <v>29</v>
      </c>
      <c r="V132" s="95" t="s">
        <v>2277</v>
      </c>
      <c r="W132" s="95" t="s">
        <v>4</v>
      </c>
      <c r="X132" s="95" t="s">
        <v>2845</v>
      </c>
      <c r="Y132" s="72" t="s">
        <v>2988</v>
      </c>
      <c r="Z132" s="72" t="s">
        <v>4</v>
      </c>
      <c r="AA132" s="95" t="s">
        <v>2845</v>
      </c>
      <c r="AB132" s="132"/>
      <c r="AC132" s="132"/>
      <c r="AD132" s="132"/>
      <c r="AE132" s="63"/>
      <c r="AF132" s="63"/>
      <c r="AG132" s="63"/>
    </row>
    <row r="133" spans="1:33" ht="17.2" customHeight="1">
      <c r="A133" s="64" t="str">
        <f>IF(priority(Main[[#This Row],[Comments]])&lt;&gt;0, priority(Main[[#This Row],[Comments]]),"")</f>
        <v/>
      </c>
      <c r="B133" s="60" t="s">
        <v>1746</v>
      </c>
      <c r="C133" s="72" t="s">
        <v>4</v>
      </c>
      <c r="D133" s="59" t="s">
        <v>2325</v>
      </c>
      <c r="E133" s="85"/>
      <c r="F133" s="85"/>
      <c r="G133" s="64" t="str">
        <f>IF(stdProdLT(Main[[#This Row],[Comments]])=0.1,"N/A",IF(stdProdLT(Main[[#This Row],[Comments]])=0,"",TRIM(stdProdLT(Main[[#This Row],[Comments]]))))</f>
        <v/>
      </c>
      <c r="H133" s="94" t="str">
        <f>IF(OR(Main[[#This Row],[Std. Prod. Lead Time]]="N/A",Main[[#This Row],[Std. Prod. Lead Time]]=""), "",IF(AND(Main[[#This Row],[In Stock Date]]&lt;&gt;"",Main[[#This Row],[Revised Due Date]]&lt;&gt;"",Main[[#This Row],[In Stock Date]]&lt;&gt;""),Main[[#This Row],[In Stock Date]]-Main[[#This Row],[Revised Due Date]],""))</f>
        <v/>
      </c>
      <c r="I133" s="101" t="s">
        <v>130</v>
      </c>
      <c r="J133" s="95" t="s">
        <v>70</v>
      </c>
      <c r="K133" s="95" t="s">
        <v>1920</v>
      </c>
      <c r="L133" s="85"/>
      <c r="M133" s="73" t="str">
        <f>IF(Main[[#This Row],[Tech Start Date]]&lt;1/1/1990,"",IF(Main[[#This Row],[Class]]="C",WORKDAY(Main[[#This Row],[Tech Start Date]],9),IF(Main[[#This Row],[Class]]="B", WORKDAY(Main[[#This Row],[Tech Start Date]],6),IF(Main[[#This Row],[Class]]="A",WORKDAY(Main[[#This Row],[Tech Start Date]],2),""))))</f>
        <v/>
      </c>
      <c r="N133" s="73" t="str">
        <f>IF(Main[[#This Row],[Tech Start Date]]&lt;1/1/1990,"",IF(Main[[#This Row],[Class]]="C",WORKDAY(Main[[#This Row],[Tech Start Date]],19),IF(Main[[#This Row],[Class]]="B", WORKDAY(Main[[#This Row],[Tech Start Date]],12),IF(Main[[#This Row],[Class]]="A",WORKDAY(Main[[#This Row],[Tech Start Date]],4),""))))</f>
        <v/>
      </c>
      <c r="O133" s="73" t="str">
        <f>IF(Main[[#This Row],[Tech Start Date]]&lt;1/1/1990,"",IF(Main[[#This Row],[Class]]="C",WORKDAY(Main[[#This Row],[Tech Start Date]],23),IF(Main[[#This Row],[Class]]="B", WORKDAY(Main[[#This Row],[Tech Start Date]],15),IF(Main[[#This Row],[Class]]="A",WORKDAY(Main[[#This Row],[Tech Start Date]],5),""))))</f>
        <v/>
      </c>
      <c r="P133" s="73" t="str">
        <f>IF(Main[[#This Row],[Tech Start Date]]&lt;1/1/1990,"",IF(Main[[#This Row],[Class]]="C",WORKDAY(Main[[#This Row],[Tech Start Date]],28),IF(Main[[#This Row],[Class]]="B", WORKDAY(Main[[#This Row],[Tech Start Date]],19),IF(Main[[#This Row],[Class]]="A",WORKDAY(Main[[#This Row],[Tech Start Date]],9),""))))</f>
        <v/>
      </c>
      <c r="Q133" s="85">
        <v>40786</v>
      </c>
      <c r="R133" s="112"/>
      <c r="S133" s="95" t="s">
        <v>6</v>
      </c>
      <c r="T133" s="74" t="s">
        <v>4</v>
      </c>
      <c r="U133" s="95" t="s">
        <v>14</v>
      </c>
      <c r="V133" s="95" t="s">
        <v>1914</v>
      </c>
      <c r="W133" s="95" t="s">
        <v>1915</v>
      </c>
      <c r="X133" s="95" t="s">
        <v>399</v>
      </c>
      <c r="Y133" s="72" t="s">
        <v>4</v>
      </c>
      <c r="Z133" s="72" t="s">
        <v>44</v>
      </c>
      <c r="AA133" s="95" t="s">
        <v>3339</v>
      </c>
      <c r="AB133" s="132"/>
      <c r="AC133" s="132"/>
      <c r="AD133" s="132"/>
      <c r="AE133" s="63"/>
      <c r="AF133" s="63"/>
      <c r="AG133" s="63"/>
    </row>
    <row r="134" spans="1:33" ht="17.2" customHeight="1">
      <c r="A134" s="64" t="str">
        <f>IF(priority(Main[[#This Row],[Comments]])&lt;&gt;0, priority(Main[[#This Row],[Comments]]),"")</f>
        <v/>
      </c>
      <c r="B134" s="60" t="s">
        <v>1942</v>
      </c>
      <c r="C134" s="72" t="s">
        <v>4</v>
      </c>
      <c r="D134" s="59" t="s">
        <v>3282</v>
      </c>
      <c r="E134" s="85">
        <v>40721.395208333335</v>
      </c>
      <c r="F134" s="85"/>
      <c r="G134" s="64" t="str">
        <f>IF(stdProdLT(Main[[#This Row],[Comments]])=0.1,"N/A",IF(stdProdLT(Main[[#This Row],[Comments]])=0,"",TRIM(stdProdLT(Main[[#This Row],[Comments]]))))</f>
        <v/>
      </c>
      <c r="H134" s="94" t="str">
        <f>IF(OR(Main[[#This Row],[Std. Prod. Lead Time]]="N/A",Main[[#This Row],[Std. Prod. Lead Time]]=""), "",IF(AND(Main[[#This Row],[In Stock Date]]&lt;&gt;"",Main[[#This Row],[Revised Due Date]]&lt;&gt;"",Main[[#This Row],[In Stock Date]]&lt;&gt;""),Main[[#This Row],[In Stock Date]]-Main[[#This Row],[Revised Due Date]],""))</f>
        <v/>
      </c>
      <c r="I134" s="101" t="s">
        <v>2045</v>
      </c>
      <c r="J134" s="95" t="s">
        <v>21</v>
      </c>
      <c r="K134" s="95" t="s">
        <v>1920</v>
      </c>
      <c r="L134" s="85"/>
      <c r="M134" s="73" t="str">
        <f>IF(Main[[#This Row],[Tech Start Date]]&lt;1/1/1990,"",IF(Main[[#This Row],[Class]]="C",WORKDAY(Main[[#This Row],[Tech Start Date]],9),IF(Main[[#This Row],[Class]]="B", WORKDAY(Main[[#This Row],[Tech Start Date]],6),IF(Main[[#This Row],[Class]]="A",WORKDAY(Main[[#This Row],[Tech Start Date]],2),""))))</f>
        <v/>
      </c>
      <c r="N134" s="73" t="str">
        <f>IF(Main[[#This Row],[Tech Start Date]]&lt;1/1/1990,"",IF(Main[[#This Row],[Class]]="C",WORKDAY(Main[[#This Row],[Tech Start Date]],19),IF(Main[[#This Row],[Class]]="B", WORKDAY(Main[[#This Row],[Tech Start Date]],12),IF(Main[[#This Row],[Class]]="A",WORKDAY(Main[[#This Row],[Tech Start Date]],4),""))))</f>
        <v/>
      </c>
      <c r="O134" s="73" t="str">
        <f>IF(Main[[#This Row],[Tech Start Date]]&lt;1/1/1990,"",IF(Main[[#This Row],[Class]]="C",WORKDAY(Main[[#This Row],[Tech Start Date]],23),IF(Main[[#This Row],[Class]]="B", WORKDAY(Main[[#This Row],[Tech Start Date]],15),IF(Main[[#This Row],[Class]]="A",WORKDAY(Main[[#This Row],[Tech Start Date]],5),""))))</f>
        <v/>
      </c>
      <c r="P134" s="73" t="str">
        <f>IF(Main[[#This Row],[Tech Start Date]]&lt;1/1/1990,"",IF(Main[[#This Row],[Class]]="C",WORKDAY(Main[[#This Row],[Tech Start Date]],28),IF(Main[[#This Row],[Class]]="B", WORKDAY(Main[[#This Row],[Tech Start Date]],19),IF(Main[[#This Row],[Class]]="A",WORKDAY(Main[[#This Row],[Tech Start Date]],9),""))))</f>
        <v/>
      </c>
      <c r="Q134" s="85">
        <v>40753</v>
      </c>
      <c r="R134" s="112"/>
      <c r="S134" s="95" t="s">
        <v>6</v>
      </c>
      <c r="T134" s="74" t="s">
        <v>4</v>
      </c>
      <c r="U134" s="95" t="s">
        <v>29</v>
      </c>
      <c r="V134" s="95" t="s">
        <v>1914</v>
      </c>
      <c r="W134" s="95" t="s">
        <v>1915</v>
      </c>
      <c r="X134" s="95" t="s">
        <v>2798</v>
      </c>
      <c r="Y134" s="72" t="s">
        <v>2908</v>
      </c>
      <c r="Z134" s="72" t="s">
        <v>44</v>
      </c>
      <c r="AA134" s="95" t="s">
        <v>2798</v>
      </c>
      <c r="AB134" s="132"/>
      <c r="AC134" s="132"/>
      <c r="AD134" s="132"/>
      <c r="AE134" s="63"/>
      <c r="AF134" s="63"/>
      <c r="AG134" s="63"/>
    </row>
    <row r="135" spans="1:33" ht="17.2" customHeight="1">
      <c r="A135" s="64" t="str">
        <f>IF(priority(Main[[#This Row],[Comments]])&lt;&gt;0, priority(Main[[#This Row],[Comments]]),"")</f>
        <v/>
      </c>
      <c r="B135" s="60" t="s">
        <v>3469</v>
      </c>
      <c r="C135" s="72" t="s">
        <v>4</v>
      </c>
      <c r="D135" s="59" t="s">
        <v>3533</v>
      </c>
      <c r="E135" s="85"/>
      <c r="F135" s="85"/>
      <c r="G135" s="64" t="str">
        <f>IF(stdProdLT(Main[[#This Row],[Comments]])=0.1,"N/A",IF(stdProdLT(Main[[#This Row],[Comments]])=0,"",TRIM(stdProdLT(Main[[#This Row],[Comments]]))))</f>
        <v/>
      </c>
      <c r="H135" s="94" t="str">
        <f>IF(OR(Main[[#This Row],[Std. Prod. Lead Time]]="N/A",Main[[#This Row],[Std. Prod. Lead Time]]=""), "",IF(AND(Main[[#This Row],[In Stock Date]]&lt;&gt;"",Main[[#This Row],[Revised Due Date]]&lt;&gt;"",Main[[#This Row],[In Stock Date]]&lt;&gt;""),Main[[#This Row],[In Stock Date]]-Main[[#This Row],[Revised Due Date]],""))</f>
        <v/>
      </c>
      <c r="I135" s="101" t="s">
        <v>4</v>
      </c>
      <c r="J135" s="95" t="s">
        <v>4</v>
      </c>
      <c r="K135" s="95" t="s">
        <v>4</v>
      </c>
      <c r="L135" s="85"/>
      <c r="M135" s="73" t="str">
        <f>IF(Main[[#This Row],[Tech Start Date]]&lt;1/1/1990,"",IF(Main[[#This Row],[Class]]="C",WORKDAY(Main[[#This Row],[Tech Start Date]],9),IF(Main[[#This Row],[Class]]="B", WORKDAY(Main[[#This Row],[Tech Start Date]],6),IF(Main[[#This Row],[Class]]="A",WORKDAY(Main[[#This Row],[Tech Start Date]],2),""))))</f>
        <v/>
      </c>
      <c r="N135" s="73" t="str">
        <f>IF(Main[[#This Row],[Tech Start Date]]&lt;1/1/1990,"",IF(Main[[#This Row],[Class]]="C",WORKDAY(Main[[#This Row],[Tech Start Date]],19),IF(Main[[#This Row],[Class]]="B", WORKDAY(Main[[#This Row],[Tech Start Date]],12),IF(Main[[#This Row],[Class]]="A",WORKDAY(Main[[#This Row],[Tech Start Date]],4),""))))</f>
        <v/>
      </c>
      <c r="O135" s="73" t="str">
        <f>IF(Main[[#This Row],[Tech Start Date]]&lt;1/1/1990,"",IF(Main[[#This Row],[Class]]="C",WORKDAY(Main[[#This Row],[Tech Start Date]],23),IF(Main[[#This Row],[Class]]="B", WORKDAY(Main[[#This Row],[Tech Start Date]],15),IF(Main[[#This Row],[Class]]="A",WORKDAY(Main[[#This Row],[Tech Start Date]],5),""))))</f>
        <v/>
      </c>
      <c r="P135" s="73" t="str">
        <f>IF(Main[[#This Row],[Tech Start Date]]&lt;1/1/1990,"",IF(Main[[#This Row],[Class]]="C",WORKDAY(Main[[#This Row],[Tech Start Date]],28),IF(Main[[#This Row],[Class]]="B", WORKDAY(Main[[#This Row],[Tech Start Date]],19),IF(Main[[#This Row],[Class]]="A",WORKDAY(Main[[#This Row],[Tech Start Date]],9),""))))</f>
        <v/>
      </c>
      <c r="Q135" s="85">
        <v>40970</v>
      </c>
      <c r="R135" s="112"/>
      <c r="S135" s="95" t="s">
        <v>6</v>
      </c>
      <c r="T135" s="74" t="s">
        <v>4</v>
      </c>
      <c r="U135" s="95" t="s">
        <v>14</v>
      </c>
      <c r="V135" s="95" t="s">
        <v>1914</v>
      </c>
      <c r="W135" s="95" t="s">
        <v>4</v>
      </c>
      <c r="X135" s="95" t="s">
        <v>2799</v>
      </c>
      <c r="Y135" s="72" t="s">
        <v>2910</v>
      </c>
      <c r="Z135" s="72" t="s">
        <v>4</v>
      </c>
      <c r="AA135" s="95" t="s">
        <v>2799</v>
      </c>
      <c r="AB135" s="132"/>
      <c r="AC135" s="132"/>
      <c r="AD135" s="132"/>
      <c r="AE135" s="63"/>
      <c r="AF135" s="63"/>
      <c r="AG135" s="63"/>
    </row>
    <row r="136" spans="1:33" ht="17.2" customHeight="1">
      <c r="A136" s="64" t="str">
        <f>IF(priority(Main[[#This Row],[Comments]])&lt;&gt;0, priority(Main[[#This Row],[Comments]]),"")</f>
        <v/>
      </c>
      <c r="B136" s="60" t="s">
        <v>1039</v>
      </c>
      <c r="C136" s="72" t="s">
        <v>4</v>
      </c>
      <c r="D136" s="59" t="s">
        <v>62</v>
      </c>
      <c r="E136" s="85"/>
      <c r="F136" s="85"/>
      <c r="G136" s="64" t="str">
        <f>IF(stdProdLT(Main[[#This Row],[Comments]])=0.1,"N/A",IF(stdProdLT(Main[[#This Row],[Comments]])=0,"",TRIM(stdProdLT(Main[[#This Row],[Comments]]))))</f>
        <v/>
      </c>
      <c r="H136" s="94" t="str">
        <f>IF(OR(Main[[#This Row],[Std. Prod. Lead Time]]="N/A",Main[[#This Row],[Std. Prod. Lead Time]]=""), "",IF(AND(Main[[#This Row],[In Stock Date]]&lt;&gt;"",Main[[#This Row],[Revised Due Date]]&lt;&gt;"",Main[[#This Row],[In Stock Date]]&lt;&gt;""),Main[[#This Row],[In Stock Date]]-Main[[#This Row],[Revised Due Date]],""))</f>
        <v/>
      </c>
      <c r="I136" s="101" t="s">
        <v>44</v>
      </c>
      <c r="J136" s="95" t="s">
        <v>28</v>
      </c>
      <c r="K136" s="95" t="s">
        <v>1920</v>
      </c>
      <c r="L136" s="85"/>
      <c r="M136" s="73" t="str">
        <f>IF(Main[[#This Row],[Tech Start Date]]&lt;1/1/1990,"",IF(Main[[#This Row],[Class]]="C",WORKDAY(Main[[#This Row],[Tech Start Date]],9),IF(Main[[#This Row],[Class]]="B", WORKDAY(Main[[#This Row],[Tech Start Date]],6),IF(Main[[#This Row],[Class]]="A",WORKDAY(Main[[#This Row],[Tech Start Date]],2),""))))</f>
        <v/>
      </c>
      <c r="N136" s="73" t="str">
        <f>IF(Main[[#This Row],[Tech Start Date]]&lt;1/1/1990,"",IF(Main[[#This Row],[Class]]="C",WORKDAY(Main[[#This Row],[Tech Start Date]],19),IF(Main[[#This Row],[Class]]="B", WORKDAY(Main[[#This Row],[Tech Start Date]],12),IF(Main[[#This Row],[Class]]="A",WORKDAY(Main[[#This Row],[Tech Start Date]],4),""))))</f>
        <v/>
      </c>
      <c r="O136" s="73" t="str">
        <f>IF(Main[[#This Row],[Tech Start Date]]&lt;1/1/1990,"",IF(Main[[#This Row],[Class]]="C",WORKDAY(Main[[#This Row],[Tech Start Date]],23),IF(Main[[#This Row],[Class]]="B", WORKDAY(Main[[#This Row],[Tech Start Date]],15),IF(Main[[#This Row],[Class]]="A",WORKDAY(Main[[#This Row],[Tech Start Date]],5),""))))</f>
        <v/>
      </c>
      <c r="P136" s="73" t="str">
        <f>IF(Main[[#This Row],[Tech Start Date]]&lt;1/1/1990,"",IF(Main[[#This Row],[Class]]="C",WORKDAY(Main[[#This Row],[Tech Start Date]],28),IF(Main[[#This Row],[Class]]="B", WORKDAY(Main[[#This Row],[Tech Start Date]],19),IF(Main[[#This Row],[Class]]="A",WORKDAY(Main[[#This Row],[Tech Start Date]],9),""))))</f>
        <v/>
      </c>
      <c r="Q136" s="85"/>
      <c r="R136" s="112"/>
      <c r="S136" s="95" t="s">
        <v>23</v>
      </c>
      <c r="T136" s="74" t="s">
        <v>4</v>
      </c>
      <c r="U136" s="95" t="s">
        <v>14</v>
      </c>
      <c r="V136" s="95" t="s">
        <v>1914</v>
      </c>
      <c r="W136" s="95" t="s">
        <v>1913</v>
      </c>
      <c r="X136" s="95" t="s">
        <v>102</v>
      </c>
      <c r="Y136" s="72" t="s">
        <v>4</v>
      </c>
      <c r="Z136" s="72" t="s">
        <v>44</v>
      </c>
      <c r="AA136" s="95" t="s">
        <v>3340</v>
      </c>
      <c r="AB136" s="132"/>
      <c r="AC136" s="132"/>
      <c r="AD136" s="132"/>
      <c r="AE136" s="63"/>
      <c r="AF136" s="63"/>
      <c r="AG136" s="63"/>
    </row>
    <row r="137" spans="1:33" ht="17.2" customHeight="1">
      <c r="A137" s="64" t="str">
        <f>IF(priority(Main[[#This Row],[Comments]])&lt;&gt;0, priority(Main[[#This Row],[Comments]]),"")</f>
        <v/>
      </c>
      <c r="B137" s="60" t="s">
        <v>1040</v>
      </c>
      <c r="C137" s="72" t="s">
        <v>63</v>
      </c>
      <c r="D137" s="59" t="s">
        <v>64</v>
      </c>
      <c r="E137" s="85"/>
      <c r="F137" s="85">
        <v>40513</v>
      </c>
      <c r="G137" s="64" t="str">
        <f>IF(stdProdLT(Main[[#This Row],[Comments]])=0.1,"N/A",IF(stdProdLT(Main[[#This Row],[Comments]])=0,"",TRIM(stdProdLT(Main[[#This Row],[Comments]]))))</f>
        <v/>
      </c>
      <c r="H137" s="94" t="str">
        <f>IF(OR(Main[[#This Row],[Std. Prod. Lead Time]]="N/A",Main[[#This Row],[Std. Prod. Lead Time]]=""), "",IF(AND(Main[[#This Row],[In Stock Date]]&lt;&gt;"",Main[[#This Row],[Revised Due Date]]&lt;&gt;"",Main[[#This Row],[In Stock Date]]&lt;&gt;""),Main[[#This Row],[In Stock Date]]-Main[[#This Row],[Revised Due Date]],""))</f>
        <v/>
      </c>
      <c r="I137" s="101" t="s">
        <v>65</v>
      </c>
      <c r="J137" s="95" t="s">
        <v>28</v>
      </c>
      <c r="K137" s="95" t="s">
        <v>4</v>
      </c>
      <c r="L137" s="85"/>
      <c r="M137" s="73" t="str">
        <f>IF(Main[[#This Row],[Tech Start Date]]&lt;1/1/1990,"",IF(Main[[#This Row],[Class]]="C",WORKDAY(Main[[#This Row],[Tech Start Date]],9),IF(Main[[#This Row],[Class]]="B", WORKDAY(Main[[#This Row],[Tech Start Date]],6),IF(Main[[#This Row],[Class]]="A",WORKDAY(Main[[#This Row],[Tech Start Date]],2),""))))</f>
        <v/>
      </c>
      <c r="N137" s="73" t="str">
        <f>IF(Main[[#This Row],[Tech Start Date]]&lt;1/1/1990,"",IF(Main[[#This Row],[Class]]="C",WORKDAY(Main[[#This Row],[Tech Start Date]],19),IF(Main[[#This Row],[Class]]="B", WORKDAY(Main[[#This Row],[Tech Start Date]],12),IF(Main[[#This Row],[Class]]="A",WORKDAY(Main[[#This Row],[Tech Start Date]],4),""))))</f>
        <v/>
      </c>
      <c r="O137" s="73" t="str">
        <f>IF(Main[[#This Row],[Tech Start Date]]&lt;1/1/1990,"",IF(Main[[#This Row],[Class]]="C",WORKDAY(Main[[#This Row],[Tech Start Date]],23),IF(Main[[#This Row],[Class]]="B", WORKDAY(Main[[#This Row],[Tech Start Date]],15),IF(Main[[#This Row],[Class]]="A",WORKDAY(Main[[#This Row],[Tech Start Date]],5),""))))</f>
        <v/>
      </c>
      <c r="P137" s="73" t="str">
        <f>IF(Main[[#This Row],[Tech Start Date]]&lt;1/1/1990,"",IF(Main[[#This Row],[Class]]="C",WORKDAY(Main[[#This Row],[Tech Start Date]],28),IF(Main[[#This Row],[Class]]="B", WORKDAY(Main[[#This Row],[Tech Start Date]],19),IF(Main[[#This Row],[Class]]="A",WORKDAY(Main[[#This Row],[Tech Start Date]],9),""))))</f>
        <v/>
      </c>
      <c r="Q137" s="85">
        <v>40513</v>
      </c>
      <c r="R137" s="112"/>
      <c r="S137" s="95" t="s">
        <v>11</v>
      </c>
      <c r="T137" s="74" t="s">
        <v>4</v>
      </c>
      <c r="U137" s="95" t="s">
        <v>14</v>
      </c>
      <c r="V137" s="95" t="s">
        <v>1914</v>
      </c>
      <c r="W137" s="95" t="s">
        <v>1916</v>
      </c>
      <c r="X137" s="95" t="s">
        <v>2795</v>
      </c>
      <c r="Y137" s="72" t="s">
        <v>2906</v>
      </c>
      <c r="Z137" s="72" t="s">
        <v>530</v>
      </c>
      <c r="AA137" s="95" t="s">
        <v>2795</v>
      </c>
      <c r="AB137" s="132"/>
      <c r="AC137" s="132">
        <v>40494</v>
      </c>
      <c r="AD137" s="132"/>
      <c r="AE137" s="63"/>
      <c r="AF137" s="63"/>
      <c r="AG137" s="63"/>
    </row>
    <row r="138" spans="1:33" ht="17.2" customHeight="1">
      <c r="A138" s="64" t="str">
        <f>IF(priority(Main[[#This Row],[Comments]])&lt;&gt;0, priority(Main[[#This Row],[Comments]]),"")</f>
        <v/>
      </c>
      <c r="B138" s="60" t="s">
        <v>2043</v>
      </c>
      <c r="C138" s="72" t="s">
        <v>692</v>
      </c>
      <c r="D138" s="59" t="s">
        <v>2044</v>
      </c>
      <c r="E138" s="85"/>
      <c r="F138" s="85"/>
      <c r="G138" s="64" t="str">
        <f>IF(stdProdLT(Main[[#This Row],[Comments]])=0.1,"N/A",IF(stdProdLT(Main[[#This Row],[Comments]])=0,"",TRIM(stdProdLT(Main[[#This Row],[Comments]]))))</f>
        <v/>
      </c>
      <c r="H138" s="94" t="str">
        <f>IF(OR(Main[[#This Row],[Std. Prod. Lead Time]]="N/A",Main[[#This Row],[Std. Prod. Lead Time]]=""), "",IF(AND(Main[[#This Row],[In Stock Date]]&lt;&gt;"",Main[[#This Row],[Revised Due Date]]&lt;&gt;"",Main[[#This Row],[In Stock Date]]&lt;&gt;""),Main[[#This Row],[In Stock Date]]-Main[[#This Row],[Revised Due Date]],""))</f>
        <v/>
      </c>
      <c r="I138" s="101" t="s">
        <v>4</v>
      </c>
      <c r="J138" s="95" t="s">
        <v>4</v>
      </c>
      <c r="K138" s="95" t="s">
        <v>4</v>
      </c>
      <c r="L138" s="85"/>
      <c r="M138" s="73" t="str">
        <f>IF(Main[[#This Row],[Tech Start Date]]&lt;1/1/1990,"",IF(Main[[#This Row],[Class]]="C",WORKDAY(Main[[#This Row],[Tech Start Date]],9),IF(Main[[#This Row],[Class]]="B", WORKDAY(Main[[#This Row],[Tech Start Date]],6),IF(Main[[#This Row],[Class]]="A",WORKDAY(Main[[#This Row],[Tech Start Date]],2),""))))</f>
        <v/>
      </c>
      <c r="N138" s="73" t="str">
        <f>IF(Main[[#This Row],[Tech Start Date]]&lt;1/1/1990,"",IF(Main[[#This Row],[Class]]="C",WORKDAY(Main[[#This Row],[Tech Start Date]],19),IF(Main[[#This Row],[Class]]="B", WORKDAY(Main[[#This Row],[Tech Start Date]],12),IF(Main[[#This Row],[Class]]="A",WORKDAY(Main[[#This Row],[Tech Start Date]],4),""))))</f>
        <v/>
      </c>
      <c r="O138" s="73" t="str">
        <f>IF(Main[[#This Row],[Tech Start Date]]&lt;1/1/1990,"",IF(Main[[#This Row],[Class]]="C",WORKDAY(Main[[#This Row],[Tech Start Date]],23),IF(Main[[#This Row],[Class]]="B", WORKDAY(Main[[#This Row],[Tech Start Date]],15),IF(Main[[#This Row],[Class]]="A",WORKDAY(Main[[#This Row],[Tech Start Date]],5),""))))</f>
        <v/>
      </c>
      <c r="P138" s="73" t="str">
        <f>IF(Main[[#This Row],[Tech Start Date]]&lt;1/1/1990,"",IF(Main[[#This Row],[Class]]="C",WORKDAY(Main[[#This Row],[Tech Start Date]],28),IF(Main[[#This Row],[Class]]="B", WORKDAY(Main[[#This Row],[Tech Start Date]],19),IF(Main[[#This Row],[Class]]="A",WORKDAY(Main[[#This Row],[Tech Start Date]],9),""))))</f>
        <v/>
      </c>
      <c r="Q138" s="85">
        <v>40760</v>
      </c>
      <c r="R138" s="112"/>
      <c r="S138" s="95" t="s">
        <v>11</v>
      </c>
      <c r="T138" s="74" t="s">
        <v>4</v>
      </c>
      <c r="U138" s="95" t="s">
        <v>14</v>
      </c>
      <c r="V138" s="95" t="s">
        <v>1912</v>
      </c>
      <c r="W138" s="95" t="s">
        <v>1913</v>
      </c>
      <c r="X138" s="95" t="s">
        <v>2796</v>
      </c>
      <c r="Y138" s="72" t="s">
        <v>4</v>
      </c>
      <c r="Z138" s="72" t="s">
        <v>4</v>
      </c>
      <c r="AA138" s="95" t="s">
        <v>2796</v>
      </c>
      <c r="AB138" s="132"/>
      <c r="AC138" s="132"/>
      <c r="AD138" s="132"/>
      <c r="AE138" s="63"/>
      <c r="AF138" s="63"/>
      <c r="AG138" s="63"/>
    </row>
    <row r="139" spans="1:33" ht="17.2" customHeight="1">
      <c r="A139" s="64" t="str">
        <f>IF(priority(Main[[#This Row],[Comments]])&lt;&gt;0, priority(Main[[#This Row],[Comments]]),"")</f>
        <v/>
      </c>
      <c r="B139" s="60" t="s">
        <v>1031</v>
      </c>
      <c r="C139" s="72" t="s">
        <v>53</v>
      </c>
      <c r="D139" s="59" t="s">
        <v>54</v>
      </c>
      <c r="E139" s="85"/>
      <c r="F139" s="85"/>
      <c r="G139" s="64" t="str">
        <f>IF(stdProdLT(Main[[#This Row],[Comments]])=0.1,"N/A",IF(stdProdLT(Main[[#This Row],[Comments]])=0,"",TRIM(stdProdLT(Main[[#This Row],[Comments]]))))</f>
        <v/>
      </c>
      <c r="H139" s="94" t="str">
        <f>IF(OR(Main[[#This Row],[Std. Prod. Lead Time]]="N/A",Main[[#This Row],[Std. Prod. Lead Time]]=""), "",IF(AND(Main[[#This Row],[In Stock Date]]&lt;&gt;"",Main[[#This Row],[Revised Due Date]]&lt;&gt;"",Main[[#This Row],[In Stock Date]]&lt;&gt;""),Main[[#This Row],[In Stock Date]]-Main[[#This Row],[Revised Due Date]],""))</f>
        <v/>
      </c>
      <c r="I139" s="101" t="s">
        <v>4</v>
      </c>
      <c r="J139" s="95" t="s">
        <v>28</v>
      </c>
      <c r="K139" s="95" t="s">
        <v>1924</v>
      </c>
      <c r="L139" s="85"/>
      <c r="M139" s="73" t="str">
        <f>IF(Main[[#This Row],[Tech Start Date]]&lt;1/1/1990,"",IF(Main[[#This Row],[Class]]="C",WORKDAY(Main[[#This Row],[Tech Start Date]],9),IF(Main[[#This Row],[Class]]="B", WORKDAY(Main[[#This Row],[Tech Start Date]],6),IF(Main[[#This Row],[Class]]="A",WORKDAY(Main[[#This Row],[Tech Start Date]],2),""))))</f>
        <v/>
      </c>
      <c r="N139" s="73" t="str">
        <f>IF(Main[[#This Row],[Tech Start Date]]&lt;1/1/1990,"",IF(Main[[#This Row],[Class]]="C",WORKDAY(Main[[#This Row],[Tech Start Date]],19),IF(Main[[#This Row],[Class]]="B", WORKDAY(Main[[#This Row],[Tech Start Date]],12),IF(Main[[#This Row],[Class]]="A",WORKDAY(Main[[#This Row],[Tech Start Date]],4),""))))</f>
        <v/>
      </c>
      <c r="O139" s="73" t="str">
        <f>IF(Main[[#This Row],[Tech Start Date]]&lt;1/1/1990,"",IF(Main[[#This Row],[Class]]="C",WORKDAY(Main[[#This Row],[Tech Start Date]],23),IF(Main[[#This Row],[Class]]="B", WORKDAY(Main[[#This Row],[Tech Start Date]],15),IF(Main[[#This Row],[Class]]="A",WORKDAY(Main[[#This Row],[Tech Start Date]],5),""))))</f>
        <v/>
      </c>
      <c r="P139" s="73" t="str">
        <f>IF(Main[[#This Row],[Tech Start Date]]&lt;1/1/1990,"",IF(Main[[#This Row],[Class]]="C",WORKDAY(Main[[#This Row],[Tech Start Date]],28),IF(Main[[#This Row],[Class]]="B", WORKDAY(Main[[#This Row],[Tech Start Date]],19),IF(Main[[#This Row],[Class]]="A",WORKDAY(Main[[#This Row],[Tech Start Date]],9),""))))</f>
        <v/>
      </c>
      <c r="Q139" s="85">
        <v>40626</v>
      </c>
      <c r="R139" s="112"/>
      <c r="S139" s="95" t="s">
        <v>11</v>
      </c>
      <c r="T139" s="74" t="s">
        <v>4</v>
      </c>
      <c r="U139" s="95" t="s">
        <v>14</v>
      </c>
      <c r="V139" s="95" t="s">
        <v>1912</v>
      </c>
      <c r="W139" s="95" t="s">
        <v>1913</v>
      </c>
      <c r="X139" s="95" t="s">
        <v>2796</v>
      </c>
      <c r="Y139" s="72" t="s">
        <v>2907</v>
      </c>
      <c r="Z139" s="72" t="s">
        <v>3136</v>
      </c>
      <c r="AA139" s="95" t="s">
        <v>2796</v>
      </c>
      <c r="AB139" s="132"/>
      <c r="AC139" s="132"/>
      <c r="AD139" s="132"/>
      <c r="AE139" s="63"/>
      <c r="AF139" s="63"/>
      <c r="AG139" s="63"/>
    </row>
    <row r="140" spans="1:33" ht="17.2" customHeight="1">
      <c r="A140" s="64" t="str">
        <f>IF(priority(Main[[#This Row],[Comments]])&lt;&gt;0, priority(Main[[#This Row],[Comments]]),"")</f>
        <v/>
      </c>
      <c r="B140" s="60" t="s">
        <v>1032</v>
      </c>
      <c r="C140" s="72" t="s">
        <v>4</v>
      </c>
      <c r="D140" s="59" t="s">
        <v>55</v>
      </c>
      <c r="E140" s="85"/>
      <c r="F140" s="85"/>
      <c r="G140" s="64" t="str">
        <f>IF(stdProdLT(Main[[#This Row],[Comments]])=0.1,"N/A",IF(stdProdLT(Main[[#This Row],[Comments]])=0,"",TRIM(stdProdLT(Main[[#This Row],[Comments]]))))</f>
        <v/>
      </c>
      <c r="H140" s="94" t="str">
        <f>IF(OR(Main[[#This Row],[Std. Prod. Lead Time]]="N/A",Main[[#This Row],[Std. Prod. Lead Time]]=""), "",IF(AND(Main[[#This Row],[In Stock Date]]&lt;&gt;"",Main[[#This Row],[Revised Due Date]]&lt;&gt;"",Main[[#This Row],[In Stock Date]]&lt;&gt;""),Main[[#This Row],[In Stock Date]]-Main[[#This Row],[Revised Due Date]],""))</f>
        <v/>
      </c>
      <c r="I140" s="101" t="s">
        <v>4</v>
      </c>
      <c r="J140" s="95" t="s">
        <v>4</v>
      </c>
      <c r="K140" s="95" t="s">
        <v>4</v>
      </c>
      <c r="L140" s="85"/>
      <c r="M140" s="73" t="str">
        <f>IF(Main[[#This Row],[Tech Start Date]]&lt;1/1/1990,"",IF(Main[[#This Row],[Class]]="C",WORKDAY(Main[[#This Row],[Tech Start Date]],9),IF(Main[[#This Row],[Class]]="B", WORKDAY(Main[[#This Row],[Tech Start Date]],6),IF(Main[[#This Row],[Class]]="A",WORKDAY(Main[[#This Row],[Tech Start Date]],2),""))))</f>
        <v/>
      </c>
      <c r="N140" s="73" t="str">
        <f>IF(Main[[#This Row],[Tech Start Date]]&lt;1/1/1990,"",IF(Main[[#This Row],[Class]]="C",WORKDAY(Main[[#This Row],[Tech Start Date]],19),IF(Main[[#This Row],[Class]]="B", WORKDAY(Main[[#This Row],[Tech Start Date]],12),IF(Main[[#This Row],[Class]]="A",WORKDAY(Main[[#This Row],[Tech Start Date]],4),""))))</f>
        <v/>
      </c>
      <c r="O140" s="73" t="str">
        <f>IF(Main[[#This Row],[Tech Start Date]]&lt;1/1/1990,"",IF(Main[[#This Row],[Class]]="C",WORKDAY(Main[[#This Row],[Tech Start Date]],23),IF(Main[[#This Row],[Class]]="B", WORKDAY(Main[[#This Row],[Tech Start Date]],15),IF(Main[[#This Row],[Class]]="A",WORKDAY(Main[[#This Row],[Tech Start Date]],5),""))))</f>
        <v/>
      </c>
      <c r="P140" s="73" t="str">
        <f>IF(Main[[#This Row],[Tech Start Date]]&lt;1/1/1990,"",IF(Main[[#This Row],[Class]]="C",WORKDAY(Main[[#This Row],[Tech Start Date]],28),IF(Main[[#This Row],[Class]]="B", WORKDAY(Main[[#This Row],[Tech Start Date]],19),IF(Main[[#This Row],[Class]]="A",WORKDAY(Main[[#This Row],[Tech Start Date]],9),""))))</f>
        <v/>
      </c>
      <c r="Q140" s="85"/>
      <c r="R140" s="112"/>
      <c r="S140" s="95" t="s">
        <v>6</v>
      </c>
      <c r="T140" s="74" t="s">
        <v>4</v>
      </c>
      <c r="U140" s="95" t="s">
        <v>14</v>
      </c>
      <c r="V140" s="95" t="s">
        <v>1914</v>
      </c>
      <c r="W140" s="95" t="s">
        <v>1915</v>
      </c>
      <c r="X140" s="95" t="s">
        <v>306</v>
      </c>
      <c r="Y140" s="72" t="s">
        <v>4</v>
      </c>
      <c r="Z140" s="72" t="s">
        <v>4</v>
      </c>
      <c r="AA140" s="95" t="s">
        <v>4</v>
      </c>
      <c r="AB140" s="132"/>
      <c r="AC140" s="132"/>
      <c r="AD140" s="132"/>
      <c r="AE140" s="63"/>
      <c r="AF140" s="63"/>
      <c r="AG140" s="63"/>
    </row>
    <row r="141" spans="1:33" ht="17.2" customHeight="1">
      <c r="A141" s="64" t="str">
        <f>IF(priority(Main[[#This Row],[Comments]])&lt;&gt;0, priority(Main[[#This Row],[Comments]]),"")</f>
        <v/>
      </c>
      <c r="B141" s="60" t="s">
        <v>1033</v>
      </c>
      <c r="C141" s="72" t="s">
        <v>4</v>
      </c>
      <c r="D141" s="59" t="s">
        <v>56</v>
      </c>
      <c r="E141" s="85"/>
      <c r="F141" s="85"/>
      <c r="G141" s="64" t="str">
        <f>IF(stdProdLT(Main[[#This Row],[Comments]])=0.1,"N/A",IF(stdProdLT(Main[[#This Row],[Comments]])=0,"",TRIM(stdProdLT(Main[[#This Row],[Comments]]))))</f>
        <v/>
      </c>
      <c r="H141" s="94" t="str">
        <f>IF(OR(Main[[#This Row],[Std. Prod. Lead Time]]="N/A",Main[[#This Row],[Std. Prod. Lead Time]]=""), "",IF(AND(Main[[#This Row],[In Stock Date]]&lt;&gt;"",Main[[#This Row],[Revised Due Date]]&lt;&gt;"",Main[[#This Row],[In Stock Date]]&lt;&gt;""),Main[[#This Row],[In Stock Date]]-Main[[#This Row],[Revised Due Date]],""))</f>
        <v/>
      </c>
      <c r="I141" s="101" t="s">
        <v>4</v>
      </c>
      <c r="J141" s="95" t="s">
        <v>4</v>
      </c>
      <c r="K141" s="95" t="s">
        <v>4</v>
      </c>
      <c r="L141" s="85"/>
      <c r="M141" s="73" t="str">
        <f>IF(Main[[#This Row],[Tech Start Date]]&lt;1/1/1990,"",IF(Main[[#This Row],[Class]]="C",WORKDAY(Main[[#This Row],[Tech Start Date]],9),IF(Main[[#This Row],[Class]]="B", WORKDAY(Main[[#This Row],[Tech Start Date]],6),IF(Main[[#This Row],[Class]]="A",WORKDAY(Main[[#This Row],[Tech Start Date]],2),""))))</f>
        <v/>
      </c>
      <c r="N141" s="73" t="str">
        <f>IF(Main[[#This Row],[Tech Start Date]]&lt;1/1/1990,"",IF(Main[[#This Row],[Class]]="C",WORKDAY(Main[[#This Row],[Tech Start Date]],19),IF(Main[[#This Row],[Class]]="B", WORKDAY(Main[[#This Row],[Tech Start Date]],12),IF(Main[[#This Row],[Class]]="A",WORKDAY(Main[[#This Row],[Tech Start Date]],4),""))))</f>
        <v/>
      </c>
      <c r="O141" s="73" t="str">
        <f>IF(Main[[#This Row],[Tech Start Date]]&lt;1/1/1990,"",IF(Main[[#This Row],[Class]]="C",WORKDAY(Main[[#This Row],[Tech Start Date]],23),IF(Main[[#This Row],[Class]]="B", WORKDAY(Main[[#This Row],[Tech Start Date]],15),IF(Main[[#This Row],[Class]]="A",WORKDAY(Main[[#This Row],[Tech Start Date]],5),""))))</f>
        <v/>
      </c>
      <c r="P141" s="73" t="str">
        <f>IF(Main[[#This Row],[Tech Start Date]]&lt;1/1/1990,"",IF(Main[[#This Row],[Class]]="C",WORKDAY(Main[[#This Row],[Tech Start Date]],28),IF(Main[[#This Row],[Class]]="B", WORKDAY(Main[[#This Row],[Tech Start Date]],19),IF(Main[[#This Row],[Class]]="A",WORKDAY(Main[[#This Row],[Tech Start Date]],9),""))))</f>
        <v/>
      </c>
      <c r="Q141" s="85"/>
      <c r="R141" s="112"/>
      <c r="S141" s="95" t="s">
        <v>49</v>
      </c>
      <c r="T141" s="74" t="s">
        <v>4</v>
      </c>
      <c r="U141" s="95" t="s">
        <v>14</v>
      </c>
      <c r="V141" s="95" t="s">
        <v>1914</v>
      </c>
      <c r="W141" s="95" t="s">
        <v>1915</v>
      </c>
      <c r="X141" s="95" t="s">
        <v>306</v>
      </c>
      <c r="Y141" s="72" t="s">
        <v>4</v>
      </c>
      <c r="Z141" s="72" t="s">
        <v>4</v>
      </c>
      <c r="AA141" s="95" t="s">
        <v>4</v>
      </c>
      <c r="AB141" s="132"/>
      <c r="AC141" s="132"/>
      <c r="AD141" s="132"/>
      <c r="AE141" s="63"/>
      <c r="AF141" s="63"/>
      <c r="AG141" s="63"/>
    </row>
    <row r="142" spans="1:33" ht="17.2" customHeight="1">
      <c r="A142" s="64" t="str">
        <f>IF(priority(Main[[#This Row],[Comments]])&lt;&gt;0, priority(Main[[#This Row],[Comments]]),"")</f>
        <v/>
      </c>
      <c r="B142" s="60" t="s">
        <v>1034</v>
      </c>
      <c r="C142" s="72" t="s">
        <v>4</v>
      </c>
      <c r="D142" s="59" t="s">
        <v>57</v>
      </c>
      <c r="E142" s="85"/>
      <c r="F142" s="85"/>
      <c r="G142" s="64" t="str">
        <f>IF(stdProdLT(Main[[#This Row],[Comments]])=0.1,"N/A",IF(stdProdLT(Main[[#This Row],[Comments]])=0,"",TRIM(stdProdLT(Main[[#This Row],[Comments]]))))</f>
        <v/>
      </c>
      <c r="H142" s="94" t="str">
        <f>IF(OR(Main[[#This Row],[Std. Prod. Lead Time]]="N/A",Main[[#This Row],[Std. Prod. Lead Time]]=""), "",IF(AND(Main[[#This Row],[In Stock Date]]&lt;&gt;"",Main[[#This Row],[Revised Due Date]]&lt;&gt;"",Main[[#This Row],[In Stock Date]]&lt;&gt;""),Main[[#This Row],[In Stock Date]]-Main[[#This Row],[Revised Due Date]],""))</f>
        <v/>
      </c>
      <c r="I142" s="101" t="s">
        <v>4</v>
      </c>
      <c r="J142" s="95" t="s">
        <v>4</v>
      </c>
      <c r="K142" s="96" t="s">
        <v>4</v>
      </c>
      <c r="L142" s="85"/>
      <c r="M142" s="73" t="str">
        <f>IF(Main[[#This Row],[Tech Start Date]]&lt;1/1/1990,"",IF(Main[[#This Row],[Class]]="C",WORKDAY(Main[[#This Row],[Tech Start Date]],9),IF(Main[[#This Row],[Class]]="B", WORKDAY(Main[[#This Row],[Tech Start Date]],6),IF(Main[[#This Row],[Class]]="A",WORKDAY(Main[[#This Row],[Tech Start Date]],2),""))))</f>
        <v/>
      </c>
      <c r="N142" s="73" t="str">
        <f>IF(Main[[#This Row],[Tech Start Date]]&lt;1/1/1990,"",IF(Main[[#This Row],[Class]]="C",WORKDAY(Main[[#This Row],[Tech Start Date]],19),IF(Main[[#This Row],[Class]]="B", WORKDAY(Main[[#This Row],[Tech Start Date]],12),IF(Main[[#This Row],[Class]]="A",WORKDAY(Main[[#This Row],[Tech Start Date]],4),""))))</f>
        <v/>
      </c>
      <c r="O142" s="73" t="str">
        <f>IF(Main[[#This Row],[Tech Start Date]]&lt;1/1/1990,"",IF(Main[[#This Row],[Class]]="C",WORKDAY(Main[[#This Row],[Tech Start Date]],23),IF(Main[[#This Row],[Class]]="B", WORKDAY(Main[[#This Row],[Tech Start Date]],15),IF(Main[[#This Row],[Class]]="A",WORKDAY(Main[[#This Row],[Tech Start Date]],5),""))))</f>
        <v/>
      </c>
      <c r="P142" s="73" t="str">
        <f>IF(Main[[#This Row],[Tech Start Date]]&lt;1/1/1990,"",IF(Main[[#This Row],[Class]]="C",WORKDAY(Main[[#This Row],[Tech Start Date]],28),IF(Main[[#This Row],[Class]]="B", WORKDAY(Main[[#This Row],[Tech Start Date]],19),IF(Main[[#This Row],[Class]]="A",WORKDAY(Main[[#This Row],[Tech Start Date]],9),""))))</f>
        <v/>
      </c>
      <c r="Q142" s="85"/>
      <c r="R142" s="112"/>
      <c r="S142" s="95" t="s">
        <v>49</v>
      </c>
      <c r="T142" s="74" t="s">
        <v>4</v>
      </c>
      <c r="U142" s="95" t="s">
        <v>14</v>
      </c>
      <c r="V142" s="95" t="s">
        <v>1921</v>
      </c>
      <c r="W142" s="95" t="s">
        <v>1915</v>
      </c>
      <c r="X142" s="95" t="s">
        <v>306</v>
      </c>
      <c r="Y142" s="72" t="s">
        <v>4</v>
      </c>
      <c r="Z142" s="72" t="s">
        <v>4</v>
      </c>
      <c r="AA142" s="95" t="s">
        <v>4</v>
      </c>
      <c r="AB142" s="132"/>
      <c r="AC142" s="132"/>
      <c r="AD142" s="132"/>
      <c r="AE142" s="63"/>
      <c r="AF142" s="63"/>
      <c r="AG142" s="63"/>
    </row>
    <row r="143" spans="1:33" ht="17.2" customHeight="1">
      <c r="A143" s="64" t="str">
        <f>IF(priority(Main[[#This Row],[Comments]])&lt;&gt;0, priority(Main[[#This Row],[Comments]]),"")</f>
        <v/>
      </c>
      <c r="B143" s="60" t="s">
        <v>1035</v>
      </c>
      <c r="C143" s="72" t="s">
        <v>58</v>
      </c>
      <c r="D143" s="59" t="s">
        <v>59</v>
      </c>
      <c r="E143" s="85"/>
      <c r="F143" s="85"/>
      <c r="G143" s="64" t="str">
        <f>IF(stdProdLT(Main[[#This Row],[Comments]])=0.1,"N/A",IF(stdProdLT(Main[[#This Row],[Comments]])=0,"",TRIM(stdProdLT(Main[[#This Row],[Comments]]))))</f>
        <v/>
      </c>
      <c r="H143" s="94" t="str">
        <f>IF(OR(Main[[#This Row],[Std. Prod. Lead Time]]="N/A",Main[[#This Row],[Std. Prod. Lead Time]]=""), "",IF(AND(Main[[#This Row],[In Stock Date]]&lt;&gt;"",Main[[#This Row],[Revised Due Date]]&lt;&gt;"",Main[[#This Row],[In Stock Date]]&lt;&gt;""),Main[[#This Row],[In Stock Date]]-Main[[#This Row],[Revised Due Date]],""))</f>
        <v/>
      </c>
      <c r="I143" s="101" t="s">
        <v>4</v>
      </c>
      <c r="J143" s="95" t="s">
        <v>4</v>
      </c>
      <c r="K143" s="95" t="s">
        <v>4</v>
      </c>
      <c r="L143" s="85"/>
      <c r="M143" s="73" t="str">
        <f>IF(Main[[#This Row],[Tech Start Date]]&lt;1/1/1990,"",IF(Main[[#This Row],[Class]]="C",WORKDAY(Main[[#This Row],[Tech Start Date]],9),IF(Main[[#This Row],[Class]]="B", WORKDAY(Main[[#This Row],[Tech Start Date]],6),IF(Main[[#This Row],[Class]]="A",WORKDAY(Main[[#This Row],[Tech Start Date]],2),""))))</f>
        <v/>
      </c>
      <c r="N143" s="73" t="str">
        <f>IF(Main[[#This Row],[Tech Start Date]]&lt;1/1/1990,"",IF(Main[[#This Row],[Class]]="C",WORKDAY(Main[[#This Row],[Tech Start Date]],19),IF(Main[[#This Row],[Class]]="B", WORKDAY(Main[[#This Row],[Tech Start Date]],12),IF(Main[[#This Row],[Class]]="A",WORKDAY(Main[[#This Row],[Tech Start Date]],4),""))))</f>
        <v/>
      </c>
      <c r="O143" s="73" t="str">
        <f>IF(Main[[#This Row],[Tech Start Date]]&lt;1/1/1990,"",IF(Main[[#This Row],[Class]]="C",WORKDAY(Main[[#This Row],[Tech Start Date]],23),IF(Main[[#This Row],[Class]]="B", WORKDAY(Main[[#This Row],[Tech Start Date]],15),IF(Main[[#This Row],[Class]]="A",WORKDAY(Main[[#This Row],[Tech Start Date]],5),""))))</f>
        <v/>
      </c>
      <c r="P143" s="73" t="str">
        <f>IF(Main[[#This Row],[Tech Start Date]]&lt;1/1/1990,"",IF(Main[[#This Row],[Class]]="C",WORKDAY(Main[[#This Row],[Tech Start Date]],28),IF(Main[[#This Row],[Class]]="B", WORKDAY(Main[[#This Row],[Tech Start Date]],19),IF(Main[[#This Row],[Class]]="A",WORKDAY(Main[[#This Row],[Tech Start Date]],9),""))))</f>
        <v/>
      </c>
      <c r="Q143" s="85"/>
      <c r="R143" s="112"/>
      <c r="S143" s="95" t="s">
        <v>11</v>
      </c>
      <c r="T143" s="74" t="s">
        <v>4</v>
      </c>
      <c r="U143" s="95" t="s">
        <v>14</v>
      </c>
      <c r="V143" s="95" t="s">
        <v>1912</v>
      </c>
      <c r="W143" s="95" t="s">
        <v>1916</v>
      </c>
      <c r="X143" s="95" t="s">
        <v>2800</v>
      </c>
      <c r="Y143" s="72" t="s">
        <v>2912</v>
      </c>
      <c r="Z143" s="72" t="s">
        <v>4</v>
      </c>
      <c r="AA143" s="95" t="s">
        <v>3341</v>
      </c>
      <c r="AB143" s="132"/>
      <c r="AC143" s="132"/>
      <c r="AD143" s="132"/>
      <c r="AE143" s="63"/>
      <c r="AF143" s="63"/>
      <c r="AG143" s="63"/>
    </row>
    <row r="144" spans="1:33" ht="17.2" customHeight="1">
      <c r="A144" s="64" t="str">
        <f>IF(priority(Main[[#This Row],[Comments]])&lt;&gt;0, priority(Main[[#This Row],[Comments]]),"")</f>
        <v/>
      </c>
      <c r="B144" s="60" t="s">
        <v>1036</v>
      </c>
      <c r="C144" s="72" t="s">
        <v>4</v>
      </c>
      <c r="D144" s="59" t="s">
        <v>60</v>
      </c>
      <c r="E144" s="85"/>
      <c r="F144" s="85"/>
      <c r="G144" s="64" t="str">
        <f>IF(stdProdLT(Main[[#This Row],[Comments]])=0.1,"N/A",IF(stdProdLT(Main[[#This Row],[Comments]])=0,"",TRIM(stdProdLT(Main[[#This Row],[Comments]]))))</f>
        <v/>
      </c>
      <c r="H144" s="94" t="str">
        <f>IF(OR(Main[[#This Row],[Std. Prod. Lead Time]]="N/A",Main[[#This Row],[Std. Prod. Lead Time]]=""), "",IF(AND(Main[[#This Row],[In Stock Date]]&lt;&gt;"",Main[[#This Row],[Revised Due Date]]&lt;&gt;"",Main[[#This Row],[In Stock Date]]&lt;&gt;""),Main[[#This Row],[In Stock Date]]-Main[[#This Row],[Revised Due Date]],""))</f>
        <v/>
      </c>
      <c r="I144" s="101" t="s">
        <v>4</v>
      </c>
      <c r="J144" s="95" t="s">
        <v>4</v>
      </c>
      <c r="K144" s="95" t="s">
        <v>4</v>
      </c>
      <c r="L144" s="85"/>
      <c r="M144" s="73" t="str">
        <f>IF(Main[[#This Row],[Tech Start Date]]&lt;1/1/1990,"",IF(Main[[#This Row],[Class]]="C",WORKDAY(Main[[#This Row],[Tech Start Date]],9),IF(Main[[#This Row],[Class]]="B", WORKDAY(Main[[#This Row],[Tech Start Date]],6),IF(Main[[#This Row],[Class]]="A",WORKDAY(Main[[#This Row],[Tech Start Date]],2),""))))</f>
        <v/>
      </c>
      <c r="N144" s="73" t="str">
        <f>IF(Main[[#This Row],[Tech Start Date]]&lt;1/1/1990,"",IF(Main[[#This Row],[Class]]="C",WORKDAY(Main[[#This Row],[Tech Start Date]],19),IF(Main[[#This Row],[Class]]="B", WORKDAY(Main[[#This Row],[Tech Start Date]],12),IF(Main[[#This Row],[Class]]="A",WORKDAY(Main[[#This Row],[Tech Start Date]],4),""))))</f>
        <v/>
      </c>
      <c r="O144" s="73" t="str">
        <f>IF(Main[[#This Row],[Tech Start Date]]&lt;1/1/1990,"",IF(Main[[#This Row],[Class]]="C",WORKDAY(Main[[#This Row],[Tech Start Date]],23),IF(Main[[#This Row],[Class]]="B", WORKDAY(Main[[#This Row],[Tech Start Date]],15),IF(Main[[#This Row],[Class]]="A",WORKDAY(Main[[#This Row],[Tech Start Date]],5),""))))</f>
        <v/>
      </c>
      <c r="P144" s="73" t="str">
        <f>IF(Main[[#This Row],[Tech Start Date]]&lt;1/1/1990,"",IF(Main[[#This Row],[Class]]="C",WORKDAY(Main[[#This Row],[Tech Start Date]],28),IF(Main[[#This Row],[Class]]="B", WORKDAY(Main[[#This Row],[Tech Start Date]],19),IF(Main[[#This Row],[Class]]="A",WORKDAY(Main[[#This Row],[Tech Start Date]],9),""))))</f>
        <v/>
      </c>
      <c r="Q144" s="85"/>
      <c r="R144" s="112"/>
      <c r="S144" s="95" t="s">
        <v>49</v>
      </c>
      <c r="T144" s="74" t="s">
        <v>4</v>
      </c>
      <c r="U144" s="95" t="s">
        <v>14</v>
      </c>
      <c r="V144" s="95" t="s">
        <v>1912</v>
      </c>
      <c r="W144" s="95" t="s">
        <v>1915</v>
      </c>
      <c r="X144" s="95" t="s">
        <v>306</v>
      </c>
      <c r="Y144" s="72" t="s">
        <v>4</v>
      </c>
      <c r="Z144" s="72" t="s">
        <v>4</v>
      </c>
      <c r="AA144" s="95" t="s">
        <v>4</v>
      </c>
      <c r="AB144" s="132"/>
      <c r="AC144" s="132"/>
      <c r="AD144" s="132"/>
      <c r="AE144" s="63"/>
      <c r="AF144" s="63"/>
      <c r="AG144" s="63"/>
    </row>
    <row r="145" spans="1:33" ht="17.2" customHeight="1">
      <c r="A145" s="64" t="str">
        <f>IF(priority(Main[[#This Row],[Comments]])&lt;&gt;0, priority(Main[[#This Row],[Comments]]),"")</f>
        <v/>
      </c>
      <c r="B145" s="60" t="s">
        <v>2316</v>
      </c>
      <c r="C145" s="72" t="s">
        <v>4</v>
      </c>
      <c r="D145" s="59" t="s">
        <v>2317</v>
      </c>
      <c r="E145" s="85">
        <v>40841.712557870371</v>
      </c>
      <c r="F145" s="85"/>
      <c r="G145" s="64" t="str">
        <f>IF(stdProdLT(Main[[#This Row],[Comments]])=0.1,"N/A",IF(stdProdLT(Main[[#This Row],[Comments]])=0,"",TRIM(stdProdLT(Main[[#This Row],[Comments]]))))</f>
        <v/>
      </c>
      <c r="H145" s="94" t="str">
        <f>IF(OR(Main[[#This Row],[Std. Prod. Lead Time]]="N/A",Main[[#This Row],[Std. Prod. Lead Time]]=""), "",IF(AND(Main[[#This Row],[In Stock Date]]&lt;&gt;"",Main[[#This Row],[Revised Due Date]]&lt;&gt;"",Main[[#This Row],[In Stock Date]]&lt;&gt;""),Main[[#This Row],[In Stock Date]]-Main[[#This Row],[Revised Due Date]],""))</f>
        <v/>
      </c>
      <c r="I145" s="101" t="s">
        <v>912</v>
      </c>
      <c r="J145" s="95" t="s">
        <v>52</v>
      </c>
      <c r="K145" s="95" t="s">
        <v>4</v>
      </c>
      <c r="L145" s="85"/>
      <c r="M145" s="73" t="str">
        <f>IF(Main[[#This Row],[Tech Start Date]]&lt;1/1/1990,"",IF(Main[[#This Row],[Class]]="C",WORKDAY(Main[[#This Row],[Tech Start Date]],9),IF(Main[[#This Row],[Class]]="B", WORKDAY(Main[[#This Row],[Tech Start Date]],6),IF(Main[[#This Row],[Class]]="A",WORKDAY(Main[[#This Row],[Tech Start Date]],2),""))))</f>
        <v/>
      </c>
      <c r="N145" s="73" t="str">
        <f>IF(Main[[#This Row],[Tech Start Date]]&lt;1/1/1990,"",IF(Main[[#This Row],[Class]]="C",WORKDAY(Main[[#This Row],[Tech Start Date]],19),IF(Main[[#This Row],[Class]]="B", WORKDAY(Main[[#This Row],[Tech Start Date]],12),IF(Main[[#This Row],[Class]]="A",WORKDAY(Main[[#This Row],[Tech Start Date]],4),""))))</f>
        <v/>
      </c>
      <c r="O145" s="73" t="str">
        <f>IF(Main[[#This Row],[Tech Start Date]]&lt;1/1/1990,"",IF(Main[[#This Row],[Class]]="C",WORKDAY(Main[[#This Row],[Tech Start Date]],23),IF(Main[[#This Row],[Class]]="B", WORKDAY(Main[[#This Row],[Tech Start Date]],15),IF(Main[[#This Row],[Class]]="A",WORKDAY(Main[[#This Row],[Tech Start Date]],5),""))))</f>
        <v/>
      </c>
      <c r="P145" s="73" t="str">
        <f>IF(Main[[#This Row],[Tech Start Date]]&lt;1/1/1990,"",IF(Main[[#This Row],[Class]]="C",WORKDAY(Main[[#This Row],[Tech Start Date]],28),IF(Main[[#This Row],[Class]]="B", WORKDAY(Main[[#This Row],[Tech Start Date]],19),IF(Main[[#This Row],[Class]]="A",WORKDAY(Main[[#This Row],[Tech Start Date]],9),""))))</f>
        <v/>
      </c>
      <c r="Q145" s="85">
        <v>40856</v>
      </c>
      <c r="R145" s="112"/>
      <c r="S145" s="95" t="s">
        <v>6</v>
      </c>
      <c r="T145" s="74" t="s">
        <v>4</v>
      </c>
      <c r="U145" s="95" t="s">
        <v>29</v>
      </c>
      <c r="V145" s="95" t="s">
        <v>1911</v>
      </c>
      <c r="W145" s="95" t="s">
        <v>1919</v>
      </c>
      <c r="X145" s="95" t="s">
        <v>2801</v>
      </c>
      <c r="Y145" s="72" t="s">
        <v>2914</v>
      </c>
      <c r="Z145" s="72" t="s">
        <v>129</v>
      </c>
      <c r="AA145" s="95" t="s">
        <v>2801</v>
      </c>
      <c r="AB145" s="132"/>
      <c r="AC145" s="132"/>
      <c r="AD145" s="132"/>
      <c r="AE145" s="63"/>
      <c r="AF145" s="63"/>
      <c r="AG145" s="63"/>
    </row>
    <row r="146" spans="1:33" ht="17.2" customHeight="1">
      <c r="A146" s="64" t="str">
        <f>IF(priority(Main[[#This Row],[Comments]])&lt;&gt;0, priority(Main[[#This Row],[Comments]]),"")</f>
        <v/>
      </c>
      <c r="B146" s="60" t="s">
        <v>1038</v>
      </c>
      <c r="C146" s="72" t="s">
        <v>4</v>
      </c>
      <c r="D146" s="59" t="s">
        <v>61</v>
      </c>
      <c r="E146" s="85"/>
      <c r="F146" s="85"/>
      <c r="G146" s="64" t="str">
        <f>IF(stdProdLT(Main[[#This Row],[Comments]])=0.1,"N/A",IF(stdProdLT(Main[[#This Row],[Comments]])=0,"",TRIM(stdProdLT(Main[[#This Row],[Comments]]))))</f>
        <v/>
      </c>
      <c r="H146" s="94" t="str">
        <f>IF(OR(Main[[#This Row],[Std. Prod. Lead Time]]="N/A",Main[[#This Row],[Std. Prod. Lead Time]]=""), "",IF(AND(Main[[#This Row],[In Stock Date]]&lt;&gt;"",Main[[#This Row],[Revised Due Date]]&lt;&gt;"",Main[[#This Row],[In Stock Date]]&lt;&gt;""),Main[[#This Row],[In Stock Date]]-Main[[#This Row],[Revised Due Date]],""))</f>
        <v/>
      </c>
      <c r="I146" s="101" t="s">
        <v>4</v>
      </c>
      <c r="J146" s="95" t="s">
        <v>4</v>
      </c>
      <c r="K146" s="96" t="s">
        <v>4</v>
      </c>
      <c r="L146" s="85"/>
      <c r="M146" s="73" t="str">
        <f>IF(Main[[#This Row],[Tech Start Date]]&lt;1/1/1990,"",IF(Main[[#This Row],[Class]]="C",WORKDAY(Main[[#This Row],[Tech Start Date]],9),IF(Main[[#This Row],[Class]]="B", WORKDAY(Main[[#This Row],[Tech Start Date]],6),IF(Main[[#This Row],[Class]]="A",WORKDAY(Main[[#This Row],[Tech Start Date]],2),""))))</f>
        <v/>
      </c>
      <c r="N146" s="73" t="str">
        <f>IF(Main[[#This Row],[Tech Start Date]]&lt;1/1/1990,"",IF(Main[[#This Row],[Class]]="C",WORKDAY(Main[[#This Row],[Tech Start Date]],19),IF(Main[[#This Row],[Class]]="B", WORKDAY(Main[[#This Row],[Tech Start Date]],12),IF(Main[[#This Row],[Class]]="A",WORKDAY(Main[[#This Row],[Tech Start Date]],4),""))))</f>
        <v/>
      </c>
      <c r="O146" s="73" t="str">
        <f>IF(Main[[#This Row],[Tech Start Date]]&lt;1/1/1990,"",IF(Main[[#This Row],[Class]]="C",WORKDAY(Main[[#This Row],[Tech Start Date]],23),IF(Main[[#This Row],[Class]]="B", WORKDAY(Main[[#This Row],[Tech Start Date]],15),IF(Main[[#This Row],[Class]]="A",WORKDAY(Main[[#This Row],[Tech Start Date]],5),""))))</f>
        <v/>
      </c>
      <c r="P146" s="73" t="str">
        <f>IF(Main[[#This Row],[Tech Start Date]]&lt;1/1/1990,"",IF(Main[[#This Row],[Class]]="C",WORKDAY(Main[[#This Row],[Tech Start Date]],28),IF(Main[[#This Row],[Class]]="B", WORKDAY(Main[[#This Row],[Tech Start Date]],19),IF(Main[[#This Row],[Class]]="A",WORKDAY(Main[[#This Row],[Tech Start Date]],9),""))))</f>
        <v/>
      </c>
      <c r="Q146" s="85">
        <v>40564</v>
      </c>
      <c r="R146" s="112"/>
      <c r="S146" s="95" t="s">
        <v>23</v>
      </c>
      <c r="T146" s="74" t="s">
        <v>4</v>
      </c>
      <c r="U146" s="95" t="s">
        <v>12</v>
      </c>
      <c r="V146" s="95" t="s">
        <v>1914</v>
      </c>
      <c r="W146" s="95" t="s">
        <v>1915</v>
      </c>
      <c r="X146" s="95" t="s">
        <v>417</v>
      </c>
      <c r="Y146" s="72" t="s">
        <v>2915</v>
      </c>
      <c r="Z146" s="72" t="s">
        <v>4</v>
      </c>
      <c r="AA146" s="95" t="s">
        <v>3342</v>
      </c>
      <c r="AB146" s="132"/>
      <c r="AC146" s="132"/>
      <c r="AD146" s="132"/>
      <c r="AE146" s="63"/>
      <c r="AF146" s="63"/>
      <c r="AG146" s="63"/>
    </row>
    <row r="147" spans="1:33" ht="17.2" customHeight="1">
      <c r="A147" s="64" t="str">
        <f>IF(priority(Main[[#This Row],[Comments]])&lt;&gt;0, priority(Main[[#This Row],[Comments]]),"")</f>
        <v/>
      </c>
      <c r="B147" s="60" t="s">
        <v>1012</v>
      </c>
      <c r="C147" s="72" t="s">
        <v>4</v>
      </c>
      <c r="D147" s="59" t="s">
        <v>18</v>
      </c>
      <c r="E147" s="85"/>
      <c r="F147" s="85"/>
      <c r="G147" s="64" t="str">
        <f>IF(stdProdLT(Main[[#This Row],[Comments]])=0.1,"N/A",IF(stdProdLT(Main[[#This Row],[Comments]])=0,"",TRIM(stdProdLT(Main[[#This Row],[Comments]]))))</f>
        <v/>
      </c>
      <c r="H147" s="94" t="str">
        <f>IF(OR(Main[[#This Row],[Std. Prod. Lead Time]]="N/A",Main[[#This Row],[Std. Prod. Lead Time]]=""), "",IF(AND(Main[[#This Row],[In Stock Date]]&lt;&gt;"",Main[[#This Row],[Revised Due Date]]&lt;&gt;"",Main[[#This Row],[In Stock Date]]&lt;&gt;""),Main[[#This Row],[In Stock Date]]-Main[[#This Row],[Revised Due Date]],""))</f>
        <v/>
      </c>
      <c r="I147" s="101" t="s">
        <v>4</v>
      </c>
      <c r="J147" s="95" t="s">
        <v>4</v>
      </c>
      <c r="K147" s="95" t="s">
        <v>4</v>
      </c>
      <c r="L147" s="85"/>
      <c r="M147" s="73" t="str">
        <f>IF(Main[[#This Row],[Tech Start Date]]&lt;1/1/1990,"",IF(Main[[#This Row],[Class]]="C",WORKDAY(Main[[#This Row],[Tech Start Date]],9),IF(Main[[#This Row],[Class]]="B", WORKDAY(Main[[#This Row],[Tech Start Date]],6),IF(Main[[#This Row],[Class]]="A",WORKDAY(Main[[#This Row],[Tech Start Date]],2),""))))</f>
        <v/>
      </c>
      <c r="N147" s="73" t="str">
        <f>IF(Main[[#This Row],[Tech Start Date]]&lt;1/1/1990,"",IF(Main[[#This Row],[Class]]="C",WORKDAY(Main[[#This Row],[Tech Start Date]],19),IF(Main[[#This Row],[Class]]="B", WORKDAY(Main[[#This Row],[Tech Start Date]],12),IF(Main[[#This Row],[Class]]="A",WORKDAY(Main[[#This Row],[Tech Start Date]],4),""))))</f>
        <v/>
      </c>
      <c r="O147" s="73" t="str">
        <f>IF(Main[[#This Row],[Tech Start Date]]&lt;1/1/1990,"",IF(Main[[#This Row],[Class]]="C",WORKDAY(Main[[#This Row],[Tech Start Date]],23),IF(Main[[#This Row],[Class]]="B", WORKDAY(Main[[#This Row],[Tech Start Date]],15),IF(Main[[#This Row],[Class]]="A",WORKDAY(Main[[#This Row],[Tech Start Date]],5),""))))</f>
        <v/>
      </c>
      <c r="P147" s="73" t="str">
        <f>IF(Main[[#This Row],[Tech Start Date]]&lt;1/1/1990,"",IF(Main[[#This Row],[Class]]="C",WORKDAY(Main[[#This Row],[Tech Start Date]],28),IF(Main[[#This Row],[Class]]="B", WORKDAY(Main[[#This Row],[Tech Start Date]],19),IF(Main[[#This Row],[Class]]="A",WORKDAY(Main[[#This Row],[Tech Start Date]],9),""))))</f>
        <v/>
      </c>
      <c r="Q147" s="85">
        <v>40585</v>
      </c>
      <c r="R147" s="112"/>
      <c r="S147" s="95" t="s">
        <v>11</v>
      </c>
      <c r="T147" s="74" t="s">
        <v>4</v>
      </c>
      <c r="U147" s="95" t="s">
        <v>14</v>
      </c>
      <c r="V147" s="95" t="s">
        <v>1911</v>
      </c>
      <c r="W147" s="95" t="s">
        <v>1916</v>
      </c>
      <c r="X147" s="95" t="s">
        <v>2801</v>
      </c>
      <c r="Y147" s="72" t="s">
        <v>2914</v>
      </c>
      <c r="Z147" s="72" t="s">
        <v>4</v>
      </c>
      <c r="AA147" s="95" t="s">
        <v>2801</v>
      </c>
      <c r="AB147" s="132"/>
      <c r="AC147" s="132"/>
      <c r="AD147" s="132"/>
      <c r="AE147" s="63"/>
      <c r="AF147" s="63"/>
      <c r="AG147" s="63"/>
    </row>
    <row r="148" spans="1:33" ht="17.2" customHeight="1">
      <c r="A148" s="64" t="str">
        <f>IF(priority(Main[[#This Row],[Comments]])&lt;&gt;0, priority(Main[[#This Row],[Comments]]),"")</f>
        <v/>
      </c>
      <c r="B148" s="60" t="s">
        <v>1929</v>
      </c>
      <c r="C148" s="72" t="s">
        <v>19</v>
      </c>
      <c r="D148" s="59" t="s">
        <v>20</v>
      </c>
      <c r="E148" s="85"/>
      <c r="F148" s="85">
        <v>40548</v>
      </c>
      <c r="G148" s="64" t="str">
        <f>IF(stdProdLT(Main[[#This Row],[Comments]])=0.1,"N/A",IF(stdProdLT(Main[[#This Row],[Comments]])=0,"",TRIM(stdProdLT(Main[[#This Row],[Comments]]))))</f>
        <v/>
      </c>
      <c r="H148" s="94" t="str">
        <f>IF(OR(Main[[#This Row],[Std. Prod. Lead Time]]="N/A",Main[[#This Row],[Std. Prod. Lead Time]]=""), "",IF(AND(Main[[#This Row],[In Stock Date]]&lt;&gt;"",Main[[#This Row],[Revised Due Date]]&lt;&gt;"",Main[[#This Row],[In Stock Date]]&lt;&gt;""),Main[[#This Row],[In Stock Date]]-Main[[#This Row],[Revised Due Date]],""))</f>
        <v/>
      </c>
      <c r="I148" s="101" t="s">
        <v>4</v>
      </c>
      <c r="J148" s="95" t="s">
        <v>21</v>
      </c>
      <c r="K148" s="95" t="s">
        <v>4</v>
      </c>
      <c r="L148" s="85"/>
      <c r="M148" s="73" t="str">
        <f>IF(Main[[#This Row],[Tech Start Date]]&lt;1/1/1990,"",IF(Main[[#This Row],[Class]]="C",WORKDAY(Main[[#This Row],[Tech Start Date]],9),IF(Main[[#This Row],[Class]]="B", WORKDAY(Main[[#This Row],[Tech Start Date]],6),IF(Main[[#This Row],[Class]]="A",WORKDAY(Main[[#This Row],[Tech Start Date]],2),""))))</f>
        <v/>
      </c>
      <c r="N148" s="73" t="str">
        <f>IF(Main[[#This Row],[Tech Start Date]]&lt;1/1/1990,"",IF(Main[[#This Row],[Class]]="C",WORKDAY(Main[[#This Row],[Tech Start Date]],19),IF(Main[[#This Row],[Class]]="B", WORKDAY(Main[[#This Row],[Tech Start Date]],12),IF(Main[[#This Row],[Class]]="A",WORKDAY(Main[[#This Row],[Tech Start Date]],4),""))))</f>
        <v/>
      </c>
      <c r="O148" s="73" t="str">
        <f>IF(Main[[#This Row],[Tech Start Date]]&lt;1/1/1990,"",IF(Main[[#This Row],[Class]]="C",WORKDAY(Main[[#This Row],[Tech Start Date]],23),IF(Main[[#This Row],[Class]]="B", WORKDAY(Main[[#This Row],[Tech Start Date]],15),IF(Main[[#This Row],[Class]]="A",WORKDAY(Main[[#This Row],[Tech Start Date]],5),""))))</f>
        <v/>
      </c>
      <c r="P148" s="73" t="str">
        <f>IF(Main[[#This Row],[Tech Start Date]]&lt;1/1/1990,"",IF(Main[[#This Row],[Class]]="C",WORKDAY(Main[[#This Row],[Tech Start Date]],28),IF(Main[[#This Row],[Class]]="B", WORKDAY(Main[[#This Row],[Tech Start Date]],19),IF(Main[[#This Row],[Class]]="A",WORKDAY(Main[[#This Row],[Tech Start Date]],9),""))))</f>
        <v/>
      </c>
      <c r="Q148" s="85">
        <v>40441</v>
      </c>
      <c r="R148" s="112"/>
      <c r="S148" s="95" t="s">
        <v>11</v>
      </c>
      <c r="T148" s="74" t="s">
        <v>4</v>
      </c>
      <c r="U148" s="95" t="s">
        <v>12</v>
      </c>
      <c r="V148" s="95" t="s">
        <v>1914</v>
      </c>
      <c r="W148" s="95" t="s">
        <v>1917</v>
      </c>
      <c r="X148" s="95" t="s">
        <v>81</v>
      </c>
      <c r="Y148" s="72" t="s">
        <v>2917</v>
      </c>
      <c r="Z148" s="72" t="s">
        <v>431</v>
      </c>
      <c r="AA148" s="95" t="s">
        <v>2813</v>
      </c>
      <c r="AB148" s="132"/>
      <c r="AC148" s="132"/>
      <c r="AD148" s="132"/>
      <c r="AE148" s="63"/>
      <c r="AF148" s="63"/>
      <c r="AG148" s="63"/>
    </row>
    <row r="149" spans="1:33" ht="17.2" customHeight="1">
      <c r="A149" s="64" t="str">
        <f>IF(priority(Main[[#This Row],[Comments]])&lt;&gt;0, priority(Main[[#This Row],[Comments]]),"")</f>
        <v/>
      </c>
      <c r="B149" s="60" t="s">
        <v>1013</v>
      </c>
      <c r="C149" s="72" t="s">
        <v>4</v>
      </c>
      <c r="D149" s="59" t="s">
        <v>22</v>
      </c>
      <c r="E149" s="85"/>
      <c r="F149" s="85"/>
      <c r="G149" s="64" t="str">
        <f>IF(stdProdLT(Main[[#This Row],[Comments]])=0.1,"N/A",IF(stdProdLT(Main[[#This Row],[Comments]])=0,"",TRIM(stdProdLT(Main[[#This Row],[Comments]]))))</f>
        <v/>
      </c>
      <c r="H149" s="94" t="str">
        <f>IF(OR(Main[[#This Row],[Std. Prod. Lead Time]]="N/A",Main[[#This Row],[Std. Prod. Lead Time]]=""), "",IF(AND(Main[[#This Row],[In Stock Date]]&lt;&gt;"",Main[[#This Row],[Revised Due Date]]&lt;&gt;"",Main[[#This Row],[In Stock Date]]&lt;&gt;""),Main[[#This Row],[In Stock Date]]-Main[[#This Row],[Revised Due Date]],""))</f>
        <v/>
      </c>
      <c r="I149" s="101" t="s">
        <v>4</v>
      </c>
      <c r="J149" s="95" t="s">
        <v>4</v>
      </c>
      <c r="K149" s="95" t="s">
        <v>4</v>
      </c>
      <c r="L149" s="85"/>
      <c r="M149" s="73" t="str">
        <f>IF(Main[[#This Row],[Tech Start Date]]&lt;1/1/1990,"",IF(Main[[#This Row],[Class]]="C",WORKDAY(Main[[#This Row],[Tech Start Date]],9),IF(Main[[#This Row],[Class]]="B", WORKDAY(Main[[#This Row],[Tech Start Date]],6),IF(Main[[#This Row],[Class]]="A",WORKDAY(Main[[#This Row],[Tech Start Date]],2),""))))</f>
        <v/>
      </c>
      <c r="N149" s="73" t="str">
        <f>IF(Main[[#This Row],[Tech Start Date]]&lt;1/1/1990,"",IF(Main[[#This Row],[Class]]="C",WORKDAY(Main[[#This Row],[Tech Start Date]],19),IF(Main[[#This Row],[Class]]="B", WORKDAY(Main[[#This Row],[Tech Start Date]],12),IF(Main[[#This Row],[Class]]="A",WORKDAY(Main[[#This Row],[Tech Start Date]],4),""))))</f>
        <v/>
      </c>
      <c r="O149" s="73" t="str">
        <f>IF(Main[[#This Row],[Tech Start Date]]&lt;1/1/1990,"",IF(Main[[#This Row],[Class]]="C",WORKDAY(Main[[#This Row],[Tech Start Date]],23),IF(Main[[#This Row],[Class]]="B", WORKDAY(Main[[#This Row],[Tech Start Date]],15),IF(Main[[#This Row],[Class]]="A",WORKDAY(Main[[#This Row],[Tech Start Date]],5),""))))</f>
        <v/>
      </c>
      <c r="P149" s="73" t="str">
        <f>IF(Main[[#This Row],[Tech Start Date]]&lt;1/1/1990,"",IF(Main[[#This Row],[Class]]="C",WORKDAY(Main[[#This Row],[Tech Start Date]],28),IF(Main[[#This Row],[Class]]="B", WORKDAY(Main[[#This Row],[Tech Start Date]],19),IF(Main[[#This Row],[Class]]="A",WORKDAY(Main[[#This Row],[Tech Start Date]],9),""))))</f>
        <v/>
      </c>
      <c r="Q149" s="85"/>
      <c r="R149" s="112"/>
      <c r="S149" s="95" t="s">
        <v>23</v>
      </c>
      <c r="T149" s="74" t="s">
        <v>4</v>
      </c>
      <c r="U149" s="95" t="s">
        <v>14</v>
      </c>
      <c r="V149" s="95" t="s">
        <v>1911</v>
      </c>
      <c r="W149" s="95" t="s">
        <v>1913</v>
      </c>
      <c r="X149" s="95" t="s">
        <v>306</v>
      </c>
      <c r="Y149" s="72" t="s">
        <v>4</v>
      </c>
      <c r="Z149" s="72" t="s">
        <v>4</v>
      </c>
      <c r="AA149" s="95" t="s">
        <v>3333</v>
      </c>
      <c r="AB149" s="132"/>
      <c r="AC149" s="132"/>
      <c r="AD149" s="132"/>
      <c r="AE149" s="63"/>
      <c r="AF149" s="63"/>
      <c r="AG149" s="63"/>
    </row>
    <row r="150" spans="1:33" ht="17.2" customHeight="1">
      <c r="A150" s="64" t="str">
        <f>IF(priority(Main[[#This Row],[Comments]])&lt;&gt;0, priority(Main[[#This Row],[Comments]]),"")</f>
        <v/>
      </c>
      <c r="B150" s="60" t="s">
        <v>1014</v>
      </c>
      <c r="C150" s="72" t="s">
        <v>24</v>
      </c>
      <c r="D150" s="59" t="s">
        <v>25</v>
      </c>
      <c r="E150" s="85"/>
      <c r="F150" s="85"/>
      <c r="G150" s="64" t="str">
        <f>IF(stdProdLT(Main[[#This Row],[Comments]])=0.1,"N/A",IF(stdProdLT(Main[[#This Row],[Comments]])=0,"",TRIM(stdProdLT(Main[[#This Row],[Comments]]))))</f>
        <v/>
      </c>
      <c r="H150" s="94" t="str">
        <f>IF(OR(Main[[#This Row],[Std. Prod. Lead Time]]="N/A",Main[[#This Row],[Std. Prod. Lead Time]]=""), "",IF(AND(Main[[#This Row],[In Stock Date]]&lt;&gt;"",Main[[#This Row],[Revised Due Date]]&lt;&gt;"",Main[[#This Row],[In Stock Date]]&lt;&gt;""),Main[[#This Row],[In Stock Date]]-Main[[#This Row],[Revised Due Date]],""))</f>
        <v/>
      </c>
      <c r="I150" s="101" t="s">
        <v>4</v>
      </c>
      <c r="J150" s="95" t="s">
        <v>4</v>
      </c>
      <c r="K150" s="95" t="s">
        <v>4</v>
      </c>
      <c r="L150" s="85"/>
      <c r="M150" s="73" t="str">
        <f>IF(Main[[#This Row],[Tech Start Date]]&lt;1/1/1990,"",IF(Main[[#This Row],[Class]]="C",WORKDAY(Main[[#This Row],[Tech Start Date]],9),IF(Main[[#This Row],[Class]]="B", WORKDAY(Main[[#This Row],[Tech Start Date]],6),IF(Main[[#This Row],[Class]]="A",WORKDAY(Main[[#This Row],[Tech Start Date]],2),""))))</f>
        <v/>
      </c>
      <c r="N150" s="73" t="str">
        <f>IF(Main[[#This Row],[Tech Start Date]]&lt;1/1/1990,"",IF(Main[[#This Row],[Class]]="C",WORKDAY(Main[[#This Row],[Tech Start Date]],19),IF(Main[[#This Row],[Class]]="B", WORKDAY(Main[[#This Row],[Tech Start Date]],12),IF(Main[[#This Row],[Class]]="A",WORKDAY(Main[[#This Row],[Tech Start Date]],4),""))))</f>
        <v/>
      </c>
      <c r="O150" s="73" t="str">
        <f>IF(Main[[#This Row],[Tech Start Date]]&lt;1/1/1990,"",IF(Main[[#This Row],[Class]]="C",WORKDAY(Main[[#This Row],[Tech Start Date]],23),IF(Main[[#This Row],[Class]]="B", WORKDAY(Main[[#This Row],[Tech Start Date]],15),IF(Main[[#This Row],[Class]]="A",WORKDAY(Main[[#This Row],[Tech Start Date]],5),""))))</f>
        <v/>
      </c>
      <c r="P150" s="73" t="str">
        <f>IF(Main[[#This Row],[Tech Start Date]]&lt;1/1/1990,"",IF(Main[[#This Row],[Class]]="C",WORKDAY(Main[[#This Row],[Tech Start Date]],28),IF(Main[[#This Row],[Class]]="B", WORKDAY(Main[[#This Row],[Tech Start Date]],19),IF(Main[[#This Row],[Class]]="A",WORKDAY(Main[[#This Row],[Tech Start Date]],9),""))))</f>
        <v/>
      </c>
      <c r="Q150" s="85"/>
      <c r="R150" s="112"/>
      <c r="S150" s="95" t="s">
        <v>11</v>
      </c>
      <c r="T150" s="74" t="s">
        <v>4</v>
      </c>
      <c r="U150" s="95" t="s">
        <v>14</v>
      </c>
      <c r="V150" s="95" t="s">
        <v>1912</v>
      </c>
      <c r="W150" s="95" t="s">
        <v>1916</v>
      </c>
      <c r="X150" s="95" t="s">
        <v>306</v>
      </c>
      <c r="Y150" s="72" t="s">
        <v>2919</v>
      </c>
      <c r="Z150" s="72" t="s">
        <v>4</v>
      </c>
      <c r="AA150" s="95" t="s">
        <v>306</v>
      </c>
      <c r="AB150" s="132"/>
      <c r="AC150" s="132"/>
      <c r="AD150" s="132"/>
      <c r="AE150" s="63"/>
      <c r="AF150" s="63"/>
      <c r="AG150" s="63"/>
    </row>
    <row r="151" spans="1:33" ht="17.2" customHeight="1">
      <c r="A151" s="65" t="str">
        <f>IF(priority(Main[[#This Row],[Comments]])&lt;&gt;0, priority(Main[[#This Row],[Comments]]),"")</f>
        <v/>
      </c>
      <c r="B151" s="60" t="s">
        <v>1468</v>
      </c>
      <c r="C151" s="78" t="s">
        <v>4</v>
      </c>
      <c r="D151" s="137" t="s">
        <v>2326</v>
      </c>
      <c r="E151" s="87">
        <v>40431.641157407408</v>
      </c>
      <c r="F151" s="87"/>
      <c r="G151" s="65" t="str">
        <f>IF(stdProdLT(Main[[#This Row],[Comments]])=0.1,"N/A",IF(stdProdLT(Main[[#This Row],[Comments]])=0,"",TRIM(stdProdLT(Main[[#This Row],[Comments]]))))</f>
        <v/>
      </c>
      <c r="H151" s="98" t="str">
        <f>IF(OR(Main[[#This Row],[Std. Prod. Lead Time]]="N/A",Main[[#This Row],[Std. Prod. Lead Time]]=""), "",IF(AND(Main[[#This Row],[In Stock Date]]&lt;&gt;"",Main[[#This Row],[Revised Due Date]]&lt;&gt;"",Main[[#This Row],[In Stock Date]]&lt;&gt;""),Main[[#This Row],[In Stock Date]]-Main[[#This Row],[Revised Due Date]],""))</f>
        <v/>
      </c>
      <c r="I151" s="103" t="s">
        <v>912</v>
      </c>
      <c r="J151" s="99" t="s">
        <v>52</v>
      </c>
      <c r="K151" s="99" t="s">
        <v>4</v>
      </c>
      <c r="L151" s="87"/>
      <c r="M151" s="79" t="str">
        <f>IF(Main[[#This Row],[Tech Start Date]]&lt;1/1/1990,"",IF(Main[[#This Row],[Class]]="C",WORKDAY(Main[[#This Row],[Tech Start Date]],9),IF(Main[[#This Row],[Class]]="B", WORKDAY(Main[[#This Row],[Tech Start Date]],6),IF(Main[[#This Row],[Class]]="A",WORKDAY(Main[[#This Row],[Tech Start Date]],2),""))))</f>
        <v/>
      </c>
      <c r="N151" s="79" t="str">
        <f>IF(Main[[#This Row],[Tech Start Date]]&lt;1/1/1990,"",IF(Main[[#This Row],[Class]]="C",WORKDAY(Main[[#This Row],[Tech Start Date]],19),IF(Main[[#This Row],[Class]]="B", WORKDAY(Main[[#This Row],[Tech Start Date]],12),IF(Main[[#This Row],[Class]]="A",WORKDAY(Main[[#This Row],[Tech Start Date]],4),""))))</f>
        <v/>
      </c>
      <c r="O151" s="79" t="str">
        <f>IF(Main[[#This Row],[Tech Start Date]]&lt;1/1/1990,"",IF(Main[[#This Row],[Class]]="C",WORKDAY(Main[[#This Row],[Tech Start Date]],23),IF(Main[[#This Row],[Class]]="B", WORKDAY(Main[[#This Row],[Tech Start Date]],15),IF(Main[[#This Row],[Class]]="A",WORKDAY(Main[[#This Row],[Tech Start Date]],5),""))))</f>
        <v/>
      </c>
      <c r="P151" s="79" t="str">
        <f>IF(Main[[#This Row],[Tech Start Date]]&lt;1/1/1990,"",IF(Main[[#This Row],[Class]]="C",WORKDAY(Main[[#This Row],[Tech Start Date]],28),IF(Main[[#This Row],[Class]]="B", WORKDAY(Main[[#This Row],[Tech Start Date]],19),IF(Main[[#This Row],[Class]]="A",WORKDAY(Main[[#This Row],[Tech Start Date]],9),""))))</f>
        <v/>
      </c>
      <c r="Q151" s="87">
        <v>40466</v>
      </c>
      <c r="R151" s="114"/>
      <c r="S151" s="99" t="s">
        <v>6</v>
      </c>
      <c r="T151" s="80" t="s">
        <v>4</v>
      </c>
      <c r="U151" s="99" t="s">
        <v>29</v>
      </c>
      <c r="V151" s="99" t="s">
        <v>1911</v>
      </c>
      <c r="W151" s="99" t="s">
        <v>1913</v>
      </c>
      <c r="X151" s="99" t="s">
        <v>2798</v>
      </c>
      <c r="Y151" s="78" t="s">
        <v>2908</v>
      </c>
      <c r="Z151" s="78" t="s">
        <v>129</v>
      </c>
      <c r="AA151" s="99" t="s">
        <v>2798</v>
      </c>
      <c r="AB151" s="132"/>
      <c r="AC151" s="132"/>
      <c r="AD151" s="132"/>
      <c r="AE151" s="63"/>
      <c r="AF151" s="63"/>
      <c r="AG151" s="63"/>
    </row>
    <row r="152" spans="1:33" ht="17.2" customHeight="1">
      <c r="A152" s="64" t="str">
        <f>IF(priority(Main[[#This Row],[Comments]])&lt;&gt;0, priority(Main[[#This Row],[Comments]]),"")</f>
        <v/>
      </c>
      <c r="B152" s="60" t="s">
        <v>2318</v>
      </c>
      <c r="C152" s="72" t="s">
        <v>4</v>
      </c>
      <c r="D152" s="59" t="s">
        <v>2319</v>
      </c>
      <c r="E152" s="85">
        <v>40828.669305555559</v>
      </c>
      <c r="F152" s="85"/>
      <c r="G152" s="64" t="str">
        <f>IF(stdProdLT(Main[[#This Row],[Comments]])=0.1,"N/A",IF(stdProdLT(Main[[#This Row],[Comments]])=0,"",TRIM(stdProdLT(Main[[#This Row],[Comments]]))))</f>
        <v/>
      </c>
      <c r="H152" s="94" t="str">
        <f>IF(OR(Main[[#This Row],[Std. Prod. Lead Time]]="N/A",Main[[#This Row],[Std. Prod. Lead Time]]=""), "",IF(AND(Main[[#This Row],[In Stock Date]]&lt;&gt;"",Main[[#This Row],[Revised Due Date]]&lt;&gt;"",Main[[#This Row],[In Stock Date]]&lt;&gt;""),Main[[#This Row],[In Stock Date]]-Main[[#This Row],[Revised Due Date]],""))</f>
        <v/>
      </c>
      <c r="I152" s="101" t="s">
        <v>4</v>
      </c>
      <c r="J152" s="95" t="s">
        <v>4</v>
      </c>
      <c r="K152" s="95" t="s">
        <v>4</v>
      </c>
      <c r="L152" s="85"/>
      <c r="M152" s="73" t="str">
        <f>IF(Main[[#This Row],[Tech Start Date]]&lt;1/1/1990,"",IF(Main[[#This Row],[Class]]="C",WORKDAY(Main[[#This Row],[Tech Start Date]],9),IF(Main[[#This Row],[Class]]="B", WORKDAY(Main[[#This Row],[Tech Start Date]],6),IF(Main[[#This Row],[Class]]="A",WORKDAY(Main[[#This Row],[Tech Start Date]],2),""))))</f>
        <v/>
      </c>
      <c r="N152" s="73" t="str">
        <f>IF(Main[[#This Row],[Tech Start Date]]&lt;1/1/1990,"",IF(Main[[#This Row],[Class]]="C",WORKDAY(Main[[#This Row],[Tech Start Date]],19),IF(Main[[#This Row],[Class]]="B", WORKDAY(Main[[#This Row],[Tech Start Date]],12),IF(Main[[#This Row],[Class]]="A",WORKDAY(Main[[#This Row],[Tech Start Date]],4),""))))</f>
        <v/>
      </c>
      <c r="O152" s="73" t="str">
        <f>IF(Main[[#This Row],[Tech Start Date]]&lt;1/1/1990,"",IF(Main[[#This Row],[Class]]="C",WORKDAY(Main[[#This Row],[Tech Start Date]],23),IF(Main[[#This Row],[Class]]="B", WORKDAY(Main[[#This Row],[Tech Start Date]],15),IF(Main[[#This Row],[Class]]="A",WORKDAY(Main[[#This Row],[Tech Start Date]],5),""))))</f>
        <v/>
      </c>
      <c r="P152" s="73" t="str">
        <f>IF(Main[[#This Row],[Tech Start Date]]&lt;1/1/1990,"",IF(Main[[#This Row],[Class]]="C",WORKDAY(Main[[#This Row],[Tech Start Date]],28),IF(Main[[#This Row],[Class]]="B", WORKDAY(Main[[#This Row],[Tech Start Date]],19),IF(Main[[#This Row],[Class]]="A",WORKDAY(Main[[#This Row],[Tech Start Date]],9),""))))</f>
        <v/>
      </c>
      <c r="Q152" s="85"/>
      <c r="R152" s="112"/>
      <c r="S152" s="95" t="s">
        <v>6</v>
      </c>
      <c r="T152" s="74" t="s">
        <v>4</v>
      </c>
      <c r="U152" s="95" t="s">
        <v>29</v>
      </c>
      <c r="V152" s="95" t="s">
        <v>1911</v>
      </c>
      <c r="W152" s="95" t="s">
        <v>1915</v>
      </c>
      <c r="X152" s="95" t="s">
        <v>102</v>
      </c>
      <c r="Y152" s="72" t="s">
        <v>2920</v>
      </c>
      <c r="Z152" s="72" t="s">
        <v>4</v>
      </c>
      <c r="AA152" s="95" t="s">
        <v>3334</v>
      </c>
      <c r="AB152" s="132"/>
      <c r="AC152" s="132"/>
      <c r="AD152" s="132"/>
      <c r="AE152" s="63"/>
      <c r="AF152" s="63"/>
      <c r="AG152" s="63"/>
    </row>
    <row r="153" spans="1:33" ht="17.2" customHeight="1">
      <c r="A153" s="64" t="str">
        <f>IF(priority(Main[[#This Row],[Comments]])&lt;&gt;0, priority(Main[[#This Row],[Comments]]),"")</f>
        <v/>
      </c>
      <c r="B153" s="60" t="s">
        <v>1015</v>
      </c>
      <c r="C153" s="72" t="s">
        <v>26</v>
      </c>
      <c r="D153" s="59" t="s">
        <v>27</v>
      </c>
      <c r="E153" s="85"/>
      <c r="F153" s="85">
        <v>40563</v>
      </c>
      <c r="G153" s="64" t="str">
        <f>IF(stdProdLT(Main[[#This Row],[Comments]])=0.1,"N/A",IF(stdProdLT(Main[[#This Row],[Comments]])=0,"",TRIM(stdProdLT(Main[[#This Row],[Comments]]))))</f>
        <v/>
      </c>
      <c r="H153" s="94" t="str">
        <f>IF(OR(Main[[#This Row],[Std. Prod. Lead Time]]="N/A",Main[[#This Row],[Std. Prod. Lead Time]]=""), "",IF(AND(Main[[#This Row],[In Stock Date]]&lt;&gt;"",Main[[#This Row],[Revised Due Date]]&lt;&gt;"",Main[[#This Row],[In Stock Date]]&lt;&gt;""),Main[[#This Row],[In Stock Date]]-Main[[#This Row],[Revised Due Date]],""))</f>
        <v/>
      </c>
      <c r="I153" s="101" t="s">
        <v>4</v>
      </c>
      <c r="J153" s="95" t="s">
        <v>28</v>
      </c>
      <c r="K153" s="95" t="s">
        <v>1918</v>
      </c>
      <c r="L153" s="85"/>
      <c r="M153" s="73" t="str">
        <f>IF(Main[[#This Row],[Tech Start Date]]&lt;1/1/1990,"",IF(Main[[#This Row],[Class]]="C",WORKDAY(Main[[#This Row],[Tech Start Date]],9),IF(Main[[#This Row],[Class]]="B", WORKDAY(Main[[#This Row],[Tech Start Date]],6),IF(Main[[#This Row],[Class]]="A",WORKDAY(Main[[#This Row],[Tech Start Date]],2),""))))</f>
        <v/>
      </c>
      <c r="N153" s="73" t="str">
        <f>IF(Main[[#This Row],[Tech Start Date]]&lt;1/1/1990,"",IF(Main[[#This Row],[Class]]="C",WORKDAY(Main[[#This Row],[Tech Start Date]],19),IF(Main[[#This Row],[Class]]="B", WORKDAY(Main[[#This Row],[Tech Start Date]],12),IF(Main[[#This Row],[Class]]="A",WORKDAY(Main[[#This Row],[Tech Start Date]],4),""))))</f>
        <v/>
      </c>
      <c r="O153" s="73" t="str">
        <f>IF(Main[[#This Row],[Tech Start Date]]&lt;1/1/1990,"",IF(Main[[#This Row],[Class]]="C",WORKDAY(Main[[#This Row],[Tech Start Date]],23),IF(Main[[#This Row],[Class]]="B", WORKDAY(Main[[#This Row],[Tech Start Date]],15),IF(Main[[#This Row],[Class]]="A",WORKDAY(Main[[#This Row],[Tech Start Date]],5),""))))</f>
        <v/>
      </c>
      <c r="P153" s="73" t="str">
        <f>IF(Main[[#This Row],[Tech Start Date]]&lt;1/1/1990,"",IF(Main[[#This Row],[Class]]="C",WORKDAY(Main[[#This Row],[Tech Start Date]],28),IF(Main[[#This Row],[Class]]="B", WORKDAY(Main[[#This Row],[Tech Start Date]],19),IF(Main[[#This Row],[Class]]="A",WORKDAY(Main[[#This Row],[Tech Start Date]],9),""))))</f>
        <v/>
      </c>
      <c r="Q153" s="85">
        <v>40563</v>
      </c>
      <c r="R153" s="112"/>
      <c r="S153" s="95" t="s">
        <v>11</v>
      </c>
      <c r="T153" s="74" t="s">
        <v>4</v>
      </c>
      <c r="U153" s="95" t="s">
        <v>14</v>
      </c>
      <c r="V153" s="95" t="s">
        <v>1912</v>
      </c>
      <c r="W153" s="95" t="s">
        <v>1913</v>
      </c>
      <c r="X153" s="95" t="s">
        <v>2796</v>
      </c>
      <c r="Y153" s="72" t="s">
        <v>2907</v>
      </c>
      <c r="Z153" s="72" t="s">
        <v>3136</v>
      </c>
      <c r="AA153" s="95" t="s">
        <v>2796</v>
      </c>
      <c r="AB153" s="132"/>
      <c r="AC153" s="132"/>
      <c r="AD153" s="132"/>
      <c r="AE153" s="63"/>
      <c r="AF153" s="63"/>
      <c r="AG153" s="63"/>
    </row>
    <row r="154" spans="1:33" ht="17.2" customHeight="1">
      <c r="A154" s="64" t="str">
        <f>IF(priority(Main[[#This Row],[Comments]])&lt;&gt;0, priority(Main[[#This Row],[Comments]]),"")</f>
        <v/>
      </c>
      <c r="B154" s="60" t="s">
        <v>1930</v>
      </c>
      <c r="C154" s="72" t="s">
        <v>4</v>
      </c>
      <c r="D154" s="59" t="s">
        <v>1931</v>
      </c>
      <c r="E154" s="85"/>
      <c r="F154" s="85">
        <v>40309</v>
      </c>
      <c r="G154" s="64" t="str">
        <f>IF(stdProdLT(Main[[#This Row],[Comments]])=0.1,"N/A",IF(stdProdLT(Main[[#This Row],[Comments]])=0,"",TRIM(stdProdLT(Main[[#This Row],[Comments]]))))</f>
        <v/>
      </c>
      <c r="H154" s="94" t="str">
        <f>IF(OR(Main[[#This Row],[Std. Prod. Lead Time]]="N/A",Main[[#This Row],[Std. Prod. Lead Time]]=""), "",IF(AND(Main[[#This Row],[In Stock Date]]&lt;&gt;"",Main[[#This Row],[Revised Due Date]]&lt;&gt;"",Main[[#This Row],[In Stock Date]]&lt;&gt;""),Main[[#This Row],[In Stock Date]]-Main[[#This Row],[Revised Due Date]],""))</f>
        <v/>
      </c>
      <c r="I154" s="101" t="s">
        <v>4</v>
      </c>
      <c r="J154" s="95" t="s">
        <v>4</v>
      </c>
      <c r="K154" s="96" t="s">
        <v>4</v>
      </c>
      <c r="L154" s="85"/>
      <c r="M154" s="73" t="str">
        <f>IF(Main[[#This Row],[Tech Start Date]]&lt;1/1/1990,"",IF(Main[[#This Row],[Class]]="C",WORKDAY(Main[[#This Row],[Tech Start Date]],9),IF(Main[[#This Row],[Class]]="B", WORKDAY(Main[[#This Row],[Tech Start Date]],6),IF(Main[[#This Row],[Class]]="A",WORKDAY(Main[[#This Row],[Tech Start Date]],2),""))))</f>
        <v/>
      </c>
      <c r="N154" s="73" t="str">
        <f>IF(Main[[#This Row],[Tech Start Date]]&lt;1/1/1990,"",IF(Main[[#This Row],[Class]]="C",WORKDAY(Main[[#This Row],[Tech Start Date]],19),IF(Main[[#This Row],[Class]]="B", WORKDAY(Main[[#This Row],[Tech Start Date]],12),IF(Main[[#This Row],[Class]]="A",WORKDAY(Main[[#This Row],[Tech Start Date]],4),""))))</f>
        <v/>
      </c>
      <c r="O154" s="73" t="str">
        <f>IF(Main[[#This Row],[Tech Start Date]]&lt;1/1/1990,"",IF(Main[[#This Row],[Class]]="C",WORKDAY(Main[[#This Row],[Tech Start Date]],23),IF(Main[[#This Row],[Class]]="B", WORKDAY(Main[[#This Row],[Tech Start Date]],15),IF(Main[[#This Row],[Class]]="A",WORKDAY(Main[[#This Row],[Tech Start Date]],5),""))))</f>
        <v/>
      </c>
      <c r="P154" s="73" t="str">
        <f>IF(Main[[#This Row],[Tech Start Date]]&lt;1/1/1990,"",IF(Main[[#This Row],[Class]]="C",WORKDAY(Main[[#This Row],[Tech Start Date]],28),IF(Main[[#This Row],[Class]]="B", WORKDAY(Main[[#This Row],[Tech Start Date]],19),IF(Main[[#This Row],[Class]]="A",WORKDAY(Main[[#This Row],[Tech Start Date]],9),""))))</f>
        <v/>
      </c>
      <c r="Q154" s="85">
        <v>40305</v>
      </c>
      <c r="R154" s="112"/>
      <c r="S154" s="95" t="s">
        <v>6</v>
      </c>
      <c r="T154" s="74" t="s">
        <v>4</v>
      </c>
      <c r="U154" s="95" t="s">
        <v>14</v>
      </c>
      <c r="V154" s="95" t="s">
        <v>1911</v>
      </c>
      <c r="W154" s="95" t="s">
        <v>1919</v>
      </c>
      <c r="X154" s="95" t="s">
        <v>2804</v>
      </c>
      <c r="Y154" s="72" t="s">
        <v>2921</v>
      </c>
      <c r="Z154" s="72" t="s">
        <v>4</v>
      </c>
      <c r="AA154" s="95" t="s">
        <v>2804</v>
      </c>
      <c r="AB154" s="132"/>
      <c r="AC154" s="132"/>
      <c r="AD154" s="132"/>
      <c r="AE154" s="63"/>
      <c r="AF154" s="63"/>
      <c r="AG154" s="63"/>
    </row>
    <row r="155" spans="1:33" ht="17.2" customHeight="1">
      <c r="A155" s="64" t="str">
        <f>IF(priority(Main[[#This Row],[Comments]])&lt;&gt;0, priority(Main[[#This Row],[Comments]]),"")</f>
        <v/>
      </c>
      <c r="B155" s="60" t="s">
        <v>1016</v>
      </c>
      <c r="C155" s="72" t="s">
        <v>4</v>
      </c>
      <c r="D155" s="59" t="s">
        <v>1944</v>
      </c>
      <c r="E155" s="85">
        <v>40130.654374999998</v>
      </c>
      <c r="F155" s="85"/>
      <c r="G155" s="64" t="str">
        <f>IF(stdProdLT(Main[[#This Row],[Comments]])=0.1,"N/A",IF(stdProdLT(Main[[#This Row],[Comments]])=0,"",TRIM(stdProdLT(Main[[#This Row],[Comments]]))))</f>
        <v/>
      </c>
      <c r="H155" s="94" t="str">
        <f>IF(OR(Main[[#This Row],[Std. Prod. Lead Time]]="N/A",Main[[#This Row],[Std. Prod. Lead Time]]=""), "",IF(AND(Main[[#This Row],[In Stock Date]]&lt;&gt;"",Main[[#This Row],[Revised Due Date]]&lt;&gt;"",Main[[#This Row],[In Stock Date]]&lt;&gt;""),Main[[#This Row],[In Stock Date]]-Main[[#This Row],[Revised Due Date]],""))</f>
        <v/>
      </c>
      <c r="I155" s="101" t="s">
        <v>4</v>
      </c>
      <c r="J155" s="95" t="s">
        <v>4</v>
      </c>
      <c r="K155" s="95" t="s">
        <v>4</v>
      </c>
      <c r="L155" s="85"/>
      <c r="M155" s="73" t="str">
        <f>IF(Main[[#This Row],[Tech Start Date]]&lt;1/1/1990,"",IF(Main[[#This Row],[Class]]="C",WORKDAY(Main[[#This Row],[Tech Start Date]],9),IF(Main[[#This Row],[Class]]="B", WORKDAY(Main[[#This Row],[Tech Start Date]],6),IF(Main[[#This Row],[Class]]="A",WORKDAY(Main[[#This Row],[Tech Start Date]],2),""))))</f>
        <v/>
      </c>
      <c r="N155" s="73" t="str">
        <f>IF(Main[[#This Row],[Tech Start Date]]&lt;1/1/1990,"",IF(Main[[#This Row],[Class]]="C",WORKDAY(Main[[#This Row],[Tech Start Date]],19),IF(Main[[#This Row],[Class]]="B", WORKDAY(Main[[#This Row],[Tech Start Date]],12),IF(Main[[#This Row],[Class]]="A",WORKDAY(Main[[#This Row],[Tech Start Date]],4),""))))</f>
        <v/>
      </c>
      <c r="O155" s="73" t="str">
        <f>IF(Main[[#This Row],[Tech Start Date]]&lt;1/1/1990,"",IF(Main[[#This Row],[Class]]="C",WORKDAY(Main[[#This Row],[Tech Start Date]],23),IF(Main[[#This Row],[Class]]="B", WORKDAY(Main[[#This Row],[Tech Start Date]],15),IF(Main[[#This Row],[Class]]="A",WORKDAY(Main[[#This Row],[Tech Start Date]],5),""))))</f>
        <v/>
      </c>
      <c r="P155" s="73" t="str">
        <f>IF(Main[[#This Row],[Tech Start Date]]&lt;1/1/1990,"",IF(Main[[#This Row],[Class]]="C",WORKDAY(Main[[#This Row],[Tech Start Date]],28),IF(Main[[#This Row],[Class]]="B", WORKDAY(Main[[#This Row],[Tech Start Date]],19),IF(Main[[#This Row],[Class]]="A",WORKDAY(Main[[#This Row],[Tech Start Date]],9),""))))</f>
        <v/>
      </c>
      <c r="Q155" s="85"/>
      <c r="R155" s="112"/>
      <c r="S155" s="95" t="s">
        <v>6</v>
      </c>
      <c r="T155" s="74" t="s">
        <v>4</v>
      </c>
      <c r="U155" s="95" t="s">
        <v>29</v>
      </c>
      <c r="V155" s="95" t="s">
        <v>1911</v>
      </c>
      <c r="W155" s="95" t="s">
        <v>1919</v>
      </c>
      <c r="X155" s="95" t="s">
        <v>2800</v>
      </c>
      <c r="Y155" s="72" t="s">
        <v>2922</v>
      </c>
      <c r="Z155" s="72" t="s">
        <v>4</v>
      </c>
      <c r="AA155" s="95" t="s">
        <v>2853</v>
      </c>
      <c r="AB155" s="132"/>
      <c r="AC155" s="132"/>
      <c r="AD155" s="132"/>
      <c r="AE155" s="63"/>
      <c r="AF155" s="63"/>
      <c r="AG155" s="63"/>
    </row>
    <row r="156" spans="1:33" ht="17.2" customHeight="1">
      <c r="A156" s="64" t="str">
        <f>IF(priority(Main[[#This Row],[Comments]])&lt;&gt;0, priority(Main[[#This Row],[Comments]]),"")</f>
        <v/>
      </c>
      <c r="B156" s="60" t="s">
        <v>1018</v>
      </c>
      <c r="C156" s="72" t="s">
        <v>31</v>
      </c>
      <c r="D156" s="59" t="s">
        <v>32</v>
      </c>
      <c r="E156" s="85"/>
      <c r="F156" s="85">
        <v>40634</v>
      </c>
      <c r="G156" s="64" t="str">
        <f>IF(stdProdLT(Main[[#This Row],[Comments]])=0.1,"N/A",IF(stdProdLT(Main[[#This Row],[Comments]])=0,"",TRIM(stdProdLT(Main[[#This Row],[Comments]]))))</f>
        <v/>
      </c>
      <c r="H156" s="94" t="str">
        <f>IF(OR(Main[[#This Row],[Std. Prod. Lead Time]]="N/A",Main[[#This Row],[Std. Prod. Lead Time]]=""), "",IF(AND(Main[[#This Row],[In Stock Date]]&lt;&gt;"",Main[[#This Row],[Revised Due Date]]&lt;&gt;"",Main[[#This Row],[In Stock Date]]&lt;&gt;""),Main[[#This Row],[In Stock Date]]-Main[[#This Row],[Revised Due Date]],""))</f>
        <v/>
      </c>
      <c r="I156" s="101" t="s">
        <v>4</v>
      </c>
      <c r="J156" s="95" t="s">
        <v>4</v>
      </c>
      <c r="K156" s="96" t="s">
        <v>4</v>
      </c>
      <c r="L156" s="85"/>
      <c r="M156" s="73" t="str">
        <f>IF(Main[[#This Row],[Tech Start Date]]&lt;1/1/1990,"",IF(Main[[#This Row],[Class]]="C",WORKDAY(Main[[#This Row],[Tech Start Date]],9),IF(Main[[#This Row],[Class]]="B", WORKDAY(Main[[#This Row],[Tech Start Date]],6),IF(Main[[#This Row],[Class]]="A",WORKDAY(Main[[#This Row],[Tech Start Date]],2),""))))</f>
        <v/>
      </c>
      <c r="N156" s="73" t="str">
        <f>IF(Main[[#This Row],[Tech Start Date]]&lt;1/1/1990,"",IF(Main[[#This Row],[Class]]="C",WORKDAY(Main[[#This Row],[Tech Start Date]],19),IF(Main[[#This Row],[Class]]="B", WORKDAY(Main[[#This Row],[Tech Start Date]],12),IF(Main[[#This Row],[Class]]="A",WORKDAY(Main[[#This Row],[Tech Start Date]],4),""))))</f>
        <v/>
      </c>
      <c r="O156" s="73" t="str">
        <f>IF(Main[[#This Row],[Tech Start Date]]&lt;1/1/1990,"",IF(Main[[#This Row],[Class]]="C",WORKDAY(Main[[#This Row],[Tech Start Date]],23),IF(Main[[#This Row],[Class]]="B", WORKDAY(Main[[#This Row],[Tech Start Date]],15),IF(Main[[#This Row],[Class]]="A",WORKDAY(Main[[#This Row],[Tech Start Date]],5),""))))</f>
        <v/>
      </c>
      <c r="P156" s="73" t="str">
        <f>IF(Main[[#This Row],[Tech Start Date]]&lt;1/1/1990,"",IF(Main[[#This Row],[Class]]="C",WORKDAY(Main[[#This Row],[Tech Start Date]],28),IF(Main[[#This Row],[Class]]="B", WORKDAY(Main[[#This Row],[Tech Start Date]],19),IF(Main[[#This Row],[Class]]="A",WORKDAY(Main[[#This Row],[Tech Start Date]],9),""))))</f>
        <v/>
      </c>
      <c r="Q156" s="85"/>
      <c r="R156" s="112"/>
      <c r="S156" s="95" t="s">
        <v>11</v>
      </c>
      <c r="T156" s="74" t="s">
        <v>4</v>
      </c>
      <c r="U156" s="95" t="s">
        <v>14</v>
      </c>
      <c r="V156" s="95" t="s">
        <v>1914</v>
      </c>
      <c r="W156" s="95" t="s">
        <v>1916</v>
      </c>
      <c r="X156" s="95" t="s">
        <v>2805</v>
      </c>
      <c r="Y156" s="72" t="s">
        <v>2923</v>
      </c>
      <c r="Z156" s="72" t="s">
        <v>4</v>
      </c>
      <c r="AA156" s="95" t="s">
        <v>2825</v>
      </c>
      <c r="AB156" s="132"/>
      <c r="AC156" s="132"/>
      <c r="AD156" s="132"/>
      <c r="AE156" s="63"/>
      <c r="AF156" s="63"/>
      <c r="AG156" s="63"/>
    </row>
    <row r="157" spans="1:33" ht="17.2" customHeight="1">
      <c r="A157" s="64" t="str">
        <f>IF(priority(Main[[#This Row],[Comments]])&lt;&gt;0, priority(Main[[#This Row],[Comments]]),"")</f>
        <v/>
      </c>
      <c r="B157" s="60" t="s">
        <v>1019</v>
      </c>
      <c r="C157" s="72" t="s">
        <v>33</v>
      </c>
      <c r="D157" s="59" t="s">
        <v>34</v>
      </c>
      <c r="E157" s="85"/>
      <c r="F157" s="85">
        <v>40764</v>
      </c>
      <c r="G157" s="64" t="str">
        <f>IF(stdProdLT(Main[[#This Row],[Comments]])=0.1,"N/A",IF(stdProdLT(Main[[#This Row],[Comments]])=0,"",TRIM(stdProdLT(Main[[#This Row],[Comments]]))))</f>
        <v/>
      </c>
      <c r="H157" s="94" t="str">
        <f>IF(OR(Main[[#This Row],[Std. Prod. Lead Time]]="N/A",Main[[#This Row],[Std. Prod. Lead Time]]=""), "",IF(AND(Main[[#This Row],[In Stock Date]]&lt;&gt;"",Main[[#This Row],[Revised Due Date]]&lt;&gt;"",Main[[#This Row],[In Stock Date]]&lt;&gt;""),Main[[#This Row],[In Stock Date]]-Main[[#This Row],[Revised Due Date]],""))</f>
        <v/>
      </c>
      <c r="I157" s="101" t="s">
        <v>4</v>
      </c>
      <c r="J157" s="95" t="s">
        <v>28</v>
      </c>
      <c r="K157" s="95" t="s">
        <v>1918</v>
      </c>
      <c r="L157" s="85"/>
      <c r="M157" s="73" t="str">
        <f>IF(Main[[#This Row],[Tech Start Date]]&lt;1/1/1990,"",IF(Main[[#This Row],[Class]]="C",WORKDAY(Main[[#This Row],[Tech Start Date]],9),IF(Main[[#This Row],[Class]]="B", WORKDAY(Main[[#This Row],[Tech Start Date]],6),IF(Main[[#This Row],[Class]]="A",WORKDAY(Main[[#This Row],[Tech Start Date]],2),""))))</f>
        <v/>
      </c>
      <c r="N157" s="73" t="str">
        <f>IF(Main[[#This Row],[Tech Start Date]]&lt;1/1/1990,"",IF(Main[[#This Row],[Class]]="C",WORKDAY(Main[[#This Row],[Tech Start Date]],19),IF(Main[[#This Row],[Class]]="B", WORKDAY(Main[[#This Row],[Tech Start Date]],12),IF(Main[[#This Row],[Class]]="A",WORKDAY(Main[[#This Row],[Tech Start Date]],4),""))))</f>
        <v/>
      </c>
      <c r="O157" s="73" t="str">
        <f>IF(Main[[#This Row],[Tech Start Date]]&lt;1/1/1990,"",IF(Main[[#This Row],[Class]]="C",WORKDAY(Main[[#This Row],[Tech Start Date]],23),IF(Main[[#This Row],[Class]]="B", WORKDAY(Main[[#This Row],[Tech Start Date]],15),IF(Main[[#This Row],[Class]]="A",WORKDAY(Main[[#This Row],[Tech Start Date]],5),""))))</f>
        <v/>
      </c>
      <c r="P157" s="73" t="str">
        <f>IF(Main[[#This Row],[Tech Start Date]]&lt;1/1/1990,"",IF(Main[[#This Row],[Class]]="C",WORKDAY(Main[[#This Row],[Tech Start Date]],28),IF(Main[[#This Row],[Class]]="B", WORKDAY(Main[[#This Row],[Tech Start Date]],19),IF(Main[[#This Row],[Class]]="A",WORKDAY(Main[[#This Row],[Tech Start Date]],9),""))))</f>
        <v/>
      </c>
      <c r="Q157" s="85">
        <v>40568</v>
      </c>
      <c r="R157" s="112"/>
      <c r="S157" s="95" t="s">
        <v>11</v>
      </c>
      <c r="T157" s="74" t="s">
        <v>4</v>
      </c>
      <c r="U157" s="95" t="s">
        <v>14</v>
      </c>
      <c r="V157" s="95" t="s">
        <v>1911</v>
      </c>
      <c r="W157" s="95" t="s">
        <v>1919</v>
      </c>
      <c r="X157" s="95" t="s">
        <v>2806</v>
      </c>
      <c r="Y157" s="72" t="s">
        <v>2924</v>
      </c>
      <c r="Z157" s="72" t="s">
        <v>129</v>
      </c>
      <c r="AA157" s="95" t="s">
        <v>2806</v>
      </c>
      <c r="AB157" s="132"/>
      <c r="AC157" s="132"/>
      <c r="AD157" s="132"/>
      <c r="AE157" s="63"/>
      <c r="AF157" s="63"/>
      <c r="AG157" s="63"/>
    </row>
    <row r="158" spans="1:33" ht="17.2" customHeight="1">
      <c r="A158" s="64" t="str">
        <f>IF(priority(Main[[#This Row],[Comments]])&lt;&gt;0, priority(Main[[#This Row],[Comments]]),"")</f>
        <v/>
      </c>
      <c r="B158" s="60" t="s">
        <v>1932</v>
      </c>
      <c r="C158" s="72" t="s">
        <v>4</v>
      </c>
      <c r="D158" s="59" t="s">
        <v>35</v>
      </c>
      <c r="E158" s="85"/>
      <c r="F158" s="85"/>
      <c r="G158" s="64" t="str">
        <f>IF(stdProdLT(Main[[#This Row],[Comments]])=0.1,"N/A",IF(stdProdLT(Main[[#This Row],[Comments]])=0,"",TRIM(stdProdLT(Main[[#This Row],[Comments]]))))</f>
        <v/>
      </c>
      <c r="H158" s="94" t="str">
        <f>IF(OR(Main[[#This Row],[Std. Prod. Lead Time]]="N/A",Main[[#This Row],[Std. Prod. Lead Time]]=""), "",IF(AND(Main[[#This Row],[In Stock Date]]&lt;&gt;"",Main[[#This Row],[Revised Due Date]]&lt;&gt;"",Main[[#This Row],[In Stock Date]]&lt;&gt;""),Main[[#This Row],[In Stock Date]]-Main[[#This Row],[Revised Due Date]],""))</f>
        <v/>
      </c>
      <c r="I158" s="101" t="s">
        <v>4</v>
      </c>
      <c r="J158" s="95" t="s">
        <v>4</v>
      </c>
      <c r="K158" s="95" t="s">
        <v>4</v>
      </c>
      <c r="L158" s="85"/>
      <c r="M158" s="73" t="str">
        <f>IF(Main[[#This Row],[Tech Start Date]]&lt;1/1/1990,"",IF(Main[[#This Row],[Class]]="C",WORKDAY(Main[[#This Row],[Tech Start Date]],9),IF(Main[[#This Row],[Class]]="B", WORKDAY(Main[[#This Row],[Tech Start Date]],6),IF(Main[[#This Row],[Class]]="A",WORKDAY(Main[[#This Row],[Tech Start Date]],2),""))))</f>
        <v/>
      </c>
      <c r="N158" s="73" t="str">
        <f>IF(Main[[#This Row],[Tech Start Date]]&lt;1/1/1990,"",IF(Main[[#This Row],[Class]]="C",WORKDAY(Main[[#This Row],[Tech Start Date]],19),IF(Main[[#This Row],[Class]]="B", WORKDAY(Main[[#This Row],[Tech Start Date]],12),IF(Main[[#This Row],[Class]]="A",WORKDAY(Main[[#This Row],[Tech Start Date]],4),""))))</f>
        <v/>
      </c>
      <c r="O158" s="73" t="str">
        <f>IF(Main[[#This Row],[Tech Start Date]]&lt;1/1/1990,"",IF(Main[[#This Row],[Class]]="C",WORKDAY(Main[[#This Row],[Tech Start Date]],23),IF(Main[[#This Row],[Class]]="B", WORKDAY(Main[[#This Row],[Tech Start Date]],15),IF(Main[[#This Row],[Class]]="A",WORKDAY(Main[[#This Row],[Tech Start Date]],5),""))))</f>
        <v/>
      </c>
      <c r="P158" s="73" t="str">
        <f>IF(Main[[#This Row],[Tech Start Date]]&lt;1/1/1990,"",IF(Main[[#This Row],[Class]]="C",WORKDAY(Main[[#This Row],[Tech Start Date]],28),IF(Main[[#This Row],[Class]]="B", WORKDAY(Main[[#This Row],[Tech Start Date]],19),IF(Main[[#This Row],[Class]]="A",WORKDAY(Main[[#This Row],[Tech Start Date]],9),""))))</f>
        <v/>
      </c>
      <c r="Q158" s="85"/>
      <c r="R158" s="112"/>
      <c r="S158" s="95" t="s">
        <v>23</v>
      </c>
      <c r="T158" s="74" t="s">
        <v>4</v>
      </c>
      <c r="U158" s="95" t="s">
        <v>14</v>
      </c>
      <c r="V158" s="95" t="s">
        <v>1921</v>
      </c>
      <c r="W158" s="95" t="s">
        <v>1915</v>
      </c>
      <c r="X158" s="95" t="s">
        <v>399</v>
      </c>
      <c r="Y158" s="72" t="s">
        <v>4</v>
      </c>
      <c r="Z158" s="72" t="s">
        <v>4</v>
      </c>
      <c r="AA158" s="95" t="s">
        <v>3335</v>
      </c>
      <c r="AB158" s="132"/>
      <c r="AC158" s="132"/>
      <c r="AD158" s="132"/>
      <c r="AE158" s="63"/>
      <c r="AF158" s="63"/>
      <c r="AG158" s="63"/>
    </row>
    <row r="159" spans="1:33" ht="17.2" customHeight="1">
      <c r="A159" s="64" t="str">
        <f>IF(priority(Main[[#This Row],[Comments]])&lt;&gt;0, priority(Main[[#This Row],[Comments]]),"")</f>
        <v/>
      </c>
      <c r="B159" s="60" t="s">
        <v>1020</v>
      </c>
      <c r="C159" s="72" t="s">
        <v>4</v>
      </c>
      <c r="D159" s="59" t="s">
        <v>36</v>
      </c>
      <c r="E159" s="85"/>
      <c r="F159" s="85"/>
      <c r="G159" s="64" t="str">
        <f>IF(stdProdLT(Main[[#This Row],[Comments]])=0.1,"N/A",IF(stdProdLT(Main[[#This Row],[Comments]])=0,"",TRIM(stdProdLT(Main[[#This Row],[Comments]]))))</f>
        <v/>
      </c>
      <c r="H159" s="94" t="str">
        <f>IF(OR(Main[[#This Row],[Std. Prod. Lead Time]]="N/A",Main[[#This Row],[Std. Prod. Lead Time]]=""), "",IF(AND(Main[[#This Row],[In Stock Date]]&lt;&gt;"",Main[[#This Row],[Revised Due Date]]&lt;&gt;"",Main[[#This Row],[In Stock Date]]&lt;&gt;""),Main[[#This Row],[In Stock Date]]-Main[[#This Row],[Revised Due Date]],""))</f>
        <v/>
      </c>
      <c r="I159" s="101" t="s">
        <v>4</v>
      </c>
      <c r="J159" s="95" t="s">
        <v>4</v>
      </c>
      <c r="K159" s="95" t="s">
        <v>4</v>
      </c>
      <c r="L159" s="85"/>
      <c r="M159" s="73" t="str">
        <f>IF(Main[[#This Row],[Tech Start Date]]&lt;1/1/1990,"",IF(Main[[#This Row],[Class]]="C",WORKDAY(Main[[#This Row],[Tech Start Date]],9),IF(Main[[#This Row],[Class]]="B", WORKDAY(Main[[#This Row],[Tech Start Date]],6),IF(Main[[#This Row],[Class]]="A",WORKDAY(Main[[#This Row],[Tech Start Date]],2),""))))</f>
        <v/>
      </c>
      <c r="N159" s="73" t="str">
        <f>IF(Main[[#This Row],[Tech Start Date]]&lt;1/1/1990,"",IF(Main[[#This Row],[Class]]="C",WORKDAY(Main[[#This Row],[Tech Start Date]],19),IF(Main[[#This Row],[Class]]="B", WORKDAY(Main[[#This Row],[Tech Start Date]],12),IF(Main[[#This Row],[Class]]="A",WORKDAY(Main[[#This Row],[Tech Start Date]],4),""))))</f>
        <v/>
      </c>
      <c r="O159" s="73" t="str">
        <f>IF(Main[[#This Row],[Tech Start Date]]&lt;1/1/1990,"",IF(Main[[#This Row],[Class]]="C",WORKDAY(Main[[#This Row],[Tech Start Date]],23),IF(Main[[#This Row],[Class]]="B", WORKDAY(Main[[#This Row],[Tech Start Date]],15),IF(Main[[#This Row],[Class]]="A",WORKDAY(Main[[#This Row],[Tech Start Date]],5),""))))</f>
        <v/>
      </c>
      <c r="P159" s="73" t="str">
        <f>IF(Main[[#This Row],[Tech Start Date]]&lt;1/1/1990,"",IF(Main[[#This Row],[Class]]="C",WORKDAY(Main[[#This Row],[Tech Start Date]],28),IF(Main[[#This Row],[Class]]="B", WORKDAY(Main[[#This Row],[Tech Start Date]],19),IF(Main[[#This Row],[Class]]="A",WORKDAY(Main[[#This Row],[Tech Start Date]],9),""))))</f>
        <v/>
      </c>
      <c r="Q159" s="85">
        <v>40781</v>
      </c>
      <c r="R159" s="112"/>
      <c r="S159" s="95" t="s">
        <v>11</v>
      </c>
      <c r="T159" s="74" t="s">
        <v>4</v>
      </c>
      <c r="U159" s="95" t="s">
        <v>14</v>
      </c>
      <c r="V159" s="95" t="s">
        <v>1911</v>
      </c>
      <c r="W159" s="95" t="s">
        <v>1915</v>
      </c>
      <c r="X159" s="95" t="s">
        <v>2801</v>
      </c>
      <c r="Y159" s="72" t="s">
        <v>2914</v>
      </c>
      <c r="Z159" s="72" t="s">
        <v>4</v>
      </c>
      <c r="AA159" s="95" t="s">
        <v>2801</v>
      </c>
      <c r="AB159" s="132"/>
      <c r="AC159" s="132"/>
      <c r="AD159" s="132"/>
      <c r="AE159" s="63"/>
      <c r="AF159" s="63"/>
      <c r="AG159" s="63"/>
    </row>
    <row r="160" spans="1:33" ht="17.2" customHeight="1">
      <c r="A160" s="64" t="str">
        <f>IF(priority(Main[[#This Row],[Comments]])&lt;&gt;0, priority(Main[[#This Row],[Comments]]),"")</f>
        <v/>
      </c>
      <c r="B160" s="60" t="s">
        <v>1021</v>
      </c>
      <c r="C160" s="72" t="s">
        <v>26</v>
      </c>
      <c r="D160" s="59" t="s">
        <v>38</v>
      </c>
      <c r="E160" s="85"/>
      <c r="F160" s="85">
        <v>40743</v>
      </c>
      <c r="G160" s="64" t="str">
        <f>IF(stdProdLT(Main[[#This Row],[Comments]])=0.1,"N/A",IF(stdProdLT(Main[[#This Row],[Comments]])=0,"",TRIM(stdProdLT(Main[[#This Row],[Comments]]))))</f>
        <v/>
      </c>
      <c r="H160" s="94" t="str">
        <f>IF(OR(Main[[#This Row],[Std. Prod. Lead Time]]="N/A",Main[[#This Row],[Std. Prod. Lead Time]]=""), "",IF(AND(Main[[#This Row],[In Stock Date]]&lt;&gt;"",Main[[#This Row],[Revised Due Date]]&lt;&gt;"",Main[[#This Row],[In Stock Date]]&lt;&gt;""),Main[[#This Row],[In Stock Date]]-Main[[#This Row],[Revised Due Date]],""))</f>
        <v/>
      </c>
      <c r="I160" s="101" t="s">
        <v>4</v>
      </c>
      <c r="J160" s="95" t="s">
        <v>28</v>
      </c>
      <c r="K160" s="95" t="s">
        <v>4</v>
      </c>
      <c r="L160" s="85"/>
      <c r="M160" s="73" t="str">
        <f>IF(Main[[#This Row],[Tech Start Date]]&lt;1/1/1990,"",IF(Main[[#This Row],[Class]]="C",WORKDAY(Main[[#This Row],[Tech Start Date]],9),IF(Main[[#This Row],[Class]]="B", WORKDAY(Main[[#This Row],[Tech Start Date]],6),IF(Main[[#This Row],[Class]]="A",WORKDAY(Main[[#This Row],[Tech Start Date]],2),""))))</f>
        <v/>
      </c>
      <c r="N160" s="73" t="str">
        <f>IF(Main[[#This Row],[Tech Start Date]]&lt;1/1/1990,"",IF(Main[[#This Row],[Class]]="C",WORKDAY(Main[[#This Row],[Tech Start Date]],19),IF(Main[[#This Row],[Class]]="B", WORKDAY(Main[[#This Row],[Tech Start Date]],12),IF(Main[[#This Row],[Class]]="A",WORKDAY(Main[[#This Row],[Tech Start Date]],4),""))))</f>
        <v/>
      </c>
      <c r="O160" s="73" t="str">
        <f>IF(Main[[#This Row],[Tech Start Date]]&lt;1/1/1990,"",IF(Main[[#This Row],[Class]]="C",WORKDAY(Main[[#This Row],[Tech Start Date]],23),IF(Main[[#This Row],[Class]]="B", WORKDAY(Main[[#This Row],[Tech Start Date]],15),IF(Main[[#This Row],[Class]]="A",WORKDAY(Main[[#This Row],[Tech Start Date]],5),""))))</f>
        <v/>
      </c>
      <c r="P160" s="73" t="str">
        <f>IF(Main[[#This Row],[Tech Start Date]]&lt;1/1/1990,"",IF(Main[[#This Row],[Class]]="C",WORKDAY(Main[[#This Row],[Tech Start Date]],28),IF(Main[[#This Row],[Class]]="B", WORKDAY(Main[[#This Row],[Tech Start Date]],19),IF(Main[[#This Row],[Class]]="A",WORKDAY(Main[[#This Row],[Tech Start Date]],9),""))))</f>
        <v/>
      </c>
      <c r="Q160" s="85">
        <v>40638</v>
      </c>
      <c r="R160" s="112"/>
      <c r="S160" s="95" t="s">
        <v>11</v>
      </c>
      <c r="T160" s="74" t="s">
        <v>4</v>
      </c>
      <c r="U160" s="95" t="s">
        <v>12</v>
      </c>
      <c r="V160" s="95" t="s">
        <v>1911</v>
      </c>
      <c r="W160" s="95" t="s">
        <v>1919</v>
      </c>
      <c r="X160" s="95" t="s">
        <v>129</v>
      </c>
      <c r="Y160" s="72" t="s">
        <v>4</v>
      </c>
      <c r="Z160" s="72" t="s">
        <v>129</v>
      </c>
      <c r="AA160" s="95" t="s">
        <v>3336</v>
      </c>
      <c r="AB160" s="132"/>
      <c r="AC160" s="132"/>
      <c r="AD160" s="132"/>
      <c r="AE160" s="63"/>
      <c r="AF160" s="63"/>
      <c r="AG160" s="63"/>
    </row>
    <row r="161" spans="1:33" ht="17.2" customHeight="1">
      <c r="A161" s="64" t="str">
        <f>IF(priority(Main[[#This Row],[Comments]])&lt;&gt;0, priority(Main[[#This Row],[Comments]]),"")</f>
        <v/>
      </c>
      <c r="B161" s="60" t="s">
        <v>1022</v>
      </c>
      <c r="C161" s="72" t="s">
        <v>4</v>
      </c>
      <c r="D161" s="59" t="s">
        <v>39</v>
      </c>
      <c r="E161" s="85"/>
      <c r="F161" s="85"/>
      <c r="G161" s="64" t="str">
        <f>IF(stdProdLT(Main[[#This Row],[Comments]])=0.1,"N/A",IF(stdProdLT(Main[[#This Row],[Comments]])=0,"",TRIM(stdProdLT(Main[[#This Row],[Comments]]))))</f>
        <v/>
      </c>
      <c r="H161" s="94" t="str">
        <f>IF(OR(Main[[#This Row],[Std. Prod. Lead Time]]="N/A",Main[[#This Row],[Std. Prod. Lead Time]]=""), "",IF(AND(Main[[#This Row],[In Stock Date]]&lt;&gt;"",Main[[#This Row],[Revised Due Date]]&lt;&gt;"",Main[[#This Row],[In Stock Date]]&lt;&gt;""),Main[[#This Row],[In Stock Date]]-Main[[#This Row],[Revised Due Date]],""))</f>
        <v/>
      </c>
      <c r="I161" s="101" t="s">
        <v>4</v>
      </c>
      <c r="J161" s="95" t="s">
        <v>4</v>
      </c>
      <c r="K161" s="95" t="s">
        <v>4</v>
      </c>
      <c r="L161" s="85"/>
      <c r="M161" s="73" t="str">
        <f>IF(Main[[#This Row],[Tech Start Date]]&lt;1/1/1990,"",IF(Main[[#This Row],[Class]]="C",WORKDAY(Main[[#This Row],[Tech Start Date]],9),IF(Main[[#This Row],[Class]]="B", WORKDAY(Main[[#This Row],[Tech Start Date]],6),IF(Main[[#This Row],[Class]]="A",WORKDAY(Main[[#This Row],[Tech Start Date]],2),""))))</f>
        <v/>
      </c>
      <c r="N161" s="73" t="str">
        <f>IF(Main[[#This Row],[Tech Start Date]]&lt;1/1/1990,"",IF(Main[[#This Row],[Class]]="C",WORKDAY(Main[[#This Row],[Tech Start Date]],19),IF(Main[[#This Row],[Class]]="B", WORKDAY(Main[[#This Row],[Tech Start Date]],12),IF(Main[[#This Row],[Class]]="A",WORKDAY(Main[[#This Row],[Tech Start Date]],4),""))))</f>
        <v/>
      </c>
      <c r="O161" s="73" t="str">
        <f>IF(Main[[#This Row],[Tech Start Date]]&lt;1/1/1990,"",IF(Main[[#This Row],[Class]]="C",WORKDAY(Main[[#This Row],[Tech Start Date]],23),IF(Main[[#This Row],[Class]]="B", WORKDAY(Main[[#This Row],[Tech Start Date]],15),IF(Main[[#This Row],[Class]]="A",WORKDAY(Main[[#This Row],[Tech Start Date]],5),""))))</f>
        <v/>
      </c>
      <c r="P161" s="73" t="str">
        <f>IF(Main[[#This Row],[Tech Start Date]]&lt;1/1/1990,"",IF(Main[[#This Row],[Class]]="C",WORKDAY(Main[[#This Row],[Tech Start Date]],28),IF(Main[[#This Row],[Class]]="B", WORKDAY(Main[[#This Row],[Tech Start Date]],19),IF(Main[[#This Row],[Class]]="A",WORKDAY(Main[[#This Row],[Tech Start Date]],9),""))))</f>
        <v/>
      </c>
      <c r="Q161" s="85">
        <v>40669</v>
      </c>
      <c r="R161" s="112"/>
      <c r="S161" s="95" t="s">
        <v>6</v>
      </c>
      <c r="T161" s="74" t="s">
        <v>4</v>
      </c>
      <c r="U161" s="95" t="s">
        <v>14</v>
      </c>
      <c r="V161" s="95" t="s">
        <v>1914</v>
      </c>
      <c r="W161" s="95" t="s">
        <v>4</v>
      </c>
      <c r="X161" s="95" t="s">
        <v>2798</v>
      </c>
      <c r="Y161" s="72" t="s">
        <v>2908</v>
      </c>
      <c r="Z161" s="72" t="s">
        <v>4</v>
      </c>
      <c r="AA161" s="95" t="s">
        <v>2798</v>
      </c>
      <c r="AB161" s="132"/>
      <c r="AC161" s="132"/>
      <c r="AD161" s="132"/>
      <c r="AE161" s="63"/>
      <c r="AF161" s="63"/>
      <c r="AG161" s="63"/>
    </row>
    <row r="162" spans="1:33" ht="17.2" customHeight="1">
      <c r="A162" s="64" t="str">
        <f>IF(priority(Main[[#This Row],[Comments]])&lt;&gt;0, priority(Main[[#This Row],[Comments]]),"")</f>
        <v/>
      </c>
      <c r="B162" s="60" t="s">
        <v>1023</v>
      </c>
      <c r="C162" s="72" t="s">
        <v>4</v>
      </c>
      <c r="D162" s="59" t="s">
        <v>40</v>
      </c>
      <c r="E162" s="85"/>
      <c r="F162" s="85"/>
      <c r="G162" s="64" t="str">
        <f>IF(stdProdLT(Main[[#This Row],[Comments]])=0.1,"N/A",IF(stdProdLT(Main[[#This Row],[Comments]])=0,"",TRIM(stdProdLT(Main[[#This Row],[Comments]]))))</f>
        <v/>
      </c>
      <c r="H162" s="94" t="str">
        <f>IF(OR(Main[[#This Row],[Std. Prod. Lead Time]]="N/A",Main[[#This Row],[Std. Prod. Lead Time]]=""), "",IF(AND(Main[[#This Row],[In Stock Date]]&lt;&gt;"",Main[[#This Row],[Revised Due Date]]&lt;&gt;"",Main[[#This Row],[In Stock Date]]&lt;&gt;""),Main[[#This Row],[In Stock Date]]-Main[[#This Row],[Revised Due Date]],""))</f>
        <v/>
      </c>
      <c r="I162" s="101" t="s">
        <v>4</v>
      </c>
      <c r="J162" s="95" t="s">
        <v>4</v>
      </c>
      <c r="K162" s="95" t="s">
        <v>4</v>
      </c>
      <c r="L162" s="85"/>
      <c r="M162" s="73" t="str">
        <f>IF(Main[[#This Row],[Tech Start Date]]&lt;1/1/1990,"",IF(Main[[#This Row],[Class]]="C",WORKDAY(Main[[#This Row],[Tech Start Date]],9),IF(Main[[#This Row],[Class]]="B", WORKDAY(Main[[#This Row],[Tech Start Date]],6),IF(Main[[#This Row],[Class]]="A",WORKDAY(Main[[#This Row],[Tech Start Date]],2),""))))</f>
        <v/>
      </c>
      <c r="N162" s="73" t="str">
        <f>IF(Main[[#This Row],[Tech Start Date]]&lt;1/1/1990,"",IF(Main[[#This Row],[Class]]="C",WORKDAY(Main[[#This Row],[Tech Start Date]],19),IF(Main[[#This Row],[Class]]="B", WORKDAY(Main[[#This Row],[Tech Start Date]],12),IF(Main[[#This Row],[Class]]="A",WORKDAY(Main[[#This Row],[Tech Start Date]],4),""))))</f>
        <v/>
      </c>
      <c r="O162" s="73" t="str">
        <f>IF(Main[[#This Row],[Tech Start Date]]&lt;1/1/1990,"",IF(Main[[#This Row],[Class]]="C",WORKDAY(Main[[#This Row],[Tech Start Date]],23),IF(Main[[#This Row],[Class]]="B", WORKDAY(Main[[#This Row],[Tech Start Date]],15),IF(Main[[#This Row],[Class]]="A",WORKDAY(Main[[#This Row],[Tech Start Date]],5),""))))</f>
        <v/>
      </c>
      <c r="P162" s="73" t="str">
        <f>IF(Main[[#This Row],[Tech Start Date]]&lt;1/1/1990,"",IF(Main[[#This Row],[Class]]="C",WORKDAY(Main[[#This Row],[Tech Start Date]],28),IF(Main[[#This Row],[Class]]="B", WORKDAY(Main[[#This Row],[Tech Start Date]],19),IF(Main[[#This Row],[Class]]="A",WORKDAY(Main[[#This Row],[Tech Start Date]],9),""))))</f>
        <v/>
      </c>
      <c r="Q162" s="85">
        <v>40368</v>
      </c>
      <c r="R162" s="112"/>
      <c r="S162" s="95" t="s">
        <v>6</v>
      </c>
      <c r="T162" s="74" t="s">
        <v>4</v>
      </c>
      <c r="U162" s="95" t="s">
        <v>14</v>
      </c>
      <c r="V162" s="95" t="s">
        <v>1921</v>
      </c>
      <c r="W162" s="95" t="s">
        <v>1913</v>
      </c>
      <c r="X162" s="95" t="s">
        <v>50</v>
      </c>
      <c r="Y162" s="72" t="s">
        <v>2925</v>
      </c>
      <c r="Z162" s="72" t="s">
        <v>4</v>
      </c>
      <c r="AA162" s="95" t="s">
        <v>971</v>
      </c>
      <c r="AB162" s="132"/>
      <c r="AC162" s="132"/>
      <c r="AD162" s="132"/>
      <c r="AE162" s="63"/>
      <c r="AF162" s="63"/>
      <c r="AG162" s="63"/>
    </row>
    <row r="163" spans="1:33" ht="17.2" customHeight="1">
      <c r="A163" s="64" t="str">
        <f>IF(priority(Main[[#This Row],[Comments]])&lt;&gt;0, priority(Main[[#This Row],[Comments]]),"")</f>
        <v/>
      </c>
      <c r="B163" s="60" t="s">
        <v>1024</v>
      </c>
      <c r="C163" s="72" t="s">
        <v>33</v>
      </c>
      <c r="D163" s="59" t="s">
        <v>41</v>
      </c>
      <c r="E163" s="85"/>
      <c r="F163" s="85"/>
      <c r="G163" s="64" t="str">
        <f>IF(stdProdLT(Main[[#This Row],[Comments]])=0.1,"N/A",IF(stdProdLT(Main[[#This Row],[Comments]])=0,"",TRIM(stdProdLT(Main[[#This Row],[Comments]]))))</f>
        <v/>
      </c>
      <c r="H163" s="94" t="str">
        <f>IF(OR(Main[[#This Row],[Std. Prod. Lead Time]]="N/A",Main[[#This Row],[Std. Prod. Lead Time]]=""), "",IF(AND(Main[[#This Row],[In Stock Date]]&lt;&gt;"",Main[[#This Row],[Revised Due Date]]&lt;&gt;"",Main[[#This Row],[In Stock Date]]&lt;&gt;""),Main[[#This Row],[In Stock Date]]-Main[[#This Row],[Revised Due Date]],""))</f>
        <v/>
      </c>
      <c r="I163" s="101" t="s">
        <v>4</v>
      </c>
      <c r="J163" s="95" t="s">
        <v>4</v>
      </c>
      <c r="K163" s="95" t="s">
        <v>4</v>
      </c>
      <c r="L163" s="85"/>
      <c r="M163" s="73" t="str">
        <f>IF(Main[[#This Row],[Tech Start Date]]&lt;1/1/1990,"",IF(Main[[#This Row],[Class]]="C",WORKDAY(Main[[#This Row],[Tech Start Date]],9),IF(Main[[#This Row],[Class]]="B", WORKDAY(Main[[#This Row],[Tech Start Date]],6),IF(Main[[#This Row],[Class]]="A",WORKDAY(Main[[#This Row],[Tech Start Date]],2),""))))</f>
        <v/>
      </c>
      <c r="N163" s="73" t="str">
        <f>IF(Main[[#This Row],[Tech Start Date]]&lt;1/1/1990,"",IF(Main[[#This Row],[Class]]="C",WORKDAY(Main[[#This Row],[Tech Start Date]],19),IF(Main[[#This Row],[Class]]="B", WORKDAY(Main[[#This Row],[Tech Start Date]],12),IF(Main[[#This Row],[Class]]="A",WORKDAY(Main[[#This Row],[Tech Start Date]],4),""))))</f>
        <v/>
      </c>
      <c r="O163" s="73" t="str">
        <f>IF(Main[[#This Row],[Tech Start Date]]&lt;1/1/1990,"",IF(Main[[#This Row],[Class]]="C",WORKDAY(Main[[#This Row],[Tech Start Date]],23),IF(Main[[#This Row],[Class]]="B", WORKDAY(Main[[#This Row],[Tech Start Date]],15),IF(Main[[#This Row],[Class]]="A",WORKDAY(Main[[#This Row],[Tech Start Date]],5),""))))</f>
        <v/>
      </c>
      <c r="P163" s="73" t="str">
        <f>IF(Main[[#This Row],[Tech Start Date]]&lt;1/1/1990,"",IF(Main[[#This Row],[Class]]="C",WORKDAY(Main[[#This Row],[Tech Start Date]],28),IF(Main[[#This Row],[Class]]="B", WORKDAY(Main[[#This Row],[Tech Start Date]],19),IF(Main[[#This Row],[Class]]="A",WORKDAY(Main[[#This Row],[Tech Start Date]],9),""))))</f>
        <v/>
      </c>
      <c r="Q163" s="85"/>
      <c r="R163" s="112"/>
      <c r="S163" s="95" t="s">
        <v>11</v>
      </c>
      <c r="T163" s="74" t="s">
        <v>4</v>
      </c>
      <c r="U163" s="95" t="s">
        <v>14</v>
      </c>
      <c r="V163" s="95" t="s">
        <v>1912</v>
      </c>
      <c r="W163" s="95" t="s">
        <v>1919</v>
      </c>
      <c r="X163" s="95" t="s">
        <v>2807</v>
      </c>
      <c r="Y163" s="72" t="s">
        <v>2926</v>
      </c>
      <c r="Z163" s="72" t="s">
        <v>4</v>
      </c>
      <c r="AA163" s="95" t="s">
        <v>2807</v>
      </c>
      <c r="AB163" s="132"/>
      <c r="AC163" s="132"/>
      <c r="AD163" s="132"/>
      <c r="AE163" s="63"/>
      <c r="AF163" s="63"/>
      <c r="AG163" s="63"/>
    </row>
    <row r="164" spans="1:33" ht="17.2" customHeight="1">
      <c r="A164" s="64" t="str">
        <f>IF(priority(Main[[#This Row],[Comments]])&lt;&gt;0, priority(Main[[#This Row],[Comments]]),"")</f>
        <v/>
      </c>
      <c r="B164" s="60" t="s">
        <v>1025</v>
      </c>
      <c r="C164" s="72" t="s">
        <v>4</v>
      </c>
      <c r="D164" s="59" t="s">
        <v>43</v>
      </c>
      <c r="E164" s="85">
        <v>40500.605023148149</v>
      </c>
      <c r="F164" s="85"/>
      <c r="G164" s="64" t="str">
        <f>IF(stdProdLT(Main[[#This Row],[Comments]])=0.1,"N/A",IF(stdProdLT(Main[[#This Row],[Comments]])=0,"",TRIM(stdProdLT(Main[[#This Row],[Comments]]))))</f>
        <v/>
      </c>
      <c r="H164" s="94" t="str">
        <f>IF(OR(Main[[#This Row],[Std. Prod. Lead Time]]="N/A",Main[[#This Row],[Std. Prod. Lead Time]]=""), "",IF(AND(Main[[#This Row],[In Stock Date]]&lt;&gt;"",Main[[#This Row],[Revised Due Date]]&lt;&gt;"",Main[[#This Row],[In Stock Date]]&lt;&gt;""),Main[[#This Row],[In Stock Date]]-Main[[#This Row],[Revised Due Date]],""))</f>
        <v/>
      </c>
      <c r="I164" s="101" t="s">
        <v>4</v>
      </c>
      <c r="J164" s="95" t="s">
        <v>4</v>
      </c>
      <c r="K164" s="95" t="s">
        <v>4</v>
      </c>
      <c r="L164" s="85"/>
      <c r="M164" s="73" t="str">
        <f>IF(Main[[#This Row],[Tech Start Date]]&lt;1/1/1990,"",IF(Main[[#This Row],[Class]]="C",WORKDAY(Main[[#This Row],[Tech Start Date]],9),IF(Main[[#This Row],[Class]]="B", WORKDAY(Main[[#This Row],[Tech Start Date]],6),IF(Main[[#This Row],[Class]]="A",WORKDAY(Main[[#This Row],[Tech Start Date]],2),""))))</f>
        <v/>
      </c>
      <c r="N164" s="73" t="str">
        <f>IF(Main[[#This Row],[Tech Start Date]]&lt;1/1/1990,"",IF(Main[[#This Row],[Class]]="C",WORKDAY(Main[[#This Row],[Tech Start Date]],19),IF(Main[[#This Row],[Class]]="B", WORKDAY(Main[[#This Row],[Tech Start Date]],12),IF(Main[[#This Row],[Class]]="A",WORKDAY(Main[[#This Row],[Tech Start Date]],4),""))))</f>
        <v/>
      </c>
      <c r="O164" s="73" t="str">
        <f>IF(Main[[#This Row],[Tech Start Date]]&lt;1/1/1990,"",IF(Main[[#This Row],[Class]]="C",WORKDAY(Main[[#This Row],[Tech Start Date]],23),IF(Main[[#This Row],[Class]]="B", WORKDAY(Main[[#This Row],[Tech Start Date]],15),IF(Main[[#This Row],[Class]]="A",WORKDAY(Main[[#This Row],[Tech Start Date]],5),""))))</f>
        <v/>
      </c>
      <c r="P164" s="73" t="str">
        <f>IF(Main[[#This Row],[Tech Start Date]]&lt;1/1/1990,"",IF(Main[[#This Row],[Class]]="C",WORKDAY(Main[[#This Row],[Tech Start Date]],28),IF(Main[[#This Row],[Class]]="B", WORKDAY(Main[[#This Row],[Tech Start Date]],19),IF(Main[[#This Row],[Class]]="A",WORKDAY(Main[[#This Row],[Tech Start Date]],9),""))))</f>
        <v/>
      </c>
      <c r="Q164" s="85">
        <v>40519</v>
      </c>
      <c r="R164" s="112"/>
      <c r="S164" s="95" t="s">
        <v>4</v>
      </c>
      <c r="T164" s="74" t="s">
        <v>4</v>
      </c>
      <c r="U164" s="95" t="s">
        <v>7</v>
      </c>
      <c r="V164" s="95" t="s">
        <v>1911</v>
      </c>
      <c r="W164" s="95" t="s">
        <v>4</v>
      </c>
      <c r="X164" s="95" t="s">
        <v>2801</v>
      </c>
      <c r="Y164" s="72" t="s">
        <v>2914</v>
      </c>
      <c r="Z164" s="72" t="s">
        <v>4</v>
      </c>
      <c r="AA164" s="95" t="s">
        <v>2801</v>
      </c>
      <c r="AB164" s="132"/>
      <c r="AC164" s="132"/>
      <c r="AD164" s="132"/>
      <c r="AE164" s="63"/>
      <c r="AF164" s="63"/>
      <c r="AG164" s="63"/>
    </row>
    <row r="165" spans="1:33" ht="17.2" customHeight="1">
      <c r="A165" s="64" t="str">
        <f>IF(priority(Main[[#This Row],[Comments]])&lt;&gt;0, priority(Main[[#This Row],[Comments]]),"")</f>
        <v/>
      </c>
      <c r="B165" s="60" t="s">
        <v>1027</v>
      </c>
      <c r="C165" s="72" t="s">
        <v>4</v>
      </c>
      <c r="D165" s="59" t="s">
        <v>45</v>
      </c>
      <c r="E165" s="85">
        <v>40486.407523148147</v>
      </c>
      <c r="F165" s="85"/>
      <c r="G165" s="64" t="str">
        <f>IF(stdProdLT(Main[[#This Row],[Comments]])=0.1,"N/A",IF(stdProdLT(Main[[#This Row],[Comments]])=0,"",TRIM(stdProdLT(Main[[#This Row],[Comments]]))))</f>
        <v/>
      </c>
      <c r="H165" s="94" t="str">
        <f>IF(OR(Main[[#This Row],[Std. Prod. Lead Time]]="N/A",Main[[#This Row],[Std. Prod. Lead Time]]=""), "",IF(AND(Main[[#This Row],[In Stock Date]]&lt;&gt;"",Main[[#This Row],[Revised Due Date]]&lt;&gt;"",Main[[#This Row],[In Stock Date]]&lt;&gt;""),Main[[#This Row],[In Stock Date]]-Main[[#This Row],[Revised Due Date]],""))</f>
        <v/>
      </c>
      <c r="I165" s="101" t="s">
        <v>4</v>
      </c>
      <c r="J165" s="95" t="s">
        <v>4</v>
      </c>
      <c r="K165" s="95" t="s">
        <v>4</v>
      </c>
      <c r="L165" s="85"/>
      <c r="M165" s="73" t="str">
        <f>IF(Main[[#This Row],[Tech Start Date]]&lt;1/1/1990,"",IF(Main[[#This Row],[Class]]="C",WORKDAY(Main[[#This Row],[Tech Start Date]],9),IF(Main[[#This Row],[Class]]="B", WORKDAY(Main[[#This Row],[Tech Start Date]],6),IF(Main[[#This Row],[Class]]="A",WORKDAY(Main[[#This Row],[Tech Start Date]],2),""))))</f>
        <v/>
      </c>
      <c r="N165" s="73" t="str">
        <f>IF(Main[[#This Row],[Tech Start Date]]&lt;1/1/1990,"",IF(Main[[#This Row],[Class]]="C",WORKDAY(Main[[#This Row],[Tech Start Date]],19),IF(Main[[#This Row],[Class]]="B", WORKDAY(Main[[#This Row],[Tech Start Date]],12),IF(Main[[#This Row],[Class]]="A",WORKDAY(Main[[#This Row],[Tech Start Date]],4),""))))</f>
        <v/>
      </c>
      <c r="O165" s="73" t="str">
        <f>IF(Main[[#This Row],[Tech Start Date]]&lt;1/1/1990,"",IF(Main[[#This Row],[Class]]="C",WORKDAY(Main[[#This Row],[Tech Start Date]],23),IF(Main[[#This Row],[Class]]="B", WORKDAY(Main[[#This Row],[Tech Start Date]],15),IF(Main[[#This Row],[Class]]="A",WORKDAY(Main[[#This Row],[Tech Start Date]],5),""))))</f>
        <v/>
      </c>
      <c r="P165" s="73" t="str">
        <f>IF(Main[[#This Row],[Tech Start Date]]&lt;1/1/1990,"",IF(Main[[#This Row],[Class]]="C",WORKDAY(Main[[#This Row],[Tech Start Date]],28),IF(Main[[#This Row],[Class]]="B", WORKDAY(Main[[#This Row],[Tech Start Date]],19),IF(Main[[#This Row],[Class]]="A",WORKDAY(Main[[#This Row],[Tech Start Date]],9),""))))</f>
        <v/>
      </c>
      <c r="Q165" s="85">
        <v>40522</v>
      </c>
      <c r="R165" s="112"/>
      <c r="S165" s="95" t="s">
        <v>6</v>
      </c>
      <c r="T165" s="74" t="s">
        <v>4</v>
      </c>
      <c r="U165" s="95" t="s">
        <v>7</v>
      </c>
      <c r="V165" s="95" t="s">
        <v>1911</v>
      </c>
      <c r="W165" s="95" t="s">
        <v>4</v>
      </c>
      <c r="X165" s="95" t="s">
        <v>2798</v>
      </c>
      <c r="Y165" s="72" t="s">
        <v>2908</v>
      </c>
      <c r="Z165" s="72" t="s">
        <v>4</v>
      </c>
      <c r="AA165" s="95" t="s">
        <v>2798</v>
      </c>
      <c r="AB165" s="132"/>
      <c r="AC165" s="132"/>
      <c r="AD165" s="132"/>
      <c r="AE165" s="63"/>
      <c r="AF165" s="63"/>
      <c r="AG165" s="63"/>
    </row>
    <row r="166" spans="1:33" ht="17.2" customHeight="1">
      <c r="A166" s="64" t="str">
        <f>IF(priority(Main[[#This Row],[Comments]])&lt;&gt;0, priority(Main[[#This Row],[Comments]]),"")</f>
        <v/>
      </c>
      <c r="B166" s="60" t="s">
        <v>1029</v>
      </c>
      <c r="C166" s="72" t="s">
        <v>47</v>
      </c>
      <c r="D166" s="59" t="s">
        <v>48</v>
      </c>
      <c r="E166" s="85"/>
      <c r="F166" s="85"/>
      <c r="G166" s="64" t="str">
        <f>IF(stdProdLT(Main[[#This Row],[Comments]])=0.1,"N/A",IF(stdProdLT(Main[[#This Row],[Comments]])=0,"",TRIM(stdProdLT(Main[[#This Row],[Comments]]))))</f>
        <v/>
      </c>
      <c r="H166" s="94" t="str">
        <f>IF(OR(Main[[#This Row],[Std. Prod. Lead Time]]="N/A",Main[[#This Row],[Std. Prod. Lead Time]]=""), "",IF(AND(Main[[#This Row],[In Stock Date]]&lt;&gt;"",Main[[#This Row],[Revised Due Date]]&lt;&gt;"",Main[[#This Row],[In Stock Date]]&lt;&gt;""),Main[[#This Row],[In Stock Date]]-Main[[#This Row],[Revised Due Date]],""))</f>
        <v/>
      </c>
      <c r="I166" s="101" t="s">
        <v>4</v>
      </c>
      <c r="J166" s="95" t="s">
        <v>4</v>
      </c>
      <c r="K166" s="95" t="s">
        <v>4</v>
      </c>
      <c r="L166" s="85"/>
      <c r="M166" s="73" t="str">
        <f>IF(Main[[#This Row],[Tech Start Date]]&lt;1/1/1990,"",IF(Main[[#This Row],[Class]]="C",WORKDAY(Main[[#This Row],[Tech Start Date]],9),IF(Main[[#This Row],[Class]]="B", WORKDAY(Main[[#This Row],[Tech Start Date]],6),IF(Main[[#This Row],[Class]]="A",WORKDAY(Main[[#This Row],[Tech Start Date]],2),""))))</f>
        <v/>
      </c>
      <c r="N166" s="73" t="str">
        <f>IF(Main[[#This Row],[Tech Start Date]]&lt;1/1/1990,"",IF(Main[[#This Row],[Class]]="C",WORKDAY(Main[[#This Row],[Tech Start Date]],19),IF(Main[[#This Row],[Class]]="B", WORKDAY(Main[[#This Row],[Tech Start Date]],12),IF(Main[[#This Row],[Class]]="A",WORKDAY(Main[[#This Row],[Tech Start Date]],4),""))))</f>
        <v/>
      </c>
      <c r="O166" s="73" t="str">
        <f>IF(Main[[#This Row],[Tech Start Date]]&lt;1/1/1990,"",IF(Main[[#This Row],[Class]]="C",WORKDAY(Main[[#This Row],[Tech Start Date]],23),IF(Main[[#This Row],[Class]]="B", WORKDAY(Main[[#This Row],[Tech Start Date]],15),IF(Main[[#This Row],[Class]]="A",WORKDAY(Main[[#This Row],[Tech Start Date]],5),""))))</f>
        <v/>
      </c>
      <c r="P166" s="73" t="str">
        <f>IF(Main[[#This Row],[Tech Start Date]]&lt;1/1/1990,"",IF(Main[[#This Row],[Class]]="C",WORKDAY(Main[[#This Row],[Tech Start Date]],28),IF(Main[[#This Row],[Class]]="B", WORKDAY(Main[[#This Row],[Tech Start Date]],19),IF(Main[[#This Row],[Class]]="A",WORKDAY(Main[[#This Row],[Tech Start Date]],9),""))))</f>
        <v/>
      </c>
      <c r="Q166" s="85"/>
      <c r="R166" s="112"/>
      <c r="S166" s="95" t="s">
        <v>49</v>
      </c>
      <c r="T166" s="74" t="s">
        <v>4</v>
      </c>
      <c r="U166" s="95" t="s">
        <v>14</v>
      </c>
      <c r="V166" s="95" t="s">
        <v>1914</v>
      </c>
      <c r="W166" s="95" t="s">
        <v>1915</v>
      </c>
      <c r="X166" s="95" t="s">
        <v>306</v>
      </c>
      <c r="Y166" s="72" t="s">
        <v>2919</v>
      </c>
      <c r="Z166" s="72" t="s">
        <v>4</v>
      </c>
      <c r="AA166" s="95" t="s">
        <v>3337</v>
      </c>
      <c r="AB166" s="132"/>
      <c r="AC166" s="132"/>
      <c r="AD166" s="132"/>
      <c r="AE166" s="63"/>
      <c r="AF166" s="63"/>
      <c r="AG166" s="63"/>
    </row>
    <row r="167" spans="1:33" ht="17.2" customHeight="1">
      <c r="A167" s="64" t="str">
        <f>IF(priority(Main[[#This Row],[Comments]])&lt;&gt;0, priority(Main[[#This Row],[Comments]]),"")</f>
        <v/>
      </c>
      <c r="B167" s="60" t="s">
        <v>1050</v>
      </c>
      <c r="C167" s="72" t="s">
        <v>86</v>
      </c>
      <c r="D167" s="59" t="s">
        <v>87</v>
      </c>
      <c r="E167" s="85"/>
      <c r="F167" s="85">
        <v>40555</v>
      </c>
      <c r="G167" s="64" t="str">
        <f>IF(stdProdLT(Main[[#This Row],[Comments]])=0.1,"N/A",IF(stdProdLT(Main[[#This Row],[Comments]])=0,"",TRIM(stdProdLT(Main[[#This Row],[Comments]]))))</f>
        <v/>
      </c>
      <c r="H167" s="94" t="str">
        <f>IF(OR(Main[[#This Row],[Std. Prod. Lead Time]]="N/A",Main[[#This Row],[Std. Prod. Lead Time]]=""), "",IF(AND(Main[[#This Row],[In Stock Date]]&lt;&gt;"",Main[[#This Row],[Revised Due Date]]&lt;&gt;"",Main[[#This Row],[In Stock Date]]&lt;&gt;""),Main[[#This Row],[In Stock Date]]-Main[[#This Row],[Revised Due Date]],""))</f>
        <v/>
      </c>
      <c r="I167" s="101" t="s">
        <v>4</v>
      </c>
      <c r="J167" s="95" t="s">
        <v>75</v>
      </c>
      <c r="K167" s="95" t="s">
        <v>4</v>
      </c>
      <c r="L167" s="85"/>
      <c r="M167" s="73" t="str">
        <f>IF(Main[[#This Row],[Tech Start Date]]&lt;1/1/1990,"",IF(Main[[#This Row],[Class]]="C",WORKDAY(Main[[#This Row],[Tech Start Date]],9),IF(Main[[#This Row],[Class]]="B", WORKDAY(Main[[#This Row],[Tech Start Date]],6),IF(Main[[#This Row],[Class]]="A",WORKDAY(Main[[#This Row],[Tech Start Date]],2),""))))</f>
        <v/>
      </c>
      <c r="N167" s="73" t="str">
        <f>IF(Main[[#This Row],[Tech Start Date]]&lt;1/1/1990,"",IF(Main[[#This Row],[Class]]="C",WORKDAY(Main[[#This Row],[Tech Start Date]],19),IF(Main[[#This Row],[Class]]="B", WORKDAY(Main[[#This Row],[Tech Start Date]],12),IF(Main[[#This Row],[Class]]="A",WORKDAY(Main[[#This Row],[Tech Start Date]],4),""))))</f>
        <v/>
      </c>
      <c r="O167" s="73" t="str">
        <f>IF(Main[[#This Row],[Tech Start Date]]&lt;1/1/1990,"",IF(Main[[#This Row],[Class]]="C",WORKDAY(Main[[#This Row],[Tech Start Date]],23),IF(Main[[#This Row],[Class]]="B", WORKDAY(Main[[#This Row],[Tech Start Date]],15),IF(Main[[#This Row],[Class]]="A",WORKDAY(Main[[#This Row],[Tech Start Date]],5),""))))</f>
        <v/>
      </c>
      <c r="P167" s="73" t="str">
        <f>IF(Main[[#This Row],[Tech Start Date]]&lt;1/1/1990,"",IF(Main[[#This Row],[Class]]="C",WORKDAY(Main[[#This Row],[Tech Start Date]],28),IF(Main[[#This Row],[Class]]="B", WORKDAY(Main[[#This Row],[Tech Start Date]],19),IF(Main[[#This Row],[Class]]="A",WORKDAY(Main[[#This Row],[Tech Start Date]],9),""))))</f>
        <v/>
      </c>
      <c r="Q167" s="85">
        <v>40446</v>
      </c>
      <c r="R167" s="112"/>
      <c r="S167" s="95" t="s">
        <v>49</v>
      </c>
      <c r="T167" s="74" t="s">
        <v>4</v>
      </c>
      <c r="U167" s="95" t="s">
        <v>14</v>
      </c>
      <c r="V167" s="95" t="s">
        <v>1914</v>
      </c>
      <c r="W167" s="95" t="s">
        <v>1913</v>
      </c>
      <c r="X167" s="95" t="s">
        <v>306</v>
      </c>
      <c r="Y167" s="72" t="s">
        <v>2954</v>
      </c>
      <c r="Z167" s="72" t="s">
        <v>306</v>
      </c>
      <c r="AA167" s="95" t="s">
        <v>306</v>
      </c>
      <c r="AB167" s="132"/>
      <c r="AC167" s="132"/>
      <c r="AD167" s="132"/>
      <c r="AE167" s="63"/>
      <c r="AF167" s="63"/>
      <c r="AG167" s="63"/>
    </row>
    <row r="168" spans="1:33" ht="17.2" customHeight="1">
      <c r="A168" s="64" t="str">
        <f>IF(priority(Main[[#This Row],[Comments]])&lt;&gt;0, priority(Main[[#This Row],[Comments]]),"")</f>
        <v/>
      </c>
      <c r="B168" s="60" t="s">
        <v>2530</v>
      </c>
      <c r="C168" s="72" t="s">
        <v>2348</v>
      </c>
      <c r="D168" s="59" t="s">
        <v>2531</v>
      </c>
      <c r="E168" s="85"/>
      <c r="F168" s="85">
        <v>41008</v>
      </c>
      <c r="G168" s="64" t="str">
        <f>IF(stdProdLT(Main[[#This Row],[Comments]])=0.1,"N/A",IF(stdProdLT(Main[[#This Row],[Comments]])=0,"",TRIM(stdProdLT(Main[[#This Row],[Comments]]))))</f>
        <v/>
      </c>
      <c r="H168" s="94" t="str">
        <f>IF(OR(Main[[#This Row],[Std. Prod. Lead Time]]="N/A",Main[[#This Row],[Std. Prod. Lead Time]]=""), "",IF(AND(Main[[#This Row],[In Stock Date]]&lt;&gt;"",Main[[#This Row],[Revised Due Date]]&lt;&gt;"",Main[[#This Row],[In Stock Date]]&lt;&gt;""),Main[[#This Row],[In Stock Date]]-Main[[#This Row],[Revised Due Date]],""))</f>
        <v/>
      </c>
      <c r="I168" s="101" t="s">
        <v>4</v>
      </c>
      <c r="J168" s="95" t="s">
        <v>4</v>
      </c>
      <c r="K168" s="95" t="s">
        <v>4</v>
      </c>
      <c r="L168" s="85"/>
      <c r="M168" s="73" t="str">
        <f>IF(Main[[#This Row],[Tech Start Date]]&lt;1/1/1990,"",IF(Main[[#This Row],[Class]]="C",WORKDAY(Main[[#This Row],[Tech Start Date]],9),IF(Main[[#This Row],[Class]]="B", WORKDAY(Main[[#This Row],[Tech Start Date]],6),IF(Main[[#This Row],[Class]]="A",WORKDAY(Main[[#This Row],[Tech Start Date]],2),""))))</f>
        <v/>
      </c>
      <c r="N168" s="73" t="str">
        <f>IF(Main[[#This Row],[Tech Start Date]]&lt;1/1/1990,"",IF(Main[[#This Row],[Class]]="C",WORKDAY(Main[[#This Row],[Tech Start Date]],19),IF(Main[[#This Row],[Class]]="B", WORKDAY(Main[[#This Row],[Tech Start Date]],12),IF(Main[[#This Row],[Class]]="A",WORKDAY(Main[[#This Row],[Tech Start Date]],4),""))))</f>
        <v/>
      </c>
      <c r="O168" s="73" t="str">
        <f>IF(Main[[#This Row],[Tech Start Date]]&lt;1/1/1990,"",IF(Main[[#This Row],[Class]]="C",WORKDAY(Main[[#This Row],[Tech Start Date]],23),IF(Main[[#This Row],[Class]]="B", WORKDAY(Main[[#This Row],[Tech Start Date]],15),IF(Main[[#This Row],[Class]]="A",WORKDAY(Main[[#This Row],[Tech Start Date]],5),""))))</f>
        <v/>
      </c>
      <c r="P168" s="73" t="str">
        <f>IF(Main[[#This Row],[Tech Start Date]]&lt;1/1/1990,"",IF(Main[[#This Row],[Class]]="C",WORKDAY(Main[[#This Row],[Tech Start Date]],28),IF(Main[[#This Row],[Class]]="B", WORKDAY(Main[[#This Row],[Tech Start Date]],19),IF(Main[[#This Row],[Class]]="A",WORKDAY(Main[[#This Row],[Tech Start Date]],9),""))))</f>
        <v/>
      </c>
      <c r="Q168" s="85">
        <v>40826</v>
      </c>
      <c r="R168" s="112"/>
      <c r="S168" s="95" t="s">
        <v>11</v>
      </c>
      <c r="T168" s="74" t="s">
        <v>4</v>
      </c>
      <c r="U168" s="95" t="s">
        <v>12</v>
      </c>
      <c r="V168" s="95" t="s">
        <v>1914</v>
      </c>
      <c r="W168" s="95" t="s">
        <v>1917</v>
      </c>
      <c r="X168" s="95" t="s">
        <v>2823</v>
      </c>
      <c r="Y168" s="72" t="s">
        <v>4</v>
      </c>
      <c r="Z168" s="72" t="s">
        <v>4</v>
      </c>
      <c r="AA168" s="95" t="s">
        <v>2823</v>
      </c>
      <c r="AB168" s="132"/>
      <c r="AC168" s="132"/>
      <c r="AD168" s="132"/>
      <c r="AE168" s="63"/>
      <c r="AF168" s="63"/>
      <c r="AG168" s="63"/>
    </row>
    <row r="169" spans="1:33" ht="17.2" customHeight="1">
      <c r="A169" s="64" t="str">
        <f>IF(priority(Main[[#This Row],[Comments]])&lt;&gt;0, priority(Main[[#This Row],[Comments]]),"")</f>
        <v/>
      </c>
      <c r="B169" s="60" t="s">
        <v>1051</v>
      </c>
      <c r="C169" s="72" t="s">
        <v>88</v>
      </c>
      <c r="D169" s="59" t="s">
        <v>89</v>
      </c>
      <c r="E169" s="85"/>
      <c r="F169" s="85">
        <v>40709</v>
      </c>
      <c r="G169" s="64" t="str">
        <f>IF(stdProdLT(Main[[#This Row],[Comments]])=0.1,"N/A",IF(stdProdLT(Main[[#This Row],[Comments]])=0,"",TRIM(stdProdLT(Main[[#This Row],[Comments]]))))</f>
        <v/>
      </c>
      <c r="H169" s="94" t="str">
        <f>IF(OR(Main[[#This Row],[Std. Prod. Lead Time]]="N/A",Main[[#This Row],[Std. Prod. Lead Time]]=""), "",IF(AND(Main[[#This Row],[In Stock Date]]&lt;&gt;"",Main[[#This Row],[Revised Due Date]]&lt;&gt;"",Main[[#This Row],[In Stock Date]]&lt;&gt;""),Main[[#This Row],[In Stock Date]]-Main[[#This Row],[Revised Due Date]],""))</f>
        <v/>
      </c>
      <c r="I169" s="101" t="s">
        <v>4</v>
      </c>
      <c r="J169" s="95" t="s">
        <v>28</v>
      </c>
      <c r="K169" s="95" t="s">
        <v>1924</v>
      </c>
      <c r="L169" s="85"/>
      <c r="M169" s="73" t="str">
        <f>IF(Main[[#This Row],[Tech Start Date]]&lt;1/1/1990,"",IF(Main[[#This Row],[Class]]="C",WORKDAY(Main[[#This Row],[Tech Start Date]],9),IF(Main[[#This Row],[Class]]="B", WORKDAY(Main[[#This Row],[Tech Start Date]],6),IF(Main[[#This Row],[Class]]="A",WORKDAY(Main[[#This Row],[Tech Start Date]],2),""))))</f>
        <v/>
      </c>
      <c r="N169" s="73" t="str">
        <f>IF(Main[[#This Row],[Tech Start Date]]&lt;1/1/1990,"",IF(Main[[#This Row],[Class]]="C",WORKDAY(Main[[#This Row],[Tech Start Date]],19),IF(Main[[#This Row],[Class]]="B", WORKDAY(Main[[#This Row],[Tech Start Date]],12),IF(Main[[#This Row],[Class]]="A",WORKDAY(Main[[#This Row],[Tech Start Date]],4),""))))</f>
        <v/>
      </c>
      <c r="O169" s="73" t="str">
        <f>IF(Main[[#This Row],[Tech Start Date]]&lt;1/1/1990,"",IF(Main[[#This Row],[Class]]="C",WORKDAY(Main[[#This Row],[Tech Start Date]],23),IF(Main[[#This Row],[Class]]="B", WORKDAY(Main[[#This Row],[Tech Start Date]],15),IF(Main[[#This Row],[Class]]="A",WORKDAY(Main[[#This Row],[Tech Start Date]],5),""))))</f>
        <v/>
      </c>
      <c r="P169" s="73" t="str">
        <f>IF(Main[[#This Row],[Tech Start Date]]&lt;1/1/1990,"",IF(Main[[#This Row],[Class]]="C",WORKDAY(Main[[#This Row],[Tech Start Date]],28),IF(Main[[#This Row],[Class]]="B", WORKDAY(Main[[#This Row],[Tech Start Date]],19),IF(Main[[#This Row],[Class]]="A",WORKDAY(Main[[#This Row],[Tech Start Date]],9),""))))</f>
        <v/>
      </c>
      <c r="Q169" s="85">
        <v>40612</v>
      </c>
      <c r="R169" s="112"/>
      <c r="S169" s="95" t="s">
        <v>11</v>
      </c>
      <c r="T169" s="74" t="s">
        <v>4</v>
      </c>
      <c r="U169" s="95" t="s">
        <v>14</v>
      </c>
      <c r="V169" s="95" t="s">
        <v>1911</v>
      </c>
      <c r="W169" s="95" t="s">
        <v>1916</v>
      </c>
      <c r="X169" s="95" t="s">
        <v>2824</v>
      </c>
      <c r="Y169" s="72" t="s">
        <v>2955</v>
      </c>
      <c r="Z169" s="72" t="s">
        <v>129</v>
      </c>
      <c r="AA169" s="95" t="s">
        <v>2824</v>
      </c>
      <c r="AB169" s="132"/>
      <c r="AC169" s="132"/>
      <c r="AD169" s="132"/>
      <c r="AE169" s="63"/>
      <c r="AF169" s="63"/>
      <c r="AG169" s="63"/>
    </row>
    <row r="170" spans="1:33" ht="17.2" customHeight="1">
      <c r="A170" s="64" t="str">
        <f>IF(priority(Main[[#This Row],[Comments]])&lt;&gt;0, priority(Main[[#This Row],[Comments]]),"")</f>
        <v/>
      </c>
      <c r="B170" s="60" t="s">
        <v>1052</v>
      </c>
      <c r="C170" s="72" t="s">
        <v>4</v>
      </c>
      <c r="D170" s="59" t="s">
        <v>90</v>
      </c>
      <c r="E170" s="85"/>
      <c r="F170" s="85"/>
      <c r="G170" s="64" t="str">
        <f>IF(stdProdLT(Main[[#This Row],[Comments]])=0.1,"N/A",IF(stdProdLT(Main[[#This Row],[Comments]])=0,"",TRIM(stdProdLT(Main[[#This Row],[Comments]]))))</f>
        <v/>
      </c>
      <c r="H170" s="94" t="str">
        <f>IF(OR(Main[[#This Row],[Std. Prod. Lead Time]]="N/A",Main[[#This Row],[Std. Prod. Lead Time]]=""), "",IF(AND(Main[[#This Row],[In Stock Date]]&lt;&gt;"",Main[[#This Row],[Revised Due Date]]&lt;&gt;"",Main[[#This Row],[In Stock Date]]&lt;&gt;""),Main[[#This Row],[In Stock Date]]-Main[[#This Row],[Revised Due Date]],""))</f>
        <v/>
      </c>
      <c r="I170" s="101" t="s">
        <v>4</v>
      </c>
      <c r="J170" s="95" t="s">
        <v>4</v>
      </c>
      <c r="K170" s="95" t="s">
        <v>4</v>
      </c>
      <c r="L170" s="85"/>
      <c r="M170" s="73" t="str">
        <f>IF(Main[[#This Row],[Tech Start Date]]&lt;1/1/1990,"",IF(Main[[#This Row],[Class]]="C",WORKDAY(Main[[#This Row],[Tech Start Date]],9),IF(Main[[#This Row],[Class]]="B", WORKDAY(Main[[#This Row],[Tech Start Date]],6),IF(Main[[#This Row],[Class]]="A",WORKDAY(Main[[#This Row],[Tech Start Date]],2),""))))</f>
        <v/>
      </c>
      <c r="N170" s="73" t="str">
        <f>IF(Main[[#This Row],[Tech Start Date]]&lt;1/1/1990,"",IF(Main[[#This Row],[Class]]="C",WORKDAY(Main[[#This Row],[Tech Start Date]],19),IF(Main[[#This Row],[Class]]="B", WORKDAY(Main[[#This Row],[Tech Start Date]],12),IF(Main[[#This Row],[Class]]="A",WORKDAY(Main[[#This Row],[Tech Start Date]],4),""))))</f>
        <v/>
      </c>
      <c r="O170" s="73" t="str">
        <f>IF(Main[[#This Row],[Tech Start Date]]&lt;1/1/1990,"",IF(Main[[#This Row],[Class]]="C",WORKDAY(Main[[#This Row],[Tech Start Date]],23),IF(Main[[#This Row],[Class]]="B", WORKDAY(Main[[#This Row],[Tech Start Date]],15),IF(Main[[#This Row],[Class]]="A",WORKDAY(Main[[#This Row],[Tech Start Date]],5),""))))</f>
        <v/>
      </c>
      <c r="P170" s="73" t="str">
        <f>IF(Main[[#This Row],[Tech Start Date]]&lt;1/1/1990,"",IF(Main[[#This Row],[Class]]="C",WORKDAY(Main[[#This Row],[Tech Start Date]],28),IF(Main[[#This Row],[Class]]="B", WORKDAY(Main[[#This Row],[Tech Start Date]],19),IF(Main[[#This Row],[Class]]="A",WORKDAY(Main[[#This Row],[Tech Start Date]],9),""))))</f>
        <v/>
      </c>
      <c r="Q170" s="85"/>
      <c r="R170" s="112"/>
      <c r="S170" s="95" t="s">
        <v>23</v>
      </c>
      <c r="T170" s="74" t="s">
        <v>4</v>
      </c>
      <c r="U170" s="95" t="s">
        <v>14</v>
      </c>
      <c r="V170" s="95" t="s">
        <v>1911</v>
      </c>
      <c r="W170" s="95" t="s">
        <v>1915</v>
      </c>
      <c r="X170" s="95" t="s">
        <v>399</v>
      </c>
      <c r="Y170" s="72" t="s">
        <v>2936</v>
      </c>
      <c r="Z170" s="72" t="s">
        <v>4</v>
      </c>
      <c r="AA170" s="95" t="s">
        <v>3338</v>
      </c>
      <c r="AB170" s="132"/>
      <c r="AC170" s="132"/>
      <c r="AD170" s="132"/>
      <c r="AE170" s="63"/>
      <c r="AF170" s="63"/>
      <c r="AG170" s="63"/>
    </row>
    <row r="171" spans="1:33" ht="17.2" customHeight="1">
      <c r="A171" s="64" t="str">
        <f>IF(priority(Main[[#This Row],[Comments]])&lt;&gt;0, priority(Main[[#This Row],[Comments]]),"")</f>
        <v/>
      </c>
      <c r="B171" s="60" t="s">
        <v>1054</v>
      </c>
      <c r="C171" s="72" t="s">
        <v>93</v>
      </c>
      <c r="D171" s="59" t="s">
        <v>94</v>
      </c>
      <c r="E171" s="85"/>
      <c r="F171" s="85">
        <v>40299</v>
      </c>
      <c r="G171" s="64" t="str">
        <f>IF(stdProdLT(Main[[#This Row],[Comments]])=0.1,"N/A",IF(stdProdLT(Main[[#This Row],[Comments]])=0,"",TRIM(stdProdLT(Main[[#This Row],[Comments]]))))</f>
        <v/>
      </c>
      <c r="H171" s="94" t="str">
        <f>IF(OR(Main[[#This Row],[Std. Prod. Lead Time]]="N/A",Main[[#This Row],[Std. Prod. Lead Time]]=""), "",IF(AND(Main[[#This Row],[In Stock Date]]&lt;&gt;"",Main[[#This Row],[Revised Due Date]]&lt;&gt;"",Main[[#This Row],[In Stock Date]]&lt;&gt;""),Main[[#This Row],[In Stock Date]]-Main[[#This Row],[Revised Due Date]],""))</f>
        <v/>
      </c>
      <c r="I171" s="101" t="s">
        <v>4</v>
      </c>
      <c r="J171" s="95" t="s">
        <v>4</v>
      </c>
      <c r="K171" s="96" t="s">
        <v>4</v>
      </c>
      <c r="L171" s="85"/>
      <c r="M171" s="73" t="str">
        <f>IF(Main[[#This Row],[Tech Start Date]]&lt;1/1/1990,"",IF(Main[[#This Row],[Class]]="C",WORKDAY(Main[[#This Row],[Tech Start Date]],9),IF(Main[[#This Row],[Class]]="B", WORKDAY(Main[[#This Row],[Tech Start Date]],6),IF(Main[[#This Row],[Class]]="A",WORKDAY(Main[[#This Row],[Tech Start Date]],2),""))))</f>
        <v/>
      </c>
      <c r="N171" s="73" t="str">
        <f>IF(Main[[#This Row],[Tech Start Date]]&lt;1/1/1990,"",IF(Main[[#This Row],[Class]]="C",WORKDAY(Main[[#This Row],[Tech Start Date]],19),IF(Main[[#This Row],[Class]]="B", WORKDAY(Main[[#This Row],[Tech Start Date]],12),IF(Main[[#This Row],[Class]]="A",WORKDAY(Main[[#This Row],[Tech Start Date]],4),""))))</f>
        <v/>
      </c>
      <c r="O171" s="73" t="str">
        <f>IF(Main[[#This Row],[Tech Start Date]]&lt;1/1/1990,"",IF(Main[[#This Row],[Class]]="C",WORKDAY(Main[[#This Row],[Tech Start Date]],23),IF(Main[[#This Row],[Class]]="B", WORKDAY(Main[[#This Row],[Tech Start Date]],15),IF(Main[[#This Row],[Class]]="A",WORKDAY(Main[[#This Row],[Tech Start Date]],5),""))))</f>
        <v/>
      </c>
      <c r="P171" s="73" t="str">
        <f>IF(Main[[#This Row],[Tech Start Date]]&lt;1/1/1990,"",IF(Main[[#This Row],[Class]]="C",WORKDAY(Main[[#This Row],[Tech Start Date]],28),IF(Main[[#This Row],[Class]]="B", WORKDAY(Main[[#This Row],[Tech Start Date]],19),IF(Main[[#This Row],[Class]]="A",WORKDAY(Main[[#This Row],[Tech Start Date]],9),""))))</f>
        <v/>
      </c>
      <c r="Q171" s="85">
        <v>40209</v>
      </c>
      <c r="R171" s="112"/>
      <c r="S171" s="95" t="s">
        <v>11</v>
      </c>
      <c r="T171" s="74" t="s">
        <v>4</v>
      </c>
      <c r="U171" s="95" t="s">
        <v>14</v>
      </c>
      <c r="V171" s="95" t="s">
        <v>1911</v>
      </c>
      <c r="W171" s="95" t="s">
        <v>1922</v>
      </c>
      <c r="X171" s="95" t="s">
        <v>2825</v>
      </c>
      <c r="Y171" s="72" t="s">
        <v>4</v>
      </c>
      <c r="Z171" s="72" t="s">
        <v>4</v>
      </c>
      <c r="AA171" s="95" t="s">
        <v>2825</v>
      </c>
      <c r="AB171" s="132"/>
      <c r="AC171" s="132"/>
      <c r="AD171" s="132"/>
      <c r="AE171" s="63"/>
      <c r="AF171" s="63"/>
      <c r="AG171" s="63"/>
    </row>
    <row r="172" spans="1:33" ht="17.2" customHeight="1">
      <c r="A172" s="64" t="str">
        <f>IF(priority(Main[[#This Row],[Comments]])&lt;&gt;0, priority(Main[[#This Row],[Comments]]),"")</f>
        <v/>
      </c>
      <c r="B172" s="60" t="s">
        <v>1548</v>
      </c>
      <c r="C172" s="72" t="s">
        <v>4</v>
      </c>
      <c r="D172" s="59" t="s">
        <v>2670</v>
      </c>
      <c r="E172" s="85">
        <v>40718.447500000002</v>
      </c>
      <c r="F172" s="85"/>
      <c r="G172" s="64" t="str">
        <f>IF(stdProdLT(Main[[#This Row],[Comments]])=0.1,"N/A",IF(stdProdLT(Main[[#This Row],[Comments]])=0,"",TRIM(stdProdLT(Main[[#This Row],[Comments]]))))</f>
        <v/>
      </c>
      <c r="H172" s="94" t="str">
        <f>IF(OR(Main[[#This Row],[Std. Prod. Lead Time]]="N/A",Main[[#This Row],[Std. Prod. Lead Time]]=""), "",IF(AND(Main[[#This Row],[In Stock Date]]&lt;&gt;"",Main[[#This Row],[Revised Due Date]]&lt;&gt;"",Main[[#This Row],[In Stock Date]]&lt;&gt;""),Main[[#This Row],[In Stock Date]]-Main[[#This Row],[Revised Due Date]],""))</f>
        <v/>
      </c>
      <c r="I172" s="101" t="s">
        <v>530</v>
      </c>
      <c r="J172" s="95" t="s">
        <v>52</v>
      </c>
      <c r="K172" s="95" t="s">
        <v>1920</v>
      </c>
      <c r="L172" s="85"/>
      <c r="M172" s="73" t="str">
        <f>IF(Main[[#This Row],[Tech Start Date]]&lt;1/1/1990,"",IF(Main[[#This Row],[Class]]="C",WORKDAY(Main[[#This Row],[Tech Start Date]],9),IF(Main[[#This Row],[Class]]="B", WORKDAY(Main[[#This Row],[Tech Start Date]],6),IF(Main[[#This Row],[Class]]="A",WORKDAY(Main[[#This Row],[Tech Start Date]],2),""))))</f>
        <v/>
      </c>
      <c r="N172" s="73" t="str">
        <f>IF(Main[[#This Row],[Tech Start Date]]&lt;1/1/1990,"",IF(Main[[#This Row],[Class]]="C",WORKDAY(Main[[#This Row],[Tech Start Date]],19),IF(Main[[#This Row],[Class]]="B", WORKDAY(Main[[#This Row],[Tech Start Date]],12),IF(Main[[#This Row],[Class]]="A",WORKDAY(Main[[#This Row],[Tech Start Date]],4),""))))</f>
        <v/>
      </c>
      <c r="O172" s="73" t="str">
        <f>IF(Main[[#This Row],[Tech Start Date]]&lt;1/1/1990,"",IF(Main[[#This Row],[Class]]="C",WORKDAY(Main[[#This Row],[Tech Start Date]],23),IF(Main[[#This Row],[Class]]="B", WORKDAY(Main[[#This Row],[Tech Start Date]],15),IF(Main[[#This Row],[Class]]="A",WORKDAY(Main[[#This Row],[Tech Start Date]],5),""))))</f>
        <v/>
      </c>
      <c r="P172" s="73" t="str">
        <f>IF(Main[[#This Row],[Tech Start Date]]&lt;1/1/1990,"",IF(Main[[#This Row],[Class]]="C",WORKDAY(Main[[#This Row],[Tech Start Date]],28),IF(Main[[#This Row],[Class]]="B", WORKDAY(Main[[#This Row],[Tech Start Date]],19),IF(Main[[#This Row],[Class]]="A",WORKDAY(Main[[#This Row],[Tech Start Date]],9),""))))</f>
        <v/>
      </c>
      <c r="Q172" s="85">
        <v>40786</v>
      </c>
      <c r="R172" s="112"/>
      <c r="S172" s="95" t="s">
        <v>6</v>
      </c>
      <c r="T172" s="74" t="s">
        <v>4</v>
      </c>
      <c r="U172" s="95" t="s">
        <v>29</v>
      </c>
      <c r="V172" s="95" t="s">
        <v>1914</v>
      </c>
      <c r="W172" s="95" t="s">
        <v>1915</v>
      </c>
      <c r="X172" s="95" t="s">
        <v>306</v>
      </c>
      <c r="Y172" s="72" t="s">
        <v>2919</v>
      </c>
      <c r="Z172" s="72" t="s">
        <v>30</v>
      </c>
      <c r="AA172" s="95" t="s">
        <v>306</v>
      </c>
      <c r="AB172" s="132"/>
      <c r="AC172" s="132"/>
      <c r="AD172" s="132"/>
      <c r="AE172" s="63"/>
      <c r="AF172" s="63"/>
      <c r="AG172" s="63"/>
    </row>
    <row r="173" spans="1:33" ht="17.2" customHeight="1">
      <c r="A173" s="64" t="str">
        <f>IF(priority(Main[[#This Row],[Comments]])&lt;&gt;0, priority(Main[[#This Row],[Comments]]),"")</f>
        <v/>
      </c>
      <c r="B173" s="60" t="s">
        <v>3859</v>
      </c>
      <c r="C173" s="72" t="s">
        <v>3860</v>
      </c>
      <c r="D173" s="59" t="s">
        <v>3861</v>
      </c>
      <c r="E173" s="85">
        <v>40973.457233796296</v>
      </c>
      <c r="F173" s="85"/>
      <c r="G173" s="64" t="str">
        <f>IF(stdProdLT(Main[[#This Row],[Comments]])=0.1,"N/A",IF(stdProdLT(Main[[#This Row],[Comments]])=0,"",TRIM(stdProdLT(Main[[#This Row],[Comments]]))))</f>
        <v>N/A</v>
      </c>
      <c r="H173" s="94" t="str">
        <f>IF(OR(Main[[#This Row],[Std. Prod. Lead Time]]="N/A",Main[[#This Row],[Std. Prod. Lead Time]]=""), "",IF(AND(Main[[#This Row],[In Stock Date]]&lt;&gt;"",Main[[#This Row],[Revised Due Date]]&lt;&gt;"",Main[[#This Row],[In Stock Date]]&lt;&gt;""),Main[[#This Row],[In Stock Date]]-Main[[#This Row],[Revised Due Date]],""))</f>
        <v/>
      </c>
      <c r="I173" s="101" t="s">
        <v>4</v>
      </c>
      <c r="J173" s="95" t="s">
        <v>4</v>
      </c>
      <c r="K173" s="95" t="s">
        <v>4</v>
      </c>
      <c r="L173" s="85"/>
      <c r="M173" s="73" t="str">
        <f>IF(Main[[#This Row],[Tech Start Date]]&lt;1/1/1990,"",IF(Main[[#This Row],[Class]]="C",WORKDAY(Main[[#This Row],[Tech Start Date]],9),IF(Main[[#This Row],[Class]]="B", WORKDAY(Main[[#This Row],[Tech Start Date]],6),IF(Main[[#This Row],[Class]]="A",WORKDAY(Main[[#This Row],[Tech Start Date]],2),""))))</f>
        <v/>
      </c>
      <c r="N173" s="73" t="str">
        <f>IF(Main[[#This Row],[Tech Start Date]]&lt;1/1/1990,"",IF(Main[[#This Row],[Class]]="C",WORKDAY(Main[[#This Row],[Tech Start Date]],19),IF(Main[[#This Row],[Class]]="B", WORKDAY(Main[[#This Row],[Tech Start Date]],12),IF(Main[[#This Row],[Class]]="A",WORKDAY(Main[[#This Row],[Tech Start Date]],4),""))))</f>
        <v/>
      </c>
      <c r="O173" s="73" t="str">
        <f>IF(Main[[#This Row],[Tech Start Date]]&lt;1/1/1990,"",IF(Main[[#This Row],[Class]]="C",WORKDAY(Main[[#This Row],[Tech Start Date]],23),IF(Main[[#This Row],[Class]]="B", WORKDAY(Main[[#This Row],[Tech Start Date]],15),IF(Main[[#This Row],[Class]]="A",WORKDAY(Main[[#This Row],[Tech Start Date]],5),""))))</f>
        <v/>
      </c>
      <c r="P173" s="73" t="str">
        <f>IF(Main[[#This Row],[Tech Start Date]]&lt;1/1/1990,"",IF(Main[[#This Row],[Class]]="C",WORKDAY(Main[[#This Row],[Tech Start Date]],28),IF(Main[[#This Row],[Class]]="B", WORKDAY(Main[[#This Row],[Tech Start Date]],19),IF(Main[[#This Row],[Class]]="A",WORKDAY(Main[[#This Row],[Tech Start Date]],9),""))))</f>
        <v/>
      </c>
      <c r="Q173" s="85">
        <v>40981</v>
      </c>
      <c r="R173" s="112"/>
      <c r="S173" s="95" t="s">
        <v>6</v>
      </c>
      <c r="T173" s="74" t="s">
        <v>3201</v>
      </c>
      <c r="U173" s="95" t="s">
        <v>7</v>
      </c>
      <c r="V173" s="95" t="s">
        <v>1911</v>
      </c>
      <c r="W173" s="95" t="s">
        <v>1913</v>
      </c>
      <c r="X173" s="95" t="s">
        <v>2850</v>
      </c>
      <c r="Y173" s="72" t="s">
        <v>2994</v>
      </c>
      <c r="Z173" s="72" t="s">
        <v>4</v>
      </c>
      <c r="AA173" s="95" t="s">
        <v>2850</v>
      </c>
      <c r="AB173" s="132"/>
      <c r="AC173" s="132"/>
      <c r="AD173" s="132"/>
      <c r="AE173" s="63"/>
      <c r="AF173" s="63"/>
      <c r="AG173" s="63"/>
    </row>
    <row r="174" spans="1:33" ht="17.2" customHeight="1">
      <c r="A174" s="64" t="str">
        <f>IF(priority(Main[[#This Row],[Comments]])&lt;&gt;0, priority(Main[[#This Row],[Comments]]),"")</f>
        <v/>
      </c>
      <c r="B174" s="60" t="s">
        <v>1056</v>
      </c>
      <c r="C174" s="72" t="s">
        <v>4</v>
      </c>
      <c r="D174" s="59" t="s">
        <v>39</v>
      </c>
      <c r="E174" s="85"/>
      <c r="F174" s="85"/>
      <c r="G174" s="64" t="str">
        <f>IF(stdProdLT(Main[[#This Row],[Comments]])=0.1,"N/A",IF(stdProdLT(Main[[#This Row],[Comments]])=0,"",TRIM(stdProdLT(Main[[#This Row],[Comments]]))))</f>
        <v/>
      </c>
      <c r="H174" s="94" t="str">
        <f>IF(OR(Main[[#This Row],[Std. Prod. Lead Time]]="N/A",Main[[#This Row],[Std. Prod. Lead Time]]=""), "",IF(AND(Main[[#This Row],[In Stock Date]]&lt;&gt;"",Main[[#This Row],[Revised Due Date]]&lt;&gt;"",Main[[#This Row],[In Stock Date]]&lt;&gt;""),Main[[#This Row],[In Stock Date]]-Main[[#This Row],[Revised Due Date]],""))</f>
        <v/>
      </c>
      <c r="I174" s="101" t="s">
        <v>4</v>
      </c>
      <c r="J174" s="95" t="s">
        <v>4</v>
      </c>
      <c r="K174" s="95" t="s">
        <v>4</v>
      </c>
      <c r="L174" s="85"/>
      <c r="M174" s="73" t="str">
        <f>IF(Main[[#This Row],[Tech Start Date]]&lt;1/1/1990,"",IF(Main[[#This Row],[Class]]="C",WORKDAY(Main[[#This Row],[Tech Start Date]],9),IF(Main[[#This Row],[Class]]="B", WORKDAY(Main[[#This Row],[Tech Start Date]],6),IF(Main[[#This Row],[Class]]="A",WORKDAY(Main[[#This Row],[Tech Start Date]],2),""))))</f>
        <v/>
      </c>
      <c r="N174" s="73" t="str">
        <f>IF(Main[[#This Row],[Tech Start Date]]&lt;1/1/1990,"",IF(Main[[#This Row],[Class]]="C",WORKDAY(Main[[#This Row],[Tech Start Date]],19),IF(Main[[#This Row],[Class]]="B", WORKDAY(Main[[#This Row],[Tech Start Date]],12),IF(Main[[#This Row],[Class]]="A",WORKDAY(Main[[#This Row],[Tech Start Date]],4),""))))</f>
        <v/>
      </c>
      <c r="O174" s="73" t="str">
        <f>IF(Main[[#This Row],[Tech Start Date]]&lt;1/1/1990,"",IF(Main[[#This Row],[Class]]="C",WORKDAY(Main[[#This Row],[Tech Start Date]],23),IF(Main[[#This Row],[Class]]="B", WORKDAY(Main[[#This Row],[Tech Start Date]],15),IF(Main[[#This Row],[Class]]="A",WORKDAY(Main[[#This Row],[Tech Start Date]],5),""))))</f>
        <v/>
      </c>
      <c r="P174" s="73" t="str">
        <f>IF(Main[[#This Row],[Tech Start Date]]&lt;1/1/1990,"",IF(Main[[#This Row],[Class]]="C",WORKDAY(Main[[#This Row],[Tech Start Date]],28),IF(Main[[#This Row],[Class]]="B", WORKDAY(Main[[#This Row],[Tech Start Date]],19),IF(Main[[#This Row],[Class]]="A",WORKDAY(Main[[#This Row],[Tech Start Date]],9),""))))</f>
        <v/>
      </c>
      <c r="Q174" s="85">
        <v>40669</v>
      </c>
      <c r="R174" s="112"/>
      <c r="S174" s="95" t="s">
        <v>6</v>
      </c>
      <c r="T174" s="74" t="s">
        <v>4</v>
      </c>
      <c r="U174" s="95" t="s">
        <v>14</v>
      </c>
      <c r="V174" s="95" t="s">
        <v>1914</v>
      </c>
      <c r="W174" s="95" t="s">
        <v>4</v>
      </c>
      <c r="X174" s="95" t="s">
        <v>2798</v>
      </c>
      <c r="Y174" s="72" t="s">
        <v>2908</v>
      </c>
      <c r="Z174" s="72" t="s">
        <v>4</v>
      </c>
      <c r="AA174" s="95" t="s">
        <v>2798</v>
      </c>
      <c r="AB174" s="132"/>
      <c r="AC174" s="132"/>
      <c r="AD174" s="132"/>
      <c r="AE174" s="63"/>
      <c r="AF174" s="63"/>
      <c r="AG174" s="63"/>
    </row>
    <row r="175" spans="1:33" ht="17.2" customHeight="1">
      <c r="A175" s="64" t="str">
        <f>IF(priority(Main[[#This Row],[Comments]])&lt;&gt;0, priority(Main[[#This Row],[Comments]]),"")</f>
        <v/>
      </c>
      <c r="B175" s="60" t="s">
        <v>1057</v>
      </c>
      <c r="C175" s="72" t="s">
        <v>47</v>
      </c>
      <c r="D175" s="59" t="s">
        <v>91</v>
      </c>
      <c r="E175" s="85"/>
      <c r="F175" s="85"/>
      <c r="G175" s="64" t="str">
        <f>IF(stdProdLT(Main[[#This Row],[Comments]])=0.1,"N/A",IF(stdProdLT(Main[[#This Row],[Comments]])=0,"",TRIM(stdProdLT(Main[[#This Row],[Comments]]))))</f>
        <v/>
      </c>
      <c r="H175" s="94" t="str">
        <f>IF(OR(Main[[#This Row],[Std. Prod. Lead Time]]="N/A",Main[[#This Row],[Std. Prod. Lead Time]]=""), "",IF(AND(Main[[#This Row],[In Stock Date]]&lt;&gt;"",Main[[#This Row],[Revised Due Date]]&lt;&gt;"",Main[[#This Row],[In Stock Date]]&lt;&gt;""),Main[[#This Row],[In Stock Date]]-Main[[#This Row],[Revised Due Date]],""))</f>
        <v/>
      </c>
      <c r="I175" s="101" t="s">
        <v>4</v>
      </c>
      <c r="J175" s="95" t="s">
        <v>4</v>
      </c>
      <c r="K175" s="95" t="s">
        <v>4</v>
      </c>
      <c r="L175" s="85"/>
      <c r="M175" s="73" t="str">
        <f>IF(Main[[#This Row],[Tech Start Date]]&lt;1/1/1990,"",IF(Main[[#This Row],[Class]]="C",WORKDAY(Main[[#This Row],[Tech Start Date]],9),IF(Main[[#This Row],[Class]]="B", WORKDAY(Main[[#This Row],[Tech Start Date]],6),IF(Main[[#This Row],[Class]]="A",WORKDAY(Main[[#This Row],[Tech Start Date]],2),""))))</f>
        <v/>
      </c>
      <c r="N175" s="73" t="str">
        <f>IF(Main[[#This Row],[Tech Start Date]]&lt;1/1/1990,"",IF(Main[[#This Row],[Class]]="C",WORKDAY(Main[[#This Row],[Tech Start Date]],19),IF(Main[[#This Row],[Class]]="B", WORKDAY(Main[[#This Row],[Tech Start Date]],12),IF(Main[[#This Row],[Class]]="A",WORKDAY(Main[[#This Row],[Tech Start Date]],4),""))))</f>
        <v/>
      </c>
      <c r="O175" s="73" t="str">
        <f>IF(Main[[#This Row],[Tech Start Date]]&lt;1/1/1990,"",IF(Main[[#This Row],[Class]]="C",WORKDAY(Main[[#This Row],[Tech Start Date]],23),IF(Main[[#This Row],[Class]]="B", WORKDAY(Main[[#This Row],[Tech Start Date]],15),IF(Main[[#This Row],[Class]]="A",WORKDAY(Main[[#This Row],[Tech Start Date]],5),""))))</f>
        <v/>
      </c>
      <c r="P175" s="73" t="str">
        <f>IF(Main[[#This Row],[Tech Start Date]]&lt;1/1/1990,"",IF(Main[[#This Row],[Class]]="C",WORKDAY(Main[[#This Row],[Tech Start Date]],28),IF(Main[[#This Row],[Class]]="B", WORKDAY(Main[[#This Row],[Tech Start Date]],19),IF(Main[[#This Row],[Class]]="A",WORKDAY(Main[[#This Row],[Tech Start Date]],9),""))))</f>
        <v/>
      </c>
      <c r="Q175" s="85"/>
      <c r="R175" s="112"/>
      <c r="S175" s="95" t="s">
        <v>49</v>
      </c>
      <c r="T175" s="74" t="s">
        <v>4</v>
      </c>
      <c r="U175" s="95" t="s">
        <v>14</v>
      </c>
      <c r="V175" s="95" t="s">
        <v>1914</v>
      </c>
      <c r="W175" s="95" t="s">
        <v>1915</v>
      </c>
      <c r="X175" s="95" t="s">
        <v>306</v>
      </c>
      <c r="Y175" s="72" t="s">
        <v>2919</v>
      </c>
      <c r="Z175" s="72" t="s">
        <v>4</v>
      </c>
      <c r="AA175" s="95" t="s">
        <v>3337</v>
      </c>
      <c r="AB175" s="132"/>
      <c r="AC175" s="132"/>
      <c r="AD175" s="132"/>
      <c r="AE175" s="63"/>
      <c r="AF175" s="63"/>
      <c r="AG175" s="63"/>
    </row>
    <row r="176" spans="1:33" ht="17.2" customHeight="1">
      <c r="A176" s="64" t="str">
        <f>IF(priority(Main[[#This Row],[Comments]])&lt;&gt;0, priority(Main[[#This Row],[Comments]]),"")</f>
        <v/>
      </c>
      <c r="B176" s="60" t="s">
        <v>1058</v>
      </c>
      <c r="C176" s="72" t="s">
        <v>4</v>
      </c>
      <c r="D176" s="59" t="s">
        <v>92</v>
      </c>
      <c r="E176" s="85"/>
      <c r="F176" s="85"/>
      <c r="G176" s="64" t="str">
        <f>IF(stdProdLT(Main[[#This Row],[Comments]])=0.1,"N/A",IF(stdProdLT(Main[[#This Row],[Comments]])=0,"",TRIM(stdProdLT(Main[[#This Row],[Comments]]))))</f>
        <v/>
      </c>
      <c r="H176" s="94" t="str">
        <f>IF(OR(Main[[#This Row],[Std. Prod. Lead Time]]="N/A",Main[[#This Row],[Std. Prod. Lead Time]]=""), "",IF(AND(Main[[#This Row],[In Stock Date]]&lt;&gt;"",Main[[#This Row],[Revised Due Date]]&lt;&gt;"",Main[[#This Row],[In Stock Date]]&lt;&gt;""),Main[[#This Row],[In Stock Date]]-Main[[#This Row],[Revised Due Date]],""))</f>
        <v/>
      </c>
      <c r="I176" s="101" t="s">
        <v>4</v>
      </c>
      <c r="J176" s="95" t="s">
        <v>4</v>
      </c>
      <c r="K176" s="95" t="s">
        <v>4</v>
      </c>
      <c r="L176" s="85"/>
      <c r="M176" s="73" t="str">
        <f>IF(Main[[#This Row],[Tech Start Date]]&lt;1/1/1990,"",IF(Main[[#This Row],[Class]]="C",WORKDAY(Main[[#This Row],[Tech Start Date]],9),IF(Main[[#This Row],[Class]]="B", WORKDAY(Main[[#This Row],[Tech Start Date]],6),IF(Main[[#This Row],[Class]]="A",WORKDAY(Main[[#This Row],[Tech Start Date]],2),""))))</f>
        <v/>
      </c>
      <c r="N176" s="73" t="str">
        <f>IF(Main[[#This Row],[Tech Start Date]]&lt;1/1/1990,"",IF(Main[[#This Row],[Class]]="C",WORKDAY(Main[[#This Row],[Tech Start Date]],19),IF(Main[[#This Row],[Class]]="B", WORKDAY(Main[[#This Row],[Tech Start Date]],12),IF(Main[[#This Row],[Class]]="A",WORKDAY(Main[[#This Row],[Tech Start Date]],4),""))))</f>
        <v/>
      </c>
      <c r="O176" s="73" t="str">
        <f>IF(Main[[#This Row],[Tech Start Date]]&lt;1/1/1990,"",IF(Main[[#This Row],[Class]]="C",WORKDAY(Main[[#This Row],[Tech Start Date]],23),IF(Main[[#This Row],[Class]]="B", WORKDAY(Main[[#This Row],[Tech Start Date]],15),IF(Main[[#This Row],[Class]]="A",WORKDAY(Main[[#This Row],[Tech Start Date]],5),""))))</f>
        <v/>
      </c>
      <c r="P176" s="73" t="str">
        <f>IF(Main[[#This Row],[Tech Start Date]]&lt;1/1/1990,"",IF(Main[[#This Row],[Class]]="C",WORKDAY(Main[[#This Row],[Tech Start Date]],28),IF(Main[[#This Row],[Class]]="B", WORKDAY(Main[[#This Row],[Tech Start Date]],19),IF(Main[[#This Row],[Class]]="A",WORKDAY(Main[[#This Row],[Tech Start Date]],9),""))))</f>
        <v/>
      </c>
      <c r="Q176" s="85">
        <v>40289</v>
      </c>
      <c r="R176" s="112"/>
      <c r="S176" s="95" t="s">
        <v>11</v>
      </c>
      <c r="T176" s="74" t="s">
        <v>4</v>
      </c>
      <c r="U176" s="95" t="s">
        <v>14</v>
      </c>
      <c r="V176" s="95" t="s">
        <v>1911</v>
      </c>
      <c r="W176" s="95" t="s">
        <v>1913</v>
      </c>
      <c r="X176" s="95" t="s">
        <v>2801</v>
      </c>
      <c r="Y176" s="72" t="s">
        <v>2914</v>
      </c>
      <c r="Z176" s="72" t="s">
        <v>4</v>
      </c>
      <c r="AA176" s="95" t="s">
        <v>2801</v>
      </c>
      <c r="AB176" s="132"/>
      <c r="AC176" s="132"/>
      <c r="AD176" s="132"/>
      <c r="AE176" s="63"/>
      <c r="AF176" s="63"/>
      <c r="AG176" s="63"/>
    </row>
    <row r="177" spans="1:33" ht="17.2" customHeight="1">
      <c r="A177" s="64" t="str">
        <f>IF(priority(Main[[#This Row],[Comments]])&lt;&gt;0, priority(Main[[#This Row],[Comments]]),"")</f>
        <v/>
      </c>
      <c r="B177" s="60" t="s">
        <v>1059</v>
      </c>
      <c r="C177" s="72" t="s">
        <v>95</v>
      </c>
      <c r="D177" s="59" t="s">
        <v>96</v>
      </c>
      <c r="E177" s="85"/>
      <c r="F177" s="85"/>
      <c r="G177" s="64" t="str">
        <f>IF(stdProdLT(Main[[#This Row],[Comments]])=0.1,"N/A",IF(stdProdLT(Main[[#This Row],[Comments]])=0,"",TRIM(stdProdLT(Main[[#This Row],[Comments]]))))</f>
        <v/>
      </c>
      <c r="H177" s="94" t="str">
        <f>IF(OR(Main[[#This Row],[Std. Prod. Lead Time]]="N/A",Main[[#This Row],[Std. Prod. Lead Time]]=""), "",IF(AND(Main[[#This Row],[In Stock Date]]&lt;&gt;"",Main[[#This Row],[Revised Due Date]]&lt;&gt;"",Main[[#This Row],[In Stock Date]]&lt;&gt;""),Main[[#This Row],[In Stock Date]]-Main[[#This Row],[Revised Due Date]],""))</f>
        <v/>
      </c>
      <c r="I177" s="101" t="s">
        <v>4</v>
      </c>
      <c r="J177" s="95" t="s">
        <v>4</v>
      </c>
      <c r="K177" s="95" t="s">
        <v>4</v>
      </c>
      <c r="L177" s="85"/>
      <c r="M177" s="73" t="str">
        <f>IF(Main[[#This Row],[Tech Start Date]]&lt;1/1/1990,"",IF(Main[[#This Row],[Class]]="C",WORKDAY(Main[[#This Row],[Tech Start Date]],9),IF(Main[[#This Row],[Class]]="B", WORKDAY(Main[[#This Row],[Tech Start Date]],6),IF(Main[[#This Row],[Class]]="A",WORKDAY(Main[[#This Row],[Tech Start Date]],2),""))))</f>
        <v/>
      </c>
      <c r="N177" s="73" t="str">
        <f>IF(Main[[#This Row],[Tech Start Date]]&lt;1/1/1990,"",IF(Main[[#This Row],[Class]]="C",WORKDAY(Main[[#This Row],[Tech Start Date]],19),IF(Main[[#This Row],[Class]]="B", WORKDAY(Main[[#This Row],[Tech Start Date]],12),IF(Main[[#This Row],[Class]]="A",WORKDAY(Main[[#This Row],[Tech Start Date]],4),""))))</f>
        <v/>
      </c>
      <c r="O177" s="73" t="str">
        <f>IF(Main[[#This Row],[Tech Start Date]]&lt;1/1/1990,"",IF(Main[[#This Row],[Class]]="C",WORKDAY(Main[[#This Row],[Tech Start Date]],23),IF(Main[[#This Row],[Class]]="B", WORKDAY(Main[[#This Row],[Tech Start Date]],15),IF(Main[[#This Row],[Class]]="A",WORKDAY(Main[[#This Row],[Tech Start Date]],5),""))))</f>
        <v/>
      </c>
      <c r="P177" s="73" t="str">
        <f>IF(Main[[#This Row],[Tech Start Date]]&lt;1/1/1990,"",IF(Main[[#This Row],[Class]]="C",WORKDAY(Main[[#This Row],[Tech Start Date]],28),IF(Main[[#This Row],[Class]]="B", WORKDAY(Main[[#This Row],[Tech Start Date]],19),IF(Main[[#This Row],[Class]]="A",WORKDAY(Main[[#This Row],[Tech Start Date]],9),""))))</f>
        <v/>
      </c>
      <c r="Q177" s="85">
        <v>40302</v>
      </c>
      <c r="R177" s="112"/>
      <c r="S177" s="95" t="s">
        <v>6</v>
      </c>
      <c r="T177" s="74" t="s">
        <v>4</v>
      </c>
      <c r="U177" s="95" t="s">
        <v>14</v>
      </c>
      <c r="V177" s="95" t="s">
        <v>1911</v>
      </c>
      <c r="W177" s="95" t="s">
        <v>1917</v>
      </c>
      <c r="X177" s="95" t="s">
        <v>129</v>
      </c>
      <c r="Y177" s="72" t="s">
        <v>4</v>
      </c>
      <c r="Z177" s="72" t="s">
        <v>4</v>
      </c>
      <c r="AA177" s="95" t="s">
        <v>883</v>
      </c>
      <c r="AB177" s="132"/>
      <c r="AC177" s="132"/>
      <c r="AD177" s="132"/>
      <c r="AE177" s="63"/>
      <c r="AF177" s="63"/>
      <c r="AG177" s="63"/>
    </row>
    <row r="178" spans="1:33" ht="17.2" customHeight="1">
      <c r="A178" s="64" t="str">
        <f>IF(priority(Main[[#This Row],[Comments]])&lt;&gt;0, priority(Main[[#This Row],[Comments]]),"")</f>
        <v/>
      </c>
      <c r="B178" s="60" t="s">
        <v>1060</v>
      </c>
      <c r="C178" s="72" t="s">
        <v>4</v>
      </c>
      <c r="D178" s="59" t="s">
        <v>105</v>
      </c>
      <c r="E178" s="85"/>
      <c r="F178" s="85"/>
      <c r="G178" s="64" t="str">
        <f>IF(stdProdLT(Main[[#This Row],[Comments]])=0.1,"N/A",IF(stdProdLT(Main[[#This Row],[Comments]])=0,"",TRIM(stdProdLT(Main[[#This Row],[Comments]]))))</f>
        <v/>
      </c>
      <c r="H178" s="94" t="str">
        <f>IF(OR(Main[[#This Row],[Std. Prod. Lead Time]]="N/A",Main[[#This Row],[Std. Prod. Lead Time]]=""), "",IF(AND(Main[[#This Row],[In Stock Date]]&lt;&gt;"",Main[[#This Row],[Revised Due Date]]&lt;&gt;"",Main[[#This Row],[In Stock Date]]&lt;&gt;""),Main[[#This Row],[In Stock Date]]-Main[[#This Row],[Revised Due Date]],""))</f>
        <v/>
      </c>
      <c r="I178" s="101" t="s">
        <v>44</v>
      </c>
      <c r="J178" s="95" t="s">
        <v>28</v>
      </c>
      <c r="K178" s="95" t="s">
        <v>1920</v>
      </c>
      <c r="L178" s="85"/>
      <c r="M178" s="73" t="str">
        <f>IF(Main[[#This Row],[Tech Start Date]]&lt;1/1/1990,"",IF(Main[[#This Row],[Class]]="C",WORKDAY(Main[[#This Row],[Tech Start Date]],9),IF(Main[[#This Row],[Class]]="B", WORKDAY(Main[[#This Row],[Tech Start Date]],6),IF(Main[[#This Row],[Class]]="A",WORKDAY(Main[[#This Row],[Tech Start Date]],2),""))))</f>
        <v/>
      </c>
      <c r="N178" s="73" t="str">
        <f>IF(Main[[#This Row],[Tech Start Date]]&lt;1/1/1990,"",IF(Main[[#This Row],[Class]]="C",WORKDAY(Main[[#This Row],[Tech Start Date]],19),IF(Main[[#This Row],[Class]]="B", WORKDAY(Main[[#This Row],[Tech Start Date]],12),IF(Main[[#This Row],[Class]]="A",WORKDAY(Main[[#This Row],[Tech Start Date]],4),""))))</f>
        <v/>
      </c>
      <c r="O178" s="73" t="str">
        <f>IF(Main[[#This Row],[Tech Start Date]]&lt;1/1/1990,"",IF(Main[[#This Row],[Class]]="C",WORKDAY(Main[[#This Row],[Tech Start Date]],23),IF(Main[[#This Row],[Class]]="B", WORKDAY(Main[[#This Row],[Tech Start Date]],15),IF(Main[[#This Row],[Class]]="A",WORKDAY(Main[[#This Row],[Tech Start Date]],5),""))))</f>
        <v/>
      </c>
      <c r="P178" s="73" t="str">
        <f>IF(Main[[#This Row],[Tech Start Date]]&lt;1/1/1990,"",IF(Main[[#This Row],[Class]]="C",WORKDAY(Main[[#This Row],[Tech Start Date]],28),IF(Main[[#This Row],[Class]]="B", WORKDAY(Main[[#This Row],[Tech Start Date]],19),IF(Main[[#This Row],[Class]]="A",WORKDAY(Main[[#This Row],[Tech Start Date]],9),""))))</f>
        <v/>
      </c>
      <c r="Q178" s="85">
        <v>40725</v>
      </c>
      <c r="R178" s="112"/>
      <c r="S178" s="95" t="s">
        <v>6</v>
      </c>
      <c r="T178" s="74" t="s">
        <v>4</v>
      </c>
      <c r="U178" s="95" t="s">
        <v>14</v>
      </c>
      <c r="V178" s="95" t="s">
        <v>1914</v>
      </c>
      <c r="W178" s="95" t="s">
        <v>1915</v>
      </c>
      <c r="X178" s="95" t="s">
        <v>2799</v>
      </c>
      <c r="Y178" s="72" t="s">
        <v>2910</v>
      </c>
      <c r="Z178" s="72" t="s">
        <v>44</v>
      </c>
      <c r="AA178" s="95" t="s">
        <v>2799</v>
      </c>
      <c r="AB178" s="132"/>
      <c r="AC178" s="132"/>
      <c r="AD178" s="132"/>
      <c r="AE178" s="63"/>
      <c r="AF178" s="63"/>
      <c r="AG178" s="63"/>
    </row>
    <row r="179" spans="1:33" ht="17.2" customHeight="1">
      <c r="A179" s="64" t="str">
        <f>IF(priority(Main[[#This Row],[Comments]])&lt;&gt;0, priority(Main[[#This Row],[Comments]]),"")</f>
        <v/>
      </c>
      <c r="B179" s="60" t="s">
        <v>1061</v>
      </c>
      <c r="C179" s="72" t="s">
        <v>106</v>
      </c>
      <c r="D179" s="59" t="s">
        <v>107</v>
      </c>
      <c r="E179" s="85"/>
      <c r="F179" s="85"/>
      <c r="G179" s="64" t="str">
        <f>IF(stdProdLT(Main[[#This Row],[Comments]])=0.1,"N/A",IF(stdProdLT(Main[[#This Row],[Comments]])=0,"",TRIM(stdProdLT(Main[[#This Row],[Comments]]))))</f>
        <v/>
      </c>
      <c r="H179" s="94" t="str">
        <f>IF(OR(Main[[#This Row],[Std. Prod. Lead Time]]="N/A",Main[[#This Row],[Std. Prod. Lead Time]]=""), "",IF(AND(Main[[#This Row],[In Stock Date]]&lt;&gt;"",Main[[#This Row],[Revised Due Date]]&lt;&gt;"",Main[[#This Row],[In Stock Date]]&lt;&gt;""),Main[[#This Row],[In Stock Date]]-Main[[#This Row],[Revised Due Date]],""))</f>
        <v/>
      </c>
      <c r="I179" s="101" t="s">
        <v>108</v>
      </c>
      <c r="J179" s="95" t="s">
        <v>28</v>
      </c>
      <c r="K179" s="95" t="s">
        <v>1924</v>
      </c>
      <c r="L179" s="85"/>
      <c r="M179" s="73" t="str">
        <f>IF(Main[[#This Row],[Tech Start Date]]&lt;1/1/1990,"",IF(Main[[#This Row],[Class]]="C",WORKDAY(Main[[#This Row],[Tech Start Date]],9),IF(Main[[#This Row],[Class]]="B", WORKDAY(Main[[#This Row],[Tech Start Date]],6),IF(Main[[#This Row],[Class]]="A",WORKDAY(Main[[#This Row],[Tech Start Date]],2),""))))</f>
        <v/>
      </c>
      <c r="N179" s="73" t="str">
        <f>IF(Main[[#This Row],[Tech Start Date]]&lt;1/1/1990,"",IF(Main[[#This Row],[Class]]="C",WORKDAY(Main[[#This Row],[Tech Start Date]],19),IF(Main[[#This Row],[Class]]="B", WORKDAY(Main[[#This Row],[Tech Start Date]],12),IF(Main[[#This Row],[Class]]="A",WORKDAY(Main[[#This Row],[Tech Start Date]],4),""))))</f>
        <v/>
      </c>
      <c r="O179" s="73" t="str">
        <f>IF(Main[[#This Row],[Tech Start Date]]&lt;1/1/1990,"",IF(Main[[#This Row],[Class]]="C",WORKDAY(Main[[#This Row],[Tech Start Date]],23),IF(Main[[#This Row],[Class]]="B", WORKDAY(Main[[#This Row],[Tech Start Date]],15),IF(Main[[#This Row],[Class]]="A",WORKDAY(Main[[#This Row],[Tech Start Date]],5),""))))</f>
        <v/>
      </c>
      <c r="P179" s="73" t="str">
        <f>IF(Main[[#This Row],[Tech Start Date]]&lt;1/1/1990,"",IF(Main[[#This Row],[Class]]="C",WORKDAY(Main[[#This Row],[Tech Start Date]],28),IF(Main[[#This Row],[Class]]="B", WORKDAY(Main[[#This Row],[Tech Start Date]],19),IF(Main[[#This Row],[Class]]="A",WORKDAY(Main[[#This Row],[Tech Start Date]],9),""))))</f>
        <v/>
      </c>
      <c r="Q179" s="85">
        <v>40626</v>
      </c>
      <c r="R179" s="112"/>
      <c r="S179" s="95" t="s">
        <v>11</v>
      </c>
      <c r="T179" s="74" t="s">
        <v>4</v>
      </c>
      <c r="U179" s="95" t="s">
        <v>14</v>
      </c>
      <c r="V179" s="95" t="s">
        <v>1912</v>
      </c>
      <c r="W179" s="95" t="s">
        <v>1913</v>
      </c>
      <c r="X179" s="95" t="s">
        <v>2796</v>
      </c>
      <c r="Y179" s="72" t="s">
        <v>2907</v>
      </c>
      <c r="Z179" s="72" t="s">
        <v>108</v>
      </c>
      <c r="AA179" s="95" t="s">
        <v>2796</v>
      </c>
      <c r="AB179" s="132"/>
      <c r="AC179" s="132"/>
      <c r="AD179" s="132"/>
      <c r="AE179" s="63"/>
      <c r="AF179" s="63"/>
      <c r="AG179" s="63"/>
    </row>
    <row r="180" spans="1:33" ht="17.2" customHeight="1">
      <c r="A180" s="64" t="str">
        <f>IF(priority(Main[[#This Row],[Comments]])&lt;&gt;0, priority(Main[[#This Row],[Comments]]),"")</f>
        <v/>
      </c>
      <c r="B180" s="60" t="s">
        <v>1068</v>
      </c>
      <c r="C180" s="72" t="s">
        <v>31</v>
      </c>
      <c r="D180" s="59" t="s">
        <v>109</v>
      </c>
      <c r="E180" s="85"/>
      <c r="F180" s="85"/>
      <c r="G180" s="64" t="str">
        <f>IF(stdProdLT(Main[[#This Row],[Comments]])=0.1,"N/A",IF(stdProdLT(Main[[#This Row],[Comments]])=0,"",TRIM(stdProdLT(Main[[#This Row],[Comments]]))))</f>
        <v/>
      </c>
      <c r="H180" s="94" t="str">
        <f>IF(OR(Main[[#This Row],[Std. Prod. Lead Time]]="N/A",Main[[#This Row],[Std. Prod. Lead Time]]=""), "",IF(AND(Main[[#This Row],[In Stock Date]]&lt;&gt;"",Main[[#This Row],[Revised Due Date]]&lt;&gt;"",Main[[#This Row],[In Stock Date]]&lt;&gt;""),Main[[#This Row],[In Stock Date]]-Main[[#This Row],[Revised Due Date]],""))</f>
        <v/>
      </c>
      <c r="I180" s="101" t="s">
        <v>4</v>
      </c>
      <c r="J180" s="95" t="s">
        <v>4</v>
      </c>
      <c r="K180" s="96" t="s">
        <v>4</v>
      </c>
      <c r="L180" s="85"/>
      <c r="M180" s="73" t="str">
        <f>IF(Main[[#This Row],[Tech Start Date]]&lt;1/1/1990,"",IF(Main[[#This Row],[Class]]="C",WORKDAY(Main[[#This Row],[Tech Start Date]],9),IF(Main[[#This Row],[Class]]="B", WORKDAY(Main[[#This Row],[Tech Start Date]],6),IF(Main[[#This Row],[Class]]="A",WORKDAY(Main[[#This Row],[Tech Start Date]],2),""))))</f>
        <v/>
      </c>
      <c r="N180" s="73" t="str">
        <f>IF(Main[[#This Row],[Tech Start Date]]&lt;1/1/1990,"",IF(Main[[#This Row],[Class]]="C",WORKDAY(Main[[#This Row],[Tech Start Date]],19),IF(Main[[#This Row],[Class]]="B", WORKDAY(Main[[#This Row],[Tech Start Date]],12),IF(Main[[#This Row],[Class]]="A",WORKDAY(Main[[#This Row],[Tech Start Date]],4),""))))</f>
        <v/>
      </c>
      <c r="O180" s="73" t="str">
        <f>IF(Main[[#This Row],[Tech Start Date]]&lt;1/1/1990,"",IF(Main[[#This Row],[Class]]="C",WORKDAY(Main[[#This Row],[Tech Start Date]],23),IF(Main[[#This Row],[Class]]="B", WORKDAY(Main[[#This Row],[Tech Start Date]],15),IF(Main[[#This Row],[Class]]="A",WORKDAY(Main[[#This Row],[Tech Start Date]],5),""))))</f>
        <v/>
      </c>
      <c r="P180" s="73" t="str">
        <f>IF(Main[[#This Row],[Tech Start Date]]&lt;1/1/1990,"",IF(Main[[#This Row],[Class]]="C",WORKDAY(Main[[#This Row],[Tech Start Date]],28),IF(Main[[#This Row],[Class]]="B", WORKDAY(Main[[#This Row],[Tech Start Date]],19),IF(Main[[#This Row],[Class]]="A",WORKDAY(Main[[#This Row],[Tech Start Date]],9),""))))</f>
        <v/>
      </c>
      <c r="Q180" s="85">
        <v>40318</v>
      </c>
      <c r="R180" s="112"/>
      <c r="S180" s="95" t="s">
        <v>11</v>
      </c>
      <c r="T180" s="74" t="s">
        <v>4</v>
      </c>
      <c r="U180" s="95" t="s">
        <v>14</v>
      </c>
      <c r="V180" s="95" t="s">
        <v>1914</v>
      </c>
      <c r="W180" s="95" t="s">
        <v>1913</v>
      </c>
      <c r="X180" s="95" t="s">
        <v>2810</v>
      </c>
      <c r="Y180" s="72" t="s">
        <v>4</v>
      </c>
      <c r="Z180" s="72" t="s">
        <v>4</v>
      </c>
      <c r="AA180" s="95" t="s">
        <v>2810</v>
      </c>
      <c r="AB180" s="132"/>
      <c r="AC180" s="132"/>
      <c r="AD180" s="132"/>
      <c r="AE180" s="63"/>
      <c r="AF180" s="63"/>
      <c r="AG180" s="63"/>
    </row>
    <row r="181" spans="1:33" ht="17.2" customHeight="1">
      <c r="A181" s="64" t="str">
        <f>IF(priority(Main[[#This Row],[Comments]])&lt;&gt;0, priority(Main[[#This Row],[Comments]]),"")</f>
        <v/>
      </c>
      <c r="B181" s="60" t="s">
        <v>2036</v>
      </c>
      <c r="C181" s="72" t="s">
        <v>4</v>
      </c>
      <c r="D181" s="59" t="s">
        <v>2035</v>
      </c>
      <c r="E181" s="85"/>
      <c r="F181" s="85"/>
      <c r="G181" s="64" t="str">
        <f>IF(stdProdLT(Main[[#This Row],[Comments]])=0.1,"N/A",IF(stdProdLT(Main[[#This Row],[Comments]])=0,"",TRIM(stdProdLT(Main[[#This Row],[Comments]]))))</f>
        <v/>
      </c>
      <c r="H181" s="94" t="str">
        <f>IF(OR(Main[[#This Row],[Std. Prod. Lead Time]]="N/A",Main[[#This Row],[Std. Prod. Lead Time]]=""), "",IF(AND(Main[[#This Row],[In Stock Date]]&lt;&gt;"",Main[[#This Row],[Revised Due Date]]&lt;&gt;"",Main[[#This Row],[In Stock Date]]&lt;&gt;""),Main[[#This Row],[In Stock Date]]-Main[[#This Row],[Revised Due Date]],""))</f>
        <v/>
      </c>
      <c r="I181" s="101" t="s">
        <v>4</v>
      </c>
      <c r="J181" s="95" t="s">
        <v>4</v>
      </c>
      <c r="K181" s="95" t="s">
        <v>4</v>
      </c>
      <c r="L181" s="85"/>
      <c r="M181" s="73" t="str">
        <f>IF(Main[[#This Row],[Tech Start Date]]&lt;1/1/1990,"",IF(Main[[#This Row],[Class]]="C",WORKDAY(Main[[#This Row],[Tech Start Date]],9),IF(Main[[#This Row],[Class]]="B", WORKDAY(Main[[#This Row],[Tech Start Date]],6),IF(Main[[#This Row],[Class]]="A",WORKDAY(Main[[#This Row],[Tech Start Date]],2),""))))</f>
        <v/>
      </c>
      <c r="N181" s="73" t="str">
        <f>IF(Main[[#This Row],[Tech Start Date]]&lt;1/1/1990,"",IF(Main[[#This Row],[Class]]="C",WORKDAY(Main[[#This Row],[Tech Start Date]],19),IF(Main[[#This Row],[Class]]="B", WORKDAY(Main[[#This Row],[Tech Start Date]],12),IF(Main[[#This Row],[Class]]="A",WORKDAY(Main[[#This Row],[Tech Start Date]],4),""))))</f>
        <v/>
      </c>
      <c r="O181" s="73" t="str">
        <f>IF(Main[[#This Row],[Tech Start Date]]&lt;1/1/1990,"",IF(Main[[#This Row],[Class]]="C",WORKDAY(Main[[#This Row],[Tech Start Date]],23),IF(Main[[#This Row],[Class]]="B", WORKDAY(Main[[#This Row],[Tech Start Date]],15),IF(Main[[#This Row],[Class]]="A",WORKDAY(Main[[#This Row],[Tech Start Date]],5),""))))</f>
        <v/>
      </c>
      <c r="P181" s="73" t="str">
        <f>IF(Main[[#This Row],[Tech Start Date]]&lt;1/1/1990,"",IF(Main[[#This Row],[Class]]="C",WORKDAY(Main[[#This Row],[Tech Start Date]],28),IF(Main[[#This Row],[Class]]="B", WORKDAY(Main[[#This Row],[Tech Start Date]],19),IF(Main[[#This Row],[Class]]="A",WORKDAY(Main[[#This Row],[Tech Start Date]],9),""))))</f>
        <v/>
      </c>
      <c r="Q181" s="85"/>
      <c r="R181" s="112"/>
      <c r="S181" s="95" t="s">
        <v>6</v>
      </c>
      <c r="T181" s="74" t="s">
        <v>4</v>
      </c>
      <c r="U181" s="95" t="s">
        <v>14</v>
      </c>
      <c r="V181" s="95" t="s">
        <v>1912</v>
      </c>
      <c r="W181" s="95" t="s">
        <v>1915</v>
      </c>
      <c r="X181" s="95" t="s">
        <v>306</v>
      </c>
      <c r="Y181" s="72" t="s">
        <v>4</v>
      </c>
      <c r="Z181" s="72" t="s">
        <v>4</v>
      </c>
      <c r="AA181" s="95" t="s">
        <v>4</v>
      </c>
      <c r="AB181" s="132"/>
      <c r="AC181" s="132"/>
      <c r="AD181" s="132"/>
      <c r="AE181" s="63"/>
      <c r="AF181" s="63"/>
      <c r="AG181" s="63"/>
    </row>
    <row r="182" spans="1:33" ht="17.2" customHeight="1">
      <c r="A182" s="64" t="str">
        <f>IF(priority(Main[[#This Row],[Comments]])&lt;&gt;0, priority(Main[[#This Row],[Comments]]),"")</f>
        <v/>
      </c>
      <c r="B182" s="60" t="s">
        <v>1069</v>
      </c>
      <c r="C182" s="72" t="s">
        <v>19</v>
      </c>
      <c r="D182" s="59" t="s">
        <v>110</v>
      </c>
      <c r="E182" s="85"/>
      <c r="F182" s="85">
        <v>40548</v>
      </c>
      <c r="G182" s="64" t="str">
        <f>IF(stdProdLT(Main[[#This Row],[Comments]])=0.1,"N/A",IF(stdProdLT(Main[[#This Row],[Comments]])=0,"",TRIM(stdProdLT(Main[[#This Row],[Comments]]))))</f>
        <v/>
      </c>
      <c r="H182" s="94" t="str">
        <f>IF(OR(Main[[#This Row],[Std. Prod. Lead Time]]="N/A",Main[[#This Row],[Std. Prod. Lead Time]]=""), "",IF(AND(Main[[#This Row],[In Stock Date]]&lt;&gt;"",Main[[#This Row],[Revised Due Date]]&lt;&gt;"",Main[[#This Row],[In Stock Date]]&lt;&gt;""),Main[[#This Row],[In Stock Date]]-Main[[#This Row],[Revised Due Date]],""))</f>
        <v/>
      </c>
      <c r="I182" s="101" t="s">
        <v>4</v>
      </c>
      <c r="J182" s="95" t="s">
        <v>4</v>
      </c>
      <c r="K182" s="95" t="s">
        <v>4</v>
      </c>
      <c r="L182" s="85"/>
      <c r="M182" s="73" t="str">
        <f>IF(Main[[#This Row],[Tech Start Date]]&lt;1/1/1990,"",IF(Main[[#This Row],[Class]]="C",WORKDAY(Main[[#This Row],[Tech Start Date]],9),IF(Main[[#This Row],[Class]]="B", WORKDAY(Main[[#This Row],[Tech Start Date]],6),IF(Main[[#This Row],[Class]]="A",WORKDAY(Main[[#This Row],[Tech Start Date]],2),""))))</f>
        <v/>
      </c>
      <c r="N182" s="73" t="str">
        <f>IF(Main[[#This Row],[Tech Start Date]]&lt;1/1/1990,"",IF(Main[[#This Row],[Class]]="C",WORKDAY(Main[[#This Row],[Tech Start Date]],19),IF(Main[[#This Row],[Class]]="B", WORKDAY(Main[[#This Row],[Tech Start Date]],12),IF(Main[[#This Row],[Class]]="A",WORKDAY(Main[[#This Row],[Tech Start Date]],4),""))))</f>
        <v/>
      </c>
      <c r="O182" s="73" t="str">
        <f>IF(Main[[#This Row],[Tech Start Date]]&lt;1/1/1990,"",IF(Main[[#This Row],[Class]]="C",WORKDAY(Main[[#This Row],[Tech Start Date]],23),IF(Main[[#This Row],[Class]]="B", WORKDAY(Main[[#This Row],[Tech Start Date]],15),IF(Main[[#This Row],[Class]]="A",WORKDAY(Main[[#This Row],[Tech Start Date]],5),""))))</f>
        <v/>
      </c>
      <c r="P182" s="73" t="str">
        <f>IF(Main[[#This Row],[Tech Start Date]]&lt;1/1/1990,"",IF(Main[[#This Row],[Class]]="C",WORKDAY(Main[[#This Row],[Tech Start Date]],28),IF(Main[[#This Row],[Class]]="B", WORKDAY(Main[[#This Row],[Tech Start Date]],19),IF(Main[[#This Row],[Class]]="A",WORKDAY(Main[[#This Row],[Tech Start Date]],9),""))))</f>
        <v/>
      </c>
      <c r="Q182" s="85">
        <v>40415</v>
      </c>
      <c r="R182" s="112"/>
      <c r="S182" s="95" t="s">
        <v>17</v>
      </c>
      <c r="T182" s="74" t="s">
        <v>4</v>
      </c>
      <c r="U182" s="95" t="s">
        <v>12</v>
      </c>
      <c r="V182" s="95" t="s">
        <v>1914</v>
      </c>
      <c r="W182" s="95" t="s">
        <v>1919</v>
      </c>
      <c r="X182" s="95" t="s">
        <v>2813</v>
      </c>
      <c r="Y182" s="72" t="s">
        <v>2917</v>
      </c>
      <c r="Z182" s="72" t="s">
        <v>4</v>
      </c>
      <c r="AA182" s="95" t="s">
        <v>2813</v>
      </c>
      <c r="AB182" s="132"/>
      <c r="AC182" s="132"/>
      <c r="AD182" s="132"/>
      <c r="AE182" s="63"/>
      <c r="AF182" s="63"/>
      <c r="AG182" s="63"/>
    </row>
    <row r="183" spans="1:33" ht="17.2" customHeight="1">
      <c r="A183" s="64" t="str">
        <f>IF(priority(Main[[#This Row],[Comments]])&lt;&gt;0, priority(Main[[#This Row],[Comments]]),"")</f>
        <v/>
      </c>
      <c r="B183" s="60" t="s">
        <v>1062</v>
      </c>
      <c r="C183" s="72" t="s">
        <v>4</v>
      </c>
      <c r="D183" s="59" t="s">
        <v>97</v>
      </c>
      <c r="E183" s="85"/>
      <c r="F183" s="85"/>
      <c r="G183" s="64" t="str">
        <f>IF(stdProdLT(Main[[#This Row],[Comments]])=0.1,"N/A",IF(stdProdLT(Main[[#This Row],[Comments]])=0,"",TRIM(stdProdLT(Main[[#This Row],[Comments]]))))</f>
        <v/>
      </c>
      <c r="H183" s="94" t="str">
        <f>IF(OR(Main[[#This Row],[Std. Prod. Lead Time]]="N/A",Main[[#This Row],[Std. Prod. Lead Time]]=""), "",IF(AND(Main[[#This Row],[In Stock Date]]&lt;&gt;"",Main[[#This Row],[Revised Due Date]]&lt;&gt;"",Main[[#This Row],[In Stock Date]]&lt;&gt;""),Main[[#This Row],[In Stock Date]]-Main[[#This Row],[Revised Due Date]],""))</f>
        <v/>
      </c>
      <c r="I183" s="101" t="s">
        <v>4</v>
      </c>
      <c r="J183" s="95" t="s">
        <v>4</v>
      </c>
      <c r="K183" s="95" t="s">
        <v>4</v>
      </c>
      <c r="L183" s="85"/>
      <c r="M183" s="73" t="str">
        <f>IF(Main[[#This Row],[Tech Start Date]]&lt;1/1/1990,"",IF(Main[[#This Row],[Class]]="C",WORKDAY(Main[[#This Row],[Tech Start Date]],9),IF(Main[[#This Row],[Class]]="B", WORKDAY(Main[[#This Row],[Tech Start Date]],6),IF(Main[[#This Row],[Class]]="A",WORKDAY(Main[[#This Row],[Tech Start Date]],2),""))))</f>
        <v/>
      </c>
      <c r="N183" s="73" t="str">
        <f>IF(Main[[#This Row],[Tech Start Date]]&lt;1/1/1990,"",IF(Main[[#This Row],[Class]]="C",WORKDAY(Main[[#This Row],[Tech Start Date]],19),IF(Main[[#This Row],[Class]]="B", WORKDAY(Main[[#This Row],[Tech Start Date]],12),IF(Main[[#This Row],[Class]]="A",WORKDAY(Main[[#This Row],[Tech Start Date]],4),""))))</f>
        <v/>
      </c>
      <c r="O183" s="73" t="str">
        <f>IF(Main[[#This Row],[Tech Start Date]]&lt;1/1/1990,"",IF(Main[[#This Row],[Class]]="C",WORKDAY(Main[[#This Row],[Tech Start Date]],23),IF(Main[[#This Row],[Class]]="B", WORKDAY(Main[[#This Row],[Tech Start Date]],15),IF(Main[[#This Row],[Class]]="A",WORKDAY(Main[[#This Row],[Tech Start Date]],5),""))))</f>
        <v/>
      </c>
      <c r="P183" s="73" t="str">
        <f>IF(Main[[#This Row],[Tech Start Date]]&lt;1/1/1990,"",IF(Main[[#This Row],[Class]]="C",WORKDAY(Main[[#This Row],[Tech Start Date]],28),IF(Main[[#This Row],[Class]]="B", WORKDAY(Main[[#This Row],[Tech Start Date]],19),IF(Main[[#This Row],[Class]]="A",WORKDAY(Main[[#This Row],[Tech Start Date]],9),""))))</f>
        <v/>
      </c>
      <c r="Q183" s="85">
        <v>40858</v>
      </c>
      <c r="R183" s="112"/>
      <c r="S183" s="95" t="s">
        <v>17</v>
      </c>
      <c r="T183" s="74" t="s">
        <v>4</v>
      </c>
      <c r="U183" s="95" t="s">
        <v>14</v>
      </c>
      <c r="V183" s="95" t="s">
        <v>1911</v>
      </c>
      <c r="W183" s="95" t="s">
        <v>1916</v>
      </c>
      <c r="X183" s="95" t="s">
        <v>50</v>
      </c>
      <c r="Y183" s="72" t="s">
        <v>2937</v>
      </c>
      <c r="Z183" s="72" t="s">
        <v>4</v>
      </c>
      <c r="AA183" s="95" t="s">
        <v>2808</v>
      </c>
      <c r="AB183" s="132"/>
      <c r="AC183" s="132"/>
      <c r="AD183" s="132"/>
      <c r="AE183" s="63"/>
      <c r="AF183" s="63"/>
      <c r="AG183" s="63"/>
    </row>
    <row r="184" spans="1:33" ht="17.2" customHeight="1">
      <c r="A184" s="64" t="str">
        <f>IF(priority(Main[[#This Row],[Comments]])&lt;&gt;0, priority(Main[[#This Row],[Comments]]),"")</f>
        <v/>
      </c>
      <c r="B184" s="60" t="s">
        <v>1063</v>
      </c>
      <c r="C184" s="72" t="s">
        <v>4</v>
      </c>
      <c r="D184" s="59" t="s">
        <v>98</v>
      </c>
      <c r="E184" s="85">
        <v>40373.607708333337</v>
      </c>
      <c r="F184" s="85"/>
      <c r="G184" s="64" t="str">
        <f>IF(stdProdLT(Main[[#This Row],[Comments]])=0.1,"N/A",IF(stdProdLT(Main[[#This Row],[Comments]])=0,"",TRIM(stdProdLT(Main[[#This Row],[Comments]]))))</f>
        <v/>
      </c>
      <c r="H184" s="94" t="str">
        <f>IF(OR(Main[[#This Row],[Std. Prod. Lead Time]]="N/A",Main[[#This Row],[Std. Prod. Lead Time]]=""), "",IF(AND(Main[[#This Row],[In Stock Date]]&lt;&gt;"",Main[[#This Row],[Revised Due Date]]&lt;&gt;"",Main[[#This Row],[In Stock Date]]&lt;&gt;""),Main[[#This Row],[In Stock Date]]-Main[[#This Row],[Revised Due Date]],""))</f>
        <v/>
      </c>
      <c r="I184" s="101" t="s">
        <v>4</v>
      </c>
      <c r="J184" s="95" t="s">
        <v>4</v>
      </c>
      <c r="K184" s="95" t="s">
        <v>4</v>
      </c>
      <c r="L184" s="85"/>
      <c r="M184" s="73" t="str">
        <f>IF(Main[[#This Row],[Tech Start Date]]&lt;1/1/1990,"",IF(Main[[#This Row],[Class]]="C",WORKDAY(Main[[#This Row],[Tech Start Date]],9),IF(Main[[#This Row],[Class]]="B", WORKDAY(Main[[#This Row],[Tech Start Date]],6),IF(Main[[#This Row],[Class]]="A",WORKDAY(Main[[#This Row],[Tech Start Date]],2),""))))</f>
        <v/>
      </c>
      <c r="N184" s="73" t="str">
        <f>IF(Main[[#This Row],[Tech Start Date]]&lt;1/1/1990,"",IF(Main[[#This Row],[Class]]="C",WORKDAY(Main[[#This Row],[Tech Start Date]],19),IF(Main[[#This Row],[Class]]="B", WORKDAY(Main[[#This Row],[Tech Start Date]],12),IF(Main[[#This Row],[Class]]="A",WORKDAY(Main[[#This Row],[Tech Start Date]],4),""))))</f>
        <v/>
      </c>
      <c r="O184" s="73" t="str">
        <f>IF(Main[[#This Row],[Tech Start Date]]&lt;1/1/1990,"",IF(Main[[#This Row],[Class]]="C",WORKDAY(Main[[#This Row],[Tech Start Date]],23),IF(Main[[#This Row],[Class]]="B", WORKDAY(Main[[#This Row],[Tech Start Date]],15),IF(Main[[#This Row],[Class]]="A",WORKDAY(Main[[#This Row],[Tech Start Date]],5),""))))</f>
        <v/>
      </c>
      <c r="P184" s="73" t="str">
        <f>IF(Main[[#This Row],[Tech Start Date]]&lt;1/1/1990,"",IF(Main[[#This Row],[Class]]="C",WORKDAY(Main[[#This Row],[Tech Start Date]],28),IF(Main[[#This Row],[Class]]="B", WORKDAY(Main[[#This Row],[Tech Start Date]],19),IF(Main[[#This Row],[Class]]="A",WORKDAY(Main[[#This Row],[Tech Start Date]],9),""))))</f>
        <v/>
      </c>
      <c r="Q184" s="85">
        <v>40382</v>
      </c>
      <c r="R184" s="112"/>
      <c r="S184" s="95" t="s">
        <v>6</v>
      </c>
      <c r="T184" s="74" t="s">
        <v>4</v>
      </c>
      <c r="U184" s="95" t="s">
        <v>7</v>
      </c>
      <c r="V184" s="95" t="s">
        <v>1911</v>
      </c>
      <c r="W184" s="95" t="s">
        <v>1915</v>
      </c>
      <c r="X184" s="95" t="s">
        <v>399</v>
      </c>
      <c r="Y184" s="72" t="s">
        <v>4</v>
      </c>
      <c r="Z184" s="72" t="s">
        <v>4</v>
      </c>
      <c r="AA184" s="95" t="s">
        <v>3344</v>
      </c>
      <c r="AB184" s="132"/>
      <c r="AC184" s="132"/>
      <c r="AD184" s="132"/>
      <c r="AE184" s="63"/>
      <c r="AF184" s="63"/>
      <c r="AG184" s="63"/>
    </row>
    <row r="185" spans="1:33" ht="17.2" customHeight="1">
      <c r="A185" s="64" t="str">
        <f>IF(priority(Main[[#This Row],[Comments]])&lt;&gt;0, priority(Main[[#This Row],[Comments]]),"")</f>
        <v/>
      </c>
      <c r="B185" s="60" t="s">
        <v>1064</v>
      </c>
      <c r="C185" s="72" t="s">
        <v>99</v>
      </c>
      <c r="D185" s="59" t="s">
        <v>100</v>
      </c>
      <c r="E185" s="85"/>
      <c r="F185" s="85"/>
      <c r="G185" s="64" t="str">
        <f>IF(stdProdLT(Main[[#This Row],[Comments]])=0.1,"N/A",IF(stdProdLT(Main[[#This Row],[Comments]])=0,"",TRIM(stdProdLT(Main[[#This Row],[Comments]]))))</f>
        <v/>
      </c>
      <c r="H185" s="94" t="str">
        <f>IF(OR(Main[[#This Row],[Std. Prod. Lead Time]]="N/A",Main[[#This Row],[Std. Prod. Lead Time]]=""), "",IF(AND(Main[[#This Row],[In Stock Date]]&lt;&gt;"",Main[[#This Row],[Revised Due Date]]&lt;&gt;"",Main[[#This Row],[In Stock Date]]&lt;&gt;""),Main[[#This Row],[In Stock Date]]-Main[[#This Row],[Revised Due Date]],""))</f>
        <v/>
      </c>
      <c r="I185" s="101" t="s">
        <v>4</v>
      </c>
      <c r="J185" s="95" t="s">
        <v>4</v>
      </c>
      <c r="K185" s="95" t="s">
        <v>4</v>
      </c>
      <c r="L185" s="85"/>
      <c r="M185" s="73" t="str">
        <f>IF(Main[[#This Row],[Tech Start Date]]&lt;1/1/1990,"",IF(Main[[#This Row],[Class]]="C",WORKDAY(Main[[#This Row],[Tech Start Date]],9),IF(Main[[#This Row],[Class]]="B", WORKDAY(Main[[#This Row],[Tech Start Date]],6),IF(Main[[#This Row],[Class]]="A",WORKDAY(Main[[#This Row],[Tech Start Date]],2),""))))</f>
        <v/>
      </c>
      <c r="N185" s="73" t="str">
        <f>IF(Main[[#This Row],[Tech Start Date]]&lt;1/1/1990,"",IF(Main[[#This Row],[Class]]="C",WORKDAY(Main[[#This Row],[Tech Start Date]],19),IF(Main[[#This Row],[Class]]="B", WORKDAY(Main[[#This Row],[Tech Start Date]],12),IF(Main[[#This Row],[Class]]="A",WORKDAY(Main[[#This Row],[Tech Start Date]],4),""))))</f>
        <v/>
      </c>
      <c r="O185" s="73" t="str">
        <f>IF(Main[[#This Row],[Tech Start Date]]&lt;1/1/1990,"",IF(Main[[#This Row],[Class]]="C",WORKDAY(Main[[#This Row],[Tech Start Date]],23),IF(Main[[#This Row],[Class]]="B", WORKDAY(Main[[#This Row],[Tech Start Date]],15),IF(Main[[#This Row],[Class]]="A",WORKDAY(Main[[#This Row],[Tech Start Date]],5),""))))</f>
        <v/>
      </c>
      <c r="P185" s="73" t="str">
        <f>IF(Main[[#This Row],[Tech Start Date]]&lt;1/1/1990,"",IF(Main[[#This Row],[Class]]="C",WORKDAY(Main[[#This Row],[Tech Start Date]],28),IF(Main[[#This Row],[Class]]="B", WORKDAY(Main[[#This Row],[Tech Start Date]],19),IF(Main[[#This Row],[Class]]="A",WORKDAY(Main[[#This Row],[Tech Start Date]],9),""))))</f>
        <v/>
      </c>
      <c r="Q185" s="85"/>
      <c r="R185" s="112"/>
      <c r="S185" s="95" t="s">
        <v>49</v>
      </c>
      <c r="T185" s="74" t="s">
        <v>4</v>
      </c>
      <c r="U185" s="95" t="s">
        <v>12</v>
      </c>
      <c r="V185" s="95" t="s">
        <v>1912</v>
      </c>
      <c r="W185" s="95" t="s">
        <v>1913</v>
      </c>
      <c r="X185" s="95" t="s">
        <v>2814</v>
      </c>
      <c r="Y185" s="72" t="s">
        <v>2938</v>
      </c>
      <c r="Z185" s="72" t="s">
        <v>4</v>
      </c>
      <c r="AA185" s="95" t="s">
        <v>3345</v>
      </c>
      <c r="AB185" s="132"/>
      <c r="AC185" s="132"/>
      <c r="AD185" s="132"/>
      <c r="AE185" s="63"/>
      <c r="AF185" s="63"/>
      <c r="AG185" s="63"/>
    </row>
    <row r="186" spans="1:33" ht="17.2" customHeight="1">
      <c r="A186" s="64" t="str">
        <f>IF(priority(Main[[#This Row],[Comments]])&lt;&gt;0, priority(Main[[#This Row],[Comments]]),"")</f>
        <v/>
      </c>
      <c r="B186" s="60" t="s">
        <v>1065</v>
      </c>
      <c r="C186" s="72" t="s">
        <v>67</v>
      </c>
      <c r="D186" s="59" t="s">
        <v>101</v>
      </c>
      <c r="E186" s="85"/>
      <c r="F186" s="85">
        <v>40664</v>
      </c>
      <c r="G186" s="64" t="str">
        <f>IF(stdProdLT(Main[[#This Row],[Comments]])=0.1,"N/A",IF(stdProdLT(Main[[#This Row],[Comments]])=0,"",TRIM(stdProdLT(Main[[#This Row],[Comments]]))))</f>
        <v/>
      </c>
      <c r="H186" s="94" t="str">
        <f>IF(OR(Main[[#This Row],[Std. Prod. Lead Time]]="N/A",Main[[#This Row],[Std. Prod. Lead Time]]=""), "",IF(AND(Main[[#This Row],[In Stock Date]]&lt;&gt;"",Main[[#This Row],[Revised Due Date]]&lt;&gt;"",Main[[#This Row],[In Stock Date]]&lt;&gt;""),Main[[#This Row],[In Stock Date]]-Main[[#This Row],[Revised Due Date]],""))</f>
        <v/>
      </c>
      <c r="I186" s="101" t="s">
        <v>102</v>
      </c>
      <c r="J186" s="95" t="s">
        <v>51</v>
      </c>
      <c r="K186" s="95" t="s">
        <v>1920</v>
      </c>
      <c r="L186" s="85"/>
      <c r="M186" s="73" t="str">
        <f>IF(Main[[#This Row],[Tech Start Date]]&lt;1/1/1990,"",IF(Main[[#This Row],[Class]]="C",WORKDAY(Main[[#This Row],[Tech Start Date]],9),IF(Main[[#This Row],[Class]]="B", WORKDAY(Main[[#This Row],[Tech Start Date]],6),IF(Main[[#This Row],[Class]]="A",WORKDAY(Main[[#This Row],[Tech Start Date]],2),""))))</f>
        <v/>
      </c>
      <c r="N186" s="73" t="str">
        <f>IF(Main[[#This Row],[Tech Start Date]]&lt;1/1/1990,"",IF(Main[[#This Row],[Class]]="C",WORKDAY(Main[[#This Row],[Tech Start Date]],19),IF(Main[[#This Row],[Class]]="B", WORKDAY(Main[[#This Row],[Tech Start Date]],12),IF(Main[[#This Row],[Class]]="A",WORKDAY(Main[[#This Row],[Tech Start Date]],4),""))))</f>
        <v/>
      </c>
      <c r="O186" s="73" t="str">
        <f>IF(Main[[#This Row],[Tech Start Date]]&lt;1/1/1990,"",IF(Main[[#This Row],[Class]]="C",WORKDAY(Main[[#This Row],[Tech Start Date]],23),IF(Main[[#This Row],[Class]]="B", WORKDAY(Main[[#This Row],[Tech Start Date]],15),IF(Main[[#This Row],[Class]]="A",WORKDAY(Main[[#This Row],[Tech Start Date]],5),""))))</f>
        <v/>
      </c>
      <c r="P186" s="73" t="str">
        <f>IF(Main[[#This Row],[Tech Start Date]]&lt;1/1/1990,"",IF(Main[[#This Row],[Class]]="C",WORKDAY(Main[[#This Row],[Tech Start Date]],28),IF(Main[[#This Row],[Class]]="B", WORKDAY(Main[[#This Row],[Tech Start Date]],19),IF(Main[[#This Row],[Class]]="A",WORKDAY(Main[[#This Row],[Tech Start Date]],9),""))))</f>
        <v/>
      </c>
      <c r="Q186" s="85">
        <v>40585</v>
      </c>
      <c r="R186" s="112"/>
      <c r="S186" s="95" t="s">
        <v>11</v>
      </c>
      <c r="T186" s="74" t="s">
        <v>4</v>
      </c>
      <c r="U186" s="95" t="s">
        <v>14</v>
      </c>
      <c r="V186" s="95" t="s">
        <v>1911</v>
      </c>
      <c r="W186" s="95" t="s">
        <v>1917</v>
      </c>
      <c r="X186" s="95" t="s">
        <v>50</v>
      </c>
      <c r="Y186" s="72" t="s">
        <v>2939</v>
      </c>
      <c r="Z186" s="72" t="s">
        <v>129</v>
      </c>
      <c r="AA186" s="95" t="s">
        <v>50</v>
      </c>
      <c r="AB186" s="132">
        <v>40583</v>
      </c>
      <c r="AC186" s="132">
        <v>40585</v>
      </c>
      <c r="AD186" s="132"/>
      <c r="AE186" s="63"/>
      <c r="AF186" s="63"/>
      <c r="AG186" s="63"/>
    </row>
    <row r="187" spans="1:33" ht="17.2" customHeight="1">
      <c r="A187" s="64" t="str">
        <f>IF(priority(Main[[#This Row],[Comments]])&lt;&gt;0, priority(Main[[#This Row],[Comments]]),"")</f>
        <v/>
      </c>
      <c r="B187" s="60" t="s">
        <v>2437</v>
      </c>
      <c r="C187" s="72" t="s">
        <v>4</v>
      </c>
      <c r="D187" s="59" t="s">
        <v>2671</v>
      </c>
      <c r="E187" s="85">
        <v>40869.337650462963</v>
      </c>
      <c r="F187" s="85"/>
      <c r="G187" s="64" t="str">
        <f>IF(stdProdLT(Main[[#This Row],[Comments]])=0.1,"N/A",IF(stdProdLT(Main[[#This Row],[Comments]])=0,"",TRIM(stdProdLT(Main[[#This Row],[Comments]]))))</f>
        <v/>
      </c>
      <c r="H187" s="94" t="str">
        <f>IF(OR(Main[[#This Row],[Std. Prod. Lead Time]]="N/A",Main[[#This Row],[Std. Prod. Lead Time]]=""), "",IF(AND(Main[[#This Row],[In Stock Date]]&lt;&gt;"",Main[[#This Row],[Revised Due Date]]&lt;&gt;"",Main[[#This Row],[In Stock Date]]&lt;&gt;""),Main[[#This Row],[In Stock Date]]-Main[[#This Row],[Revised Due Date]],""))</f>
        <v/>
      </c>
      <c r="I187" s="101" t="s">
        <v>4</v>
      </c>
      <c r="J187" s="95" t="s">
        <v>4</v>
      </c>
      <c r="K187" s="95" t="s">
        <v>4</v>
      </c>
      <c r="L187" s="85"/>
      <c r="M187" s="73" t="str">
        <f>IF(Main[[#This Row],[Tech Start Date]]&lt;1/1/1990,"",IF(Main[[#This Row],[Class]]="C",WORKDAY(Main[[#This Row],[Tech Start Date]],9),IF(Main[[#This Row],[Class]]="B", WORKDAY(Main[[#This Row],[Tech Start Date]],6),IF(Main[[#This Row],[Class]]="A",WORKDAY(Main[[#This Row],[Tech Start Date]],2),""))))</f>
        <v/>
      </c>
      <c r="N187" s="73" t="str">
        <f>IF(Main[[#This Row],[Tech Start Date]]&lt;1/1/1990,"",IF(Main[[#This Row],[Class]]="C",WORKDAY(Main[[#This Row],[Tech Start Date]],19),IF(Main[[#This Row],[Class]]="B", WORKDAY(Main[[#This Row],[Tech Start Date]],12),IF(Main[[#This Row],[Class]]="A",WORKDAY(Main[[#This Row],[Tech Start Date]],4),""))))</f>
        <v/>
      </c>
      <c r="O187" s="73" t="str">
        <f>IF(Main[[#This Row],[Tech Start Date]]&lt;1/1/1990,"",IF(Main[[#This Row],[Class]]="C",WORKDAY(Main[[#This Row],[Tech Start Date]],23),IF(Main[[#This Row],[Class]]="B", WORKDAY(Main[[#This Row],[Tech Start Date]],15),IF(Main[[#This Row],[Class]]="A",WORKDAY(Main[[#This Row],[Tech Start Date]],5),""))))</f>
        <v/>
      </c>
      <c r="P187" s="73" t="str">
        <f>IF(Main[[#This Row],[Tech Start Date]]&lt;1/1/1990,"",IF(Main[[#This Row],[Class]]="C",WORKDAY(Main[[#This Row],[Tech Start Date]],28),IF(Main[[#This Row],[Class]]="B", WORKDAY(Main[[#This Row],[Tech Start Date]],19),IF(Main[[#This Row],[Class]]="A",WORKDAY(Main[[#This Row],[Tech Start Date]],9),""))))</f>
        <v/>
      </c>
      <c r="Q187" s="85"/>
      <c r="R187" s="112"/>
      <c r="S187" s="95" t="s">
        <v>6</v>
      </c>
      <c r="T187" s="74" t="s">
        <v>2672</v>
      </c>
      <c r="U187" s="95" t="s">
        <v>29</v>
      </c>
      <c r="V187" s="95" t="s">
        <v>1911</v>
      </c>
      <c r="W187" s="95" t="s">
        <v>1915</v>
      </c>
      <c r="X187" s="95" t="s">
        <v>102</v>
      </c>
      <c r="Y187" s="72" t="s">
        <v>2940</v>
      </c>
      <c r="Z187" s="72" t="s">
        <v>4</v>
      </c>
      <c r="AA187" s="95" t="s">
        <v>3346</v>
      </c>
      <c r="AB187" s="132"/>
      <c r="AC187" s="132"/>
      <c r="AD187" s="132"/>
      <c r="AE187" s="63"/>
      <c r="AF187" s="63"/>
      <c r="AG187" s="63"/>
    </row>
    <row r="188" spans="1:33" ht="17.2" customHeight="1">
      <c r="A188" s="64" t="str">
        <f>IF(priority(Main[[#This Row],[Comments]])&lt;&gt;0, priority(Main[[#This Row],[Comments]]),"")</f>
        <v/>
      </c>
      <c r="B188" s="60" t="s">
        <v>1067</v>
      </c>
      <c r="C188" s="72" t="s">
        <v>31</v>
      </c>
      <c r="D188" s="59" t="s">
        <v>104</v>
      </c>
      <c r="E188" s="85"/>
      <c r="F188" s="85"/>
      <c r="G188" s="64" t="str">
        <f>IF(stdProdLT(Main[[#This Row],[Comments]])=0.1,"N/A",IF(stdProdLT(Main[[#This Row],[Comments]])=0,"",TRIM(stdProdLT(Main[[#This Row],[Comments]]))))</f>
        <v/>
      </c>
      <c r="H188" s="94" t="str">
        <f>IF(OR(Main[[#This Row],[Std. Prod. Lead Time]]="N/A",Main[[#This Row],[Std. Prod. Lead Time]]=""), "",IF(AND(Main[[#This Row],[In Stock Date]]&lt;&gt;"",Main[[#This Row],[Revised Due Date]]&lt;&gt;"",Main[[#This Row],[In Stock Date]]&lt;&gt;""),Main[[#This Row],[In Stock Date]]-Main[[#This Row],[Revised Due Date]],""))</f>
        <v/>
      </c>
      <c r="I188" s="101" t="s">
        <v>4</v>
      </c>
      <c r="J188" s="95" t="s">
        <v>4</v>
      </c>
      <c r="K188" s="95" t="s">
        <v>4</v>
      </c>
      <c r="L188" s="85"/>
      <c r="M188" s="73" t="str">
        <f>IF(Main[[#This Row],[Tech Start Date]]&lt;1/1/1990,"",IF(Main[[#This Row],[Class]]="C",WORKDAY(Main[[#This Row],[Tech Start Date]],9),IF(Main[[#This Row],[Class]]="B", WORKDAY(Main[[#This Row],[Tech Start Date]],6),IF(Main[[#This Row],[Class]]="A",WORKDAY(Main[[#This Row],[Tech Start Date]],2),""))))</f>
        <v/>
      </c>
      <c r="N188" s="73" t="str">
        <f>IF(Main[[#This Row],[Tech Start Date]]&lt;1/1/1990,"",IF(Main[[#This Row],[Class]]="C",WORKDAY(Main[[#This Row],[Tech Start Date]],19),IF(Main[[#This Row],[Class]]="B", WORKDAY(Main[[#This Row],[Tech Start Date]],12),IF(Main[[#This Row],[Class]]="A",WORKDAY(Main[[#This Row],[Tech Start Date]],4),""))))</f>
        <v/>
      </c>
      <c r="O188" s="73" t="str">
        <f>IF(Main[[#This Row],[Tech Start Date]]&lt;1/1/1990,"",IF(Main[[#This Row],[Class]]="C",WORKDAY(Main[[#This Row],[Tech Start Date]],23),IF(Main[[#This Row],[Class]]="B", WORKDAY(Main[[#This Row],[Tech Start Date]],15),IF(Main[[#This Row],[Class]]="A",WORKDAY(Main[[#This Row],[Tech Start Date]],5),""))))</f>
        <v/>
      </c>
      <c r="P188" s="73" t="str">
        <f>IF(Main[[#This Row],[Tech Start Date]]&lt;1/1/1990,"",IF(Main[[#This Row],[Class]]="C",WORKDAY(Main[[#This Row],[Tech Start Date]],28),IF(Main[[#This Row],[Class]]="B", WORKDAY(Main[[#This Row],[Tech Start Date]],19),IF(Main[[#This Row],[Class]]="A",WORKDAY(Main[[#This Row],[Tech Start Date]],9),""))))</f>
        <v/>
      </c>
      <c r="Q188" s="85">
        <v>40318</v>
      </c>
      <c r="R188" s="112"/>
      <c r="S188" s="95" t="s">
        <v>11</v>
      </c>
      <c r="T188" s="74" t="s">
        <v>4</v>
      </c>
      <c r="U188" s="95" t="s">
        <v>14</v>
      </c>
      <c r="V188" s="95" t="s">
        <v>1921</v>
      </c>
      <c r="W188" s="95" t="s">
        <v>1913</v>
      </c>
      <c r="X188" s="95" t="s">
        <v>2810</v>
      </c>
      <c r="Y188" s="72" t="s">
        <v>4</v>
      </c>
      <c r="Z188" s="72" t="s">
        <v>4</v>
      </c>
      <c r="AA188" s="95" t="s">
        <v>2810</v>
      </c>
      <c r="AB188" s="132"/>
      <c r="AC188" s="132"/>
      <c r="AD188" s="132"/>
      <c r="AE188" s="63"/>
      <c r="AF188" s="63"/>
      <c r="AG188" s="63"/>
    </row>
    <row r="189" spans="1:33" ht="17.2" customHeight="1">
      <c r="A189" s="64" t="str">
        <f>IF(priority(Main[[#This Row],[Comments]])&lt;&gt;0, priority(Main[[#This Row],[Comments]]),"")</f>
        <v/>
      </c>
      <c r="B189" s="60" t="s">
        <v>2675</v>
      </c>
      <c r="C189" s="72" t="s">
        <v>2676</v>
      </c>
      <c r="D189" s="59" t="s">
        <v>2677</v>
      </c>
      <c r="E189" s="85"/>
      <c r="F189" s="85"/>
      <c r="G189" s="64" t="str">
        <f>IF(stdProdLT(Main[[#This Row],[Comments]])=0.1,"N/A",IF(stdProdLT(Main[[#This Row],[Comments]])=0,"",TRIM(stdProdLT(Main[[#This Row],[Comments]]))))</f>
        <v/>
      </c>
      <c r="H189" s="94" t="str">
        <f>IF(OR(Main[[#This Row],[Std. Prod. Lead Time]]="N/A",Main[[#This Row],[Std. Prod. Lead Time]]=""), "",IF(AND(Main[[#This Row],[In Stock Date]]&lt;&gt;"",Main[[#This Row],[Revised Due Date]]&lt;&gt;"",Main[[#This Row],[In Stock Date]]&lt;&gt;""),Main[[#This Row],[In Stock Date]]-Main[[#This Row],[Revised Due Date]],""))</f>
        <v/>
      </c>
      <c r="I189" s="101" t="s">
        <v>4</v>
      </c>
      <c r="J189" s="95" t="s">
        <v>4</v>
      </c>
      <c r="K189" s="95" t="s">
        <v>4</v>
      </c>
      <c r="L189" s="85"/>
      <c r="M189" s="73" t="str">
        <f>IF(Main[[#This Row],[Tech Start Date]]&lt;1/1/1990,"",IF(Main[[#This Row],[Class]]="C",WORKDAY(Main[[#This Row],[Tech Start Date]],9),IF(Main[[#This Row],[Class]]="B", WORKDAY(Main[[#This Row],[Tech Start Date]],6),IF(Main[[#This Row],[Class]]="A",WORKDAY(Main[[#This Row],[Tech Start Date]],2),""))))</f>
        <v/>
      </c>
      <c r="N189" s="73" t="str">
        <f>IF(Main[[#This Row],[Tech Start Date]]&lt;1/1/1990,"",IF(Main[[#This Row],[Class]]="C",WORKDAY(Main[[#This Row],[Tech Start Date]],19),IF(Main[[#This Row],[Class]]="B", WORKDAY(Main[[#This Row],[Tech Start Date]],12),IF(Main[[#This Row],[Class]]="A",WORKDAY(Main[[#This Row],[Tech Start Date]],4),""))))</f>
        <v/>
      </c>
      <c r="O189" s="73" t="str">
        <f>IF(Main[[#This Row],[Tech Start Date]]&lt;1/1/1990,"",IF(Main[[#This Row],[Class]]="C",WORKDAY(Main[[#This Row],[Tech Start Date]],23),IF(Main[[#This Row],[Class]]="B", WORKDAY(Main[[#This Row],[Tech Start Date]],15),IF(Main[[#This Row],[Class]]="A",WORKDAY(Main[[#This Row],[Tech Start Date]],5),""))))</f>
        <v/>
      </c>
      <c r="P189" s="73" t="str">
        <f>IF(Main[[#This Row],[Tech Start Date]]&lt;1/1/1990,"",IF(Main[[#This Row],[Class]]="C",WORKDAY(Main[[#This Row],[Tech Start Date]],28),IF(Main[[#This Row],[Class]]="B", WORKDAY(Main[[#This Row],[Tech Start Date]],19),IF(Main[[#This Row],[Class]]="A",WORKDAY(Main[[#This Row],[Tech Start Date]],9),""))))</f>
        <v/>
      </c>
      <c r="Q189" s="85">
        <v>40921</v>
      </c>
      <c r="R189" s="112"/>
      <c r="S189" s="95" t="s">
        <v>11</v>
      </c>
      <c r="T189" s="74" t="s">
        <v>4</v>
      </c>
      <c r="U189" s="95" t="s">
        <v>12</v>
      </c>
      <c r="V189" s="95" t="s">
        <v>1912</v>
      </c>
      <c r="W189" s="95" t="s">
        <v>1913</v>
      </c>
      <c r="X189" s="95" t="s">
        <v>2796</v>
      </c>
      <c r="Y189" s="72" t="s">
        <v>4</v>
      </c>
      <c r="Z189" s="72" t="s">
        <v>4</v>
      </c>
      <c r="AA189" s="95" t="s">
        <v>2796</v>
      </c>
      <c r="AB189" s="132"/>
      <c r="AC189" s="132"/>
      <c r="AD189" s="132"/>
      <c r="AE189" s="63"/>
      <c r="AF189" s="63"/>
      <c r="AG189" s="63"/>
    </row>
    <row r="190" spans="1:33" ht="17.2" customHeight="1">
      <c r="A190" s="64" t="str">
        <f>IF(priority(Main[[#This Row],[Comments]])&lt;&gt;0, priority(Main[[#This Row],[Comments]]),"")</f>
        <v/>
      </c>
      <c r="B190" s="60" t="s">
        <v>3529</v>
      </c>
      <c r="C190" s="72" t="s">
        <v>275</v>
      </c>
      <c r="D190" s="59" t="s">
        <v>3530</v>
      </c>
      <c r="E190" s="85">
        <v>40962.69332175926</v>
      </c>
      <c r="F190" s="85">
        <v>41091</v>
      </c>
      <c r="G190" s="64" t="str">
        <f>IF(stdProdLT(Main[[#This Row],[Comments]])=0.1,"N/A",IF(stdProdLT(Main[[#This Row],[Comments]])=0,"",TRIM(stdProdLT(Main[[#This Row],[Comments]]))))</f>
        <v>N/A</v>
      </c>
      <c r="H190" s="94" t="str">
        <f>IF(OR(Main[[#This Row],[Std. Prod. Lead Time]]="N/A",Main[[#This Row],[Std. Prod. Lead Time]]=""), "",IF(AND(Main[[#This Row],[In Stock Date]]&lt;&gt;"",Main[[#This Row],[Revised Due Date]]&lt;&gt;"",Main[[#This Row],[In Stock Date]]&lt;&gt;""),Main[[#This Row],[In Stock Date]]-Main[[#This Row],[Revised Due Date]],""))</f>
        <v/>
      </c>
      <c r="I190" s="101" t="s">
        <v>4</v>
      </c>
      <c r="J190" s="95" t="s">
        <v>4</v>
      </c>
      <c r="K190" s="95" t="s">
        <v>4</v>
      </c>
      <c r="L190" s="85"/>
      <c r="M190" s="73" t="str">
        <f>IF(Main[[#This Row],[Tech Start Date]]&lt;1/1/1990,"",IF(Main[[#This Row],[Class]]="C",WORKDAY(Main[[#This Row],[Tech Start Date]],9),IF(Main[[#This Row],[Class]]="B", WORKDAY(Main[[#This Row],[Tech Start Date]],6),IF(Main[[#This Row],[Class]]="A",WORKDAY(Main[[#This Row],[Tech Start Date]],2),""))))</f>
        <v/>
      </c>
      <c r="N190" s="73" t="str">
        <f>IF(Main[[#This Row],[Tech Start Date]]&lt;1/1/1990,"",IF(Main[[#This Row],[Class]]="C",WORKDAY(Main[[#This Row],[Tech Start Date]],19),IF(Main[[#This Row],[Class]]="B", WORKDAY(Main[[#This Row],[Tech Start Date]],12),IF(Main[[#This Row],[Class]]="A",WORKDAY(Main[[#This Row],[Tech Start Date]],4),""))))</f>
        <v/>
      </c>
      <c r="O190" s="73" t="str">
        <f>IF(Main[[#This Row],[Tech Start Date]]&lt;1/1/1990,"",IF(Main[[#This Row],[Class]]="C",WORKDAY(Main[[#This Row],[Tech Start Date]],23),IF(Main[[#This Row],[Class]]="B", WORKDAY(Main[[#This Row],[Tech Start Date]],15),IF(Main[[#This Row],[Class]]="A",WORKDAY(Main[[#This Row],[Tech Start Date]],5),""))))</f>
        <v/>
      </c>
      <c r="P190" s="73" t="str">
        <f>IF(Main[[#This Row],[Tech Start Date]]&lt;1/1/1990,"",IF(Main[[#This Row],[Class]]="C",WORKDAY(Main[[#This Row],[Tech Start Date]],28),IF(Main[[#This Row],[Class]]="B", WORKDAY(Main[[#This Row],[Tech Start Date]],19),IF(Main[[#This Row],[Class]]="A",WORKDAY(Main[[#This Row],[Tech Start Date]],9),""))))</f>
        <v/>
      </c>
      <c r="Q190" s="85"/>
      <c r="R190" s="112"/>
      <c r="S190" s="95" t="s">
        <v>17</v>
      </c>
      <c r="T190" s="74" t="s">
        <v>3531</v>
      </c>
      <c r="U190" s="95" t="s">
        <v>7</v>
      </c>
      <c r="V190" s="95" t="s">
        <v>1914</v>
      </c>
      <c r="W190" s="95" t="s">
        <v>1916</v>
      </c>
      <c r="X190" s="95" t="s">
        <v>50</v>
      </c>
      <c r="Y190" s="72" t="s">
        <v>3532</v>
      </c>
      <c r="Z190" s="72" t="s">
        <v>4</v>
      </c>
      <c r="AA190" s="95" t="s">
        <v>65</v>
      </c>
      <c r="AB190" s="132"/>
      <c r="AC190" s="132"/>
      <c r="AD190" s="132"/>
      <c r="AE190" s="63"/>
      <c r="AF190" s="63"/>
      <c r="AG190" s="63"/>
    </row>
    <row r="191" spans="1:33" ht="17.2" customHeight="1">
      <c r="A191" s="64" t="str">
        <f>IF(priority(Main[[#This Row],[Comments]])&lt;&gt;0, priority(Main[[#This Row],[Comments]]),"")</f>
        <v/>
      </c>
      <c r="B191" s="60" t="s">
        <v>2545</v>
      </c>
      <c r="C191" s="72" t="s">
        <v>4</v>
      </c>
      <c r="D191" s="59" t="s">
        <v>2546</v>
      </c>
      <c r="E191" s="85"/>
      <c r="F191" s="85"/>
      <c r="G191" s="64" t="str">
        <f>IF(stdProdLT(Main[[#This Row],[Comments]])=0.1,"N/A",IF(stdProdLT(Main[[#This Row],[Comments]])=0,"",TRIM(stdProdLT(Main[[#This Row],[Comments]]))))</f>
        <v/>
      </c>
      <c r="H191" s="94" t="str">
        <f>IF(OR(Main[[#This Row],[Std. Prod. Lead Time]]="N/A",Main[[#This Row],[Std. Prod. Lead Time]]=""), "",IF(AND(Main[[#This Row],[In Stock Date]]&lt;&gt;"",Main[[#This Row],[Revised Due Date]]&lt;&gt;"",Main[[#This Row],[In Stock Date]]&lt;&gt;""),Main[[#This Row],[In Stock Date]]-Main[[#This Row],[Revised Due Date]],""))</f>
        <v/>
      </c>
      <c r="I191" s="101" t="s">
        <v>30</v>
      </c>
      <c r="J191" s="95" t="s">
        <v>21</v>
      </c>
      <c r="K191" s="96" t="s">
        <v>4</v>
      </c>
      <c r="L191" s="85"/>
      <c r="M191" s="73" t="str">
        <f>IF(Main[[#This Row],[Tech Start Date]]&lt;1/1/1990,"",IF(Main[[#This Row],[Class]]="C",WORKDAY(Main[[#This Row],[Tech Start Date]],9),IF(Main[[#This Row],[Class]]="B", WORKDAY(Main[[#This Row],[Tech Start Date]],6),IF(Main[[#This Row],[Class]]="A",WORKDAY(Main[[#This Row],[Tech Start Date]],2),""))))</f>
        <v/>
      </c>
      <c r="N191" s="73" t="str">
        <f>IF(Main[[#This Row],[Tech Start Date]]&lt;1/1/1990,"",IF(Main[[#This Row],[Class]]="C",WORKDAY(Main[[#This Row],[Tech Start Date]],19),IF(Main[[#This Row],[Class]]="B", WORKDAY(Main[[#This Row],[Tech Start Date]],12),IF(Main[[#This Row],[Class]]="A",WORKDAY(Main[[#This Row],[Tech Start Date]],4),""))))</f>
        <v/>
      </c>
      <c r="O191" s="73" t="str">
        <f>IF(Main[[#This Row],[Tech Start Date]]&lt;1/1/1990,"",IF(Main[[#This Row],[Class]]="C",WORKDAY(Main[[#This Row],[Tech Start Date]],23),IF(Main[[#This Row],[Class]]="B", WORKDAY(Main[[#This Row],[Tech Start Date]],15),IF(Main[[#This Row],[Class]]="A",WORKDAY(Main[[#This Row],[Tech Start Date]],5),""))))</f>
        <v/>
      </c>
      <c r="P191" s="73" t="str">
        <f>IF(Main[[#This Row],[Tech Start Date]]&lt;1/1/1990,"",IF(Main[[#This Row],[Class]]="C",WORKDAY(Main[[#This Row],[Tech Start Date]],28),IF(Main[[#This Row],[Class]]="B", WORKDAY(Main[[#This Row],[Tech Start Date]],19),IF(Main[[#This Row],[Class]]="A",WORKDAY(Main[[#This Row],[Tech Start Date]],9),""))))</f>
        <v/>
      </c>
      <c r="Q191" s="85"/>
      <c r="R191" s="112"/>
      <c r="S191" s="95" t="s">
        <v>6</v>
      </c>
      <c r="T191" s="74" t="s">
        <v>4</v>
      </c>
      <c r="U191" s="95" t="s">
        <v>14</v>
      </c>
      <c r="V191" s="95" t="s">
        <v>1914</v>
      </c>
      <c r="W191" s="95" t="s">
        <v>1913</v>
      </c>
      <c r="X191" s="95" t="s">
        <v>306</v>
      </c>
      <c r="Y191" s="72" t="s">
        <v>4</v>
      </c>
      <c r="Z191" s="72" t="s">
        <v>30</v>
      </c>
      <c r="AA191" s="95" t="s">
        <v>3347</v>
      </c>
      <c r="AB191" s="132"/>
      <c r="AC191" s="132"/>
      <c r="AD191" s="132"/>
      <c r="AE191" s="63"/>
      <c r="AF191" s="63"/>
      <c r="AG191" s="63"/>
    </row>
    <row r="192" spans="1:33" ht="17.2" customHeight="1">
      <c r="A192" s="64" t="str">
        <f>IF(priority(Main[[#This Row],[Comments]])&lt;&gt;0, priority(Main[[#This Row],[Comments]]),"")</f>
        <v/>
      </c>
      <c r="B192" s="60" t="s">
        <v>1070</v>
      </c>
      <c r="C192" s="72" t="s">
        <v>4</v>
      </c>
      <c r="D192" s="59" t="s">
        <v>111</v>
      </c>
      <c r="E192" s="85"/>
      <c r="F192" s="85"/>
      <c r="G192" s="64" t="str">
        <f>IF(stdProdLT(Main[[#This Row],[Comments]])=0.1,"N/A",IF(stdProdLT(Main[[#This Row],[Comments]])=0,"",TRIM(stdProdLT(Main[[#This Row],[Comments]]))))</f>
        <v/>
      </c>
      <c r="H192" s="94" t="str">
        <f>IF(OR(Main[[#This Row],[Std. Prod. Lead Time]]="N/A",Main[[#This Row],[Std. Prod. Lead Time]]=""), "",IF(AND(Main[[#This Row],[In Stock Date]]&lt;&gt;"",Main[[#This Row],[Revised Due Date]]&lt;&gt;"",Main[[#This Row],[In Stock Date]]&lt;&gt;""),Main[[#This Row],[In Stock Date]]-Main[[#This Row],[Revised Due Date]],""))</f>
        <v/>
      </c>
      <c r="I192" s="101" t="s">
        <v>306</v>
      </c>
      <c r="J192" s="95" t="s">
        <v>75</v>
      </c>
      <c r="K192" s="96" t="s">
        <v>1920</v>
      </c>
      <c r="L192" s="85"/>
      <c r="M192" s="73" t="str">
        <f>IF(Main[[#This Row],[Tech Start Date]]&lt;1/1/1990,"",IF(Main[[#This Row],[Class]]="C",WORKDAY(Main[[#This Row],[Tech Start Date]],9),IF(Main[[#This Row],[Class]]="B", WORKDAY(Main[[#This Row],[Tech Start Date]],6),IF(Main[[#This Row],[Class]]="A",WORKDAY(Main[[#This Row],[Tech Start Date]],2),""))))</f>
        <v/>
      </c>
      <c r="N192" s="73" t="str">
        <f>IF(Main[[#This Row],[Tech Start Date]]&lt;1/1/1990,"",IF(Main[[#This Row],[Class]]="C",WORKDAY(Main[[#This Row],[Tech Start Date]],19),IF(Main[[#This Row],[Class]]="B", WORKDAY(Main[[#This Row],[Tech Start Date]],12),IF(Main[[#This Row],[Class]]="A",WORKDAY(Main[[#This Row],[Tech Start Date]],4),""))))</f>
        <v/>
      </c>
      <c r="O192" s="73" t="str">
        <f>IF(Main[[#This Row],[Tech Start Date]]&lt;1/1/1990,"",IF(Main[[#This Row],[Class]]="C",WORKDAY(Main[[#This Row],[Tech Start Date]],23),IF(Main[[#This Row],[Class]]="B", WORKDAY(Main[[#This Row],[Tech Start Date]],15),IF(Main[[#This Row],[Class]]="A",WORKDAY(Main[[#This Row],[Tech Start Date]],5),""))))</f>
        <v/>
      </c>
      <c r="P192" s="73" t="str">
        <f>IF(Main[[#This Row],[Tech Start Date]]&lt;1/1/1990,"",IF(Main[[#This Row],[Class]]="C",WORKDAY(Main[[#This Row],[Tech Start Date]],28),IF(Main[[#This Row],[Class]]="B", WORKDAY(Main[[#This Row],[Tech Start Date]],19),IF(Main[[#This Row],[Class]]="A",WORKDAY(Main[[#This Row],[Tech Start Date]],9),""))))</f>
        <v/>
      </c>
      <c r="Q192" s="85">
        <v>40336</v>
      </c>
      <c r="R192" s="112"/>
      <c r="S192" s="95" t="s">
        <v>6</v>
      </c>
      <c r="T192" s="74" t="s">
        <v>4</v>
      </c>
      <c r="U192" s="95" t="s">
        <v>14</v>
      </c>
      <c r="V192" s="95" t="s">
        <v>1914</v>
      </c>
      <c r="W192" s="95" t="s">
        <v>1913</v>
      </c>
      <c r="X192" s="95" t="s">
        <v>883</v>
      </c>
      <c r="Y192" s="72" t="s">
        <v>2941</v>
      </c>
      <c r="Z192" s="72" t="s">
        <v>30</v>
      </c>
      <c r="AA192" s="95" t="s">
        <v>883</v>
      </c>
      <c r="AB192" s="132"/>
      <c r="AC192" s="132"/>
      <c r="AD192" s="132"/>
      <c r="AE192" s="63"/>
      <c r="AF192" s="63"/>
      <c r="AG192" s="63"/>
    </row>
    <row r="193" spans="1:33" ht="17.2" customHeight="1">
      <c r="A193" s="64" t="str">
        <f>IF(priority(Main[[#This Row],[Comments]])&lt;&gt;0, priority(Main[[#This Row],[Comments]]),"")</f>
        <v/>
      </c>
      <c r="B193" s="60" t="s">
        <v>2150</v>
      </c>
      <c r="C193" s="72" t="s">
        <v>2151</v>
      </c>
      <c r="D193" s="59" t="s">
        <v>2152</v>
      </c>
      <c r="E193" s="85"/>
      <c r="F193" s="85">
        <v>40920</v>
      </c>
      <c r="G193" s="64" t="str">
        <f>IF(stdProdLT(Main[[#This Row],[Comments]])=0.1,"N/A",IF(stdProdLT(Main[[#This Row],[Comments]])=0,"",TRIM(stdProdLT(Main[[#This Row],[Comments]]))))</f>
        <v/>
      </c>
      <c r="H193" s="94" t="str">
        <f>IF(OR(Main[[#This Row],[Std. Prod. Lead Time]]="N/A",Main[[#This Row],[Std. Prod. Lead Time]]=""), "",IF(AND(Main[[#This Row],[In Stock Date]]&lt;&gt;"",Main[[#This Row],[Revised Due Date]]&lt;&gt;"",Main[[#This Row],[In Stock Date]]&lt;&gt;""),Main[[#This Row],[In Stock Date]]-Main[[#This Row],[Revised Due Date]],""))</f>
        <v/>
      </c>
      <c r="I193" s="101" t="s">
        <v>4</v>
      </c>
      <c r="J193" s="95" t="s">
        <v>28</v>
      </c>
      <c r="K193" s="95" t="s">
        <v>1920</v>
      </c>
      <c r="L193" s="85"/>
      <c r="M193" s="73" t="str">
        <f>IF(Main[[#This Row],[Tech Start Date]]&lt;1/1/1990,"",IF(Main[[#This Row],[Class]]="C",WORKDAY(Main[[#This Row],[Tech Start Date]],9),IF(Main[[#This Row],[Class]]="B", WORKDAY(Main[[#This Row],[Tech Start Date]],6),IF(Main[[#This Row],[Class]]="A",WORKDAY(Main[[#This Row],[Tech Start Date]],2),""))))</f>
        <v/>
      </c>
      <c r="N193" s="73" t="str">
        <f>IF(Main[[#This Row],[Tech Start Date]]&lt;1/1/1990,"",IF(Main[[#This Row],[Class]]="C",WORKDAY(Main[[#This Row],[Tech Start Date]],19),IF(Main[[#This Row],[Class]]="B", WORKDAY(Main[[#This Row],[Tech Start Date]],12),IF(Main[[#This Row],[Class]]="A",WORKDAY(Main[[#This Row],[Tech Start Date]],4),""))))</f>
        <v/>
      </c>
      <c r="O193" s="73" t="str">
        <f>IF(Main[[#This Row],[Tech Start Date]]&lt;1/1/1990,"",IF(Main[[#This Row],[Class]]="C",WORKDAY(Main[[#This Row],[Tech Start Date]],23),IF(Main[[#This Row],[Class]]="B", WORKDAY(Main[[#This Row],[Tech Start Date]],15),IF(Main[[#This Row],[Class]]="A",WORKDAY(Main[[#This Row],[Tech Start Date]],5),""))))</f>
        <v/>
      </c>
      <c r="P193" s="73" t="str">
        <f>IF(Main[[#This Row],[Tech Start Date]]&lt;1/1/1990,"",IF(Main[[#This Row],[Class]]="C",WORKDAY(Main[[#This Row],[Tech Start Date]],28),IF(Main[[#This Row],[Class]]="B", WORKDAY(Main[[#This Row],[Tech Start Date]],19),IF(Main[[#This Row],[Class]]="A",WORKDAY(Main[[#This Row],[Tech Start Date]],9),""))))</f>
        <v/>
      </c>
      <c r="Q193" s="85"/>
      <c r="R193" s="112"/>
      <c r="S193" s="95" t="s">
        <v>11</v>
      </c>
      <c r="T193" s="74" t="s">
        <v>4</v>
      </c>
      <c r="U193" s="95" t="s">
        <v>14</v>
      </c>
      <c r="V193" s="95" t="s">
        <v>1914</v>
      </c>
      <c r="W193" s="95" t="s">
        <v>1919</v>
      </c>
      <c r="X193" s="95" t="s">
        <v>50</v>
      </c>
      <c r="Y193" s="72" t="s">
        <v>2942</v>
      </c>
      <c r="Z193" s="72" t="s">
        <v>530</v>
      </c>
      <c r="AA193" s="95" t="s">
        <v>3348</v>
      </c>
      <c r="AB193" s="132"/>
      <c r="AC193" s="132"/>
      <c r="AD193" s="132"/>
      <c r="AE193" s="63"/>
      <c r="AF193" s="63"/>
      <c r="AG193" s="63"/>
    </row>
    <row r="194" spans="1:33" ht="17.2" customHeight="1">
      <c r="A194" s="64" t="str">
        <f>IF(priority(Main[[#This Row],[Comments]])&lt;&gt;0, priority(Main[[#This Row],[Comments]]),"")</f>
        <v/>
      </c>
      <c r="B194" s="60" t="s">
        <v>1845</v>
      </c>
      <c r="C194" s="72" t="s">
        <v>95</v>
      </c>
      <c r="D194" s="59" t="s">
        <v>903</v>
      </c>
      <c r="E194" s="85">
        <v>40428.41710648148</v>
      </c>
      <c r="F194" s="85"/>
      <c r="G194" s="64" t="str">
        <f>IF(stdProdLT(Main[[#This Row],[Comments]])=0.1,"N/A",IF(stdProdLT(Main[[#This Row],[Comments]])=0,"",TRIM(stdProdLT(Main[[#This Row],[Comments]]))))</f>
        <v/>
      </c>
      <c r="H194" s="94" t="str">
        <f>IF(OR(Main[[#This Row],[Std. Prod. Lead Time]]="N/A",Main[[#This Row],[Std. Prod. Lead Time]]=""), "",IF(AND(Main[[#This Row],[In Stock Date]]&lt;&gt;"",Main[[#This Row],[Revised Due Date]]&lt;&gt;"",Main[[#This Row],[In Stock Date]]&lt;&gt;""),Main[[#This Row],[In Stock Date]]-Main[[#This Row],[Revised Due Date]],""))</f>
        <v/>
      </c>
      <c r="I194" s="101" t="s">
        <v>415</v>
      </c>
      <c r="J194" s="95" t="s">
        <v>28</v>
      </c>
      <c r="K194" s="95" t="s">
        <v>1923</v>
      </c>
      <c r="L194" s="85"/>
      <c r="M194" s="73" t="str">
        <f>IF(Main[[#This Row],[Tech Start Date]]&lt;1/1/1990,"",IF(Main[[#This Row],[Class]]="C",WORKDAY(Main[[#This Row],[Tech Start Date]],9),IF(Main[[#This Row],[Class]]="B", WORKDAY(Main[[#This Row],[Tech Start Date]],6),IF(Main[[#This Row],[Class]]="A",WORKDAY(Main[[#This Row],[Tech Start Date]],2),""))))</f>
        <v/>
      </c>
      <c r="N194" s="73" t="str">
        <f>IF(Main[[#This Row],[Tech Start Date]]&lt;1/1/1990,"",IF(Main[[#This Row],[Class]]="C",WORKDAY(Main[[#This Row],[Tech Start Date]],19),IF(Main[[#This Row],[Class]]="B", WORKDAY(Main[[#This Row],[Tech Start Date]],12),IF(Main[[#This Row],[Class]]="A",WORKDAY(Main[[#This Row],[Tech Start Date]],4),""))))</f>
        <v/>
      </c>
      <c r="O194" s="73" t="str">
        <f>IF(Main[[#This Row],[Tech Start Date]]&lt;1/1/1990,"",IF(Main[[#This Row],[Class]]="C",WORKDAY(Main[[#This Row],[Tech Start Date]],23),IF(Main[[#This Row],[Class]]="B", WORKDAY(Main[[#This Row],[Tech Start Date]],15),IF(Main[[#This Row],[Class]]="A",WORKDAY(Main[[#This Row],[Tech Start Date]],5),""))))</f>
        <v/>
      </c>
      <c r="P194" s="73" t="str">
        <f>IF(Main[[#This Row],[Tech Start Date]]&lt;1/1/1990,"",IF(Main[[#This Row],[Class]]="C",WORKDAY(Main[[#This Row],[Tech Start Date]],28),IF(Main[[#This Row],[Class]]="B", WORKDAY(Main[[#This Row],[Tech Start Date]],19),IF(Main[[#This Row],[Class]]="A",WORKDAY(Main[[#This Row],[Tech Start Date]],9),""))))</f>
        <v/>
      </c>
      <c r="Q194" s="85">
        <v>40512</v>
      </c>
      <c r="R194" s="112">
        <v>40918</v>
      </c>
      <c r="S194" s="95" t="s">
        <v>17</v>
      </c>
      <c r="T194" s="74" t="s">
        <v>4</v>
      </c>
      <c r="U194" s="95" t="s">
        <v>29</v>
      </c>
      <c r="V194" s="95" t="s">
        <v>1914</v>
      </c>
      <c r="W194" s="95" t="s">
        <v>1917</v>
      </c>
      <c r="X194" s="95" t="s">
        <v>415</v>
      </c>
      <c r="Y194" s="72" t="s">
        <v>2953</v>
      </c>
      <c r="Z194" s="72" t="s">
        <v>968</v>
      </c>
      <c r="AA194" s="95" t="s">
        <v>415</v>
      </c>
      <c r="AB194" s="132"/>
      <c r="AC194" s="132"/>
      <c r="AD194" s="132"/>
      <c r="AE194" s="63"/>
      <c r="AF194" s="63"/>
      <c r="AG194" s="63"/>
    </row>
    <row r="195" spans="1:33" ht="17.2" customHeight="1">
      <c r="A195" s="64" t="str">
        <f>IF(priority(Main[[#This Row],[Comments]])&lt;&gt;0, priority(Main[[#This Row],[Comments]]),"")</f>
        <v/>
      </c>
      <c r="B195" s="60" t="s">
        <v>1071</v>
      </c>
      <c r="C195" s="72" t="s">
        <v>4</v>
      </c>
      <c r="D195" s="59" t="s">
        <v>112</v>
      </c>
      <c r="E195" s="85"/>
      <c r="F195" s="85"/>
      <c r="G195" s="64" t="str">
        <f>IF(stdProdLT(Main[[#This Row],[Comments]])=0.1,"N/A",IF(stdProdLT(Main[[#This Row],[Comments]])=0,"",TRIM(stdProdLT(Main[[#This Row],[Comments]]))))</f>
        <v/>
      </c>
      <c r="H195" s="94" t="str">
        <f>IF(OR(Main[[#This Row],[Std. Prod. Lead Time]]="N/A",Main[[#This Row],[Std. Prod. Lead Time]]=""), "",IF(AND(Main[[#This Row],[In Stock Date]]&lt;&gt;"",Main[[#This Row],[Revised Due Date]]&lt;&gt;"",Main[[#This Row],[In Stock Date]]&lt;&gt;""),Main[[#This Row],[In Stock Date]]-Main[[#This Row],[Revised Due Date]],""))</f>
        <v/>
      </c>
      <c r="I195" s="101" t="s">
        <v>4</v>
      </c>
      <c r="J195" s="95" t="s">
        <v>4</v>
      </c>
      <c r="K195" s="95" t="s">
        <v>4</v>
      </c>
      <c r="L195" s="85"/>
      <c r="M195" s="73" t="str">
        <f>IF(Main[[#This Row],[Tech Start Date]]&lt;1/1/1990,"",IF(Main[[#This Row],[Class]]="C",WORKDAY(Main[[#This Row],[Tech Start Date]],9),IF(Main[[#This Row],[Class]]="B", WORKDAY(Main[[#This Row],[Tech Start Date]],6),IF(Main[[#This Row],[Class]]="A",WORKDAY(Main[[#This Row],[Tech Start Date]],2),""))))</f>
        <v/>
      </c>
      <c r="N195" s="73" t="str">
        <f>IF(Main[[#This Row],[Tech Start Date]]&lt;1/1/1990,"",IF(Main[[#This Row],[Class]]="C",WORKDAY(Main[[#This Row],[Tech Start Date]],19),IF(Main[[#This Row],[Class]]="B", WORKDAY(Main[[#This Row],[Tech Start Date]],12),IF(Main[[#This Row],[Class]]="A",WORKDAY(Main[[#This Row],[Tech Start Date]],4),""))))</f>
        <v/>
      </c>
      <c r="O195" s="73" t="str">
        <f>IF(Main[[#This Row],[Tech Start Date]]&lt;1/1/1990,"",IF(Main[[#This Row],[Class]]="C",WORKDAY(Main[[#This Row],[Tech Start Date]],23),IF(Main[[#This Row],[Class]]="B", WORKDAY(Main[[#This Row],[Tech Start Date]],15),IF(Main[[#This Row],[Class]]="A",WORKDAY(Main[[#This Row],[Tech Start Date]],5),""))))</f>
        <v/>
      </c>
      <c r="P195" s="73" t="str">
        <f>IF(Main[[#This Row],[Tech Start Date]]&lt;1/1/1990,"",IF(Main[[#This Row],[Class]]="C",WORKDAY(Main[[#This Row],[Tech Start Date]],28),IF(Main[[#This Row],[Class]]="B", WORKDAY(Main[[#This Row],[Tech Start Date]],19),IF(Main[[#This Row],[Class]]="A",WORKDAY(Main[[#This Row],[Tech Start Date]],9),""))))</f>
        <v/>
      </c>
      <c r="Q195" s="85"/>
      <c r="R195" s="112"/>
      <c r="S195" s="95" t="s">
        <v>23</v>
      </c>
      <c r="T195" s="74" t="s">
        <v>4</v>
      </c>
      <c r="U195" s="95" t="s">
        <v>14</v>
      </c>
      <c r="V195" s="95" t="s">
        <v>1911</v>
      </c>
      <c r="W195" s="95" t="s">
        <v>1919</v>
      </c>
      <c r="X195" s="95" t="s">
        <v>306</v>
      </c>
      <c r="Y195" s="72" t="s">
        <v>4</v>
      </c>
      <c r="Z195" s="72" t="s">
        <v>4</v>
      </c>
      <c r="AA195" s="95" t="s">
        <v>3344</v>
      </c>
      <c r="AB195" s="132"/>
      <c r="AC195" s="132"/>
      <c r="AD195" s="132"/>
      <c r="AE195" s="63"/>
      <c r="AF195" s="63"/>
      <c r="AG195" s="63"/>
    </row>
    <row r="196" spans="1:33" ht="17.2" customHeight="1">
      <c r="A196" s="64" t="str">
        <f>IF(priority(Main[[#This Row],[Comments]])&lt;&gt;0, priority(Main[[#This Row],[Comments]]),"")</f>
        <v/>
      </c>
      <c r="B196" s="60" t="s">
        <v>1072</v>
      </c>
      <c r="C196" s="72" t="s">
        <v>113</v>
      </c>
      <c r="D196" s="59" t="s">
        <v>114</v>
      </c>
      <c r="E196" s="85"/>
      <c r="F196" s="85"/>
      <c r="G196" s="64" t="str">
        <f>IF(stdProdLT(Main[[#This Row],[Comments]])=0.1,"N/A",IF(stdProdLT(Main[[#This Row],[Comments]])=0,"",TRIM(stdProdLT(Main[[#This Row],[Comments]]))))</f>
        <v/>
      </c>
      <c r="H196" s="94" t="str">
        <f>IF(OR(Main[[#This Row],[Std. Prod. Lead Time]]="N/A",Main[[#This Row],[Std. Prod. Lead Time]]=""), "",IF(AND(Main[[#This Row],[In Stock Date]]&lt;&gt;"",Main[[#This Row],[Revised Due Date]]&lt;&gt;"",Main[[#This Row],[In Stock Date]]&lt;&gt;""),Main[[#This Row],[In Stock Date]]-Main[[#This Row],[Revised Due Date]],""))</f>
        <v/>
      </c>
      <c r="I196" s="101" t="s">
        <v>4</v>
      </c>
      <c r="J196" s="95" t="s">
        <v>28</v>
      </c>
      <c r="K196" s="95" t="s">
        <v>4</v>
      </c>
      <c r="L196" s="85"/>
      <c r="M196" s="73" t="str">
        <f>IF(Main[[#This Row],[Tech Start Date]]&lt;1/1/1990,"",IF(Main[[#This Row],[Class]]="C",WORKDAY(Main[[#This Row],[Tech Start Date]],9),IF(Main[[#This Row],[Class]]="B", WORKDAY(Main[[#This Row],[Tech Start Date]],6),IF(Main[[#This Row],[Class]]="A",WORKDAY(Main[[#This Row],[Tech Start Date]],2),""))))</f>
        <v/>
      </c>
      <c r="N196" s="73" t="str">
        <f>IF(Main[[#This Row],[Tech Start Date]]&lt;1/1/1990,"",IF(Main[[#This Row],[Class]]="C",WORKDAY(Main[[#This Row],[Tech Start Date]],19),IF(Main[[#This Row],[Class]]="B", WORKDAY(Main[[#This Row],[Tech Start Date]],12),IF(Main[[#This Row],[Class]]="A",WORKDAY(Main[[#This Row],[Tech Start Date]],4),""))))</f>
        <v/>
      </c>
      <c r="O196" s="73" t="str">
        <f>IF(Main[[#This Row],[Tech Start Date]]&lt;1/1/1990,"",IF(Main[[#This Row],[Class]]="C",WORKDAY(Main[[#This Row],[Tech Start Date]],23),IF(Main[[#This Row],[Class]]="B", WORKDAY(Main[[#This Row],[Tech Start Date]],15),IF(Main[[#This Row],[Class]]="A",WORKDAY(Main[[#This Row],[Tech Start Date]],5),""))))</f>
        <v/>
      </c>
      <c r="P196" s="73" t="str">
        <f>IF(Main[[#This Row],[Tech Start Date]]&lt;1/1/1990,"",IF(Main[[#This Row],[Class]]="C",WORKDAY(Main[[#This Row],[Tech Start Date]],28),IF(Main[[#This Row],[Class]]="B", WORKDAY(Main[[#This Row],[Tech Start Date]],19),IF(Main[[#This Row],[Class]]="A",WORKDAY(Main[[#This Row],[Tech Start Date]],9),""))))</f>
        <v/>
      </c>
      <c r="Q196" s="85">
        <v>40634</v>
      </c>
      <c r="R196" s="112"/>
      <c r="S196" s="95" t="s">
        <v>11</v>
      </c>
      <c r="T196" s="74" t="s">
        <v>4</v>
      </c>
      <c r="U196" s="95" t="s">
        <v>12</v>
      </c>
      <c r="V196" s="95" t="s">
        <v>1911</v>
      </c>
      <c r="W196" s="95" t="s">
        <v>1913</v>
      </c>
      <c r="X196" s="95" t="s">
        <v>2813</v>
      </c>
      <c r="Y196" s="72" t="s">
        <v>2917</v>
      </c>
      <c r="Z196" s="72" t="s">
        <v>129</v>
      </c>
      <c r="AA196" s="95" t="s">
        <v>2813</v>
      </c>
      <c r="AB196" s="132"/>
      <c r="AC196" s="132"/>
      <c r="AD196" s="132"/>
      <c r="AE196" s="63"/>
      <c r="AF196" s="63"/>
      <c r="AG196" s="63"/>
    </row>
    <row r="197" spans="1:33" ht="17.2" customHeight="1">
      <c r="A197" s="64" t="str">
        <f>IF(priority(Main[[#This Row],[Comments]])&lt;&gt;0, priority(Main[[#This Row],[Comments]]),"")</f>
        <v/>
      </c>
      <c r="B197" s="60" t="s">
        <v>3862</v>
      </c>
      <c r="C197" s="72" t="s">
        <v>3863</v>
      </c>
      <c r="D197" s="59" t="s">
        <v>3864</v>
      </c>
      <c r="E197" s="85">
        <v>40973.333437499998</v>
      </c>
      <c r="F197" s="85">
        <v>41029</v>
      </c>
      <c r="G197" s="64" t="str">
        <f>IF(stdProdLT(Main[[#This Row],[Comments]])=0.1,"N/A",IF(stdProdLT(Main[[#This Row],[Comments]])=0,"",TRIM(stdProdLT(Main[[#This Row],[Comments]]))))</f>
        <v>N/A</v>
      </c>
      <c r="H197" s="94" t="str">
        <f>IF(OR(Main[[#This Row],[Std. Prod. Lead Time]]="N/A",Main[[#This Row],[Std. Prod. Lead Time]]=""), "",IF(AND(Main[[#This Row],[In Stock Date]]&lt;&gt;"",Main[[#This Row],[Revised Due Date]]&lt;&gt;"",Main[[#This Row],[In Stock Date]]&lt;&gt;""),Main[[#This Row],[In Stock Date]]-Main[[#This Row],[Revised Due Date]],""))</f>
        <v/>
      </c>
      <c r="I197" s="101" t="s">
        <v>4</v>
      </c>
      <c r="J197" s="95" t="s">
        <v>4</v>
      </c>
      <c r="K197" s="95" t="s">
        <v>4</v>
      </c>
      <c r="L197" s="85"/>
      <c r="M197" s="73" t="str">
        <f>IF(Main[[#This Row],[Tech Start Date]]&lt;1/1/1990,"",IF(Main[[#This Row],[Class]]="C",WORKDAY(Main[[#This Row],[Tech Start Date]],9),IF(Main[[#This Row],[Class]]="B", WORKDAY(Main[[#This Row],[Tech Start Date]],6),IF(Main[[#This Row],[Class]]="A",WORKDAY(Main[[#This Row],[Tech Start Date]],2),""))))</f>
        <v/>
      </c>
      <c r="N197" s="73" t="str">
        <f>IF(Main[[#This Row],[Tech Start Date]]&lt;1/1/1990,"",IF(Main[[#This Row],[Class]]="C",WORKDAY(Main[[#This Row],[Tech Start Date]],19),IF(Main[[#This Row],[Class]]="B", WORKDAY(Main[[#This Row],[Tech Start Date]],12),IF(Main[[#This Row],[Class]]="A",WORKDAY(Main[[#This Row],[Tech Start Date]],4),""))))</f>
        <v/>
      </c>
      <c r="O197" s="73" t="str">
        <f>IF(Main[[#This Row],[Tech Start Date]]&lt;1/1/1990,"",IF(Main[[#This Row],[Class]]="C",WORKDAY(Main[[#This Row],[Tech Start Date]],23),IF(Main[[#This Row],[Class]]="B", WORKDAY(Main[[#This Row],[Tech Start Date]],15),IF(Main[[#This Row],[Class]]="A",WORKDAY(Main[[#This Row],[Tech Start Date]],5),""))))</f>
        <v/>
      </c>
      <c r="P197" s="73" t="str">
        <f>IF(Main[[#This Row],[Tech Start Date]]&lt;1/1/1990,"",IF(Main[[#This Row],[Class]]="C",WORKDAY(Main[[#This Row],[Tech Start Date]],28),IF(Main[[#This Row],[Class]]="B", WORKDAY(Main[[#This Row],[Tech Start Date]],19),IF(Main[[#This Row],[Class]]="A",WORKDAY(Main[[#This Row],[Tech Start Date]],9),""))))</f>
        <v/>
      </c>
      <c r="Q197" s="85">
        <v>40975</v>
      </c>
      <c r="R197" s="112"/>
      <c r="S197" s="95" t="s">
        <v>11</v>
      </c>
      <c r="T197" s="74" t="s">
        <v>3865</v>
      </c>
      <c r="U197" s="95" t="s">
        <v>694</v>
      </c>
      <c r="V197" s="95" t="s">
        <v>1921</v>
      </c>
      <c r="W197" s="95" t="s">
        <v>1913</v>
      </c>
      <c r="X197" s="95" t="s">
        <v>3866</v>
      </c>
      <c r="Y197" s="72" t="s">
        <v>3867</v>
      </c>
      <c r="Z197" s="72" t="s">
        <v>4</v>
      </c>
      <c r="AA197" s="95" t="s">
        <v>3866</v>
      </c>
      <c r="AB197" s="132"/>
      <c r="AC197" s="132"/>
      <c r="AD197" s="132"/>
      <c r="AE197" s="63"/>
      <c r="AF197" s="63"/>
      <c r="AG197" s="63"/>
    </row>
    <row r="198" spans="1:33" ht="17.2" customHeight="1">
      <c r="A198" s="64" t="str">
        <f>IF(priority(Main[[#This Row],[Comments]])&lt;&gt;0, priority(Main[[#This Row],[Comments]]),"")</f>
        <v/>
      </c>
      <c r="B198" s="60" t="s">
        <v>1949</v>
      </c>
      <c r="C198" s="72" t="s">
        <v>4</v>
      </c>
      <c r="D198" s="59" t="s">
        <v>1971</v>
      </c>
      <c r="E198" s="85"/>
      <c r="F198" s="85"/>
      <c r="G198" s="64" t="str">
        <f>IF(stdProdLT(Main[[#This Row],[Comments]])=0.1,"N/A",IF(stdProdLT(Main[[#This Row],[Comments]])=0,"",TRIM(stdProdLT(Main[[#This Row],[Comments]]))))</f>
        <v/>
      </c>
      <c r="H198" s="94" t="str">
        <f>IF(OR(Main[[#This Row],[Std. Prod. Lead Time]]="N/A",Main[[#This Row],[Std. Prod. Lead Time]]=""), "",IF(AND(Main[[#This Row],[In Stock Date]]&lt;&gt;"",Main[[#This Row],[Revised Due Date]]&lt;&gt;"",Main[[#This Row],[In Stock Date]]&lt;&gt;""),Main[[#This Row],[In Stock Date]]-Main[[#This Row],[Revised Due Date]],""))</f>
        <v/>
      </c>
      <c r="I198" s="101" t="s">
        <v>4</v>
      </c>
      <c r="J198" s="95" t="s">
        <v>4</v>
      </c>
      <c r="K198" s="96" t="s">
        <v>4</v>
      </c>
      <c r="L198" s="85"/>
      <c r="M198" s="73" t="str">
        <f>IF(Main[[#This Row],[Tech Start Date]]&lt;1/1/1990,"",IF(Main[[#This Row],[Class]]="C",WORKDAY(Main[[#This Row],[Tech Start Date]],9),IF(Main[[#This Row],[Class]]="B", WORKDAY(Main[[#This Row],[Tech Start Date]],6),IF(Main[[#This Row],[Class]]="A",WORKDAY(Main[[#This Row],[Tech Start Date]],2),""))))</f>
        <v/>
      </c>
      <c r="N198" s="73" t="str">
        <f>IF(Main[[#This Row],[Tech Start Date]]&lt;1/1/1990,"",IF(Main[[#This Row],[Class]]="C",WORKDAY(Main[[#This Row],[Tech Start Date]],19),IF(Main[[#This Row],[Class]]="B", WORKDAY(Main[[#This Row],[Tech Start Date]],12),IF(Main[[#This Row],[Class]]="A",WORKDAY(Main[[#This Row],[Tech Start Date]],4),""))))</f>
        <v/>
      </c>
      <c r="O198" s="73" t="str">
        <f>IF(Main[[#This Row],[Tech Start Date]]&lt;1/1/1990,"",IF(Main[[#This Row],[Class]]="C",WORKDAY(Main[[#This Row],[Tech Start Date]],23),IF(Main[[#This Row],[Class]]="B", WORKDAY(Main[[#This Row],[Tech Start Date]],15),IF(Main[[#This Row],[Class]]="A",WORKDAY(Main[[#This Row],[Tech Start Date]],5),""))))</f>
        <v/>
      </c>
      <c r="P198" s="73" t="str">
        <f>IF(Main[[#This Row],[Tech Start Date]]&lt;1/1/1990,"",IF(Main[[#This Row],[Class]]="C",WORKDAY(Main[[#This Row],[Tech Start Date]],28),IF(Main[[#This Row],[Class]]="B", WORKDAY(Main[[#This Row],[Tech Start Date]],19),IF(Main[[#This Row],[Class]]="A",WORKDAY(Main[[#This Row],[Tech Start Date]],9),""))))</f>
        <v/>
      </c>
      <c r="Q198" s="85">
        <v>40737</v>
      </c>
      <c r="R198" s="112"/>
      <c r="S198" s="95" t="s">
        <v>6</v>
      </c>
      <c r="T198" s="74" t="s">
        <v>4</v>
      </c>
      <c r="U198" s="95" t="s">
        <v>14</v>
      </c>
      <c r="V198" s="95" t="s">
        <v>1914</v>
      </c>
      <c r="W198" s="95" t="s">
        <v>1915</v>
      </c>
      <c r="X198" s="95" t="s">
        <v>2816</v>
      </c>
      <c r="Y198" s="72" t="s">
        <v>2943</v>
      </c>
      <c r="Z198" s="72" t="s">
        <v>4</v>
      </c>
      <c r="AA198" s="95" t="s">
        <v>2816</v>
      </c>
      <c r="AB198" s="132"/>
      <c r="AC198" s="132"/>
      <c r="AD198" s="132"/>
      <c r="AE198" s="63"/>
      <c r="AF198" s="63"/>
      <c r="AG198" s="63"/>
    </row>
    <row r="199" spans="1:33" ht="17.2" customHeight="1">
      <c r="A199" s="64" t="str">
        <f>IF(priority(Main[[#This Row],[Comments]])&lt;&gt;0, priority(Main[[#This Row],[Comments]]),"")</f>
        <v/>
      </c>
      <c r="B199" s="60" t="s">
        <v>2742</v>
      </c>
      <c r="C199" s="72" t="s">
        <v>4</v>
      </c>
      <c r="D199" s="59" t="s">
        <v>2743</v>
      </c>
      <c r="E199" s="85">
        <v>40905.638495370367</v>
      </c>
      <c r="F199" s="85"/>
      <c r="G199" s="64" t="str">
        <f>IF(stdProdLT(Main[[#This Row],[Comments]])=0.1,"N/A",IF(stdProdLT(Main[[#This Row],[Comments]])=0,"",TRIM(stdProdLT(Main[[#This Row],[Comments]]))))</f>
        <v/>
      </c>
      <c r="H199" s="94" t="str">
        <f>IF(OR(Main[[#This Row],[Std. Prod. Lead Time]]="N/A",Main[[#This Row],[Std. Prod. Lead Time]]=""), "",IF(AND(Main[[#This Row],[In Stock Date]]&lt;&gt;"",Main[[#This Row],[Revised Due Date]]&lt;&gt;"",Main[[#This Row],[In Stock Date]]&lt;&gt;""),Main[[#This Row],[In Stock Date]]-Main[[#This Row],[Revised Due Date]],""))</f>
        <v/>
      </c>
      <c r="I199" s="101" t="s">
        <v>2038</v>
      </c>
      <c r="J199" s="95" t="s">
        <v>52</v>
      </c>
      <c r="K199" s="95" t="s">
        <v>1920</v>
      </c>
      <c r="L199" s="85"/>
      <c r="M199" s="73" t="str">
        <f>IF(Main[[#This Row],[Tech Start Date]]&lt;1/1/1990,"",IF(Main[[#This Row],[Class]]="C",WORKDAY(Main[[#This Row],[Tech Start Date]],9),IF(Main[[#This Row],[Class]]="B", WORKDAY(Main[[#This Row],[Tech Start Date]],6),IF(Main[[#This Row],[Class]]="A",WORKDAY(Main[[#This Row],[Tech Start Date]],2),""))))</f>
        <v/>
      </c>
      <c r="N199" s="73" t="str">
        <f>IF(Main[[#This Row],[Tech Start Date]]&lt;1/1/1990,"",IF(Main[[#This Row],[Class]]="C",WORKDAY(Main[[#This Row],[Tech Start Date]],19),IF(Main[[#This Row],[Class]]="B", WORKDAY(Main[[#This Row],[Tech Start Date]],12),IF(Main[[#This Row],[Class]]="A",WORKDAY(Main[[#This Row],[Tech Start Date]],4),""))))</f>
        <v/>
      </c>
      <c r="O199" s="73" t="str">
        <f>IF(Main[[#This Row],[Tech Start Date]]&lt;1/1/1990,"",IF(Main[[#This Row],[Class]]="C",WORKDAY(Main[[#This Row],[Tech Start Date]],23),IF(Main[[#This Row],[Class]]="B", WORKDAY(Main[[#This Row],[Tech Start Date]],15),IF(Main[[#This Row],[Class]]="A",WORKDAY(Main[[#This Row],[Tech Start Date]],5),""))))</f>
        <v/>
      </c>
      <c r="P199" s="73" t="str">
        <f>IF(Main[[#This Row],[Tech Start Date]]&lt;1/1/1990,"",IF(Main[[#This Row],[Class]]="C",WORKDAY(Main[[#This Row],[Tech Start Date]],28),IF(Main[[#This Row],[Class]]="B", WORKDAY(Main[[#This Row],[Tech Start Date]],19),IF(Main[[#This Row],[Class]]="A",WORKDAY(Main[[#This Row],[Tech Start Date]],9),""))))</f>
        <v/>
      </c>
      <c r="Q199" s="85">
        <v>41027</v>
      </c>
      <c r="R199" s="112"/>
      <c r="S199" s="95" t="s">
        <v>6</v>
      </c>
      <c r="T199" s="74" t="s">
        <v>4</v>
      </c>
      <c r="U199" s="95" t="s">
        <v>29</v>
      </c>
      <c r="V199" s="95" t="s">
        <v>1914</v>
      </c>
      <c r="W199" s="95" t="s">
        <v>1915</v>
      </c>
      <c r="X199" s="95" t="s">
        <v>30</v>
      </c>
      <c r="Y199" s="72" t="s">
        <v>2918</v>
      </c>
      <c r="Z199" s="72" t="s">
        <v>30</v>
      </c>
      <c r="AA199" s="95" t="s">
        <v>30</v>
      </c>
      <c r="AB199" s="132"/>
      <c r="AC199" s="132"/>
      <c r="AD199" s="132"/>
      <c r="AE199" s="63"/>
      <c r="AF199" s="63"/>
      <c r="AG199" s="63"/>
    </row>
    <row r="200" spans="1:33" ht="17.2" customHeight="1">
      <c r="A200" s="64" t="str">
        <f>IF(priority(Main[[#This Row],[Comments]])&lt;&gt;0, priority(Main[[#This Row],[Comments]]),"")</f>
        <v/>
      </c>
      <c r="B200" s="60" t="s">
        <v>1853</v>
      </c>
      <c r="C200" s="72" t="s">
        <v>99</v>
      </c>
      <c r="D200" s="59" t="s">
        <v>911</v>
      </c>
      <c r="E200" s="85"/>
      <c r="F200" s="85">
        <v>40525</v>
      </c>
      <c r="G200" s="64" t="str">
        <f>IF(stdProdLT(Main[[#This Row],[Comments]])=0.1,"N/A",IF(stdProdLT(Main[[#This Row],[Comments]])=0,"",TRIM(stdProdLT(Main[[#This Row],[Comments]]))))</f>
        <v/>
      </c>
      <c r="H200" s="94" t="str">
        <f>IF(OR(Main[[#This Row],[Std. Prod. Lead Time]]="N/A",Main[[#This Row],[Std. Prod. Lead Time]]=""), "",IF(AND(Main[[#This Row],[In Stock Date]]&lt;&gt;"",Main[[#This Row],[Revised Due Date]]&lt;&gt;"",Main[[#This Row],[In Stock Date]]&lt;&gt;""),Main[[#This Row],[In Stock Date]]-Main[[#This Row],[Revised Due Date]],""))</f>
        <v/>
      </c>
      <c r="I200" s="101" t="s">
        <v>912</v>
      </c>
      <c r="J200" s="95" t="s">
        <v>21</v>
      </c>
      <c r="K200" s="95" t="s">
        <v>1924</v>
      </c>
      <c r="L200" s="85"/>
      <c r="M200" s="73" t="str">
        <f>IF(Main[[#This Row],[Tech Start Date]]&lt;1/1/1990,"",IF(Main[[#This Row],[Class]]="C",WORKDAY(Main[[#This Row],[Tech Start Date]],9),IF(Main[[#This Row],[Class]]="B", WORKDAY(Main[[#This Row],[Tech Start Date]],6),IF(Main[[#This Row],[Class]]="A",WORKDAY(Main[[#This Row],[Tech Start Date]],2),""))))</f>
        <v/>
      </c>
      <c r="N200" s="73" t="str">
        <f>IF(Main[[#This Row],[Tech Start Date]]&lt;1/1/1990,"",IF(Main[[#This Row],[Class]]="C",WORKDAY(Main[[#This Row],[Tech Start Date]],19),IF(Main[[#This Row],[Class]]="B", WORKDAY(Main[[#This Row],[Tech Start Date]],12),IF(Main[[#This Row],[Class]]="A",WORKDAY(Main[[#This Row],[Tech Start Date]],4),""))))</f>
        <v/>
      </c>
      <c r="O200" s="73" t="str">
        <f>IF(Main[[#This Row],[Tech Start Date]]&lt;1/1/1990,"",IF(Main[[#This Row],[Class]]="C",WORKDAY(Main[[#This Row],[Tech Start Date]],23),IF(Main[[#This Row],[Class]]="B", WORKDAY(Main[[#This Row],[Tech Start Date]],15),IF(Main[[#This Row],[Class]]="A",WORKDAY(Main[[#This Row],[Tech Start Date]],5),""))))</f>
        <v/>
      </c>
      <c r="P200" s="73" t="str">
        <f>IF(Main[[#This Row],[Tech Start Date]]&lt;1/1/1990,"",IF(Main[[#This Row],[Class]]="C",WORKDAY(Main[[#This Row],[Tech Start Date]],28),IF(Main[[#This Row],[Class]]="B", WORKDAY(Main[[#This Row],[Tech Start Date]],19),IF(Main[[#This Row],[Class]]="A",WORKDAY(Main[[#This Row],[Tech Start Date]],9),""))))</f>
        <v/>
      </c>
      <c r="Q200" s="85">
        <v>40525</v>
      </c>
      <c r="R200" s="112">
        <v>40571</v>
      </c>
      <c r="S200" s="95" t="s">
        <v>11</v>
      </c>
      <c r="T200" s="74" t="s">
        <v>4</v>
      </c>
      <c r="U200" s="95" t="s">
        <v>14</v>
      </c>
      <c r="V200" s="95" t="s">
        <v>1911</v>
      </c>
      <c r="W200" s="95" t="s">
        <v>1916</v>
      </c>
      <c r="X200" s="95" t="s">
        <v>2817</v>
      </c>
      <c r="Y200" s="72" t="s">
        <v>2944</v>
      </c>
      <c r="Z200" s="72" t="s">
        <v>129</v>
      </c>
      <c r="AA200" s="95" t="s">
        <v>2814</v>
      </c>
      <c r="AB200" s="132"/>
      <c r="AC200" s="132"/>
      <c r="AD200" s="132"/>
      <c r="AE200" s="63"/>
      <c r="AF200" s="63"/>
      <c r="AG200" s="63"/>
    </row>
    <row r="201" spans="1:33" ht="17.2" customHeight="1">
      <c r="A201" s="64" t="str">
        <f>IF(priority(Main[[#This Row],[Comments]])&lt;&gt;0, priority(Main[[#This Row],[Comments]]),"")</f>
        <v/>
      </c>
      <c r="B201" s="60" t="s">
        <v>1856</v>
      </c>
      <c r="C201" s="72" t="s">
        <v>31</v>
      </c>
      <c r="D201" s="59" t="s">
        <v>915</v>
      </c>
      <c r="E201" s="85"/>
      <c r="F201" s="85">
        <v>40664</v>
      </c>
      <c r="G201" s="64" t="str">
        <f>IF(stdProdLT(Main[[#This Row],[Comments]])=0.1,"N/A",IF(stdProdLT(Main[[#This Row],[Comments]])=0,"",TRIM(stdProdLT(Main[[#This Row],[Comments]]))))</f>
        <v/>
      </c>
      <c r="H201" s="94" t="str">
        <f>IF(OR(Main[[#This Row],[Std. Prod. Lead Time]]="N/A",Main[[#This Row],[Std. Prod. Lead Time]]=""), "",IF(AND(Main[[#This Row],[In Stock Date]]&lt;&gt;"",Main[[#This Row],[Revised Due Date]]&lt;&gt;"",Main[[#This Row],[In Stock Date]]&lt;&gt;""),Main[[#This Row],[In Stock Date]]-Main[[#This Row],[Revised Due Date]],""))</f>
        <v/>
      </c>
      <c r="I201" s="101" t="s">
        <v>399</v>
      </c>
      <c r="J201" s="95" t="s">
        <v>75</v>
      </c>
      <c r="K201" s="95" t="s">
        <v>1920</v>
      </c>
      <c r="L201" s="85"/>
      <c r="M201" s="73" t="str">
        <f>IF(Main[[#This Row],[Tech Start Date]]&lt;1/1/1990,"",IF(Main[[#This Row],[Class]]="C",WORKDAY(Main[[#This Row],[Tech Start Date]],9),IF(Main[[#This Row],[Class]]="B", WORKDAY(Main[[#This Row],[Tech Start Date]],6),IF(Main[[#This Row],[Class]]="A",WORKDAY(Main[[#This Row],[Tech Start Date]],2),""))))</f>
        <v/>
      </c>
      <c r="N201" s="73" t="str">
        <f>IF(Main[[#This Row],[Tech Start Date]]&lt;1/1/1990,"",IF(Main[[#This Row],[Class]]="C",WORKDAY(Main[[#This Row],[Tech Start Date]],19),IF(Main[[#This Row],[Class]]="B", WORKDAY(Main[[#This Row],[Tech Start Date]],12),IF(Main[[#This Row],[Class]]="A",WORKDAY(Main[[#This Row],[Tech Start Date]],4),""))))</f>
        <v/>
      </c>
      <c r="O201" s="73" t="str">
        <f>IF(Main[[#This Row],[Tech Start Date]]&lt;1/1/1990,"",IF(Main[[#This Row],[Class]]="C",WORKDAY(Main[[#This Row],[Tech Start Date]],23),IF(Main[[#This Row],[Class]]="B", WORKDAY(Main[[#This Row],[Tech Start Date]],15),IF(Main[[#This Row],[Class]]="A",WORKDAY(Main[[#This Row],[Tech Start Date]],5),""))))</f>
        <v/>
      </c>
      <c r="P201" s="73" t="str">
        <f>IF(Main[[#This Row],[Tech Start Date]]&lt;1/1/1990,"",IF(Main[[#This Row],[Class]]="C",WORKDAY(Main[[#This Row],[Tech Start Date]],28),IF(Main[[#This Row],[Class]]="B", WORKDAY(Main[[#This Row],[Tech Start Date]],19),IF(Main[[#This Row],[Class]]="A",WORKDAY(Main[[#This Row],[Tech Start Date]],9),""))))</f>
        <v/>
      </c>
      <c r="Q201" s="85"/>
      <c r="R201" s="112">
        <v>40577</v>
      </c>
      <c r="S201" s="95" t="s">
        <v>11</v>
      </c>
      <c r="T201" s="74" t="s">
        <v>4</v>
      </c>
      <c r="U201" s="95" t="s">
        <v>14</v>
      </c>
      <c r="V201" s="95" t="s">
        <v>1914</v>
      </c>
      <c r="W201" s="95" t="s">
        <v>1917</v>
      </c>
      <c r="X201" s="95" t="s">
        <v>2805</v>
      </c>
      <c r="Y201" s="72" t="s">
        <v>2945</v>
      </c>
      <c r="Z201" s="72" t="s">
        <v>530</v>
      </c>
      <c r="AA201" s="95" t="s">
        <v>2805</v>
      </c>
      <c r="AB201" s="132">
        <v>40571</v>
      </c>
      <c r="AC201" s="132">
        <v>40578</v>
      </c>
      <c r="AD201" s="132"/>
      <c r="AE201" s="63"/>
      <c r="AF201" s="63"/>
      <c r="AG201" s="63"/>
    </row>
    <row r="202" spans="1:33" ht="17.2" customHeight="1">
      <c r="A202" s="64" t="str">
        <f>IF(priority(Main[[#This Row],[Comments]])&lt;&gt;0, priority(Main[[#This Row],[Comments]]),"")</f>
        <v/>
      </c>
      <c r="B202" s="60" t="s">
        <v>1081</v>
      </c>
      <c r="C202" s="72" t="s">
        <v>4</v>
      </c>
      <c r="D202" s="59" t="s">
        <v>124</v>
      </c>
      <c r="E202" s="85"/>
      <c r="F202" s="85"/>
      <c r="G202" s="64" t="str">
        <f>IF(stdProdLT(Main[[#This Row],[Comments]])=0.1,"N/A",IF(stdProdLT(Main[[#This Row],[Comments]])=0,"",TRIM(stdProdLT(Main[[#This Row],[Comments]]))))</f>
        <v/>
      </c>
      <c r="H202" s="94" t="str">
        <f>IF(OR(Main[[#This Row],[Std. Prod. Lead Time]]="N/A",Main[[#This Row],[Std. Prod. Lead Time]]=""), "",IF(AND(Main[[#This Row],[In Stock Date]]&lt;&gt;"",Main[[#This Row],[Revised Due Date]]&lt;&gt;"",Main[[#This Row],[In Stock Date]]&lt;&gt;""),Main[[#This Row],[In Stock Date]]-Main[[#This Row],[Revised Due Date]],""))</f>
        <v/>
      </c>
      <c r="I202" s="101" t="s">
        <v>4</v>
      </c>
      <c r="J202" s="95" t="s">
        <v>4</v>
      </c>
      <c r="K202" s="96" t="s">
        <v>4</v>
      </c>
      <c r="L202" s="85"/>
      <c r="M202" s="73" t="str">
        <f>IF(Main[[#This Row],[Tech Start Date]]&lt;1/1/1990,"",IF(Main[[#This Row],[Class]]="C",WORKDAY(Main[[#This Row],[Tech Start Date]],9),IF(Main[[#This Row],[Class]]="B", WORKDAY(Main[[#This Row],[Tech Start Date]],6),IF(Main[[#This Row],[Class]]="A",WORKDAY(Main[[#This Row],[Tech Start Date]],2),""))))</f>
        <v/>
      </c>
      <c r="N202" s="73" t="str">
        <f>IF(Main[[#This Row],[Tech Start Date]]&lt;1/1/1990,"",IF(Main[[#This Row],[Class]]="C",WORKDAY(Main[[#This Row],[Tech Start Date]],19),IF(Main[[#This Row],[Class]]="B", WORKDAY(Main[[#This Row],[Tech Start Date]],12),IF(Main[[#This Row],[Class]]="A",WORKDAY(Main[[#This Row],[Tech Start Date]],4),""))))</f>
        <v/>
      </c>
      <c r="O202" s="73" t="str">
        <f>IF(Main[[#This Row],[Tech Start Date]]&lt;1/1/1990,"",IF(Main[[#This Row],[Class]]="C",WORKDAY(Main[[#This Row],[Tech Start Date]],23),IF(Main[[#This Row],[Class]]="B", WORKDAY(Main[[#This Row],[Tech Start Date]],15),IF(Main[[#This Row],[Class]]="A",WORKDAY(Main[[#This Row],[Tech Start Date]],5),""))))</f>
        <v/>
      </c>
      <c r="P202" s="73" t="str">
        <f>IF(Main[[#This Row],[Tech Start Date]]&lt;1/1/1990,"",IF(Main[[#This Row],[Class]]="C",WORKDAY(Main[[#This Row],[Tech Start Date]],28),IF(Main[[#This Row],[Class]]="B", WORKDAY(Main[[#This Row],[Tech Start Date]],19),IF(Main[[#This Row],[Class]]="A",WORKDAY(Main[[#This Row],[Tech Start Date]],9),""))))</f>
        <v/>
      </c>
      <c r="Q202" s="85">
        <v>40613</v>
      </c>
      <c r="R202" s="112"/>
      <c r="S202" s="95" t="s">
        <v>6</v>
      </c>
      <c r="T202" s="74" t="s">
        <v>4</v>
      </c>
      <c r="U202" s="95" t="s">
        <v>12</v>
      </c>
      <c r="V202" s="95" t="s">
        <v>1911</v>
      </c>
      <c r="W202" s="95" t="s">
        <v>1925</v>
      </c>
      <c r="X202" s="95" t="s">
        <v>126</v>
      </c>
      <c r="Y202" s="72" t="s">
        <v>4</v>
      </c>
      <c r="Z202" s="72" t="s">
        <v>4</v>
      </c>
      <c r="AA202" s="95" t="s">
        <v>3349</v>
      </c>
      <c r="AB202" s="132"/>
      <c r="AC202" s="132"/>
      <c r="AD202" s="132"/>
      <c r="AE202" s="63"/>
      <c r="AF202" s="63"/>
      <c r="AG202" s="63"/>
    </row>
    <row r="203" spans="1:33" ht="17.2" customHeight="1">
      <c r="A203" s="64" t="str">
        <f>IF(priority(Main[[#This Row],[Comments]])&lt;&gt;0, priority(Main[[#This Row],[Comments]]),"")</f>
        <v/>
      </c>
      <c r="B203" s="60" t="s">
        <v>2169</v>
      </c>
      <c r="C203" s="72" t="s">
        <v>2170</v>
      </c>
      <c r="D203" s="59" t="s">
        <v>2171</v>
      </c>
      <c r="E203" s="85"/>
      <c r="F203" s="85">
        <v>40829</v>
      </c>
      <c r="G203" s="64" t="str">
        <f>IF(stdProdLT(Main[[#This Row],[Comments]])=0.1,"N/A",IF(stdProdLT(Main[[#This Row],[Comments]])=0,"",TRIM(stdProdLT(Main[[#This Row],[Comments]]))))</f>
        <v/>
      </c>
      <c r="H203" s="94" t="str">
        <f>IF(OR(Main[[#This Row],[Std. Prod. Lead Time]]="N/A",Main[[#This Row],[Std. Prod. Lead Time]]=""), "",IF(AND(Main[[#This Row],[In Stock Date]]&lt;&gt;"",Main[[#This Row],[Revised Due Date]]&lt;&gt;"",Main[[#This Row],[In Stock Date]]&lt;&gt;""),Main[[#This Row],[In Stock Date]]-Main[[#This Row],[Revised Due Date]],""))</f>
        <v/>
      </c>
      <c r="I203" s="101" t="s">
        <v>4</v>
      </c>
      <c r="J203" s="95" t="s">
        <v>4</v>
      </c>
      <c r="K203" s="95" t="s">
        <v>4</v>
      </c>
      <c r="L203" s="85"/>
      <c r="M203" s="73" t="str">
        <f>IF(Main[[#This Row],[Tech Start Date]]&lt;1/1/1990,"",IF(Main[[#This Row],[Class]]="C",WORKDAY(Main[[#This Row],[Tech Start Date]],9),IF(Main[[#This Row],[Class]]="B", WORKDAY(Main[[#This Row],[Tech Start Date]],6),IF(Main[[#This Row],[Class]]="A",WORKDAY(Main[[#This Row],[Tech Start Date]],2),""))))</f>
        <v/>
      </c>
      <c r="N203" s="73" t="str">
        <f>IF(Main[[#This Row],[Tech Start Date]]&lt;1/1/1990,"",IF(Main[[#This Row],[Class]]="C",WORKDAY(Main[[#This Row],[Tech Start Date]],19),IF(Main[[#This Row],[Class]]="B", WORKDAY(Main[[#This Row],[Tech Start Date]],12),IF(Main[[#This Row],[Class]]="A",WORKDAY(Main[[#This Row],[Tech Start Date]],4),""))))</f>
        <v/>
      </c>
      <c r="O203" s="73" t="str">
        <f>IF(Main[[#This Row],[Tech Start Date]]&lt;1/1/1990,"",IF(Main[[#This Row],[Class]]="C",WORKDAY(Main[[#This Row],[Tech Start Date]],23),IF(Main[[#This Row],[Class]]="B", WORKDAY(Main[[#This Row],[Tech Start Date]],15),IF(Main[[#This Row],[Class]]="A",WORKDAY(Main[[#This Row],[Tech Start Date]],5),""))))</f>
        <v/>
      </c>
      <c r="P203" s="73" t="str">
        <f>IF(Main[[#This Row],[Tech Start Date]]&lt;1/1/1990,"",IF(Main[[#This Row],[Class]]="C",WORKDAY(Main[[#This Row],[Tech Start Date]],28),IF(Main[[#This Row],[Class]]="B", WORKDAY(Main[[#This Row],[Tech Start Date]],19),IF(Main[[#This Row],[Class]]="A",WORKDAY(Main[[#This Row],[Tech Start Date]],9),""))))</f>
        <v/>
      </c>
      <c r="Q203" s="85">
        <v>40801</v>
      </c>
      <c r="R203" s="112"/>
      <c r="S203" s="95" t="s">
        <v>11</v>
      </c>
      <c r="T203" s="74" t="s">
        <v>4</v>
      </c>
      <c r="U203" s="95" t="s">
        <v>14</v>
      </c>
      <c r="V203" s="95" t="s">
        <v>1912</v>
      </c>
      <c r="W203" s="95" t="s">
        <v>1919</v>
      </c>
      <c r="X203" s="95" t="s">
        <v>2818</v>
      </c>
      <c r="Y203" s="72" t="s">
        <v>2946</v>
      </c>
      <c r="Z203" s="72" t="s">
        <v>4</v>
      </c>
      <c r="AA203" s="95" t="s">
        <v>2818</v>
      </c>
      <c r="AB203" s="132"/>
      <c r="AC203" s="132"/>
      <c r="AD203" s="132"/>
      <c r="AE203" s="63"/>
      <c r="AF203" s="63"/>
      <c r="AG203" s="63"/>
    </row>
    <row r="204" spans="1:33" ht="17.2" customHeight="1">
      <c r="A204" s="64" t="str">
        <f>IF(priority(Main[[#This Row],[Comments]])&lt;&gt;0, priority(Main[[#This Row],[Comments]]),"")</f>
        <v/>
      </c>
      <c r="B204" s="60" t="s">
        <v>2522</v>
      </c>
      <c r="C204" s="72" t="s">
        <v>4</v>
      </c>
      <c r="D204" s="59" t="s">
        <v>2523</v>
      </c>
      <c r="E204" s="85">
        <v>40855.624421296299</v>
      </c>
      <c r="F204" s="85"/>
      <c r="G204" s="64" t="str">
        <f>IF(stdProdLT(Main[[#This Row],[Comments]])=0.1,"N/A",IF(stdProdLT(Main[[#This Row],[Comments]])=0,"",TRIM(stdProdLT(Main[[#This Row],[Comments]]))))</f>
        <v/>
      </c>
      <c r="H204" s="94" t="str">
        <f>IF(OR(Main[[#This Row],[Std. Prod. Lead Time]]="N/A",Main[[#This Row],[Std. Prod. Lead Time]]=""), "",IF(AND(Main[[#This Row],[In Stock Date]]&lt;&gt;"",Main[[#This Row],[Revised Due Date]]&lt;&gt;"",Main[[#This Row],[In Stock Date]]&lt;&gt;""),Main[[#This Row],[In Stock Date]]-Main[[#This Row],[Revised Due Date]],""))</f>
        <v/>
      </c>
      <c r="I204" s="101" t="s">
        <v>81</v>
      </c>
      <c r="J204" s="95" t="s">
        <v>21</v>
      </c>
      <c r="K204" s="95" t="s">
        <v>4</v>
      </c>
      <c r="L204" s="85"/>
      <c r="M204" s="73" t="str">
        <f>IF(Main[[#This Row],[Tech Start Date]]&lt;1/1/1990,"",IF(Main[[#This Row],[Class]]="C",WORKDAY(Main[[#This Row],[Tech Start Date]],9),IF(Main[[#This Row],[Class]]="B", WORKDAY(Main[[#This Row],[Tech Start Date]],6),IF(Main[[#This Row],[Class]]="A",WORKDAY(Main[[#This Row],[Tech Start Date]],2),""))))</f>
        <v/>
      </c>
      <c r="N204" s="73" t="str">
        <f>IF(Main[[#This Row],[Tech Start Date]]&lt;1/1/1990,"",IF(Main[[#This Row],[Class]]="C",WORKDAY(Main[[#This Row],[Tech Start Date]],19),IF(Main[[#This Row],[Class]]="B", WORKDAY(Main[[#This Row],[Tech Start Date]],12),IF(Main[[#This Row],[Class]]="A",WORKDAY(Main[[#This Row],[Tech Start Date]],4),""))))</f>
        <v/>
      </c>
      <c r="O204" s="73" t="str">
        <f>IF(Main[[#This Row],[Tech Start Date]]&lt;1/1/1990,"",IF(Main[[#This Row],[Class]]="C",WORKDAY(Main[[#This Row],[Tech Start Date]],23),IF(Main[[#This Row],[Class]]="B", WORKDAY(Main[[#This Row],[Tech Start Date]],15),IF(Main[[#This Row],[Class]]="A",WORKDAY(Main[[#This Row],[Tech Start Date]],5),""))))</f>
        <v/>
      </c>
      <c r="P204" s="73" t="str">
        <f>IF(Main[[#This Row],[Tech Start Date]]&lt;1/1/1990,"",IF(Main[[#This Row],[Class]]="C",WORKDAY(Main[[#This Row],[Tech Start Date]],28),IF(Main[[#This Row],[Class]]="B", WORKDAY(Main[[#This Row],[Tech Start Date]],19),IF(Main[[#This Row],[Class]]="A",WORKDAY(Main[[#This Row],[Tech Start Date]],9),""))))</f>
        <v/>
      </c>
      <c r="Q204" s="85">
        <v>40908</v>
      </c>
      <c r="R204" s="112"/>
      <c r="S204" s="95" t="s">
        <v>6</v>
      </c>
      <c r="T204" s="74" t="s">
        <v>4</v>
      </c>
      <c r="U204" s="95" t="s">
        <v>29</v>
      </c>
      <c r="V204" s="95" t="s">
        <v>1921</v>
      </c>
      <c r="W204" s="95" t="s">
        <v>1916</v>
      </c>
      <c r="X204" s="95" t="s">
        <v>81</v>
      </c>
      <c r="Y204" s="72" t="s">
        <v>2947</v>
      </c>
      <c r="Z204" s="72" t="s">
        <v>81</v>
      </c>
      <c r="AA204" s="95" t="s">
        <v>81</v>
      </c>
      <c r="AB204" s="132"/>
      <c r="AC204" s="132"/>
      <c r="AD204" s="132"/>
      <c r="AE204" s="63"/>
      <c r="AF204" s="63"/>
      <c r="AG204" s="63"/>
    </row>
    <row r="205" spans="1:33" ht="17.2" customHeight="1">
      <c r="A205" s="64" t="str">
        <f>IF(priority(Main[[#This Row],[Comments]])&lt;&gt;0, priority(Main[[#This Row],[Comments]]),"")</f>
        <v/>
      </c>
      <c r="B205" s="60" t="s">
        <v>1073</v>
      </c>
      <c r="C205" s="72" t="s">
        <v>31</v>
      </c>
      <c r="D205" s="59" t="s">
        <v>115</v>
      </c>
      <c r="E205" s="85"/>
      <c r="F205" s="85"/>
      <c r="G205" s="64" t="str">
        <f>IF(stdProdLT(Main[[#This Row],[Comments]])=0.1,"N/A",IF(stdProdLT(Main[[#This Row],[Comments]])=0,"",TRIM(stdProdLT(Main[[#This Row],[Comments]]))))</f>
        <v/>
      </c>
      <c r="H205" s="94" t="str">
        <f>IF(OR(Main[[#This Row],[Std. Prod. Lead Time]]="N/A",Main[[#This Row],[Std. Prod. Lead Time]]=""), "",IF(AND(Main[[#This Row],[In Stock Date]]&lt;&gt;"",Main[[#This Row],[Revised Due Date]]&lt;&gt;"",Main[[#This Row],[In Stock Date]]&lt;&gt;""),Main[[#This Row],[In Stock Date]]-Main[[#This Row],[Revised Due Date]],""))</f>
        <v/>
      </c>
      <c r="I205" s="101" t="s">
        <v>4</v>
      </c>
      <c r="J205" s="95" t="s">
        <v>4</v>
      </c>
      <c r="K205" s="95" t="s">
        <v>4</v>
      </c>
      <c r="L205" s="85"/>
      <c r="M205" s="73" t="str">
        <f>IF(Main[[#This Row],[Tech Start Date]]&lt;1/1/1990,"",IF(Main[[#This Row],[Class]]="C",WORKDAY(Main[[#This Row],[Tech Start Date]],9),IF(Main[[#This Row],[Class]]="B", WORKDAY(Main[[#This Row],[Tech Start Date]],6),IF(Main[[#This Row],[Class]]="A",WORKDAY(Main[[#This Row],[Tech Start Date]],2),""))))</f>
        <v/>
      </c>
      <c r="N205" s="73" t="str">
        <f>IF(Main[[#This Row],[Tech Start Date]]&lt;1/1/1990,"",IF(Main[[#This Row],[Class]]="C",WORKDAY(Main[[#This Row],[Tech Start Date]],19),IF(Main[[#This Row],[Class]]="B", WORKDAY(Main[[#This Row],[Tech Start Date]],12),IF(Main[[#This Row],[Class]]="A",WORKDAY(Main[[#This Row],[Tech Start Date]],4),""))))</f>
        <v/>
      </c>
      <c r="O205" s="73" t="str">
        <f>IF(Main[[#This Row],[Tech Start Date]]&lt;1/1/1990,"",IF(Main[[#This Row],[Class]]="C",WORKDAY(Main[[#This Row],[Tech Start Date]],23),IF(Main[[#This Row],[Class]]="B", WORKDAY(Main[[#This Row],[Tech Start Date]],15),IF(Main[[#This Row],[Class]]="A",WORKDAY(Main[[#This Row],[Tech Start Date]],5),""))))</f>
        <v/>
      </c>
      <c r="P205" s="73" t="str">
        <f>IF(Main[[#This Row],[Tech Start Date]]&lt;1/1/1990,"",IF(Main[[#This Row],[Class]]="C",WORKDAY(Main[[#This Row],[Tech Start Date]],28),IF(Main[[#This Row],[Class]]="B", WORKDAY(Main[[#This Row],[Tech Start Date]],19),IF(Main[[#This Row],[Class]]="A",WORKDAY(Main[[#This Row],[Tech Start Date]],9),""))))</f>
        <v/>
      </c>
      <c r="Q205" s="85">
        <v>40318</v>
      </c>
      <c r="R205" s="112"/>
      <c r="S205" s="95" t="s">
        <v>11</v>
      </c>
      <c r="T205" s="74" t="s">
        <v>4</v>
      </c>
      <c r="U205" s="95" t="s">
        <v>14</v>
      </c>
      <c r="V205" s="95" t="s">
        <v>1914</v>
      </c>
      <c r="W205" s="95" t="s">
        <v>1913</v>
      </c>
      <c r="X205" s="95" t="s">
        <v>2810</v>
      </c>
      <c r="Y205" s="72" t="s">
        <v>4</v>
      </c>
      <c r="Z205" s="72" t="s">
        <v>4</v>
      </c>
      <c r="AA205" s="95" t="s">
        <v>2810</v>
      </c>
      <c r="AB205" s="132"/>
      <c r="AC205" s="132"/>
      <c r="AD205" s="132"/>
      <c r="AE205" s="63"/>
      <c r="AF205" s="63"/>
      <c r="AG205" s="63"/>
    </row>
    <row r="206" spans="1:33" ht="17.2" customHeight="1">
      <c r="A206" s="64" t="str">
        <f>IF(priority(Main[[#This Row],[Comments]])&lt;&gt;0, priority(Main[[#This Row],[Comments]]),"")</f>
        <v/>
      </c>
      <c r="B206" s="60" t="s">
        <v>2322</v>
      </c>
      <c r="C206" s="72" t="s">
        <v>31</v>
      </c>
      <c r="D206" s="59" t="s">
        <v>2323</v>
      </c>
      <c r="E206" s="85"/>
      <c r="F206" s="85">
        <v>41000</v>
      </c>
      <c r="G206" s="64" t="str">
        <f>IF(stdProdLT(Main[[#This Row],[Comments]])=0.1,"N/A",IF(stdProdLT(Main[[#This Row],[Comments]])=0,"",TRIM(stdProdLT(Main[[#This Row],[Comments]]))))</f>
        <v>140</v>
      </c>
      <c r="H206" s="94" t="str">
        <f>IF(OR(Main[[#This Row],[Std. Prod. Lead Time]]="N/A",Main[[#This Row],[Std. Prod. Lead Time]]=""), "",IF(AND(Main[[#This Row],[In Stock Date]]&lt;&gt;"",Main[[#This Row],[Revised Due Date]]&lt;&gt;"",Main[[#This Row],[In Stock Date]]&lt;&gt;""),Main[[#This Row],[In Stock Date]]-Main[[#This Row],[Revised Due Date]],""))</f>
        <v/>
      </c>
      <c r="I206" s="101" t="s">
        <v>4</v>
      </c>
      <c r="J206" s="95" t="s">
        <v>4</v>
      </c>
      <c r="K206" s="95" t="s">
        <v>4</v>
      </c>
      <c r="L206" s="85"/>
      <c r="M206" s="73" t="str">
        <f>IF(Main[[#This Row],[Tech Start Date]]&lt;1/1/1990,"",IF(Main[[#This Row],[Class]]="C",WORKDAY(Main[[#This Row],[Tech Start Date]],9),IF(Main[[#This Row],[Class]]="B", WORKDAY(Main[[#This Row],[Tech Start Date]],6),IF(Main[[#This Row],[Class]]="A",WORKDAY(Main[[#This Row],[Tech Start Date]],2),""))))</f>
        <v/>
      </c>
      <c r="N206" s="73" t="str">
        <f>IF(Main[[#This Row],[Tech Start Date]]&lt;1/1/1990,"",IF(Main[[#This Row],[Class]]="C",WORKDAY(Main[[#This Row],[Tech Start Date]],19),IF(Main[[#This Row],[Class]]="B", WORKDAY(Main[[#This Row],[Tech Start Date]],12),IF(Main[[#This Row],[Class]]="A",WORKDAY(Main[[#This Row],[Tech Start Date]],4),""))))</f>
        <v/>
      </c>
      <c r="O206" s="73" t="str">
        <f>IF(Main[[#This Row],[Tech Start Date]]&lt;1/1/1990,"",IF(Main[[#This Row],[Class]]="C",WORKDAY(Main[[#This Row],[Tech Start Date]],23),IF(Main[[#This Row],[Class]]="B", WORKDAY(Main[[#This Row],[Tech Start Date]],15),IF(Main[[#This Row],[Class]]="A",WORKDAY(Main[[#This Row],[Tech Start Date]],5),""))))</f>
        <v/>
      </c>
      <c r="P206" s="73" t="str">
        <f>IF(Main[[#This Row],[Tech Start Date]]&lt;1/1/1990,"",IF(Main[[#This Row],[Class]]="C",WORKDAY(Main[[#This Row],[Tech Start Date]],28),IF(Main[[#This Row],[Class]]="B", WORKDAY(Main[[#This Row],[Tech Start Date]],19),IF(Main[[#This Row],[Class]]="A",WORKDAY(Main[[#This Row],[Tech Start Date]],9),""))))</f>
        <v/>
      </c>
      <c r="Q206" s="85">
        <v>40916</v>
      </c>
      <c r="R206" s="112"/>
      <c r="S206" s="95" t="s">
        <v>11</v>
      </c>
      <c r="T206" s="74" t="s">
        <v>2324</v>
      </c>
      <c r="U206" s="95" t="s">
        <v>14</v>
      </c>
      <c r="V206" s="95" t="s">
        <v>1921</v>
      </c>
      <c r="W206" s="95" t="s">
        <v>1917</v>
      </c>
      <c r="X206" s="95" t="s">
        <v>2820</v>
      </c>
      <c r="Y206" s="72" t="s">
        <v>4</v>
      </c>
      <c r="Z206" s="72" t="s">
        <v>4</v>
      </c>
      <c r="AA206" s="95" t="s">
        <v>2820</v>
      </c>
      <c r="AB206" s="132"/>
      <c r="AC206" s="132"/>
      <c r="AD206" s="132"/>
      <c r="AE206" s="63"/>
      <c r="AF206" s="63"/>
      <c r="AG206" s="63"/>
    </row>
    <row r="207" spans="1:33" ht="17.2" customHeight="1">
      <c r="A207" s="64" t="str">
        <f>IF(priority(Main[[#This Row],[Comments]])&lt;&gt;0, priority(Main[[#This Row],[Comments]]),"")</f>
        <v/>
      </c>
      <c r="B207" s="60" t="s">
        <v>2003</v>
      </c>
      <c r="C207" s="72" t="s">
        <v>4</v>
      </c>
      <c r="D207" s="59" t="s">
        <v>2004</v>
      </c>
      <c r="E207" s="85"/>
      <c r="F207" s="85"/>
      <c r="G207" s="64" t="str">
        <f>IF(stdProdLT(Main[[#This Row],[Comments]])=0.1,"N/A",IF(stdProdLT(Main[[#This Row],[Comments]])=0,"",TRIM(stdProdLT(Main[[#This Row],[Comments]]))))</f>
        <v/>
      </c>
      <c r="H207" s="94" t="str">
        <f>IF(OR(Main[[#This Row],[Std. Prod. Lead Time]]="N/A",Main[[#This Row],[Std. Prod. Lead Time]]=""), "",IF(AND(Main[[#This Row],[In Stock Date]]&lt;&gt;"",Main[[#This Row],[Revised Due Date]]&lt;&gt;"",Main[[#This Row],[In Stock Date]]&lt;&gt;""),Main[[#This Row],[In Stock Date]]-Main[[#This Row],[Revised Due Date]],""))</f>
        <v/>
      </c>
      <c r="I207" s="101" t="s">
        <v>4</v>
      </c>
      <c r="J207" s="95" t="s">
        <v>4</v>
      </c>
      <c r="K207" s="95" t="s">
        <v>4</v>
      </c>
      <c r="L207" s="85"/>
      <c r="M207" s="73" t="str">
        <f>IF(Main[[#This Row],[Tech Start Date]]&lt;1/1/1990,"",IF(Main[[#This Row],[Class]]="C",WORKDAY(Main[[#This Row],[Tech Start Date]],9),IF(Main[[#This Row],[Class]]="B", WORKDAY(Main[[#This Row],[Tech Start Date]],6),IF(Main[[#This Row],[Class]]="A",WORKDAY(Main[[#This Row],[Tech Start Date]],2),""))))</f>
        <v/>
      </c>
      <c r="N207" s="73" t="str">
        <f>IF(Main[[#This Row],[Tech Start Date]]&lt;1/1/1990,"",IF(Main[[#This Row],[Class]]="C",WORKDAY(Main[[#This Row],[Tech Start Date]],19),IF(Main[[#This Row],[Class]]="B", WORKDAY(Main[[#This Row],[Tech Start Date]],12),IF(Main[[#This Row],[Class]]="A",WORKDAY(Main[[#This Row],[Tech Start Date]],4),""))))</f>
        <v/>
      </c>
      <c r="O207" s="73" t="str">
        <f>IF(Main[[#This Row],[Tech Start Date]]&lt;1/1/1990,"",IF(Main[[#This Row],[Class]]="C",WORKDAY(Main[[#This Row],[Tech Start Date]],23),IF(Main[[#This Row],[Class]]="B", WORKDAY(Main[[#This Row],[Tech Start Date]],15),IF(Main[[#This Row],[Class]]="A",WORKDAY(Main[[#This Row],[Tech Start Date]],5),""))))</f>
        <v/>
      </c>
      <c r="P207" s="73" t="str">
        <f>IF(Main[[#This Row],[Tech Start Date]]&lt;1/1/1990,"",IF(Main[[#This Row],[Class]]="C",WORKDAY(Main[[#This Row],[Tech Start Date]],28),IF(Main[[#This Row],[Class]]="B", WORKDAY(Main[[#This Row],[Tech Start Date]],19),IF(Main[[#This Row],[Class]]="A",WORKDAY(Main[[#This Row],[Tech Start Date]],9),""))))</f>
        <v/>
      </c>
      <c r="Q207" s="85"/>
      <c r="R207" s="112"/>
      <c r="S207" s="95" t="s">
        <v>4</v>
      </c>
      <c r="T207" s="74" t="s">
        <v>4</v>
      </c>
      <c r="U207" s="95" t="s">
        <v>14</v>
      </c>
      <c r="V207" s="95" t="s">
        <v>1914</v>
      </c>
      <c r="W207" s="95" t="s">
        <v>1913</v>
      </c>
      <c r="X207" s="95" t="s">
        <v>2821</v>
      </c>
      <c r="Y207" s="72" t="s">
        <v>2949</v>
      </c>
      <c r="Z207" s="72" t="s">
        <v>4</v>
      </c>
      <c r="AA207" s="95" t="s">
        <v>2821</v>
      </c>
      <c r="AB207" s="132"/>
      <c r="AC207" s="132"/>
      <c r="AD207" s="132"/>
      <c r="AE207" s="63"/>
      <c r="AF207" s="63"/>
      <c r="AG207" s="63"/>
    </row>
    <row r="208" spans="1:33" ht="17.2" customHeight="1">
      <c r="A208" s="64" t="str">
        <f>IF(priority(Main[[#This Row],[Comments]])&lt;&gt;0, priority(Main[[#This Row],[Comments]]),"")</f>
        <v/>
      </c>
      <c r="B208" s="60" t="s">
        <v>1075</v>
      </c>
      <c r="C208" s="72" t="s">
        <v>42</v>
      </c>
      <c r="D208" s="59" t="s">
        <v>119</v>
      </c>
      <c r="E208" s="85"/>
      <c r="F208" s="85"/>
      <c r="G208" s="64" t="str">
        <f>IF(stdProdLT(Main[[#This Row],[Comments]])=0.1,"N/A",IF(stdProdLT(Main[[#This Row],[Comments]])=0,"",TRIM(stdProdLT(Main[[#This Row],[Comments]]))))</f>
        <v/>
      </c>
      <c r="H208" s="94" t="str">
        <f>IF(OR(Main[[#This Row],[Std. Prod. Lead Time]]="N/A",Main[[#This Row],[Std. Prod. Lead Time]]=""), "",IF(AND(Main[[#This Row],[In Stock Date]]&lt;&gt;"",Main[[#This Row],[Revised Due Date]]&lt;&gt;"",Main[[#This Row],[In Stock Date]]&lt;&gt;""),Main[[#This Row],[In Stock Date]]-Main[[#This Row],[Revised Due Date]],""))</f>
        <v/>
      </c>
      <c r="I208" s="101" t="s">
        <v>4</v>
      </c>
      <c r="J208" s="95" t="s">
        <v>4</v>
      </c>
      <c r="K208" s="95" t="s">
        <v>4</v>
      </c>
      <c r="L208" s="85"/>
      <c r="M208" s="73" t="str">
        <f>IF(Main[[#This Row],[Tech Start Date]]&lt;1/1/1990,"",IF(Main[[#This Row],[Class]]="C",WORKDAY(Main[[#This Row],[Tech Start Date]],9),IF(Main[[#This Row],[Class]]="B", WORKDAY(Main[[#This Row],[Tech Start Date]],6),IF(Main[[#This Row],[Class]]="A",WORKDAY(Main[[#This Row],[Tech Start Date]],2),""))))</f>
        <v/>
      </c>
      <c r="N208" s="73" t="str">
        <f>IF(Main[[#This Row],[Tech Start Date]]&lt;1/1/1990,"",IF(Main[[#This Row],[Class]]="C",WORKDAY(Main[[#This Row],[Tech Start Date]],19),IF(Main[[#This Row],[Class]]="B", WORKDAY(Main[[#This Row],[Tech Start Date]],12),IF(Main[[#This Row],[Class]]="A",WORKDAY(Main[[#This Row],[Tech Start Date]],4),""))))</f>
        <v/>
      </c>
      <c r="O208" s="73" t="str">
        <f>IF(Main[[#This Row],[Tech Start Date]]&lt;1/1/1990,"",IF(Main[[#This Row],[Class]]="C",WORKDAY(Main[[#This Row],[Tech Start Date]],23),IF(Main[[#This Row],[Class]]="B", WORKDAY(Main[[#This Row],[Tech Start Date]],15),IF(Main[[#This Row],[Class]]="A",WORKDAY(Main[[#This Row],[Tech Start Date]],5),""))))</f>
        <v/>
      </c>
      <c r="P208" s="73" t="str">
        <f>IF(Main[[#This Row],[Tech Start Date]]&lt;1/1/1990,"",IF(Main[[#This Row],[Class]]="C",WORKDAY(Main[[#This Row],[Tech Start Date]],28),IF(Main[[#This Row],[Class]]="B", WORKDAY(Main[[#This Row],[Tech Start Date]],19),IF(Main[[#This Row],[Class]]="A",WORKDAY(Main[[#This Row],[Tech Start Date]],9),""))))</f>
        <v/>
      </c>
      <c r="Q208" s="85"/>
      <c r="R208" s="112"/>
      <c r="S208" s="95" t="s">
        <v>11</v>
      </c>
      <c r="T208" s="74" t="s">
        <v>4</v>
      </c>
      <c r="U208" s="95" t="s">
        <v>14</v>
      </c>
      <c r="V208" s="95" t="s">
        <v>1912</v>
      </c>
      <c r="W208" s="95" t="s">
        <v>1919</v>
      </c>
      <c r="X208" s="95" t="s">
        <v>399</v>
      </c>
      <c r="Y208" s="72" t="s">
        <v>2926</v>
      </c>
      <c r="Z208" s="72" t="s">
        <v>4</v>
      </c>
      <c r="AA208" s="95" t="s">
        <v>399</v>
      </c>
      <c r="AB208" s="132"/>
      <c r="AC208" s="132"/>
      <c r="AD208" s="132"/>
      <c r="AE208" s="63"/>
      <c r="AF208" s="63"/>
      <c r="AG208" s="63"/>
    </row>
    <row r="209" spans="1:33" ht="17.2" customHeight="1">
      <c r="A209" s="64" t="str">
        <f>IF(priority(Main[[#This Row],[Comments]])&lt;&gt;0, priority(Main[[#This Row],[Comments]]),"")</f>
        <v/>
      </c>
      <c r="B209" s="60" t="s">
        <v>1487</v>
      </c>
      <c r="C209" s="72" t="s">
        <v>4</v>
      </c>
      <c r="D209" s="59" t="s">
        <v>571</v>
      </c>
      <c r="E209" s="85">
        <v>40422.460902777777</v>
      </c>
      <c r="F209" s="85"/>
      <c r="G209" s="64" t="str">
        <f>IF(stdProdLT(Main[[#This Row],[Comments]])=0.1,"N/A",IF(stdProdLT(Main[[#This Row],[Comments]])=0,"",TRIM(stdProdLT(Main[[#This Row],[Comments]]))))</f>
        <v/>
      </c>
      <c r="H209" s="94" t="str">
        <f>IF(OR(Main[[#This Row],[Std. Prod. Lead Time]]="N/A",Main[[#This Row],[Std. Prod. Lead Time]]=""), "",IF(AND(Main[[#This Row],[In Stock Date]]&lt;&gt;"",Main[[#This Row],[Revised Due Date]]&lt;&gt;"",Main[[#This Row],[In Stock Date]]&lt;&gt;""),Main[[#This Row],[In Stock Date]]-Main[[#This Row],[Revised Due Date]],""))</f>
        <v/>
      </c>
      <c r="I209" s="101" t="s">
        <v>4</v>
      </c>
      <c r="J209" s="95" t="s">
        <v>28</v>
      </c>
      <c r="K209" s="95" t="s">
        <v>4</v>
      </c>
      <c r="L209" s="85"/>
      <c r="M209" s="73" t="str">
        <f>IF(Main[[#This Row],[Tech Start Date]]&lt;1/1/1990,"",IF(Main[[#This Row],[Class]]="C",WORKDAY(Main[[#This Row],[Tech Start Date]],9),IF(Main[[#This Row],[Class]]="B", WORKDAY(Main[[#This Row],[Tech Start Date]],6),IF(Main[[#This Row],[Class]]="A",WORKDAY(Main[[#This Row],[Tech Start Date]],2),""))))</f>
        <v/>
      </c>
      <c r="N209" s="73" t="str">
        <f>IF(Main[[#This Row],[Tech Start Date]]&lt;1/1/1990,"",IF(Main[[#This Row],[Class]]="C",WORKDAY(Main[[#This Row],[Tech Start Date]],19),IF(Main[[#This Row],[Class]]="B", WORKDAY(Main[[#This Row],[Tech Start Date]],12),IF(Main[[#This Row],[Class]]="A",WORKDAY(Main[[#This Row],[Tech Start Date]],4),""))))</f>
        <v/>
      </c>
      <c r="O209" s="73" t="str">
        <f>IF(Main[[#This Row],[Tech Start Date]]&lt;1/1/1990,"",IF(Main[[#This Row],[Class]]="C",WORKDAY(Main[[#This Row],[Tech Start Date]],23),IF(Main[[#This Row],[Class]]="B", WORKDAY(Main[[#This Row],[Tech Start Date]],15),IF(Main[[#This Row],[Class]]="A",WORKDAY(Main[[#This Row],[Tech Start Date]],5),""))))</f>
        <v/>
      </c>
      <c r="P209" s="73" t="str">
        <f>IF(Main[[#This Row],[Tech Start Date]]&lt;1/1/1990,"",IF(Main[[#This Row],[Class]]="C",WORKDAY(Main[[#This Row],[Tech Start Date]],28),IF(Main[[#This Row],[Class]]="B", WORKDAY(Main[[#This Row],[Tech Start Date]],19),IF(Main[[#This Row],[Class]]="A",WORKDAY(Main[[#This Row],[Tech Start Date]],9),""))))</f>
        <v/>
      </c>
      <c r="Q209" s="85"/>
      <c r="R209" s="112"/>
      <c r="S209" s="95" t="s">
        <v>6</v>
      </c>
      <c r="T209" s="74" t="s">
        <v>4</v>
      </c>
      <c r="U209" s="95" t="s">
        <v>29</v>
      </c>
      <c r="V209" s="95" t="s">
        <v>1911</v>
      </c>
      <c r="W209" s="95" t="s">
        <v>1919</v>
      </c>
      <c r="X209" s="95" t="s">
        <v>2046</v>
      </c>
      <c r="Y209" s="72" t="s">
        <v>2950</v>
      </c>
      <c r="Z209" s="72" t="s">
        <v>129</v>
      </c>
      <c r="AA209" s="95" t="s">
        <v>2046</v>
      </c>
      <c r="AB209" s="132"/>
      <c r="AC209" s="132"/>
      <c r="AD209" s="132"/>
      <c r="AE209" s="63"/>
      <c r="AF209" s="63"/>
      <c r="AG209" s="63"/>
    </row>
    <row r="210" spans="1:33" ht="17.2" customHeight="1">
      <c r="A210" s="64" t="str">
        <f>IF(priority(Main[[#This Row],[Comments]])&lt;&gt;0, priority(Main[[#This Row],[Comments]]),"")</f>
        <v/>
      </c>
      <c r="B210" s="60" t="s">
        <v>2051</v>
      </c>
      <c r="C210" s="72" t="s">
        <v>4</v>
      </c>
      <c r="D210" s="59" t="s">
        <v>2052</v>
      </c>
      <c r="E210" s="85"/>
      <c r="F210" s="85"/>
      <c r="G210" s="64" t="str">
        <f>IF(stdProdLT(Main[[#This Row],[Comments]])=0.1,"N/A",IF(stdProdLT(Main[[#This Row],[Comments]])=0,"",TRIM(stdProdLT(Main[[#This Row],[Comments]]))))</f>
        <v/>
      </c>
      <c r="H210" s="94" t="str">
        <f>IF(OR(Main[[#This Row],[Std. Prod. Lead Time]]="N/A",Main[[#This Row],[Std. Prod. Lead Time]]=""), "",IF(AND(Main[[#This Row],[In Stock Date]]&lt;&gt;"",Main[[#This Row],[Revised Due Date]]&lt;&gt;"",Main[[#This Row],[In Stock Date]]&lt;&gt;""),Main[[#This Row],[In Stock Date]]-Main[[#This Row],[Revised Due Date]],""))</f>
        <v/>
      </c>
      <c r="I210" s="101" t="s">
        <v>429</v>
      </c>
      <c r="J210" s="95" t="s">
        <v>70</v>
      </c>
      <c r="K210" s="95" t="s">
        <v>1920</v>
      </c>
      <c r="L210" s="85"/>
      <c r="M210" s="73" t="str">
        <f>IF(Main[[#This Row],[Tech Start Date]]&lt;1/1/1990,"",IF(Main[[#This Row],[Class]]="C",WORKDAY(Main[[#This Row],[Tech Start Date]],9),IF(Main[[#This Row],[Class]]="B", WORKDAY(Main[[#This Row],[Tech Start Date]],6),IF(Main[[#This Row],[Class]]="A",WORKDAY(Main[[#This Row],[Tech Start Date]],2),""))))</f>
        <v/>
      </c>
      <c r="N210" s="73" t="str">
        <f>IF(Main[[#This Row],[Tech Start Date]]&lt;1/1/1990,"",IF(Main[[#This Row],[Class]]="C",WORKDAY(Main[[#This Row],[Tech Start Date]],19),IF(Main[[#This Row],[Class]]="B", WORKDAY(Main[[#This Row],[Tech Start Date]],12),IF(Main[[#This Row],[Class]]="A",WORKDAY(Main[[#This Row],[Tech Start Date]],4),""))))</f>
        <v/>
      </c>
      <c r="O210" s="73" t="str">
        <f>IF(Main[[#This Row],[Tech Start Date]]&lt;1/1/1990,"",IF(Main[[#This Row],[Class]]="C",WORKDAY(Main[[#This Row],[Tech Start Date]],23),IF(Main[[#This Row],[Class]]="B", WORKDAY(Main[[#This Row],[Tech Start Date]],15),IF(Main[[#This Row],[Class]]="A",WORKDAY(Main[[#This Row],[Tech Start Date]],5),""))))</f>
        <v/>
      </c>
      <c r="P210" s="73" t="str">
        <f>IF(Main[[#This Row],[Tech Start Date]]&lt;1/1/1990,"",IF(Main[[#This Row],[Class]]="C",WORKDAY(Main[[#This Row],[Tech Start Date]],28),IF(Main[[#This Row],[Class]]="B", WORKDAY(Main[[#This Row],[Tech Start Date]],19),IF(Main[[#This Row],[Class]]="A",WORKDAY(Main[[#This Row],[Tech Start Date]],9),""))))</f>
        <v/>
      </c>
      <c r="Q210" s="85">
        <v>40786</v>
      </c>
      <c r="R210" s="112"/>
      <c r="S210" s="95" t="s">
        <v>6</v>
      </c>
      <c r="T210" s="74" t="s">
        <v>4</v>
      </c>
      <c r="U210" s="95" t="s">
        <v>14</v>
      </c>
      <c r="V210" s="95" t="s">
        <v>1914</v>
      </c>
      <c r="W210" s="95" t="s">
        <v>1915</v>
      </c>
      <c r="X210" s="95" t="s">
        <v>30</v>
      </c>
      <c r="Y210" s="72" t="s">
        <v>2951</v>
      </c>
      <c r="Z210" s="72" t="s">
        <v>44</v>
      </c>
      <c r="AA210" s="95" t="s">
        <v>3350</v>
      </c>
      <c r="AB210" s="132"/>
      <c r="AC210" s="132"/>
      <c r="AD210" s="132"/>
      <c r="AE210" s="63"/>
      <c r="AF210" s="63"/>
      <c r="AG210" s="63"/>
    </row>
    <row r="211" spans="1:33" ht="17.2" customHeight="1">
      <c r="A211" s="64" t="str">
        <f>IF(priority(Main[[#This Row],[Comments]])&lt;&gt;0, priority(Main[[#This Row],[Comments]]),"")</f>
        <v/>
      </c>
      <c r="B211" s="60" t="s">
        <v>1446</v>
      </c>
      <c r="C211" s="72" t="s">
        <v>4</v>
      </c>
      <c r="D211" s="59" t="s">
        <v>2292</v>
      </c>
      <c r="E211" s="85"/>
      <c r="F211" s="85"/>
      <c r="G211" s="64" t="str">
        <f>IF(stdProdLT(Main[[#This Row],[Comments]])=0.1,"N/A",IF(stdProdLT(Main[[#This Row],[Comments]])=0,"",TRIM(stdProdLT(Main[[#This Row],[Comments]]))))</f>
        <v/>
      </c>
      <c r="H211" s="94" t="str">
        <f>IF(OR(Main[[#This Row],[Std. Prod. Lead Time]]="N/A",Main[[#This Row],[Std. Prod. Lead Time]]=""), "",IF(AND(Main[[#This Row],[In Stock Date]]&lt;&gt;"",Main[[#This Row],[Revised Due Date]]&lt;&gt;"",Main[[#This Row],[In Stock Date]]&lt;&gt;""),Main[[#This Row],[In Stock Date]]-Main[[#This Row],[Revised Due Date]],""))</f>
        <v/>
      </c>
      <c r="I211" s="101" t="s">
        <v>30</v>
      </c>
      <c r="J211" s="95" t="s">
        <v>28</v>
      </c>
      <c r="K211" s="95" t="s">
        <v>1920</v>
      </c>
      <c r="L211" s="85"/>
      <c r="M211" s="73" t="str">
        <f>IF(Main[[#This Row],[Tech Start Date]]&lt;1/1/1990,"",IF(Main[[#This Row],[Class]]="C",WORKDAY(Main[[#This Row],[Tech Start Date]],9),IF(Main[[#This Row],[Class]]="B", WORKDAY(Main[[#This Row],[Tech Start Date]],6),IF(Main[[#This Row],[Class]]="A",WORKDAY(Main[[#This Row],[Tech Start Date]],2),""))))</f>
        <v/>
      </c>
      <c r="N211" s="73" t="str">
        <f>IF(Main[[#This Row],[Tech Start Date]]&lt;1/1/1990,"",IF(Main[[#This Row],[Class]]="C",WORKDAY(Main[[#This Row],[Tech Start Date]],19),IF(Main[[#This Row],[Class]]="B", WORKDAY(Main[[#This Row],[Tech Start Date]],12),IF(Main[[#This Row],[Class]]="A",WORKDAY(Main[[#This Row],[Tech Start Date]],4),""))))</f>
        <v/>
      </c>
      <c r="O211" s="73" t="str">
        <f>IF(Main[[#This Row],[Tech Start Date]]&lt;1/1/1990,"",IF(Main[[#This Row],[Class]]="C",WORKDAY(Main[[#This Row],[Tech Start Date]],23),IF(Main[[#This Row],[Class]]="B", WORKDAY(Main[[#This Row],[Tech Start Date]],15),IF(Main[[#This Row],[Class]]="A",WORKDAY(Main[[#This Row],[Tech Start Date]],5),""))))</f>
        <v/>
      </c>
      <c r="P211" s="73" t="str">
        <f>IF(Main[[#This Row],[Tech Start Date]]&lt;1/1/1990,"",IF(Main[[#This Row],[Class]]="C",WORKDAY(Main[[#This Row],[Tech Start Date]],28),IF(Main[[#This Row],[Class]]="B", WORKDAY(Main[[#This Row],[Tech Start Date]],19),IF(Main[[#This Row],[Class]]="A",WORKDAY(Main[[#This Row],[Tech Start Date]],9),""))))</f>
        <v/>
      </c>
      <c r="Q211" s="85">
        <v>40606</v>
      </c>
      <c r="R211" s="112"/>
      <c r="S211" s="95" t="s">
        <v>6</v>
      </c>
      <c r="T211" s="74" t="s">
        <v>4</v>
      </c>
      <c r="U211" s="95" t="s">
        <v>14</v>
      </c>
      <c r="V211" s="95" t="s">
        <v>1914</v>
      </c>
      <c r="W211" s="95" t="s">
        <v>1915</v>
      </c>
      <c r="X211" s="95" t="s">
        <v>2816</v>
      </c>
      <c r="Y211" s="72" t="s">
        <v>2943</v>
      </c>
      <c r="Z211" s="72" t="s">
        <v>30</v>
      </c>
      <c r="AA211" s="95" t="s">
        <v>2816</v>
      </c>
      <c r="AB211" s="132"/>
      <c r="AC211" s="132"/>
      <c r="AD211" s="132"/>
      <c r="AE211" s="63"/>
      <c r="AF211" s="63"/>
      <c r="AG211" s="63"/>
    </row>
    <row r="212" spans="1:33" ht="17.2" customHeight="1">
      <c r="A212" s="64" t="str">
        <f>IF(priority(Main[[#This Row],[Comments]])&lt;&gt;0, priority(Main[[#This Row],[Comments]]),"")</f>
        <v/>
      </c>
      <c r="B212" s="60" t="s">
        <v>1079</v>
      </c>
      <c r="C212" s="72" t="s">
        <v>67</v>
      </c>
      <c r="D212" s="59" t="s">
        <v>121</v>
      </c>
      <c r="E212" s="85">
        <v>40707.647118055553</v>
      </c>
      <c r="F212" s="85"/>
      <c r="G212" s="64" t="str">
        <f>IF(stdProdLT(Main[[#This Row],[Comments]])=0.1,"N/A",IF(stdProdLT(Main[[#This Row],[Comments]])=0,"",TRIM(stdProdLT(Main[[#This Row],[Comments]]))))</f>
        <v/>
      </c>
      <c r="H212" s="94" t="str">
        <f>IF(OR(Main[[#This Row],[Std. Prod. Lead Time]]="N/A",Main[[#This Row],[Std. Prod. Lead Time]]=""), "",IF(AND(Main[[#This Row],[In Stock Date]]&lt;&gt;"",Main[[#This Row],[Revised Due Date]]&lt;&gt;"",Main[[#This Row],[In Stock Date]]&lt;&gt;""),Main[[#This Row],[In Stock Date]]-Main[[#This Row],[Revised Due Date]],""))</f>
        <v/>
      </c>
      <c r="I212" s="101" t="s">
        <v>4</v>
      </c>
      <c r="J212" s="95" t="s">
        <v>4</v>
      </c>
      <c r="K212" s="95" t="s">
        <v>4</v>
      </c>
      <c r="L212" s="85"/>
      <c r="M212" s="73" t="str">
        <f>IF(Main[[#This Row],[Tech Start Date]]&lt;1/1/1990,"",IF(Main[[#This Row],[Class]]="C",WORKDAY(Main[[#This Row],[Tech Start Date]],9),IF(Main[[#This Row],[Class]]="B", WORKDAY(Main[[#This Row],[Tech Start Date]],6),IF(Main[[#This Row],[Class]]="A",WORKDAY(Main[[#This Row],[Tech Start Date]],2),""))))</f>
        <v/>
      </c>
      <c r="N212" s="73" t="str">
        <f>IF(Main[[#This Row],[Tech Start Date]]&lt;1/1/1990,"",IF(Main[[#This Row],[Class]]="C",WORKDAY(Main[[#This Row],[Tech Start Date]],19),IF(Main[[#This Row],[Class]]="B", WORKDAY(Main[[#This Row],[Tech Start Date]],12),IF(Main[[#This Row],[Class]]="A",WORKDAY(Main[[#This Row],[Tech Start Date]],4),""))))</f>
        <v/>
      </c>
      <c r="O212" s="73" t="str">
        <f>IF(Main[[#This Row],[Tech Start Date]]&lt;1/1/1990,"",IF(Main[[#This Row],[Class]]="C",WORKDAY(Main[[#This Row],[Tech Start Date]],23),IF(Main[[#This Row],[Class]]="B", WORKDAY(Main[[#This Row],[Tech Start Date]],15),IF(Main[[#This Row],[Class]]="A",WORKDAY(Main[[#This Row],[Tech Start Date]],5),""))))</f>
        <v/>
      </c>
      <c r="P212" s="73" t="str">
        <f>IF(Main[[#This Row],[Tech Start Date]]&lt;1/1/1990,"",IF(Main[[#This Row],[Class]]="C",WORKDAY(Main[[#This Row],[Tech Start Date]],28),IF(Main[[#This Row],[Class]]="B", WORKDAY(Main[[#This Row],[Tech Start Date]],19),IF(Main[[#This Row],[Class]]="A",WORKDAY(Main[[#This Row],[Tech Start Date]],9),""))))</f>
        <v/>
      </c>
      <c r="Q212" s="85">
        <v>40755</v>
      </c>
      <c r="R212" s="112"/>
      <c r="S212" s="95" t="s">
        <v>17</v>
      </c>
      <c r="T212" s="74" t="s">
        <v>4</v>
      </c>
      <c r="U212" s="95" t="s">
        <v>7</v>
      </c>
      <c r="V212" s="95" t="s">
        <v>1914</v>
      </c>
      <c r="W212" s="95" t="s">
        <v>1916</v>
      </c>
      <c r="X212" s="95" t="s">
        <v>553</v>
      </c>
      <c r="Y212" s="72" t="s">
        <v>2930</v>
      </c>
      <c r="Z212" s="72" t="s">
        <v>4</v>
      </c>
      <c r="AA212" s="95" t="s">
        <v>553</v>
      </c>
      <c r="AB212" s="132"/>
      <c r="AC212" s="132"/>
      <c r="AD212" s="132"/>
      <c r="AE212" s="63"/>
      <c r="AF212" s="63"/>
      <c r="AG212" s="63"/>
    </row>
    <row r="213" spans="1:33" ht="17.2" customHeight="1">
      <c r="A213" s="64" t="str">
        <f>IF(priority(Main[[#This Row],[Comments]])&lt;&gt;0, priority(Main[[#This Row],[Comments]]),"")</f>
        <v/>
      </c>
      <c r="B213" s="60" t="s">
        <v>1077</v>
      </c>
      <c r="C213" s="72" t="s">
        <v>4</v>
      </c>
      <c r="D213" s="59" t="s">
        <v>120</v>
      </c>
      <c r="E213" s="85"/>
      <c r="F213" s="85"/>
      <c r="G213" s="64" t="str">
        <f>IF(stdProdLT(Main[[#This Row],[Comments]])=0.1,"N/A",IF(stdProdLT(Main[[#This Row],[Comments]])=0,"",TRIM(stdProdLT(Main[[#This Row],[Comments]]))))</f>
        <v/>
      </c>
      <c r="H213" s="94" t="str">
        <f>IF(OR(Main[[#This Row],[Std. Prod. Lead Time]]="N/A",Main[[#This Row],[Std. Prod. Lead Time]]=""), "",IF(AND(Main[[#This Row],[In Stock Date]]&lt;&gt;"",Main[[#This Row],[Revised Due Date]]&lt;&gt;"",Main[[#This Row],[In Stock Date]]&lt;&gt;""),Main[[#This Row],[In Stock Date]]-Main[[#This Row],[Revised Due Date]],""))</f>
        <v/>
      </c>
      <c r="I213" s="101" t="s">
        <v>4</v>
      </c>
      <c r="J213" s="95" t="s">
        <v>4</v>
      </c>
      <c r="K213" s="95" t="s">
        <v>4</v>
      </c>
      <c r="L213" s="85"/>
      <c r="M213" s="73" t="str">
        <f>IF(Main[[#This Row],[Tech Start Date]]&lt;1/1/1990,"",IF(Main[[#This Row],[Class]]="C",WORKDAY(Main[[#This Row],[Tech Start Date]],9),IF(Main[[#This Row],[Class]]="B", WORKDAY(Main[[#This Row],[Tech Start Date]],6),IF(Main[[#This Row],[Class]]="A",WORKDAY(Main[[#This Row],[Tech Start Date]],2),""))))</f>
        <v/>
      </c>
      <c r="N213" s="73" t="str">
        <f>IF(Main[[#This Row],[Tech Start Date]]&lt;1/1/1990,"",IF(Main[[#This Row],[Class]]="C",WORKDAY(Main[[#This Row],[Tech Start Date]],19),IF(Main[[#This Row],[Class]]="B", WORKDAY(Main[[#This Row],[Tech Start Date]],12),IF(Main[[#This Row],[Class]]="A",WORKDAY(Main[[#This Row],[Tech Start Date]],4),""))))</f>
        <v/>
      </c>
      <c r="O213" s="73" t="str">
        <f>IF(Main[[#This Row],[Tech Start Date]]&lt;1/1/1990,"",IF(Main[[#This Row],[Class]]="C",WORKDAY(Main[[#This Row],[Tech Start Date]],23),IF(Main[[#This Row],[Class]]="B", WORKDAY(Main[[#This Row],[Tech Start Date]],15),IF(Main[[#This Row],[Class]]="A",WORKDAY(Main[[#This Row],[Tech Start Date]],5),""))))</f>
        <v/>
      </c>
      <c r="P213" s="73" t="str">
        <f>IF(Main[[#This Row],[Tech Start Date]]&lt;1/1/1990,"",IF(Main[[#This Row],[Class]]="C",WORKDAY(Main[[#This Row],[Tech Start Date]],28),IF(Main[[#This Row],[Class]]="B", WORKDAY(Main[[#This Row],[Tech Start Date]],19),IF(Main[[#This Row],[Class]]="A",WORKDAY(Main[[#This Row],[Tech Start Date]],9),""))))</f>
        <v/>
      </c>
      <c r="Q213" s="85"/>
      <c r="R213" s="112"/>
      <c r="S213" s="95" t="s">
        <v>11</v>
      </c>
      <c r="T213" s="74" t="s">
        <v>4</v>
      </c>
      <c r="U213" s="95" t="s">
        <v>14</v>
      </c>
      <c r="V213" s="95" t="s">
        <v>1914</v>
      </c>
      <c r="W213" s="95" t="s">
        <v>1925</v>
      </c>
      <c r="X213" s="95" t="s">
        <v>2822</v>
      </c>
      <c r="Y213" s="72" t="s">
        <v>2952</v>
      </c>
      <c r="Z213" s="72" t="s">
        <v>4</v>
      </c>
      <c r="AA213" s="95" t="s">
        <v>2822</v>
      </c>
      <c r="AB213" s="132"/>
      <c r="AC213" s="132"/>
      <c r="AD213" s="132"/>
      <c r="AE213" s="63"/>
      <c r="AF213" s="63"/>
      <c r="AG213" s="63"/>
    </row>
    <row r="214" spans="1:33" ht="17.2" customHeight="1">
      <c r="A214" s="64" t="str">
        <f>IF(priority(Main[[#This Row],[Comments]])&lt;&gt;0, priority(Main[[#This Row],[Comments]]),"")</f>
        <v/>
      </c>
      <c r="B214" s="60" t="s">
        <v>1042</v>
      </c>
      <c r="C214" s="72" t="s">
        <v>53</v>
      </c>
      <c r="D214" s="59" t="s">
        <v>66</v>
      </c>
      <c r="E214" s="85"/>
      <c r="F214" s="85"/>
      <c r="G214" s="64" t="str">
        <f>IF(stdProdLT(Main[[#This Row],[Comments]])=0.1,"N/A",IF(stdProdLT(Main[[#This Row],[Comments]])=0,"",TRIM(stdProdLT(Main[[#This Row],[Comments]]))))</f>
        <v/>
      </c>
      <c r="H214" s="94" t="str">
        <f>IF(OR(Main[[#This Row],[Std. Prod. Lead Time]]="N/A",Main[[#This Row],[Std. Prod. Lead Time]]=""), "",IF(AND(Main[[#This Row],[In Stock Date]]&lt;&gt;"",Main[[#This Row],[Revised Due Date]]&lt;&gt;"",Main[[#This Row],[In Stock Date]]&lt;&gt;""),Main[[#This Row],[In Stock Date]]-Main[[#This Row],[Revised Due Date]],""))</f>
        <v/>
      </c>
      <c r="I214" s="101" t="s">
        <v>4</v>
      </c>
      <c r="J214" s="95" t="s">
        <v>4</v>
      </c>
      <c r="K214" s="95" t="s">
        <v>4</v>
      </c>
      <c r="L214" s="85"/>
      <c r="M214" s="73" t="str">
        <f>IF(Main[[#This Row],[Tech Start Date]]&lt;1/1/1990,"",IF(Main[[#This Row],[Class]]="C",WORKDAY(Main[[#This Row],[Tech Start Date]],9),IF(Main[[#This Row],[Class]]="B", WORKDAY(Main[[#This Row],[Tech Start Date]],6),IF(Main[[#This Row],[Class]]="A",WORKDAY(Main[[#This Row],[Tech Start Date]],2),""))))</f>
        <v/>
      </c>
      <c r="N214" s="73" t="str">
        <f>IF(Main[[#This Row],[Tech Start Date]]&lt;1/1/1990,"",IF(Main[[#This Row],[Class]]="C",WORKDAY(Main[[#This Row],[Tech Start Date]],19),IF(Main[[#This Row],[Class]]="B", WORKDAY(Main[[#This Row],[Tech Start Date]],12),IF(Main[[#This Row],[Class]]="A",WORKDAY(Main[[#This Row],[Tech Start Date]],4),""))))</f>
        <v/>
      </c>
      <c r="O214" s="73" t="str">
        <f>IF(Main[[#This Row],[Tech Start Date]]&lt;1/1/1990,"",IF(Main[[#This Row],[Class]]="C",WORKDAY(Main[[#This Row],[Tech Start Date]],23),IF(Main[[#This Row],[Class]]="B", WORKDAY(Main[[#This Row],[Tech Start Date]],15),IF(Main[[#This Row],[Class]]="A",WORKDAY(Main[[#This Row],[Tech Start Date]],5),""))))</f>
        <v/>
      </c>
      <c r="P214" s="73" t="str">
        <f>IF(Main[[#This Row],[Tech Start Date]]&lt;1/1/1990,"",IF(Main[[#This Row],[Class]]="C",WORKDAY(Main[[#This Row],[Tech Start Date]],28),IF(Main[[#This Row],[Class]]="B", WORKDAY(Main[[#This Row],[Tech Start Date]],19),IF(Main[[#This Row],[Class]]="A",WORKDAY(Main[[#This Row],[Tech Start Date]],9),""))))</f>
        <v/>
      </c>
      <c r="Q214" s="85">
        <v>40667</v>
      </c>
      <c r="R214" s="112"/>
      <c r="S214" s="95" t="s">
        <v>11</v>
      </c>
      <c r="T214" s="74" t="s">
        <v>4</v>
      </c>
      <c r="U214" s="95" t="s">
        <v>14</v>
      </c>
      <c r="V214" s="95" t="s">
        <v>1912</v>
      </c>
      <c r="W214" s="95" t="s">
        <v>1913</v>
      </c>
      <c r="X214" s="95" t="s">
        <v>2796</v>
      </c>
      <c r="Y214" s="72" t="s">
        <v>4</v>
      </c>
      <c r="Z214" s="72" t="s">
        <v>4</v>
      </c>
      <c r="AA214" s="95" t="s">
        <v>2796</v>
      </c>
      <c r="AB214" s="132"/>
      <c r="AC214" s="132"/>
      <c r="AD214" s="132"/>
      <c r="AE214" s="63"/>
      <c r="AF214" s="63"/>
      <c r="AG214" s="63"/>
    </row>
    <row r="215" spans="1:33" ht="17.2" customHeight="1">
      <c r="A215" s="64" t="str">
        <f>IF(priority(Main[[#This Row],[Comments]])&lt;&gt;0, priority(Main[[#This Row],[Comments]]),"")</f>
        <v/>
      </c>
      <c r="B215" s="60" t="s">
        <v>2021</v>
      </c>
      <c r="C215" s="72" t="s">
        <v>4</v>
      </c>
      <c r="D215" s="59" t="s">
        <v>2022</v>
      </c>
      <c r="E215" s="85">
        <v>40749.684224537035</v>
      </c>
      <c r="F215" s="85"/>
      <c r="G215" s="64" t="str">
        <f>IF(stdProdLT(Main[[#This Row],[Comments]])=0.1,"N/A",IF(stdProdLT(Main[[#This Row],[Comments]])=0,"",TRIM(stdProdLT(Main[[#This Row],[Comments]]))))</f>
        <v/>
      </c>
      <c r="H215" s="94" t="str">
        <f>IF(OR(Main[[#This Row],[Std. Prod. Lead Time]]="N/A",Main[[#This Row],[Std. Prod. Lead Time]]=""), "",IF(AND(Main[[#This Row],[In Stock Date]]&lt;&gt;"",Main[[#This Row],[Revised Due Date]]&lt;&gt;"",Main[[#This Row],[In Stock Date]]&lt;&gt;""),Main[[#This Row],[In Stock Date]]-Main[[#This Row],[Revised Due Date]],""))</f>
        <v/>
      </c>
      <c r="I215" s="101" t="s">
        <v>4</v>
      </c>
      <c r="J215" s="95" t="s">
        <v>4</v>
      </c>
      <c r="K215" s="95" t="s">
        <v>4</v>
      </c>
      <c r="L215" s="85"/>
      <c r="M215" s="73" t="str">
        <f>IF(Main[[#This Row],[Tech Start Date]]&lt;1/1/1990,"",IF(Main[[#This Row],[Class]]="C",WORKDAY(Main[[#This Row],[Tech Start Date]],9),IF(Main[[#This Row],[Class]]="B", WORKDAY(Main[[#This Row],[Tech Start Date]],6),IF(Main[[#This Row],[Class]]="A",WORKDAY(Main[[#This Row],[Tech Start Date]],2),""))))</f>
        <v/>
      </c>
      <c r="N215" s="73" t="str">
        <f>IF(Main[[#This Row],[Tech Start Date]]&lt;1/1/1990,"",IF(Main[[#This Row],[Class]]="C",WORKDAY(Main[[#This Row],[Tech Start Date]],19),IF(Main[[#This Row],[Class]]="B", WORKDAY(Main[[#This Row],[Tech Start Date]],12),IF(Main[[#This Row],[Class]]="A",WORKDAY(Main[[#This Row],[Tech Start Date]],4),""))))</f>
        <v/>
      </c>
      <c r="O215" s="73" t="str">
        <f>IF(Main[[#This Row],[Tech Start Date]]&lt;1/1/1990,"",IF(Main[[#This Row],[Class]]="C",WORKDAY(Main[[#This Row],[Tech Start Date]],23),IF(Main[[#This Row],[Class]]="B", WORKDAY(Main[[#This Row],[Tech Start Date]],15),IF(Main[[#This Row],[Class]]="A",WORKDAY(Main[[#This Row],[Tech Start Date]],5),""))))</f>
        <v/>
      </c>
      <c r="P215" s="73" t="str">
        <f>IF(Main[[#This Row],[Tech Start Date]]&lt;1/1/1990,"",IF(Main[[#This Row],[Class]]="C",WORKDAY(Main[[#This Row],[Tech Start Date]],28),IF(Main[[#This Row],[Class]]="B", WORKDAY(Main[[#This Row],[Tech Start Date]],19),IF(Main[[#This Row],[Class]]="A",WORKDAY(Main[[#This Row],[Tech Start Date]],9),""))))</f>
        <v/>
      </c>
      <c r="Q215" s="85">
        <v>40781</v>
      </c>
      <c r="R215" s="112"/>
      <c r="S215" s="95" t="s">
        <v>6</v>
      </c>
      <c r="T215" s="74" t="s">
        <v>4</v>
      </c>
      <c r="U215" s="95" t="s">
        <v>7</v>
      </c>
      <c r="V215" s="95" t="s">
        <v>1911</v>
      </c>
      <c r="W215" s="95" t="s">
        <v>4</v>
      </c>
      <c r="X215" s="95" t="s">
        <v>2799</v>
      </c>
      <c r="Y215" s="72" t="s">
        <v>2910</v>
      </c>
      <c r="Z215" s="72" t="s">
        <v>4</v>
      </c>
      <c r="AA215" s="95" t="s">
        <v>2799</v>
      </c>
      <c r="AB215" s="132"/>
      <c r="AC215" s="132"/>
      <c r="AD215" s="132"/>
      <c r="AE215" s="63"/>
      <c r="AF215" s="63"/>
      <c r="AG215" s="63"/>
    </row>
    <row r="216" spans="1:33" ht="17.2" customHeight="1">
      <c r="A216" s="64" t="str">
        <f>IF(priority(Main[[#This Row],[Comments]])&lt;&gt;0, priority(Main[[#This Row],[Comments]]),"")</f>
        <v/>
      </c>
      <c r="B216" s="60" t="s">
        <v>1053</v>
      </c>
      <c r="C216" s="72" t="s">
        <v>4</v>
      </c>
      <c r="D216" s="59" t="s">
        <v>85</v>
      </c>
      <c r="E216" s="85"/>
      <c r="F216" s="85"/>
      <c r="G216" s="64" t="str">
        <f>IF(stdProdLT(Main[[#This Row],[Comments]])=0.1,"N/A",IF(stdProdLT(Main[[#This Row],[Comments]])=0,"",TRIM(stdProdLT(Main[[#This Row],[Comments]]))))</f>
        <v/>
      </c>
      <c r="H216" s="94" t="str">
        <f>IF(OR(Main[[#This Row],[Std. Prod. Lead Time]]="N/A",Main[[#This Row],[Std. Prod. Lead Time]]=""), "",IF(AND(Main[[#This Row],[In Stock Date]]&lt;&gt;"",Main[[#This Row],[Revised Due Date]]&lt;&gt;"",Main[[#This Row],[In Stock Date]]&lt;&gt;""),Main[[#This Row],[In Stock Date]]-Main[[#This Row],[Revised Due Date]],""))</f>
        <v/>
      </c>
      <c r="I216" s="101" t="s">
        <v>4</v>
      </c>
      <c r="J216" s="95" t="s">
        <v>4</v>
      </c>
      <c r="K216" s="95" t="s">
        <v>4</v>
      </c>
      <c r="L216" s="85"/>
      <c r="M216" s="73" t="str">
        <f>IF(Main[[#This Row],[Tech Start Date]]&lt;1/1/1990,"",IF(Main[[#This Row],[Class]]="C",WORKDAY(Main[[#This Row],[Tech Start Date]],9),IF(Main[[#This Row],[Class]]="B", WORKDAY(Main[[#This Row],[Tech Start Date]],6),IF(Main[[#This Row],[Class]]="A",WORKDAY(Main[[#This Row],[Tech Start Date]],2),""))))</f>
        <v/>
      </c>
      <c r="N216" s="73" t="str">
        <f>IF(Main[[#This Row],[Tech Start Date]]&lt;1/1/1990,"",IF(Main[[#This Row],[Class]]="C",WORKDAY(Main[[#This Row],[Tech Start Date]],19),IF(Main[[#This Row],[Class]]="B", WORKDAY(Main[[#This Row],[Tech Start Date]],12),IF(Main[[#This Row],[Class]]="A",WORKDAY(Main[[#This Row],[Tech Start Date]],4),""))))</f>
        <v/>
      </c>
      <c r="O216" s="73" t="str">
        <f>IF(Main[[#This Row],[Tech Start Date]]&lt;1/1/1990,"",IF(Main[[#This Row],[Class]]="C",WORKDAY(Main[[#This Row],[Tech Start Date]],23),IF(Main[[#This Row],[Class]]="B", WORKDAY(Main[[#This Row],[Tech Start Date]],15),IF(Main[[#This Row],[Class]]="A",WORKDAY(Main[[#This Row],[Tech Start Date]],5),""))))</f>
        <v/>
      </c>
      <c r="P216" s="73" t="str">
        <f>IF(Main[[#This Row],[Tech Start Date]]&lt;1/1/1990,"",IF(Main[[#This Row],[Class]]="C",WORKDAY(Main[[#This Row],[Tech Start Date]],28),IF(Main[[#This Row],[Class]]="B", WORKDAY(Main[[#This Row],[Tech Start Date]],19),IF(Main[[#This Row],[Class]]="A",WORKDAY(Main[[#This Row],[Tech Start Date]],9),""))))</f>
        <v/>
      </c>
      <c r="Q216" s="85"/>
      <c r="R216" s="112"/>
      <c r="S216" s="95" t="s">
        <v>6</v>
      </c>
      <c r="T216" s="74" t="s">
        <v>4</v>
      </c>
      <c r="U216" s="95" t="s">
        <v>14</v>
      </c>
      <c r="V216" s="95" t="s">
        <v>1912</v>
      </c>
      <c r="W216" s="95" t="s">
        <v>1915</v>
      </c>
      <c r="X216" s="95" t="s">
        <v>399</v>
      </c>
      <c r="Y216" s="72" t="s">
        <v>4</v>
      </c>
      <c r="Z216" s="72" t="s">
        <v>4</v>
      </c>
      <c r="AA216" s="95" t="s">
        <v>3343</v>
      </c>
      <c r="AB216" s="132"/>
      <c r="AC216" s="132"/>
      <c r="AD216" s="132"/>
      <c r="AE216" s="63"/>
      <c r="AF216" s="63"/>
      <c r="AG216" s="63"/>
    </row>
    <row r="217" spans="1:33" ht="17.2" customHeight="1">
      <c r="A217" s="64" t="str">
        <f>IF(priority(Main[[#This Row],[Comments]])&lt;&gt;0, priority(Main[[#This Row],[Comments]]),"")</f>
        <v/>
      </c>
      <c r="B217" s="60" t="s">
        <v>1043</v>
      </c>
      <c r="C217" s="72" t="s">
        <v>67</v>
      </c>
      <c r="D217" s="59" t="s">
        <v>68</v>
      </c>
      <c r="E217" s="85"/>
      <c r="F217" s="85"/>
      <c r="G217" s="64" t="str">
        <f>IF(stdProdLT(Main[[#This Row],[Comments]])=0.1,"N/A",IF(stdProdLT(Main[[#This Row],[Comments]])=0,"",TRIM(stdProdLT(Main[[#This Row],[Comments]]))))</f>
        <v/>
      </c>
      <c r="H217" s="94" t="str">
        <f>IF(OR(Main[[#This Row],[Std. Prod. Lead Time]]="N/A",Main[[#This Row],[Std. Prod. Lead Time]]=""), "",IF(AND(Main[[#This Row],[In Stock Date]]&lt;&gt;"",Main[[#This Row],[Revised Due Date]]&lt;&gt;"",Main[[#This Row],[In Stock Date]]&lt;&gt;""),Main[[#This Row],[In Stock Date]]-Main[[#This Row],[Revised Due Date]],""))</f>
        <v/>
      </c>
      <c r="I217" s="101" t="s">
        <v>4</v>
      </c>
      <c r="J217" s="95" t="s">
        <v>4</v>
      </c>
      <c r="K217" s="95" t="s">
        <v>4</v>
      </c>
      <c r="L217" s="85"/>
      <c r="M217" s="73" t="str">
        <f>IF(Main[[#This Row],[Tech Start Date]]&lt;1/1/1990,"",IF(Main[[#This Row],[Class]]="C",WORKDAY(Main[[#This Row],[Tech Start Date]],9),IF(Main[[#This Row],[Class]]="B", WORKDAY(Main[[#This Row],[Tech Start Date]],6),IF(Main[[#This Row],[Class]]="A",WORKDAY(Main[[#This Row],[Tech Start Date]],2),""))))</f>
        <v/>
      </c>
      <c r="N217" s="73" t="str">
        <f>IF(Main[[#This Row],[Tech Start Date]]&lt;1/1/1990,"",IF(Main[[#This Row],[Class]]="C",WORKDAY(Main[[#This Row],[Tech Start Date]],19),IF(Main[[#This Row],[Class]]="B", WORKDAY(Main[[#This Row],[Tech Start Date]],12),IF(Main[[#This Row],[Class]]="A",WORKDAY(Main[[#This Row],[Tech Start Date]],4),""))))</f>
        <v/>
      </c>
      <c r="O217" s="73" t="str">
        <f>IF(Main[[#This Row],[Tech Start Date]]&lt;1/1/1990,"",IF(Main[[#This Row],[Class]]="C",WORKDAY(Main[[#This Row],[Tech Start Date]],23),IF(Main[[#This Row],[Class]]="B", WORKDAY(Main[[#This Row],[Tech Start Date]],15),IF(Main[[#This Row],[Class]]="A",WORKDAY(Main[[#This Row],[Tech Start Date]],5),""))))</f>
        <v/>
      </c>
      <c r="P217" s="73" t="str">
        <f>IF(Main[[#This Row],[Tech Start Date]]&lt;1/1/1990,"",IF(Main[[#This Row],[Class]]="C",WORKDAY(Main[[#This Row],[Tech Start Date]],28),IF(Main[[#This Row],[Class]]="B", WORKDAY(Main[[#This Row],[Tech Start Date]],19),IF(Main[[#This Row],[Class]]="A",WORKDAY(Main[[#This Row],[Tech Start Date]],9),""))))</f>
        <v/>
      </c>
      <c r="Q217" s="85">
        <v>40298</v>
      </c>
      <c r="R217" s="112"/>
      <c r="S217" s="95" t="s">
        <v>17</v>
      </c>
      <c r="T217" s="74" t="s">
        <v>4</v>
      </c>
      <c r="U217" s="95" t="s">
        <v>14</v>
      </c>
      <c r="V217" s="95" t="s">
        <v>1914</v>
      </c>
      <c r="W217" s="95" t="s">
        <v>1919</v>
      </c>
      <c r="X217" s="95" t="s">
        <v>306</v>
      </c>
      <c r="Y217" s="72" t="s">
        <v>2927</v>
      </c>
      <c r="Z217" s="72" t="s">
        <v>4</v>
      </c>
      <c r="AA217" s="95" t="s">
        <v>415</v>
      </c>
      <c r="AB217" s="132"/>
      <c r="AC217" s="132"/>
      <c r="AD217" s="132"/>
      <c r="AE217" s="63"/>
      <c r="AF217" s="63"/>
      <c r="AG217" s="63"/>
    </row>
    <row r="218" spans="1:33" ht="17.2" customHeight="1">
      <c r="A218" s="64" t="str">
        <f>IF(priority(Main[[#This Row],[Comments]])&lt;&gt;0, priority(Main[[#This Row],[Comments]]),"")</f>
        <v/>
      </c>
      <c r="B218" s="60" t="s">
        <v>1276</v>
      </c>
      <c r="C218" s="72" t="s">
        <v>4</v>
      </c>
      <c r="D218" s="59" t="s">
        <v>2320</v>
      </c>
      <c r="E218" s="85">
        <v>40578.5078587963</v>
      </c>
      <c r="F218" s="85"/>
      <c r="G218" s="64" t="str">
        <f>IF(stdProdLT(Main[[#This Row],[Comments]])=0.1,"N/A",IF(stdProdLT(Main[[#This Row],[Comments]])=0,"",TRIM(stdProdLT(Main[[#This Row],[Comments]]))))</f>
        <v/>
      </c>
      <c r="H218" s="94" t="str">
        <f>IF(OR(Main[[#This Row],[Std. Prod. Lead Time]]="N/A",Main[[#This Row],[Std. Prod. Lead Time]]=""), "",IF(AND(Main[[#This Row],[In Stock Date]]&lt;&gt;"",Main[[#This Row],[Revised Due Date]]&lt;&gt;"",Main[[#This Row],[In Stock Date]]&lt;&gt;""),Main[[#This Row],[In Stock Date]]-Main[[#This Row],[Revised Due Date]],""))</f>
        <v/>
      </c>
      <c r="I218" s="101" t="s">
        <v>912</v>
      </c>
      <c r="J218" s="95" t="s">
        <v>52</v>
      </c>
      <c r="K218" s="95" t="s">
        <v>4</v>
      </c>
      <c r="L218" s="85"/>
      <c r="M218" s="73" t="str">
        <f>IF(Main[[#This Row],[Tech Start Date]]&lt;1/1/1990,"",IF(Main[[#This Row],[Class]]="C",WORKDAY(Main[[#This Row],[Tech Start Date]],9),IF(Main[[#This Row],[Class]]="B", WORKDAY(Main[[#This Row],[Tech Start Date]],6),IF(Main[[#This Row],[Class]]="A",WORKDAY(Main[[#This Row],[Tech Start Date]],2),""))))</f>
        <v/>
      </c>
      <c r="N218" s="73" t="str">
        <f>IF(Main[[#This Row],[Tech Start Date]]&lt;1/1/1990,"",IF(Main[[#This Row],[Class]]="C",WORKDAY(Main[[#This Row],[Tech Start Date]],19),IF(Main[[#This Row],[Class]]="B", WORKDAY(Main[[#This Row],[Tech Start Date]],12),IF(Main[[#This Row],[Class]]="A",WORKDAY(Main[[#This Row],[Tech Start Date]],4),""))))</f>
        <v/>
      </c>
      <c r="O218" s="73" t="str">
        <f>IF(Main[[#This Row],[Tech Start Date]]&lt;1/1/1990,"",IF(Main[[#This Row],[Class]]="C",WORKDAY(Main[[#This Row],[Tech Start Date]],23),IF(Main[[#This Row],[Class]]="B", WORKDAY(Main[[#This Row],[Tech Start Date]],15),IF(Main[[#This Row],[Class]]="A",WORKDAY(Main[[#This Row],[Tech Start Date]],5),""))))</f>
        <v/>
      </c>
      <c r="P218" s="73" t="str">
        <f>IF(Main[[#This Row],[Tech Start Date]]&lt;1/1/1990,"",IF(Main[[#This Row],[Class]]="C",WORKDAY(Main[[#This Row],[Tech Start Date]],28),IF(Main[[#This Row],[Class]]="B", WORKDAY(Main[[#This Row],[Tech Start Date]],19),IF(Main[[#This Row],[Class]]="A",WORKDAY(Main[[#This Row],[Tech Start Date]],9),""))))</f>
        <v/>
      </c>
      <c r="Q218" s="85">
        <v>40592</v>
      </c>
      <c r="R218" s="112"/>
      <c r="S218" s="95" t="s">
        <v>6</v>
      </c>
      <c r="T218" s="74" t="s">
        <v>4</v>
      </c>
      <c r="U218" s="95" t="s">
        <v>29</v>
      </c>
      <c r="V218" s="95" t="s">
        <v>1911</v>
      </c>
      <c r="W218" s="95" t="s">
        <v>1915</v>
      </c>
      <c r="X218" s="95" t="s">
        <v>2808</v>
      </c>
      <c r="Y218" s="72" t="s">
        <v>2928</v>
      </c>
      <c r="Z218" s="72" t="s">
        <v>4</v>
      </c>
      <c r="AA218" s="95" t="s">
        <v>2808</v>
      </c>
      <c r="AB218" s="132"/>
      <c r="AC218" s="132"/>
      <c r="AD218" s="132"/>
      <c r="AE218" s="63"/>
      <c r="AF218" s="63"/>
      <c r="AG218" s="63"/>
    </row>
    <row r="219" spans="1:33" ht="17.2" customHeight="1">
      <c r="A219" s="64" t="str">
        <f>IF(priority(Main[[#This Row],[Comments]])&lt;&gt;0, priority(Main[[#This Row],[Comments]]),"")</f>
        <v/>
      </c>
      <c r="B219" s="60" t="s">
        <v>1044</v>
      </c>
      <c r="C219" s="72" t="s">
        <v>4</v>
      </c>
      <c r="D219" s="59" t="s">
        <v>71</v>
      </c>
      <c r="E219" s="85"/>
      <c r="F219" s="85"/>
      <c r="G219" s="64" t="str">
        <f>IF(stdProdLT(Main[[#This Row],[Comments]])=0.1,"N/A",IF(stdProdLT(Main[[#This Row],[Comments]])=0,"",TRIM(stdProdLT(Main[[#This Row],[Comments]]))))</f>
        <v/>
      </c>
      <c r="H219" s="94" t="str">
        <f>IF(OR(Main[[#This Row],[Std. Prod. Lead Time]]="N/A",Main[[#This Row],[Std. Prod. Lead Time]]=""), "",IF(AND(Main[[#This Row],[In Stock Date]]&lt;&gt;"",Main[[#This Row],[Revised Due Date]]&lt;&gt;"",Main[[#This Row],[In Stock Date]]&lt;&gt;""),Main[[#This Row],[In Stock Date]]-Main[[#This Row],[Revised Due Date]],""))</f>
        <v/>
      </c>
      <c r="I219" s="101" t="s">
        <v>4</v>
      </c>
      <c r="J219" s="95" t="s">
        <v>4</v>
      </c>
      <c r="K219" s="95" t="s">
        <v>4</v>
      </c>
      <c r="L219" s="85"/>
      <c r="M219" s="73" t="str">
        <f>IF(Main[[#This Row],[Tech Start Date]]&lt;1/1/1990,"",IF(Main[[#This Row],[Class]]="C",WORKDAY(Main[[#This Row],[Tech Start Date]],9),IF(Main[[#This Row],[Class]]="B", WORKDAY(Main[[#This Row],[Tech Start Date]],6),IF(Main[[#This Row],[Class]]="A",WORKDAY(Main[[#This Row],[Tech Start Date]],2),""))))</f>
        <v/>
      </c>
      <c r="N219" s="73" t="str">
        <f>IF(Main[[#This Row],[Tech Start Date]]&lt;1/1/1990,"",IF(Main[[#This Row],[Class]]="C",WORKDAY(Main[[#This Row],[Tech Start Date]],19),IF(Main[[#This Row],[Class]]="B", WORKDAY(Main[[#This Row],[Tech Start Date]],12),IF(Main[[#This Row],[Class]]="A",WORKDAY(Main[[#This Row],[Tech Start Date]],4),""))))</f>
        <v/>
      </c>
      <c r="O219" s="73" t="str">
        <f>IF(Main[[#This Row],[Tech Start Date]]&lt;1/1/1990,"",IF(Main[[#This Row],[Class]]="C",WORKDAY(Main[[#This Row],[Tech Start Date]],23),IF(Main[[#This Row],[Class]]="B", WORKDAY(Main[[#This Row],[Tech Start Date]],15),IF(Main[[#This Row],[Class]]="A",WORKDAY(Main[[#This Row],[Tech Start Date]],5),""))))</f>
        <v/>
      </c>
      <c r="P219" s="73" t="str">
        <f>IF(Main[[#This Row],[Tech Start Date]]&lt;1/1/1990,"",IF(Main[[#This Row],[Class]]="C",WORKDAY(Main[[#This Row],[Tech Start Date]],28),IF(Main[[#This Row],[Class]]="B", WORKDAY(Main[[#This Row],[Tech Start Date]],19),IF(Main[[#This Row],[Class]]="A",WORKDAY(Main[[#This Row],[Tech Start Date]],9),""))))</f>
        <v/>
      </c>
      <c r="Q219" s="85"/>
      <c r="R219" s="112"/>
      <c r="S219" s="95" t="s">
        <v>23</v>
      </c>
      <c r="T219" s="74" t="s">
        <v>4</v>
      </c>
      <c r="U219" s="95" t="s">
        <v>14</v>
      </c>
      <c r="V219" s="95" t="s">
        <v>1911</v>
      </c>
      <c r="W219" s="95" t="s">
        <v>1915</v>
      </c>
      <c r="X219" s="95" t="s">
        <v>399</v>
      </c>
      <c r="Y219" s="72" t="s">
        <v>4</v>
      </c>
      <c r="Z219" s="72" t="s">
        <v>4</v>
      </c>
      <c r="AA219" s="95" t="s">
        <v>3335</v>
      </c>
      <c r="AB219" s="132"/>
      <c r="AC219" s="132"/>
      <c r="AD219" s="132"/>
      <c r="AE219" s="63"/>
      <c r="AF219" s="63"/>
      <c r="AG219" s="63"/>
    </row>
    <row r="220" spans="1:33" ht="17.2" customHeight="1">
      <c r="A220" s="64" t="str">
        <f>IF(priority(Main[[#This Row],[Comments]])&lt;&gt;0, priority(Main[[#This Row],[Comments]]),"")</f>
        <v/>
      </c>
      <c r="B220" s="60" t="s">
        <v>1011</v>
      </c>
      <c r="C220" s="72" t="s">
        <v>15</v>
      </c>
      <c r="D220" s="59" t="s">
        <v>16</v>
      </c>
      <c r="E220" s="85">
        <v>40611.379872685182</v>
      </c>
      <c r="F220" s="85"/>
      <c r="G220" s="64" t="str">
        <f>IF(stdProdLT(Main[[#This Row],[Comments]])=0.1,"N/A",IF(stdProdLT(Main[[#This Row],[Comments]])=0,"",TRIM(stdProdLT(Main[[#This Row],[Comments]]))))</f>
        <v/>
      </c>
      <c r="H220" s="94" t="str">
        <f>IF(OR(Main[[#This Row],[Std. Prod. Lead Time]]="N/A",Main[[#This Row],[Std. Prod. Lead Time]]=""), "",IF(AND(Main[[#This Row],[In Stock Date]]&lt;&gt;"",Main[[#This Row],[Revised Due Date]]&lt;&gt;"",Main[[#This Row],[In Stock Date]]&lt;&gt;""),Main[[#This Row],[In Stock Date]]-Main[[#This Row],[Revised Due Date]],""))</f>
        <v/>
      </c>
      <c r="I220" s="101" t="s">
        <v>4</v>
      </c>
      <c r="J220" s="95" t="s">
        <v>4</v>
      </c>
      <c r="K220" s="96" t="s">
        <v>4</v>
      </c>
      <c r="L220" s="85"/>
      <c r="M220" s="73" t="str">
        <f>IF(Main[[#This Row],[Tech Start Date]]&lt;1/1/1990,"",IF(Main[[#This Row],[Class]]="C",WORKDAY(Main[[#This Row],[Tech Start Date]],9),IF(Main[[#This Row],[Class]]="B", WORKDAY(Main[[#This Row],[Tech Start Date]],6),IF(Main[[#This Row],[Class]]="A",WORKDAY(Main[[#This Row],[Tech Start Date]],2),""))))</f>
        <v/>
      </c>
      <c r="N220" s="73" t="str">
        <f>IF(Main[[#This Row],[Tech Start Date]]&lt;1/1/1990,"",IF(Main[[#This Row],[Class]]="C",WORKDAY(Main[[#This Row],[Tech Start Date]],19),IF(Main[[#This Row],[Class]]="B", WORKDAY(Main[[#This Row],[Tech Start Date]],12),IF(Main[[#This Row],[Class]]="A",WORKDAY(Main[[#This Row],[Tech Start Date]],4),""))))</f>
        <v/>
      </c>
      <c r="O220" s="73" t="str">
        <f>IF(Main[[#This Row],[Tech Start Date]]&lt;1/1/1990,"",IF(Main[[#This Row],[Class]]="C",WORKDAY(Main[[#This Row],[Tech Start Date]],23),IF(Main[[#This Row],[Class]]="B", WORKDAY(Main[[#This Row],[Tech Start Date]],15),IF(Main[[#This Row],[Class]]="A",WORKDAY(Main[[#This Row],[Tech Start Date]],5),""))))</f>
        <v/>
      </c>
      <c r="P220" s="73" t="str">
        <f>IF(Main[[#This Row],[Tech Start Date]]&lt;1/1/1990,"",IF(Main[[#This Row],[Class]]="C",WORKDAY(Main[[#This Row],[Tech Start Date]],28),IF(Main[[#This Row],[Class]]="B", WORKDAY(Main[[#This Row],[Tech Start Date]],19),IF(Main[[#This Row],[Class]]="A",WORKDAY(Main[[#This Row],[Tech Start Date]],9),""))))</f>
        <v/>
      </c>
      <c r="Q220" s="85">
        <v>40695</v>
      </c>
      <c r="R220" s="112"/>
      <c r="S220" s="95" t="s">
        <v>17</v>
      </c>
      <c r="T220" s="74" t="s">
        <v>4</v>
      </c>
      <c r="U220" s="95" t="s">
        <v>7</v>
      </c>
      <c r="V220" s="95" t="s">
        <v>1914</v>
      </c>
      <c r="W220" s="95" t="s">
        <v>1916</v>
      </c>
      <c r="X220" s="95" t="s">
        <v>553</v>
      </c>
      <c r="Y220" s="72" t="s">
        <v>2930</v>
      </c>
      <c r="Z220" s="72" t="s">
        <v>4</v>
      </c>
      <c r="AA220" s="95" t="s">
        <v>553</v>
      </c>
      <c r="AB220" s="132"/>
      <c r="AC220" s="132"/>
      <c r="AD220" s="132"/>
      <c r="AE220" s="63"/>
      <c r="AF220" s="63"/>
      <c r="AG220" s="63"/>
    </row>
    <row r="221" spans="1:33" ht="17.2" customHeight="1">
      <c r="A221" s="64" t="str">
        <f>IF(priority(Main[[#This Row],[Comments]])&lt;&gt;0, priority(Main[[#This Row],[Comments]]),"")</f>
        <v/>
      </c>
      <c r="B221" s="60" t="s">
        <v>2162</v>
      </c>
      <c r="C221" s="72" t="s">
        <v>2154</v>
      </c>
      <c r="D221" s="59" t="s">
        <v>3211</v>
      </c>
      <c r="E221" s="85">
        <v>40781.402488425927</v>
      </c>
      <c r="F221" s="85"/>
      <c r="G221" s="64" t="str">
        <f>IF(stdProdLT(Main[[#This Row],[Comments]])=0.1,"N/A",IF(stdProdLT(Main[[#This Row],[Comments]])=0,"",TRIM(stdProdLT(Main[[#This Row],[Comments]]))))</f>
        <v/>
      </c>
      <c r="H221" s="94" t="str">
        <f>IF(OR(Main[[#This Row],[Std. Prod. Lead Time]]="N/A",Main[[#This Row],[Std. Prod. Lead Time]]=""), "",IF(AND(Main[[#This Row],[In Stock Date]]&lt;&gt;"",Main[[#This Row],[Revised Due Date]]&lt;&gt;"",Main[[#This Row],[In Stock Date]]&lt;&gt;""),Main[[#This Row],[In Stock Date]]-Main[[#This Row],[Revised Due Date]],""))</f>
        <v/>
      </c>
      <c r="I221" s="101" t="s">
        <v>429</v>
      </c>
      <c r="J221" s="95" t="s">
        <v>70</v>
      </c>
      <c r="K221" s="95" t="s">
        <v>1920</v>
      </c>
      <c r="L221" s="85"/>
      <c r="M221" s="73" t="str">
        <f>IF(Main[[#This Row],[Tech Start Date]]&lt;1/1/1990,"",IF(Main[[#This Row],[Class]]="C",WORKDAY(Main[[#This Row],[Tech Start Date]],9),IF(Main[[#This Row],[Class]]="B", WORKDAY(Main[[#This Row],[Tech Start Date]],6),IF(Main[[#This Row],[Class]]="A",WORKDAY(Main[[#This Row],[Tech Start Date]],2),""))))</f>
        <v/>
      </c>
      <c r="N221" s="73" t="str">
        <f>IF(Main[[#This Row],[Tech Start Date]]&lt;1/1/1990,"",IF(Main[[#This Row],[Class]]="C",WORKDAY(Main[[#This Row],[Tech Start Date]],19),IF(Main[[#This Row],[Class]]="B", WORKDAY(Main[[#This Row],[Tech Start Date]],12),IF(Main[[#This Row],[Class]]="A",WORKDAY(Main[[#This Row],[Tech Start Date]],4),""))))</f>
        <v/>
      </c>
      <c r="O221" s="73" t="str">
        <f>IF(Main[[#This Row],[Tech Start Date]]&lt;1/1/1990,"",IF(Main[[#This Row],[Class]]="C",WORKDAY(Main[[#This Row],[Tech Start Date]],23),IF(Main[[#This Row],[Class]]="B", WORKDAY(Main[[#This Row],[Tech Start Date]],15),IF(Main[[#This Row],[Class]]="A",WORKDAY(Main[[#This Row],[Tech Start Date]],5),""))))</f>
        <v/>
      </c>
      <c r="P221" s="73" t="str">
        <f>IF(Main[[#This Row],[Tech Start Date]]&lt;1/1/1990,"",IF(Main[[#This Row],[Class]]="C",WORKDAY(Main[[#This Row],[Tech Start Date]],28),IF(Main[[#This Row],[Class]]="B", WORKDAY(Main[[#This Row],[Tech Start Date]],19),IF(Main[[#This Row],[Class]]="A",WORKDAY(Main[[#This Row],[Tech Start Date]],9),""))))</f>
        <v/>
      </c>
      <c r="Q221" s="85">
        <v>40836</v>
      </c>
      <c r="R221" s="112"/>
      <c r="S221" s="95" t="s">
        <v>6</v>
      </c>
      <c r="T221" s="74" t="s">
        <v>4</v>
      </c>
      <c r="U221" s="95" t="s">
        <v>29</v>
      </c>
      <c r="V221" s="95" t="s">
        <v>1914</v>
      </c>
      <c r="W221" s="95" t="s">
        <v>1915</v>
      </c>
      <c r="X221" s="95" t="s">
        <v>2816</v>
      </c>
      <c r="Y221" s="72" t="s">
        <v>2943</v>
      </c>
      <c r="Z221" s="72" t="s">
        <v>30</v>
      </c>
      <c r="AA221" s="95" t="s">
        <v>2816</v>
      </c>
      <c r="AB221" s="132"/>
      <c r="AC221" s="132"/>
      <c r="AD221" s="132"/>
      <c r="AE221" s="63"/>
      <c r="AF221" s="63"/>
      <c r="AG221" s="63"/>
    </row>
    <row r="222" spans="1:33" ht="17.2" customHeight="1">
      <c r="A222" s="64" t="str">
        <f>IF(priority(Main[[#This Row],[Comments]])&lt;&gt;0, priority(Main[[#This Row],[Comments]]),"")</f>
        <v/>
      </c>
      <c r="B222" s="60" t="s">
        <v>3868</v>
      </c>
      <c r="C222" s="72" t="s">
        <v>4</v>
      </c>
      <c r="D222" s="59" t="s">
        <v>3869</v>
      </c>
      <c r="E222" s="85">
        <v>40975.122939814813</v>
      </c>
      <c r="F222" s="85">
        <v>41010</v>
      </c>
      <c r="G222" s="64" t="str">
        <f>IF(stdProdLT(Main[[#This Row],[Comments]])=0.1,"N/A",IF(stdProdLT(Main[[#This Row],[Comments]])=0,"",TRIM(stdProdLT(Main[[#This Row],[Comments]]))))</f>
        <v>N/A</v>
      </c>
      <c r="H222" s="94" t="str">
        <f>IF(OR(Main[[#This Row],[Std. Prod. Lead Time]]="N/A",Main[[#This Row],[Std. Prod. Lead Time]]=""), "",IF(AND(Main[[#This Row],[In Stock Date]]&lt;&gt;"",Main[[#This Row],[Revised Due Date]]&lt;&gt;"",Main[[#This Row],[In Stock Date]]&lt;&gt;""),Main[[#This Row],[In Stock Date]]-Main[[#This Row],[Revised Due Date]],""))</f>
        <v/>
      </c>
      <c r="I222" s="101" t="s">
        <v>4</v>
      </c>
      <c r="J222" s="95" t="s">
        <v>4</v>
      </c>
      <c r="K222" s="95" t="s">
        <v>4</v>
      </c>
      <c r="L222" s="85"/>
      <c r="M222" s="73" t="str">
        <f>IF(Main[[#This Row],[Tech Start Date]]&lt;1/1/1990,"",IF(Main[[#This Row],[Class]]="C",WORKDAY(Main[[#This Row],[Tech Start Date]],9),IF(Main[[#This Row],[Class]]="B", WORKDAY(Main[[#This Row],[Tech Start Date]],6),IF(Main[[#This Row],[Class]]="A",WORKDAY(Main[[#This Row],[Tech Start Date]],2),""))))</f>
        <v/>
      </c>
      <c r="N222" s="73" t="str">
        <f>IF(Main[[#This Row],[Tech Start Date]]&lt;1/1/1990,"",IF(Main[[#This Row],[Class]]="C",WORKDAY(Main[[#This Row],[Tech Start Date]],19),IF(Main[[#This Row],[Class]]="B", WORKDAY(Main[[#This Row],[Tech Start Date]],12),IF(Main[[#This Row],[Class]]="A",WORKDAY(Main[[#This Row],[Tech Start Date]],4),""))))</f>
        <v/>
      </c>
      <c r="O222" s="73" t="str">
        <f>IF(Main[[#This Row],[Tech Start Date]]&lt;1/1/1990,"",IF(Main[[#This Row],[Class]]="C",WORKDAY(Main[[#This Row],[Tech Start Date]],23),IF(Main[[#This Row],[Class]]="B", WORKDAY(Main[[#This Row],[Tech Start Date]],15),IF(Main[[#This Row],[Class]]="A",WORKDAY(Main[[#This Row],[Tech Start Date]],5),""))))</f>
        <v/>
      </c>
      <c r="P222" s="73" t="str">
        <f>IF(Main[[#This Row],[Tech Start Date]]&lt;1/1/1990,"",IF(Main[[#This Row],[Class]]="C",WORKDAY(Main[[#This Row],[Tech Start Date]],28),IF(Main[[#This Row],[Class]]="B", WORKDAY(Main[[#This Row],[Tech Start Date]],19),IF(Main[[#This Row],[Class]]="A",WORKDAY(Main[[#This Row],[Tech Start Date]],9),""))))</f>
        <v/>
      </c>
      <c r="Q222" s="85"/>
      <c r="R222" s="112"/>
      <c r="S222" s="95" t="s">
        <v>11</v>
      </c>
      <c r="T222" s="74" t="s">
        <v>3201</v>
      </c>
      <c r="U222" s="95" t="s">
        <v>7</v>
      </c>
      <c r="V222" s="95" t="s">
        <v>1921</v>
      </c>
      <c r="W222" s="95" t="s">
        <v>1917</v>
      </c>
      <c r="X222" s="95" t="s">
        <v>2891</v>
      </c>
      <c r="Y222" s="72" t="s">
        <v>3870</v>
      </c>
      <c r="Z222" s="72" t="s">
        <v>4</v>
      </c>
      <c r="AA222" s="95" t="s">
        <v>2891</v>
      </c>
      <c r="AB222" s="132"/>
      <c r="AC222" s="132"/>
      <c r="AD222" s="132"/>
      <c r="AE222" s="63"/>
      <c r="AF222" s="63"/>
      <c r="AG222" s="63"/>
    </row>
    <row r="223" spans="1:33" ht="17.2" customHeight="1">
      <c r="A223" s="64" t="str">
        <f>IF(priority(Main[[#This Row],[Comments]])&lt;&gt;0, priority(Main[[#This Row],[Comments]]),"")</f>
        <v/>
      </c>
      <c r="B223" s="60" t="s">
        <v>1046</v>
      </c>
      <c r="C223" s="72" t="s">
        <v>31</v>
      </c>
      <c r="D223" s="59" t="s">
        <v>77</v>
      </c>
      <c r="E223" s="85"/>
      <c r="F223" s="85">
        <v>40512</v>
      </c>
      <c r="G223" s="64" t="str">
        <f>IF(stdProdLT(Main[[#This Row],[Comments]])=0.1,"N/A",IF(stdProdLT(Main[[#This Row],[Comments]])=0,"",TRIM(stdProdLT(Main[[#This Row],[Comments]]))))</f>
        <v/>
      </c>
      <c r="H223" s="94" t="str">
        <f>IF(OR(Main[[#This Row],[Std. Prod. Lead Time]]="N/A",Main[[#This Row],[Std. Prod. Lead Time]]=""), "",IF(AND(Main[[#This Row],[In Stock Date]]&lt;&gt;"",Main[[#This Row],[Revised Due Date]]&lt;&gt;"",Main[[#This Row],[In Stock Date]]&lt;&gt;""),Main[[#This Row],[In Stock Date]]-Main[[#This Row],[Revised Due Date]],""))</f>
        <v/>
      </c>
      <c r="I223" s="101" t="s">
        <v>4</v>
      </c>
      <c r="J223" s="95" t="s">
        <v>4</v>
      </c>
      <c r="K223" s="96" t="s">
        <v>4</v>
      </c>
      <c r="L223" s="85"/>
      <c r="M223" s="73" t="str">
        <f>IF(Main[[#This Row],[Tech Start Date]]&lt;1/1/1990,"",IF(Main[[#This Row],[Class]]="C",WORKDAY(Main[[#This Row],[Tech Start Date]],9),IF(Main[[#This Row],[Class]]="B", WORKDAY(Main[[#This Row],[Tech Start Date]],6),IF(Main[[#This Row],[Class]]="A",WORKDAY(Main[[#This Row],[Tech Start Date]],2),""))))</f>
        <v/>
      </c>
      <c r="N223" s="73" t="str">
        <f>IF(Main[[#This Row],[Tech Start Date]]&lt;1/1/1990,"",IF(Main[[#This Row],[Class]]="C",WORKDAY(Main[[#This Row],[Tech Start Date]],19),IF(Main[[#This Row],[Class]]="B", WORKDAY(Main[[#This Row],[Tech Start Date]],12),IF(Main[[#This Row],[Class]]="A",WORKDAY(Main[[#This Row],[Tech Start Date]],4),""))))</f>
        <v/>
      </c>
      <c r="O223" s="73" t="str">
        <f>IF(Main[[#This Row],[Tech Start Date]]&lt;1/1/1990,"",IF(Main[[#This Row],[Class]]="C",WORKDAY(Main[[#This Row],[Tech Start Date]],23),IF(Main[[#This Row],[Class]]="B", WORKDAY(Main[[#This Row],[Tech Start Date]],15),IF(Main[[#This Row],[Class]]="A",WORKDAY(Main[[#This Row],[Tech Start Date]],5),""))))</f>
        <v/>
      </c>
      <c r="P223" s="73" t="str">
        <f>IF(Main[[#This Row],[Tech Start Date]]&lt;1/1/1990,"",IF(Main[[#This Row],[Class]]="C",WORKDAY(Main[[#This Row],[Tech Start Date]],28),IF(Main[[#This Row],[Class]]="B", WORKDAY(Main[[#This Row],[Tech Start Date]],19),IF(Main[[#This Row],[Class]]="A",WORKDAY(Main[[#This Row],[Tech Start Date]],9),""))))</f>
        <v/>
      </c>
      <c r="Q223" s="85">
        <v>40415</v>
      </c>
      <c r="R223" s="112"/>
      <c r="S223" s="95" t="s">
        <v>11</v>
      </c>
      <c r="T223" s="74" t="s">
        <v>4</v>
      </c>
      <c r="U223" s="95" t="s">
        <v>14</v>
      </c>
      <c r="V223" s="95" t="s">
        <v>1914</v>
      </c>
      <c r="W223" s="95" t="s">
        <v>1917</v>
      </c>
      <c r="X223" s="95" t="s">
        <v>2810</v>
      </c>
      <c r="Y223" s="72" t="s">
        <v>2931</v>
      </c>
      <c r="Z223" s="72" t="s">
        <v>4</v>
      </c>
      <c r="AA223" s="95" t="s">
        <v>2810</v>
      </c>
      <c r="AB223" s="132"/>
      <c r="AC223" s="132"/>
      <c r="AD223" s="132"/>
      <c r="AE223" s="63"/>
      <c r="AF223" s="63"/>
      <c r="AG223" s="63"/>
    </row>
    <row r="224" spans="1:33" ht="17.2" customHeight="1">
      <c r="A224" s="64" t="str">
        <f>IF(priority(Main[[#This Row],[Comments]])&lt;&gt;0, priority(Main[[#This Row],[Comments]]),"")</f>
        <v/>
      </c>
      <c r="B224" s="60" t="s">
        <v>1047</v>
      </c>
      <c r="C224" s="72" t="s">
        <v>4</v>
      </c>
      <c r="D224" s="59" t="s">
        <v>78</v>
      </c>
      <c r="E224" s="85"/>
      <c r="F224" s="85"/>
      <c r="G224" s="64" t="str">
        <f>IF(stdProdLT(Main[[#This Row],[Comments]])=0.1,"N/A",IF(stdProdLT(Main[[#This Row],[Comments]])=0,"",TRIM(stdProdLT(Main[[#This Row],[Comments]]))))</f>
        <v/>
      </c>
      <c r="H224" s="94" t="str">
        <f>IF(OR(Main[[#This Row],[Std. Prod. Lead Time]]="N/A",Main[[#This Row],[Std. Prod. Lead Time]]=""), "",IF(AND(Main[[#This Row],[In Stock Date]]&lt;&gt;"",Main[[#This Row],[Revised Due Date]]&lt;&gt;"",Main[[#This Row],[In Stock Date]]&lt;&gt;""),Main[[#This Row],[In Stock Date]]-Main[[#This Row],[Revised Due Date]],""))</f>
        <v/>
      </c>
      <c r="I224" s="101" t="s">
        <v>4</v>
      </c>
      <c r="J224" s="95" t="s">
        <v>4</v>
      </c>
      <c r="K224" s="95" t="s">
        <v>4</v>
      </c>
      <c r="L224" s="85"/>
      <c r="M224" s="73" t="str">
        <f>IF(Main[[#This Row],[Tech Start Date]]&lt;1/1/1990,"",IF(Main[[#This Row],[Class]]="C",WORKDAY(Main[[#This Row],[Tech Start Date]],9),IF(Main[[#This Row],[Class]]="B", WORKDAY(Main[[#This Row],[Tech Start Date]],6),IF(Main[[#This Row],[Class]]="A",WORKDAY(Main[[#This Row],[Tech Start Date]],2),""))))</f>
        <v/>
      </c>
      <c r="N224" s="73" t="str">
        <f>IF(Main[[#This Row],[Tech Start Date]]&lt;1/1/1990,"",IF(Main[[#This Row],[Class]]="C",WORKDAY(Main[[#This Row],[Tech Start Date]],19),IF(Main[[#This Row],[Class]]="B", WORKDAY(Main[[#This Row],[Tech Start Date]],12),IF(Main[[#This Row],[Class]]="A",WORKDAY(Main[[#This Row],[Tech Start Date]],4),""))))</f>
        <v/>
      </c>
      <c r="O224" s="73" t="str">
        <f>IF(Main[[#This Row],[Tech Start Date]]&lt;1/1/1990,"",IF(Main[[#This Row],[Class]]="C",WORKDAY(Main[[#This Row],[Tech Start Date]],23),IF(Main[[#This Row],[Class]]="B", WORKDAY(Main[[#This Row],[Tech Start Date]],15),IF(Main[[#This Row],[Class]]="A",WORKDAY(Main[[#This Row],[Tech Start Date]],5),""))))</f>
        <v/>
      </c>
      <c r="P224" s="73" t="str">
        <f>IF(Main[[#This Row],[Tech Start Date]]&lt;1/1/1990,"",IF(Main[[#This Row],[Class]]="C",WORKDAY(Main[[#This Row],[Tech Start Date]],28),IF(Main[[#This Row],[Class]]="B", WORKDAY(Main[[#This Row],[Tech Start Date]],19),IF(Main[[#This Row],[Class]]="A",WORKDAY(Main[[#This Row],[Tech Start Date]],9),""))))</f>
        <v/>
      </c>
      <c r="Q224" s="85"/>
      <c r="R224" s="112"/>
      <c r="S224" s="95" t="s">
        <v>49</v>
      </c>
      <c r="T224" s="74" t="s">
        <v>4</v>
      </c>
      <c r="U224" s="95" t="s">
        <v>14</v>
      </c>
      <c r="V224" s="95" t="s">
        <v>1911</v>
      </c>
      <c r="W224" s="95" t="s">
        <v>1915</v>
      </c>
      <c r="X224" s="95" t="s">
        <v>306</v>
      </c>
      <c r="Y224" s="72" t="s">
        <v>4</v>
      </c>
      <c r="Z224" s="72" t="s">
        <v>4</v>
      </c>
      <c r="AA224" s="95" t="s">
        <v>4</v>
      </c>
      <c r="AB224" s="132"/>
      <c r="AC224" s="132"/>
      <c r="AD224" s="132"/>
      <c r="AE224" s="63"/>
      <c r="AF224" s="63"/>
      <c r="AG224" s="63"/>
    </row>
    <row r="225" spans="1:33" ht="17.2" customHeight="1">
      <c r="A225" s="64" t="str">
        <f>IF(priority(Main[[#This Row],[Comments]])&lt;&gt;0, priority(Main[[#This Row],[Comments]]),"")</f>
        <v/>
      </c>
      <c r="B225" s="60" t="s">
        <v>2081</v>
      </c>
      <c r="C225" s="72" t="s">
        <v>2082</v>
      </c>
      <c r="D225" s="59" t="s">
        <v>2083</v>
      </c>
      <c r="E225" s="85"/>
      <c r="F225" s="85">
        <v>40831</v>
      </c>
      <c r="G225" s="64" t="str">
        <f>IF(stdProdLT(Main[[#This Row],[Comments]])=0.1,"N/A",IF(stdProdLT(Main[[#This Row],[Comments]])=0,"",TRIM(stdProdLT(Main[[#This Row],[Comments]]))))</f>
        <v/>
      </c>
      <c r="H225" s="94" t="str">
        <f>IF(OR(Main[[#This Row],[Std. Prod. Lead Time]]="N/A",Main[[#This Row],[Std. Prod. Lead Time]]=""), "",IF(AND(Main[[#This Row],[In Stock Date]]&lt;&gt;"",Main[[#This Row],[Revised Due Date]]&lt;&gt;"",Main[[#This Row],[In Stock Date]]&lt;&gt;""),Main[[#This Row],[In Stock Date]]-Main[[#This Row],[Revised Due Date]],""))</f>
        <v/>
      </c>
      <c r="I225" s="101" t="s">
        <v>4</v>
      </c>
      <c r="J225" s="95" t="s">
        <v>4</v>
      </c>
      <c r="K225" s="95" t="s">
        <v>4</v>
      </c>
      <c r="L225" s="85"/>
      <c r="M225" s="73" t="str">
        <f>IF(Main[[#This Row],[Tech Start Date]]&lt;1/1/1990,"",IF(Main[[#This Row],[Class]]="C",WORKDAY(Main[[#This Row],[Tech Start Date]],9),IF(Main[[#This Row],[Class]]="B", WORKDAY(Main[[#This Row],[Tech Start Date]],6),IF(Main[[#This Row],[Class]]="A",WORKDAY(Main[[#This Row],[Tech Start Date]],2),""))))</f>
        <v/>
      </c>
      <c r="N225" s="73" t="str">
        <f>IF(Main[[#This Row],[Tech Start Date]]&lt;1/1/1990,"",IF(Main[[#This Row],[Class]]="C",WORKDAY(Main[[#This Row],[Tech Start Date]],19),IF(Main[[#This Row],[Class]]="B", WORKDAY(Main[[#This Row],[Tech Start Date]],12),IF(Main[[#This Row],[Class]]="A",WORKDAY(Main[[#This Row],[Tech Start Date]],4),""))))</f>
        <v/>
      </c>
      <c r="O225" s="73" t="str">
        <f>IF(Main[[#This Row],[Tech Start Date]]&lt;1/1/1990,"",IF(Main[[#This Row],[Class]]="C",WORKDAY(Main[[#This Row],[Tech Start Date]],23),IF(Main[[#This Row],[Class]]="B", WORKDAY(Main[[#This Row],[Tech Start Date]],15),IF(Main[[#This Row],[Class]]="A",WORKDAY(Main[[#This Row],[Tech Start Date]],5),""))))</f>
        <v/>
      </c>
      <c r="P225" s="73" t="str">
        <f>IF(Main[[#This Row],[Tech Start Date]]&lt;1/1/1990,"",IF(Main[[#This Row],[Class]]="C",WORKDAY(Main[[#This Row],[Tech Start Date]],28),IF(Main[[#This Row],[Class]]="B", WORKDAY(Main[[#This Row],[Tech Start Date]],19),IF(Main[[#This Row],[Class]]="A",WORKDAY(Main[[#This Row],[Tech Start Date]],9),""))))</f>
        <v/>
      </c>
      <c r="Q225" s="85">
        <v>40786</v>
      </c>
      <c r="R225" s="112"/>
      <c r="S225" s="95" t="s">
        <v>11</v>
      </c>
      <c r="T225" s="74" t="s">
        <v>4</v>
      </c>
      <c r="U225" s="95" t="s">
        <v>12</v>
      </c>
      <c r="V225" s="95" t="s">
        <v>1914</v>
      </c>
      <c r="W225" s="95" t="s">
        <v>1919</v>
      </c>
      <c r="X225" s="95" t="s">
        <v>2811</v>
      </c>
      <c r="Y225" s="72" t="s">
        <v>2932</v>
      </c>
      <c r="Z225" s="72" t="s">
        <v>4</v>
      </c>
      <c r="AA225" s="95" t="s">
        <v>2811</v>
      </c>
      <c r="AB225" s="132"/>
      <c r="AC225" s="132"/>
      <c r="AD225" s="132"/>
      <c r="AE225" s="63"/>
      <c r="AF225" s="63"/>
      <c r="AG225" s="63"/>
    </row>
    <row r="226" spans="1:33" ht="17.2" customHeight="1">
      <c r="A226" s="64" t="str">
        <f>IF(priority(Main[[#This Row],[Comments]])&lt;&gt;0, priority(Main[[#This Row],[Comments]]),"")</f>
        <v/>
      </c>
      <c r="B226" s="60" t="s">
        <v>2207</v>
      </c>
      <c r="C226" s="72" t="s">
        <v>2208</v>
      </c>
      <c r="D226" s="59" t="s">
        <v>2209</v>
      </c>
      <c r="E226" s="85">
        <v>40798.585381944446</v>
      </c>
      <c r="F226" s="85">
        <v>40848</v>
      </c>
      <c r="G226" s="64" t="str">
        <f>IF(stdProdLT(Main[[#This Row],[Comments]])=0.1,"N/A",IF(stdProdLT(Main[[#This Row],[Comments]])=0,"",TRIM(stdProdLT(Main[[#This Row],[Comments]]))))</f>
        <v/>
      </c>
      <c r="H226" s="94" t="str">
        <f>IF(OR(Main[[#This Row],[Std. Prod. Lead Time]]="N/A",Main[[#This Row],[Std. Prod. Lead Time]]=""), "",IF(AND(Main[[#This Row],[In Stock Date]]&lt;&gt;"",Main[[#This Row],[Revised Due Date]]&lt;&gt;"",Main[[#This Row],[In Stock Date]]&lt;&gt;""),Main[[#This Row],[In Stock Date]]-Main[[#This Row],[Revised Due Date]],""))</f>
        <v/>
      </c>
      <c r="I226" s="101" t="s">
        <v>4</v>
      </c>
      <c r="J226" s="95" t="s">
        <v>4</v>
      </c>
      <c r="K226" s="96" t="s">
        <v>4</v>
      </c>
      <c r="L226" s="85"/>
      <c r="M226" s="73" t="str">
        <f>IF(Main[[#This Row],[Tech Start Date]]&lt;1/1/1990,"",IF(Main[[#This Row],[Class]]="C",WORKDAY(Main[[#This Row],[Tech Start Date]],9),IF(Main[[#This Row],[Class]]="B", WORKDAY(Main[[#This Row],[Tech Start Date]],6),IF(Main[[#This Row],[Class]]="A",WORKDAY(Main[[#This Row],[Tech Start Date]],2),""))))</f>
        <v/>
      </c>
      <c r="N226" s="73" t="str">
        <f>IF(Main[[#This Row],[Tech Start Date]]&lt;1/1/1990,"",IF(Main[[#This Row],[Class]]="C",WORKDAY(Main[[#This Row],[Tech Start Date]],19),IF(Main[[#This Row],[Class]]="B", WORKDAY(Main[[#This Row],[Tech Start Date]],12),IF(Main[[#This Row],[Class]]="A",WORKDAY(Main[[#This Row],[Tech Start Date]],4),""))))</f>
        <v/>
      </c>
      <c r="O226" s="73" t="str">
        <f>IF(Main[[#This Row],[Tech Start Date]]&lt;1/1/1990,"",IF(Main[[#This Row],[Class]]="C",WORKDAY(Main[[#This Row],[Tech Start Date]],23),IF(Main[[#This Row],[Class]]="B", WORKDAY(Main[[#This Row],[Tech Start Date]],15),IF(Main[[#This Row],[Class]]="A",WORKDAY(Main[[#This Row],[Tech Start Date]],5),""))))</f>
        <v/>
      </c>
      <c r="P226" s="73" t="str">
        <f>IF(Main[[#This Row],[Tech Start Date]]&lt;1/1/1990,"",IF(Main[[#This Row],[Class]]="C",WORKDAY(Main[[#This Row],[Tech Start Date]],28),IF(Main[[#This Row],[Class]]="B", WORKDAY(Main[[#This Row],[Tech Start Date]],19),IF(Main[[#This Row],[Class]]="A",WORKDAY(Main[[#This Row],[Tech Start Date]],9),""))))</f>
        <v/>
      </c>
      <c r="Q226" s="85"/>
      <c r="R226" s="112"/>
      <c r="S226" s="95" t="s">
        <v>49</v>
      </c>
      <c r="T226" s="74" t="s">
        <v>4</v>
      </c>
      <c r="U226" s="95" t="s">
        <v>7</v>
      </c>
      <c r="V226" s="95" t="s">
        <v>1911</v>
      </c>
      <c r="W226" s="95" t="s">
        <v>1916</v>
      </c>
      <c r="X226" s="95" t="s">
        <v>2812</v>
      </c>
      <c r="Y226" s="72" t="s">
        <v>2933</v>
      </c>
      <c r="Z226" s="72" t="s">
        <v>4</v>
      </c>
      <c r="AA226" s="95" t="s">
        <v>2812</v>
      </c>
      <c r="AB226" s="132"/>
      <c r="AC226" s="132"/>
      <c r="AD226" s="132"/>
      <c r="AE226" s="63"/>
      <c r="AF226" s="63"/>
      <c r="AG226" s="63"/>
    </row>
    <row r="227" spans="1:33" ht="17.2" customHeight="1">
      <c r="A227" s="64" t="str">
        <f>IF(priority(Main[[#This Row],[Comments]])&lt;&gt;0, priority(Main[[#This Row],[Comments]]),"")</f>
        <v/>
      </c>
      <c r="B227" s="60" t="s">
        <v>1048</v>
      </c>
      <c r="C227" s="72" t="s">
        <v>79</v>
      </c>
      <c r="D227" s="59" t="s">
        <v>80</v>
      </c>
      <c r="E227" s="85"/>
      <c r="F227" s="85"/>
      <c r="G227" s="64" t="str">
        <f>IF(stdProdLT(Main[[#This Row],[Comments]])=0.1,"N/A",IF(stdProdLT(Main[[#This Row],[Comments]])=0,"",TRIM(stdProdLT(Main[[#This Row],[Comments]]))))</f>
        <v/>
      </c>
      <c r="H227" s="94" t="str">
        <f>IF(OR(Main[[#This Row],[Std. Prod. Lead Time]]="N/A",Main[[#This Row],[Std. Prod. Lead Time]]=""), "",IF(AND(Main[[#This Row],[In Stock Date]]&lt;&gt;"",Main[[#This Row],[Revised Due Date]]&lt;&gt;"",Main[[#This Row],[In Stock Date]]&lt;&gt;""),Main[[#This Row],[In Stock Date]]-Main[[#This Row],[Revised Due Date]],""))</f>
        <v/>
      </c>
      <c r="I227" s="101" t="s">
        <v>81</v>
      </c>
      <c r="J227" s="95" t="s">
        <v>4</v>
      </c>
      <c r="K227" s="95" t="s">
        <v>4</v>
      </c>
      <c r="L227" s="85"/>
      <c r="M227" s="73" t="str">
        <f>IF(Main[[#This Row],[Tech Start Date]]&lt;1/1/1990,"",IF(Main[[#This Row],[Class]]="C",WORKDAY(Main[[#This Row],[Tech Start Date]],9),IF(Main[[#This Row],[Class]]="B", WORKDAY(Main[[#This Row],[Tech Start Date]],6),IF(Main[[#This Row],[Class]]="A",WORKDAY(Main[[#This Row],[Tech Start Date]],2),""))))</f>
        <v/>
      </c>
      <c r="N227" s="73" t="str">
        <f>IF(Main[[#This Row],[Tech Start Date]]&lt;1/1/1990,"",IF(Main[[#This Row],[Class]]="C",WORKDAY(Main[[#This Row],[Tech Start Date]],19),IF(Main[[#This Row],[Class]]="B", WORKDAY(Main[[#This Row],[Tech Start Date]],12),IF(Main[[#This Row],[Class]]="A",WORKDAY(Main[[#This Row],[Tech Start Date]],4),""))))</f>
        <v/>
      </c>
      <c r="O227" s="73" t="str">
        <f>IF(Main[[#This Row],[Tech Start Date]]&lt;1/1/1990,"",IF(Main[[#This Row],[Class]]="C",WORKDAY(Main[[#This Row],[Tech Start Date]],23),IF(Main[[#This Row],[Class]]="B", WORKDAY(Main[[#This Row],[Tech Start Date]],15),IF(Main[[#This Row],[Class]]="A",WORKDAY(Main[[#This Row],[Tech Start Date]],5),""))))</f>
        <v/>
      </c>
      <c r="P227" s="73" t="str">
        <f>IF(Main[[#This Row],[Tech Start Date]]&lt;1/1/1990,"",IF(Main[[#This Row],[Class]]="C",WORKDAY(Main[[#This Row],[Tech Start Date]],28),IF(Main[[#This Row],[Class]]="B", WORKDAY(Main[[#This Row],[Tech Start Date]],19),IF(Main[[#This Row],[Class]]="A",WORKDAY(Main[[#This Row],[Tech Start Date]],9),""))))</f>
        <v/>
      </c>
      <c r="Q227" s="85">
        <v>39986</v>
      </c>
      <c r="R227" s="112"/>
      <c r="S227" s="95" t="s">
        <v>11</v>
      </c>
      <c r="T227" s="74" t="s">
        <v>4</v>
      </c>
      <c r="U227" s="95" t="s">
        <v>14</v>
      </c>
      <c r="V227" s="95" t="s">
        <v>1914</v>
      </c>
      <c r="W227" s="95" t="s">
        <v>1922</v>
      </c>
      <c r="X227" s="95" t="s">
        <v>2800</v>
      </c>
      <c r="Y227" s="72" t="s">
        <v>2934</v>
      </c>
      <c r="Z227" s="72" t="s">
        <v>4</v>
      </c>
      <c r="AA227" s="95" t="s">
        <v>2841</v>
      </c>
      <c r="AB227" s="132"/>
      <c r="AC227" s="132"/>
      <c r="AD227" s="132"/>
      <c r="AE227" s="63"/>
      <c r="AF227" s="63"/>
      <c r="AG227" s="63"/>
    </row>
    <row r="228" spans="1:33" ht="17.2" customHeight="1">
      <c r="A228" s="64" t="str">
        <f>IF(priority(Main[[#This Row],[Comments]])&lt;&gt;0, priority(Main[[#This Row],[Comments]]),"")</f>
        <v/>
      </c>
      <c r="B228" s="60" t="s">
        <v>1049</v>
      </c>
      <c r="C228" s="72" t="s">
        <v>4</v>
      </c>
      <c r="D228" s="59" t="s">
        <v>82</v>
      </c>
      <c r="E228" s="85"/>
      <c r="F228" s="85"/>
      <c r="G228" s="64" t="str">
        <f>IF(stdProdLT(Main[[#This Row],[Comments]])=0.1,"N/A",IF(stdProdLT(Main[[#This Row],[Comments]])=0,"",TRIM(stdProdLT(Main[[#This Row],[Comments]]))))</f>
        <v/>
      </c>
      <c r="H228" s="94" t="str">
        <f>IF(OR(Main[[#This Row],[Std. Prod. Lead Time]]="N/A",Main[[#This Row],[Std. Prod. Lead Time]]=""), "",IF(AND(Main[[#This Row],[In Stock Date]]&lt;&gt;"",Main[[#This Row],[Revised Due Date]]&lt;&gt;"",Main[[#This Row],[In Stock Date]]&lt;&gt;""),Main[[#This Row],[In Stock Date]]-Main[[#This Row],[Revised Due Date]],""))</f>
        <v/>
      </c>
      <c r="I228" s="101" t="s">
        <v>4</v>
      </c>
      <c r="J228" s="95" t="s">
        <v>4</v>
      </c>
      <c r="K228" s="95" t="s">
        <v>4</v>
      </c>
      <c r="L228" s="85"/>
      <c r="M228" s="73" t="str">
        <f>IF(Main[[#This Row],[Tech Start Date]]&lt;1/1/1990,"",IF(Main[[#This Row],[Class]]="C",WORKDAY(Main[[#This Row],[Tech Start Date]],9),IF(Main[[#This Row],[Class]]="B", WORKDAY(Main[[#This Row],[Tech Start Date]],6),IF(Main[[#This Row],[Class]]="A",WORKDAY(Main[[#This Row],[Tech Start Date]],2),""))))</f>
        <v/>
      </c>
      <c r="N228" s="73" t="str">
        <f>IF(Main[[#This Row],[Tech Start Date]]&lt;1/1/1990,"",IF(Main[[#This Row],[Class]]="C",WORKDAY(Main[[#This Row],[Tech Start Date]],19),IF(Main[[#This Row],[Class]]="B", WORKDAY(Main[[#This Row],[Tech Start Date]],12),IF(Main[[#This Row],[Class]]="A",WORKDAY(Main[[#This Row],[Tech Start Date]],4),""))))</f>
        <v/>
      </c>
      <c r="O228" s="73" t="str">
        <f>IF(Main[[#This Row],[Tech Start Date]]&lt;1/1/1990,"",IF(Main[[#This Row],[Class]]="C",WORKDAY(Main[[#This Row],[Tech Start Date]],23),IF(Main[[#This Row],[Class]]="B", WORKDAY(Main[[#This Row],[Tech Start Date]],15),IF(Main[[#This Row],[Class]]="A",WORKDAY(Main[[#This Row],[Tech Start Date]],5),""))))</f>
        <v/>
      </c>
      <c r="P228" s="73" t="str">
        <f>IF(Main[[#This Row],[Tech Start Date]]&lt;1/1/1990,"",IF(Main[[#This Row],[Class]]="C",WORKDAY(Main[[#This Row],[Tech Start Date]],28),IF(Main[[#This Row],[Class]]="B", WORKDAY(Main[[#This Row],[Tech Start Date]],19),IF(Main[[#This Row],[Class]]="A",WORKDAY(Main[[#This Row],[Tech Start Date]],9),""))))</f>
        <v/>
      </c>
      <c r="Q228" s="85">
        <v>40602</v>
      </c>
      <c r="R228" s="112"/>
      <c r="S228" s="95" t="s">
        <v>6</v>
      </c>
      <c r="T228" s="74" t="s">
        <v>4</v>
      </c>
      <c r="U228" s="95" t="s">
        <v>14</v>
      </c>
      <c r="V228" s="95" t="s">
        <v>1921</v>
      </c>
      <c r="W228" s="95" t="s">
        <v>1915</v>
      </c>
      <c r="X228" s="95" t="s">
        <v>30</v>
      </c>
      <c r="Y228" s="72" t="s">
        <v>2935</v>
      </c>
      <c r="Z228" s="72" t="s">
        <v>4</v>
      </c>
      <c r="AA228" s="95" t="s">
        <v>30</v>
      </c>
      <c r="AB228" s="132"/>
      <c r="AC228" s="132"/>
      <c r="AD228" s="132"/>
      <c r="AE228" s="63"/>
      <c r="AF228" s="63"/>
      <c r="AG228" s="63"/>
    </row>
    <row r="229" spans="1:33" ht="17.2" customHeight="1">
      <c r="A229" s="64" t="str">
        <f>IF(priority(Main[[#This Row],[Comments]])&lt;&gt;0, priority(Main[[#This Row],[Comments]]),"")</f>
        <v/>
      </c>
      <c r="B229" s="60" t="s">
        <v>2664</v>
      </c>
      <c r="C229" s="72" t="s">
        <v>2665</v>
      </c>
      <c r="D229" s="59" t="s">
        <v>2666</v>
      </c>
      <c r="E229" s="85"/>
      <c r="F229" s="85"/>
      <c r="G229" s="64" t="str">
        <f>IF(stdProdLT(Main[[#This Row],[Comments]])=0.1,"N/A",IF(stdProdLT(Main[[#This Row],[Comments]])=0,"",TRIM(stdProdLT(Main[[#This Row],[Comments]]))))</f>
        <v/>
      </c>
      <c r="H229" s="94" t="str">
        <f>IF(OR(Main[[#This Row],[Std. Prod. Lead Time]]="N/A",Main[[#This Row],[Std. Prod. Lead Time]]=""), "",IF(AND(Main[[#This Row],[In Stock Date]]&lt;&gt;"",Main[[#This Row],[Revised Due Date]]&lt;&gt;"",Main[[#This Row],[In Stock Date]]&lt;&gt;""),Main[[#This Row],[In Stock Date]]-Main[[#This Row],[Revised Due Date]],""))</f>
        <v/>
      </c>
      <c r="I229" s="101" t="s">
        <v>4</v>
      </c>
      <c r="J229" s="95" t="s">
        <v>4</v>
      </c>
      <c r="K229" s="95" t="s">
        <v>4</v>
      </c>
      <c r="L229" s="85"/>
      <c r="M229" s="73" t="str">
        <f>IF(Main[[#This Row],[Tech Start Date]]&lt;1/1/1990,"",IF(Main[[#This Row],[Class]]="C",WORKDAY(Main[[#This Row],[Tech Start Date]],9),IF(Main[[#This Row],[Class]]="B", WORKDAY(Main[[#This Row],[Tech Start Date]],6),IF(Main[[#This Row],[Class]]="A",WORKDAY(Main[[#This Row],[Tech Start Date]],2),""))))</f>
        <v/>
      </c>
      <c r="N229" s="73" t="str">
        <f>IF(Main[[#This Row],[Tech Start Date]]&lt;1/1/1990,"",IF(Main[[#This Row],[Class]]="C",WORKDAY(Main[[#This Row],[Tech Start Date]],19),IF(Main[[#This Row],[Class]]="B", WORKDAY(Main[[#This Row],[Tech Start Date]],12),IF(Main[[#This Row],[Class]]="A",WORKDAY(Main[[#This Row],[Tech Start Date]],4),""))))</f>
        <v/>
      </c>
      <c r="O229" s="73" t="str">
        <f>IF(Main[[#This Row],[Tech Start Date]]&lt;1/1/1990,"",IF(Main[[#This Row],[Class]]="C",WORKDAY(Main[[#This Row],[Tech Start Date]],23),IF(Main[[#This Row],[Class]]="B", WORKDAY(Main[[#This Row],[Tech Start Date]],15),IF(Main[[#This Row],[Class]]="A",WORKDAY(Main[[#This Row],[Tech Start Date]],5),""))))</f>
        <v/>
      </c>
      <c r="P229" s="73" t="str">
        <f>IF(Main[[#This Row],[Tech Start Date]]&lt;1/1/1990,"",IF(Main[[#This Row],[Class]]="C",WORKDAY(Main[[#This Row],[Tech Start Date]],28),IF(Main[[#This Row],[Class]]="B", WORKDAY(Main[[#This Row],[Tech Start Date]],19),IF(Main[[#This Row],[Class]]="A",WORKDAY(Main[[#This Row],[Tech Start Date]],9),""))))</f>
        <v/>
      </c>
      <c r="Q229" s="85"/>
      <c r="R229" s="112"/>
      <c r="S229" s="95" t="s">
        <v>6</v>
      </c>
      <c r="T229" s="74" t="s">
        <v>4</v>
      </c>
      <c r="U229" s="95" t="s">
        <v>14</v>
      </c>
      <c r="V229" s="95" t="s">
        <v>1914</v>
      </c>
      <c r="W229" s="95" t="s">
        <v>1919</v>
      </c>
      <c r="X229" s="95" t="s">
        <v>883</v>
      </c>
      <c r="Y229" s="72" t="s">
        <v>2936</v>
      </c>
      <c r="Z229" s="72" t="s">
        <v>4</v>
      </c>
      <c r="AA229" s="95" t="s">
        <v>3338</v>
      </c>
      <c r="AB229" s="132"/>
      <c r="AC229" s="132"/>
      <c r="AD229" s="132"/>
      <c r="AE229" s="63"/>
      <c r="AF229" s="63"/>
      <c r="AG229" s="63"/>
    </row>
    <row r="230" spans="1:33" ht="17.2" customHeight="1">
      <c r="A230" s="64" t="str">
        <f>IF(priority(Main[[#This Row],[Comments]])&lt;&gt;0, priority(Main[[#This Row],[Comments]]),"")</f>
        <v/>
      </c>
      <c r="B230" s="60" t="s">
        <v>1928</v>
      </c>
      <c r="C230" s="72" t="s">
        <v>4</v>
      </c>
      <c r="D230" s="59" t="s">
        <v>5</v>
      </c>
      <c r="E230" s="85">
        <v>40485.386250000003</v>
      </c>
      <c r="F230" s="85"/>
      <c r="G230" s="64" t="str">
        <f>IF(stdProdLT(Main[[#This Row],[Comments]])=0.1,"N/A",IF(stdProdLT(Main[[#This Row],[Comments]])=0,"",TRIM(stdProdLT(Main[[#This Row],[Comments]]))))</f>
        <v/>
      </c>
      <c r="H230" s="94" t="str">
        <f>IF(OR(Main[[#This Row],[Std. Prod. Lead Time]]="N/A",Main[[#This Row],[Std. Prod. Lead Time]]=""), "",IF(AND(Main[[#This Row],[In Stock Date]]&lt;&gt;"",Main[[#This Row],[Revised Due Date]]&lt;&gt;"",Main[[#This Row],[In Stock Date]]&lt;&gt;""),Main[[#This Row],[In Stock Date]]-Main[[#This Row],[Revised Due Date]],""))</f>
        <v/>
      </c>
      <c r="I230" s="101" t="s">
        <v>4</v>
      </c>
      <c r="J230" s="95" t="s">
        <v>4</v>
      </c>
      <c r="K230" s="95" t="s">
        <v>4</v>
      </c>
      <c r="L230" s="85"/>
      <c r="M230" s="73" t="str">
        <f>IF(Main[[#This Row],[Tech Start Date]]&lt;1/1/1990,"",IF(Main[[#This Row],[Class]]="C",WORKDAY(Main[[#This Row],[Tech Start Date]],9),IF(Main[[#This Row],[Class]]="B", WORKDAY(Main[[#This Row],[Tech Start Date]],6),IF(Main[[#This Row],[Class]]="A",WORKDAY(Main[[#This Row],[Tech Start Date]],2),""))))</f>
        <v/>
      </c>
      <c r="N230" s="73" t="str">
        <f>IF(Main[[#This Row],[Tech Start Date]]&lt;1/1/1990,"",IF(Main[[#This Row],[Class]]="C",WORKDAY(Main[[#This Row],[Tech Start Date]],19),IF(Main[[#This Row],[Class]]="B", WORKDAY(Main[[#This Row],[Tech Start Date]],12),IF(Main[[#This Row],[Class]]="A",WORKDAY(Main[[#This Row],[Tech Start Date]],4),""))))</f>
        <v/>
      </c>
      <c r="O230" s="73" t="str">
        <f>IF(Main[[#This Row],[Tech Start Date]]&lt;1/1/1990,"",IF(Main[[#This Row],[Class]]="C",WORKDAY(Main[[#This Row],[Tech Start Date]],23),IF(Main[[#This Row],[Class]]="B", WORKDAY(Main[[#This Row],[Tech Start Date]],15),IF(Main[[#This Row],[Class]]="A",WORKDAY(Main[[#This Row],[Tech Start Date]],5),""))))</f>
        <v/>
      </c>
      <c r="P230" s="73" t="str">
        <f>IF(Main[[#This Row],[Tech Start Date]]&lt;1/1/1990,"",IF(Main[[#This Row],[Class]]="C",WORKDAY(Main[[#This Row],[Tech Start Date]],28),IF(Main[[#This Row],[Class]]="B", WORKDAY(Main[[#This Row],[Tech Start Date]],19),IF(Main[[#This Row],[Class]]="A",WORKDAY(Main[[#This Row],[Tech Start Date]],9),""))))</f>
        <v/>
      </c>
      <c r="Q230" s="85">
        <v>40508</v>
      </c>
      <c r="R230" s="112"/>
      <c r="S230" s="95" t="s">
        <v>6</v>
      </c>
      <c r="T230" s="74" t="s">
        <v>4</v>
      </c>
      <c r="U230" s="95" t="s">
        <v>7</v>
      </c>
      <c r="V230" s="95" t="s">
        <v>1911</v>
      </c>
      <c r="W230" s="95" t="s">
        <v>4</v>
      </c>
      <c r="X230" s="95" t="s">
        <v>2799</v>
      </c>
      <c r="Y230" s="72" t="s">
        <v>2910</v>
      </c>
      <c r="Z230" s="72" t="s">
        <v>4</v>
      </c>
      <c r="AA230" s="95" t="s">
        <v>2799</v>
      </c>
      <c r="AB230" s="132"/>
      <c r="AC230" s="132"/>
      <c r="AD230" s="132"/>
      <c r="AE230" s="63"/>
      <c r="AF230" s="63"/>
      <c r="AG230" s="63"/>
    </row>
    <row r="231" spans="1:33" ht="17.2" customHeight="1">
      <c r="A231" s="64" t="str">
        <f>IF(priority(Main[[#This Row],[Comments]])&lt;&gt;0, priority(Main[[#This Row],[Comments]]),"")</f>
        <v/>
      </c>
      <c r="B231" s="60" t="s">
        <v>1008</v>
      </c>
      <c r="C231" s="72" t="s">
        <v>4</v>
      </c>
      <c r="D231" s="59" t="s">
        <v>8</v>
      </c>
      <c r="E231" s="85">
        <v>40679.251782407409</v>
      </c>
      <c r="F231" s="85"/>
      <c r="G231" s="64" t="str">
        <f>IF(stdProdLT(Main[[#This Row],[Comments]])=0.1,"N/A",IF(stdProdLT(Main[[#This Row],[Comments]])=0,"",TRIM(stdProdLT(Main[[#This Row],[Comments]]))))</f>
        <v/>
      </c>
      <c r="H231" s="94" t="str">
        <f>IF(OR(Main[[#This Row],[Std. Prod. Lead Time]]="N/A",Main[[#This Row],[Std. Prod. Lead Time]]=""), "",IF(AND(Main[[#This Row],[In Stock Date]]&lt;&gt;"",Main[[#This Row],[Revised Due Date]]&lt;&gt;"",Main[[#This Row],[In Stock Date]]&lt;&gt;""),Main[[#This Row],[In Stock Date]]-Main[[#This Row],[Revised Due Date]],""))</f>
        <v/>
      </c>
      <c r="I231" s="101" t="s">
        <v>4</v>
      </c>
      <c r="J231" s="95" t="s">
        <v>4</v>
      </c>
      <c r="K231" s="96" t="s">
        <v>4</v>
      </c>
      <c r="L231" s="85"/>
      <c r="M231" s="73" t="str">
        <f>IF(Main[[#This Row],[Tech Start Date]]&lt;1/1/1990,"",IF(Main[[#This Row],[Class]]="C",WORKDAY(Main[[#This Row],[Tech Start Date]],9),IF(Main[[#This Row],[Class]]="B", WORKDAY(Main[[#This Row],[Tech Start Date]],6),IF(Main[[#This Row],[Class]]="A",WORKDAY(Main[[#This Row],[Tech Start Date]],2),""))))</f>
        <v/>
      </c>
      <c r="N231" s="73" t="str">
        <f>IF(Main[[#This Row],[Tech Start Date]]&lt;1/1/1990,"",IF(Main[[#This Row],[Class]]="C",WORKDAY(Main[[#This Row],[Tech Start Date]],19),IF(Main[[#This Row],[Class]]="B", WORKDAY(Main[[#This Row],[Tech Start Date]],12),IF(Main[[#This Row],[Class]]="A",WORKDAY(Main[[#This Row],[Tech Start Date]],4),""))))</f>
        <v/>
      </c>
      <c r="O231" s="73" t="str">
        <f>IF(Main[[#This Row],[Tech Start Date]]&lt;1/1/1990,"",IF(Main[[#This Row],[Class]]="C",WORKDAY(Main[[#This Row],[Tech Start Date]],23),IF(Main[[#This Row],[Class]]="B", WORKDAY(Main[[#This Row],[Tech Start Date]],15),IF(Main[[#This Row],[Class]]="A",WORKDAY(Main[[#This Row],[Tech Start Date]],5),""))))</f>
        <v/>
      </c>
      <c r="P231" s="73" t="str">
        <f>IF(Main[[#This Row],[Tech Start Date]]&lt;1/1/1990,"",IF(Main[[#This Row],[Class]]="C",WORKDAY(Main[[#This Row],[Tech Start Date]],28),IF(Main[[#This Row],[Class]]="B", WORKDAY(Main[[#This Row],[Tech Start Date]],19),IF(Main[[#This Row],[Class]]="A",WORKDAY(Main[[#This Row],[Tech Start Date]],9),""))))</f>
        <v/>
      </c>
      <c r="Q231" s="85"/>
      <c r="R231" s="112"/>
      <c r="S231" s="95" t="s">
        <v>6</v>
      </c>
      <c r="T231" s="74" t="s">
        <v>4</v>
      </c>
      <c r="U231" s="95" t="s">
        <v>7</v>
      </c>
      <c r="V231" s="95" t="s">
        <v>1911</v>
      </c>
      <c r="W231" s="95" t="s">
        <v>4</v>
      </c>
      <c r="X231" s="95" t="s">
        <v>2802</v>
      </c>
      <c r="Y231" s="72" t="s">
        <v>2916</v>
      </c>
      <c r="Z231" s="72" t="s">
        <v>4</v>
      </c>
      <c r="AA231" s="95" t="s">
        <v>2802</v>
      </c>
      <c r="AB231" s="132"/>
      <c r="AC231" s="132"/>
      <c r="AD231" s="132"/>
      <c r="AE231" s="63"/>
      <c r="AF231" s="63"/>
      <c r="AG231" s="63"/>
    </row>
    <row r="232" spans="1:33" ht="17.2" customHeight="1">
      <c r="A232" s="64" t="str">
        <f>IF(priority(Main[[#This Row],[Comments]])&lt;&gt;0, priority(Main[[#This Row],[Comments]]),"")</f>
        <v/>
      </c>
      <c r="B232" s="60" t="s">
        <v>1009</v>
      </c>
      <c r="C232" s="72" t="s">
        <v>9</v>
      </c>
      <c r="D232" s="59" t="s">
        <v>10</v>
      </c>
      <c r="E232" s="85"/>
      <c r="F232" s="85"/>
      <c r="G232" s="64" t="str">
        <f>IF(stdProdLT(Main[[#This Row],[Comments]])=0.1,"N/A",IF(stdProdLT(Main[[#This Row],[Comments]])=0,"",TRIM(stdProdLT(Main[[#This Row],[Comments]]))))</f>
        <v/>
      </c>
      <c r="H232" s="94" t="str">
        <f>IF(OR(Main[[#This Row],[Std. Prod. Lead Time]]="N/A",Main[[#This Row],[Std. Prod. Lead Time]]=""), "",IF(AND(Main[[#This Row],[In Stock Date]]&lt;&gt;"",Main[[#This Row],[Revised Due Date]]&lt;&gt;"",Main[[#This Row],[In Stock Date]]&lt;&gt;""),Main[[#This Row],[In Stock Date]]-Main[[#This Row],[Revised Due Date]],""))</f>
        <v/>
      </c>
      <c r="I232" s="101" t="s">
        <v>4</v>
      </c>
      <c r="J232" s="95" t="s">
        <v>4</v>
      </c>
      <c r="K232" s="96" t="s">
        <v>4</v>
      </c>
      <c r="L232" s="85"/>
      <c r="M232" s="73" t="str">
        <f>IF(Main[[#This Row],[Tech Start Date]]&lt;1/1/1990,"",IF(Main[[#This Row],[Class]]="C",WORKDAY(Main[[#This Row],[Tech Start Date]],9),IF(Main[[#This Row],[Class]]="B", WORKDAY(Main[[#This Row],[Tech Start Date]],6),IF(Main[[#This Row],[Class]]="A",WORKDAY(Main[[#This Row],[Tech Start Date]],2),""))))</f>
        <v/>
      </c>
      <c r="N232" s="73" t="str">
        <f>IF(Main[[#This Row],[Tech Start Date]]&lt;1/1/1990,"",IF(Main[[#This Row],[Class]]="C",WORKDAY(Main[[#This Row],[Tech Start Date]],19),IF(Main[[#This Row],[Class]]="B", WORKDAY(Main[[#This Row],[Tech Start Date]],12),IF(Main[[#This Row],[Class]]="A",WORKDAY(Main[[#This Row],[Tech Start Date]],4),""))))</f>
        <v/>
      </c>
      <c r="O232" s="73" t="str">
        <f>IF(Main[[#This Row],[Tech Start Date]]&lt;1/1/1990,"",IF(Main[[#This Row],[Class]]="C",WORKDAY(Main[[#This Row],[Tech Start Date]],23),IF(Main[[#This Row],[Class]]="B", WORKDAY(Main[[#This Row],[Tech Start Date]],15),IF(Main[[#This Row],[Class]]="A",WORKDAY(Main[[#This Row],[Tech Start Date]],5),""))))</f>
        <v/>
      </c>
      <c r="P232" s="73" t="str">
        <f>IF(Main[[#This Row],[Tech Start Date]]&lt;1/1/1990,"",IF(Main[[#This Row],[Class]]="C",WORKDAY(Main[[#This Row],[Tech Start Date]],28),IF(Main[[#This Row],[Class]]="B", WORKDAY(Main[[#This Row],[Tech Start Date]],19),IF(Main[[#This Row],[Class]]="A",WORKDAY(Main[[#This Row],[Tech Start Date]],9),""))))</f>
        <v/>
      </c>
      <c r="Q232" s="85">
        <v>40504</v>
      </c>
      <c r="R232" s="112"/>
      <c r="S232" s="95" t="s">
        <v>11</v>
      </c>
      <c r="T232" s="74" t="s">
        <v>4</v>
      </c>
      <c r="U232" s="95" t="s">
        <v>12</v>
      </c>
      <c r="V232" s="95" t="s">
        <v>1912</v>
      </c>
      <c r="W232" s="95" t="s">
        <v>1913</v>
      </c>
      <c r="X232" s="95" t="s">
        <v>2803</v>
      </c>
      <c r="Y232" s="72" t="s">
        <v>4</v>
      </c>
      <c r="Z232" s="72" t="s">
        <v>4</v>
      </c>
      <c r="AA232" s="95" t="s">
        <v>2803</v>
      </c>
      <c r="AB232" s="132"/>
      <c r="AC232" s="132"/>
      <c r="AD232" s="132"/>
      <c r="AE232" s="63"/>
      <c r="AF232" s="63"/>
      <c r="AG232" s="63"/>
    </row>
    <row r="233" spans="1:33" ht="17.2" customHeight="1">
      <c r="A233" s="64" t="str">
        <f>IF(priority(Main[[#This Row],[Comments]])&lt;&gt;0, priority(Main[[#This Row],[Comments]]),"")</f>
        <v/>
      </c>
      <c r="B233" s="60" t="s">
        <v>1010</v>
      </c>
      <c r="C233" s="72" t="s">
        <v>4</v>
      </c>
      <c r="D233" s="59" t="s">
        <v>13</v>
      </c>
      <c r="E233" s="85"/>
      <c r="F233" s="85"/>
      <c r="G233" s="64" t="str">
        <f>IF(stdProdLT(Main[[#This Row],[Comments]])=0.1,"N/A",IF(stdProdLT(Main[[#This Row],[Comments]])=0,"",TRIM(stdProdLT(Main[[#This Row],[Comments]]))))</f>
        <v/>
      </c>
      <c r="H233" s="94" t="str">
        <f>IF(OR(Main[[#This Row],[Std. Prod. Lead Time]]="N/A",Main[[#This Row],[Std. Prod. Lead Time]]=""), "",IF(AND(Main[[#This Row],[In Stock Date]]&lt;&gt;"",Main[[#This Row],[Revised Due Date]]&lt;&gt;"",Main[[#This Row],[In Stock Date]]&lt;&gt;""),Main[[#This Row],[In Stock Date]]-Main[[#This Row],[Revised Due Date]],""))</f>
        <v/>
      </c>
      <c r="I233" s="101" t="s">
        <v>4</v>
      </c>
      <c r="J233" s="95" t="s">
        <v>4</v>
      </c>
      <c r="K233" s="95" t="s">
        <v>4</v>
      </c>
      <c r="L233" s="85"/>
      <c r="M233" s="73" t="str">
        <f>IF(Main[[#This Row],[Tech Start Date]]&lt;1/1/1990,"",IF(Main[[#This Row],[Class]]="C",WORKDAY(Main[[#This Row],[Tech Start Date]],9),IF(Main[[#This Row],[Class]]="B", WORKDAY(Main[[#This Row],[Tech Start Date]],6),IF(Main[[#This Row],[Class]]="A",WORKDAY(Main[[#This Row],[Tech Start Date]],2),""))))</f>
        <v/>
      </c>
      <c r="N233" s="73" t="str">
        <f>IF(Main[[#This Row],[Tech Start Date]]&lt;1/1/1990,"",IF(Main[[#This Row],[Class]]="C",WORKDAY(Main[[#This Row],[Tech Start Date]],19),IF(Main[[#This Row],[Class]]="B", WORKDAY(Main[[#This Row],[Tech Start Date]],12),IF(Main[[#This Row],[Class]]="A",WORKDAY(Main[[#This Row],[Tech Start Date]],4),""))))</f>
        <v/>
      </c>
      <c r="O233" s="73" t="str">
        <f>IF(Main[[#This Row],[Tech Start Date]]&lt;1/1/1990,"",IF(Main[[#This Row],[Class]]="C",WORKDAY(Main[[#This Row],[Tech Start Date]],23),IF(Main[[#This Row],[Class]]="B", WORKDAY(Main[[#This Row],[Tech Start Date]],15),IF(Main[[#This Row],[Class]]="A",WORKDAY(Main[[#This Row],[Tech Start Date]],5),""))))</f>
        <v/>
      </c>
      <c r="P233" s="73" t="str">
        <f>IF(Main[[#This Row],[Tech Start Date]]&lt;1/1/1990,"",IF(Main[[#This Row],[Class]]="C",WORKDAY(Main[[#This Row],[Tech Start Date]],28),IF(Main[[#This Row],[Class]]="B", WORKDAY(Main[[#This Row],[Tech Start Date]],19),IF(Main[[#This Row],[Class]]="A",WORKDAY(Main[[#This Row],[Tech Start Date]],9),""))))</f>
        <v/>
      </c>
      <c r="Q233" s="85"/>
      <c r="R233" s="112"/>
      <c r="S233" s="95" t="s">
        <v>6</v>
      </c>
      <c r="T233" s="74" t="s">
        <v>4</v>
      </c>
      <c r="U233" s="95" t="s">
        <v>14</v>
      </c>
      <c r="V233" s="95" t="s">
        <v>1914</v>
      </c>
      <c r="W233" s="95" t="s">
        <v>1915</v>
      </c>
      <c r="X233" s="95" t="s">
        <v>306</v>
      </c>
      <c r="Y233" s="72" t="s">
        <v>4</v>
      </c>
      <c r="Z233" s="72" t="s">
        <v>4</v>
      </c>
      <c r="AA233" s="95" t="s">
        <v>652</v>
      </c>
      <c r="AB233" s="132"/>
      <c r="AC233" s="132"/>
      <c r="AD233" s="132"/>
      <c r="AE233" s="63"/>
      <c r="AF233" s="63"/>
      <c r="AG233" s="63"/>
    </row>
    <row r="234" spans="1:33" ht="17.2" customHeight="1">
      <c r="A234" s="64" t="str">
        <f>IF(priority(Main[[#This Row],[Comments]])&lt;&gt;0, priority(Main[[#This Row],[Comments]]),"")</f>
        <v/>
      </c>
      <c r="B234" s="60" t="s">
        <v>1103</v>
      </c>
      <c r="C234" s="72" t="s">
        <v>4</v>
      </c>
      <c r="D234" s="59" t="s">
        <v>125</v>
      </c>
      <c r="E234" s="85"/>
      <c r="F234" s="85"/>
      <c r="G234" s="64" t="str">
        <f>IF(stdProdLT(Main[[#This Row],[Comments]])=0.1,"N/A",IF(stdProdLT(Main[[#This Row],[Comments]])=0,"",TRIM(stdProdLT(Main[[#This Row],[Comments]]))))</f>
        <v/>
      </c>
      <c r="H234" s="94" t="str">
        <f>IF(OR(Main[[#This Row],[Std. Prod. Lead Time]]="N/A",Main[[#This Row],[Std. Prod. Lead Time]]=""), "",IF(AND(Main[[#This Row],[In Stock Date]]&lt;&gt;"",Main[[#This Row],[Revised Due Date]]&lt;&gt;"",Main[[#This Row],[In Stock Date]]&lt;&gt;""),Main[[#This Row],[In Stock Date]]-Main[[#This Row],[Revised Due Date]],""))</f>
        <v/>
      </c>
      <c r="I234" s="101" t="s">
        <v>126</v>
      </c>
      <c r="J234" s="95" t="s">
        <v>4</v>
      </c>
      <c r="K234" s="95" t="s">
        <v>4</v>
      </c>
      <c r="L234" s="85"/>
      <c r="M234" s="73" t="str">
        <f>IF(Main[[#This Row],[Tech Start Date]]&lt;1/1/1990,"",IF(Main[[#This Row],[Class]]="C",WORKDAY(Main[[#This Row],[Tech Start Date]],9),IF(Main[[#This Row],[Class]]="B", WORKDAY(Main[[#This Row],[Tech Start Date]],6),IF(Main[[#This Row],[Class]]="A",WORKDAY(Main[[#This Row],[Tech Start Date]],2),""))))</f>
        <v/>
      </c>
      <c r="N234" s="73" t="str">
        <f>IF(Main[[#This Row],[Tech Start Date]]&lt;1/1/1990,"",IF(Main[[#This Row],[Class]]="C",WORKDAY(Main[[#This Row],[Tech Start Date]],19),IF(Main[[#This Row],[Class]]="B", WORKDAY(Main[[#This Row],[Tech Start Date]],12),IF(Main[[#This Row],[Class]]="A",WORKDAY(Main[[#This Row],[Tech Start Date]],4),""))))</f>
        <v/>
      </c>
      <c r="O234" s="73" t="str">
        <f>IF(Main[[#This Row],[Tech Start Date]]&lt;1/1/1990,"",IF(Main[[#This Row],[Class]]="C",WORKDAY(Main[[#This Row],[Tech Start Date]],23),IF(Main[[#This Row],[Class]]="B", WORKDAY(Main[[#This Row],[Tech Start Date]],15),IF(Main[[#This Row],[Class]]="A",WORKDAY(Main[[#This Row],[Tech Start Date]],5),""))))</f>
        <v/>
      </c>
      <c r="P234" s="73" t="str">
        <f>IF(Main[[#This Row],[Tech Start Date]]&lt;1/1/1990,"",IF(Main[[#This Row],[Class]]="C",WORKDAY(Main[[#This Row],[Tech Start Date]],28),IF(Main[[#This Row],[Class]]="B", WORKDAY(Main[[#This Row],[Tech Start Date]],19),IF(Main[[#This Row],[Class]]="A",WORKDAY(Main[[#This Row],[Tech Start Date]],9),""))))</f>
        <v/>
      </c>
      <c r="Q234" s="85">
        <v>40025</v>
      </c>
      <c r="R234" s="112"/>
      <c r="S234" s="95" t="s">
        <v>11</v>
      </c>
      <c r="T234" s="74" t="s">
        <v>4</v>
      </c>
      <c r="U234" s="95" t="s">
        <v>14</v>
      </c>
      <c r="V234" s="95" t="s">
        <v>1911</v>
      </c>
      <c r="W234" s="95" t="s">
        <v>1919</v>
      </c>
      <c r="X234" s="95" t="s">
        <v>2833</v>
      </c>
      <c r="Y234" s="72" t="s">
        <v>2969</v>
      </c>
      <c r="Z234" s="72" t="s">
        <v>81</v>
      </c>
      <c r="AA234" s="95" t="s">
        <v>2833</v>
      </c>
      <c r="AB234" s="132"/>
      <c r="AC234" s="132"/>
      <c r="AD234" s="132"/>
      <c r="AE234" s="63"/>
      <c r="AF234" s="63"/>
      <c r="AG234" s="63"/>
    </row>
    <row r="235" spans="1:33" ht="17.2" customHeight="1">
      <c r="A235" s="64" t="str">
        <f>IF(priority(Main[[#This Row],[Comments]])&lt;&gt;0, priority(Main[[#This Row],[Comments]]),"")</f>
        <v/>
      </c>
      <c r="B235" s="60" t="s">
        <v>1104</v>
      </c>
      <c r="C235" s="72" t="s">
        <v>4</v>
      </c>
      <c r="D235" s="59" t="s">
        <v>127</v>
      </c>
      <c r="E235" s="85"/>
      <c r="F235" s="85"/>
      <c r="G235" s="64" t="str">
        <f>IF(stdProdLT(Main[[#This Row],[Comments]])=0.1,"N/A",IF(stdProdLT(Main[[#This Row],[Comments]])=0,"",TRIM(stdProdLT(Main[[#This Row],[Comments]]))))</f>
        <v/>
      </c>
      <c r="H235" s="94" t="str">
        <f>IF(OR(Main[[#This Row],[Std. Prod. Lead Time]]="N/A",Main[[#This Row],[Std. Prod. Lead Time]]=""), "",IF(AND(Main[[#This Row],[In Stock Date]]&lt;&gt;"",Main[[#This Row],[Revised Due Date]]&lt;&gt;"",Main[[#This Row],[In Stock Date]]&lt;&gt;""),Main[[#This Row],[In Stock Date]]-Main[[#This Row],[Revised Due Date]],""))</f>
        <v/>
      </c>
      <c r="I235" s="101" t="s">
        <v>30</v>
      </c>
      <c r="J235" s="95" t="s">
        <v>21</v>
      </c>
      <c r="K235" s="95" t="s">
        <v>4</v>
      </c>
      <c r="L235" s="85"/>
      <c r="M235" s="73" t="str">
        <f>IF(Main[[#This Row],[Tech Start Date]]&lt;1/1/1990,"",IF(Main[[#This Row],[Class]]="C",WORKDAY(Main[[#This Row],[Tech Start Date]],9),IF(Main[[#This Row],[Class]]="B", WORKDAY(Main[[#This Row],[Tech Start Date]],6),IF(Main[[#This Row],[Class]]="A",WORKDAY(Main[[#This Row],[Tech Start Date]],2),""))))</f>
        <v/>
      </c>
      <c r="N235" s="73" t="str">
        <f>IF(Main[[#This Row],[Tech Start Date]]&lt;1/1/1990,"",IF(Main[[#This Row],[Class]]="C",WORKDAY(Main[[#This Row],[Tech Start Date]],19),IF(Main[[#This Row],[Class]]="B", WORKDAY(Main[[#This Row],[Tech Start Date]],12),IF(Main[[#This Row],[Class]]="A",WORKDAY(Main[[#This Row],[Tech Start Date]],4),""))))</f>
        <v/>
      </c>
      <c r="O235" s="73" t="str">
        <f>IF(Main[[#This Row],[Tech Start Date]]&lt;1/1/1990,"",IF(Main[[#This Row],[Class]]="C",WORKDAY(Main[[#This Row],[Tech Start Date]],23),IF(Main[[#This Row],[Class]]="B", WORKDAY(Main[[#This Row],[Tech Start Date]],15),IF(Main[[#This Row],[Class]]="A",WORKDAY(Main[[#This Row],[Tech Start Date]],5),""))))</f>
        <v/>
      </c>
      <c r="P235" s="73" t="str">
        <f>IF(Main[[#This Row],[Tech Start Date]]&lt;1/1/1990,"",IF(Main[[#This Row],[Class]]="C",WORKDAY(Main[[#This Row],[Tech Start Date]],28),IF(Main[[#This Row],[Class]]="B", WORKDAY(Main[[#This Row],[Tech Start Date]],19),IF(Main[[#This Row],[Class]]="A",WORKDAY(Main[[#This Row],[Tech Start Date]],9),""))))</f>
        <v/>
      </c>
      <c r="Q235" s="85">
        <v>40508</v>
      </c>
      <c r="R235" s="112"/>
      <c r="S235" s="95" t="s">
        <v>6</v>
      </c>
      <c r="T235" s="74" t="s">
        <v>4</v>
      </c>
      <c r="U235" s="95" t="s">
        <v>14</v>
      </c>
      <c r="V235" s="95" t="s">
        <v>1914</v>
      </c>
      <c r="W235" s="95" t="s">
        <v>1913</v>
      </c>
      <c r="X235" s="95" t="s">
        <v>2798</v>
      </c>
      <c r="Y235" s="72" t="s">
        <v>2908</v>
      </c>
      <c r="Z235" s="72" t="s">
        <v>530</v>
      </c>
      <c r="AA235" s="95" t="s">
        <v>2798</v>
      </c>
      <c r="AB235" s="132"/>
      <c r="AC235" s="132"/>
      <c r="AD235" s="132"/>
      <c r="AE235" s="63"/>
      <c r="AF235" s="63"/>
      <c r="AG235" s="63"/>
    </row>
    <row r="236" spans="1:33" ht="17.2" customHeight="1">
      <c r="A236" s="64" t="str">
        <f>IF(priority(Main[[#This Row],[Comments]])&lt;&gt;0, priority(Main[[#This Row],[Comments]]),"")</f>
        <v/>
      </c>
      <c r="B236" s="60" t="s">
        <v>3212</v>
      </c>
      <c r="C236" s="72" t="s">
        <v>72</v>
      </c>
      <c r="D236" s="59" t="s">
        <v>3213</v>
      </c>
      <c r="E236" s="85"/>
      <c r="F236" s="85"/>
      <c r="G236" s="64" t="str">
        <f>IF(stdProdLT(Main[[#This Row],[Comments]])=0.1,"N/A",IF(stdProdLT(Main[[#This Row],[Comments]])=0,"",TRIM(stdProdLT(Main[[#This Row],[Comments]]))))</f>
        <v/>
      </c>
      <c r="H236" s="94" t="str">
        <f>IF(OR(Main[[#This Row],[Std. Prod. Lead Time]]="N/A",Main[[#This Row],[Std. Prod. Lead Time]]=""), "",IF(AND(Main[[#This Row],[In Stock Date]]&lt;&gt;"",Main[[#This Row],[Revised Due Date]]&lt;&gt;"",Main[[#This Row],[In Stock Date]]&lt;&gt;""),Main[[#This Row],[In Stock Date]]-Main[[#This Row],[Revised Due Date]],""))</f>
        <v/>
      </c>
      <c r="I236" s="101" t="s">
        <v>4</v>
      </c>
      <c r="J236" s="95" t="s">
        <v>4</v>
      </c>
      <c r="K236" s="95" t="s">
        <v>4</v>
      </c>
      <c r="L236" s="85"/>
      <c r="M236" s="73" t="str">
        <f>IF(Main[[#This Row],[Tech Start Date]]&lt;1/1/1990,"",IF(Main[[#This Row],[Class]]="C",WORKDAY(Main[[#This Row],[Tech Start Date]],9),IF(Main[[#This Row],[Class]]="B", WORKDAY(Main[[#This Row],[Tech Start Date]],6),IF(Main[[#This Row],[Class]]="A",WORKDAY(Main[[#This Row],[Tech Start Date]],2),""))))</f>
        <v/>
      </c>
      <c r="N236" s="73" t="str">
        <f>IF(Main[[#This Row],[Tech Start Date]]&lt;1/1/1990,"",IF(Main[[#This Row],[Class]]="C",WORKDAY(Main[[#This Row],[Tech Start Date]],19),IF(Main[[#This Row],[Class]]="B", WORKDAY(Main[[#This Row],[Tech Start Date]],12),IF(Main[[#This Row],[Class]]="A",WORKDAY(Main[[#This Row],[Tech Start Date]],4),""))))</f>
        <v/>
      </c>
      <c r="O236" s="73" t="str">
        <f>IF(Main[[#This Row],[Tech Start Date]]&lt;1/1/1990,"",IF(Main[[#This Row],[Class]]="C",WORKDAY(Main[[#This Row],[Tech Start Date]],23),IF(Main[[#This Row],[Class]]="B", WORKDAY(Main[[#This Row],[Tech Start Date]],15),IF(Main[[#This Row],[Class]]="A",WORKDAY(Main[[#This Row],[Tech Start Date]],5),""))))</f>
        <v/>
      </c>
      <c r="P236" s="73" t="str">
        <f>IF(Main[[#This Row],[Tech Start Date]]&lt;1/1/1990,"",IF(Main[[#This Row],[Class]]="C",WORKDAY(Main[[#This Row],[Tech Start Date]],28),IF(Main[[#This Row],[Class]]="B", WORKDAY(Main[[#This Row],[Tech Start Date]],19),IF(Main[[#This Row],[Class]]="A",WORKDAY(Main[[#This Row],[Tech Start Date]],9),""))))</f>
        <v/>
      </c>
      <c r="Q236" s="85"/>
      <c r="R236" s="112"/>
      <c r="S236" s="95" t="s">
        <v>11</v>
      </c>
      <c r="T236" s="74" t="s">
        <v>4</v>
      </c>
      <c r="U236" s="95" t="s">
        <v>14</v>
      </c>
      <c r="V236" s="95" t="s">
        <v>1912</v>
      </c>
      <c r="W236" s="95" t="s">
        <v>1919</v>
      </c>
      <c r="X236" s="95" t="s">
        <v>2827</v>
      </c>
      <c r="Y236" s="72" t="s">
        <v>2956</v>
      </c>
      <c r="Z236" s="72" t="s">
        <v>4</v>
      </c>
      <c r="AA236" s="95" t="s">
        <v>2827</v>
      </c>
      <c r="AB236" s="132"/>
      <c r="AC236" s="132"/>
      <c r="AD236" s="132"/>
      <c r="AE236" s="63"/>
      <c r="AF236" s="63"/>
      <c r="AG236" s="63"/>
    </row>
    <row r="237" spans="1:33" ht="17.2" customHeight="1">
      <c r="A237" s="64" t="str">
        <f>IF(priority(Main[[#This Row],[Comments]])&lt;&gt;0, priority(Main[[#This Row],[Comments]]),"")</f>
        <v/>
      </c>
      <c r="B237" s="60" t="s">
        <v>1105</v>
      </c>
      <c r="C237" s="72" t="s">
        <v>4</v>
      </c>
      <c r="D237" s="59" t="s">
        <v>128</v>
      </c>
      <c r="E237" s="85"/>
      <c r="F237" s="85"/>
      <c r="G237" s="64" t="str">
        <f>IF(stdProdLT(Main[[#This Row],[Comments]])=0.1,"N/A",IF(stdProdLT(Main[[#This Row],[Comments]])=0,"",TRIM(stdProdLT(Main[[#This Row],[Comments]]))))</f>
        <v/>
      </c>
      <c r="H237" s="94" t="str">
        <f>IF(OR(Main[[#This Row],[Std. Prod. Lead Time]]="N/A",Main[[#This Row],[Std. Prod. Lead Time]]=""), "",IF(AND(Main[[#This Row],[In Stock Date]]&lt;&gt;"",Main[[#This Row],[Revised Due Date]]&lt;&gt;"",Main[[#This Row],[In Stock Date]]&lt;&gt;""),Main[[#This Row],[In Stock Date]]-Main[[#This Row],[Revised Due Date]],""))</f>
        <v/>
      </c>
      <c r="I237" s="101" t="s">
        <v>129</v>
      </c>
      <c r="J237" s="95" t="s">
        <v>4</v>
      </c>
      <c r="K237" s="95" t="s">
        <v>4</v>
      </c>
      <c r="L237" s="85"/>
      <c r="M237" s="73" t="str">
        <f>IF(Main[[#This Row],[Tech Start Date]]&lt;1/1/1990,"",IF(Main[[#This Row],[Class]]="C",WORKDAY(Main[[#This Row],[Tech Start Date]],9),IF(Main[[#This Row],[Class]]="B", WORKDAY(Main[[#This Row],[Tech Start Date]],6),IF(Main[[#This Row],[Class]]="A",WORKDAY(Main[[#This Row],[Tech Start Date]],2),""))))</f>
        <v/>
      </c>
      <c r="N237" s="73" t="str">
        <f>IF(Main[[#This Row],[Tech Start Date]]&lt;1/1/1990,"",IF(Main[[#This Row],[Class]]="C",WORKDAY(Main[[#This Row],[Tech Start Date]],19),IF(Main[[#This Row],[Class]]="B", WORKDAY(Main[[#This Row],[Tech Start Date]],12),IF(Main[[#This Row],[Class]]="A",WORKDAY(Main[[#This Row],[Tech Start Date]],4),""))))</f>
        <v/>
      </c>
      <c r="O237" s="73" t="str">
        <f>IF(Main[[#This Row],[Tech Start Date]]&lt;1/1/1990,"",IF(Main[[#This Row],[Class]]="C",WORKDAY(Main[[#This Row],[Tech Start Date]],23),IF(Main[[#This Row],[Class]]="B", WORKDAY(Main[[#This Row],[Tech Start Date]],15),IF(Main[[#This Row],[Class]]="A",WORKDAY(Main[[#This Row],[Tech Start Date]],5),""))))</f>
        <v/>
      </c>
      <c r="P237" s="73" t="str">
        <f>IF(Main[[#This Row],[Tech Start Date]]&lt;1/1/1990,"",IF(Main[[#This Row],[Class]]="C",WORKDAY(Main[[#This Row],[Tech Start Date]],28),IF(Main[[#This Row],[Class]]="B", WORKDAY(Main[[#This Row],[Tech Start Date]],19),IF(Main[[#This Row],[Class]]="A",WORKDAY(Main[[#This Row],[Tech Start Date]],9),""))))</f>
        <v/>
      </c>
      <c r="Q237" s="85"/>
      <c r="R237" s="112"/>
      <c r="S237" s="95" t="s">
        <v>17</v>
      </c>
      <c r="T237" s="74" t="s">
        <v>4</v>
      </c>
      <c r="U237" s="95" t="s">
        <v>14</v>
      </c>
      <c r="V237" s="95" t="s">
        <v>1911</v>
      </c>
      <c r="W237" s="95" t="s">
        <v>1915</v>
      </c>
      <c r="X237" s="95" t="s">
        <v>922</v>
      </c>
      <c r="Y237" s="72" t="s">
        <v>2970</v>
      </c>
      <c r="Z237" s="72" t="s">
        <v>4</v>
      </c>
      <c r="AA237" s="95" t="s">
        <v>129</v>
      </c>
      <c r="AB237" s="132"/>
      <c r="AC237" s="132"/>
      <c r="AD237" s="132"/>
      <c r="AE237" s="63"/>
      <c r="AF237" s="63"/>
      <c r="AG237" s="63"/>
    </row>
    <row r="238" spans="1:33" ht="17.2" customHeight="1">
      <c r="A238" s="64" t="str">
        <f>IF(priority(Main[[#This Row],[Comments]])&lt;&gt;0, priority(Main[[#This Row],[Comments]]),"")</f>
        <v/>
      </c>
      <c r="B238" s="60" t="s">
        <v>2662</v>
      </c>
      <c r="C238" s="72" t="s">
        <v>42</v>
      </c>
      <c r="D238" s="59" t="s">
        <v>2663</v>
      </c>
      <c r="E238" s="85">
        <v>40897.730937499997</v>
      </c>
      <c r="F238" s="85"/>
      <c r="G238" s="64" t="str">
        <f>IF(stdProdLT(Main[[#This Row],[Comments]])=0.1,"N/A",IF(stdProdLT(Main[[#This Row],[Comments]])=0,"",TRIM(stdProdLT(Main[[#This Row],[Comments]]))))</f>
        <v/>
      </c>
      <c r="H238" s="94" t="str">
        <f>IF(OR(Main[[#This Row],[Std. Prod. Lead Time]]="N/A",Main[[#This Row],[Std. Prod. Lead Time]]=""), "",IF(AND(Main[[#This Row],[In Stock Date]]&lt;&gt;"",Main[[#This Row],[Revised Due Date]]&lt;&gt;"",Main[[#This Row],[In Stock Date]]&lt;&gt;""),Main[[#This Row],[In Stock Date]]-Main[[#This Row],[Revised Due Date]],""))</f>
        <v/>
      </c>
      <c r="I238" s="101" t="s">
        <v>239</v>
      </c>
      <c r="J238" s="95" t="s">
        <v>21</v>
      </c>
      <c r="K238" s="95" t="s">
        <v>1920</v>
      </c>
      <c r="L238" s="85"/>
      <c r="M238" s="73" t="str">
        <f>IF(Main[[#This Row],[Tech Start Date]]&lt;1/1/1990,"",IF(Main[[#This Row],[Class]]="C",WORKDAY(Main[[#This Row],[Tech Start Date]],9),IF(Main[[#This Row],[Class]]="B", WORKDAY(Main[[#This Row],[Tech Start Date]],6),IF(Main[[#This Row],[Class]]="A",WORKDAY(Main[[#This Row],[Tech Start Date]],2),""))))</f>
        <v/>
      </c>
      <c r="N238" s="73" t="str">
        <f>IF(Main[[#This Row],[Tech Start Date]]&lt;1/1/1990,"",IF(Main[[#This Row],[Class]]="C",WORKDAY(Main[[#This Row],[Tech Start Date]],19),IF(Main[[#This Row],[Class]]="B", WORKDAY(Main[[#This Row],[Tech Start Date]],12),IF(Main[[#This Row],[Class]]="A",WORKDAY(Main[[#This Row],[Tech Start Date]],4),""))))</f>
        <v/>
      </c>
      <c r="O238" s="73" t="str">
        <f>IF(Main[[#This Row],[Tech Start Date]]&lt;1/1/1990,"",IF(Main[[#This Row],[Class]]="C",WORKDAY(Main[[#This Row],[Tech Start Date]],23),IF(Main[[#This Row],[Class]]="B", WORKDAY(Main[[#This Row],[Tech Start Date]],15),IF(Main[[#This Row],[Class]]="A",WORKDAY(Main[[#This Row],[Tech Start Date]],5),""))))</f>
        <v/>
      </c>
      <c r="P238" s="73" t="str">
        <f>IF(Main[[#This Row],[Tech Start Date]]&lt;1/1/1990,"",IF(Main[[#This Row],[Class]]="C",WORKDAY(Main[[#This Row],[Tech Start Date]],28),IF(Main[[#This Row],[Class]]="B", WORKDAY(Main[[#This Row],[Tech Start Date]],19),IF(Main[[#This Row],[Class]]="A",WORKDAY(Main[[#This Row],[Tech Start Date]],9),""))))</f>
        <v/>
      </c>
      <c r="Q238" s="85">
        <v>41244</v>
      </c>
      <c r="R238" s="112"/>
      <c r="S238" s="95" t="s">
        <v>6</v>
      </c>
      <c r="T238" s="74" t="s">
        <v>4</v>
      </c>
      <c r="U238" s="95" t="s">
        <v>29</v>
      </c>
      <c r="V238" s="95" t="s">
        <v>1921</v>
      </c>
      <c r="W238" s="95" t="s">
        <v>1913</v>
      </c>
      <c r="X238" s="95" t="s">
        <v>30</v>
      </c>
      <c r="Y238" s="72" t="s">
        <v>2918</v>
      </c>
      <c r="Z238" s="72" t="s">
        <v>530</v>
      </c>
      <c r="AA238" s="95" t="s">
        <v>30</v>
      </c>
      <c r="AB238" s="132"/>
      <c r="AC238" s="132"/>
      <c r="AD238" s="132"/>
      <c r="AE238" s="63"/>
      <c r="AF238" s="63"/>
      <c r="AG238" s="63"/>
    </row>
    <row r="239" spans="1:33" ht="17.2" customHeight="1">
      <c r="A239" s="64" t="str">
        <f>IF(priority(Main[[#This Row],[Comments]])&lt;&gt;0, priority(Main[[#This Row],[Comments]]),"")</f>
        <v/>
      </c>
      <c r="B239" s="60" t="s">
        <v>1082</v>
      </c>
      <c r="C239" s="72" t="s">
        <v>4</v>
      </c>
      <c r="D239" s="59" t="s">
        <v>132</v>
      </c>
      <c r="E239" s="85"/>
      <c r="F239" s="85">
        <v>40598</v>
      </c>
      <c r="G239" s="64" t="str">
        <f>IF(stdProdLT(Main[[#This Row],[Comments]])=0.1,"N/A",IF(stdProdLT(Main[[#This Row],[Comments]])=0,"",TRIM(stdProdLT(Main[[#This Row],[Comments]]))))</f>
        <v/>
      </c>
      <c r="H239" s="94" t="str">
        <f>IF(OR(Main[[#This Row],[Std. Prod. Lead Time]]="N/A",Main[[#This Row],[Std. Prod. Lead Time]]=""), "",IF(AND(Main[[#This Row],[In Stock Date]]&lt;&gt;"",Main[[#This Row],[Revised Due Date]]&lt;&gt;"",Main[[#This Row],[In Stock Date]]&lt;&gt;""),Main[[#This Row],[In Stock Date]]-Main[[#This Row],[Revised Due Date]],""))</f>
        <v/>
      </c>
      <c r="I239" s="101" t="s">
        <v>4</v>
      </c>
      <c r="J239" s="95" t="s">
        <v>4</v>
      </c>
      <c r="K239" s="96" t="s">
        <v>4</v>
      </c>
      <c r="L239" s="85"/>
      <c r="M239" s="73" t="str">
        <f>IF(Main[[#This Row],[Tech Start Date]]&lt;1/1/1990,"",IF(Main[[#This Row],[Class]]="C",WORKDAY(Main[[#This Row],[Tech Start Date]],9),IF(Main[[#This Row],[Class]]="B", WORKDAY(Main[[#This Row],[Tech Start Date]],6),IF(Main[[#This Row],[Class]]="A",WORKDAY(Main[[#This Row],[Tech Start Date]],2),""))))</f>
        <v/>
      </c>
      <c r="N239" s="73" t="str">
        <f>IF(Main[[#This Row],[Tech Start Date]]&lt;1/1/1990,"",IF(Main[[#This Row],[Class]]="C",WORKDAY(Main[[#This Row],[Tech Start Date]],19),IF(Main[[#This Row],[Class]]="B", WORKDAY(Main[[#This Row],[Tech Start Date]],12),IF(Main[[#This Row],[Class]]="A",WORKDAY(Main[[#This Row],[Tech Start Date]],4),""))))</f>
        <v/>
      </c>
      <c r="O239" s="73" t="str">
        <f>IF(Main[[#This Row],[Tech Start Date]]&lt;1/1/1990,"",IF(Main[[#This Row],[Class]]="C",WORKDAY(Main[[#This Row],[Tech Start Date]],23),IF(Main[[#This Row],[Class]]="B", WORKDAY(Main[[#This Row],[Tech Start Date]],15),IF(Main[[#This Row],[Class]]="A",WORKDAY(Main[[#This Row],[Tech Start Date]],5),""))))</f>
        <v/>
      </c>
      <c r="P239" s="73" t="str">
        <f>IF(Main[[#This Row],[Tech Start Date]]&lt;1/1/1990,"",IF(Main[[#This Row],[Class]]="C",WORKDAY(Main[[#This Row],[Tech Start Date]],28),IF(Main[[#This Row],[Class]]="B", WORKDAY(Main[[#This Row],[Tech Start Date]],19),IF(Main[[#This Row],[Class]]="A",WORKDAY(Main[[#This Row],[Tech Start Date]],9),""))))</f>
        <v/>
      </c>
      <c r="Q239" s="85">
        <v>40598</v>
      </c>
      <c r="R239" s="112"/>
      <c r="S239" s="95" t="s">
        <v>11</v>
      </c>
      <c r="T239" s="74" t="s">
        <v>4</v>
      </c>
      <c r="U239" s="95" t="s">
        <v>14</v>
      </c>
      <c r="V239" s="95" t="s">
        <v>1921</v>
      </c>
      <c r="W239" s="95" t="s">
        <v>1917</v>
      </c>
      <c r="X239" s="95" t="s">
        <v>2828</v>
      </c>
      <c r="Y239" s="72" t="s">
        <v>2957</v>
      </c>
      <c r="Z239" s="72" t="s">
        <v>4</v>
      </c>
      <c r="AA239" s="95" t="s">
        <v>2828</v>
      </c>
      <c r="AB239" s="132"/>
      <c r="AC239" s="132"/>
      <c r="AD239" s="132"/>
      <c r="AE239" s="63"/>
      <c r="AF239" s="63"/>
      <c r="AG239" s="63"/>
    </row>
    <row r="240" spans="1:33" ht="17.2" customHeight="1">
      <c r="A240" s="64" t="str">
        <f>IF(priority(Main[[#This Row],[Comments]])&lt;&gt;0, priority(Main[[#This Row],[Comments]]),"")</f>
        <v/>
      </c>
      <c r="B240" s="60" t="s">
        <v>1084</v>
      </c>
      <c r="C240" s="72" t="s">
        <v>4</v>
      </c>
      <c r="D240" s="59" t="s">
        <v>134</v>
      </c>
      <c r="E240" s="85">
        <v>40683.594340277778</v>
      </c>
      <c r="F240" s="85"/>
      <c r="G240" s="64" t="str">
        <f>IF(stdProdLT(Main[[#This Row],[Comments]])=0.1,"N/A",IF(stdProdLT(Main[[#This Row],[Comments]])=0,"",TRIM(stdProdLT(Main[[#This Row],[Comments]]))))</f>
        <v/>
      </c>
      <c r="H240" s="94" t="str">
        <f>IF(OR(Main[[#This Row],[Std. Prod. Lead Time]]="N/A",Main[[#This Row],[Std. Prod. Lead Time]]=""), "",IF(AND(Main[[#This Row],[In Stock Date]]&lt;&gt;"",Main[[#This Row],[Revised Due Date]]&lt;&gt;"",Main[[#This Row],[In Stock Date]]&lt;&gt;""),Main[[#This Row],[In Stock Date]]-Main[[#This Row],[Revised Due Date]],""))</f>
        <v/>
      </c>
      <c r="I240" s="101" t="s">
        <v>4</v>
      </c>
      <c r="J240" s="95" t="s">
        <v>4</v>
      </c>
      <c r="K240" s="95" t="s">
        <v>4</v>
      </c>
      <c r="L240" s="85"/>
      <c r="M240" s="73" t="str">
        <f>IF(Main[[#This Row],[Tech Start Date]]&lt;1/1/1990,"",IF(Main[[#This Row],[Class]]="C",WORKDAY(Main[[#This Row],[Tech Start Date]],9),IF(Main[[#This Row],[Class]]="B", WORKDAY(Main[[#This Row],[Tech Start Date]],6),IF(Main[[#This Row],[Class]]="A",WORKDAY(Main[[#This Row],[Tech Start Date]],2),""))))</f>
        <v/>
      </c>
      <c r="N240" s="73" t="str">
        <f>IF(Main[[#This Row],[Tech Start Date]]&lt;1/1/1990,"",IF(Main[[#This Row],[Class]]="C",WORKDAY(Main[[#This Row],[Tech Start Date]],19),IF(Main[[#This Row],[Class]]="B", WORKDAY(Main[[#This Row],[Tech Start Date]],12),IF(Main[[#This Row],[Class]]="A",WORKDAY(Main[[#This Row],[Tech Start Date]],4),""))))</f>
        <v/>
      </c>
      <c r="O240" s="73" t="str">
        <f>IF(Main[[#This Row],[Tech Start Date]]&lt;1/1/1990,"",IF(Main[[#This Row],[Class]]="C",WORKDAY(Main[[#This Row],[Tech Start Date]],23),IF(Main[[#This Row],[Class]]="B", WORKDAY(Main[[#This Row],[Tech Start Date]],15),IF(Main[[#This Row],[Class]]="A",WORKDAY(Main[[#This Row],[Tech Start Date]],5),""))))</f>
        <v/>
      </c>
      <c r="P240" s="73" t="str">
        <f>IF(Main[[#This Row],[Tech Start Date]]&lt;1/1/1990,"",IF(Main[[#This Row],[Class]]="C",WORKDAY(Main[[#This Row],[Tech Start Date]],28),IF(Main[[#This Row],[Class]]="B", WORKDAY(Main[[#This Row],[Tech Start Date]],19),IF(Main[[#This Row],[Class]]="A",WORKDAY(Main[[#This Row],[Tech Start Date]],9),""))))</f>
        <v/>
      </c>
      <c r="Q240" s="85">
        <v>40718</v>
      </c>
      <c r="R240" s="112"/>
      <c r="S240" s="95" t="s">
        <v>6</v>
      </c>
      <c r="T240" s="74" t="s">
        <v>4</v>
      </c>
      <c r="U240" s="95" t="s">
        <v>7</v>
      </c>
      <c r="V240" s="95" t="s">
        <v>1911</v>
      </c>
      <c r="W240" s="95" t="s">
        <v>1919</v>
      </c>
      <c r="X240" s="95" t="s">
        <v>2801</v>
      </c>
      <c r="Y240" s="72" t="s">
        <v>2914</v>
      </c>
      <c r="Z240" s="72" t="s">
        <v>4</v>
      </c>
      <c r="AA240" s="95" t="s">
        <v>2801</v>
      </c>
      <c r="AB240" s="132"/>
      <c r="AC240" s="132"/>
      <c r="AD240" s="132"/>
      <c r="AE240" s="63"/>
      <c r="AF240" s="63"/>
      <c r="AG240" s="63"/>
    </row>
    <row r="241" spans="1:33" ht="17.2" customHeight="1">
      <c r="A241" s="64" t="str">
        <f>IF(priority(Main[[#This Row],[Comments]])&lt;&gt;0, priority(Main[[#This Row],[Comments]]),"")</f>
        <v/>
      </c>
      <c r="B241" s="60" t="s">
        <v>1085</v>
      </c>
      <c r="C241" s="72" t="s">
        <v>4</v>
      </c>
      <c r="D241" s="59" t="s">
        <v>135</v>
      </c>
      <c r="E241" s="85">
        <v>40312.634143518517</v>
      </c>
      <c r="F241" s="85"/>
      <c r="G241" s="64" t="str">
        <f>IF(stdProdLT(Main[[#This Row],[Comments]])=0.1,"N/A",IF(stdProdLT(Main[[#This Row],[Comments]])=0,"",TRIM(stdProdLT(Main[[#This Row],[Comments]]))))</f>
        <v/>
      </c>
      <c r="H241" s="94" t="str">
        <f>IF(OR(Main[[#This Row],[Std. Prod. Lead Time]]="N/A",Main[[#This Row],[Std. Prod. Lead Time]]=""), "",IF(AND(Main[[#This Row],[In Stock Date]]&lt;&gt;"",Main[[#This Row],[Revised Due Date]]&lt;&gt;"",Main[[#This Row],[In Stock Date]]&lt;&gt;""),Main[[#This Row],[In Stock Date]]-Main[[#This Row],[Revised Due Date]],""))</f>
        <v/>
      </c>
      <c r="I241" s="101" t="s">
        <v>129</v>
      </c>
      <c r="J241" s="95" t="s">
        <v>4</v>
      </c>
      <c r="K241" s="96" t="s">
        <v>4</v>
      </c>
      <c r="L241" s="85"/>
      <c r="M241" s="73" t="str">
        <f>IF(Main[[#This Row],[Tech Start Date]]&lt;1/1/1990,"",IF(Main[[#This Row],[Class]]="C",WORKDAY(Main[[#This Row],[Tech Start Date]],9),IF(Main[[#This Row],[Class]]="B", WORKDAY(Main[[#This Row],[Tech Start Date]],6),IF(Main[[#This Row],[Class]]="A",WORKDAY(Main[[#This Row],[Tech Start Date]],2),""))))</f>
        <v/>
      </c>
      <c r="N241" s="73" t="str">
        <f>IF(Main[[#This Row],[Tech Start Date]]&lt;1/1/1990,"",IF(Main[[#This Row],[Class]]="C",WORKDAY(Main[[#This Row],[Tech Start Date]],19),IF(Main[[#This Row],[Class]]="B", WORKDAY(Main[[#This Row],[Tech Start Date]],12),IF(Main[[#This Row],[Class]]="A",WORKDAY(Main[[#This Row],[Tech Start Date]],4),""))))</f>
        <v/>
      </c>
      <c r="O241" s="73" t="str">
        <f>IF(Main[[#This Row],[Tech Start Date]]&lt;1/1/1990,"",IF(Main[[#This Row],[Class]]="C",WORKDAY(Main[[#This Row],[Tech Start Date]],23),IF(Main[[#This Row],[Class]]="B", WORKDAY(Main[[#This Row],[Tech Start Date]],15),IF(Main[[#This Row],[Class]]="A",WORKDAY(Main[[#This Row],[Tech Start Date]],5),""))))</f>
        <v/>
      </c>
      <c r="P241" s="73" t="str">
        <f>IF(Main[[#This Row],[Tech Start Date]]&lt;1/1/1990,"",IF(Main[[#This Row],[Class]]="C",WORKDAY(Main[[#This Row],[Tech Start Date]],28),IF(Main[[#This Row],[Class]]="B", WORKDAY(Main[[#This Row],[Tech Start Date]],19),IF(Main[[#This Row],[Class]]="A",WORKDAY(Main[[#This Row],[Tech Start Date]],9),""))))</f>
        <v/>
      </c>
      <c r="Q241" s="85">
        <v>40329</v>
      </c>
      <c r="R241" s="112"/>
      <c r="S241" s="95" t="s">
        <v>6</v>
      </c>
      <c r="T241" s="74" t="s">
        <v>4</v>
      </c>
      <c r="U241" s="95" t="s">
        <v>7</v>
      </c>
      <c r="V241" s="95" t="s">
        <v>1911</v>
      </c>
      <c r="W241" s="95" t="s">
        <v>1913</v>
      </c>
      <c r="X241" s="95" t="s">
        <v>417</v>
      </c>
      <c r="Y241" s="72" t="s">
        <v>2958</v>
      </c>
      <c r="Z241" s="72" t="s">
        <v>4</v>
      </c>
      <c r="AA241" s="95" t="s">
        <v>3339</v>
      </c>
      <c r="AB241" s="132"/>
      <c r="AC241" s="132"/>
      <c r="AD241" s="132"/>
      <c r="AE241" s="63"/>
      <c r="AF241" s="63"/>
      <c r="AG241" s="63"/>
    </row>
    <row r="242" spans="1:33" ht="17.2" customHeight="1">
      <c r="A242" s="64" t="str">
        <f>IF(priority(Main[[#This Row],[Comments]])&lt;&gt;0, priority(Main[[#This Row],[Comments]]),"")</f>
        <v/>
      </c>
      <c r="B242" s="60" t="s">
        <v>1086</v>
      </c>
      <c r="C242" s="72" t="s">
        <v>4</v>
      </c>
      <c r="D242" s="59" t="s">
        <v>97</v>
      </c>
      <c r="E242" s="85"/>
      <c r="F242" s="85"/>
      <c r="G242" s="64" t="str">
        <f>IF(stdProdLT(Main[[#This Row],[Comments]])=0.1,"N/A",IF(stdProdLT(Main[[#This Row],[Comments]])=0,"",TRIM(stdProdLT(Main[[#This Row],[Comments]]))))</f>
        <v/>
      </c>
      <c r="H242" s="94" t="str">
        <f>IF(OR(Main[[#This Row],[Std. Prod. Lead Time]]="N/A",Main[[#This Row],[Std. Prod. Lead Time]]=""), "",IF(AND(Main[[#This Row],[In Stock Date]]&lt;&gt;"",Main[[#This Row],[Revised Due Date]]&lt;&gt;"",Main[[#This Row],[In Stock Date]]&lt;&gt;""),Main[[#This Row],[In Stock Date]]-Main[[#This Row],[Revised Due Date]],""))</f>
        <v/>
      </c>
      <c r="I242" s="101" t="s">
        <v>4</v>
      </c>
      <c r="J242" s="95" t="s">
        <v>4</v>
      </c>
      <c r="K242" s="95" t="s">
        <v>4</v>
      </c>
      <c r="L242" s="85"/>
      <c r="M242" s="73" t="str">
        <f>IF(Main[[#This Row],[Tech Start Date]]&lt;1/1/1990,"",IF(Main[[#This Row],[Class]]="C",WORKDAY(Main[[#This Row],[Tech Start Date]],9),IF(Main[[#This Row],[Class]]="B", WORKDAY(Main[[#This Row],[Tech Start Date]],6),IF(Main[[#This Row],[Class]]="A",WORKDAY(Main[[#This Row],[Tech Start Date]],2),""))))</f>
        <v/>
      </c>
      <c r="N242" s="73" t="str">
        <f>IF(Main[[#This Row],[Tech Start Date]]&lt;1/1/1990,"",IF(Main[[#This Row],[Class]]="C",WORKDAY(Main[[#This Row],[Tech Start Date]],19),IF(Main[[#This Row],[Class]]="B", WORKDAY(Main[[#This Row],[Tech Start Date]],12),IF(Main[[#This Row],[Class]]="A",WORKDAY(Main[[#This Row],[Tech Start Date]],4),""))))</f>
        <v/>
      </c>
      <c r="O242" s="73" t="str">
        <f>IF(Main[[#This Row],[Tech Start Date]]&lt;1/1/1990,"",IF(Main[[#This Row],[Class]]="C",WORKDAY(Main[[#This Row],[Tech Start Date]],23),IF(Main[[#This Row],[Class]]="B", WORKDAY(Main[[#This Row],[Tech Start Date]],15),IF(Main[[#This Row],[Class]]="A",WORKDAY(Main[[#This Row],[Tech Start Date]],5),""))))</f>
        <v/>
      </c>
      <c r="P242" s="73" t="str">
        <f>IF(Main[[#This Row],[Tech Start Date]]&lt;1/1/1990,"",IF(Main[[#This Row],[Class]]="C",WORKDAY(Main[[#This Row],[Tech Start Date]],28),IF(Main[[#This Row],[Class]]="B", WORKDAY(Main[[#This Row],[Tech Start Date]],19),IF(Main[[#This Row],[Class]]="A",WORKDAY(Main[[#This Row],[Tech Start Date]],9),""))))</f>
        <v/>
      </c>
      <c r="Q242" s="85">
        <v>40858</v>
      </c>
      <c r="R242" s="112"/>
      <c r="S242" s="95" t="s">
        <v>17</v>
      </c>
      <c r="T242" s="74" t="s">
        <v>4</v>
      </c>
      <c r="U242" s="95" t="s">
        <v>14</v>
      </c>
      <c r="V242" s="95" t="s">
        <v>1911</v>
      </c>
      <c r="W242" s="95" t="s">
        <v>1916</v>
      </c>
      <c r="X242" s="95" t="s">
        <v>50</v>
      </c>
      <c r="Y242" s="72" t="s">
        <v>2937</v>
      </c>
      <c r="Z242" s="72" t="s">
        <v>4</v>
      </c>
      <c r="AA242" s="95" t="s">
        <v>2808</v>
      </c>
      <c r="AB242" s="132"/>
      <c r="AC242" s="132"/>
      <c r="AD242" s="132"/>
      <c r="AE242" s="63"/>
      <c r="AF242" s="63"/>
      <c r="AG242" s="63"/>
    </row>
    <row r="243" spans="1:33" ht="17.2" customHeight="1">
      <c r="A243" s="64" t="str">
        <f>IF(priority(Main[[#This Row],[Comments]])&lt;&gt;0, priority(Main[[#This Row],[Comments]]),"")</f>
        <v/>
      </c>
      <c r="B243" s="60" t="s">
        <v>1668</v>
      </c>
      <c r="C243" s="72" t="s">
        <v>4</v>
      </c>
      <c r="D243" s="59" t="s">
        <v>730</v>
      </c>
      <c r="E243" s="85"/>
      <c r="F243" s="85"/>
      <c r="G243" s="64" t="str">
        <f>IF(stdProdLT(Main[[#This Row],[Comments]])=0.1,"N/A",IF(stdProdLT(Main[[#This Row],[Comments]])=0,"",TRIM(stdProdLT(Main[[#This Row],[Comments]]))))</f>
        <v/>
      </c>
      <c r="H243" s="94" t="str">
        <f>IF(OR(Main[[#This Row],[Std. Prod. Lead Time]]="N/A",Main[[#This Row],[Std. Prod. Lead Time]]=""), "",IF(AND(Main[[#This Row],[In Stock Date]]&lt;&gt;"",Main[[#This Row],[Revised Due Date]]&lt;&gt;"",Main[[#This Row],[In Stock Date]]&lt;&gt;""),Main[[#This Row],[In Stock Date]]-Main[[#This Row],[Revised Due Date]],""))</f>
        <v/>
      </c>
      <c r="I243" s="101" t="s">
        <v>4</v>
      </c>
      <c r="J243" s="95" t="s">
        <v>4</v>
      </c>
      <c r="K243" s="96" t="s">
        <v>4</v>
      </c>
      <c r="L243" s="85"/>
      <c r="M243" s="73" t="str">
        <f>IF(Main[[#This Row],[Tech Start Date]]&lt;1/1/1990,"",IF(Main[[#This Row],[Class]]="C",WORKDAY(Main[[#This Row],[Tech Start Date]],9),IF(Main[[#This Row],[Class]]="B", WORKDAY(Main[[#This Row],[Tech Start Date]],6),IF(Main[[#This Row],[Class]]="A",WORKDAY(Main[[#This Row],[Tech Start Date]],2),""))))</f>
        <v/>
      </c>
      <c r="N243" s="73" t="str">
        <f>IF(Main[[#This Row],[Tech Start Date]]&lt;1/1/1990,"",IF(Main[[#This Row],[Class]]="C",WORKDAY(Main[[#This Row],[Tech Start Date]],19),IF(Main[[#This Row],[Class]]="B", WORKDAY(Main[[#This Row],[Tech Start Date]],12),IF(Main[[#This Row],[Class]]="A",WORKDAY(Main[[#This Row],[Tech Start Date]],4),""))))</f>
        <v/>
      </c>
      <c r="O243" s="73" t="str">
        <f>IF(Main[[#This Row],[Tech Start Date]]&lt;1/1/1990,"",IF(Main[[#This Row],[Class]]="C",WORKDAY(Main[[#This Row],[Tech Start Date]],23),IF(Main[[#This Row],[Class]]="B", WORKDAY(Main[[#This Row],[Tech Start Date]],15),IF(Main[[#This Row],[Class]]="A",WORKDAY(Main[[#This Row],[Tech Start Date]],5),""))))</f>
        <v/>
      </c>
      <c r="P243" s="73" t="str">
        <f>IF(Main[[#This Row],[Tech Start Date]]&lt;1/1/1990,"",IF(Main[[#This Row],[Class]]="C",WORKDAY(Main[[#This Row],[Tech Start Date]],28),IF(Main[[#This Row],[Class]]="B", WORKDAY(Main[[#This Row],[Tech Start Date]],19),IF(Main[[#This Row],[Class]]="A",WORKDAY(Main[[#This Row],[Tech Start Date]],9),""))))</f>
        <v/>
      </c>
      <c r="Q243" s="85"/>
      <c r="R243" s="112"/>
      <c r="S243" s="95" t="s">
        <v>23</v>
      </c>
      <c r="T243" s="74" t="s">
        <v>4</v>
      </c>
      <c r="U243" s="95" t="s">
        <v>14</v>
      </c>
      <c r="V243" s="95" t="s">
        <v>1911</v>
      </c>
      <c r="W243" s="95" t="s">
        <v>1915</v>
      </c>
      <c r="X243" s="95" t="s">
        <v>399</v>
      </c>
      <c r="Y243" s="72" t="s">
        <v>4</v>
      </c>
      <c r="Z243" s="72" t="s">
        <v>4</v>
      </c>
      <c r="AA243" s="95" t="s">
        <v>3351</v>
      </c>
      <c r="AB243" s="132"/>
      <c r="AC243" s="132"/>
      <c r="AD243" s="132"/>
      <c r="AE243" s="63"/>
      <c r="AF243" s="63"/>
      <c r="AG243" s="63"/>
    </row>
    <row r="244" spans="1:33" ht="17.2" customHeight="1">
      <c r="A244" s="64" t="str">
        <f>IF(priority(Main[[#This Row],[Comments]])&lt;&gt;0, priority(Main[[#This Row],[Comments]]),"")</f>
        <v/>
      </c>
      <c r="B244" s="60" t="s">
        <v>1087</v>
      </c>
      <c r="C244" s="72" t="s">
        <v>113</v>
      </c>
      <c r="D244" s="59" t="s">
        <v>136</v>
      </c>
      <c r="E244" s="85"/>
      <c r="F244" s="85"/>
      <c r="G244" s="64" t="str">
        <f>IF(stdProdLT(Main[[#This Row],[Comments]])=0.1,"N/A",IF(stdProdLT(Main[[#This Row],[Comments]])=0,"",TRIM(stdProdLT(Main[[#This Row],[Comments]]))))</f>
        <v/>
      </c>
      <c r="H244" s="94" t="str">
        <f>IF(OR(Main[[#This Row],[Std. Prod. Lead Time]]="N/A",Main[[#This Row],[Std. Prod. Lead Time]]=""), "",IF(AND(Main[[#This Row],[In Stock Date]]&lt;&gt;"",Main[[#This Row],[Revised Due Date]]&lt;&gt;"",Main[[#This Row],[In Stock Date]]&lt;&gt;""),Main[[#This Row],[In Stock Date]]-Main[[#This Row],[Revised Due Date]],""))</f>
        <v/>
      </c>
      <c r="I244" s="101" t="s">
        <v>4</v>
      </c>
      <c r="J244" s="95" t="s">
        <v>4</v>
      </c>
      <c r="K244" s="95" t="s">
        <v>4</v>
      </c>
      <c r="L244" s="85"/>
      <c r="M244" s="73" t="str">
        <f>IF(Main[[#This Row],[Tech Start Date]]&lt;1/1/1990,"",IF(Main[[#This Row],[Class]]="C",WORKDAY(Main[[#This Row],[Tech Start Date]],9),IF(Main[[#This Row],[Class]]="B", WORKDAY(Main[[#This Row],[Tech Start Date]],6),IF(Main[[#This Row],[Class]]="A",WORKDAY(Main[[#This Row],[Tech Start Date]],2),""))))</f>
        <v/>
      </c>
      <c r="N244" s="73" t="str">
        <f>IF(Main[[#This Row],[Tech Start Date]]&lt;1/1/1990,"",IF(Main[[#This Row],[Class]]="C",WORKDAY(Main[[#This Row],[Tech Start Date]],19),IF(Main[[#This Row],[Class]]="B", WORKDAY(Main[[#This Row],[Tech Start Date]],12),IF(Main[[#This Row],[Class]]="A",WORKDAY(Main[[#This Row],[Tech Start Date]],4),""))))</f>
        <v/>
      </c>
      <c r="O244" s="73" t="str">
        <f>IF(Main[[#This Row],[Tech Start Date]]&lt;1/1/1990,"",IF(Main[[#This Row],[Class]]="C",WORKDAY(Main[[#This Row],[Tech Start Date]],23),IF(Main[[#This Row],[Class]]="B", WORKDAY(Main[[#This Row],[Tech Start Date]],15),IF(Main[[#This Row],[Class]]="A",WORKDAY(Main[[#This Row],[Tech Start Date]],5),""))))</f>
        <v/>
      </c>
      <c r="P244" s="73" t="str">
        <f>IF(Main[[#This Row],[Tech Start Date]]&lt;1/1/1990,"",IF(Main[[#This Row],[Class]]="C",WORKDAY(Main[[#This Row],[Tech Start Date]],28),IF(Main[[#This Row],[Class]]="B", WORKDAY(Main[[#This Row],[Tech Start Date]],19),IF(Main[[#This Row],[Class]]="A",WORKDAY(Main[[#This Row],[Tech Start Date]],9),""))))</f>
        <v/>
      </c>
      <c r="Q244" s="85">
        <v>40641</v>
      </c>
      <c r="R244" s="112"/>
      <c r="S244" s="95" t="s">
        <v>11</v>
      </c>
      <c r="T244" s="74" t="s">
        <v>4</v>
      </c>
      <c r="U244" s="95" t="s">
        <v>14</v>
      </c>
      <c r="V244" s="95" t="s">
        <v>1911</v>
      </c>
      <c r="W244" s="95" t="s">
        <v>1919</v>
      </c>
      <c r="X244" s="95" t="s">
        <v>2819</v>
      </c>
      <c r="Y244" s="72" t="s">
        <v>2959</v>
      </c>
      <c r="Z244" s="72" t="s">
        <v>4</v>
      </c>
      <c r="AA244" s="95" t="s">
        <v>2819</v>
      </c>
      <c r="AB244" s="132"/>
      <c r="AC244" s="132"/>
      <c r="AD244" s="132"/>
      <c r="AE244" s="63"/>
      <c r="AF244" s="63"/>
      <c r="AG244" s="63"/>
    </row>
    <row r="245" spans="1:33" ht="17.2" customHeight="1">
      <c r="A245" s="64" t="str">
        <f>IF(priority(Main[[#This Row],[Comments]])&lt;&gt;0, priority(Main[[#This Row],[Comments]]),"")</f>
        <v/>
      </c>
      <c r="B245" s="60" t="s">
        <v>1088</v>
      </c>
      <c r="C245" s="72" t="s">
        <v>137</v>
      </c>
      <c r="D245" s="59" t="s">
        <v>138</v>
      </c>
      <c r="E245" s="85"/>
      <c r="F245" s="85"/>
      <c r="G245" s="64" t="str">
        <f>IF(stdProdLT(Main[[#This Row],[Comments]])=0.1,"N/A",IF(stdProdLT(Main[[#This Row],[Comments]])=0,"",TRIM(stdProdLT(Main[[#This Row],[Comments]]))))</f>
        <v/>
      </c>
      <c r="H245" s="94" t="str">
        <f>IF(OR(Main[[#This Row],[Std. Prod. Lead Time]]="N/A",Main[[#This Row],[Std. Prod. Lead Time]]=""), "",IF(AND(Main[[#This Row],[In Stock Date]]&lt;&gt;"",Main[[#This Row],[Revised Due Date]]&lt;&gt;"",Main[[#This Row],[In Stock Date]]&lt;&gt;""),Main[[#This Row],[In Stock Date]]-Main[[#This Row],[Revised Due Date]],""))</f>
        <v/>
      </c>
      <c r="I245" s="101" t="s">
        <v>4</v>
      </c>
      <c r="J245" s="95" t="s">
        <v>4</v>
      </c>
      <c r="K245" s="95" t="s">
        <v>4</v>
      </c>
      <c r="L245" s="85"/>
      <c r="M245" s="73" t="str">
        <f>IF(Main[[#This Row],[Tech Start Date]]&lt;1/1/1990,"",IF(Main[[#This Row],[Class]]="C",WORKDAY(Main[[#This Row],[Tech Start Date]],9),IF(Main[[#This Row],[Class]]="B", WORKDAY(Main[[#This Row],[Tech Start Date]],6),IF(Main[[#This Row],[Class]]="A",WORKDAY(Main[[#This Row],[Tech Start Date]],2),""))))</f>
        <v/>
      </c>
      <c r="N245" s="73" t="str">
        <f>IF(Main[[#This Row],[Tech Start Date]]&lt;1/1/1990,"",IF(Main[[#This Row],[Class]]="C",WORKDAY(Main[[#This Row],[Tech Start Date]],19),IF(Main[[#This Row],[Class]]="B", WORKDAY(Main[[#This Row],[Tech Start Date]],12),IF(Main[[#This Row],[Class]]="A",WORKDAY(Main[[#This Row],[Tech Start Date]],4),""))))</f>
        <v/>
      </c>
      <c r="O245" s="73" t="str">
        <f>IF(Main[[#This Row],[Tech Start Date]]&lt;1/1/1990,"",IF(Main[[#This Row],[Class]]="C",WORKDAY(Main[[#This Row],[Tech Start Date]],23),IF(Main[[#This Row],[Class]]="B", WORKDAY(Main[[#This Row],[Tech Start Date]],15),IF(Main[[#This Row],[Class]]="A",WORKDAY(Main[[#This Row],[Tech Start Date]],5),""))))</f>
        <v/>
      </c>
      <c r="P245" s="73" t="str">
        <f>IF(Main[[#This Row],[Tech Start Date]]&lt;1/1/1990,"",IF(Main[[#This Row],[Class]]="C",WORKDAY(Main[[#This Row],[Tech Start Date]],28),IF(Main[[#This Row],[Class]]="B", WORKDAY(Main[[#This Row],[Tech Start Date]],19),IF(Main[[#This Row],[Class]]="A",WORKDAY(Main[[#This Row],[Tech Start Date]],9),""))))</f>
        <v/>
      </c>
      <c r="Q245" s="85">
        <v>40641</v>
      </c>
      <c r="R245" s="112"/>
      <c r="S245" s="95" t="s">
        <v>11</v>
      </c>
      <c r="T245" s="74" t="s">
        <v>4</v>
      </c>
      <c r="U245" s="95" t="s">
        <v>14</v>
      </c>
      <c r="V245" s="95" t="s">
        <v>1911</v>
      </c>
      <c r="W245" s="95" t="s">
        <v>1919</v>
      </c>
      <c r="X245" s="95" t="s">
        <v>2819</v>
      </c>
      <c r="Y245" s="72" t="s">
        <v>2948</v>
      </c>
      <c r="Z245" s="72" t="s">
        <v>4</v>
      </c>
      <c r="AA245" s="95" t="s">
        <v>2819</v>
      </c>
      <c r="AB245" s="132"/>
      <c r="AC245" s="132"/>
      <c r="AD245" s="132"/>
      <c r="AE245" s="63"/>
      <c r="AF245" s="63"/>
      <c r="AG245" s="63"/>
    </row>
    <row r="246" spans="1:33" ht="17.2" customHeight="1">
      <c r="A246" s="64" t="str">
        <f>IF(priority(Main[[#This Row],[Comments]])&lt;&gt;0, priority(Main[[#This Row],[Comments]]),"")</f>
        <v/>
      </c>
      <c r="B246" s="60" t="s">
        <v>1090</v>
      </c>
      <c r="C246" s="72" t="s">
        <v>33</v>
      </c>
      <c r="D246" s="59" t="s">
        <v>139</v>
      </c>
      <c r="E246" s="85"/>
      <c r="F246" s="85"/>
      <c r="G246" s="64" t="str">
        <f>IF(stdProdLT(Main[[#This Row],[Comments]])=0.1,"N/A",IF(stdProdLT(Main[[#This Row],[Comments]])=0,"",TRIM(stdProdLT(Main[[#This Row],[Comments]]))))</f>
        <v/>
      </c>
      <c r="H246" s="94" t="str">
        <f>IF(OR(Main[[#This Row],[Std. Prod. Lead Time]]="N/A",Main[[#This Row],[Std. Prod. Lead Time]]=""), "",IF(AND(Main[[#This Row],[In Stock Date]]&lt;&gt;"",Main[[#This Row],[Revised Due Date]]&lt;&gt;"",Main[[#This Row],[In Stock Date]]&lt;&gt;""),Main[[#This Row],[In Stock Date]]-Main[[#This Row],[Revised Due Date]],""))</f>
        <v/>
      </c>
      <c r="I246" s="101" t="s">
        <v>4</v>
      </c>
      <c r="J246" s="95" t="s">
        <v>4</v>
      </c>
      <c r="K246" s="95" t="s">
        <v>4</v>
      </c>
      <c r="L246" s="85"/>
      <c r="M246" s="73" t="str">
        <f>IF(Main[[#This Row],[Tech Start Date]]&lt;1/1/1990,"",IF(Main[[#This Row],[Class]]="C",WORKDAY(Main[[#This Row],[Tech Start Date]],9),IF(Main[[#This Row],[Class]]="B", WORKDAY(Main[[#This Row],[Tech Start Date]],6),IF(Main[[#This Row],[Class]]="A",WORKDAY(Main[[#This Row],[Tech Start Date]],2),""))))</f>
        <v/>
      </c>
      <c r="N246" s="73" t="str">
        <f>IF(Main[[#This Row],[Tech Start Date]]&lt;1/1/1990,"",IF(Main[[#This Row],[Class]]="C",WORKDAY(Main[[#This Row],[Tech Start Date]],19),IF(Main[[#This Row],[Class]]="B", WORKDAY(Main[[#This Row],[Tech Start Date]],12),IF(Main[[#This Row],[Class]]="A",WORKDAY(Main[[#This Row],[Tech Start Date]],4),""))))</f>
        <v/>
      </c>
      <c r="O246" s="73" t="str">
        <f>IF(Main[[#This Row],[Tech Start Date]]&lt;1/1/1990,"",IF(Main[[#This Row],[Class]]="C",WORKDAY(Main[[#This Row],[Tech Start Date]],23),IF(Main[[#This Row],[Class]]="B", WORKDAY(Main[[#This Row],[Tech Start Date]],15),IF(Main[[#This Row],[Class]]="A",WORKDAY(Main[[#This Row],[Tech Start Date]],5),""))))</f>
        <v/>
      </c>
      <c r="P246" s="73" t="str">
        <f>IF(Main[[#This Row],[Tech Start Date]]&lt;1/1/1990,"",IF(Main[[#This Row],[Class]]="C",WORKDAY(Main[[#This Row],[Tech Start Date]],28),IF(Main[[#This Row],[Class]]="B", WORKDAY(Main[[#This Row],[Tech Start Date]],19),IF(Main[[#This Row],[Class]]="A",WORKDAY(Main[[#This Row],[Tech Start Date]],9),""))))</f>
        <v/>
      </c>
      <c r="Q246" s="85"/>
      <c r="R246" s="112"/>
      <c r="S246" s="95" t="s">
        <v>11</v>
      </c>
      <c r="T246" s="74" t="s">
        <v>4</v>
      </c>
      <c r="U246" s="95" t="s">
        <v>14</v>
      </c>
      <c r="V246" s="95" t="s">
        <v>1912</v>
      </c>
      <c r="W246" s="95" t="s">
        <v>1919</v>
      </c>
      <c r="X246" s="95" t="s">
        <v>2807</v>
      </c>
      <c r="Y246" s="72" t="s">
        <v>2926</v>
      </c>
      <c r="Z246" s="72" t="s">
        <v>4</v>
      </c>
      <c r="AA246" s="95" t="s">
        <v>2807</v>
      </c>
      <c r="AB246" s="132"/>
      <c r="AC246" s="132"/>
      <c r="AD246" s="132"/>
      <c r="AE246" s="63"/>
      <c r="AF246" s="63"/>
      <c r="AG246" s="63"/>
    </row>
    <row r="247" spans="1:33" ht="17.2" customHeight="1">
      <c r="A247" s="64" t="str">
        <f>IF(priority(Main[[#This Row],[Comments]])&lt;&gt;0, priority(Main[[#This Row],[Comments]]),"")</f>
        <v/>
      </c>
      <c r="B247" s="60" t="s">
        <v>1091</v>
      </c>
      <c r="C247" s="72" t="s">
        <v>4</v>
      </c>
      <c r="D247" s="59" t="s">
        <v>140</v>
      </c>
      <c r="E247" s="85">
        <v>40436.663981481484</v>
      </c>
      <c r="F247" s="85"/>
      <c r="G247" s="64" t="str">
        <f>IF(stdProdLT(Main[[#This Row],[Comments]])=0.1,"N/A",IF(stdProdLT(Main[[#This Row],[Comments]])=0,"",TRIM(stdProdLT(Main[[#This Row],[Comments]]))))</f>
        <v/>
      </c>
      <c r="H247" s="94" t="str">
        <f>IF(OR(Main[[#This Row],[Std. Prod. Lead Time]]="N/A",Main[[#This Row],[Std. Prod. Lead Time]]=""), "",IF(AND(Main[[#This Row],[In Stock Date]]&lt;&gt;"",Main[[#This Row],[Revised Due Date]]&lt;&gt;"",Main[[#This Row],[In Stock Date]]&lt;&gt;""),Main[[#This Row],[In Stock Date]]-Main[[#This Row],[Revised Due Date]],""))</f>
        <v/>
      </c>
      <c r="I247" s="101" t="s">
        <v>4</v>
      </c>
      <c r="J247" s="95" t="s">
        <v>4</v>
      </c>
      <c r="K247" s="95" t="s">
        <v>4</v>
      </c>
      <c r="L247" s="85"/>
      <c r="M247" s="73" t="str">
        <f>IF(Main[[#This Row],[Tech Start Date]]&lt;1/1/1990,"",IF(Main[[#This Row],[Class]]="C",WORKDAY(Main[[#This Row],[Tech Start Date]],9),IF(Main[[#This Row],[Class]]="B", WORKDAY(Main[[#This Row],[Tech Start Date]],6),IF(Main[[#This Row],[Class]]="A",WORKDAY(Main[[#This Row],[Tech Start Date]],2),""))))</f>
        <v/>
      </c>
      <c r="N247" s="73" t="str">
        <f>IF(Main[[#This Row],[Tech Start Date]]&lt;1/1/1990,"",IF(Main[[#This Row],[Class]]="C",WORKDAY(Main[[#This Row],[Tech Start Date]],19),IF(Main[[#This Row],[Class]]="B", WORKDAY(Main[[#This Row],[Tech Start Date]],12),IF(Main[[#This Row],[Class]]="A",WORKDAY(Main[[#This Row],[Tech Start Date]],4),""))))</f>
        <v/>
      </c>
      <c r="O247" s="73" t="str">
        <f>IF(Main[[#This Row],[Tech Start Date]]&lt;1/1/1990,"",IF(Main[[#This Row],[Class]]="C",WORKDAY(Main[[#This Row],[Tech Start Date]],23),IF(Main[[#This Row],[Class]]="B", WORKDAY(Main[[#This Row],[Tech Start Date]],15),IF(Main[[#This Row],[Class]]="A",WORKDAY(Main[[#This Row],[Tech Start Date]],5),""))))</f>
        <v/>
      </c>
      <c r="P247" s="73" t="str">
        <f>IF(Main[[#This Row],[Tech Start Date]]&lt;1/1/1990,"",IF(Main[[#This Row],[Class]]="C",WORKDAY(Main[[#This Row],[Tech Start Date]],28),IF(Main[[#This Row],[Class]]="B", WORKDAY(Main[[#This Row],[Tech Start Date]],19),IF(Main[[#This Row],[Class]]="A",WORKDAY(Main[[#This Row],[Tech Start Date]],9),""))))</f>
        <v/>
      </c>
      <c r="Q247" s="85"/>
      <c r="R247" s="112"/>
      <c r="S247" s="95" t="s">
        <v>17</v>
      </c>
      <c r="T247" s="74" t="s">
        <v>141</v>
      </c>
      <c r="U247" s="95" t="s">
        <v>7</v>
      </c>
      <c r="V247" s="95" t="s">
        <v>1912</v>
      </c>
      <c r="W247" s="95" t="s">
        <v>1919</v>
      </c>
      <c r="X247" s="95" t="s">
        <v>922</v>
      </c>
      <c r="Y247" s="72" t="s">
        <v>2960</v>
      </c>
      <c r="Z247" s="72" t="s">
        <v>4</v>
      </c>
      <c r="AA247" s="95" t="s">
        <v>922</v>
      </c>
      <c r="AB247" s="132"/>
      <c r="AC247" s="132"/>
      <c r="AD247" s="132"/>
      <c r="AE247" s="63"/>
      <c r="AF247" s="63"/>
      <c r="AG247" s="63"/>
    </row>
    <row r="248" spans="1:33" ht="17.2" customHeight="1">
      <c r="A248" s="64" t="str">
        <f>IF(priority(Main[[#This Row],[Comments]])&lt;&gt;0, priority(Main[[#This Row],[Comments]]),"")</f>
        <v/>
      </c>
      <c r="B248" s="60" t="s">
        <v>1093</v>
      </c>
      <c r="C248" s="72" t="s">
        <v>31</v>
      </c>
      <c r="D248" s="59" t="s">
        <v>142</v>
      </c>
      <c r="E248" s="85"/>
      <c r="F248" s="85"/>
      <c r="G248" s="64" t="str">
        <f>IF(stdProdLT(Main[[#This Row],[Comments]])=0.1,"N/A",IF(stdProdLT(Main[[#This Row],[Comments]])=0,"",TRIM(stdProdLT(Main[[#This Row],[Comments]]))))</f>
        <v/>
      </c>
      <c r="H248" s="94" t="str">
        <f>IF(OR(Main[[#This Row],[Std. Prod. Lead Time]]="N/A",Main[[#This Row],[Std. Prod. Lead Time]]=""), "",IF(AND(Main[[#This Row],[In Stock Date]]&lt;&gt;"",Main[[#This Row],[Revised Due Date]]&lt;&gt;"",Main[[#This Row],[In Stock Date]]&lt;&gt;""),Main[[#This Row],[In Stock Date]]-Main[[#This Row],[Revised Due Date]],""))</f>
        <v/>
      </c>
      <c r="I248" s="101" t="s">
        <v>4</v>
      </c>
      <c r="J248" s="95" t="s">
        <v>4</v>
      </c>
      <c r="K248" s="95" t="s">
        <v>4</v>
      </c>
      <c r="L248" s="85"/>
      <c r="M248" s="73" t="str">
        <f>IF(Main[[#This Row],[Tech Start Date]]&lt;1/1/1990,"",IF(Main[[#This Row],[Class]]="C",WORKDAY(Main[[#This Row],[Tech Start Date]],9),IF(Main[[#This Row],[Class]]="B", WORKDAY(Main[[#This Row],[Tech Start Date]],6),IF(Main[[#This Row],[Class]]="A",WORKDAY(Main[[#This Row],[Tech Start Date]],2),""))))</f>
        <v/>
      </c>
      <c r="N248" s="73" t="str">
        <f>IF(Main[[#This Row],[Tech Start Date]]&lt;1/1/1990,"",IF(Main[[#This Row],[Class]]="C",WORKDAY(Main[[#This Row],[Tech Start Date]],19),IF(Main[[#This Row],[Class]]="B", WORKDAY(Main[[#This Row],[Tech Start Date]],12),IF(Main[[#This Row],[Class]]="A",WORKDAY(Main[[#This Row],[Tech Start Date]],4),""))))</f>
        <v/>
      </c>
      <c r="O248" s="73" t="str">
        <f>IF(Main[[#This Row],[Tech Start Date]]&lt;1/1/1990,"",IF(Main[[#This Row],[Class]]="C",WORKDAY(Main[[#This Row],[Tech Start Date]],23),IF(Main[[#This Row],[Class]]="B", WORKDAY(Main[[#This Row],[Tech Start Date]],15),IF(Main[[#This Row],[Class]]="A",WORKDAY(Main[[#This Row],[Tech Start Date]],5),""))))</f>
        <v/>
      </c>
      <c r="P248" s="73" t="str">
        <f>IF(Main[[#This Row],[Tech Start Date]]&lt;1/1/1990,"",IF(Main[[#This Row],[Class]]="C",WORKDAY(Main[[#This Row],[Tech Start Date]],28),IF(Main[[#This Row],[Class]]="B", WORKDAY(Main[[#This Row],[Tech Start Date]],19),IF(Main[[#This Row],[Class]]="A",WORKDAY(Main[[#This Row],[Tech Start Date]],9),""))))</f>
        <v/>
      </c>
      <c r="Q248" s="85">
        <v>40318</v>
      </c>
      <c r="R248" s="112"/>
      <c r="S248" s="95" t="s">
        <v>11</v>
      </c>
      <c r="T248" s="74" t="s">
        <v>4</v>
      </c>
      <c r="U248" s="95" t="s">
        <v>14</v>
      </c>
      <c r="V248" s="95" t="s">
        <v>1914</v>
      </c>
      <c r="W248" s="95" t="s">
        <v>1913</v>
      </c>
      <c r="X248" s="95" t="s">
        <v>2810</v>
      </c>
      <c r="Y248" s="72" t="s">
        <v>4</v>
      </c>
      <c r="Z248" s="72" t="s">
        <v>4</v>
      </c>
      <c r="AA248" s="95" t="s">
        <v>2810</v>
      </c>
      <c r="AB248" s="132"/>
      <c r="AC248" s="132"/>
      <c r="AD248" s="132"/>
      <c r="AE248" s="63"/>
      <c r="AF248" s="63"/>
      <c r="AG248" s="63"/>
    </row>
    <row r="249" spans="1:33" ht="17.2" customHeight="1">
      <c r="A249" s="64" t="str">
        <f>IF(priority(Main[[#This Row],[Comments]])&lt;&gt;0, priority(Main[[#This Row],[Comments]]),"")</f>
        <v/>
      </c>
      <c r="B249" s="60" t="s">
        <v>2329</v>
      </c>
      <c r="C249" s="72" t="s">
        <v>347</v>
      </c>
      <c r="D249" s="59" t="s">
        <v>2330</v>
      </c>
      <c r="E249" s="85"/>
      <c r="F249" s="85"/>
      <c r="G249" s="64" t="str">
        <f>IF(stdProdLT(Main[[#This Row],[Comments]])=0.1,"N/A",IF(stdProdLT(Main[[#This Row],[Comments]])=0,"",TRIM(stdProdLT(Main[[#This Row],[Comments]]))))</f>
        <v/>
      </c>
      <c r="H249" s="94" t="str">
        <f>IF(OR(Main[[#This Row],[Std. Prod. Lead Time]]="N/A",Main[[#This Row],[Std. Prod. Lead Time]]=""), "",IF(AND(Main[[#This Row],[In Stock Date]]&lt;&gt;"",Main[[#This Row],[Revised Due Date]]&lt;&gt;"",Main[[#This Row],[In Stock Date]]&lt;&gt;""),Main[[#This Row],[In Stock Date]]-Main[[#This Row],[Revised Due Date]],""))</f>
        <v/>
      </c>
      <c r="I249" s="101" t="s">
        <v>4</v>
      </c>
      <c r="J249" s="95" t="s">
        <v>4</v>
      </c>
      <c r="K249" s="95" t="s">
        <v>4</v>
      </c>
      <c r="L249" s="85"/>
      <c r="M249" s="73" t="str">
        <f>IF(Main[[#This Row],[Tech Start Date]]&lt;1/1/1990,"",IF(Main[[#This Row],[Class]]="C",WORKDAY(Main[[#This Row],[Tech Start Date]],9),IF(Main[[#This Row],[Class]]="B", WORKDAY(Main[[#This Row],[Tech Start Date]],6),IF(Main[[#This Row],[Class]]="A",WORKDAY(Main[[#This Row],[Tech Start Date]],2),""))))</f>
        <v/>
      </c>
      <c r="N249" s="73" t="str">
        <f>IF(Main[[#This Row],[Tech Start Date]]&lt;1/1/1990,"",IF(Main[[#This Row],[Class]]="C",WORKDAY(Main[[#This Row],[Tech Start Date]],19),IF(Main[[#This Row],[Class]]="B", WORKDAY(Main[[#This Row],[Tech Start Date]],12),IF(Main[[#This Row],[Class]]="A",WORKDAY(Main[[#This Row],[Tech Start Date]],4),""))))</f>
        <v/>
      </c>
      <c r="O249" s="73" t="str">
        <f>IF(Main[[#This Row],[Tech Start Date]]&lt;1/1/1990,"",IF(Main[[#This Row],[Class]]="C",WORKDAY(Main[[#This Row],[Tech Start Date]],23),IF(Main[[#This Row],[Class]]="B", WORKDAY(Main[[#This Row],[Tech Start Date]],15),IF(Main[[#This Row],[Class]]="A",WORKDAY(Main[[#This Row],[Tech Start Date]],5),""))))</f>
        <v/>
      </c>
      <c r="P249" s="73" t="str">
        <f>IF(Main[[#This Row],[Tech Start Date]]&lt;1/1/1990,"",IF(Main[[#This Row],[Class]]="C",WORKDAY(Main[[#This Row],[Tech Start Date]],28),IF(Main[[#This Row],[Class]]="B", WORKDAY(Main[[#This Row],[Tech Start Date]],19),IF(Main[[#This Row],[Class]]="A",WORKDAY(Main[[#This Row],[Tech Start Date]],9),""))))</f>
        <v/>
      </c>
      <c r="Q249" s="85">
        <v>40847</v>
      </c>
      <c r="R249" s="112"/>
      <c r="S249" s="95" t="s">
        <v>4</v>
      </c>
      <c r="T249" s="74" t="s">
        <v>4</v>
      </c>
      <c r="U249" s="95" t="s">
        <v>12</v>
      </c>
      <c r="V249" s="95" t="s">
        <v>1911</v>
      </c>
      <c r="W249" s="95" t="s">
        <v>4</v>
      </c>
      <c r="X249" s="95" t="s">
        <v>2829</v>
      </c>
      <c r="Y249" s="72" t="s">
        <v>2961</v>
      </c>
      <c r="Z249" s="72" t="s">
        <v>4</v>
      </c>
      <c r="AA249" s="95" t="s">
        <v>2829</v>
      </c>
      <c r="AB249" s="132"/>
      <c r="AC249" s="132"/>
      <c r="AD249" s="132"/>
      <c r="AE249" s="63"/>
      <c r="AF249" s="63"/>
      <c r="AG249" s="63"/>
    </row>
    <row r="250" spans="1:33" ht="17.2" customHeight="1">
      <c r="A250" s="64" t="str">
        <f>IF(priority(Main[[#This Row],[Comments]])&lt;&gt;0, priority(Main[[#This Row],[Comments]]),"")</f>
        <v/>
      </c>
      <c r="B250" s="60" t="s">
        <v>2061</v>
      </c>
      <c r="C250" s="72" t="s">
        <v>4</v>
      </c>
      <c r="D250" s="59" t="s">
        <v>2062</v>
      </c>
      <c r="E250" s="85"/>
      <c r="F250" s="85"/>
      <c r="G250" s="64" t="str">
        <f>IF(stdProdLT(Main[[#This Row],[Comments]])=0.1,"N/A",IF(stdProdLT(Main[[#This Row],[Comments]])=0,"",TRIM(stdProdLT(Main[[#This Row],[Comments]]))))</f>
        <v/>
      </c>
      <c r="H250" s="94" t="str">
        <f>IF(OR(Main[[#This Row],[Std. Prod. Lead Time]]="N/A",Main[[#This Row],[Std. Prod. Lead Time]]=""), "",IF(AND(Main[[#This Row],[In Stock Date]]&lt;&gt;"",Main[[#This Row],[Revised Due Date]]&lt;&gt;"",Main[[#This Row],[In Stock Date]]&lt;&gt;""),Main[[#This Row],[In Stock Date]]-Main[[#This Row],[Revised Due Date]],""))</f>
        <v/>
      </c>
      <c r="I250" s="101" t="s">
        <v>4</v>
      </c>
      <c r="J250" s="95" t="s">
        <v>4</v>
      </c>
      <c r="K250" s="95" t="s">
        <v>4</v>
      </c>
      <c r="L250" s="85"/>
      <c r="M250" s="73" t="str">
        <f>IF(Main[[#This Row],[Tech Start Date]]&lt;1/1/1990,"",IF(Main[[#This Row],[Class]]="C",WORKDAY(Main[[#This Row],[Tech Start Date]],9),IF(Main[[#This Row],[Class]]="B", WORKDAY(Main[[#This Row],[Tech Start Date]],6),IF(Main[[#This Row],[Class]]="A",WORKDAY(Main[[#This Row],[Tech Start Date]],2),""))))</f>
        <v/>
      </c>
      <c r="N250" s="73" t="str">
        <f>IF(Main[[#This Row],[Tech Start Date]]&lt;1/1/1990,"",IF(Main[[#This Row],[Class]]="C",WORKDAY(Main[[#This Row],[Tech Start Date]],19),IF(Main[[#This Row],[Class]]="B", WORKDAY(Main[[#This Row],[Tech Start Date]],12),IF(Main[[#This Row],[Class]]="A",WORKDAY(Main[[#This Row],[Tech Start Date]],4),""))))</f>
        <v/>
      </c>
      <c r="O250" s="73" t="str">
        <f>IF(Main[[#This Row],[Tech Start Date]]&lt;1/1/1990,"",IF(Main[[#This Row],[Class]]="C",WORKDAY(Main[[#This Row],[Tech Start Date]],23),IF(Main[[#This Row],[Class]]="B", WORKDAY(Main[[#This Row],[Tech Start Date]],15),IF(Main[[#This Row],[Class]]="A",WORKDAY(Main[[#This Row],[Tech Start Date]],5),""))))</f>
        <v/>
      </c>
      <c r="P250" s="73" t="str">
        <f>IF(Main[[#This Row],[Tech Start Date]]&lt;1/1/1990,"",IF(Main[[#This Row],[Class]]="C",WORKDAY(Main[[#This Row],[Tech Start Date]],28),IF(Main[[#This Row],[Class]]="B", WORKDAY(Main[[#This Row],[Tech Start Date]],19),IF(Main[[#This Row],[Class]]="A",WORKDAY(Main[[#This Row],[Tech Start Date]],9),""))))</f>
        <v/>
      </c>
      <c r="Q250" s="85"/>
      <c r="R250" s="112"/>
      <c r="S250" s="95" t="s">
        <v>6</v>
      </c>
      <c r="T250" s="74" t="s">
        <v>4</v>
      </c>
      <c r="U250" s="95" t="s">
        <v>14</v>
      </c>
      <c r="V250" s="95" t="s">
        <v>1921</v>
      </c>
      <c r="W250" s="95" t="s">
        <v>1915</v>
      </c>
      <c r="X250" s="95" t="s">
        <v>306</v>
      </c>
      <c r="Y250" s="72" t="s">
        <v>4</v>
      </c>
      <c r="Z250" s="72" t="s">
        <v>4</v>
      </c>
      <c r="AA250" s="95" t="s">
        <v>4</v>
      </c>
      <c r="AB250" s="132"/>
      <c r="AC250" s="132"/>
      <c r="AD250" s="132"/>
      <c r="AE250" s="63"/>
      <c r="AF250" s="63"/>
      <c r="AG250" s="63"/>
    </row>
    <row r="251" spans="1:33" ht="17.2" customHeight="1">
      <c r="A251" s="64" t="str">
        <f>IF(priority(Main[[#This Row],[Comments]])&lt;&gt;0, priority(Main[[#This Row],[Comments]]),"")</f>
        <v/>
      </c>
      <c r="B251" s="60" t="s">
        <v>2331</v>
      </c>
      <c r="C251" s="72" t="s">
        <v>4</v>
      </c>
      <c r="D251" s="59" t="s">
        <v>2332</v>
      </c>
      <c r="E251" s="85">
        <v>40841.293483796297</v>
      </c>
      <c r="F251" s="85"/>
      <c r="G251" s="64" t="str">
        <f>IF(stdProdLT(Main[[#This Row],[Comments]])=0.1,"N/A",IF(stdProdLT(Main[[#This Row],[Comments]])=0,"",TRIM(stdProdLT(Main[[#This Row],[Comments]]))))</f>
        <v/>
      </c>
      <c r="H251" s="94" t="str">
        <f>IF(OR(Main[[#This Row],[Std. Prod. Lead Time]]="N/A",Main[[#This Row],[Std. Prod. Lead Time]]=""), "",IF(AND(Main[[#This Row],[In Stock Date]]&lt;&gt;"",Main[[#This Row],[Revised Due Date]]&lt;&gt;"",Main[[#This Row],[In Stock Date]]&lt;&gt;""),Main[[#This Row],[In Stock Date]]-Main[[#This Row],[Revised Due Date]],""))</f>
        <v/>
      </c>
      <c r="I251" s="101" t="s">
        <v>912</v>
      </c>
      <c r="J251" s="95" t="s">
        <v>52</v>
      </c>
      <c r="K251" s="96" t="s">
        <v>4</v>
      </c>
      <c r="L251" s="85"/>
      <c r="M251" s="73" t="str">
        <f>IF(Main[[#This Row],[Tech Start Date]]&lt;1/1/1990,"",IF(Main[[#This Row],[Class]]="C",WORKDAY(Main[[#This Row],[Tech Start Date]],9),IF(Main[[#This Row],[Class]]="B", WORKDAY(Main[[#This Row],[Tech Start Date]],6),IF(Main[[#This Row],[Class]]="A",WORKDAY(Main[[#This Row],[Tech Start Date]],2),""))))</f>
        <v/>
      </c>
      <c r="N251" s="73" t="str">
        <f>IF(Main[[#This Row],[Tech Start Date]]&lt;1/1/1990,"",IF(Main[[#This Row],[Class]]="C",WORKDAY(Main[[#This Row],[Tech Start Date]],19),IF(Main[[#This Row],[Class]]="B", WORKDAY(Main[[#This Row],[Tech Start Date]],12),IF(Main[[#This Row],[Class]]="A",WORKDAY(Main[[#This Row],[Tech Start Date]],4),""))))</f>
        <v/>
      </c>
      <c r="O251" s="73" t="str">
        <f>IF(Main[[#This Row],[Tech Start Date]]&lt;1/1/1990,"",IF(Main[[#This Row],[Class]]="C",WORKDAY(Main[[#This Row],[Tech Start Date]],23),IF(Main[[#This Row],[Class]]="B", WORKDAY(Main[[#This Row],[Tech Start Date]],15),IF(Main[[#This Row],[Class]]="A",WORKDAY(Main[[#This Row],[Tech Start Date]],5),""))))</f>
        <v/>
      </c>
      <c r="P251" s="73" t="str">
        <f>IF(Main[[#This Row],[Tech Start Date]]&lt;1/1/1990,"",IF(Main[[#This Row],[Class]]="C",WORKDAY(Main[[#This Row],[Tech Start Date]],28),IF(Main[[#This Row],[Class]]="B", WORKDAY(Main[[#This Row],[Tech Start Date]],19),IF(Main[[#This Row],[Class]]="A",WORKDAY(Main[[#This Row],[Tech Start Date]],9),""))))</f>
        <v/>
      </c>
      <c r="Q251" s="85"/>
      <c r="R251" s="112"/>
      <c r="S251" s="95" t="s">
        <v>6</v>
      </c>
      <c r="T251" s="74" t="s">
        <v>4</v>
      </c>
      <c r="U251" s="95" t="s">
        <v>29</v>
      </c>
      <c r="V251" s="95" t="s">
        <v>1911</v>
      </c>
      <c r="W251" s="95" t="s">
        <v>1915</v>
      </c>
      <c r="X251" s="95" t="s">
        <v>937</v>
      </c>
      <c r="Y251" s="72" t="s">
        <v>2962</v>
      </c>
      <c r="Z251" s="72" t="s">
        <v>4</v>
      </c>
      <c r="AA251" s="95" t="s">
        <v>937</v>
      </c>
      <c r="AB251" s="132"/>
      <c r="AC251" s="132"/>
      <c r="AD251" s="132"/>
      <c r="AE251" s="63"/>
      <c r="AF251" s="63"/>
      <c r="AG251" s="63"/>
    </row>
    <row r="252" spans="1:33" ht="17.2" customHeight="1">
      <c r="A252" s="64" t="str">
        <f>IF(priority(Main[[#This Row],[Comments]])&lt;&gt;0, priority(Main[[#This Row],[Comments]]),"")</f>
        <v/>
      </c>
      <c r="B252" s="60" t="s">
        <v>1094</v>
      </c>
      <c r="C252" s="72" t="s">
        <v>33</v>
      </c>
      <c r="D252" s="59" t="s">
        <v>143</v>
      </c>
      <c r="E252" s="85"/>
      <c r="F252" s="85">
        <v>40422</v>
      </c>
      <c r="G252" s="64" t="str">
        <f>IF(stdProdLT(Main[[#This Row],[Comments]])=0.1,"N/A",IF(stdProdLT(Main[[#This Row],[Comments]])=0,"",TRIM(stdProdLT(Main[[#This Row],[Comments]]))))</f>
        <v/>
      </c>
      <c r="H252" s="94" t="str">
        <f>IF(OR(Main[[#This Row],[Std. Prod. Lead Time]]="N/A",Main[[#This Row],[Std. Prod. Lead Time]]=""), "",IF(AND(Main[[#This Row],[In Stock Date]]&lt;&gt;"",Main[[#This Row],[Revised Due Date]]&lt;&gt;"",Main[[#This Row],[In Stock Date]]&lt;&gt;""),Main[[#This Row],[In Stock Date]]-Main[[#This Row],[Revised Due Date]],""))</f>
        <v/>
      </c>
      <c r="I252" s="101" t="s">
        <v>4</v>
      </c>
      <c r="J252" s="95" t="s">
        <v>4</v>
      </c>
      <c r="K252" s="95" t="s">
        <v>4</v>
      </c>
      <c r="L252" s="85"/>
      <c r="M252" s="73" t="str">
        <f>IF(Main[[#This Row],[Tech Start Date]]&lt;1/1/1990,"",IF(Main[[#This Row],[Class]]="C",WORKDAY(Main[[#This Row],[Tech Start Date]],9),IF(Main[[#This Row],[Class]]="B", WORKDAY(Main[[#This Row],[Tech Start Date]],6),IF(Main[[#This Row],[Class]]="A",WORKDAY(Main[[#This Row],[Tech Start Date]],2),""))))</f>
        <v/>
      </c>
      <c r="N252" s="73" t="str">
        <f>IF(Main[[#This Row],[Tech Start Date]]&lt;1/1/1990,"",IF(Main[[#This Row],[Class]]="C",WORKDAY(Main[[#This Row],[Tech Start Date]],19),IF(Main[[#This Row],[Class]]="B", WORKDAY(Main[[#This Row],[Tech Start Date]],12),IF(Main[[#This Row],[Class]]="A",WORKDAY(Main[[#This Row],[Tech Start Date]],4),""))))</f>
        <v/>
      </c>
      <c r="O252" s="73" t="str">
        <f>IF(Main[[#This Row],[Tech Start Date]]&lt;1/1/1990,"",IF(Main[[#This Row],[Class]]="C",WORKDAY(Main[[#This Row],[Tech Start Date]],23),IF(Main[[#This Row],[Class]]="B", WORKDAY(Main[[#This Row],[Tech Start Date]],15),IF(Main[[#This Row],[Class]]="A",WORKDAY(Main[[#This Row],[Tech Start Date]],5),""))))</f>
        <v/>
      </c>
      <c r="P252" s="73" t="str">
        <f>IF(Main[[#This Row],[Tech Start Date]]&lt;1/1/1990,"",IF(Main[[#This Row],[Class]]="C",WORKDAY(Main[[#This Row],[Tech Start Date]],28),IF(Main[[#This Row],[Class]]="B", WORKDAY(Main[[#This Row],[Tech Start Date]],19),IF(Main[[#This Row],[Class]]="A",WORKDAY(Main[[#This Row],[Tech Start Date]],9),""))))</f>
        <v/>
      </c>
      <c r="Q252" s="85">
        <v>40282</v>
      </c>
      <c r="R252" s="112"/>
      <c r="S252" s="95" t="s">
        <v>11</v>
      </c>
      <c r="T252" s="74" t="s">
        <v>4</v>
      </c>
      <c r="U252" s="95" t="s">
        <v>14</v>
      </c>
      <c r="V252" s="95" t="s">
        <v>1914</v>
      </c>
      <c r="W252" s="95" t="s">
        <v>1916</v>
      </c>
      <c r="X252" s="95" t="s">
        <v>2830</v>
      </c>
      <c r="Y252" s="72" t="s">
        <v>4</v>
      </c>
      <c r="Z252" s="72" t="s">
        <v>4</v>
      </c>
      <c r="AA252" s="95" t="s">
        <v>2830</v>
      </c>
      <c r="AB252" s="132"/>
      <c r="AC252" s="132"/>
      <c r="AD252" s="132"/>
      <c r="AE252" s="63"/>
      <c r="AF252" s="63"/>
      <c r="AG252" s="63"/>
    </row>
    <row r="253" spans="1:33" ht="17.2" customHeight="1">
      <c r="A253" s="64" t="str">
        <f>IF(priority(Main[[#This Row],[Comments]])&lt;&gt;0, priority(Main[[#This Row],[Comments]]),"")</f>
        <v/>
      </c>
      <c r="B253" s="60" t="s">
        <v>1095</v>
      </c>
      <c r="C253" s="72" t="s">
        <v>4</v>
      </c>
      <c r="D253" s="59" t="s">
        <v>144</v>
      </c>
      <c r="E253" s="85">
        <v>40395.405358796299</v>
      </c>
      <c r="F253" s="85">
        <v>40574</v>
      </c>
      <c r="G253" s="64" t="str">
        <f>IF(stdProdLT(Main[[#This Row],[Comments]])=0.1,"N/A",IF(stdProdLT(Main[[#This Row],[Comments]])=0,"",TRIM(stdProdLT(Main[[#This Row],[Comments]]))))</f>
        <v/>
      </c>
      <c r="H253" s="94" t="str">
        <f>IF(OR(Main[[#This Row],[Std. Prod. Lead Time]]="N/A",Main[[#This Row],[Std. Prod. Lead Time]]=""), "",IF(AND(Main[[#This Row],[In Stock Date]]&lt;&gt;"",Main[[#This Row],[Revised Due Date]]&lt;&gt;"",Main[[#This Row],[In Stock Date]]&lt;&gt;""),Main[[#This Row],[In Stock Date]]-Main[[#This Row],[Revised Due Date]],""))</f>
        <v/>
      </c>
      <c r="I253" s="101" t="s">
        <v>4</v>
      </c>
      <c r="J253" s="95" t="s">
        <v>28</v>
      </c>
      <c r="K253" s="95" t="s">
        <v>4</v>
      </c>
      <c r="L253" s="85"/>
      <c r="M253" s="73" t="str">
        <f>IF(Main[[#This Row],[Tech Start Date]]&lt;1/1/1990,"",IF(Main[[#This Row],[Class]]="C",WORKDAY(Main[[#This Row],[Tech Start Date]],9),IF(Main[[#This Row],[Class]]="B", WORKDAY(Main[[#This Row],[Tech Start Date]],6),IF(Main[[#This Row],[Class]]="A",WORKDAY(Main[[#This Row],[Tech Start Date]],2),""))))</f>
        <v/>
      </c>
      <c r="N253" s="73" t="str">
        <f>IF(Main[[#This Row],[Tech Start Date]]&lt;1/1/1990,"",IF(Main[[#This Row],[Class]]="C",WORKDAY(Main[[#This Row],[Tech Start Date]],19),IF(Main[[#This Row],[Class]]="B", WORKDAY(Main[[#This Row],[Tech Start Date]],12),IF(Main[[#This Row],[Class]]="A",WORKDAY(Main[[#This Row],[Tech Start Date]],4),""))))</f>
        <v/>
      </c>
      <c r="O253" s="73" t="str">
        <f>IF(Main[[#This Row],[Tech Start Date]]&lt;1/1/1990,"",IF(Main[[#This Row],[Class]]="C",WORKDAY(Main[[#This Row],[Tech Start Date]],23),IF(Main[[#This Row],[Class]]="B", WORKDAY(Main[[#This Row],[Tech Start Date]],15),IF(Main[[#This Row],[Class]]="A",WORKDAY(Main[[#This Row],[Tech Start Date]],5),""))))</f>
        <v/>
      </c>
      <c r="P253" s="73" t="str">
        <f>IF(Main[[#This Row],[Tech Start Date]]&lt;1/1/1990,"",IF(Main[[#This Row],[Class]]="C",WORKDAY(Main[[#This Row],[Tech Start Date]],28),IF(Main[[#This Row],[Class]]="B", WORKDAY(Main[[#This Row],[Tech Start Date]],19),IF(Main[[#This Row],[Class]]="A",WORKDAY(Main[[#This Row],[Tech Start Date]],9),""))))</f>
        <v/>
      </c>
      <c r="Q253" s="85"/>
      <c r="R253" s="112"/>
      <c r="S253" s="95" t="s">
        <v>17</v>
      </c>
      <c r="T253" s="74" t="s">
        <v>4</v>
      </c>
      <c r="U253" s="95" t="s">
        <v>7</v>
      </c>
      <c r="V253" s="95" t="s">
        <v>1912</v>
      </c>
      <c r="W253" s="95" t="s">
        <v>1916</v>
      </c>
      <c r="X253" s="95" t="s">
        <v>50</v>
      </c>
      <c r="Y253" s="72" t="s">
        <v>2963</v>
      </c>
      <c r="Z253" s="72" t="s">
        <v>2842</v>
      </c>
      <c r="AA253" s="95" t="s">
        <v>65</v>
      </c>
      <c r="AB253" s="132"/>
      <c r="AC253" s="132">
        <v>40492</v>
      </c>
      <c r="AD253" s="132"/>
      <c r="AE253" s="63"/>
      <c r="AF253" s="63"/>
      <c r="AG253" s="63"/>
    </row>
    <row r="254" spans="1:33" ht="17.2" customHeight="1">
      <c r="A254" s="64" t="str">
        <f>IF(priority(Main[[#This Row],[Comments]])&lt;&gt;0, priority(Main[[#This Row],[Comments]]),"")</f>
        <v/>
      </c>
      <c r="B254" s="60" t="s">
        <v>1083</v>
      </c>
      <c r="C254" s="72" t="s">
        <v>4</v>
      </c>
      <c r="D254" s="59" t="s">
        <v>133</v>
      </c>
      <c r="E254" s="85"/>
      <c r="F254" s="85"/>
      <c r="G254" s="64" t="str">
        <f>IF(stdProdLT(Main[[#This Row],[Comments]])=0.1,"N/A",IF(stdProdLT(Main[[#This Row],[Comments]])=0,"",TRIM(stdProdLT(Main[[#This Row],[Comments]]))))</f>
        <v/>
      </c>
      <c r="H254" s="94" t="str">
        <f>IF(OR(Main[[#This Row],[Std. Prod. Lead Time]]="N/A",Main[[#This Row],[Std. Prod. Lead Time]]=""), "",IF(AND(Main[[#This Row],[In Stock Date]]&lt;&gt;"",Main[[#This Row],[Revised Due Date]]&lt;&gt;"",Main[[#This Row],[In Stock Date]]&lt;&gt;""),Main[[#This Row],[In Stock Date]]-Main[[#This Row],[Revised Due Date]],""))</f>
        <v/>
      </c>
      <c r="I254" s="101" t="s">
        <v>69</v>
      </c>
      <c r="J254" s="95" t="s">
        <v>70</v>
      </c>
      <c r="K254" s="95" t="s">
        <v>1920</v>
      </c>
      <c r="L254" s="85"/>
      <c r="M254" s="73" t="str">
        <f>IF(Main[[#This Row],[Tech Start Date]]&lt;1/1/1990,"",IF(Main[[#This Row],[Class]]="C",WORKDAY(Main[[#This Row],[Tech Start Date]],9),IF(Main[[#This Row],[Class]]="B", WORKDAY(Main[[#This Row],[Tech Start Date]],6),IF(Main[[#This Row],[Class]]="A",WORKDAY(Main[[#This Row],[Tech Start Date]],2),""))))</f>
        <v/>
      </c>
      <c r="N254" s="73" t="str">
        <f>IF(Main[[#This Row],[Tech Start Date]]&lt;1/1/1990,"",IF(Main[[#This Row],[Class]]="C",WORKDAY(Main[[#This Row],[Tech Start Date]],19),IF(Main[[#This Row],[Class]]="B", WORKDAY(Main[[#This Row],[Tech Start Date]],12),IF(Main[[#This Row],[Class]]="A",WORKDAY(Main[[#This Row],[Tech Start Date]],4),""))))</f>
        <v/>
      </c>
      <c r="O254" s="73" t="str">
        <f>IF(Main[[#This Row],[Tech Start Date]]&lt;1/1/1990,"",IF(Main[[#This Row],[Class]]="C",WORKDAY(Main[[#This Row],[Tech Start Date]],23),IF(Main[[#This Row],[Class]]="B", WORKDAY(Main[[#This Row],[Tech Start Date]],15),IF(Main[[#This Row],[Class]]="A",WORKDAY(Main[[#This Row],[Tech Start Date]],5),""))))</f>
        <v/>
      </c>
      <c r="P254" s="73" t="str">
        <f>IF(Main[[#This Row],[Tech Start Date]]&lt;1/1/1990,"",IF(Main[[#This Row],[Class]]="C",WORKDAY(Main[[#This Row],[Tech Start Date]],28),IF(Main[[#This Row],[Class]]="B", WORKDAY(Main[[#This Row],[Tech Start Date]],19),IF(Main[[#This Row],[Class]]="A",WORKDAY(Main[[#This Row],[Tech Start Date]],9),""))))</f>
        <v/>
      </c>
      <c r="Q254" s="85">
        <v>40633</v>
      </c>
      <c r="R254" s="112"/>
      <c r="S254" s="95" t="s">
        <v>6</v>
      </c>
      <c r="T254" s="74" t="s">
        <v>4</v>
      </c>
      <c r="U254" s="95" t="s">
        <v>14</v>
      </c>
      <c r="V254" s="95" t="s">
        <v>1914</v>
      </c>
      <c r="W254" s="95" t="s">
        <v>1915</v>
      </c>
      <c r="X254" s="95" t="s">
        <v>2799</v>
      </c>
      <c r="Y254" s="72" t="s">
        <v>2910</v>
      </c>
      <c r="Z254" s="72" t="s">
        <v>44</v>
      </c>
      <c r="AA254" s="95" t="s">
        <v>2799</v>
      </c>
      <c r="AB254" s="132"/>
      <c r="AC254" s="132"/>
      <c r="AD254" s="132"/>
      <c r="AE254" s="63"/>
      <c r="AF254" s="63"/>
      <c r="AG254" s="63"/>
    </row>
    <row r="255" spans="1:33" ht="17.2" customHeight="1">
      <c r="A255" s="64" t="str">
        <f>IF(priority(Main[[#This Row],[Comments]])&lt;&gt;0, priority(Main[[#This Row],[Comments]]),"")</f>
        <v/>
      </c>
      <c r="B255" s="60" t="s">
        <v>1097</v>
      </c>
      <c r="C255" s="72" t="s">
        <v>47</v>
      </c>
      <c r="D255" s="59" t="s">
        <v>146</v>
      </c>
      <c r="E255" s="85"/>
      <c r="F255" s="85"/>
      <c r="G255" s="64" t="str">
        <f>IF(stdProdLT(Main[[#This Row],[Comments]])=0.1,"N/A",IF(stdProdLT(Main[[#This Row],[Comments]])=0,"",TRIM(stdProdLT(Main[[#This Row],[Comments]]))))</f>
        <v/>
      </c>
      <c r="H255" s="94" t="str">
        <f>IF(OR(Main[[#This Row],[Std. Prod. Lead Time]]="N/A",Main[[#This Row],[Std. Prod. Lead Time]]=""), "",IF(AND(Main[[#This Row],[In Stock Date]]&lt;&gt;"",Main[[#This Row],[Revised Due Date]]&lt;&gt;"",Main[[#This Row],[In Stock Date]]&lt;&gt;""),Main[[#This Row],[In Stock Date]]-Main[[#This Row],[Revised Due Date]],""))</f>
        <v/>
      </c>
      <c r="I255" s="101" t="s">
        <v>4</v>
      </c>
      <c r="J255" s="95" t="s">
        <v>4</v>
      </c>
      <c r="K255" s="95" t="s">
        <v>4</v>
      </c>
      <c r="L255" s="85"/>
      <c r="M255" s="73" t="str">
        <f>IF(Main[[#This Row],[Tech Start Date]]&lt;1/1/1990,"",IF(Main[[#This Row],[Class]]="C",WORKDAY(Main[[#This Row],[Tech Start Date]],9),IF(Main[[#This Row],[Class]]="B", WORKDAY(Main[[#This Row],[Tech Start Date]],6),IF(Main[[#This Row],[Class]]="A",WORKDAY(Main[[#This Row],[Tech Start Date]],2),""))))</f>
        <v/>
      </c>
      <c r="N255" s="73" t="str">
        <f>IF(Main[[#This Row],[Tech Start Date]]&lt;1/1/1990,"",IF(Main[[#This Row],[Class]]="C",WORKDAY(Main[[#This Row],[Tech Start Date]],19),IF(Main[[#This Row],[Class]]="B", WORKDAY(Main[[#This Row],[Tech Start Date]],12),IF(Main[[#This Row],[Class]]="A",WORKDAY(Main[[#This Row],[Tech Start Date]],4),""))))</f>
        <v/>
      </c>
      <c r="O255" s="73" t="str">
        <f>IF(Main[[#This Row],[Tech Start Date]]&lt;1/1/1990,"",IF(Main[[#This Row],[Class]]="C",WORKDAY(Main[[#This Row],[Tech Start Date]],23),IF(Main[[#This Row],[Class]]="B", WORKDAY(Main[[#This Row],[Tech Start Date]],15),IF(Main[[#This Row],[Class]]="A",WORKDAY(Main[[#This Row],[Tech Start Date]],5),""))))</f>
        <v/>
      </c>
      <c r="P255" s="73" t="str">
        <f>IF(Main[[#This Row],[Tech Start Date]]&lt;1/1/1990,"",IF(Main[[#This Row],[Class]]="C",WORKDAY(Main[[#This Row],[Tech Start Date]],28),IF(Main[[#This Row],[Class]]="B", WORKDAY(Main[[#This Row],[Tech Start Date]],19),IF(Main[[#This Row],[Class]]="A",WORKDAY(Main[[#This Row],[Tech Start Date]],9),""))))</f>
        <v/>
      </c>
      <c r="Q255" s="85"/>
      <c r="R255" s="112"/>
      <c r="S255" s="95" t="s">
        <v>11</v>
      </c>
      <c r="T255" s="74" t="s">
        <v>4</v>
      </c>
      <c r="U255" s="95" t="s">
        <v>14</v>
      </c>
      <c r="V255" s="95" t="s">
        <v>1912</v>
      </c>
      <c r="W255" s="95" t="s">
        <v>1915</v>
      </c>
      <c r="X255" s="95" t="s">
        <v>399</v>
      </c>
      <c r="Y255" s="72" t="s">
        <v>4</v>
      </c>
      <c r="Z255" s="72" t="s">
        <v>4</v>
      </c>
      <c r="AA255" s="95" t="s">
        <v>399</v>
      </c>
      <c r="AB255" s="132"/>
      <c r="AC255" s="132"/>
      <c r="AD255" s="132"/>
      <c r="AE255" s="63"/>
      <c r="AF255" s="63"/>
      <c r="AG255" s="63"/>
    </row>
    <row r="256" spans="1:33" ht="17.2" customHeight="1">
      <c r="A256" s="64" t="str">
        <f>IF(priority(Main[[#This Row],[Comments]])&lt;&gt;0, priority(Main[[#This Row],[Comments]]),"")</f>
        <v/>
      </c>
      <c r="B256" s="60" t="s">
        <v>3214</v>
      </c>
      <c r="C256" s="72" t="s">
        <v>4</v>
      </c>
      <c r="D256" s="59" t="s">
        <v>3215</v>
      </c>
      <c r="E256" s="85">
        <v>40928.503738425927</v>
      </c>
      <c r="F256" s="85"/>
      <c r="G256" s="64" t="str">
        <f>IF(stdProdLT(Main[[#This Row],[Comments]])=0.1,"N/A",IF(stdProdLT(Main[[#This Row],[Comments]])=0,"",TRIM(stdProdLT(Main[[#This Row],[Comments]]))))</f>
        <v/>
      </c>
      <c r="H256" s="94" t="str">
        <f>IF(OR(Main[[#This Row],[Std. Prod. Lead Time]]="N/A",Main[[#This Row],[Std. Prod. Lead Time]]=""), "",IF(AND(Main[[#This Row],[In Stock Date]]&lt;&gt;"",Main[[#This Row],[Revised Due Date]]&lt;&gt;"",Main[[#This Row],[In Stock Date]]&lt;&gt;""),Main[[#This Row],[In Stock Date]]-Main[[#This Row],[Revised Due Date]],""))</f>
        <v/>
      </c>
      <c r="I256" s="101" t="s">
        <v>4</v>
      </c>
      <c r="J256" s="95" t="s">
        <v>4</v>
      </c>
      <c r="K256" s="95" t="s">
        <v>4</v>
      </c>
      <c r="L256" s="85"/>
      <c r="M256" s="73" t="str">
        <f>IF(Main[[#This Row],[Tech Start Date]]&lt;1/1/1990,"",IF(Main[[#This Row],[Class]]="C",WORKDAY(Main[[#This Row],[Tech Start Date]],9),IF(Main[[#This Row],[Class]]="B", WORKDAY(Main[[#This Row],[Tech Start Date]],6),IF(Main[[#This Row],[Class]]="A",WORKDAY(Main[[#This Row],[Tech Start Date]],2),""))))</f>
        <v/>
      </c>
      <c r="N256" s="73" t="str">
        <f>IF(Main[[#This Row],[Tech Start Date]]&lt;1/1/1990,"",IF(Main[[#This Row],[Class]]="C",WORKDAY(Main[[#This Row],[Tech Start Date]],19),IF(Main[[#This Row],[Class]]="B", WORKDAY(Main[[#This Row],[Tech Start Date]],12),IF(Main[[#This Row],[Class]]="A",WORKDAY(Main[[#This Row],[Tech Start Date]],4),""))))</f>
        <v/>
      </c>
      <c r="O256" s="73" t="str">
        <f>IF(Main[[#This Row],[Tech Start Date]]&lt;1/1/1990,"",IF(Main[[#This Row],[Class]]="C",WORKDAY(Main[[#This Row],[Tech Start Date]],23),IF(Main[[#This Row],[Class]]="B", WORKDAY(Main[[#This Row],[Tech Start Date]],15),IF(Main[[#This Row],[Class]]="A",WORKDAY(Main[[#This Row],[Tech Start Date]],5),""))))</f>
        <v/>
      </c>
      <c r="P256" s="73" t="str">
        <f>IF(Main[[#This Row],[Tech Start Date]]&lt;1/1/1990,"",IF(Main[[#This Row],[Class]]="C",WORKDAY(Main[[#This Row],[Tech Start Date]],28),IF(Main[[#This Row],[Class]]="B", WORKDAY(Main[[#This Row],[Tech Start Date]],19),IF(Main[[#This Row],[Class]]="A",WORKDAY(Main[[#This Row],[Tech Start Date]],9),""))))</f>
        <v/>
      </c>
      <c r="Q256" s="85"/>
      <c r="R256" s="112"/>
      <c r="S256" s="95" t="s">
        <v>6</v>
      </c>
      <c r="T256" s="74" t="s">
        <v>4</v>
      </c>
      <c r="U256" s="95" t="s">
        <v>29</v>
      </c>
      <c r="V256" s="95" t="s">
        <v>1912</v>
      </c>
      <c r="W256" s="95" t="s">
        <v>1915</v>
      </c>
      <c r="X256" s="95" t="s">
        <v>2243</v>
      </c>
      <c r="Y256" s="72" t="s">
        <v>4</v>
      </c>
      <c r="Z256" s="72" t="s">
        <v>4</v>
      </c>
      <c r="AA256" s="95" t="s">
        <v>4</v>
      </c>
      <c r="AB256" s="132"/>
      <c r="AC256" s="132"/>
      <c r="AD256" s="132"/>
      <c r="AE256" s="63"/>
      <c r="AF256" s="63"/>
      <c r="AG256" s="63"/>
    </row>
    <row r="257" spans="1:33" ht="17.2" customHeight="1">
      <c r="A257" s="64" t="str">
        <f>IF(priority(Main[[#This Row],[Comments]])&lt;&gt;0, priority(Main[[#This Row],[Comments]]),"")</f>
        <v/>
      </c>
      <c r="B257" s="60" t="s">
        <v>1098</v>
      </c>
      <c r="C257" s="72" t="s">
        <v>4</v>
      </c>
      <c r="D257" s="59" t="s">
        <v>147</v>
      </c>
      <c r="E257" s="85">
        <v>40666.180879629632</v>
      </c>
      <c r="F257" s="85"/>
      <c r="G257" s="64" t="str">
        <f>IF(stdProdLT(Main[[#This Row],[Comments]])=0.1,"N/A",IF(stdProdLT(Main[[#This Row],[Comments]])=0,"",TRIM(stdProdLT(Main[[#This Row],[Comments]]))))</f>
        <v/>
      </c>
      <c r="H257" s="94" t="str">
        <f>IF(OR(Main[[#This Row],[Std. Prod. Lead Time]]="N/A",Main[[#This Row],[Std. Prod. Lead Time]]=""), "",IF(AND(Main[[#This Row],[In Stock Date]]&lt;&gt;"",Main[[#This Row],[Revised Due Date]]&lt;&gt;"",Main[[#This Row],[In Stock Date]]&lt;&gt;""),Main[[#This Row],[In Stock Date]]-Main[[#This Row],[Revised Due Date]],""))</f>
        <v/>
      </c>
      <c r="I257" s="101" t="s">
        <v>4</v>
      </c>
      <c r="J257" s="95" t="s">
        <v>4</v>
      </c>
      <c r="K257" s="95" t="s">
        <v>4</v>
      </c>
      <c r="L257" s="85"/>
      <c r="M257" s="73" t="str">
        <f>IF(Main[[#This Row],[Tech Start Date]]&lt;1/1/1990,"",IF(Main[[#This Row],[Class]]="C",WORKDAY(Main[[#This Row],[Tech Start Date]],9),IF(Main[[#This Row],[Class]]="B", WORKDAY(Main[[#This Row],[Tech Start Date]],6),IF(Main[[#This Row],[Class]]="A",WORKDAY(Main[[#This Row],[Tech Start Date]],2),""))))</f>
        <v/>
      </c>
      <c r="N257" s="73" t="str">
        <f>IF(Main[[#This Row],[Tech Start Date]]&lt;1/1/1990,"",IF(Main[[#This Row],[Class]]="C",WORKDAY(Main[[#This Row],[Tech Start Date]],19),IF(Main[[#This Row],[Class]]="B", WORKDAY(Main[[#This Row],[Tech Start Date]],12),IF(Main[[#This Row],[Class]]="A",WORKDAY(Main[[#This Row],[Tech Start Date]],4),""))))</f>
        <v/>
      </c>
      <c r="O257" s="73" t="str">
        <f>IF(Main[[#This Row],[Tech Start Date]]&lt;1/1/1990,"",IF(Main[[#This Row],[Class]]="C",WORKDAY(Main[[#This Row],[Tech Start Date]],23),IF(Main[[#This Row],[Class]]="B", WORKDAY(Main[[#This Row],[Tech Start Date]],15),IF(Main[[#This Row],[Class]]="A",WORKDAY(Main[[#This Row],[Tech Start Date]],5),""))))</f>
        <v/>
      </c>
      <c r="P257" s="73" t="str">
        <f>IF(Main[[#This Row],[Tech Start Date]]&lt;1/1/1990,"",IF(Main[[#This Row],[Class]]="C",WORKDAY(Main[[#This Row],[Tech Start Date]],28),IF(Main[[#This Row],[Class]]="B", WORKDAY(Main[[#This Row],[Tech Start Date]],19),IF(Main[[#This Row],[Class]]="A",WORKDAY(Main[[#This Row],[Tech Start Date]],9),""))))</f>
        <v/>
      </c>
      <c r="Q257" s="85">
        <v>40687</v>
      </c>
      <c r="R257" s="112"/>
      <c r="S257" s="95" t="s">
        <v>6</v>
      </c>
      <c r="T257" s="74" t="s">
        <v>4</v>
      </c>
      <c r="U257" s="95" t="s">
        <v>7</v>
      </c>
      <c r="V257" s="95" t="s">
        <v>1911</v>
      </c>
      <c r="W257" s="95" t="s">
        <v>4</v>
      </c>
      <c r="X257" s="95" t="s">
        <v>2831</v>
      </c>
      <c r="Y257" s="72" t="s">
        <v>2964</v>
      </c>
      <c r="Z257" s="72" t="s">
        <v>4</v>
      </c>
      <c r="AA257" s="95" t="s">
        <v>2831</v>
      </c>
      <c r="AB257" s="132"/>
      <c r="AC257" s="132"/>
      <c r="AD257" s="132"/>
      <c r="AE257" s="63"/>
      <c r="AF257" s="63"/>
      <c r="AG257" s="63"/>
    </row>
    <row r="258" spans="1:33" ht="17.2" customHeight="1">
      <c r="A258" s="64" t="str">
        <f>IF(priority(Main[[#This Row],[Comments]])&lt;&gt;0, priority(Main[[#This Row],[Comments]]),"")</f>
        <v/>
      </c>
      <c r="B258" s="60" t="s">
        <v>1099</v>
      </c>
      <c r="C258" s="72" t="s">
        <v>148</v>
      </c>
      <c r="D258" s="59" t="s">
        <v>149</v>
      </c>
      <c r="E258" s="85"/>
      <c r="F258" s="85"/>
      <c r="G258" s="64" t="str">
        <f>IF(stdProdLT(Main[[#This Row],[Comments]])=0.1,"N/A",IF(stdProdLT(Main[[#This Row],[Comments]])=0,"",TRIM(stdProdLT(Main[[#This Row],[Comments]]))))</f>
        <v/>
      </c>
      <c r="H258" s="94" t="str">
        <f>IF(OR(Main[[#This Row],[Std. Prod. Lead Time]]="N/A",Main[[#This Row],[Std. Prod. Lead Time]]=""), "",IF(AND(Main[[#This Row],[In Stock Date]]&lt;&gt;"",Main[[#This Row],[Revised Due Date]]&lt;&gt;"",Main[[#This Row],[In Stock Date]]&lt;&gt;""),Main[[#This Row],[In Stock Date]]-Main[[#This Row],[Revised Due Date]],""))</f>
        <v/>
      </c>
      <c r="I258" s="101" t="s">
        <v>4</v>
      </c>
      <c r="J258" s="95" t="s">
        <v>28</v>
      </c>
      <c r="K258" s="96" t="s">
        <v>4</v>
      </c>
      <c r="L258" s="85"/>
      <c r="M258" s="73" t="str">
        <f>IF(Main[[#This Row],[Tech Start Date]]&lt;1/1/1990,"",IF(Main[[#This Row],[Class]]="C",WORKDAY(Main[[#This Row],[Tech Start Date]],9),IF(Main[[#This Row],[Class]]="B", WORKDAY(Main[[#This Row],[Tech Start Date]],6),IF(Main[[#This Row],[Class]]="A",WORKDAY(Main[[#This Row],[Tech Start Date]],2),""))))</f>
        <v/>
      </c>
      <c r="N258" s="73" t="str">
        <f>IF(Main[[#This Row],[Tech Start Date]]&lt;1/1/1990,"",IF(Main[[#This Row],[Class]]="C",WORKDAY(Main[[#This Row],[Tech Start Date]],19),IF(Main[[#This Row],[Class]]="B", WORKDAY(Main[[#This Row],[Tech Start Date]],12),IF(Main[[#This Row],[Class]]="A",WORKDAY(Main[[#This Row],[Tech Start Date]],4),""))))</f>
        <v/>
      </c>
      <c r="O258" s="73" t="str">
        <f>IF(Main[[#This Row],[Tech Start Date]]&lt;1/1/1990,"",IF(Main[[#This Row],[Class]]="C",WORKDAY(Main[[#This Row],[Tech Start Date]],23),IF(Main[[#This Row],[Class]]="B", WORKDAY(Main[[#This Row],[Tech Start Date]],15),IF(Main[[#This Row],[Class]]="A",WORKDAY(Main[[#This Row],[Tech Start Date]],5),""))))</f>
        <v/>
      </c>
      <c r="P258" s="73" t="str">
        <f>IF(Main[[#This Row],[Tech Start Date]]&lt;1/1/1990,"",IF(Main[[#This Row],[Class]]="C",WORKDAY(Main[[#This Row],[Tech Start Date]],28),IF(Main[[#This Row],[Class]]="B", WORKDAY(Main[[#This Row],[Tech Start Date]],19),IF(Main[[#This Row],[Class]]="A",WORKDAY(Main[[#This Row],[Tech Start Date]],9),""))))</f>
        <v/>
      </c>
      <c r="Q258" s="85">
        <v>40511</v>
      </c>
      <c r="R258" s="112"/>
      <c r="S258" s="95" t="s">
        <v>11</v>
      </c>
      <c r="T258" s="74" t="s">
        <v>4</v>
      </c>
      <c r="U258" s="95" t="s">
        <v>14</v>
      </c>
      <c r="V258" s="95" t="s">
        <v>1914</v>
      </c>
      <c r="W258" s="95" t="s">
        <v>1913</v>
      </c>
      <c r="X258" s="95" t="s">
        <v>2823</v>
      </c>
      <c r="Y258" s="72" t="s">
        <v>2965</v>
      </c>
      <c r="Z258" s="72" t="s">
        <v>530</v>
      </c>
      <c r="AA258" s="95" t="s">
        <v>2823</v>
      </c>
      <c r="AB258" s="132"/>
      <c r="AC258" s="132"/>
      <c r="AD258" s="132"/>
      <c r="AE258" s="63"/>
      <c r="AF258" s="63"/>
      <c r="AG258" s="63"/>
    </row>
    <row r="259" spans="1:33" ht="17.2" customHeight="1">
      <c r="A259" s="64" t="str">
        <f>IF(priority(Main[[#This Row],[Comments]])&lt;&gt;0, priority(Main[[#This Row],[Comments]]),"")</f>
        <v/>
      </c>
      <c r="B259" s="60" t="s">
        <v>2680</v>
      </c>
      <c r="C259" s="72" t="s">
        <v>4</v>
      </c>
      <c r="D259" s="59" t="s">
        <v>2681</v>
      </c>
      <c r="E259" s="85">
        <v>40905.438483796293</v>
      </c>
      <c r="F259" s="85"/>
      <c r="G259" s="64" t="str">
        <f>IF(stdProdLT(Main[[#This Row],[Comments]])=0.1,"N/A",IF(stdProdLT(Main[[#This Row],[Comments]])=0,"",TRIM(stdProdLT(Main[[#This Row],[Comments]]))))</f>
        <v/>
      </c>
      <c r="H259" s="94" t="str">
        <f>IF(OR(Main[[#This Row],[Std. Prod. Lead Time]]="N/A",Main[[#This Row],[Std. Prod. Lead Time]]=""), "",IF(AND(Main[[#This Row],[In Stock Date]]&lt;&gt;"",Main[[#This Row],[Revised Due Date]]&lt;&gt;"",Main[[#This Row],[In Stock Date]]&lt;&gt;""),Main[[#This Row],[In Stock Date]]-Main[[#This Row],[Revised Due Date]],""))</f>
        <v/>
      </c>
      <c r="I259" s="101" t="s">
        <v>4</v>
      </c>
      <c r="J259" s="95" t="s">
        <v>4</v>
      </c>
      <c r="K259" s="95" t="s">
        <v>4</v>
      </c>
      <c r="L259" s="85"/>
      <c r="M259" s="73" t="str">
        <f>IF(Main[[#This Row],[Tech Start Date]]&lt;1/1/1990,"",IF(Main[[#This Row],[Class]]="C",WORKDAY(Main[[#This Row],[Tech Start Date]],9),IF(Main[[#This Row],[Class]]="B", WORKDAY(Main[[#This Row],[Tech Start Date]],6),IF(Main[[#This Row],[Class]]="A",WORKDAY(Main[[#This Row],[Tech Start Date]],2),""))))</f>
        <v/>
      </c>
      <c r="N259" s="73" t="str">
        <f>IF(Main[[#This Row],[Tech Start Date]]&lt;1/1/1990,"",IF(Main[[#This Row],[Class]]="C",WORKDAY(Main[[#This Row],[Tech Start Date]],19),IF(Main[[#This Row],[Class]]="B", WORKDAY(Main[[#This Row],[Tech Start Date]],12),IF(Main[[#This Row],[Class]]="A",WORKDAY(Main[[#This Row],[Tech Start Date]],4),""))))</f>
        <v/>
      </c>
      <c r="O259" s="73" t="str">
        <f>IF(Main[[#This Row],[Tech Start Date]]&lt;1/1/1990,"",IF(Main[[#This Row],[Class]]="C",WORKDAY(Main[[#This Row],[Tech Start Date]],23),IF(Main[[#This Row],[Class]]="B", WORKDAY(Main[[#This Row],[Tech Start Date]],15),IF(Main[[#This Row],[Class]]="A",WORKDAY(Main[[#This Row],[Tech Start Date]],5),""))))</f>
        <v/>
      </c>
      <c r="P259" s="73" t="str">
        <f>IF(Main[[#This Row],[Tech Start Date]]&lt;1/1/1990,"",IF(Main[[#This Row],[Class]]="C",WORKDAY(Main[[#This Row],[Tech Start Date]],28),IF(Main[[#This Row],[Class]]="B", WORKDAY(Main[[#This Row],[Tech Start Date]],19),IF(Main[[#This Row],[Class]]="A",WORKDAY(Main[[#This Row],[Tech Start Date]],9),""))))</f>
        <v/>
      </c>
      <c r="Q259" s="85"/>
      <c r="R259" s="112"/>
      <c r="S259" s="95" t="s">
        <v>6</v>
      </c>
      <c r="T259" s="74" t="s">
        <v>4</v>
      </c>
      <c r="U259" s="95" t="s">
        <v>29</v>
      </c>
      <c r="V259" s="95" t="s">
        <v>1911</v>
      </c>
      <c r="W259" s="95" t="s">
        <v>1915</v>
      </c>
      <c r="X259" s="95" t="s">
        <v>937</v>
      </c>
      <c r="Y259" s="72" t="s">
        <v>2962</v>
      </c>
      <c r="Z259" s="72" t="s">
        <v>4</v>
      </c>
      <c r="AA259" s="95" t="s">
        <v>937</v>
      </c>
      <c r="AB259" s="132"/>
      <c r="AC259" s="132"/>
      <c r="AD259" s="132"/>
      <c r="AE259" s="63"/>
      <c r="AF259" s="63"/>
      <c r="AG259" s="63"/>
    </row>
    <row r="260" spans="1:33" ht="17.2" customHeight="1">
      <c r="A260" s="64" t="str">
        <f>IF(priority(Main[[#This Row],[Comments]])&lt;&gt;0, priority(Main[[#This Row],[Comments]]),"")</f>
        <v/>
      </c>
      <c r="B260" s="60" t="s">
        <v>1100</v>
      </c>
      <c r="C260" s="72" t="s">
        <v>93</v>
      </c>
      <c r="D260" s="59" t="s">
        <v>150</v>
      </c>
      <c r="E260" s="85"/>
      <c r="F260" s="85"/>
      <c r="G260" s="64" t="str">
        <f>IF(stdProdLT(Main[[#This Row],[Comments]])=0.1,"N/A",IF(stdProdLT(Main[[#This Row],[Comments]])=0,"",TRIM(stdProdLT(Main[[#This Row],[Comments]]))))</f>
        <v/>
      </c>
      <c r="H260" s="94" t="str">
        <f>IF(OR(Main[[#This Row],[Std. Prod. Lead Time]]="N/A",Main[[#This Row],[Std. Prod. Lead Time]]=""), "",IF(AND(Main[[#This Row],[In Stock Date]]&lt;&gt;"",Main[[#This Row],[Revised Due Date]]&lt;&gt;"",Main[[#This Row],[In Stock Date]]&lt;&gt;""),Main[[#This Row],[In Stock Date]]-Main[[#This Row],[Revised Due Date]],""))</f>
        <v/>
      </c>
      <c r="I260" s="101" t="s">
        <v>4</v>
      </c>
      <c r="J260" s="95" t="s">
        <v>4</v>
      </c>
      <c r="K260" s="95" t="s">
        <v>4</v>
      </c>
      <c r="L260" s="85"/>
      <c r="M260" s="73" t="str">
        <f>IF(Main[[#This Row],[Tech Start Date]]&lt;1/1/1990,"",IF(Main[[#This Row],[Class]]="C",WORKDAY(Main[[#This Row],[Tech Start Date]],9),IF(Main[[#This Row],[Class]]="B", WORKDAY(Main[[#This Row],[Tech Start Date]],6),IF(Main[[#This Row],[Class]]="A",WORKDAY(Main[[#This Row],[Tech Start Date]],2),""))))</f>
        <v/>
      </c>
      <c r="N260" s="73" t="str">
        <f>IF(Main[[#This Row],[Tech Start Date]]&lt;1/1/1990,"",IF(Main[[#This Row],[Class]]="C",WORKDAY(Main[[#This Row],[Tech Start Date]],19),IF(Main[[#This Row],[Class]]="B", WORKDAY(Main[[#This Row],[Tech Start Date]],12),IF(Main[[#This Row],[Class]]="A",WORKDAY(Main[[#This Row],[Tech Start Date]],4),""))))</f>
        <v/>
      </c>
      <c r="O260" s="73" t="str">
        <f>IF(Main[[#This Row],[Tech Start Date]]&lt;1/1/1990,"",IF(Main[[#This Row],[Class]]="C",WORKDAY(Main[[#This Row],[Tech Start Date]],23),IF(Main[[#This Row],[Class]]="B", WORKDAY(Main[[#This Row],[Tech Start Date]],15),IF(Main[[#This Row],[Class]]="A",WORKDAY(Main[[#This Row],[Tech Start Date]],5),""))))</f>
        <v/>
      </c>
      <c r="P260" s="73" t="str">
        <f>IF(Main[[#This Row],[Tech Start Date]]&lt;1/1/1990,"",IF(Main[[#This Row],[Class]]="C",WORKDAY(Main[[#This Row],[Tech Start Date]],28),IF(Main[[#This Row],[Class]]="B", WORKDAY(Main[[#This Row],[Tech Start Date]],19),IF(Main[[#This Row],[Class]]="A",WORKDAY(Main[[#This Row],[Tech Start Date]],9),""))))</f>
        <v/>
      </c>
      <c r="Q260" s="85"/>
      <c r="R260" s="112"/>
      <c r="S260" s="95" t="s">
        <v>11</v>
      </c>
      <c r="T260" s="74" t="s">
        <v>4</v>
      </c>
      <c r="U260" s="95" t="s">
        <v>14</v>
      </c>
      <c r="V260" s="95" t="s">
        <v>1914</v>
      </c>
      <c r="W260" s="95" t="s">
        <v>1917</v>
      </c>
      <c r="X260" s="95" t="s">
        <v>553</v>
      </c>
      <c r="Y260" s="72" t="s">
        <v>2966</v>
      </c>
      <c r="Z260" s="72" t="s">
        <v>4</v>
      </c>
      <c r="AA260" s="95" t="s">
        <v>3352</v>
      </c>
      <c r="AB260" s="132"/>
      <c r="AC260" s="132"/>
      <c r="AD260" s="132"/>
      <c r="AE260" s="63"/>
      <c r="AF260" s="63"/>
      <c r="AG260" s="63"/>
    </row>
    <row r="261" spans="1:33" ht="17.2" customHeight="1">
      <c r="A261" s="64" t="str">
        <f>IF(priority(Main[[#This Row],[Comments]])&lt;&gt;0, priority(Main[[#This Row],[Comments]]),"")</f>
        <v/>
      </c>
      <c r="B261" s="60" t="s">
        <v>1101</v>
      </c>
      <c r="C261" s="72" t="s">
        <v>26</v>
      </c>
      <c r="D261" s="59" t="s">
        <v>151</v>
      </c>
      <c r="E261" s="85"/>
      <c r="F261" s="85">
        <v>40613</v>
      </c>
      <c r="G261" s="64" t="str">
        <f>IF(stdProdLT(Main[[#This Row],[Comments]])=0.1,"N/A",IF(stdProdLT(Main[[#This Row],[Comments]])=0,"",TRIM(stdProdLT(Main[[#This Row],[Comments]]))))</f>
        <v/>
      </c>
      <c r="H261" s="94" t="str">
        <f>IF(OR(Main[[#This Row],[Std. Prod. Lead Time]]="N/A",Main[[#This Row],[Std. Prod. Lead Time]]=""), "",IF(AND(Main[[#This Row],[In Stock Date]]&lt;&gt;"",Main[[#This Row],[Revised Due Date]]&lt;&gt;"",Main[[#This Row],[In Stock Date]]&lt;&gt;""),Main[[#This Row],[In Stock Date]]-Main[[#This Row],[Revised Due Date]],""))</f>
        <v/>
      </c>
      <c r="I261" s="101" t="s">
        <v>4</v>
      </c>
      <c r="J261" s="95" t="s">
        <v>28</v>
      </c>
      <c r="K261" s="95" t="s">
        <v>4</v>
      </c>
      <c r="L261" s="85"/>
      <c r="M261" s="73" t="str">
        <f>IF(Main[[#This Row],[Tech Start Date]]&lt;1/1/1990,"",IF(Main[[#This Row],[Class]]="C",WORKDAY(Main[[#This Row],[Tech Start Date]],9),IF(Main[[#This Row],[Class]]="B", WORKDAY(Main[[#This Row],[Tech Start Date]],6),IF(Main[[#This Row],[Class]]="A",WORKDAY(Main[[#This Row],[Tech Start Date]],2),""))))</f>
        <v/>
      </c>
      <c r="N261" s="73" t="str">
        <f>IF(Main[[#This Row],[Tech Start Date]]&lt;1/1/1990,"",IF(Main[[#This Row],[Class]]="C",WORKDAY(Main[[#This Row],[Tech Start Date]],19),IF(Main[[#This Row],[Class]]="B", WORKDAY(Main[[#This Row],[Tech Start Date]],12),IF(Main[[#This Row],[Class]]="A",WORKDAY(Main[[#This Row],[Tech Start Date]],4),""))))</f>
        <v/>
      </c>
      <c r="O261" s="73" t="str">
        <f>IF(Main[[#This Row],[Tech Start Date]]&lt;1/1/1990,"",IF(Main[[#This Row],[Class]]="C",WORKDAY(Main[[#This Row],[Tech Start Date]],23),IF(Main[[#This Row],[Class]]="B", WORKDAY(Main[[#This Row],[Tech Start Date]],15),IF(Main[[#This Row],[Class]]="A",WORKDAY(Main[[#This Row],[Tech Start Date]],5),""))))</f>
        <v/>
      </c>
      <c r="P261" s="73" t="str">
        <f>IF(Main[[#This Row],[Tech Start Date]]&lt;1/1/1990,"",IF(Main[[#This Row],[Class]]="C",WORKDAY(Main[[#This Row],[Tech Start Date]],28),IF(Main[[#This Row],[Class]]="B", WORKDAY(Main[[#This Row],[Tech Start Date]],19),IF(Main[[#This Row],[Class]]="A",WORKDAY(Main[[#This Row],[Tech Start Date]],9),""))))</f>
        <v/>
      </c>
      <c r="Q261" s="85"/>
      <c r="R261" s="112"/>
      <c r="S261" s="95" t="s">
        <v>11</v>
      </c>
      <c r="T261" s="74" t="s">
        <v>4</v>
      </c>
      <c r="U261" s="95" t="s">
        <v>14</v>
      </c>
      <c r="V261" s="95" t="s">
        <v>1911</v>
      </c>
      <c r="W261" s="95" t="s">
        <v>1919</v>
      </c>
      <c r="X261" s="95" t="s">
        <v>2822</v>
      </c>
      <c r="Y261" s="72" t="s">
        <v>2952</v>
      </c>
      <c r="Z261" s="72" t="s">
        <v>129</v>
      </c>
      <c r="AA261" s="95" t="s">
        <v>2822</v>
      </c>
      <c r="AB261" s="132"/>
      <c r="AC261" s="132"/>
      <c r="AD261" s="132"/>
      <c r="AE261" s="63"/>
      <c r="AF261" s="63"/>
      <c r="AG261" s="63"/>
    </row>
    <row r="262" spans="1:33" ht="17.2" customHeight="1">
      <c r="A262" s="64" t="str">
        <f>IF(priority(Main[[#This Row],[Comments]])&lt;&gt;0, priority(Main[[#This Row],[Comments]]),"")</f>
        <v/>
      </c>
      <c r="B262" s="60" t="s">
        <v>1106</v>
      </c>
      <c r="C262" s="72" t="s">
        <v>4</v>
      </c>
      <c r="D262" s="59" t="s">
        <v>152</v>
      </c>
      <c r="E262" s="85">
        <v>40584.587800925925</v>
      </c>
      <c r="F262" s="85"/>
      <c r="G262" s="64" t="str">
        <f>IF(stdProdLT(Main[[#This Row],[Comments]])=0.1,"N/A",IF(stdProdLT(Main[[#This Row],[Comments]])=0,"",TRIM(stdProdLT(Main[[#This Row],[Comments]]))))</f>
        <v/>
      </c>
      <c r="H262" s="94" t="str">
        <f>IF(OR(Main[[#This Row],[Std. Prod. Lead Time]]="N/A",Main[[#This Row],[Std. Prod. Lead Time]]=""), "",IF(AND(Main[[#This Row],[In Stock Date]]&lt;&gt;"",Main[[#This Row],[Revised Due Date]]&lt;&gt;"",Main[[#This Row],[In Stock Date]]&lt;&gt;""),Main[[#This Row],[In Stock Date]]-Main[[#This Row],[Revised Due Date]],""))</f>
        <v/>
      </c>
      <c r="I262" s="101" t="s">
        <v>4</v>
      </c>
      <c r="J262" s="95" t="s">
        <v>4</v>
      </c>
      <c r="K262" s="95" t="s">
        <v>4</v>
      </c>
      <c r="L262" s="85"/>
      <c r="M262" s="73" t="str">
        <f>IF(Main[[#This Row],[Tech Start Date]]&lt;1/1/1990,"",IF(Main[[#This Row],[Class]]="C",WORKDAY(Main[[#This Row],[Tech Start Date]],9),IF(Main[[#This Row],[Class]]="B", WORKDAY(Main[[#This Row],[Tech Start Date]],6),IF(Main[[#This Row],[Class]]="A",WORKDAY(Main[[#This Row],[Tech Start Date]],2),""))))</f>
        <v/>
      </c>
      <c r="N262" s="73" t="str">
        <f>IF(Main[[#This Row],[Tech Start Date]]&lt;1/1/1990,"",IF(Main[[#This Row],[Class]]="C",WORKDAY(Main[[#This Row],[Tech Start Date]],19),IF(Main[[#This Row],[Class]]="B", WORKDAY(Main[[#This Row],[Tech Start Date]],12),IF(Main[[#This Row],[Class]]="A",WORKDAY(Main[[#This Row],[Tech Start Date]],4),""))))</f>
        <v/>
      </c>
      <c r="O262" s="73" t="str">
        <f>IF(Main[[#This Row],[Tech Start Date]]&lt;1/1/1990,"",IF(Main[[#This Row],[Class]]="C",WORKDAY(Main[[#This Row],[Tech Start Date]],23),IF(Main[[#This Row],[Class]]="B", WORKDAY(Main[[#This Row],[Tech Start Date]],15),IF(Main[[#This Row],[Class]]="A",WORKDAY(Main[[#This Row],[Tech Start Date]],5),""))))</f>
        <v/>
      </c>
      <c r="P262" s="73" t="str">
        <f>IF(Main[[#This Row],[Tech Start Date]]&lt;1/1/1990,"",IF(Main[[#This Row],[Class]]="C",WORKDAY(Main[[#This Row],[Tech Start Date]],28),IF(Main[[#This Row],[Class]]="B", WORKDAY(Main[[#This Row],[Tech Start Date]],19),IF(Main[[#This Row],[Class]]="A",WORKDAY(Main[[#This Row],[Tech Start Date]],9),""))))</f>
        <v/>
      </c>
      <c r="Q262" s="85"/>
      <c r="R262" s="112"/>
      <c r="S262" s="95" t="s">
        <v>4</v>
      </c>
      <c r="T262" s="74" t="s">
        <v>4</v>
      </c>
      <c r="U262" s="95" t="s">
        <v>29</v>
      </c>
      <c r="V262" s="95" t="s">
        <v>1912</v>
      </c>
      <c r="W262" s="95" t="s">
        <v>4</v>
      </c>
      <c r="X262" s="95" t="s">
        <v>942</v>
      </c>
      <c r="Y262" s="72" t="s">
        <v>2967</v>
      </c>
      <c r="Z262" s="72" t="s">
        <v>4</v>
      </c>
      <c r="AA262" s="95" t="s">
        <v>942</v>
      </c>
      <c r="AB262" s="132"/>
      <c r="AC262" s="132"/>
      <c r="AD262" s="132"/>
      <c r="AE262" s="63"/>
      <c r="AF262" s="63"/>
      <c r="AG262" s="63"/>
    </row>
    <row r="263" spans="1:33" ht="17.2" customHeight="1">
      <c r="A263" s="64" t="str">
        <f>IF(priority(Main[[#This Row],[Comments]])&lt;&gt;0, priority(Main[[#This Row],[Comments]]),"")</f>
        <v/>
      </c>
      <c r="B263" s="60" t="s">
        <v>1107</v>
      </c>
      <c r="C263" s="72" t="s">
        <v>4</v>
      </c>
      <c r="D263" s="59" t="s">
        <v>153</v>
      </c>
      <c r="E263" s="85"/>
      <c r="F263" s="85"/>
      <c r="G263" s="64" t="str">
        <f>IF(stdProdLT(Main[[#This Row],[Comments]])=0.1,"N/A",IF(stdProdLT(Main[[#This Row],[Comments]])=0,"",TRIM(stdProdLT(Main[[#This Row],[Comments]]))))</f>
        <v/>
      </c>
      <c r="H263" s="94" t="str">
        <f>IF(OR(Main[[#This Row],[Std. Prod. Lead Time]]="N/A",Main[[#This Row],[Std. Prod. Lead Time]]=""), "",IF(AND(Main[[#This Row],[In Stock Date]]&lt;&gt;"",Main[[#This Row],[Revised Due Date]]&lt;&gt;"",Main[[#This Row],[In Stock Date]]&lt;&gt;""),Main[[#This Row],[In Stock Date]]-Main[[#This Row],[Revised Due Date]],""))</f>
        <v/>
      </c>
      <c r="I263" s="101" t="s">
        <v>30</v>
      </c>
      <c r="J263" s="95" t="s">
        <v>52</v>
      </c>
      <c r="K263" s="95" t="s">
        <v>4</v>
      </c>
      <c r="L263" s="85"/>
      <c r="M263" s="73" t="str">
        <f>IF(Main[[#This Row],[Tech Start Date]]&lt;1/1/1990,"",IF(Main[[#This Row],[Class]]="C",WORKDAY(Main[[#This Row],[Tech Start Date]],9),IF(Main[[#This Row],[Class]]="B", WORKDAY(Main[[#This Row],[Tech Start Date]],6),IF(Main[[#This Row],[Class]]="A",WORKDAY(Main[[#This Row],[Tech Start Date]],2),""))))</f>
        <v/>
      </c>
      <c r="N263" s="73" t="str">
        <f>IF(Main[[#This Row],[Tech Start Date]]&lt;1/1/1990,"",IF(Main[[#This Row],[Class]]="C",WORKDAY(Main[[#This Row],[Tech Start Date]],19),IF(Main[[#This Row],[Class]]="B", WORKDAY(Main[[#This Row],[Tech Start Date]],12),IF(Main[[#This Row],[Class]]="A",WORKDAY(Main[[#This Row],[Tech Start Date]],4),""))))</f>
        <v/>
      </c>
      <c r="O263" s="73" t="str">
        <f>IF(Main[[#This Row],[Tech Start Date]]&lt;1/1/1990,"",IF(Main[[#This Row],[Class]]="C",WORKDAY(Main[[#This Row],[Tech Start Date]],23),IF(Main[[#This Row],[Class]]="B", WORKDAY(Main[[#This Row],[Tech Start Date]],15),IF(Main[[#This Row],[Class]]="A",WORKDAY(Main[[#This Row],[Tech Start Date]],5),""))))</f>
        <v/>
      </c>
      <c r="P263" s="73" t="str">
        <f>IF(Main[[#This Row],[Tech Start Date]]&lt;1/1/1990,"",IF(Main[[#This Row],[Class]]="C",WORKDAY(Main[[#This Row],[Tech Start Date]],28),IF(Main[[#This Row],[Class]]="B", WORKDAY(Main[[#This Row],[Tech Start Date]],19),IF(Main[[#This Row],[Class]]="A",WORKDAY(Main[[#This Row],[Tech Start Date]],9),""))))</f>
        <v/>
      </c>
      <c r="Q263" s="85">
        <v>40448</v>
      </c>
      <c r="R263" s="112"/>
      <c r="S263" s="95" t="s">
        <v>6</v>
      </c>
      <c r="T263" s="74" t="s">
        <v>4</v>
      </c>
      <c r="U263" s="95" t="s">
        <v>14</v>
      </c>
      <c r="V263" s="95" t="s">
        <v>1914</v>
      </c>
      <c r="W263" s="95" t="s">
        <v>4</v>
      </c>
      <c r="X263" s="95" t="s">
        <v>2798</v>
      </c>
      <c r="Y263" s="72" t="s">
        <v>2908</v>
      </c>
      <c r="Z263" s="72" t="s">
        <v>530</v>
      </c>
      <c r="AA263" s="95" t="s">
        <v>2798</v>
      </c>
      <c r="AB263" s="132"/>
      <c r="AC263" s="132"/>
      <c r="AD263" s="132"/>
      <c r="AE263" s="63"/>
      <c r="AF263" s="63"/>
      <c r="AG263" s="63"/>
    </row>
    <row r="264" spans="1:33" ht="17.2" customHeight="1">
      <c r="A264" s="64" t="str">
        <f>IF(priority(Main[[#This Row],[Comments]])&lt;&gt;0, priority(Main[[#This Row],[Comments]]),"")</f>
        <v/>
      </c>
      <c r="B264" s="60" t="s">
        <v>4038</v>
      </c>
      <c r="C264" s="72" t="s">
        <v>180</v>
      </c>
      <c r="D264" s="59" t="s">
        <v>4039</v>
      </c>
      <c r="E264" s="85">
        <v>40975.615520833337</v>
      </c>
      <c r="F264" s="85"/>
      <c r="G264" s="64" t="str">
        <f>IF(stdProdLT(Main[[#This Row],[Comments]])=0.1,"N/A",IF(stdProdLT(Main[[#This Row],[Comments]])=0,"",TRIM(stdProdLT(Main[[#This Row],[Comments]]))))</f>
        <v/>
      </c>
      <c r="H264" s="94" t="str">
        <f>IF(OR(Main[[#This Row],[Std. Prod. Lead Time]]="N/A",Main[[#This Row],[Std. Prod. Lead Time]]=""), "",IF(AND(Main[[#This Row],[In Stock Date]]&lt;&gt;"",Main[[#This Row],[Revised Due Date]]&lt;&gt;"",Main[[#This Row],[In Stock Date]]&lt;&gt;""),Main[[#This Row],[In Stock Date]]-Main[[#This Row],[Revised Due Date]],""))</f>
        <v/>
      </c>
      <c r="I264" s="101" t="s">
        <v>4</v>
      </c>
      <c r="J264" s="95" t="s">
        <v>4</v>
      </c>
      <c r="K264" s="95" t="s">
        <v>4</v>
      </c>
      <c r="L264" s="85"/>
      <c r="M264" s="73" t="str">
        <f>IF(Main[[#This Row],[Tech Start Date]]&lt;1/1/1990,"",IF(Main[[#This Row],[Class]]="C",WORKDAY(Main[[#This Row],[Tech Start Date]],9),IF(Main[[#This Row],[Class]]="B", WORKDAY(Main[[#This Row],[Tech Start Date]],6),IF(Main[[#This Row],[Class]]="A",WORKDAY(Main[[#This Row],[Tech Start Date]],2),""))))</f>
        <v/>
      </c>
      <c r="N264" s="73" t="str">
        <f>IF(Main[[#This Row],[Tech Start Date]]&lt;1/1/1990,"",IF(Main[[#This Row],[Class]]="C",WORKDAY(Main[[#This Row],[Tech Start Date]],19),IF(Main[[#This Row],[Class]]="B", WORKDAY(Main[[#This Row],[Tech Start Date]],12),IF(Main[[#This Row],[Class]]="A",WORKDAY(Main[[#This Row],[Tech Start Date]],4),""))))</f>
        <v/>
      </c>
      <c r="O264" s="73" t="str">
        <f>IF(Main[[#This Row],[Tech Start Date]]&lt;1/1/1990,"",IF(Main[[#This Row],[Class]]="C",WORKDAY(Main[[#This Row],[Tech Start Date]],23),IF(Main[[#This Row],[Class]]="B", WORKDAY(Main[[#This Row],[Tech Start Date]],15),IF(Main[[#This Row],[Class]]="A",WORKDAY(Main[[#This Row],[Tech Start Date]],5),""))))</f>
        <v/>
      </c>
      <c r="P264" s="73" t="str">
        <f>IF(Main[[#This Row],[Tech Start Date]]&lt;1/1/1990,"",IF(Main[[#This Row],[Class]]="C",WORKDAY(Main[[#This Row],[Tech Start Date]],28),IF(Main[[#This Row],[Class]]="B", WORKDAY(Main[[#This Row],[Tech Start Date]],19),IF(Main[[#This Row],[Class]]="A",WORKDAY(Main[[#This Row],[Tech Start Date]],9),""))))</f>
        <v/>
      </c>
      <c r="Q264" s="85"/>
      <c r="R264" s="112"/>
      <c r="S264" s="95" t="s">
        <v>11</v>
      </c>
      <c r="T264" s="74" t="s">
        <v>4</v>
      </c>
      <c r="U264" s="95" t="s">
        <v>7</v>
      </c>
      <c r="V264" s="95" t="s">
        <v>1911</v>
      </c>
      <c r="W264" s="95" t="s">
        <v>1913</v>
      </c>
      <c r="X264" s="95" t="s">
        <v>2885</v>
      </c>
      <c r="Y264" s="72" t="s">
        <v>3076</v>
      </c>
      <c r="Z264" s="72" t="s">
        <v>4</v>
      </c>
      <c r="AA264" s="95" t="s">
        <v>2885</v>
      </c>
      <c r="AB264" s="132"/>
      <c r="AC264" s="132"/>
      <c r="AD264" s="132"/>
      <c r="AE264" s="63"/>
      <c r="AF264" s="63"/>
      <c r="AG264" s="63"/>
    </row>
    <row r="265" spans="1:33" ht="17.2" customHeight="1">
      <c r="A265" s="64" t="str">
        <f>IF(priority(Main[[#This Row],[Comments]])&lt;&gt;0, priority(Main[[#This Row],[Comments]]),"")</f>
        <v/>
      </c>
      <c r="B265" s="60" t="s">
        <v>3283</v>
      </c>
      <c r="C265" s="72" t="s">
        <v>4</v>
      </c>
      <c r="D265" s="59" t="s">
        <v>3284</v>
      </c>
      <c r="E265" s="85">
        <v>40939.457824074074</v>
      </c>
      <c r="F265" s="85"/>
      <c r="G265" s="64" t="str">
        <f>IF(stdProdLT(Main[[#This Row],[Comments]])=0.1,"N/A",IF(stdProdLT(Main[[#This Row],[Comments]])=0,"",TRIM(stdProdLT(Main[[#This Row],[Comments]]))))</f>
        <v/>
      </c>
      <c r="H265" s="94" t="str">
        <f>IF(OR(Main[[#This Row],[Std. Prod. Lead Time]]="N/A",Main[[#This Row],[Std. Prod. Lead Time]]=""), "",IF(AND(Main[[#This Row],[In Stock Date]]&lt;&gt;"",Main[[#This Row],[Revised Due Date]]&lt;&gt;"",Main[[#This Row],[In Stock Date]]&lt;&gt;""),Main[[#This Row],[In Stock Date]]-Main[[#This Row],[Revised Due Date]],""))</f>
        <v/>
      </c>
      <c r="I265" s="101" t="s">
        <v>4</v>
      </c>
      <c r="J265" s="95" t="s">
        <v>4</v>
      </c>
      <c r="K265" s="96" t="s">
        <v>4</v>
      </c>
      <c r="L265" s="85"/>
      <c r="M265" s="73" t="str">
        <f>IF(Main[[#This Row],[Tech Start Date]]&lt;1/1/1990,"",IF(Main[[#This Row],[Class]]="C",WORKDAY(Main[[#This Row],[Tech Start Date]],9),IF(Main[[#This Row],[Class]]="B", WORKDAY(Main[[#This Row],[Tech Start Date]],6),IF(Main[[#This Row],[Class]]="A",WORKDAY(Main[[#This Row],[Tech Start Date]],2),""))))</f>
        <v/>
      </c>
      <c r="N265" s="73" t="str">
        <f>IF(Main[[#This Row],[Tech Start Date]]&lt;1/1/1990,"",IF(Main[[#This Row],[Class]]="C",WORKDAY(Main[[#This Row],[Tech Start Date]],19),IF(Main[[#This Row],[Class]]="B", WORKDAY(Main[[#This Row],[Tech Start Date]],12),IF(Main[[#This Row],[Class]]="A",WORKDAY(Main[[#This Row],[Tech Start Date]],4),""))))</f>
        <v/>
      </c>
      <c r="O265" s="73" t="str">
        <f>IF(Main[[#This Row],[Tech Start Date]]&lt;1/1/1990,"",IF(Main[[#This Row],[Class]]="C",WORKDAY(Main[[#This Row],[Tech Start Date]],23),IF(Main[[#This Row],[Class]]="B", WORKDAY(Main[[#This Row],[Tech Start Date]],15),IF(Main[[#This Row],[Class]]="A",WORKDAY(Main[[#This Row],[Tech Start Date]],5),""))))</f>
        <v/>
      </c>
      <c r="P265" s="73" t="str">
        <f>IF(Main[[#This Row],[Tech Start Date]]&lt;1/1/1990,"",IF(Main[[#This Row],[Class]]="C",WORKDAY(Main[[#This Row],[Tech Start Date]],28),IF(Main[[#This Row],[Class]]="B", WORKDAY(Main[[#This Row],[Tech Start Date]],19),IF(Main[[#This Row],[Class]]="A",WORKDAY(Main[[#This Row],[Tech Start Date]],9),""))))</f>
        <v/>
      </c>
      <c r="Q265" s="85">
        <v>40968</v>
      </c>
      <c r="R265" s="112"/>
      <c r="S265" s="95" t="s">
        <v>6</v>
      </c>
      <c r="T265" s="74" t="s">
        <v>4</v>
      </c>
      <c r="U265" s="95" t="s">
        <v>7</v>
      </c>
      <c r="V265" s="95" t="s">
        <v>1911</v>
      </c>
      <c r="W265" s="95" t="s">
        <v>4</v>
      </c>
      <c r="X265" s="95" t="s">
        <v>2802</v>
      </c>
      <c r="Y265" s="72" t="s">
        <v>2916</v>
      </c>
      <c r="Z265" s="72" t="s">
        <v>4</v>
      </c>
      <c r="AA265" s="95" t="s">
        <v>2802</v>
      </c>
      <c r="AB265" s="132"/>
      <c r="AC265" s="132"/>
      <c r="AD265" s="132"/>
      <c r="AE265" s="63"/>
      <c r="AF265" s="63"/>
      <c r="AG265" s="63"/>
    </row>
    <row r="266" spans="1:33" ht="17.2" customHeight="1">
      <c r="A266" s="64" t="str">
        <f>IF(priority(Main[[#This Row],[Comments]])&lt;&gt;0, priority(Main[[#This Row],[Comments]]),"")</f>
        <v/>
      </c>
      <c r="B266" s="60" t="s">
        <v>1156</v>
      </c>
      <c r="C266" s="72" t="s">
        <v>4</v>
      </c>
      <c r="D266" s="59" t="s">
        <v>2333</v>
      </c>
      <c r="E266" s="85">
        <v>40274.393113425926</v>
      </c>
      <c r="F266" s="85"/>
      <c r="G266" s="64" t="str">
        <f>IF(stdProdLT(Main[[#This Row],[Comments]])=0.1,"N/A",IF(stdProdLT(Main[[#This Row],[Comments]])=0,"",TRIM(stdProdLT(Main[[#This Row],[Comments]]))))</f>
        <v/>
      </c>
      <c r="H266" s="94" t="str">
        <f>IF(OR(Main[[#This Row],[Std. Prod. Lead Time]]="N/A",Main[[#This Row],[Std. Prod. Lead Time]]=""), "",IF(AND(Main[[#This Row],[In Stock Date]]&lt;&gt;"",Main[[#This Row],[Revised Due Date]]&lt;&gt;"",Main[[#This Row],[In Stock Date]]&lt;&gt;""),Main[[#This Row],[In Stock Date]]-Main[[#This Row],[Revised Due Date]],""))</f>
        <v/>
      </c>
      <c r="I266" s="101" t="s">
        <v>4</v>
      </c>
      <c r="J266" s="95" t="s">
        <v>4</v>
      </c>
      <c r="K266" s="96" t="s">
        <v>4</v>
      </c>
      <c r="L266" s="85"/>
      <c r="M266" s="73" t="str">
        <f>IF(Main[[#This Row],[Tech Start Date]]&lt;1/1/1990,"",IF(Main[[#This Row],[Class]]="C",WORKDAY(Main[[#This Row],[Tech Start Date]],9),IF(Main[[#This Row],[Class]]="B", WORKDAY(Main[[#This Row],[Tech Start Date]],6),IF(Main[[#This Row],[Class]]="A",WORKDAY(Main[[#This Row],[Tech Start Date]],2),""))))</f>
        <v/>
      </c>
      <c r="N266" s="73" t="str">
        <f>IF(Main[[#This Row],[Tech Start Date]]&lt;1/1/1990,"",IF(Main[[#This Row],[Class]]="C",WORKDAY(Main[[#This Row],[Tech Start Date]],19),IF(Main[[#This Row],[Class]]="B", WORKDAY(Main[[#This Row],[Tech Start Date]],12),IF(Main[[#This Row],[Class]]="A",WORKDAY(Main[[#This Row],[Tech Start Date]],4),""))))</f>
        <v/>
      </c>
      <c r="O266" s="73" t="str">
        <f>IF(Main[[#This Row],[Tech Start Date]]&lt;1/1/1990,"",IF(Main[[#This Row],[Class]]="C",WORKDAY(Main[[#This Row],[Tech Start Date]],23),IF(Main[[#This Row],[Class]]="B", WORKDAY(Main[[#This Row],[Tech Start Date]],15),IF(Main[[#This Row],[Class]]="A",WORKDAY(Main[[#This Row],[Tech Start Date]],5),""))))</f>
        <v/>
      </c>
      <c r="P266" s="73" t="str">
        <f>IF(Main[[#This Row],[Tech Start Date]]&lt;1/1/1990,"",IF(Main[[#This Row],[Class]]="C",WORKDAY(Main[[#This Row],[Tech Start Date]],28),IF(Main[[#This Row],[Class]]="B", WORKDAY(Main[[#This Row],[Tech Start Date]],19),IF(Main[[#This Row],[Class]]="A",WORKDAY(Main[[#This Row],[Tech Start Date]],9),""))))</f>
        <v/>
      </c>
      <c r="Q266" s="85">
        <v>40302</v>
      </c>
      <c r="R266" s="112"/>
      <c r="S266" s="95" t="s">
        <v>6</v>
      </c>
      <c r="T266" s="74" t="s">
        <v>4</v>
      </c>
      <c r="U266" s="95" t="s">
        <v>7</v>
      </c>
      <c r="V266" s="95" t="s">
        <v>1911</v>
      </c>
      <c r="W266" s="95" t="s">
        <v>1913</v>
      </c>
      <c r="X266" s="95" t="s">
        <v>2801</v>
      </c>
      <c r="Y266" s="72" t="s">
        <v>2914</v>
      </c>
      <c r="Z266" s="72" t="s">
        <v>4</v>
      </c>
      <c r="AA266" s="95" t="s">
        <v>2801</v>
      </c>
      <c r="AB266" s="132"/>
      <c r="AC266" s="132"/>
      <c r="AD266" s="132"/>
      <c r="AE266" s="63"/>
      <c r="AF266" s="63"/>
      <c r="AG266" s="63"/>
    </row>
    <row r="267" spans="1:33" ht="17.2" customHeight="1">
      <c r="A267" s="64" t="str">
        <f>IF(priority(Main[[#This Row],[Comments]])&lt;&gt;0, priority(Main[[#This Row],[Comments]]),"")</f>
        <v/>
      </c>
      <c r="B267" s="60" t="s">
        <v>1389</v>
      </c>
      <c r="C267" s="72" t="s">
        <v>4</v>
      </c>
      <c r="D267" s="59" t="s">
        <v>2334</v>
      </c>
      <c r="E267" s="85">
        <v>40644.246631944443</v>
      </c>
      <c r="F267" s="85"/>
      <c r="G267" s="64" t="str">
        <f>IF(stdProdLT(Main[[#This Row],[Comments]])=0.1,"N/A",IF(stdProdLT(Main[[#This Row],[Comments]])=0,"",TRIM(stdProdLT(Main[[#This Row],[Comments]]))))</f>
        <v/>
      </c>
      <c r="H267" s="94" t="str">
        <f>IF(OR(Main[[#This Row],[Std. Prod. Lead Time]]="N/A",Main[[#This Row],[Std. Prod. Lead Time]]=""), "",IF(AND(Main[[#This Row],[In Stock Date]]&lt;&gt;"",Main[[#This Row],[Revised Due Date]]&lt;&gt;"",Main[[#This Row],[In Stock Date]]&lt;&gt;""),Main[[#This Row],[In Stock Date]]-Main[[#This Row],[Revised Due Date]],""))</f>
        <v/>
      </c>
      <c r="I267" s="101" t="s">
        <v>912</v>
      </c>
      <c r="J267" s="95" t="s">
        <v>52</v>
      </c>
      <c r="K267" s="96" t="s">
        <v>4</v>
      </c>
      <c r="L267" s="85"/>
      <c r="M267" s="73" t="str">
        <f>IF(Main[[#This Row],[Tech Start Date]]&lt;1/1/1990,"",IF(Main[[#This Row],[Class]]="C",WORKDAY(Main[[#This Row],[Tech Start Date]],9),IF(Main[[#This Row],[Class]]="B", WORKDAY(Main[[#This Row],[Tech Start Date]],6),IF(Main[[#This Row],[Class]]="A",WORKDAY(Main[[#This Row],[Tech Start Date]],2),""))))</f>
        <v/>
      </c>
      <c r="N267" s="73" t="str">
        <f>IF(Main[[#This Row],[Tech Start Date]]&lt;1/1/1990,"",IF(Main[[#This Row],[Class]]="C",WORKDAY(Main[[#This Row],[Tech Start Date]],19),IF(Main[[#This Row],[Class]]="B", WORKDAY(Main[[#This Row],[Tech Start Date]],12),IF(Main[[#This Row],[Class]]="A",WORKDAY(Main[[#This Row],[Tech Start Date]],4),""))))</f>
        <v/>
      </c>
      <c r="O267" s="73" t="str">
        <f>IF(Main[[#This Row],[Tech Start Date]]&lt;1/1/1990,"",IF(Main[[#This Row],[Class]]="C",WORKDAY(Main[[#This Row],[Tech Start Date]],23),IF(Main[[#This Row],[Class]]="B", WORKDAY(Main[[#This Row],[Tech Start Date]],15),IF(Main[[#This Row],[Class]]="A",WORKDAY(Main[[#This Row],[Tech Start Date]],5),""))))</f>
        <v/>
      </c>
      <c r="P267" s="73" t="str">
        <f>IF(Main[[#This Row],[Tech Start Date]]&lt;1/1/1990,"",IF(Main[[#This Row],[Class]]="C",WORKDAY(Main[[#This Row],[Tech Start Date]],28),IF(Main[[#This Row],[Class]]="B", WORKDAY(Main[[#This Row],[Tech Start Date]],19),IF(Main[[#This Row],[Class]]="A",WORKDAY(Main[[#This Row],[Tech Start Date]],9),""))))</f>
        <v/>
      </c>
      <c r="Q267" s="85">
        <v>40659</v>
      </c>
      <c r="R267" s="112"/>
      <c r="S267" s="95" t="s">
        <v>6</v>
      </c>
      <c r="T267" s="74" t="s">
        <v>4</v>
      </c>
      <c r="U267" s="95" t="s">
        <v>29</v>
      </c>
      <c r="V267" s="95" t="s">
        <v>1911</v>
      </c>
      <c r="W267" s="95" t="s">
        <v>1919</v>
      </c>
      <c r="X267" s="95" t="s">
        <v>2801</v>
      </c>
      <c r="Y267" s="72" t="s">
        <v>2914</v>
      </c>
      <c r="Z267" s="72" t="s">
        <v>4</v>
      </c>
      <c r="AA267" s="95" t="s">
        <v>2801</v>
      </c>
      <c r="AB267" s="132"/>
      <c r="AC267" s="132"/>
      <c r="AD267" s="132"/>
      <c r="AE267" s="63"/>
      <c r="AF267" s="63"/>
      <c r="AG267" s="63"/>
    </row>
    <row r="268" spans="1:33" ht="17.2" customHeight="1">
      <c r="A268" s="64" t="str">
        <f>IF(priority(Main[[#This Row],[Comments]])&lt;&gt;0, priority(Main[[#This Row],[Comments]]),"")</f>
        <v/>
      </c>
      <c r="B268" s="60" t="s">
        <v>1109</v>
      </c>
      <c r="C268" s="72" t="s">
        <v>155</v>
      </c>
      <c r="D268" s="59" t="s">
        <v>156</v>
      </c>
      <c r="E268" s="85"/>
      <c r="F268" s="85"/>
      <c r="G268" s="64" t="str">
        <f>IF(stdProdLT(Main[[#This Row],[Comments]])=0.1,"N/A",IF(stdProdLT(Main[[#This Row],[Comments]])=0,"",TRIM(stdProdLT(Main[[#This Row],[Comments]]))))</f>
        <v/>
      </c>
      <c r="H268" s="94" t="str">
        <f>IF(OR(Main[[#This Row],[Std. Prod. Lead Time]]="N/A",Main[[#This Row],[Std. Prod. Lead Time]]=""), "",IF(AND(Main[[#This Row],[In Stock Date]]&lt;&gt;"",Main[[#This Row],[Revised Due Date]]&lt;&gt;"",Main[[#This Row],[In Stock Date]]&lt;&gt;""),Main[[#This Row],[In Stock Date]]-Main[[#This Row],[Revised Due Date]],""))</f>
        <v/>
      </c>
      <c r="I268" s="101" t="s">
        <v>4</v>
      </c>
      <c r="J268" s="95" t="s">
        <v>4</v>
      </c>
      <c r="K268" s="96" t="s">
        <v>4</v>
      </c>
      <c r="L268" s="85"/>
      <c r="M268" s="73" t="str">
        <f>IF(Main[[#This Row],[Tech Start Date]]&lt;1/1/1990,"",IF(Main[[#This Row],[Class]]="C",WORKDAY(Main[[#This Row],[Tech Start Date]],9),IF(Main[[#This Row],[Class]]="B", WORKDAY(Main[[#This Row],[Tech Start Date]],6),IF(Main[[#This Row],[Class]]="A",WORKDAY(Main[[#This Row],[Tech Start Date]],2),""))))</f>
        <v/>
      </c>
      <c r="N268" s="73" t="str">
        <f>IF(Main[[#This Row],[Tech Start Date]]&lt;1/1/1990,"",IF(Main[[#This Row],[Class]]="C",WORKDAY(Main[[#This Row],[Tech Start Date]],19),IF(Main[[#This Row],[Class]]="B", WORKDAY(Main[[#This Row],[Tech Start Date]],12),IF(Main[[#This Row],[Class]]="A",WORKDAY(Main[[#This Row],[Tech Start Date]],4),""))))</f>
        <v/>
      </c>
      <c r="O268" s="73" t="str">
        <f>IF(Main[[#This Row],[Tech Start Date]]&lt;1/1/1990,"",IF(Main[[#This Row],[Class]]="C",WORKDAY(Main[[#This Row],[Tech Start Date]],23),IF(Main[[#This Row],[Class]]="B", WORKDAY(Main[[#This Row],[Tech Start Date]],15),IF(Main[[#This Row],[Class]]="A",WORKDAY(Main[[#This Row],[Tech Start Date]],5),""))))</f>
        <v/>
      </c>
      <c r="P268" s="73" t="str">
        <f>IF(Main[[#This Row],[Tech Start Date]]&lt;1/1/1990,"",IF(Main[[#This Row],[Class]]="C",WORKDAY(Main[[#This Row],[Tech Start Date]],28),IF(Main[[#This Row],[Class]]="B", WORKDAY(Main[[#This Row],[Tech Start Date]],19),IF(Main[[#This Row],[Class]]="A",WORKDAY(Main[[#This Row],[Tech Start Date]],9),""))))</f>
        <v/>
      </c>
      <c r="Q268" s="85">
        <v>40144</v>
      </c>
      <c r="R268" s="112"/>
      <c r="S268" s="95" t="s">
        <v>11</v>
      </c>
      <c r="T268" s="74" t="s">
        <v>4</v>
      </c>
      <c r="U268" s="95" t="s">
        <v>14</v>
      </c>
      <c r="V268" s="95" t="s">
        <v>1911</v>
      </c>
      <c r="W268" s="95" t="s">
        <v>1913</v>
      </c>
      <c r="X268" s="95" t="s">
        <v>2834</v>
      </c>
      <c r="Y268" s="72" t="s">
        <v>4</v>
      </c>
      <c r="Z268" s="72" t="s">
        <v>4</v>
      </c>
      <c r="AA268" s="95" t="s">
        <v>2834</v>
      </c>
      <c r="AB268" s="132"/>
      <c r="AC268" s="132"/>
      <c r="AD268" s="132"/>
      <c r="AE268" s="63"/>
      <c r="AF268" s="63"/>
      <c r="AG268" s="63"/>
    </row>
    <row r="269" spans="1:33" ht="17.2" customHeight="1">
      <c r="A269" s="64" t="str">
        <f>IF(priority(Main[[#This Row],[Comments]])&lt;&gt;0, priority(Main[[#This Row],[Comments]]),"")</f>
        <v/>
      </c>
      <c r="B269" s="60" t="s">
        <v>1110</v>
      </c>
      <c r="C269" s="72" t="s">
        <v>157</v>
      </c>
      <c r="D269" s="59" t="s">
        <v>158</v>
      </c>
      <c r="E269" s="85"/>
      <c r="F269" s="85"/>
      <c r="G269" s="64" t="str">
        <f>IF(stdProdLT(Main[[#This Row],[Comments]])=0.1,"N/A",IF(stdProdLT(Main[[#This Row],[Comments]])=0,"",TRIM(stdProdLT(Main[[#This Row],[Comments]]))))</f>
        <v/>
      </c>
      <c r="H269" s="94" t="str">
        <f>IF(OR(Main[[#This Row],[Std. Prod. Lead Time]]="N/A",Main[[#This Row],[Std. Prod. Lead Time]]=""), "",IF(AND(Main[[#This Row],[In Stock Date]]&lt;&gt;"",Main[[#This Row],[Revised Due Date]]&lt;&gt;"",Main[[#This Row],[In Stock Date]]&lt;&gt;""),Main[[#This Row],[In Stock Date]]-Main[[#This Row],[Revised Due Date]],""))</f>
        <v/>
      </c>
      <c r="I269" s="101" t="s">
        <v>4</v>
      </c>
      <c r="J269" s="95" t="s">
        <v>4</v>
      </c>
      <c r="K269" s="95" t="s">
        <v>4</v>
      </c>
      <c r="L269" s="85"/>
      <c r="M269" s="73" t="str">
        <f>IF(Main[[#This Row],[Tech Start Date]]&lt;1/1/1990,"",IF(Main[[#This Row],[Class]]="C",WORKDAY(Main[[#This Row],[Tech Start Date]],9),IF(Main[[#This Row],[Class]]="B", WORKDAY(Main[[#This Row],[Tech Start Date]],6),IF(Main[[#This Row],[Class]]="A",WORKDAY(Main[[#This Row],[Tech Start Date]],2),""))))</f>
        <v/>
      </c>
      <c r="N269" s="73" t="str">
        <f>IF(Main[[#This Row],[Tech Start Date]]&lt;1/1/1990,"",IF(Main[[#This Row],[Class]]="C",WORKDAY(Main[[#This Row],[Tech Start Date]],19),IF(Main[[#This Row],[Class]]="B", WORKDAY(Main[[#This Row],[Tech Start Date]],12),IF(Main[[#This Row],[Class]]="A",WORKDAY(Main[[#This Row],[Tech Start Date]],4),""))))</f>
        <v/>
      </c>
      <c r="O269" s="73" t="str">
        <f>IF(Main[[#This Row],[Tech Start Date]]&lt;1/1/1990,"",IF(Main[[#This Row],[Class]]="C",WORKDAY(Main[[#This Row],[Tech Start Date]],23),IF(Main[[#This Row],[Class]]="B", WORKDAY(Main[[#This Row],[Tech Start Date]],15),IF(Main[[#This Row],[Class]]="A",WORKDAY(Main[[#This Row],[Tech Start Date]],5),""))))</f>
        <v/>
      </c>
      <c r="P269" s="73" t="str">
        <f>IF(Main[[#This Row],[Tech Start Date]]&lt;1/1/1990,"",IF(Main[[#This Row],[Class]]="C",WORKDAY(Main[[#This Row],[Tech Start Date]],28),IF(Main[[#This Row],[Class]]="B", WORKDAY(Main[[#This Row],[Tech Start Date]],19),IF(Main[[#This Row],[Class]]="A",WORKDAY(Main[[#This Row],[Tech Start Date]],9),""))))</f>
        <v/>
      </c>
      <c r="Q269" s="85"/>
      <c r="R269" s="112"/>
      <c r="S269" s="95" t="s">
        <v>11</v>
      </c>
      <c r="T269" s="74" t="s">
        <v>4</v>
      </c>
      <c r="U269" s="95" t="s">
        <v>14</v>
      </c>
      <c r="V269" s="95" t="s">
        <v>1912</v>
      </c>
      <c r="W269" s="95" t="s">
        <v>1913</v>
      </c>
      <c r="X269" s="95" t="s">
        <v>2796</v>
      </c>
      <c r="Y269" s="72" t="s">
        <v>2971</v>
      </c>
      <c r="Z269" s="72" t="s">
        <v>4</v>
      </c>
      <c r="AA269" s="95" t="s">
        <v>3353</v>
      </c>
      <c r="AB269" s="132"/>
      <c r="AC269" s="132"/>
      <c r="AD269" s="132"/>
      <c r="AE269" s="63"/>
      <c r="AF269" s="63"/>
      <c r="AG269" s="63"/>
    </row>
    <row r="270" spans="1:33" ht="17.2" customHeight="1">
      <c r="A270" s="64" t="str">
        <f>IF(priority(Main[[#This Row],[Comments]])&lt;&gt;0, priority(Main[[#This Row],[Comments]]),"")</f>
        <v/>
      </c>
      <c r="B270" s="60" t="s">
        <v>1111</v>
      </c>
      <c r="C270" s="72" t="s">
        <v>159</v>
      </c>
      <c r="D270" s="59" t="s">
        <v>160</v>
      </c>
      <c r="E270" s="85"/>
      <c r="F270" s="85">
        <v>40513</v>
      </c>
      <c r="G270" s="64" t="str">
        <f>IF(stdProdLT(Main[[#This Row],[Comments]])=0.1,"N/A",IF(stdProdLT(Main[[#This Row],[Comments]])=0,"",TRIM(stdProdLT(Main[[#This Row],[Comments]]))))</f>
        <v/>
      </c>
      <c r="H270" s="94" t="str">
        <f>IF(OR(Main[[#This Row],[Std. Prod. Lead Time]]="N/A",Main[[#This Row],[Std. Prod. Lead Time]]=""), "",IF(AND(Main[[#This Row],[In Stock Date]]&lt;&gt;"",Main[[#This Row],[Revised Due Date]]&lt;&gt;"",Main[[#This Row],[In Stock Date]]&lt;&gt;""),Main[[#This Row],[In Stock Date]]-Main[[#This Row],[Revised Due Date]],""))</f>
        <v/>
      </c>
      <c r="I270" s="101" t="s">
        <v>4</v>
      </c>
      <c r="J270" s="95" t="s">
        <v>28</v>
      </c>
      <c r="K270" s="95" t="s">
        <v>4</v>
      </c>
      <c r="L270" s="85"/>
      <c r="M270" s="73" t="str">
        <f>IF(Main[[#This Row],[Tech Start Date]]&lt;1/1/1990,"",IF(Main[[#This Row],[Class]]="C",WORKDAY(Main[[#This Row],[Tech Start Date]],9),IF(Main[[#This Row],[Class]]="B", WORKDAY(Main[[#This Row],[Tech Start Date]],6),IF(Main[[#This Row],[Class]]="A",WORKDAY(Main[[#This Row],[Tech Start Date]],2),""))))</f>
        <v/>
      </c>
      <c r="N270" s="73" t="str">
        <f>IF(Main[[#This Row],[Tech Start Date]]&lt;1/1/1990,"",IF(Main[[#This Row],[Class]]="C",WORKDAY(Main[[#This Row],[Tech Start Date]],19),IF(Main[[#This Row],[Class]]="B", WORKDAY(Main[[#This Row],[Tech Start Date]],12),IF(Main[[#This Row],[Class]]="A",WORKDAY(Main[[#This Row],[Tech Start Date]],4),""))))</f>
        <v/>
      </c>
      <c r="O270" s="73" t="str">
        <f>IF(Main[[#This Row],[Tech Start Date]]&lt;1/1/1990,"",IF(Main[[#This Row],[Class]]="C",WORKDAY(Main[[#This Row],[Tech Start Date]],23),IF(Main[[#This Row],[Class]]="B", WORKDAY(Main[[#This Row],[Tech Start Date]],15),IF(Main[[#This Row],[Class]]="A",WORKDAY(Main[[#This Row],[Tech Start Date]],5),""))))</f>
        <v/>
      </c>
      <c r="P270" s="73" t="str">
        <f>IF(Main[[#This Row],[Tech Start Date]]&lt;1/1/1990,"",IF(Main[[#This Row],[Class]]="C",WORKDAY(Main[[#This Row],[Tech Start Date]],28),IF(Main[[#This Row],[Class]]="B", WORKDAY(Main[[#This Row],[Tech Start Date]],19),IF(Main[[#This Row],[Class]]="A",WORKDAY(Main[[#This Row],[Tech Start Date]],9),""))))</f>
        <v/>
      </c>
      <c r="Q270" s="85">
        <v>40382</v>
      </c>
      <c r="R270" s="112"/>
      <c r="S270" s="95" t="s">
        <v>11</v>
      </c>
      <c r="T270" s="74" t="s">
        <v>4</v>
      </c>
      <c r="U270" s="95" t="s">
        <v>14</v>
      </c>
      <c r="V270" s="95" t="s">
        <v>1911</v>
      </c>
      <c r="W270" s="95" t="s">
        <v>1919</v>
      </c>
      <c r="X270" s="95" t="s">
        <v>2835</v>
      </c>
      <c r="Y270" s="72" t="s">
        <v>2972</v>
      </c>
      <c r="Z270" s="72" t="s">
        <v>129</v>
      </c>
      <c r="AA270" s="95" t="s">
        <v>2835</v>
      </c>
      <c r="AB270" s="132"/>
      <c r="AC270" s="132"/>
      <c r="AD270" s="132"/>
      <c r="AE270" s="63"/>
      <c r="AF270" s="63"/>
      <c r="AG270" s="63"/>
    </row>
    <row r="271" spans="1:33" ht="17.2" customHeight="1">
      <c r="A271" s="64" t="str">
        <f>IF(priority(Main[[#This Row],[Comments]])&lt;&gt;0, priority(Main[[#This Row],[Comments]]),"")</f>
        <v/>
      </c>
      <c r="B271" s="60" t="s">
        <v>2163</v>
      </c>
      <c r="C271" s="72" t="s">
        <v>4</v>
      </c>
      <c r="D271" s="59" t="s">
        <v>2164</v>
      </c>
      <c r="E271" s="85">
        <v>40781.644953703704</v>
      </c>
      <c r="F271" s="85"/>
      <c r="G271" s="64" t="str">
        <f>IF(stdProdLT(Main[[#This Row],[Comments]])=0.1,"N/A",IF(stdProdLT(Main[[#This Row],[Comments]])=0,"",TRIM(stdProdLT(Main[[#This Row],[Comments]]))))</f>
        <v/>
      </c>
      <c r="H271" s="94" t="str">
        <f>IF(OR(Main[[#This Row],[Std. Prod. Lead Time]]="N/A",Main[[#This Row],[Std. Prod. Lead Time]]=""), "",IF(AND(Main[[#This Row],[In Stock Date]]&lt;&gt;"",Main[[#This Row],[Revised Due Date]]&lt;&gt;"",Main[[#This Row],[In Stock Date]]&lt;&gt;""),Main[[#This Row],[In Stock Date]]-Main[[#This Row],[Revised Due Date]],""))</f>
        <v/>
      </c>
      <c r="I271" s="101" t="s">
        <v>4</v>
      </c>
      <c r="J271" s="95" t="s">
        <v>4</v>
      </c>
      <c r="K271" s="95" t="s">
        <v>4</v>
      </c>
      <c r="L271" s="85"/>
      <c r="M271" s="73" t="str">
        <f>IF(Main[[#This Row],[Tech Start Date]]&lt;1/1/1990,"",IF(Main[[#This Row],[Class]]="C",WORKDAY(Main[[#This Row],[Tech Start Date]],9),IF(Main[[#This Row],[Class]]="B", WORKDAY(Main[[#This Row],[Tech Start Date]],6),IF(Main[[#This Row],[Class]]="A",WORKDAY(Main[[#This Row],[Tech Start Date]],2),""))))</f>
        <v/>
      </c>
      <c r="N271" s="73" t="str">
        <f>IF(Main[[#This Row],[Tech Start Date]]&lt;1/1/1990,"",IF(Main[[#This Row],[Class]]="C",WORKDAY(Main[[#This Row],[Tech Start Date]],19),IF(Main[[#This Row],[Class]]="B", WORKDAY(Main[[#This Row],[Tech Start Date]],12),IF(Main[[#This Row],[Class]]="A",WORKDAY(Main[[#This Row],[Tech Start Date]],4),""))))</f>
        <v/>
      </c>
      <c r="O271" s="73" t="str">
        <f>IF(Main[[#This Row],[Tech Start Date]]&lt;1/1/1990,"",IF(Main[[#This Row],[Class]]="C",WORKDAY(Main[[#This Row],[Tech Start Date]],23),IF(Main[[#This Row],[Class]]="B", WORKDAY(Main[[#This Row],[Tech Start Date]],15),IF(Main[[#This Row],[Class]]="A",WORKDAY(Main[[#This Row],[Tech Start Date]],5),""))))</f>
        <v/>
      </c>
      <c r="P271" s="73" t="str">
        <f>IF(Main[[#This Row],[Tech Start Date]]&lt;1/1/1990,"",IF(Main[[#This Row],[Class]]="C",WORKDAY(Main[[#This Row],[Tech Start Date]],28),IF(Main[[#This Row],[Class]]="B", WORKDAY(Main[[#This Row],[Tech Start Date]],19),IF(Main[[#This Row],[Class]]="A",WORKDAY(Main[[#This Row],[Tech Start Date]],9),""))))</f>
        <v/>
      </c>
      <c r="Q271" s="85">
        <v>40809</v>
      </c>
      <c r="R271" s="112"/>
      <c r="S271" s="95" t="s">
        <v>6</v>
      </c>
      <c r="T271" s="74" t="s">
        <v>4</v>
      </c>
      <c r="U271" s="95" t="s">
        <v>7</v>
      </c>
      <c r="V271" s="95" t="s">
        <v>1911</v>
      </c>
      <c r="W271" s="95" t="s">
        <v>4</v>
      </c>
      <c r="X271" s="95" t="s">
        <v>2799</v>
      </c>
      <c r="Y271" s="72" t="s">
        <v>2910</v>
      </c>
      <c r="Z271" s="72" t="s">
        <v>4</v>
      </c>
      <c r="AA271" s="95" t="s">
        <v>2799</v>
      </c>
      <c r="AB271" s="132"/>
      <c r="AC271" s="132"/>
      <c r="AD271" s="132"/>
      <c r="AE271" s="63"/>
      <c r="AF271" s="63"/>
      <c r="AG271" s="63"/>
    </row>
    <row r="272" spans="1:33" ht="17.2" customHeight="1">
      <c r="A272" s="64" t="str">
        <f>IF(priority(Main[[#This Row],[Comments]])&lt;&gt;0, priority(Main[[#This Row],[Comments]]),"")</f>
        <v/>
      </c>
      <c r="B272" s="60" t="s">
        <v>2683</v>
      </c>
      <c r="C272" s="72" t="s">
        <v>4</v>
      </c>
      <c r="D272" s="59" t="s">
        <v>2684</v>
      </c>
      <c r="E272" s="85">
        <v>40892.147916666669</v>
      </c>
      <c r="F272" s="85"/>
      <c r="G272" s="64" t="str">
        <f>IF(stdProdLT(Main[[#This Row],[Comments]])=0.1,"N/A",IF(stdProdLT(Main[[#This Row],[Comments]])=0,"",TRIM(stdProdLT(Main[[#This Row],[Comments]]))))</f>
        <v/>
      </c>
      <c r="H272" s="94" t="str">
        <f>IF(OR(Main[[#This Row],[Std. Prod. Lead Time]]="N/A",Main[[#This Row],[Std. Prod. Lead Time]]=""), "",IF(AND(Main[[#This Row],[In Stock Date]]&lt;&gt;"",Main[[#This Row],[Revised Due Date]]&lt;&gt;"",Main[[#This Row],[In Stock Date]]&lt;&gt;""),Main[[#This Row],[In Stock Date]]-Main[[#This Row],[Revised Due Date]],""))</f>
        <v/>
      </c>
      <c r="I272" s="101" t="s">
        <v>69</v>
      </c>
      <c r="J272" s="95" t="s">
        <v>70</v>
      </c>
      <c r="K272" s="95" t="s">
        <v>1920</v>
      </c>
      <c r="L272" s="85"/>
      <c r="M272" s="73" t="str">
        <f>IF(Main[[#This Row],[Tech Start Date]]&lt;1/1/1990,"",IF(Main[[#This Row],[Class]]="C",WORKDAY(Main[[#This Row],[Tech Start Date]],9),IF(Main[[#This Row],[Class]]="B", WORKDAY(Main[[#This Row],[Tech Start Date]],6),IF(Main[[#This Row],[Class]]="A",WORKDAY(Main[[#This Row],[Tech Start Date]],2),""))))</f>
        <v/>
      </c>
      <c r="N272" s="73" t="str">
        <f>IF(Main[[#This Row],[Tech Start Date]]&lt;1/1/1990,"",IF(Main[[#This Row],[Class]]="C",WORKDAY(Main[[#This Row],[Tech Start Date]],19),IF(Main[[#This Row],[Class]]="B", WORKDAY(Main[[#This Row],[Tech Start Date]],12),IF(Main[[#This Row],[Class]]="A",WORKDAY(Main[[#This Row],[Tech Start Date]],4),""))))</f>
        <v/>
      </c>
      <c r="O272" s="73" t="str">
        <f>IF(Main[[#This Row],[Tech Start Date]]&lt;1/1/1990,"",IF(Main[[#This Row],[Class]]="C",WORKDAY(Main[[#This Row],[Tech Start Date]],23),IF(Main[[#This Row],[Class]]="B", WORKDAY(Main[[#This Row],[Tech Start Date]],15),IF(Main[[#This Row],[Class]]="A",WORKDAY(Main[[#This Row],[Tech Start Date]],5),""))))</f>
        <v/>
      </c>
      <c r="P272" s="73" t="str">
        <f>IF(Main[[#This Row],[Tech Start Date]]&lt;1/1/1990,"",IF(Main[[#This Row],[Class]]="C",WORKDAY(Main[[#This Row],[Tech Start Date]],28),IF(Main[[#This Row],[Class]]="B", WORKDAY(Main[[#This Row],[Tech Start Date]],19),IF(Main[[#This Row],[Class]]="A",WORKDAY(Main[[#This Row],[Tech Start Date]],9),""))))</f>
        <v/>
      </c>
      <c r="Q272" s="85">
        <v>40914</v>
      </c>
      <c r="R272" s="112"/>
      <c r="S272" s="95" t="s">
        <v>6</v>
      </c>
      <c r="T272" s="74" t="s">
        <v>4</v>
      </c>
      <c r="U272" s="95" t="s">
        <v>29</v>
      </c>
      <c r="V272" s="95" t="s">
        <v>1914</v>
      </c>
      <c r="W272" s="95" t="s">
        <v>1915</v>
      </c>
      <c r="X272" s="95" t="s">
        <v>2831</v>
      </c>
      <c r="Y272" s="72" t="s">
        <v>2964</v>
      </c>
      <c r="Z272" s="72" t="s">
        <v>30</v>
      </c>
      <c r="AA272" s="95" t="s">
        <v>2831</v>
      </c>
      <c r="AB272" s="132"/>
      <c r="AC272" s="132"/>
      <c r="AD272" s="132"/>
      <c r="AE272" s="63"/>
      <c r="AF272" s="63"/>
      <c r="AG272" s="63"/>
    </row>
    <row r="273" spans="1:33" ht="17.2" customHeight="1">
      <c r="A273" s="64" t="str">
        <f>IF(priority(Main[[#This Row],[Comments]])&lt;&gt;0, priority(Main[[#This Row],[Comments]]),"")</f>
        <v/>
      </c>
      <c r="B273" s="60" t="s">
        <v>2336</v>
      </c>
      <c r="C273" s="72" t="s">
        <v>4</v>
      </c>
      <c r="D273" s="59" t="s">
        <v>2337</v>
      </c>
      <c r="E273" s="85">
        <v>40876.410104166665</v>
      </c>
      <c r="F273" s="85"/>
      <c r="G273" s="64" t="str">
        <f>IF(stdProdLT(Main[[#This Row],[Comments]])=0.1,"N/A",IF(stdProdLT(Main[[#This Row],[Comments]])=0,"",TRIM(stdProdLT(Main[[#This Row],[Comments]]))))</f>
        <v/>
      </c>
      <c r="H273" s="94" t="str">
        <f>IF(OR(Main[[#This Row],[Std. Prod. Lead Time]]="N/A",Main[[#This Row],[Std. Prod. Lead Time]]=""), "",IF(AND(Main[[#This Row],[In Stock Date]]&lt;&gt;"",Main[[#This Row],[Revised Due Date]]&lt;&gt;"",Main[[#This Row],[In Stock Date]]&lt;&gt;""),Main[[#This Row],[In Stock Date]]-Main[[#This Row],[Revised Due Date]],""))</f>
        <v/>
      </c>
      <c r="I273" s="101" t="s">
        <v>4</v>
      </c>
      <c r="J273" s="95" t="s">
        <v>4</v>
      </c>
      <c r="K273" s="95" t="s">
        <v>4</v>
      </c>
      <c r="L273" s="85"/>
      <c r="M273" s="73" t="str">
        <f>IF(Main[[#This Row],[Tech Start Date]]&lt;1/1/1990,"",IF(Main[[#This Row],[Class]]="C",WORKDAY(Main[[#This Row],[Tech Start Date]],9),IF(Main[[#This Row],[Class]]="B", WORKDAY(Main[[#This Row],[Tech Start Date]],6),IF(Main[[#This Row],[Class]]="A",WORKDAY(Main[[#This Row],[Tech Start Date]],2),""))))</f>
        <v/>
      </c>
      <c r="N273" s="73" t="str">
        <f>IF(Main[[#This Row],[Tech Start Date]]&lt;1/1/1990,"",IF(Main[[#This Row],[Class]]="C",WORKDAY(Main[[#This Row],[Tech Start Date]],19),IF(Main[[#This Row],[Class]]="B", WORKDAY(Main[[#This Row],[Tech Start Date]],12),IF(Main[[#This Row],[Class]]="A",WORKDAY(Main[[#This Row],[Tech Start Date]],4),""))))</f>
        <v/>
      </c>
      <c r="O273" s="73" t="str">
        <f>IF(Main[[#This Row],[Tech Start Date]]&lt;1/1/1990,"",IF(Main[[#This Row],[Class]]="C",WORKDAY(Main[[#This Row],[Tech Start Date]],23),IF(Main[[#This Row],[Class]]="B", WORKDAY(Main[[#This Row],[Tech Start Date]],15),IF(Main[[#This Row],[Class]]="A",WORKDAY(Main[[#This Row],[Tech Start Date]],5),""))))</f>
        <v/>
      </c>
      <c r="P273" s="73" t="str">
        <f>IF(Main[[#This Row],[Tech Start Date]]&lt;1/1/1990,"",IF(Main[[#This Row],[Class]]="C",WORKDAY(Main[[#This Row],[Tech Start Date]],28),IF(Main[[#This Row],[Class]]="B", WORKDAY(Main[[#This Row],[Tech Start Date]],19),IF(Main[[#This Row],[Class]]="A",WORKDAY(Main[[#This Row],[Tech Start Date]],9),""))))</f>
        <v/>
      </c>
      <c r="Q273" s="85">
        <v>40879</v>
      </c>
      <c r="R273" s="112"/>
      <c r="S273" s="95" t="s">
        <v>6</v>
      </c>
      <c r="T273" s="74" t="s">
        <v>4</v>
      </c>
      <c r="U273" s="95" t="s">
        <v>29</v>
      </c>
      <c r="V273" s="95" t="s">
        <v>1912</v>
      </c>
      <c r="W273" s="95" t="s">
        <v>1915</v>
      </c>
      <c r="X273" s="95" t="s">
        <v>941</v>
      </c>
      <c r="Y273" s="72" t="s">
        <v>2973</v>
      </c>
      <c r="Z273" s="72" t="s">
        <v>4</v>
      </c>
      <c r="AA273" s="95" t="s">
        <v>941</v>
      </c>
      <c r="AB273" s="132"/>
      <c r="AC273" s="132"/>
      <c r="AD273" s="132"/>
      <c r="AE273" s="63"/>
      <c r="AF273" s="63"/>
      <c r="AG273" s="63"/>
    </row>
    <row r="274" spans="1:33" ht="17.2" customHeight="1">
      <c r="A274" s="64" t="str">
        <f>IF(priority(Main[[#This Row],[Comments]])&lt;&gt;0, priority(Main[[#This Row],[Comments]]),"")</f>
        <v/>
      </c>
      <c r="B274" s="60" t="s">
        <v>2453</v>
      </c>
      <c r="C274" s="72" t="s">
        <v>4</v>
      </c>
      <c r="D274" s="59" t="s">
        <v>2454</v>
      </c>
      <c r="E274" s="85">
        <v>40876.411770833336</v>
      </c>
      <c r="F274" s="85"/>
      <c r="G274" s="64" t="str">
        <f>IF(stdProdLT(Main[[#This Row],[Comments]])=0.1,"N/A",IF(stdProdLT(Main[[#This Row],[Comments]])=0,"",TRIM(stdProdLT(Main[[#This Row],[Comments]]))))</f>
        <v/>
      </c>
      <c r="H274" s="94" t="str">
        <f>IF(OR(Main[[#This Row],[Std. Prod. Lead Time]]="N/A",Main[[#This Row],[Std. Prod. Lead Time]]=""), "",IF(AND(Main[[#This Row],[In Stock Date]]&lt;&gt;"",Main[[#This Row],[Revised Due Date]]&lt;&gt;"",Main[[#This Row],[In Stock Date]]&lt;&gt;""),Main[[#This Row],[In Stock Date]]-Main[[#This Row],[Revised Due Date]],""))</f>
        <v/>
      </c>
      <c r="I274" s="101" t="s">
        <v>4</v>
      </c>
      <c r="J274" s="95" t="s">
        <v>4</v>
      </c>
      <c r="K274" s="96" t="s">
        <v>4</v>
      </c>
      <c r="L274" s="85"/>
      <c r="M274" s="73" t="str">
        <f>IF(Main[[#This Row],[Tech Start Date]]&lt;1/1/1990,"",IF(Main[[#This Row],[Class]]="C",WORKDAY(Main[[#This Row],[Tech Start Date]],9),IF(Main[[#This Row],[Class]]="B", WORKDAY(Main[[#This Row],[Tech Start Date]],6),IF(Main[[#This Row],[Class]]="A",WORKDAY(Main[[#This Row],[Tech Start Date]],2),""))))</f>
        <v/>
      </c>
      <c r="N274" s="73" t="str">
        <f>IF(Main[[#This Row],[Tech Start Date]]&lt;1/1/1990,"",IF(Main[[#This Row],[Class]]="C",WORKDAY(Main[[#This Row],[Tech Start Date]],19),IF(Main[[#This Row],[Class]]="B", WORKDAY(Main[[#This Row],[Tech Start Date]],12),IF(Main[[#This Row],[Class]]="A",WORKDAY(Main[[#This Row],[Tech Start Date]],4),""))))</f>
        <v/>
      </c>
      <c r="O274" s="73" t="str">
        <f>IF(Main[[#This Row],[Tech Start Date]]&lt;1/1/1990,"",IF(Main[[#This Row],[Class]]="C",WORKDAY(Main[[#This Row],[Tech Start Date]],23),IF(Main[[#This Row],[Class]]="B", WORKDAY(Main[[#This Row],[Tech Start Date]],15),IF(Main[[#This Row],[Class]]="A",WORKDAY(Main[[#This Row],[Tech Start Date]],5),""))))</f>
        <v/>
      </c>
      <c r="P274" s="73" t="str">
        <f>IF(Main[[#This Row],[Tech Start Date]]&lt;1/1/1990,"",IF(Main[[#This Row],[Class]]="C",WORKDAY(Main[[#This Row],[Tech Start Date]],28),IF(Main[[#This Row],[Class]]="B", WORKDAY(Main[[#This Row],[Tech Start Date]],19),IF(Main[[#This Row],[Class]]="A",WORKDAY(Main[[#This Row],[Tech Start Date]],9),""))))</f>
        <v/>
      </c>
      <c r="Q274" s="85"/>
      <c r="R274" s="112"/>
      <c r="S274" s="95" t="s">
        <v>6</v>
      </c>
      <c r="T274" s="74" t="s">
        <v>4</v>
      </c>
      <c r="U274" s="95" t="s">
        <v>7</v>
      </c>
      <c r="V274" s="95" t="s">
        <v>1911</v>
      </c>
      <c r="W274" s="95" t="s">
        <v>1919</v>
      </c>
      <c r="X274" s="95" t="s">
        <v>306</v>
      </c>
      <c r="Y274" s="72" t="s">
        <v>4</v>
      </c>
      <c r="Z274" s="72" t="s">
        <v>4</v>
      </c>
      <c r="AA274" s="95" t="s">
        <v>3354</v>
      </c>
      <c r="AB274" s="132"/>
      <c r="AC274" s="132"/>
      <c r="AD274" s="132"/>
      <c r="AE274" s="63"/>
      <c r="AF274" s="63"/>
      <c r="AG274" s="63"/>
    </row>
    <row r="275" spans="1:33" ht="17.2" customHeight="1">
      <c r="A275" s="12" t="str">
        <f>IF(priority(Main[[#This Row],[Comments]])&lt;&gt;0, priority(Main[[#This Row],[Comments]]),"")</f>
        <v/>
      </c>
      <c r="B275" s="60" t="s">
        <v>1974</v>
      </c>
      <c r="C275" s="75" t="s">
        <v>1969</v>
      </c>
      <c r="D275" s="110" t="s">
        <v>1975</v>
      </c>
      <c r="E275" s="86"/>
      <c r="F275" s="86"/>
      <c r="G275" s="12" t="str">
        <f>IF(stdProdLT(Main[[#This Row],[Comments]])=0.1,"N/A",IF(stdProdLT(Main[[#This Row],[Comments]])=0,"",TRIM(stdProdLT(Main[[#This Row],[Comments]]))))</f>
        <v/>
      </c>
      <c r="H275" s="97" t="str">
        <f>IF(OR(Main[[#This Row],[Std. Prod. Lead Time]]="N/A",Main[[#This Row],[Std. Prod. Lead Time]]=""), "",IF(AND(Main[[#This Row],[In Stock Date]]&lt;&gt;"",Main[[#This Row],[Revised Due Date]]&lt;&gt;"",Main[[#This Row],[In Stock Date]]&lt;&gt;""),Main[[#This Row],[In Stock Date]]-Main[[#This Row],[Revised Due Date]],""))</f>
        <v/>
      </c>
      <c r="I275" s="102" t="s">
        <v>4</v>
      </c>
      <c r="J275" s="12" t="s">
        <v>4</v>
      </c>
      <c r="K275" s="12" t="s">
        <v>4</v>
      </c>
      <c r="L275" s="86"/>
      <c r="M275" s="73" t="str">
        <f>IF(Main[[#This Row],[Tech Start Date]]&lt;1/1/1990,"",IF(Main[[#This Row],[Class]]="C",WORKDAY(Main[[#This Row],[Tech Start Date]],9),IF(Main[[#This Row],[Class]]="B", WORKDAY(Main[[#This Row],[Tech Start Date]],6),IF(Main[[#This Row],[Class]]="A",WORKDAY(Main[[#This Row],[Tech Start Date]],2),""))))</f>
        <v/>
      </c>
      <c r="N275" s="73" t="str">
        <f>IF(Main[[#This Row],[Tech Start Date]]&lt;1/1/1990,"",IF(Main[[#This Row],[Class]]="C",WORKDAY(Main[[#This Row],[Tech Start Date]],19),IF(Main[[#This Row],[Class]]="B", WORKDAY(Main[[#This Row],[Tech Start Date]],12),IF(Main[[#This Row],[Class]]="A",WORKDAY(Main[[#This Row],[Tech Start Date]],4),""))))</f>
        <v/>
      </c>
      <c r="O275" s="73" t="str">
        <f>IF(Main[[#This Row],[Tech Start Date]]&lt;1/1/1990,"",IF(Main[[#This Row],[Class]]="C",WORKDAY(Main[[#This Row],[Tech Start Date]],23),IF(Main[[#This Row],[Class]]="B", WORKDAY(Main[[#This Row],[Tech Start Date]],15),IF(Main[[#This Row],[Class]]="A",WORKDAY(Main[[#This Row],[Tech Start Date]],5),""))))</f>
        <v/>
      </c>
      <c r="P275" s="73" t="str">
        <f>IF(Main[[#This Row],[Tech Start Date]]&lt;1/1/1990,"",IF(Main[[#This Row],[Class]]="C",WORKDAY(Main[[#This Row],[Tech Start Date]],28),IF(Main[[#This Row],[Class]]="B", WORKDAY(Main[[#This Row],[Tech Start Date]],19),IF(Main[[#This Row],[Class]]="A",WORKDAY(Main[[#This Row],[Tech Start Date]],9),""))))</f>
        <v/>
      </c>
      <c r="Q275" s="86">
        <v>40745</v>
      </c>
      <c r="R275" s="115"/>
      <c r="S275" s="12" t="s">
        <v>11</v>
      </c>
      <c r="T275" s="76" t="s">
        <v>4</v>
      </c>
      <c r="U275" s="12" t="s">
        <v>14</v>
      </c>
      <c r="V275" s="12" t="s">
        <v>1912</v>
      </c>
      <c r="W275" s="12" t="s">
        <v>1913</v>
      </c>
      <c r="X275" s="12" t="s">
        <v>2796</v>
      </c>
      <c r="Y275" s="75" t="s">
        <v>4</v>
      </c>
      <c r="Z275" s="75" t="s">
        <v>4</v>
      </c>
      <c r="AA275" s="95" t="s">
        <v>2796</v>
      </c>
      <c r="AB275" s="132"/>
      <c r="AC275" s="132"/>
      <c r="AD275" s="132"/>
      <c r="AE275" s="63"/>
      <c r="AF275" s="63"/>
      <c r="AG275" s="63"/>
    </row>
    <row r="276" spans="1:33" ht="17.2" customHeight="1">
      <c r="A276" s="64" t="str">
        <f>IF(priority(Main[[#This Row],[Comments]])&lt;&gt;0, priority(Main[[#This Row],[Comments]]),"")</f>
        <v/>
      </c>
      <c r="B276" s="60" t="s">
        <v>1496</v>
      </c>
      <c r="C276" s="72" t="s">
        <v>93</v>
      </c>
      <c r="D276" s="59" t="s">
        <v>599</v>
      </c>
      <c r="E276" s="85">
        <v>40016.655266203707</v>
      </c>
      <c r="F276" s="85"/>
      <c r="G276" s="64" t="str">
        <f>IF(stdProdLT(Main[[#This Row],[Comments]])=0.1,"N/A",IF(stdProdLT(Main[[#This Row],[Comments]])=0,"",TRIM(stdProdLT(Main[[#This Row],[Comments]]))))</f>
        <v/>
      </c>
      <c r="H276" s="94" t="str">
        <f>IF(OR(Main[[#This Row],[Std. Prod. Lead Time]]="N/A",Main[[#This Row],[Std. Prod. Lead Time]]=""), "",IF(AND(Main[[#This Row],[In Stock Date]]&lt;&gt;"",Main[[#This Row],[Revised Due Date]]&lt;&gt;"",Main[[#This Row],[In Stock Date]]&lt;&gt;""),Main[[#This Row],[In Stock Date]]-Main[[#This Row],[Revised Due Date]],""))</f>
        <v/>
      </c>
      <c r="I276" s="101" t="s">
        <v>4</v>
      </c>
      <c r="J276" s="95" t="s">
        <v>4</v>
      </c>
      <c r="K276" s="95" t="s">
        <v>4</v>
      </c>
      <c r="L276" s="85"/>
      <c r="M276" s="73" t="str">
        <f>IF(Main[[#This Row],[Tech Start Date]]&lt;1/1/1990,"",IF(Main[[#This Row],[Class]]="C",WORKDAY(Main[[#This Row],[Tech Start Date]],9),IF(Main[[#This Row],[Class]]="B", WORKDAY(Main[[#This Row],[Tech Start Date]],6),IF(Main[[#This Row],[Class]]="A",WORKDAY(Main[[#This Row],[Tech Start Date]],2),""))))</f>
        <v/>
      </c>
      <c r="N276" s="73" t="str">
        <f>IF(Main[[#This Row],[Tech Start Date]]&lt;1/1/1990,"",IF(Main[[#This Row],[Class]]="C",WORKDAY(Main[[#This Row],[Tech Start Date]],19),IF(Main[[#This Row],[Class]]="B", WORKDAY(Main[[#This Row],[Tech Start Date]],12),IF(Main[[#This Row],[Class]]="A",WORKDAY(Main[[#This Row],[Tech Start Date]],4),""))))</f>
        <v/>
      </c>
      <c r="O276" s="73" t="str">
        <f>IF(Main[[#This Row],[Tech Start Date]]&lt;1/1/1990,"",IF(Main[[#This Row],[Class]]="C",WORKDAY(Main[[#This Row],[Tech Start Date]],23),IF(Main[[#This Row],[Class]]="B", WORKDAY(Main[[#This Row],[Tech Start Date]],15),IF(Main[[#This Row],[Class]]="A",WORKDAY(Main[[#This Row],[Tech Start Date]],5),""))))</f>
        <v/>
      </c>
      <c r="P276" s="73" t="str">
        <f>IF(Main[[#This Row],[Tech Start Date]]&lt;1/1/1990,"",IF(Main[[#This Row],[Class]]="C",WORKDAY(Main[[#This Row],[Tech Start Date]],28),IF(Main[[#This Row],[Class]]="B", WORKDAY(Main[[#This Row],[Tech Start Date]],19),IF(Main[[#This Row],[Class]]="A",WORKDAY(Main[[#This Row],[Tech Start Date]],9),""))))</f>
        <v/>
      </c>
      <c r="Q276" s="85"/>
      <c r="R276" s="112"/>
      <c r="S276" s="95" t="s">
        <v>17</v>
      </c>
      <c r="T276" s="74" t="s">
        <v>4</v>
      </c>
      <c r="U276" s="95" t="s">
        <v>29</v>
      </c>
      <c r="V276" s="95" t="s">
        <v>1914</v>
      </c>
      <c r="W276" s="95" t="s">
        <v>1917</v>
      </c>
      <c r="X276" s="95" t="s">
        <v>2833</v>
      </c>
      <c r="Y276" s="72" t="s">
        <v>2969</v>
      </c>
      <c r="Z276" s="72" t="s">
        <v>4</v>
      </c>
      <c r="AA276" s="95" t="s">
        <v>2833</v>
      </c>
      <c r="AB276" s="132"/>
      <c r="AC276" s="132"/>
      <c r="AD276" s="132"/>
      <c r="AE276" s="63"/>
      <c r="AF276" s="63"/>
      <c r="AG276" s="63"/>
    </row>
    <row r="277" spans="1:33" ht="17.2" customHeight="1">
      <c r="A277" s="64" t="str">
        <f>IF(priority(Main[[#This Row],[Comments]])&lt;&gt;0, priority(Main[[#This Row],[Comments]]),"")</f>
        <v/>
      </c>
      <c r="B277" s="60" t="s">
        <v>1674</v>
      </c>
      <c r="C277" s="72" t="s">
        <v>4</v>
      </c>
      <c r="D277" s="59" t="s">
        <v>734</v>
      </c>
      <c r="E277" s="85">
        <v>40618.366238425922</v>
      </c>
      <c r="F277" s="85"/>
      <c r="G277" s="64" t="str">
        <f>IF(stdProdLT(Main[[#This Row],[Comments]])=0.1,"N/A",IF(stdProdLT(Main[[#This Row],[Comments]])=0,"",TRIM(stdProdLT(Main[[#This Row],[Comments]]))))</f>
        <v/>
      </c>
      <c r="H277" s="94" t="str">
        <f>IF(OR(Main[[#This Row],[Std. Prod. Lead Time]]="N/A",Main[[#This Row],[Std. Prod. Lead Time]]=""), "",IF(AND(Main[[#This Row],[In Stock Date]]&lt;&gt;"",Main[[#This Row],[Revised Due Date]]&lt;&gt;"",Main[[#This Row],[In Stock Date]]&lt;&gt;""),Main[[#This Row],[In Stock Date]]-Main[[#This Row],[Revised Due Date]],""))</f>
        <v/>
      </c>
      <c r="I277" s="101" t="s">
        <v>30</v>
      </c>
      <c r="J277" s="95" t="s">
        <v>28</v>
      </c>
      <c r="K277" s="95" t="s">
        <v>1920</v>
      </c>
      <c r="L277" s="85"/>
      <c r="M277" s="73" t="str">
        <f>IF(Main[[#This Row],[Tech Start Date]]&lt;1/1/1990,"",IF(Main[[#This Row],[Class]]="C",WORKDAY(Main[[#This Row],[Tech Start Date]],9),IF(Main[[#This Row],[Class]]="B", WORKDAY(Main[[#This Row],[Tech Start Date]],6),IF(Main[[#This Row],[Class]]="A",WORKDAY(Main[[#This Row],[Tech Start Date]],2),""))))</f>
        <v/>
      </c>
      <c r="N277" s="73" t="str">
        <f>IF(Main[[#This Row],[Tech Start Date]]&lt;1/1/1990,"",IF(Main[[#This Row],[Class]]="C",WORKDAY(Main[[#This Row],[Tech Start Date]],19),IF(Main[[#This Row],[Class]]="B", WORKDAY(Main[[#This Row],[Tech Start Date]],12),IF(Main[[#This Row],[Class]]="A",WORKDAY(Main[[#This Row],[Tech Start Date]],4),""))))</f>
        <v/>
      </c>
      <c r="O277" s="73" t="str">
        <f>IF(Main[[#This Row],[Tech Start Date]]&lt;1/1/1990,"",IF(Main[[#This Row],[Class]]="C",WORKDAY(Main[[#This Row],[Tech Start Date]],23),IF(Main[[#This Row],[Class]]="B", WORKDAY(Main[[#This Row],[Tech Start Date]],15),IF(Main[[#This Row],[Class]]="A",WORKDAY(Main[[#This Row],[Tech Start Date]],5),""))))</f>
        <v/>
      </c>
      <c r="P277" s="73" t="str">
        <f>IF(Main[[#This Row],[Tech Start Date]]&lt;1/1/1990,"",IF(Main[[#This Row],[Class]]="C",WORKDAY(Main[[#This Row],[Tech Start Date]],28),IF(Main[[#This Row],[Class]]="B", WORKDAY(Main[[#This Row],[Tech Start Date]],19),IF(Main[[#This Row],[Class]]="A",WORKDAY(Main[[#This Row],[Tech Start Date]],9),""))))</f>
        <v/>
      </c>
      <c r="Q277" s="85"/>
      <c r="R277" s="112"/>
      <c r="S277" s="95" t="s">
        <v>6</v>
      </c>
      <c r="T277" s="74" t="s">
        <v>4</v>
      </c>
      <c r="U277" s="95" t="s">
        <v>29</v>
      </c>
      <c r="V277" s="95" t="s">
        <v>1914</v>
      </c>
      <c r="W277" s="95" t="s">
        <v>1913</v>
      </c>
      <c r="X277" s="95" t="s">
        <v>415</v>
      </c>
      <c r="Y277" s="72" t="s">
        <v>2953</v>
      </c>
      <c r="Z277" s="72" t="s">
        <v>30</v>
      </c>
      <c r="AA277" s="95" t="s">
        <v>415</v>
      </c>
      <c r="AB277" s="132"/>
      <c r="AC277" s="132"/>
      <c r="AD277" s="132"/>
      <c r="AE277" s="63"/>
      <c r="AF277" s="63"/>
      <c r="AG277" s="63"/>
    </row>
    <row r="278" spans="1:33" ht="17.2" customHeight="1">
      <c r="A278" s="64" t="str">
        <f>IF(priority(Main[[#This Row],[Comments]])&lt;&gt;0, priority(Main[[#This Row],[Comments]]),"")</f>
        <v/>
      </c>
      <c r="B278" s="60" t="s">
        <v>2063</v>
      </c>
      <c r="C278" s="72" t="s">
        <v>4</v>
      </c>
      <c r="D278" s="59" t="s">
        <v>2064</v>
      </c>
      <c r="E278" s="85"/>
      <c r="F278" s="85"/>
      <c r="G278" s="64" t="str">
        <f>IF(stdProdLT(Main[[#This Row],[Comments]])=0.1,"N/A",IF(stdProdLT(Main[[#This Row],[Comments]])=0,"",TRIM(stdProdLT(Main[[#This Row],[Comments]]))))</f>
        <v/>
      </c>
      <c r="H278" s="94" t="str">
        <f>IF(OR(Main[[#This Row],[Std. Prod. Lead Time]]="N/A",Main[[#This Row],[Std. Prod. Lead Time]]=""), "",IF(AND(Main[[#This Row],[In Stock Date]]&lt;&gt;"",Main[[#This Row],[Revised Due Date]]&lt;&gt;"",Main[[#This Row],[In Stock Date]]&lt;&gt;""),Main[[#This Row],[In Stock Date]]-Main[[#This Row],[Revised Due Date]],""))</f>
        <v/>
      </c>
      <c r="I278" s="101" t="s">
        <v>4</v>
      </c>
      <c r="J278" s="95" t="s">
        <v>4</v>
      </c>
      <c r="K278" s="95" t="s">
        <v>4</v>
      </c>
      <c r="L278" s="85"/>
      <c r="M278" s="73" t="str">
        <f>IF(Main[[#This Row],[Tech Start Date]]&lt;1/1/1990,"",IF(Main[[#This Row],[Class]]="C",WORKDAY(Main[[#This Row],[Tech Start Date]],9),IF(Main[[#This Row],[Class]]="B", WORKDAY(Main[[#This Row],[Tech Start Date]],6),IF(Main[[#This Row],[Class]]="A",WORKDAY(Main[[#This Row],[Tech Start Date]],2),""))))</f>
        <v/>
      </c>
      <c r="N278" s="73" t="str">
        <f>IF(Main[[#This Row],[Tech Start Date]]&lt;1/1/1990,"",IF(Main[[#This Row],[Class]]="C",WORKDAY(Main[[#This Row],[Tech Start Date]],19),IF(Main[[#This Row],[Class]]="B", WORKDAY(Main[[#This Row],[Tech Start Date]],12),IF(Main[[#This Row],[Class]]="A",WORKDAY(Main[[#This Row],[Tech Start Date]],4),""))))</f>
        <v/>
      </c>
      <c r="O278" s="73" t="str">
        <f>IF(Main[[#This Row],[Tech Start Date]]&lt;1/1/1990,"",IF(Main[[#This Row],[Class]]="C",WORKDAY(Main[[#This Row],[Tech Start Date]],23),IF(Main[[#This Row],[Class]]="B", WORKDAY(Main[[#This Row],[Tech Start Date]],15),IF(Main[[#This Row],[Class]]="A",WORKDAY(Main[[#This Row],[Tech Start Date]],5),""))))</f>
        <v/>
      </c>
      <c r="P278" s="73" t="str">
        <f>IF(Main[[#This Row],[Tech Start Date]]&lt;1/1/1990,"",IF(Main[[#This Row],[Class]]="C",WORKDAY(Main[[#This Row],[Tech Start Date]],28),IF(Main[[#This Row],[Class]]="B", WORKDAY(Main[[#This Row],[Tech Start Date]],19),IF(Main[[#This Row],[Class]]="A",WORKDAY(Main[[#This Row],[Tech Start Date]],9),""))))</f>
        <v/>
      </c>
      <c r="Q278" s="85"/>
      <c r="R278" s="112"/>
      <c r="S278" s="95" t="s">
        <v>6</v>
      </c>
      <c r="T278" s="74" t="s">
        <v>4</v>
      </c>
      <c r="U278" s="95" t="s">
        <v>14</v>
      </c>
      <c r="V278" s="95" t="s">
        <v>1911</v>
      </c>
      <c r="W278" s="95" t="s">
        <v>1915</v>
      </c>
      <c r="X278" s="95" t="s">
        <v>306</v>
      </c>
      <c r="Y278" s="72" t="s">
        <v>4</v>
      </c>
      <c r="Z278" s="72" t="s">
        <v>4</v>
      </c>
      <c r="AA278" s="95" t="s">
        <v>3347</v>
      </c>
      <c r="AB278" s="132"/>
      <c r="AC278" s="132"/>
      <c r="AD278" s="132"/>
      <c r="AE278" s="63"/>
      <c r="AF278" s="63"/>
      <c r="AG278" s="63"/>
    </row>
    <row r="279" spans="1:33" ht="17.2" customHeight="1">
      <c r="A279" s="64" t="str">
        <f>IF(priority(Main[[#This Row],[Comments]])&lt;&gt;0, priority(Main[[#This Row],[Comments]]),"")</f>
        <v/>
      </c>
      <c r="B279" s="60" t="s">
        <v>1115</v>
      </c>
      <c r="C279" s="72" t="s">
        <v>4</v>
      </c>
      <c r="D279" s="59" t="s">
        <v>164</v>
      </c>
      <c r="E279" s="85">
        <v>40315.288738425923</v>
      </c>
      <c r="F279" s="85"/>
      <c r="G279" s="64" t="str">
        <f>IF(stdProdLT(Main[[#This Row],[Comments]])=0.1,"N/A",IF(stdProdLT(Main[[#This Row],[Comments]])=0,"",TRIM(stdProdLT(Main[[#This Row],[Comments]]))))</f>
        <v/>
      </c>
      <c r="H279" s="94" t="str">
        <f>IF(OR(Main[[#This Row],[Std. Prod. Lead Time]]="N/A",Main[[#This Row],[Std. Prod. Lead Time]]=""), "",IF(AND(Main[[#This Row],[In Stock Date]]&lt;&gt;"",Main[[#This Row],[Revised Due Date]]&lt;&gt;"",Main[[#This Row],[In Stock Date]]&lt;&gt;""),Main[[#This Row],[In Stock Date]]-Main[[#This Row],[Revised Due Date]],""))</f>
        <v/>
      </c>
      <c r="I279" s="101" t="s">
        <v>129</v>
      </c>
      <c r="J279" s="95" t="s">
        <v>4</v>
      </c>
      <c r="K279" s="95" t="s">
        <v>4</v>
      </c>
      <c r="L279" s="85"/>
      <c r="M279" s="73" t="str">
        <f>IF(Main[[#This Row],[Tech Start Date]]&lt;1/1/1990,"",IF(Main[[#This Row],[Class]]="C",WORKDAY(Main[[#This Row],[Tech Start Date]],9),IF(Main[[#This Row],[Class]]="B", WORKDAY(Main[[#This Row],[Tech Start Date]],6),IF(Main[[#This Row],[Class]]="A",WORKDAY(Main[[#This Row],[Tech Start Date]],2),""))))</f>
        <v/>
      </c>
      <c r="N279" s="73" t="str">
        <f>IF(Main[[#This Row],[Tech Start Date]]&lt;1/1/1990,"",IF(Main[[#This Row],[Class]]="C",WORKDAY(Main[[#This Row],[Tech Start Date]],19),IF(Main[[#This Row],[Class]]="B", WORKDAY(Main[[#This Row],[Tech Start Date]],12),IF(Main[[#This Row],[Class]]="A",WORKDAY(Main[[#This Row],[Tech Start Date]],4),""))))</f>
        <v/>
      </c>
      <c r="O279" s="73" t="str">
        <f>IF(Main[[#This Row],[Tech Start Date]]&lt;1/1/1990,"",IF(Main[[#This Row],[Class]]="C",WORKDAY(Main[[#This Row],[Tech Start Date]],23),IF(Main[[#This Row],[Class]]="B", WORKDAY(Main[[#This Row],[Tech Start Date]],15),IF(Main[[#This Row],[Class]]="A",WORKDAY(Main[[#This Row],[Tech Start Date]],5),""))))</f>
        <v/>
      </c>
      <c r="P279" s="73" t="str">
        <f>IF(Main[[#This Row],[Tech Start Date]]&lt;1/1/1990,"",IF(Main[[#This Row],[Class]]="C",WORKDAY(Main[[#This Row],[Tech Start Date]],28),IF(Main[[#This Row],[Class]]="B", WORKDAY(Main[[#This Row],[Tech Start Date]],19),IF(Main[[#This Row],[Class]]="A",WORKDAY(Main[[#This Row],[Tech Start Date]],9),""))))</f>
        <v/>
      </c>
      <c r="Q279" s="85">
        <v>40359</v>
      </c>
      <c r="R279" s="112"/>
      <c r="S279" s="95" t="s">
        <v>6</v>
      </c>
      <c r="T279" s="74" t="s">
        <v>4</v>
      </c>
      <c r="U279" s="95" t="s">
        <v>7</v>
      </c>
      <c r="V279" s="95" t="s">
        <v>1911</v>
      </c>
      <c r="W279" s="95" t="s">
        <v>4</v>
      </c>
      <c r="X279" s="95" t="s">
        <v>2802</v>
      </c>
      <c r="Y279" s="72" t="s">
        <v>2916</v>
      </c>
      <c r="Z279" s="72" t="s">
        <v>4</v>
      </c>
      <c r="AA279" s="95" t="s">
        <v>2802</v>
      </c>
      <c r="AB279" s="132"/>
      <c r="AC279" s="132"/>
      <c r="AD279" s="132"/>
      <c r="AE279" s="63"/>
      <c r="AF279" s="63"/>
      <c r="AG279" s="63"/>
    </row>
    <row r="280" spans="1:33" ht="17.2" customHeight="1">
      <c r="A280" s="64" t="str">
        <f>IF(priority(Main[[#This Row],[Comments]])&lt;&gt;0, priority(Main[[#This Row],[Comments]]),"")</f>
        <v/>
      </c>
      <c r="B280" s="60" t="s">
        <v>1116</v>
      </c>
      <c r="C280" s="72" t="s">
        <v>31</v>
      </c>
      <c r="D280" s="59" t="s">
        <v>165</v>
      </c>
      <c r="E280" s="85">
        <v>40490.313692129632</v>
      </c>
      <c r="F280" s="85">
        <v>40546</v>
      </c>
      <c r="G280" s="64" t="str">
        <f>IF(stdProdLT(Main[[#This Row],[Comments]])=0.1,"N/A",IF(stdProdLT(Main[[#This Row],[Comments]])=0,"",TRIM(stdProdLT(Main[[#This Row],[Comments]]))))</f>
        <v/>
      </c>
      <c r="H280" s="94" t="str">
        <f>IF(OR(Main[[#This Row],[Std. Prod. Lead Time]]="N/A",Main[[#This Row],[Std. Prod. Lead Time]]=""), "",IF(AND(Main[[#This Row],[In Stock Date]]&lt;&gt;"",Main[[#This Row],[Revised Due Date]]&lt;&gt;"",Main[[#This Row],[In Stock Date]]&lt;&gt;""),Main[[#This Row],[In Stock Date]]-Main[[#This Row],[Revised Due Date]],""))</f>
        <v/>
      </c>
      <c r="I280" s="101" t="s">
        <v>4</v>
      </c>
      <c r="J280" s="95" t="s">
        <v>4</v>
      </c>
      <c r="K280" s="95" t="s">
        <v>4</v>
      </c>
      <c r="L280" s="85"/>
      <c r="M280" s="73" t="str">
        <f>IF(Main[[#This Row],[Tech Start Date]]&lt;1/1/1990,"",IF(Main[[#This Row],[Class]]="C",WORKDAY(Main[[#This Row],[Tech Start Date]],9),IF(Main[[#This Row],[Class]]="B", WORKDAY(Main[[#This Row],[Tech Start Date]],6),IF(Main[[#This Row],[Class]]="A",WORKDAY(Main[[#This Row],[Tech Start Date]],2),""))))</f>
        <v/>
      </c>
      <c r="N280" s="73" t="str">
        <f>IF(Main[[#This Row],[Tech Start Date]]&lt;1/1/1990,"",IF(Main[[#This Row],[Class]]="C",WORKDAY(Main[[#This Row],[Tech Start Date]],19),IF(Main[[#This Row],[Class]]="B", WORKDAY(Main[[#This Row],[Tech Start Date]],12),IF(Main[[#This Row],[Class]]="A",WORKDAY(Main[[#This Row],[Tech Start Date]],4),""))))</f>
        <v/>
      </c>
      <c r="O280" s="73" t="str">
        <f>IF(Main[[#This Row],[Tech Start Date]]&lt;1/1/1990,"",IF(Main[[#This Row],[Class]]="C",WORKDAY(Main[[#This Row],[Tech Start Date]],23),IF(Main[[#This Row],[Class]]="B", WORKDAY(Main[[#This Row],[Tech Start Date]],15),IF(Main[[#This Row],[Class]]="A",WORKDAY(Main[[#This Row],[Tech Start Date]],5),""))))</f>
        <v/>
      </c>
      <c r="P280" s="73" t="str">
        <f>IF(Main[[#This Row],[Tech Start Date]]&lt;1/1/1990,"",IF(Main[[#This Row],[Class]]="C",WORKDAY(Main[[#This Row],[Tech Start Date]],28),IF(Main[[#This Row],[Class]]="B", WORKDAY(Main[[#This Row],[Tech Start Date]],19),IF(Main[[#This Row],[Class]]="A",WORKDAY(Main[[#This Row],[Tech Start Date]],9),""))))</f>
        <v/>
      </c>
      <c r="Q280" s="85">
        <v>40543</v>
      </c>
      <c r="R280" s="112"/>
      <c r="S280" s="95" t="s">
        <v>17</v>
      </c>
      <c r="T280" s="74" t="s">
        <v>4</v>
      </c>
      <c r="U280" s="95" t="s">
        <v>7</v>
      </c>
      <c r="V280" s="95" t="s">
        <v>1914</v>
      </c>
      <c r="W280" s="95" t="s">
        <v>4</v>
      </c>
      <c r="X280" s="95" t="s">
        <v>2836</v>
      </c>
      <c r="Y280" s="72" t="s">
        <v>2975</v>
      </c>
      <c r="Z280" s="72" t="s">
        <v>4</v>
      </c>
      <c r="AA280" s="95" t="s">
        <v>2836</v>
      </c>
      <c r="AB280" s="132"/>
      <c r="AC280" s="132"/>
      <c r="AD280" s="132"/>
      <c r="AE280" s="63"/>
      <c r="AF280" s="63"/>
      <c r="AG280" s="63"/>
    </row>
    <row r="281" spans="1:33" ht="17.2" customHeight="1">
      <c r="A281" s="64" t="str">
        <f>IF(priority(Main[[#This Row],[Comments]])&lt;&gt;0, priority(Main[[#This Row],[Comments]]),"")</f>
        <v/>
      </c>
      <c r="B281" s="60" t="s">
        <v>1117</v>
      </c>
      <c r="C281" s="72" t="s">
        <v>4</v>
      </c>
      <c r="D281" s="59" t="s">
        <v>166</v>
      </c>
      <c r="E281" s="85">
        <v>40455.90861111111</v>
      </c>
      <c r="F281" s="85"/>
      <c r="G281" s="64" t="str">
        <f>IF(stdProdLT(Main[[#This Row],[Comments]])=0.1,"N/A",IF(stdProdLT(Main[[#This Row],[Comments]])=0,"",TRIM(stdProdLT(Main[[#This Row],[Comments]]))))</f>
        <v/>
      </c>
      <c r="H281" s="94" t="str">
        <f>IF(OR(Main[[#This Row],[Std. Prod. Lead Time]]="N/A",Main[[#This Row],[Std. Prod. Lead Time]]=""), "",IF(AND(Main[[#This Row],[In Stock Date]]&lt;&gt;"",Main[[#This Row],[Revised Due Date]]&lt;&gt;"",Main[[#This Row],[In Stock Date]]&lt;&gt;""),Main[[#This Row],[In Stock Date]]-Main[[#This Row],[Revised Due Date]],""))</f>
        <v/>
      </c>
      <c r="I281" s="101" t="s">
        <v>4</v>
      </c>
      <c r="J281" s="95" t="s">
        <v>28</v>
      </c>
      <c r="K281" s="95" t="s">
        <v>1923</v>
      </c>
      <c r="L281" s="85"/>
      <c r="M281" s="73" t="str">
        <f>IF(Main[[#This Row],[Tech Start Date]]&lt;1/1/1990,"",IF(Main[[#This Row],[Class]]="C",WORKDAY(Main[[#This Row],[Tech Start Date]],9),IF(Main[[#This Row],[Class]]="B", WORKDAY(Main[[#This Row],[Tech Start Date]],6),IF(Main[[#This Row],[Class]]="A",WORKDAY(Main[[#This Row],[Tech Start Date]],2),""))))</f>
        <v/>
      </c>
      <c r="N281" s="73" t="str">
        <f>IF(Main[[#This Row],[Tech Start Date]]&lt;1/1/1990,"",IF(Main[[#This Row],[Class]]="C",WORKDAY(Main[[#This Row],[Tech Start Date]],19),IF(Main[[#This Row],[Class]]="B", WORKDAY(Main[[#This Row],[Tech Start Date]],12),IF(Main[[#This Row],[Class]]="A",WORKDAY(Main[[#This Row],[Tech Start Date]],4),""))))</f>
        <v/>
      </c>
      <c r="O281" s="73" t="str">
        <f>IF(Main[[#This Row],[Tech Start Date]]&lt;1/1/1990,"",IF(Main[[#This Row],[Class]]="C",WORKDAY(Main[[#This Row],[Tech Start Date]],23),IF(Main[[#This Row],[Class]]="B", WORKDAY(Main[[#This Row],[Tech Start Date]],15),IF(Main[[#This Row],[Class]]="A",WORKDAY(Main[[#This Row],[Tech Start Date]],5),""))))</f>
        <v/>
      </c>
      <c r="P281" s="73" t="str">
        <f>IF(Main[[#This Row],[Tech Start Date]]&lt;1/1/1990,"",IF(Main[[#This Row],[Class]]="C",WORKDAY(Main[[#This Row],[Tech Start Date]],28),IF(Main[[#This Row],[Class]]="B", WORKDAY(Main[[#This Row],[Tech Start Date]],19),IF(Main[[#This Row],[Class]]="A",WORKDAY(Main[[#This Row],[Tech Start Date]],9),""))))</f>
        <v/>
      </c>
      <c r="Q281" s="85">
        <v>40512</v>
      </c>
      <c r="R281" s="112"/>
      <c r="S281" s="95" t="s">
        <v>17</v>
      </c>
      <c r="T281" s="74" t="s">
        <v>4</v>
      </c>
      <c r="U281" s="95" t="s">
        <v>7</v>
      </c>
      <c r="V281" s="95" t="s">
        <v>1911</v>
      </c>
      <c r="W281" s="95" t="s">
        <v>1916</v>
      </c>
      <c r="X281" s="95" t="s">
        <v>129</v>
      </c>
      <c r="Y281" s="72" t="s">
        <v>2911</v>
      </c>
      <c r="Z281" s="72" t="s">
        <v>129</v>
      </c>
      <c r="AA281" s="95" t="s">
        <v>129</v>
      </c>
      <c r="AB281" s="132"/>
      <c r="AC281" s="132"/>
      <c r="AD281" s="132"/>
      <c r="AE281" s="63"/>
      <c r="AF281" s="63"/>
      <c r="AG281" s="63"/>
    </row>
    <row r="282" spans="1:33" ht="17.2" customHeight="1">
      <c r="A282" s="64" t="str">
        <f>IF(priority(Main[[#This Row],[Comments]])&lt;&gt;0, priority(Main[[#This Row],[Comments]]),"")</f>
        <v/>
      </c>
      <c r="B282" s="60" t="s">
        <v>1118</v>
      </c>
      <c r="C282" s="72" t="s">
        <v>4</v>
      </c>
      <c r="D282" s="59" t="s">
        <v>167</v>
      </c>
      <c r="E282" s="85"/>
      <c r="F282" s="85"/>
      <c r="G282" s="64" t="str">
        <f>IF(stdProdLT(Main[[#This Row],[Comments]])=0.1,"N/A",IF(stdProdLT(Main[[#This Row],[Comments]])=0,"",TRIM(stdProdLT(Main[[#This Row],[Comments]]))))</f>
        <v/>
      </c>
      <c r="H282" s="94" t="str">
        <f>IF(OR(Main[[#This Row],[Std. Prod. Lead Time]]="N/A",Main[[#This Row],[Std. Prod. Lead Time]]=""), "",IF(AND(Main[[#This Row],[In Stock Date]]&lt;&gt;"",Main[[#This Row],[Revised Due Date]]&lt;&gt;"",Main[[#This Row],[In Stock Date]]&lt;&gt;""),Main[[#This Row],[In Stock Date]]-Main[[#This Row],[Revised Due Date]],""))</f>
        <v/>
      </c>
      <c r="I282" s="101" t="s">
        <v>4</v>
      </c>
      <c r="J282" s="95" t="s">
        <v>28</v>
      </c>
      <c r="K282" s="95" t="s">
        <v>1923</v>
      </c>
      <c r="L282" s="85"/>
      <c r="M282" s="73" t="str">
        <f>IF(Main[[#This Row],[Tech Start Date]]&lt;1/1/1990,"",IF(Main[[#This Row],[Class]]="C",WORKDAY(Main[[#This Row],[Tech Start Date]],9),IF(Main[[#This Row],[Class]]="B", WORKDAY(Main[[#This Row],[Tech Start Date]],6),IF(Main[[#This Row],[Class]]="A",WORKDAY(Main[[#This Row],[Tech Start Date]],2),""))))</f>
        <v/>
      </c>
      <c r="N282" s="73" t="str">
        <f>IF(Main[[#This Row],[Tech Start Date]]&lt;1/1/1990,"",IF(Main[[#This Row],[Class]]="C",WORKDAY(Main[[#This Row],[Tech Start Date]],19),IF(Main[[#This Row],[Class]]="B", WORKDAY(Main[[#This Row],[Tech Start Date]],12),IF(Main[[#This Row],[Class]]="A",WORKDAY(Main[[#This Row],[Tech Start Date]],4),""))))</f>
        <v/>
      </c>
      <c r="O282" s="73" t="str">
        <f>IF(Main[[#This Row],[Tech Start Date]]&lt;1/1/1990,"",IF(Main[[#This Row],[Class]]="C",WORKDAY(Main[[#This Row],[Tech Start Date]],23),IF(Main[[#This Row],[Class]]="B", WORKDAY(Main[[#This Row],[Tech Start Date]],15),IF(Main[[#This Row],[Class]]="A",WORKDAY(Main[[#This Row],[Tech Start Date]],5),""))))</f>
        <v/>
      </c>
      <c r="P282" s="73" t="str">
        <f>IF(Main[[#This Row],[Tech Start Date]]&lt;1/1/1990,"",IF(Main[[#This Row],[Class]]="C",WORKDAY(Main[[#This Row],[Tech Start Date]],28),IF(Main[[#This Row],[Class]]="B", WORKDAY(Main[[#This Row],[Tech Start Date]],19),IF(Main[[#This Row],[Class]]="A",WORKDAY(Main[[#This Row],[Tech Start Date]],9),""))))</f>
        <v/>
      </c>
      <c r="Q282" s="85"/>
      <c r="R282" s="112"/>
      <c r="S282" s="95" t="s">
        <v>17</v>
      </c>
      <c r="T282" s="74" t="s">
        <v>4</v>
      </c>
      <c r="U282" s="95" t="s">
        <v>14</v>
      </c>
      <c r="V282" s="95" t="s">
        <v>1914</v>
      </c>
      <c r="W282" s="95" t="s">
        <v>1916</v>
      </c>
      <c r="X282" s="95" t="s">
        <v>553</v>
      </c>
      <c r="Y282" s="72" t="s">
        <v>2930</v>
      </c>
      <c r="Z282" s="72" t="s">
        <v>968</v>
      </c>
      <c r="AA282" s="95" t="s">
        <v>553</v>
      </c>
      <c r="AB282" s="132"/>
      <c r="AC282" s="132"/>
      <c r="AD282" s="132"/>
      <c r="AE282" s="63"/>
      <c r="AF282" s="63"/>
      <c r="AG282" s="63"/>
    </row>
    <row r="283" spans="1:33" ht="17.2" customHeight="1">
      <c r="A283" s="64" t="str">
        <f>IF(priority(Main[[#This Row],[Comments]])&lt;&gt;0, priority(Main[[#This Row],[Comments]]),"")</f>
        <v/>
      </c>
      <c r="B283" s="60" t="s">
        <v>2655</v>
      </c>
      <c r="C283" s="72" t="s">
        <v>4</v>
      </c>
      <c r="D283" s="59" t="s">
        <v>2685</v>
      </c>
      <c r="E283" s="85">
        <v>40879.610138888886</v>
      </c>
      <c r="F283" s="85"/>
      <c r="G283" s="64" t="str">
        <f>IF(stdProdLT(Main[[#This Row],[Comments]])=0.1,"N/A",IF(stdProdLT(Main[[#This Row],[Comments]])=0,"",TRIM(stdProdLT(Main[[#This Row],[Comments]]))))</f>
        <v/>
      </c>
      <c r="H283" s="94" t="str">
        <f>IF(OR(Main[[#This Row],[Std. Prod. Lead Time]]="N/A",Main[[#This Row],[Std. Prod. Lead Time]]=""), "",IF(AND(Main[[#This Row],[In Stock Date]]&lt;&gt;"",Main[[#This Row],[Revised Due Date]]&lt;&gt;"",Main[[#This Row],[In Stock Date]]&lt;&gt;""),Main[[#This Row],[In Stock Date]]-Main[[#This Row],[Revised Due Date]],""))</f>
        <v/>
      </c>
      <c r="I283" s="101" t="s">
        <v>69</v>
      </c>
      <c r="J283" s="95" t="s">
        <v>21</v>
      </c>
      <c r="K283" s="95" t="s">
        <v>1920</v>
      </c>
      <c r="L283" s="85"/>
      <c r="M283" s="73" t="str">
        <f>IF(Main[[#This Row],[Tech Start Date]]&lt;1/1/1990,"",IF(Main[[#This Row],[Class]]="C",WORKDAY(Main[[#This Row],[Tech Start Date]],9),IF(Main[[#This Row],[Class]]="B", WORKDAY(Main[[#This Row],[Tech Start Date]],6),IF(Main[[#This Row],[Class]]="A",WORKDAY(Main[[#This Row],[Tech Start Date]],2),""))))</f>
        <v/>
      </c>
      <c r="N283" s="73" t="str">
        <f>IF(Main[[#This Row],[Tech Start Date]]&lt;1/1/1990,"",IF(Main[[#This Row],[Class]]="C",WORKDAY(Main[[#This Row],[Tech Start Date]],19),IF(Main[[#This Row],[Class]]="B", WORKDAY(Main[[#This Row],[Tech Start Date]],12),IF(Main[[#This Row],[Class]]="A",WORKDAY(Main[[#This Row],[Tech Start Date]],4),""))))</f>
        <v/>
      </c>
      <c r="O283" s="73" t="str">
        <f>IF(Main[[#This Row],[Tech Start Date]]&lt;1/1/1990,"",IF(Main[[#This Row],[Class]]="C",WORKDAY(Main[[#This Row],[Tech Start Date]],23),IF(Main[[#This Row],[Class]]="B", WORKDAY(Main[[#This Row],[Tech Start Date]],15),IF(Main[[#This Row],[Class]]="A",WORKDAY(Main[[#This Row],[Tech Start Date]],5),""))))</f>
        <v/>
      </c>
      <c r="P283" s="73" t="str">
        <f>IF(Main[[#This Row],[Tech Start Date]]&lt;1/1/1990,"",IF(Main[[#This Row],[Class]]="C",WORKDAY(Main[[#This Row],[Tech Start Date]],28),IF(Main[[#This Row],[Class]]="B", WORKDAY(Main[[#This Row],[Tech Start Date]],19),IF(Main[[#This Row],[Class]]="A",WORKDAY(Main[[#This Row],[Tech Start Date]],9),""))))</f>
        <v/>
      </c>
      <c r="Q283" s="85">
        <v>40921</v>
      </c>
      <c r="R283" s="112"/>
      <c r="S283" s="95" t="s">
        <v>6</v>
      </c>
      <c r="T283" s="74" t="s">
        <v>4</v>
      </c>
      <c r="U283" s="95" t="s">
        <v>29</v>
      </c>
      <c r="V283" s="95" t="s">
        <v>1921</v>
      </c>
      <c r="W283" s="95" t="s">
        <v>1915</v>
      </c>
      <c r="X283" s="95" t="s">
        <v>2798</v>
      </c>
      <c r="Y283" s="72" t="s">
        <v>2908</v>
      </c>
      <c r="Z283" s="72" t="s">
        <v>30</v>
      </c>
      <c r="AA283" s="95" t="s">
        <v>2798</v>
      </c>
      <c r="AB283" s="132"/>
      <c r="AC283" s="132"/>
      <c r="AD283" s="132"/>
      <c r="AE283" s="63"/>
      <c r="AF283" s="63"/>
      <c r="AG283" s="63"/>
    </row>
    <row r="284" spans="1:33" ht="17.2" customHeight="1">
      <c r="A284" s="64" t="str">
        <f>IF(priority(Main[[#This Row],[Comments]])&lt;&gt;0, priority(Main[[#This Row],[Comments]]),"")</f>
        <v/>
      </c>
      <c r="B284" s="60" t="s">
        <v>3871</v>
      </c>
      <c r="C284" s="72" t="s">
        <v>3872</v>
      </c>
      <c r="D284" s="59" t="s">
        <v>3873</v>
      </c>
      <c r="E284" s="85">
        <v>40975.078148148146</v>
      </c>
      <c r="F284" s="85">
        <v>41153</v>
      </c>
      <c r="G284" s="64" t="str">
        <f>IF(stdProdLT(Main[[#This Row],[Comments]])=0.1,"N/A",IF(stdProdLT(Main[[#This Row],[Comments]])=0,"",TRIM(stdProdLT(Main[[#This Row],[Comments]]))))</f>
        <v>168</v>
      </c>
      <c r="H284" s="94" t="str">
        <f>IF(OR(Main[[#This Row],[Std. Prod. Lead Time]]="N/A",Main[[#This Row],[Std. Prod. Lead Time]]=""), "",IF(AND(Main[[#This Row],[In Stock Date]]&lt;&gt;"",Main[[#This Row],[Revised Due Date]]&lt;&gt;"",Main[[#This Row],[In Stock Date]]&lt;&gt;""),Main[[#This Row],[In Stock Date]]-Main[[#This Row],[Revised Due Date]],""))</f>
        <v/>
      </c>
      <c r="I284" s="101" t="s">
        <v>4</v>
      </c>
      <c r="J284" s="95" t="s">
        <v>4</v>
      </c>
      <c r="K284" s="95" t="s">
        <v>4</v>
      </c>
      <c r="L284" s="85"/>
      <c r="M284" s="73" t="str">
        <f>IF(Main[[#This Row],[Tech Start Date]]&lt;1/1/1990,"",IF(Main[[#This Row],[Class]]="C",WORKDAY(Main[[#This Row],[Tech Start Date]],9),IF(Main[[#This Row],[Class]]="B", WORKDAY(Main[[#This Row],[Tech Start Date]],6),IF(Main[[#This Row],[Class]]="A",WORKDAY(Main[[#This Row],[Tech Start Date]],2),""))))</f>
        <v/>
      </c>
      <c r="N284" s="73" t="str">
        <f>IF(Main[[#This Row],[Tech Start Date]]&lt;1/1/1990,"",IF(Main[[#This Row],[Class]]="C",WORKDAY(Main[[#This Row],[Tech Start Date]],19),IF(Main[[#This Row],[Class]]="B", WORKDAY(Main[[#This Row],[Tech Start Date]],12),IF(Main[[#This Row],[Class]]="A",WORKDAY(Main[[#This Row],[Tech Start Date]],4),""))))</f>
        <v/>
      </c>
      <c r="O284" s="73" t="str">
        <f>IF(Main[[#This Row],[Tech Start Date]]&lt;1/1/1990,"",IF(Main[[#This Row],[Class]]="C",WORKDAY(Main[[#This Row],[Tech Start Date]],23),IF(Main[[#This Row],[Class]]="B", WORKDAY(Main[[#This Row],[Tech Start Date]],15),IF(Main[[#This Row],[Class]]="A",WORKDAY(Main[[#This Row],[Tech Start Date]],5),""))))</f>
        <v/>
      </c>
      <c r="P284" s="73" t="str">
        <f>IF(Main[[#This Row],[Tech Start Date]]&lt;1/1/1990,"",IF(Main[[#This Row],[Class]]="C",WORKDAY(Main[[#This Row],[Tech Start Date]],28),IF(Main[[#This Row],[Class]]="B", WORKDAY(Main[[#This Row],[Tech Start Date]],19),IF(Main[[#This Row],[Class]]="A",WORKDAY(Main[[#This Row],[Tech Start Date]],9),""))))</f>
        <v/>
      </c>
      <c r="Q284" s="85">
        <v>41000</v>
      </c>
      <c r="R284" s="112"/>
      <c r="S284" s="95" t="s">
        <v>11</v>
      </c>
      <c r="T284" s="74" t="s">
        <v>3874</v>
      </c>
      <c r="U284" s="95" t="s">
        <v>7</v>
      </c>
      <c r="V284" s="95" t="s">
        <v>1914</v>
      </c>
      <c r="W284" s="95" t="s">
        <v>1917</v>
      </c>
      <c r="X284" s="95" t="s">
        <v>2825</v>
      </c>
      <c r="Y284" s="72" t="s">
        <v>3748</v>
      </c>
      <c r="Z284" s="72" t="s">
        <v>4</v>
      </c>
      <c r="AA284" s="95" t="s">
        <v>2825</v>
      </c>
      <c r="AB284" s="132"/>
      <c r="AC284" s="132"/>
      <c r="AD284" s="132"/>
      <c r="AE284" s="63"/>
      <c r="AF284" s="63"/>
      <c r="AG284" s="63"/>
    </row>
    <row r="285" spans="1:33" ht="17.2" customHeight="1">
      <c r="A285" s="64" t="str">
        <f>IF(priority(Main[[#This Row],[Comments]])&lt;&gt;0, priority(Main[[#This Row],[Comments]]),"")</f>
        <v/>
      </c>
      <c r="B285" s="60" t="s">
        <v>3537</v>
      </c>
      <c r="C285" s="72" t="s">
        <v>4</v>
      </c>
      <c r="D285" s="59" t="s">
        <v>3538</v>
      </c>
      <c r="E285" s="85">
        <v>40954.397581018522</v>
      </c>
      <c r="F285" s="85"/>
      <c r="G285" s="64" t="str">
        <f>IF(stdProdLT(Main[[#This Row],[Comments]])=0.1,"N/A",IF(stdProdLT(Main[[#This Row],[Comments]])=0,"",TRIM(stdProdLT(Main[[#This Row],[Comments]]))))</f>
        <v/>
      </c>
      <c r="H285" s="94" t="str">
        <f>IF(OR(Main[[#This Row],[Std. Prod. Lead Time]]="N/A",Main[[#This Row],[Std. Prod. Lead Time]]=""), "",IF(AND(Main[[#This Row],[In Stock Date]]&lt;&gt;"",Main[[#This Row],[Revised Due Date]]&lt;&gt;"",Main[[#This Row],[In Stock Date]]&lt;&gt;""),Main[[#This Row],[In Stock Date]]-Main[[#This Row],[Revised Due Date]],""))</f>
        <v/>
      </c>
      <c r="I285" s="101" t="s">
        <v>2038</v>
      </c>
      <c r="J285" s="95" t="s">
        <v>28</v>
      </c>
      <c r="K285" s="95" t="s">
        <v>4</v>
      </c>
      <c r="L285" s="85"/>
      <c r="M285" s="73" t="str">
        <f>IF(Main[[#This Row],[Tech Start Date]]&lt;1/1/1990,"",IF(Main[[#This Row],[Class]]="C",WORKDAY(Main[[#This Row],[Tech Start Date]],9),IF(Main[[#This Row],[Class]]="B", WORKDAY(Main[[#This Row],[Tech Start Date]],6),IF(Main[[#This Row],[Class]]="A",WORKDAY(Main[[#This Row],[Tech Start Date]],2),""))))</f>
        <v/>
      </c>
      <c r="N285" s="73" t="str">
        <f>IF(Main[[#This Row],[Tech Start Date]]&lt;1/1/1990,"",IF(Main[[#This Row],[Class]]="C",WORKDAY(Main[[#This Row],[Tech Start Date]],19),IF(Main[[#This Row],[Class]]="B", WORKDAY(Main[[#This Row],[Tech Start Date]],12),IF(Main[[#This Row],[Class]]="A",WORKDAY(Main[[#This Row],[Tech Start Date]],4),""))))</f>
        <v/>
      </c>
      <c r="O285" s="73" t="str">
        <f>IF(Main[[#This Row],[Tech Start Date]]&lt;1/1/1990,"",IF(Main[[#This Row],[Class]]="C",WORKDAY(Main[[#This Row],[Tech Start Date]],23),IF(Main[[#This Row],[Class]]="B", WORKDAY(Main[[#This Row],[Tech Start Date]],15),IF(Main[[#This Row],[Class]]="A",WORKDAY(Main[[#This Row],[Tech Start Date]],5),""))))</f>
        <v/>
      </c>
      <c r="P285" s="73" t="str">
        <f>IF(Main[[#This Row],[Tech Start Date]]&lt;1/1/1990,"",IF(Main[[#This Row],[Class]]="C",WORKDAY(Main[[#This Row],[Tech Start Date]],28),IF(Main[[#This Row],[Class]]="B", WORKDAY(Main[[#This Row],[Tech Start Date]],19),IF(Main[[#This Row],[Class]]="A",WORKDAY(Main[[#This Row],[Tech Start Date]],9),""))))</f>
        <v/>
      </c>
      <c r="Q285" s="85"/>
      <c r="R285" s="112"/>
      <c r="S285" s="95" t="s">
        <v>6</v>
      </c>
      <c r="T285" s="74" t="s">
        <v>4</v>
      </c>
      <c r="U285" s="95" t="s">
        <v>29</v>
      </c>
      <c r="V285" s="95" t="s">
        <v>1921</v>
      </c>
      <c r="W285" s="95" t="s">
        <v>1915</v>
      </c>
      <c r="X285" s="95" t="s">
        <v>2038</v>
      </c>
      <c r="Y285" s="72" t="s">
        <v>3134</v>
      </c>
      <c r="Z285" s="72" t="s">
        <v>530</v>
      </c>
      <c r="AA285" s="95" t="s">
        <v>2038</v>
      </c>
      <c r="AB285" s="132"/>
      <c r="AC285" s="132"/>
      <c r="AD285" s="132"/>
      <c r="AE285" s="63"/>
      <c r="AF285" s="63"/>
      <c r="AG285" s="63"/>
    </row>
    <row r="286" spans="1:33" ht="17.2" customHeight="1">
      <c r="A286" s="64" t="str">
        <f>IF(priority(Main[[#This Row],[Comments]])&lt;&gt;0, priority(Main[[#This Row],[Comments]]),"")</f>
        <v/>
      </c>
      <c r="B286" s="60" t="s">
        <v>1125</v>
      </c>
      <c r="C286" s="72" t="s">
        <v>4</v>
      </c>
      <c r="D286" s="59" t="s">
        <v>176</v>
      </c>
      <c r="E286" s="85">
        <v>40655.521435185183</v>
      </c>
      <c r="F286" s="85"/>
      <c r="G286" s="64" t="str">
        <f>IF(stdProdLT(Main[[#This Row],[Comments]])=0.1,"N/A",IF(stdProdLT(Main[[#This Row],[Comments]])=0,"",TRIM(stdProdLT(Main[[#This Row],[Comments]]))))</f>
        <v/>
      </c>
      <c r="H286" s="94" t="str">
        <f>IF(OR(Main[[#This Row],[Std. Prod. Lead Time]]="N/A",Main[[#This Row],[Std. Prod. Lead Time]]=""), "",IF(AND(Main[[#This Row],[In Stock Date]]&lt;&gt;"",Main[[#This Row],[Revised Due Date]]&lt;&gt;"",Main[[#This Row],[In Stock Date]]&lt;&gt;""),Main[[#This Row],[In Stock Date]]-Main[[#This Row],[Revised Due Date]],""))</f>
        <v/>
      </c>
      <c r="I286" s="101" t="s">
        <v>4</v>
      </c>
      <c r="J286" s="95" t="s">
        <v>4</v>
      </c>
      <c r="K286" s="95" t="s">
        <v>4</v>
      </c>
      <c r="L286" s="85"/>
      <c r="M286" s="73" t="str">
        <f>IF(Main[[#This Row],[Tech Start Date]]&lt;1/1/1990,"",IF(Main[[#This Row],[Class]]="C",WORKDAY(Main[[#This Row],[Tech Start Date]],9),IF(Main[[#This Row],[Class]]="B", WORKDAY(Main[[#This Row],[Tech Start Date]],6),IF(Main[[#This Row],[Class]]="A",WORKDAY(Main[[#This Row],[Tech Start Date]],2),""))))</f>
        <v/>
      </c>
      <c r="N286" s="73" t="str">
        <f>IF(Main[[#This Row],[Tech Start Date]]&lt;1/1/1990,"",IF(Main[[#This Row],[Class]]="C",WORKDAY(Main[[#This Row],[Tech Start Date]],19),IF(Main[[#This Row],[Class]]="B", WORKDAY(Main[[#This Row],[Tech Start Date]],12),IF(Main[[#This Row],[Class]]="A",WORKDAY(Main[[#This Row],[Tech Start Date]],4),""))))</f>
        <v/>
      </c>
      <c r="O286" s="73" t="str">
        <f>IF(Main[[#This Row],[Tech Start Date]]&lt;1/1/1990,"",IF(Main[[#This Row],[Class]]="C",WORKDAY(Main[[#This Row],[Tech Start Date]],23),IF(Main[[#This Row],[Class]]="B", WORKDAY(Main[[#This Row],[Tech Start Date]],15),IF(Main[[#This Row],[Class]]="A",WORKDAY(Main[[#This Row],[Tech Start Date]],5),""))))</f>
        <v/>
      </c>
      <c r="P286" s="73" t="str">
        <f>IF(Main[[#This Row],[Tech Start Date]]&lt;1/1/1990,"",IF(Main[[#This Row],[Class]]="C",WORKDAY(Main[[#This Row],[Tech Start Date]],28),IF(Main[[#This Row],[Class]]="B", WORKDAY(Main[[#This Row],[Tech Start Date]],19),IF(Main[[#This Row],[Class]]="A",WORKDAY(Main[[#This Row],[Tech Start Date]],9),""))))</f>
        <v/>
      </c>
      <c r="Q286" s="85">
        <v>40655</v>
      </c>
      <c r="R286" s="112"/>
      <c r="S286" s="95" t="s">
        <v>6</v>
      </c>
      <c r="T286" s="74" t="s">
        <v>4</v>
      </c>
      <c r="U286" s="95" t="s">
        <v>7</v>
      </c>
      <c r="V286" s="95" t="s">
        <v>1911</v>
      </c>
      <c r="W286" s="95" t="s">
        <v>1913</v>
      </c>
      <c r="X286" s="95" t="s">
        <v>126</v>
      </c>
      <c r="Y286" s="72" t="s">
        <v>3011</v>
      </c>
      <c r="Z286" s="72" t="s">
        <v>4</v>
      </c>
      <c r="AA286" s="95" t="s">
        <v>126</v>
      </c>
      <c r="AB286" s="132"/>
      <c r="AC286" s="132"/>
      <c r="AD286" s="132"/>
      <c r="AE286" s="63"/>
      <c r="AF286" s="63"/>
      <c r="AG286" s="63"/>
    </row>
    <row r="287" spans="1:33" ht="17.2" customHeight="1">
      <c r="A287" s="64" t="str">
        <f>IF(priority(Main[[#This Row],[Comments]])&lt;&gt;0, priority(Main[[#This Row],[Comments]]),"")</f>
        <v/>
      </c>
      <c r="B287" s="60" t="s">
        <v>1126</v>
      </c>
      <c r="C287" s="72" t="s">
        <v>4</v>
      </c>
      <c r="D287" s="59" t="s">
        <v>177</v>
      </c>
      <c r="E287" s="85"/>
      <c r="F287" s="85">
        <v>40598</v>
      </c>
      <c r="G287" s="64" t="str">
        <f>IF(stdProdLT(Main[[#This Row],[Comments]])=0.1,"N/A",IF(stdProdLT(Main[[#This Row],[Comments]])=0,"",TRIM(stdProdLT(Main[[#This Row],[Comments]]))))</f>
        <v/>
      </c>
      <c r="H287" s="94" t="str">
        <f>IF(OR(Main[[#This Row],[Std. Prod. Lead Time]]="N/A",Main[[#This Row],[Std. Prod. Lead Time]]=""), "",IF(AND(Main[[#This Row],[In Stock Date]]&lt;&gt;"",Main[[#This Row],[Revised Due Date]]&lt;&gt;"",Main[[#This Row],[In Stock Date]]&lt;&gt;""),Main[[#This Row],[In Stock Date]]-Main[[#This Row],[Revised Due Date]],""))</f>
        <v/>
      </c>
      <c r="I287" s="101" t="s">
        <v>4</v>
      </c>
      <c r="J287" s="95" t="s">
        <v>4</v>
      </c>
      <c r="K287" s="96" t="s">
        <v>4</v>
      </c>
      <c r="L287" s="85"/>
      <c r="M287" s="73" t="str">
        <f>IF(Main[[#This Row],[Tech Start Date]]&lt;1/1/1990,"",IF(Main[[#This Row],[Class]]="C",WORKDAY(Main[[#This Row],[Tech Start Date]],9),IF(Main[[#This Row],[Class]]="B", WORKDAY(Main[[#This Row],[Tech Start Date]],6),IF(Main[[#This Row],[Class]]="A",WORKDAY(Main[[#This Row],[Tech Start Date]],2),""))))</f>
        <v/>
      </c>
      <c r="N287" s="73" t="str">
        <f>IF(Main[[#This Row],[Tech Start Date]]&lt;1/1/1990,"",IF(Main[[#This Row],[Class]]="C",WORKDAY(Main[[#This Row],[Tech Start Date]],19),IF(Main[[#This Row],[Class]]="B", WORKDAY(Main[[#This Row],[Tech Start Date]],12),IF(Main[[#This Row],[Class]]="A",WORKDAY(Main[[#This Row],[Tech Start Date]],4),""))))</f>
        <v/>
      </c>
      <c r="O287" s="73" t="str">
        <f>IF(Main[[#This Row],[Tech Start Date]]&lt;1/1/1990,"",IF(Main[[#This Row],[Class]]="C",WORKDAY(Main[[#This Row],[Tech Start Date]],23),IF(Main[[#This Row],[Class]]="B", WORKDAY(Main[[#This Row],[Tech Start Date]],15),IF(Main[[#This Row],[Class]]="A",WORKDAY(Main[[#This Row],[Tech Start Date]],5),""))))</f>
        <v/>
      </c>
      <c r="P287" s="73" t="str">
        <f>IF(Main[[#This Row],[Tech Start Date]]&lt;1/1/1990,"",IF(Main[[#This Row],[Class]]="C",WORKDAY(Main[[#This Row],[Tech Start Date]],28),IF(Main[[#This Row],[Class]]="B", WORKDAY(Main[[#This Row],[Tech Start Date]],19),IF(Main[[#This Row],[Class]]="A",WORKDAY(Main[[#This Row],[Tech Start Date]],9),""))))</f>
        <v/>
      </c>
      <c r="Q287" s="85">
        <v>40598</v>
      </c>
      <c r="R287" s="112"/>
      <c r="S287" s="95" t="s">
        <v>11</v>
      </c>
      <c r="T287" s="74" t="s">
        <v>4</v>
      </c>
      <c r="U287" s="95" t="s">
        <v>14</v>
      </c>
      <c r="V287" s="95" t="s">
        <v>1921</v>
      </c>
      <c r="W287" s="95" t="s">
        <v>1917</v>
      </c>
      <c r="X287" s="95" t="s">
        <v>2828</v>
      </c>
      <c r="Y287" s="72" t="s">
        <v>2957</v>
      </c>
      <c r="Z287" s="72" t="s">
        <v>4</v>
      </c>
      <c r="AA287" s="95" t="s">
        <v>2828</v>
      </c>
      <c r="AB287" s="132"/>
      <c r="AC287" s="132"/>
      <c r="AD287" s="132"/>
      <c r="AE287" s="63"/>
      <c r="AF287" s="63"/>
      <c r="AG287" s="63"/>
    </row>
    <row r="288" spans="1:33" ht="17.2" customHeight="1">
      <c r="A288" s="64" t="str">
        <f>IF(priority(Main[[#This Row],[Comments]])&lt;&gt;0, priority(Main[[#This Row],[Comments]]),"")</f>
        <v/>
      </c>
      <c r="B288" s="60" t="s">
        <v>2686</v>
      </c>
      <c r="C288" s="72" t="s">
        <v>4</v>
      </c>
      <c r="D288" s="59" t="s">
        <v>2687</v>
      </c>
      <c r="E288" s="85">
        <v>40896.649571759262</v>
      </c>
      <c r="F288" s="85"/>
      <c r="G288" s="64" t="str">
        <f>IF(stdProdLT(Main[[#This Row],[Comments]])=0.1,"N/A",IF(stdProdLT(Main[[#This Row],[Comments]])=0,"",TRIM(stdProdLT(Main[[#This Row],[Comments]]))))</f>
        <v/>
      </c>
      <c r="H288" s="94" t="str">
        <f>IF(OR(Main[[#This Row],[Std. Prod. Lead Time]]="N/A",Main[[#This Row],[Std. Prod. Lead Time]]=""), "",IF(AND(Main[[#This Row],[In Stock Date]]&lt;&gt;"",Main[[#This Row],[Revised Due Date]]&lt;&gt;"",Main[[#This Row],[In Stock Date]]&lt;&gt;""),Main[[#This Row],[In Stock Date]]-Main[[#This Row],[Revised Due Date]],""))</f>
        <v/>
      </c>
      <c r="I288" s="101" t="s">
        <v>530</v>
      </c>
      <c r="J288" s="95" t="s">
        <v>28</v>
      </c>
      <c r="K288" s="95" t="s">
        <v>1920</v>
      </c>
      <c r="L288" s="85"/>
      <c r="M288" s="73" t="str">
        <f>IF(Main[[#This Row],[Tech Start Date]]&lt;1/1/1990,"",IF(Main[[#This Row],[Class]]="C",WORKDAY(Main[[#This Row],[Tech Start Date]],9),IF(Main[[#This Row],[Class]]="B", WORKDAY(Main[[#This Row],[Tech Start Date]],6),IF(Main[[#This Row],[Class]]="A",WORKDAY(Main[[#This Row],[Tech Start Date]],2),""))))</f>
        <v/>
      </c>
      <c r="N288" s="73" t="str">
        <f>IF(Main[[#This Row],[Tech Start Date]]&lt;1/1/1990,"",IF(Main[[#This Row],[Class]]="C",WORKDAY(Main[[#This Row],[Tech Start Date]],19),IF(Main[[#This Row],[Class]]="B", WORKDAY(Main[[#This Row],[Tech Start Date]],12),IF(Main[[#This Row],[Class]]="A",WORKDAY(Main[[#This Row],[Tech Start Date]],4),""))))</f>
        <v/>
      </c>
      <c r="O288" s="73" t="str">
        <f>IF(Main[[#This Row],[Tech Start Date]]&lt;1/1/1990,"",IF(Main[[#This Row],[Class]]="C",WORKDAY(Main[[#This Row],[Tech Start Date]],23),IF(Main[[#This Row],[Class]]="B", WORKDAY(Main[[#This Row],[Tech Start Date]],15),IF(Main[[#This Row],[Class]]="A",WORKDAY(Main[[#This Row],[Tech Start Date]],5),""))))</f>
        <v/>
      </c>
      <c r="P288" s="73" t="str">
        <f>IF(Main[[#This Row],[Tech Start Date]]&lt;1/1/1990,"",IF(Main[[#This Row],[Class]]="C",WORKDAY(Main[[#This Row],[Tech Start Date]],28),IF(Main[[#This Row],[Class]]="B", WORKDAY(Main[[#This Row],[Tech Start Date]],19),IF(Main[[#This Row],[Class]]="A",WORKDAY(Main[[#This Row],[Tech Start Date]],9),""))))</f>
        <v/>
      </c>
      <c r="Q288" s="85">
        <v>40939</v>
      </c>
      <c r="R288" s="112"/>
      <c r="S288" s="95" t="s">
        <v>6</v>
      </c>
      <c r="T288" s="74" t="s">
        <v>4</v>
      </c>
      <c r="U288" s="95" t="s">
        <v>29</v>
      </c>
      <c r="V288" s="95" t="s">
        <v>1914</v>
      </c>
      <c r="W288" s="95" t="s">
        <v>1919</v>
      </c>
      <c r="X288" s="95" t="s">
        <v>883</v>
      </c>
      <c r="Y288" s="72" t="s">
        <v>2941</v>
      </c>
      <c r="Z288" s="72" t="s">
        <v>30</v>
      </c>
      <c r="AA288" s="95" t="s">
        <v>883</v>
      </c>
      <c r="AB288" s="132"/>
      <c r="AC288" s="132"/>
      <c r="AD288" s="132"/>
      <c r="AE288" s="63"/>
      <c r="AF288" s="63"/>
      <c r="AG288" s="63"/>
    </row>
    <row r="289" spans="1:33" ht="17.2" customHeight="1">
      <c r="A289" s="64" t="str">
        <f>IF(priority(Main[[#This Row],[Comments]])&lt;&gt;0, priority(Main[[#This Row],[Comments]]),"")</f>
        <v/>
      </c>
      <c r="B289" s="60" t="s">
        <v>2338</v>
      </c>
      <c r="C289" s="72" t="s">
        <v>2339</v>
      </c>
      <c r="D289" s="59" t="s">
        <v>2340</v>
      </c>
      <c r="E289" s="85"/>
      <c r="F289" s="85"/>
      <c r="G289" s="64" t="str">
        <f>IF(stdProdLT(Main[[#This Row],[Comments]])=0.1,"N/A",IF(stdProdLT(Main[[#This Row],[Comments]])=0,"",TRIM(stdProdLT(Main[[#This Row],[Comments]]))))</f>
        <v/>
      </c>
      <c r="H289" s="94" t="str">
        <f>IF(OR(Main[[#This Row],[Std. Prod. Lead Time]]="N/A",Main[[#This Row],[Std. Prod. Lead Time]]=""), "",IF(AND(Main[[#This Row],[In Stock Date]]&lt;&gt;"",Main[[#This Row],[Revised Due Date]]&lt;&gt;"",Main[[#This Row],[In Stock Date]]&lt;&gt;""),Main[[#This Row],[In Stock Date]]-Main[[#This Row],[Revised Due Date]],""))</f>
        <v/>
      </c>
      <c r="I289" s="101" t="s">
        <v>4</v>
      </c>
      <c r="J289" s="95" t="s">
        <v>4</v>
      </c>
      <c r="K289" s="95" t="s">
        <v>4</v>
      </c>
      <c r="L289" s="85"/>
      <c r="M289" s="73" t="str">
        <f>IF(Main[[#This Row],[Tech Start Date]]&lt;1/1/1990,"",IF(Main[[#This Row],[Class]]="C",WORKDAY(Main[[#This Row],[Tech Start Date]],9),IF(Main[[#This Row],[Class]]="B", WORKDAY(Main[[#This Row],[Tech Start Date]],6),IF(Main[[#This Row],[Class]]="A",WORKDAY(Main[[#This Row],[Tech Start Date]],2),""))))</f>
        <v/>
      </c>
      <c r="N289" s="73" t="str">
        <f>IF(Main[[#This Row],[Tech Start Date]]&lt;1/1/1990,"",IF(Main[[#This Row],[Class]]="C",WORKDAY(Main[[#This Row],[Tech Start Date]],19),IF(Main[[#This Row],[Class]]="B", WORKDAY(Main[[#This Row],[Tech Start Date]],12),IF(Main[[#This Row],[Class]]="A",WORKDAY(Main[[#This Row],[Tech Start Date]],4),""))))</f>
        <v/>
      </c>
      <c r="O289" s="73" t="str">
        <f>IF(Main[[#This Row],[Tech Start Date]]&lt;1/1/1990,"",IF(Main[[#This Row],[Class]]="C",WORKDAY(Main[[#This Row],[Tech Start Date]],23),IF(Main[[#This Row],[Class]]="B", WORKDAY(Main[[#This Row],[Tech Start Date]],15),IF(Main[[#This Row],[Class]]="A",WORKDAY(Main[[#This Row],[Tech Start Date]],5),""))))</f>
        <v/>
      </c>
      <c r="P289" s="73" t="str">
        <f>IF(Main[[#This Row],[Tech Start Date]]&lt;1/1/1990,"",IF(Main[[#This Row],[Class]]="C",WORKDAY(Main[[#This Row],[Tech Start Date]],28),IF(Main[[#This Row],[Class]]="B", WORKDAY(Main[[#This Row],[Tech Start Date]],19),IF(Main[[#This Row],[Class]]="A",WORKDAY(Main[[#This Row],[Tech Start Date]],9),""))))</f>
        <v/>
      </c>
      <c r="Q289" s="85">
        <v>40840</v>
      </c>
      <c r="R289" s="112"/>
      <c r="S289" s="95" t="s">
        <v>11</v>
      </c>
      <c r="T289" s="74" t="s">
        <v>4</v>
      </c>
      <c r="U289" s="95" t="s">
        <v>12</v>
      </c>
      <c r="V289" s="95" t="s">
        <v>1911</v>
      </c>
      <c r="W289" s="95" t="s">
        <v>1913</v>
      </c>
      <c r="X289" s="95" t="s">
        <v>2835</v>
      </c>
      <c r="Y289" s="72" t="s">
        <v>4</v>
      </c>
      <c r="Z289" s="72" t="s">
        <v>4</v>
      </c>
      <c r="AA289" s="95" t="s">
        <v>2835</v>
      </c>
      <c r="AB289" s="132"/>
      <c r="AC289" s="132"/>
      <c r="AD289" s="132"/>
      <c r="AE289" s="63"/>
      <c r="AF289" s="63"/>
      <c r="AG289" s="63"/>
    </row>
    <row r="290" spans="1:33" ht="17.2" customHeight="1">
      <c r="A290" s="64" t="str">
        <f>IF(priority(Main[[#This Row],[Comments]])&lt;&gt;0, priority(Main[[#This Row],[Comments]]),"")</f>
        <v/>
      </c>
      <c r="B290" s="60" t="s">
        <v>1127</v>
      </c>
      <c r="C290" s="72" t="s">
        <v>4</v>
      </c>
      <c r="D290" s="59" t="s">
        <v>178</v>
      </c>
      <c r="E290" s="85">
        <v>40688.403611111113</v>
      </c>
      <c r="F290" s="85"/>
      <c r="G290" s="64" t="str">
        <f>IF(stdProdLT(Main[[#This Row],[Comments]])=0.1,"N/A",IF(stdProdLT(Main[[#This Row],[Comments]])=0,"",TRIM(stdProdLT(Main[[#This Row],[Comments]]))))</f>
        <v/>
      </c>
      <c r="H290" s="94" t="str">
        <f>IF(OR(Main[[#This Row],[Std. Prod. Lead Time]]="N/A",Main[[#This Row],[Std. Prod. Lead Time]]=""), "",IF(AND(Main[[#This Row],[In Stock Date]]&lt;&gt;"",Main[[#This Row],[Revised Due Date]]&lt;&gt;"",Main[[#This Row],[In Stock Date]]&lt;&gt;""),Main[[#This Row],[In Stock Date]]-Main[[#This Row],[Revised Due Date]],""))</f>
        <v/>
      </c>
      <c r="I290" s="101" t="s">
        <v>4</v>
      </c>
      <c r="J290" s="95" t="s">
        <v>4</v>
      </c>
      <c r="K290" s="95" t="s">
        <v>4</v>
      </c>
      <c r="L290" s="85"/>
      <c r="M290" s="73" t="str">
        <f>IF(Main[[#This Row],[Tech Start Date]]&lt;1/1/1990,"",IF(Main[[#This Row],[Class]]="C",WORKDAY(Main[[#This Row],[Tech Start Date]],9),IF(Main[[#This Row],[Class]]="B", WORKDAY(Main[[#This Row],[Tech Start Date]],6),IF(Main[[#This Row],[Class]]="A",WORKDAY(Main[[#This Row],[Tech Start Date]],2),""))))</f>
        <v/>
      </c>
      <c r="N290" s="73" t="str">
        <f>IF(Main[[#This Row],[Tech Start Date]]&lt;1/1/1990,"",IF(Main[[#This Row],[Class]]="C",WORKDAY(Main[[#This Row],[Tech Start Date]],19),IF(Main[[#This Row],[Class]]="B", WORKDAY(Main[[#This Row],[Tech Start Date]],12),IF(Main[[#This Row],[Class]]="A",WORKDAY(Main[[#This Row],[Tech Start Date]],4),""))))</f>
        <v/>
      </c>
      <c r="O290" s="73" t="str">
        <f>IF(Main[[#This Row],[Tech Start Date]]&lt;1/1/1990,"",IF(Main[[#This Row],[Class]]="C",WORKDAY(Main[[#This Row],[Tech Start Date]],23),IF(Main[[#This Row],[Class]]="B", WORKDAY(Main[[#This Row],[Tech Start Date]],15),IF(Main[[#This Row],[Class]]="A",WORKDAY(Main[[#This Row],[Tech Start Date]],5),""))))</f>
        <v/>
      </c>
      <c r="P290" s="73" t="str">
        <f>IF(Main[[#This Row],[Tech Start Date]]&lt;1/1/1990,"",IF(Main[[#This Row],[Class]]="C",WORKDAY(Main[[#This Row],[Tech Start Date]],28),IF(Main[[#This Row],[Class]]="B", WORKDAY(Main[[#This Row],[Tech Start Date]],19),IF(Main[[#This Row],[Class]]="A",WORKDAY(Main[[#This Row],[Tech Start Date]],9),""))))</f>
        <v/>
      </c>
      <c r="Q290" s="85">
        <v>40725</v>
      </c>
      <c r="R290" s="112"/>
      <c r="S290" s="95" t="s">
        <v>6</v>
      </c>
      <c r="T290" s="74" t="s">
        <v>4</v>
      </c>
      <c r="U290" s="95" t="s">
        <v>7</v>
      </c>
      <c r="V290" s="95" t="s">
        <v>1911</v>
      </c>
      <c r="W290" s="95" t="s">
        <v>4</v>
      </c>
      <c r="X290" s="95" t="s">
        <v>2798</v>
      </c>
      <c r="Y290" s="72" t="s">
        <v>2908</v>
      </c>
      <c r="Z290" s="72" t="s">
        <v>4</v>
      </c>
      <c r="AA290" s="95" t="s">
        <v>2798</v>
      </c>
      <c r="AB290" s="132"/>
      <c r="AC290" s="132"/>
      <c r="AD290" s="132"/>
      <c r="AE290" s="63"/>
      <c r="AF290" s="63"/>
      <c r="AG290" s="63"/>
    </row>
    <row r="291" spans="1:33" ht="17.2" customHeight="1">
      <c r="A291" s="64" t="str">
        <f>IF(priority(Main[[#This Row],[Comments]])&lt;&gt;0, priority(Main[[#This Row],[Comments]]),"")</f>
        <v/>
      </c>
      <c r="B291" s="60" t="s">
        <v>1128</v>
      </c>
      <c r="C291" s="72" t="s">
        <v>4</v>
      </c>
      <c r="D291" s="59" t="s">
        <v>179</v>
      </c>
      <c r="E291" s="85">
        <v>40644.277719907404</v>
      </c>
      <c r="F291" s="85"/>
      <c r="G291" s="64" t="str">
        <f>IF(stdProdLT(Main[[#This Row],[Comments]])=0.1,"N/A",IF(stdProdLT(Main[[#This Row],[Comments]])=0,"",TRIM(stdProdLT(Main[[#This Row],[Comments]]))))</f>
        <v/>
      </c>
      <c r="H291" s="94" t="str">
        <f>IF(OR(Main[[#This Row],[Std. Prod. Lead Time]]="N/A",Main[[#This Row],[Std. Prod. Lead Time]]=""), "",IF(AND(Main[[#This Row],[In Stock Date]]&lt;&gt;"",Main[[#This Row],[Revised Due Date]]&lt;&gt;"",Main[[#This Row],[In Stock Date]]&lt;&gt;""),Main[[#This Row],[In Stock Date]]-Main[[#This Row],[Revised Due Date]],""))</f>
        <v/>
      </c>
      <c r="I291" s="101" t="s">
        <v>4</v>
      </c>
      <c r="J291" s="95" t="s">
        <v>4</v>
      </c>
      <c r="K291" s="95" t="s">
        <v>4</v>
      </c>
      <c r="L291" s="85"/>
      <c r="M291" s="73" t="str">
        <f>IF(Main[[#This Row],[Tech Start Date]]&lt;1/1/1990,"",IF(Main[[#This Row],[Class]]="C",WORKDAY(Main[[#This Row],[Tech Start Date]],9),IF(Main[[#This Row],[Class]]="B", WORKDAY(Main[[#This Row],[Tech Start Date]],6),IF(Main[[#This Row],[Class]]="A",WORKDAY(Main[[#This Row],[Tech Start Date]],2),""))))</f>
        <v/>
      </c>
      <c r="N291" s="73" t="str">
        <f>IF(Main[[#This Row],[Tech Start Date]]&lt;1/1/1990,"",IF(Main[[#This Row],[Class]]="C",WORKDAY(Main[[#This Row],[Tech Start Date]],19),IF(Main[[#This Row],[Class]]="B", WORKDAY(Main[[#This Row],[Tech Start Date]],12),IF(Main[[#This Row],[Class]]="A",WORKDAY(Main[[#This Row],[Tech Start Date]],4),""))))</f>
        <v/>
      </c>
      <c r="O291" s="73" t="str">
        <f>IF(Main[[#This Row],[Tech Start Date]]&lt;1/1/1990,"",IF(Main[[#This Row],[Class]]="C",WORKDAY(Main[[#This Row],[Tech Start Date]],23),IF(Main[[#This Row],[Class]]="B", WORKDAY(Main[[#This Row],[Tech Start Date]],15),IF(Main[[#This Row],[Class]]="A",WORKDAY(Main[[#This Row],[Tech Start Date]],5),""))))</f>
        <v/>
      </c>
      <c r="P291" s="73" t="str">
        <f>IF(Main[[#This Row],[Tech Start Date]]&lt;1/1/1990,"",IF(Main[[#This Row],[Class]]="C",WORKDAY(Main[[#This Row],[Tech Start Date]],28),IF(Main[[#This Row],[Class]]="B", WORKDAY(Main[[#This Row],[Tech Start Date]],19),IF(Main[[#This Row],[Class]]="A",WORKDAY(Main[[#This Row],[Tech Start Date]],9),""))))</f>
        <v/>
      </c>
      <c r="Q291" s="85">
        <v>40673</v>
      </c>
      <c r="R291" s="112"/>
      <c r="S291" s="95" t="s">
        <v>6</v>
      </c>
      <c r="T291" s="74" t="s">
        <v>4</v>
      </c>
      <c r="U291" s="95" t="s">
        <v>7</v>
      </c>
      <c r="V291" s="95" t="s">
        <v>1911</v>
      </c>
      <c r="W291" s="95" t="s">
        <v>1919</v>
      </c>
      <c r="X291" s="95" t="s">
        <v>2801</v>
      </c>
      <c r="Y291" s="72" t="s">
        <v>2914</v>
      </c>
      <c r="Z291" s="72" t="s">
        <v>4</v>
      </c>
      <c r="AA291" s="95" t="s">
        <v>2801</v>
      </c>
      <c r="AB291" s="132"/>
      <c r="AC291" s="132"/>
      <c r="AD291" s="132"/>
      <c r="AE291" s="63"/>
      <c r="AF291" s="63"/>
      <c r="AG291" s="63"/>
    </row>
    <row r="292" spans="1:33" ht="17.2" customHeight="1">
      <c r="A292" s="64" t="str">
        <f>IF(priority(Main[[#This Row],[Comments]])&lt;&gt;0, priority(Main[[#This Row],[Comments]]),"")</f>
        <v/>
      </c>
      <c r="B292" s="60" t="s">
        <v>1130</v>
      </c>
      <c r="C292" s="72" t="s">
        <v>180</v>
      </c>
      <c r="D292" s="59" t="s">
        <v>181</v>
      </c>
      <c r="E292" s="85"/>
      <c r="F292" s="85">
        <v>40536</v>
      </c>
      <c r="G292" s="64" t="str">
        <f>IF(stdProdLT(Main[[#This Row],[Comments]])=0.1,"N/A",IF(stdProdLT(Main[[#This Row],[Comments]])=0,"",TRIM(stdProdLT(Main[[#This Row],[Comments]]))))</f>
        <v/>
      </c>
      <c r="H292" s="94" t="str">
        <f>IF(OR(Main[[#This Row],[Std. Prod. Lead Time]]="N/A",Main[[#This Row],[Std. Prod. Lead Time]]=""), "",IF(AND(Main[[#This Row],[In Stock Date]]&lt;&gt;"",Main[[#This Row],[Revised Due Date]]&lt;&gt;"",Main[[#This Row],[In Stock Date]]&lt;&gt;""),Main[[#This Row],[In Stock Date]]-Main[[#This Row],[Revised Due Date]],""))</f>
        <v/>
      </c>
      <c r="I292" s="101" t="s">
        <v>4</v>
      </c>
      <c r="J292" s="95" t="s">
        <v>28</v>
      </c>
      <c r="K292" s="95" t="s">
        <v>1920</v>
      </c>
      <c r="L292" s="85"/>
      <c r="M292" s="73" t="str">
        <f>IF(Main[[#This Row],[Tech Start Date]]&lt;1/1/1990,"",IF(Main[[#This Row],[Class]]="C",WORKDAY(Main[[#This Row],[Tech Start Date]],9),IF(Main[[#This Row],[Class]]="B", WORKDAY(Main[[#This Row],[Tech Start Date]],6),IF(Main[[#This Row],[Class]]="A",WORKDAY(Main[[#This Row],[Tech Start Date]],2),""))))</f>
        <v/>
      </c>
      <c r="N292" s="73" t="str">
        <f>IF(Main[[#This Row],[Tech Start Date]]&lt;1/1/1990,"",IF(Main[[#This Row],[Class]]="C",WORKDAY(Main[[#This Row],[Tech Start Date]],19),IF(Main[[#This Row],[Class]]="B", WORKDAY(Main[[#This Row],[Tech Start Date]],12),IF(Main[[#This Row],[Class]]="A",WORKDAY(Main[[#This Row],[Tech Start Date]],4),""))))</f>
        <v/>
      </c>
      <c r="O292" s="73" t="str">
        <f>IF(Main[[#This Row],[Tech Start Date]]&lt;1/1/1990,"",IF(Main[[#This Row],[Class]]="C",WORKDAY(Main[[#This Row],[Tech Start Date]],23),IF(Main[[#This Row],[Class]]="B", WORKDAY(Main[[#This Row],[Tech Start Date]],15),IF(Main[[#This Row],[Class]]="A",WORKDAY(Main[[#This Row],[Tech Start Date]],5),""))))</f>
        <v/>
      </c>
      <c r="P292" s="73" t="str">
        <f>IF(Main[[#This Row],[Tech Start Date]]&lt;1/1/1990,"",IF(Main[[#This Row],[Class]]="C",WORKDAY(Main[[#This Row],[Tech Start Date]],28),IF(Main[[#This Row],[Class]]="B", WORKDAY(Main[[#This Row],[Tech Start Date]],19),IF(Main[[#This Row],[Class]]="A",WORKDAY(Main[[#This Row],[Tech Start Date]],9),""))))</f>
        <v/>
      </c>
      <c r="Q292" s="85">
        <v>40466</v>
      </c>
      <c r="R292" s="112"/>
      <c r="S292" s="95" t="s">
        <v>11</v>
      </c>
      <c r="T292" s="74" t="s">
        <v>4</v>
      </c>
      <c r="U292" s="95" t="s">
        <v>14</v>
      </c>
      <c r="V292" s="95" t="s">
        <v>1914</v>
      </c>
      <c r="W292" s="95" t="s">
        <v>1917</v>
      </c>
      <c r="X292" s="95" t="s">
        <v>2804</v>
      </c>
      <c r="Y292" s="72" t="s">
        <v>2921</v>
      </c>
      <c r="Z292" s="72" t="s">
        <v>530</v>
      </c>
      <c r="AA292" s="95" t="s">
        <v>2804</v>
      </c>
      <c r="AB292" s="132"/>
      <c r="AC292" s="132"/>
      <c r="AD292" s="132"/>
      <c r="AE292" s="63"/>
      <c r="AF292" s="63"/>
      <c r="AG292" s="63"/>
    </row>
    <row r="293" spans="1:33" ht="17.2" customHeight="1">
      <c r="A293" s="64" t="str">
        <f>IF(priority(Main[[#This Row],[Comments]])&lt;&gt;0, priority(Main[[#This Row],[Comments]]),"")</f>
        <v/>
      </c>
      <c r="B293" s="60" t="s">
        <v>1131</v>
      </c>
      <c r="C293" s="72" t="s">
        <v>182</v>
      </c>
      <c r="D293" s="59" t="s">
        <v>183</v>
      </c>
      <c r="E293" s="85"/>
      <c r="F293" s="85">
        <v>40571</v>
      </c>
      <c r="G293" s="64" t="str">
        <f>IF(stdProdLT(Main[[#This Row],[Comments]])=0.1,"N/A",IF(stdProdLT(Main[[#This Row],[Comments]])=0,"",TRIM(stdProdLT(Main[[#This Row],[Comments]]))))</f>
        <v/>
      </c>
      <c r="H293" s="94" t="str">
        <f>IF(OR(Main[[#This Row],[Std. Prod. Lead Time]]="N/A",Main[[#This Row],[Std. Prod. Lead Time]]=""), "",IF(AND(Main[[#This Row],[In Stock Date]]&lt;&gt;"",Main[[#This Row],[Revised Due Date]]&lt;&gt;"",Main[[#This Row],[In Stock Date]]&lt;&gt;""),Main[[#This Row],[In Stock Date]]-Main[[#This Row],[Revised Due Date]],""))</f>
        <v/>
      </c>
      <c r="I293" s="101" t="s">
        <v>4</v>
      </c>
      <c r="J293" s="95" t="s">
        <v>28</v>
      </c>
      <c r="K293" s="95" t="s">
        <v>4</v>
      </c>
      <c r="L293" s="85"/>
      <c r="M293" s="73" t="str">
        <f>IF(Main[[#This Row],[Tech Start Date]]&lt;1/1/1990,"",IF(Main[[#This Row],[Class]]="C",WORKDAY(Main[[#This Row],[Tech Start Date]],9),IF(Main[[#This Row],[Class]]="B", WORKDAY(Main[[#This Row],[Tech Start Date]],6),IF(Main[[#This Row],[Class]]="A",WORKDAY(Main[[#This Row],[Tech Start Date]],2),""))))</f>
        <v/>
      </c>
      <c r="N293" s="73" t="str">
        <f>IF(Main[[#This Row],[Tech Start Date]]&lt;1/1/1990,"",IF(Main[[#This Row],[Class]]="C",WORKDAY(Main[[#This Row],[Tech Start Date]],19),IF(Main[[#This Row],[Class]]="B", WORKDAY(Main[[#This Row],[Tech Start Date]],12),IF(Main[[#This Row],[Class]]="A",WORKDAY(Main[[#This Row],[Tech Start Date]],4),""))))</f>
        <v/>
      </c>
      <c r="O293" s="73" t="str">
        <f>IF(Main[[#This Row],[Tech Start Date]]&lt;1/1/1990,"",IF(Main[[#This Row],[Class]]="C",WORKDAY(Main[[#This Row],[Tech Start Date]],23),IF(Main[[#This Row],[Class]]="B", WORKDAY(Main[[#This Row],[Tech Start Date]],15),IF(Main[[#This Row],[Class]]="A",WORKDAY(Main[[#This Row],[Tech Start Date]],5),""))))</f>
        <v/>
      </c>
      <c r="P293" s="73" t="str">
        <f>IF(Main[[#This Row],[Tech Start Date]]&lt;1/1/1990,"",IF(Main[[#This Row],[Class]]="C",WORKDAY(Main[[#This Row],[Tech Start Date]],28),IF(Main[[#This Row],[Class]]="B", WORKDAY(Main[[#This Row],[Tech Start Date]],19),IF(Main[[#This Row],[Class]]="A",WORKDAY(Main[[#This Row],[Tech Start Date]],9),""))))</f>
        <v/>
      </c>
      <c r="Q293" s="85"/>
      <c r="R293" s="112"/>
      <c r="S293" s="95" t="s">
        <v>11</v>
      </c>
      <c r="T293" s="74" t="s">
        <v>4</v>
      </c>
      <c r="U293" s="95" t="s">
        <v>14</v>
      </c>
      <c r="V293" s="95" t="s">
        <v>1911</v>
      </c>
      <c r="W293" s="95" t="s">
        <v>1917</v>
      </c>
      <c r="X293" s="95" t="s">
        <v>50</v>
      </c>
      <c r="Y293" s="72" t="s">
        <v>2977</v>
      </c>
      <c r="Z293" s="72" t="s">
        <v>129</v>
      </c>
      <c r="AA293" s="95" t="s">
        <v>3356</v>
      </c>
      <c r="AB293" s="132"/>
      <c r="AC293" s="132"/>
      <c r="AD293" s="132"/>
      <c r="AE293" s="63"/>
      <c r="AF293" s="63"/>
      <c r="AG293" s="63"/>
    </row>
    <row r="294" spans="1:33" ht="17.2" customHeight="1">
      <c r="A294" s="64" t="str">
        <f>IF(priority(Main[[#This Row],[Comments]])&lt;&gt;0, priority(Main[[#This Row],[Comments]]),"")</f>
        <v/>
      </c>
      <c r="B294" s="60" t="s">
        <v>1132</v>
      </c>
      <c r="C294" s="72" t="s">
        <v>184</v>
      </c>
      <c r="D294" s="59" t="s">
        <v>185</v>
      </c>
      <c r="E294" s="85"/>
      <c r="F294" s="85"/>
      <c r="G294" s="64" t="str">
        <f>IF(stdProdLT(Main[[#This Row],[Comments]])=0.1,"N/A",IF(stdProdLT(Main[[#This Row],[Comments]])=0,"",TRIM(stdProdLT(Main[[#This Row],[Comments]]))))</f>
        <v/>
      </c>
      <c r="H294" s="94" t="str">
        <f>IF(OR(Main[[#This Row],[Std. Prod. Lead Time]]="N/A",Main[[#This Row],[Std. Prod. Lead Time]]=""), "",IF(AND(Main[[#This Row],[In Stock Date]]&lt;&gt;"",Main[[#This Row],[Revised Due Date]]&lt;&gt;"",Main[[#This Row],[In Stock Date]]&lt;&gt;""),Main[[#This Row],[In Stock Date]]-Main[[#This Row],[Revised Due Date]],""))</f>
        <v/>
      </c>
      <c r="I294" s="101" t="s">
        <v>4</v>
      </c>
      <c r="J294" s="95" t="s">
        <v>4</v>
      </c>
      <c r="K294" s="95" t="s">
        <v>4</v>
      </c>
      <c r="L294" s="85"/>
      <c r="M294" s="73" t="str">
        <f>IF(Main[[#This Row],[Tech Start Date]]&lt;1/1/1990,"",IF(Main[[#This Row],[Class]]="C",WORKDAY(Main[[#This Row],[Tech Start Date]],9),IF(Main[[#This Row],[Class]]="B", WORKDAY(Main[[#This Row],[Tech Start Date]],6),IF(Main[[#This Row],[Class]]="A",WORKDAY(Main[[#This Row],[Tech Start Date]],2),""))))</f>
        <v/>
      </c>
      <c r="N294" s="73" t="str">
        <f>IF(Main[[#This Row],[Tech Start Date]]&lt;1/1/1990,"",IF(Main[[#This Row],[Class]]="C",WORKDAY(Main[[#This Row],[Tech Start Date]],19),IF(Main[[#This Row],[Class]]="B", WORKDAY(Main[[#This Row],[Tech Start Date]],12),IF(Main[[#This Row],[Class]]="A",WORKDAY(Main[[#This Row],[Tech Start Date]],4),""))))</f>
        <v/>
      </c>
      <c r="O294" s="73" t="str">
        <f>IF(Main[[#This Row],[Tech Start Date]]&lt;1/1/1990,"",IF(Main[[#This Row],[Class]]="C",WORKDAY(Main[[#This Row],[Tech Start Date]],23),IF(Main[[#This Row],[Class]]="B", WORKDAY(Main[[#This Row],[Tech Start Date]],15),IF(Main[[#This Row],[Class]]="A",WORKDAY(Main[[#This Row],[Tech Start Date]],5),""))))</f>
        <v/>
      </c>
      <c r="P294" s="73" t="str">
        <f>IF(Main[[#This Row],[Tech Start Date]]&lt;1/1/1990,"",IF(Main[[#This Row],[Class]]="C",WORKDAY(Main[[#This Row],[Tech Start Date]],28),IF(Main[[#This Row],[Class]]="B", WORKDAY(Main[[#This Row],[Tech Start Date]],19),IF(Main[[#This Row],[Class]]="A",WORKDAY(Main[[#This Row],[Tech Start Date]],9),""))))</f>
        <v/>
      </c>
      <c r="Q294" s="85">
        <v>40116</v>
      </c>
      <c r="R294" s="112"/>
      <c r="S294" s="95" t="s">
        <v>11</v>
      </c>
      <c r="T294" s="74" t="s">
        <v>4</v>
      </c>
      <c r="U294" s="95" t="s">
        <v>14</v>
      </c>
      <c r="V294" s="95" t="s">
        <v>1914</v>
      </c>
      <c r="W294" s="95" t="s">
        <v>1913</v>
      </c>
      <c r="X294" s="95" t="s">
        <v>2843</v>
      </c>
      <c r="Y294" s="72" t="s">
        <v>4</v>
      </c>
      <c r="Z294" s="72" t="s">
        <v>4</v>
      </c>
      <c r="AA294" s="95" t="s">
        <v>2843</v>
      </c>
      <c r="AB294" s="132"/>
      <c r="AC294" s="132"/>
      <c r="AD294" s="132"/>
      <c r="AE294" s="63"/>
      <c r="AF294" s="63"/>
      <c r="AG294" s="63"/>
    </row>
    <row r="295" spans="1:33" ht="17.2" customHeight="1">
      <c r="A295" s="64" t="str">
        <f>IF(priority(Main[[#This Row],[Comments]])&lt;&gt;0, priority(Main[[#This Row],[Comments]]),"")</f>
        <v/>
      </c>
      <c r="B295" s="60" t="s">
        <v>1134</v>
      </c>
      <c r="C295" s="72" t="s">
        <v>187</v>
      </c>
      <c r="D295" s="59" t="s">
        <v>188</v>
      </c>
      <c r="E295" s="85"/>
      <c r="F295" s="85">
        <v>40263</v>
      </c>
      <c r="G295" s="64" t="str">
        <f>IF(stdProdLT(Main[[#This Row],[Comments]])=0.1,"N/A",IF(stdProdLT(Main[[#This Row],[Comments]])=0,"",TRIM(stdProdLT(Main[[#This Row],[Comments]]))))</f>
        <v/>
      </c>
      <c r="H295" s="94" t="str">
        <f>IF(OR(Main[[#This Row],[Std. Prod. Lead Time]]="N/A",Main[[#This Row],[Std. Prod. Lead Time]]=""), "",IF(AND(Main[[#This Row],[In Stock Date]]&lt;&gt;"",Main[[#This Row],[Revised Due Date]]&lt;&gt;"",Main[[#This Row],[In Stock Date]]&lt;&gt;""),Main[[#This Row],[In Stock Date]]-Main[[#This Row],[Revised Due Date]],""))</f>
        <v/>
      </c>
      <c r="I295" s="101" t="s">
        <v>4</v>
      </c>
      <c r="J295" s="95" t="s">
        <v>4</v>
      </c>
      <c r="K295" s="95" t="s">
        <v>4</v>
      </c>
      <c r="L295" s="85"/>
      <c r="M295" s="73" t="str">
        <f>IF(Main[[#This Row],[Tech Start Date]]&lt;1/1/1990,"",IF(Main[[#This Row],[Class]]="C",WORKDAY(Main[[#This Row],[Tech Start Date]],9),IF(Main[[#This Row],[Class]]="B", WORKDAY(Main[[#This Row],[Tech Start Date]],6),IF(Main[[#This Row],[Class]]="A",WORKDAY(Main[[#This Row],[Tech Start Date]],2),""))))</f>
        <v/>
      </c>
      <c r="N295" s="73" t="str">
        <f>IF(Main[[#This Row],[Tech Start Date]]&lt;1/1/1990,"",IF(Main[[#This Row],[Class]]="C",WORKDAY(Main[[#This Row],[Tech Start Date]],19),IF(Main[[#This Row],[Class]]="B", WORKDAY(Main[[#This Row],[Tech Start Date]],12),IF(Main[[#This Row],[Class]]="A",WORKDAY(Main[[#This Row],[Tech Start Date]],4),""))))</f>
        <v/>
      </c>
      <c r="O295" s="73" t="str">
        <f>IF(Main[[#This Row],[Tech Start Date]]&lt;1/1/1990,"",IF(Main[[#This Row],[Class]]="C",WORKDAY(Main[[#This Row],[Tech Start Date]],23),IF(Main[[#This Row],[Class]]="B", WORKDAY(Main[[#This Row],[Tech Start Date]],15),IF(Main[[#This Row],[Class]]="A",WORKDAY(Main[[#This Row],[Tech Start Date]],5),""))))</f>
        <v/>
      </c>
      <c r="P295" s="73" t="str">
        <f>IF(Main[[#This Row],[Tech Start Date]]&lt;1/1/1990,"",IF(Main[[#This Row],[Class]]="C",WORKDAY(Main[[#This Row],[Tech Start Date]],28),IF(Main[[#This Row],[Class]]="B", WORKDAY(Main[[#This Row],[Tech Start Date]],19),IF(Main[[#This Row],[Class]]="A",WORKDAY(Main[[#This Row],[Tech Start Date]],9),""))))</f>
        <v/>
      </c>
      <c r="Q295" s="85">
        <v>40295</v>
      </c>
      <c r="R295" s="112"/>
      <c r="S295" s="95" t="s">
        <v>11</v>
      </c>
      <c r="T295" s="74" t="s">
        <v>4</v>
      </c>
      <c r="U295" s="95" t="s">
        <v>14</v>
      </c>
      <c r="V295" s="95" t="s">
        <v>1914</v>
      </c>
      <c r="W295" s="95" t="s">
        <v>1917</v>
      </c>
      <c r="X295" s="95" t="s">
        <v>306</v>
      </c>
      <c r="Y295" s="72" t="s">
        <v>4</v>
      </c>
      <c r="Z295" s="72" t="s">
        <v>4</v>
      </c>
      <c r="AA295" s="95" t="s">
        <v>306</v>
      </c>
      <c r="AB295" s="132"/>
      <c r="AC295" s="132"/>
      <c r="AD295" s="132"/>
      <c r="AE295" s="63"/>
      <c r="AF295" s="63"/>
      <c r="AG295" s="63"/>
    </row>
    <row r="296" spans="1:33" ht="17.2" customHeight="1">
      <c r="A296" s="64" t="str">
        <f>IF(priority(Main[[#This Row],[Comments]])&lt;&gt;0, priority(Main[[#This Row],[Comments]]),"")</f>
        <v/>
      </c>
      <c r="B296" s="60" t="s">
        <v>1135</v>
      </c>
      <c r="C296" s="72" t="s">
        <v>4</v>
      </c>
      <c r="D296" s="59" t="s">
        <v>189</v>
      </c>
      <c r="E296" s="85"/>
      <c r="F296" s="85"/>
      <c r="G296" s="64" t="str">
        <f>IF(stdProdLT(Main[[#This Row],[Comments]])=0.1,"N/A",IF(stdProdLT(Main[[#This Row],[Comments]])=0,"",TRIM(stdProdLT(Main[[#This Row],[Comments]]))))</f>
        <v/>
      </c>
      <c r="H296" s="94" t="str">
        <f>IF(OR(Main[[#This Row],[Std. Prod. Lead Time]]="N/A",Main[[#This Row],[Std. Prod. Lead Time]]=""), "",IF(AND(Main[[#This Row],[In Stock Date]]&lt;&gt;"",Main[[#This Row],[Revised Due Date]]&lt;&gt;"",Main[[#This Row],[In Stock Date]]&lt;&gt;""),Main[[#This Row],[In Stock Date]]-Main[[#This Row],[Revised Due Date]],""))</f>
        <v/>
      </c>
      <c r="I296" s="101" t="s">
        <v>4</v>
      </c>
      <c r="J296" s="95" t="s">
        <v>4</v>
      </c>
      <c r="K296" s="95" t="s">
        <v>4</v>
      </c>
      <c r="L296" s="85"/>
      <c r="M296" s="73" t="str">
        <f>IF(Main[[#This Row],[Tech Start Date]]&lt;1/1/1990,"",IF(Main[[#This Row],[Class]]="C",WORKDAY(Main[[#This Row],[Tech Start Date]],9),IF(Main[[#This Row],[Class]]="B", WORKDAY(Main[[#This Row],[Tech Start Date]],6),IF(Main[[#This Row],[Class]]="A",WORKDAY(Main[[#This Row],[Tech Start Date]],2),""))))</f>
        <v/>
      </c>
      <c r="N296" s="73" t="str">
        <f>IF(Main[[#This Row],[Tech Start Date]]&lt;1/1/1990,"",IF(Main[[#This Row],[Class]]="C",WORKDAY(Main[[#This Row],[Tech Start Date]],19),IF(Main[[#This Row],[Class]]="B", WORKDAY(Main[[#This Row],[Tech Start Date]],12),IF(Main[[#This Row],[Class]]="A",WORKDAY(Main[[#This Row],[Tech Start Date]],4),""))))</f>
        <v/>
      </c>
      <c r="O296" s="73" t="str">
        <f>IF(Main[[#This Row],[Tech Start Date]]&lt;1/1/1990,"",IF(Main[[#This Row],[Class]]="C",WORKDAY(Main[[#This Row],[Tech Start Date]],23),IF(Main[[#This Row],[Class]]="B", WORKDAY(Main[[#This Row],[Tech Start Date]],15),IF(Main[[#This Row],[Class]]="A",WORKDAY(Main[[#This Row],[Tech Start Date]],5),""))))</f>
        <v/>
      </c>
      <c r="P296" s="73" t="str">
        <f>IF(Main[[#This Row],[Tech Start Date]]&lt;1/1/1990,"",IF(Main[[#This Row],[Class]]="C",WORKDAY(Main[[#This Row],[Tech Start Date]],28),IF(Main[[#This Row],[Class]]="B", WORKDAY(Main[[#This Row],[Tech Start Date]],19),IF(Main[[#This Row],[Class]]="A",WORKDAY(Main[[#This Row],[Tech Start Date]],9),""))))</f>
        <v/>
      </c>
      <c r="Q296" s="85"/>
      <c r="R296" s="112"/>
      <c r="S296" s="95" t="s">
        <v>4</v>
      </c>
      <c r="T296" s="74" t="s">
        <v>4</v>
      </c>
      <c r="U296" s="95" t="s">
        <v>14</v>
      </c>
      <c r="V296" s="95" t="s">
        <v>1914</v>
      </c>
      <c r="W296" s="95" t="s">
        <v>4</v>
      </c>
      <c r="X296" s="95" t="s">
        <v>968</v>
      </c>
      <c r="Y296" s="72" t="s">
        <v>4</v>
      </c>
      <c r="Z296" s="72" t="s">
        <v>4</v>
      </c>
      <c r="AA296" s="95" t="s">
        <v>4</v>
      </c>
      <c r="AB296" s="132"/>
      <c r="AC296" s="132"/>
      <c r="AD296" s="132"/>
      <c r="AE296" s="63"/>
      <c r="AF296" s="63"/>
      <c r="AG296" s="63"/>
    </row>
    <row r="297" spans="1:33" ht="17.2" customHeight="1">
      <c r="A297" s="64" t="str">
        <f>IF(priority(Main[[#This Row],[Comments]])&lt;&gt;0, priority(Main[[#This Row],[Comments]]),"")</f>
        <v/>
      </c>
      <c r="B297" s="60" t="s">
        <v>1136</v>
      </c>
      <c r="C297" s="72" t="s">
        <v>93</v>
      </c>
      <c r="D297" s="59" t="s">
        <v>190</v>
      </c>
      <c r="E297" s="85"/>
      <c r="F297" s="85">
        <v>40132</v>
      </c>
      <c r="G297" s="64" t="str">
        <f>IF(stdProdLT(Main[[#This Row],[Comments]])=0.1,"N/A",IF(stdProdLT(Main[[#This Row],[Comments]])=0,"",TRIM(stdProdLT(Main[[#This Row],[Comments]]))))</f>
        <v/>
      </c>
      <c r="H297" s="94" t="str">
        <f>IF(OR(Main[[#This Row],[Std. Prod. Lead Time]]="N/A",Main[[#This Row],[Std. Prod. Lead Time]]=""), "",IF(AND(Main[[#This Row],[In Stock Date]]&lt;&gt;"",Main[[#This Row],[Revised Due Date]]&lt;&gt;"",Main[[#This Row],[In Stock Date]]&lt;&gt;""),Main[[#This Row],[In Stock Date]]-Main[[#This Row],[Revised Due Date]],""))</f>
        <v/>
      </c>
      <c r="I297" s="101" t="s">
        <v>4</v>
      </c>
      <c r="J297" s="95" t="s">
        <v>4</v>
      </c>
      <c r="K297" s="95" t="s">
        <v>4</v>
      </c>
      <c r="L297" s="85"/>
      <c r="M297" s="73" t="str">
        <f>IF(Main[[#This Row],[Tech Start Date]]&lt;1/1/1990,"",IF(Main[[#This Row],[Class]]="C",WORKDAY(Main[[#This Row],[Tech Start Date]],9),IF(Main[[#This Row],[Class]]="B", WORKDAY(Main[[#This Row],[Tech Start Date]],6),IF(Main[[#This Row],[Class]]="A",WORKDAY(Main[[#This Row],[Tech Start Date]],2),""))))</f>
        <v/>
      </c>
      <c r="N297" s="73" t="str">
        <f>IF(Main[[#This Row],[Tech Start Date]]&lt;1/1/1990,"",IF(Main[[#This Row],[Class]]="C",WORKDAY(Main[[#This Row],[Tech Start Date]],19),IF(Main[[#This Row],[Class]]="B", WORKDAY(Main[[#This Row],[Tech Start Date]],12),IF(Main[[#This Row],[Class]]="A",WORKDAY(Main[[#This Row],[Tech Start Date]],4),""))))</f>
        <v/>
      </c>
      <c r="O297" s="73" t="str">
        <f>IF(Main[[#This Row],[Tech Start Date]]&lt;1/1/1990,"",IF(Main[[#This Row],[Class]]="C",WORKDAY(Main[[#This Row],[Tech Start Date]],23),IF(Main[[#This Row],[Class]]="B", WORKDAY(Main[[#This Row],[Tech Start Date]],15),IF(Main[[#This Row],[Class]]="A",WORKDAY(Main[[#This Row],[Tech Start Date]],5),""))))</f>
        <v/>
      </c>
      <c r="P297" s="73" t="str">
        <f>IF(Main[[#This Row],[Tech Start Date]]&lt;1/1/1990,"",IF(Main[[#This Row],[Class]]="C",WORKDAY(Main[[#This Row],[Tech Start Date]],28),IF(Main[[#This Row],[Class]]="B", WORKDAY(Main[[#This Row],[Tech Start Date]],19),IF(Main[[#This Row],[Class]]="A",WORKDAY(Main[[#This Row],[Tech Start Date]],9),""))))</f>
        <v/>
      </c>
      <c r="Q297" s="85">
        <v>40132</v>
      </c>
      <c r="R297" s="112"/>
      <c r="S297" s="95" t="s">
        <v>11</v>
      </c>
      <c r="T297" s="74" t="s">
        <v>4</v>
      </c>
      <c r="U297" s="95" t="s">
        <v>14</v>
      </c>
      <c r="V297" s="95" t="s">
        <v>1914</v>
      </c>
      <c r="W297" s="95" t="s">
        <v>1922</v>
      </c>
      <c r="X297" s="95" t="s">
        <v>2836</v>
      </c>
      <c r="Y297" s="72" t="s">
        <v>4</v>
      </c>
      <c r="Z297" s="72" t="s">
        <v>4</v>
      </c>
      <c r="AA297" s="95" t="s">
        <v>2836</v>
      </c>
      <c r="AB297" s="132"/>
      <c r="AC297" s="132"/>
      <c r="AD297" s="132"/>
      <c r="AE297" s="63"/>
      <c r="AF297" s="63"/>
      <c r="AG297" s="63"/>
    </row>
    <row r="298" spans="1:33" ht="17.2" customHeight="1">
      <c r="A298" s="64" t="str">
        <f>IF(priority(Main[[#This Row],[Comments]])&lt;&gt;0, priority(Main[[#This Row],[Comments]]),"")</f>
        <v/>
      </c>
      <c r="B298" s="60" t="s">
        <v>1137</v>
      </c>
      <c r="C298" s="72" t="s">
        <v>93</v>
      </c>
      <c r="D298" s="59" t="s">
        <v>191</v>
      </c>
      <c r="E298" s="85"/>
      <c r="F298" s="85">
        <v>40132</v>
      </c>
      <c r="G298" s="64" t="str">
        <f>IF(stdProdLT(Main[[#This Row],[Comments]])=0.1,"N/A",IF(stdProdLT(Main[[#This Row],[Comments]])=0,"",TRIM(stdProdLT(Main[[#This Row],[Comments]]))))</f>
        <v/>
      </c>
      <c r="H298" s="94" t="str">
        <f>IF(OR(Main[[#This Row],[Std. Prod. Lead Time]]="N/A",Main[[#This Row],[Std. Prod. Lead Time]]=""), "",IF(AND(Main[[#This Row],[In Stock Date]]&lt;&gt;"",Main[[#This Row],[Revised Due Date]]&lt;&gt;"",Main[[#This Row],[In Stock Date]]&lt;&gt;""),Main[[#This Row],[In Stock Date]]-Main[[#This Row],[Revised Due Date]],""))</f>
        <v/>
      </c>
      <c r="I298" s="101" t="s">
        <v>4</v>
      </c>
      <c r="J298" s="95" t="s">
        <v>4</v>
      </c>
      <c r="K298" s="95" t="s">
        <v>4</v>
      </c>
      <c r="L298" s="85"/>
      <c r="M298" s="73" t="str">
        <f>IF(Main[[#This Row],[Tech Start Date]]&lt;1/1/1990,"",IF(Main[[#This Row],[Class]]="C",WORKDAY(Main[[#This Row],[Tech Start Date]],9),IF(Main[[#This Row],[Class]]="B", WORKDAY(Main[[#This Row],[Tech Start Date]],6),IF(Main[[#This Row],[Class]]="A",WORKDAY(Main[[#This Row],[Tech Start Date]],2),""))))</f>
        <v/>
      </c>
      <c r="N298" s="73" t="str">
        <f>IF(Main[[#This Row],[Tech Start Date]]&lt;1/1/1990,"",IF(Main[[#This Row],[Class]]="C",WORKDAY(Main[[#This Row],[Tech Start Date]],19),IF(Main[[#This Row],[Class]]="B", WORKDAY(Main[[#This Row],[Tech Start Date]],12),IF(Main[[#This Row],[Class]]="A",WORKDAY(Main[[#This Row],[Tech Start Date]],4),""))))</f>
        <v/>
      </c>
      <c r="O298" s="73" t="str">
        <f>IF(Main[[#This Row],[Tech Start Date]]&lt;1/1/1990,"",IF(Main[[#This Row],[Class]]="C",WORKDAY(Main[[#This Row],[Tech Start Date]],23),IF(Main[[#This Row],[Class]]="B", WORKDAY(Main[[#This Row],[Tech Start Date]],15),IF(Main[[#This Row],[Class]]="A",WORKDAY(Main[[#This Row],[Tech Start Date]],5),""))))</f>
        <v/>
      </c>
      <c r="P298" s="73" t="str">
        <f>IF(Main[[#This Row],[Tech Start Date]]&lt;1/1/1990,"",IF(Main[[#This Row],[Class]]="C",WORKDAY(Main[[#This Row],[Tech Start Date]],28),IF(Main[[#This Row],[Class]]="B", WORKDAY(Main[[#This Row],[Tech Start Date]],19),IF(Main[[#This Row],[Class]]="A",WORKDAY(Main[[#This Row],[Tech Start Date]],9),""))))</f>
        <v/>
      </c>
      <c r="Q298" s="85">
        <v>40132</v>
      </c>
      <c r="R298" s="112"/>
      <c r="S298" s="95" t="s">
        <v>11</v>
      </c>
      <c r="T298" s="74" t="s">
        <v>4</v>
      </c>
      <c r="U298" s="95" t="s">
        <v>14</v>
      </c>
      <c r="V298" s="95" t="s">
        <v>1914</v>
      </c>
      <c r="W298" s="95" t="s">
        <v>1922</v>
      </c>
      <c r="X298" s="95" t="s">
        <v>2836</v>
      </c>
      <c r="Y298" s="72" t="s">
        <v>4</v>
      </c>
      <c r="Z298" s="72" t="s">
        <v>4</v>
      </c>
      <c r="AA298" s="95" t="s">
        <v>2836</v>
      </c>
      <c r="AB298" s="132"/>
      <c r="AC298" s="132"/>
      <c r="AD298" s="132"/>
      <c r="AE298" s="63"/>
      <c r="AF298" s="63"/>
      <c r="AG298" s="63"/>
    </row>
    <row r="299" spans="1:33" ht="17.2" customHeight="1">
      <c r="A299" s="64" t="str">
        <f>IF(priority(Main[[#This Row],[Comments]])&lt;&gt;0, priority(Main[[#This Row],[Comments]]),"")</f>
        <v/>
      </c>
      <c r="B299" s="60" t="s">
        <v>1138</v>
      </c>
      <c r="C299" s="72" t="s">
        <v>4</v>
      </c>
      <c r="D299" s="59" t="s">
        <v>192</v>
      </c>
      <c r="E299" s="85">
        <v>40371.395115740743</v>
      </c>
      <c r="F299" s="85"/>
      <c r="G299" s="64" t="str">
        <f>IF(stdProdLT(Main[[#This Row],[Comments]])=0.1,"N/A",IF(stdProdLT(Main[[#This Row],[Comments]])=0,"",TRIM(stdProdLT(Main[[#This Row],[Comments]]))))</f>
        <v/>
      </c>
      <c r="H299" s="94" t="str">
        <f>IF(OR(Main[[#This Row],[Std. Prod. Lead Time]]="N/A",Main[[#This Row],[Std. Prod. Lead Time]]=""), "",IF(AND(Main[[#This Row],[In Stock Date]]&lt;&gt;"",Main[[#This Row],[Revised Due Date]]&lt;&gt;"",Main[[#This Row],[In Stock Date]]&lt;&gt;""),Main[[#This Row],[In Stock Date]]-Main[[#This Row],[Revised Due Date]],""))</f>
        <v/>
      </c>
      <c r="I299" s="101" t="s">
        <v>4</v>
      </c>
      <c r="J299" s="95" t="s">
        <v>4</v>
      </c>
      <c r="K299" s="96" t="s">
        <v>4</v>
      </c>
      <c r="L299" s="85"/>
      <c r="M299" s="73" t="str">
        <f>IF(Main[[#This Row],[Tech Start Date]]&lt;1/1/1990,"",IF(Main[[#This Row],[Class]]="C",WORKDAY(Main[[#This Row],[Tech Start Date]],9),IF(Main[[#This Row],[Class]]="B", WORKDAY(Main[[#This Row],[Tech Start Date]],6),IF(Main[[#This Row],[Class]]="A",WORKDAY(Main[[#This Row],[Tech Start Date]],2),""))))</f>
        <v/>
      </c>
      <c r="N299" s="73" t="str">
        <f>IF(Main[[#This Row],[Tech Start Date]]&lt;1/1/1990,"",IF(Main[[#This Row],[Class]]="C",WORKDAY(Main[[#This Row],[Tech Start Date]],19),IF(Main[[#This Row],[Class]]="B", WORKDAY(Main[[#This Row],[Tech Start Date]],12),IF(Main[[#This Row],[Class]]="A",WORKDAY(Main[[#This Row],[Tech Start Date]],4),""))))</f>
        <v/>
      </c>
      <c r="O299" s="73" t="str">
        <f>IF(Main[[#This Row],[Tech Start Date]]&lt;1/1/1990,"",IF(Main[[#This Row],[Class]]="C",WORKDAY(Main[[#This Row],[Tech Start Date]],23),IF(Main[[#This Row],[Class]]="B", WORKDAY(Main[[#This Row],[Tech Start Date]],15),IF(Main[[#This Row],[Class]]="A",WORKDAY(Main[[#This Row],[Tech Start Date]],5),""))))</f>
        <v/>
      </c>
      <c r="P299" s="73" t="str">
        <f>IF(Main[[#This Row],[Tech Start Date]]&lt;1/1/1990,"",IF(Main[[#This Row],[Class]]="C",WORKDAY(Main[[#This Row],[Tech Start Date]],28),IF(Main[[#This Row],[Class]]="B", WORKDAY(Main[[#This Row],[Tech Start Date]],19),IF(Main[[#This Row],[Class]]="A",WORKDAY(Main[[#This Row],[Tech Start Date]],9),""))))</f>
        <v/>
      </c>
      <c r="Q299" s="85">
        <v>40385</v>
      </c>
      <c r="R299" s="112"/>
      <c r="S299" s="95" t="s">
        <v>6</v>
      </c>
      <c r="T299" s="74" t="s">
        <v>4</v>
      </c>
      <c r="U299" s="95" t="s">
        <v>7</v>
      </c>
      <c r="V299" s="95" t="s">
        <v>1911</v>
      </c>
      <c r="W299" s="95" t="s">
        <v>1913</v>
      </c>
      <c r="X299" s="95" t="s">
        <v>102</v>
      </c>
      <c r="Y299" s="72" t="s">
        <v>2979</v>
      </c>
      <c r="Z299" s="72" t="s">
        <v>4</v>
      </c>
      <c r="AA299" s="95" t="s">
        <v>3357</v>
      </c>
      <c r="AB299" s="132"/>
      <c r="AC299" s="132"/>
      <c r="AD299" s="132"/>
      <c r="AE299" s="63"/>
      <c r="AF299" s="63"/>
      <c r="AG299" s="63"/>
    </row>
    <row r="300" spans="1:33" ht="17.2" customHeight="1">
      <c r="A300" s="64" t="str">
        <f>IF(priority(Main[[#This Row],[Comments]])&lt;&gt;0, priority(Main[[#This Row],[Comments]]),"")</f>
        <v/>
      </c>
      <c r="B300" s="60" t="s">
        <v>1139</v>
      </c>
      <c r="C300" s="72" t="s">
        <v>53</v>
      </c>
      <c r="D300" s="59" t="s">
        <v>193</v>
      </c>
      <c r="E300" s="85"/>
      <c r="F300" s="85"/>
      <c r="G300" s="64" t="str">
        <f>IF(stdProdLT(Main[[#This Row],[Comments]])=0.1,"N/A",IF(stdProdLT(Main[[#This Row],[Comments]])=0,"",TRIM(stdProdLT(Main[[#This Row],[Comments]]))))</f>
        <v/>
      </c>
      <c r="H300" s="94" t="str">
        <f>IF(OR(Main[[#This Row],[Std. Prod. Lead Time]]="N/A",Main[[#This Row],[Std. Prod. Lead Time]]=""), "",IF(AND(Main[[#This Row],[In Stock Date]]&lt;&gt;"",Main[[#This Row],[Revised Due Date]]&lt;&gt;"",Main[[#This Row],[In Stock Date]]&lt;&gt;""),Main[[#This Row],[In Stock Date]]-Main[[#This Row],[Revised Due Date]],""))</f>
        <v/>
      </c>
      <c r="I300" s="101" t="s">
        <v>4</v>
      </c>
      <c r="J300" s="95" t="s">
        <v>28</v>
      </c>
      <c r="K300" s="95" t="s">
        <v>1918</v>
      </c>
      <c r="L300" s="85"/>
      <c r="M300" s="73" t="str">
        <f>IF(Main[[#This Row],[Tech Start Date]]&lt;1/1/1990,"",IF(Main[[#This Row],[Class]]="C",WORKDAY(Main[[#This Row],[Tech Start Date]],9),IF(Main[[#This Row],[Class]]="B", WORKDAY(Main[[#This Row],[Tech Start Date]],6),IF(Main[[#This Row],[Class]]="A",WORKDAY(Main[[#This Row],[Tech Start Date]],2),""))))</f>
        <v/>
      </c>
      <c r="N300" s="73" t="str">
        <f>IF(Main[[#This Row],[Tech Start Date]]&lt;1/1/1990,"",IF(Main[[#This Row],[Class]]="C",WORKDAY(Main[[#This Row],[Tech Start Date]],19),IF(Main[[#This Row],[Class]]="B", WORKDAY(Main[[#This Row],[Tech Start Date]],12),IF(Main[[#This Row],[Class]]="A",WORKDAY(Main[[#This Row],[Tech Start Date]],4),""))))</f>
        <v/>
      </c>
      <c r="O300" s="73" t="str">
        <f>IF(Main[[#This Row],[Tech Start Date]]&lt;1/1/1990,"",IF(Main[[#This Row],[Class]]="C",WORKDAY(Main[[#This Row],[Tech Start Date]],23),IF(Main[[#This Row],[Class]]="B", WORKDAY(Main[[#This Row],[Tech Start Date]],15),IF(Main[[#This Row],[Class]]="A",WORKDAY(Main[[#This Row],[Tech Start Date]],5),""))))</f>
        <v/>
      </c>
      <c r="P300" s="73" t="str">
        <f>IF(Main[[#This Row],[Tech Start Date]]&lt;1/1/1990,"",IF(Main[[#This Row],[Class]]="C",WORKDAY(Main[[#This Row],[Tech Start Date]],28),IF(Main[[#This Row],[Class]]="B", WORKDAY(Main[[#This Row],[Tech Start Date]],19),IF(Main[[#This Row],[Class]]="A",WORKDAY(Main[[#This Row],[Tech Start Date]],9),""))))</f>
        <v/>
      </c>
      <c r="Q300" s="85">
        <v>40581</v>
      </c>
      <c r="R300" s="112"/>
      <c r="S300" s="95" t="s">
        <v>11</v>
      </c>
      <c r="T300" s="74" t="s">
        <v>4</v>
      </c>
      <c r="U300" s="95" t="s">
        <v>14</v>
      </c>
      <c r="V300" s="95" t="s">
        <v>1912</v>
      </c>
      <c r="W300" s="95" t="s">
        <v>1913</v>
      </c>
      <c r="X300" s="95" t="s">
        <v>2796</v>
      </c>
      <c r="Y300" s="72" t="s">
        <v>2907</v>
      </c>
      <c r="Z300" s="72" t="s">
        <v>3136</v>
      </c>
      <c r="AA300" s="95" t="s">
        <v>2796</v>
      </c>
      <c r="AB300" s="132"/>
      <c r="AC300" s="132"/>
      <c r="AD300" s="132"/>
      <c r="AE300" s="63"/>
      <c r="AF300" s="63"/>
      <c r="AG300" s="63"/>
    </row>
    <row r="301" spans="1:33" ht="17.2" customHeight="1">
      <c r="A301" s="64" t="str">
        <f>IF(priority(Main[[#This Row],[Comments]])&lt;&gt;0, priority(Main[[#This Row],[Comments]]),"")</f>
        <v/>
      </c>
      <c r="B301" s="60" t="s">
        <v>1840</v>
      </c>
      <c r="C301" s="72" t="s">
        <v>4</v>
      </c>
      <c r="D301" s="59" t="s">
        <v>899</v>
      </c>
      <c r="E301" s="85"/>
      <c r="F301" s="85"/>
      <c r="G301" s="64" t="str">
        <f>IF(stdProdLT(Main[[#This Row],[Comments]])=0.1,"N/A",IF(stdProdLT(Main[[#This Row],[Comments]])=0,"",TRIM(stdProdLT(Main[[#This Row],[Comments]]))))</f>
        <v/>
      </c>
      <c r="H301" s="94" t="str">
        <f>IF(OR(Main[[#This Row],[Std. Prod. Lead Time]]="N/A",Main[[#This Row],[Std. Prod. Lead Time]]=""), "",IF(AND(Main[[#This Row],[In Stock Date]]&lt;&gt;"",Main[[#This Row],[Revised Due Date]]&lt;&gt;"",Main[[#This Row],[In Stock Date]]&lt;&gt;""),Main[[#This Row],[In Stock Date]]-Main[[#This Row],[Revised Due Date]],""))</f>
        <v/>
      </c>
      <c r="I301" s="101" t="s">
        <v>102</v>
      </c>
      <c r="J301" s="95" t="s">
        <v>52</v>
      </c>
      <c r="K301" s="95" t="s">
        <v>1920</v>
      </c>
      <c r="L301" s="85"/>
      <c r="M301" s="73" t="str">
        <f>IF(Main[[#This Row],[Tech Start Date]]&lt;1/1/1990,"",IF(Main[[#This Row],[Class]]="C",WORKDAY(Main[[#This Row],[Tech Start Date]],9),IF(Main[[#This Row],[Class]]="B", WORKDAY(Main[[#This Row],[Tech Start Date]],6),IF(Main[[#This Row],[Class]]="A",WORKDAY(Main[[#This Row],[Tech Start Date]],2),""))))</f>
        <v/>
      </c>
      <c r="N301" s="73" t="str">
        <f>IF(Main[[#This Row],[Tech Start Date]]&lt;1/1/1990,"",IF(Main[[#This Row],[Class]]="C",WORKDAY(Main[[#This Row],[Tech Start Date]],19),IF(Main[[#This Row],[Class]]="B", WORKDAY(Main[[#This Row],[Tech Start Date]],12),IF(Main[[#This Row],[Class]]="A",WORKDAY(Main[[#This Row],[Tech Start Date]],4),""))))</f>
        <v/>
      </c>
      <c r="O301" s="73" t="str">
        <f>IF(Main[[#This Row],[Tech Start Date]]&lt;1/1/1990,"",IF(Main[[#This Row],[Class]]="C",WORKDAY(Main[[#This Row],[Tech Start Date]],23),IF(Main[[#This Row],[Class]]="B", WORKDAY(Main[[#This Row],[Tech Start Date]],15),IF(Main[[#This Row],[Class]]="A",WORKDAY(Main[[#This Row],[Tech Start Date]],5),""))))</f>
        <v/>
      </c>
      <c r="P301" s="73" t="str">
        <f>IF(Main[[#This Row],[Tech Start Date]]&lt;1/1/1990,"",IF(Main[[#This Row],[Class]]="C",WORKDAY(Main[[#This Row],[Tech Start Date]],28),IF(Main[[#This Row],[Class]]="B", WORKDAY(Main[[#This Row],[Tech Start Date]],19),IF(Main[[#This Row],[Class]]="A",WORKDAY(Main[[#This Row],[Tech Start Date]],9),""))))</f>
        <v/>
      </c>
      <c r="Q301" s="85"/>
      <c r="R301" s="112">
        <v>40494</v>
      </c>
      <c r="S301" s="95" t="s">
        <v>6</v>
      </c>
      <c r="T301" s="74" t="s">
        <v>4</v>
      </c>
      <c r="U301" s="95" t="s">
        <v>14</v>
      </c>
      <c r="V301" s="95" t="s">
        <v>1911</v>
      </c>
      <c r="W301" s="95" t="s">
        <v>1925</v>
      </c>
      <c r="X301" s="95" t="s">
        <v>2046</v>
      </c>
      <c r="Y301" s="72" t="s">
        <v>2980</v>
      </c>
      <c r="Z301" s="72" t="s">
        <v>3137</v>
      </c>
      <c r="AA301" s="95" t="s">
        <v>2046</v>
      </c>
      <c r="AB301" s="132">
        <v>40485</v>
      </c>
      <c r="AC301" s="132">
        <v>40485</v>
      </c>
      <c r="AD301" s="132"/>
      <c r="AE301" s="63"/>
      <c r="AF301" s="63"/>
      <c r="AG301" s="63"/>
    </row>
    <row r="302" spans="1:33" ht="17.2" customHeight="1">
      <c r="A302" s="64" t="str">
        <f>IF(priority(Main[[#This Row],[Comments]])&lt;&gt;0, priority(Main[[#This Row],[Comments]]),"")</f>
        <v/>
      </c>
      <c r="B302" s="60" t="s">
        <v>1158</v>
      </c>
      <c r="C302" s="72" t="s">
        <v>4</v>
      </c>
      <c r="D302" s="59" t="s">
        <v>2341</v>
      </c>
      <c r="E302" s="85">
        <v>40436.507916666669</v>
      </c>
      <c r="F302" s="85"/>
      <c r="G302" s="64" t="str">
        <f>IF(stdProdLT(Main[[#This Row],[Comments]])=0.1,"N/A",IF(stdProdLT(Main[[#This Row],[Comments]])=0,"",TRIM(stdProdLT(Main[[#This Row],[Comments]]))))</f>
        <v/>
      </c>
      <c r="H302" s="94" t="str">
        <f>IF(OR(Main[[#This Row],[Std. Prod. Lead Time]]="N/A",Main[[#This Row],[Std. Prod. Lead Time]]=""), "",IF(AND(Main[[#This Row],[In Stock Date]]&lt;&gt;"",Main[[#This Row],[Revised Due Date]]&lt;&gt;"",Main[[#This Row],[In Stock Date]]&lt;&gt;""),Main[[#This Row],[In Stock Date]]-Main[[#This Row],[Revised Due Date]],""))</f>
        <v/>
      </c>
      <c r="I302" s="101" t="s">
        <v>912</v>
      </c>
      <c r="J302" s="95" t="s">
        <v>52</v>
      </c>
      <c r="K302" s="95" t="s">
        <v>4</v>
      </c>
      <c r="L302" s="85"/>
      <c r="M302" s="73" t="str">
        <f>IF(Main[[#This Row],[Tech Start Date]]&lt;1/1/1990,"",IF(Main[[#This Row],[Class]]="C",WORKDAY(Main[[#This Row],[Tech Start Date]],9),IF(Main[[#This Row],[Class]]="B", WORKDAY(Main[[#This Row],[Tech Start Date]],6),IF(Main[[#This Row],[Class]]="A",WORKDAY(Main[[#This Row],[Tech Start Date]],2),""))))</f>
        <v/>
      </c>
      <c r="N302" s="73" t="str">
        <f>IF(Main[[#This Row],[Tech Start Date]]&lt;1/1/1990,"",IF(Main[[#This Row],[Class]]="C",WORKDAY(Main[[#This Row],[Tech Start Date]],19),IF(Main[[#This Row],[Class]]="B", WORKDAY(Main[[#This Row],[Tech Start Date]],12),IF(Main[[#This Row],[Class]]="A",WORKDAY(Main[[#This Row],[Tech Start Date]],4),""))))</f>
        <v/>
      </c>
      <c r="O302" s="73" t="str">
        <f>IF(Main[[#This Row],[Tech Start Date]]&lt;1/1/1990,"",IF(Main[[#This Row],[Class]]="C",WORKDAY(Main[[#This Row],[Tech Start Date]],23),IF(Main[[#This Row],[Class]]="B", WORKDAY(Main[[#This Row],[Tech Start Date]],15),IF(Main[[#This Row],[Class]]="A",WORKDAY(Main[[#This Row],[Tech Start Date]],5),""))))</f>
        <v/>
      </c>
      <c r="P302" s="73" t="str">
        <f>IF(Main[[#This Row],[Tech Start Date]]&lt;1/1/1990,"",IF(Main[[#This Row],[Class]]="C",WORKDAY(Main[[#This Row],[Tech Start Date]],28),IF(Main[[#This Row],[Class]]="B", WORKDAY(Main[[#This Row],[Tech Start Date]],19),IF(Main[[#This Row],[Class]]="A",WORKDAY(Main[[#This Row],[Tech Start Date]],9),""))))</f>
        <v/>
      </c>
      <c r="Q302" s="85">
        <v>40451</v>
      </c>
      <c r="R302" s="112"/>
      <c r="S302" s="95" t="s">
        <v>6</v>
      </c>
      <c r="T302" s="74" t="s">
        <v>4</v>
      </c>
      <c r="U302" s="95" t="s">
        <v>29</v>
      </c>
      <c r="V302" s="95" t="s">
        <v>1911</v>
      </c>
      <c r="W302" s="95" t="s">
        <v>1913</v>
      </c>
      <c r="X302" s="95" t="s">
        <v>2847</v>
      </c>
      <c r="Y302" s="72" t="s">
        <v>2981</v>
      </c>
      <c r="Z302" s="72" t="s">
        <v>530</v>
      </c>
      <c r="AA302" s="95" t="s">
        <v>2847</v>
      </c>
      <c r="AB302" s="132"/>
      <c r="AC302" s="132"/>
      <c r="AD302" s="132"/>
      <c r="AE302" s="63"/>
      <c r="AF302" s="63"/>
      <c r="AG302" s="63"/>
    </row>
    <row r="303" spans="1:33" ht="17.2" customHeight="1">
      <c r="A303" s="64" t="str">
        <f>IF(priority(Main[[#This Row],[Comments]])&lt;&gt;0, priority(Main[[#This Row],[Comments]]),"")</f>
        <v/>
      </c>
      <c r="B303" s="60" t="s">
        <v>1305</v>
      </c>
      <c r="C303" s="72" t="s">
        <v>47</v>
      </c>
      <c r="D303" s="59" t="s">
        <v>2006</v>
      </c>
      <c r="E303" s="85">
        <v>39952.315729166665</v>
      </c>
      <c r="F303" s="85"/>
      <c r="G303" s="64" t="str">
        <f>IF(stdProdLT(Main[[#This Row],[Comments]])=0.1,"N/A",IF(stdProdLT(Main[[#This Row],[Comments]])=0,"",TRIM(stdProdLT(Main[[#This Row],[Comments]]))))</f>
        <v/>
      </c>
      <c r="H303" s="94" t="str">
        <f>IF(OR(Main[[#This Row],[Std. Prod. Lead Time]]="N/A",Main[[#This Row],[Std. Prod. Lead Time]]=""), "",IF(AND(Main[[#This Row],[In Stock Date]]&lt;&gt;"",Main[[#This Row],[Revised Due Date]]&lt;&gt;"",Main[[#This Row],[In Stock Date]]&lt;&gt;""),Main[[#This Row],[In Stock Date]]-Main[[#This Row],[Revised Due Date]],""))</f>
        <v/>
      </c>
      <c r="I303" s="101" t="s">
        <v>2007</v>
      </c>
      <c r="J303" s="95" t="s">
        <v>28</v>
      </c>
      <c r="K303" s="95" t="s">
        <v>4</v>
      </c>
      <c r="L303" s="85"/>
      <c r="M303" s="73" t="str">
        <f>IF(Main[[#This Row],[Tech Start Date]]&lt;1/1/1990,"",IF(Main[[#This Row],[Class]]="C",WORKDAY(Main[[#This Row],[Tech Start Date]],9),IF(Main[[#This Row],[Class]]="B", WORKDAY(Main[[#This Row],[Tech Start Date]],6),IF(Main[[#This Row],[Class]]="A",WORKDAY(Main[[#This Row],[Tech Start Date]],2),""))))</f>
        <v/>
      </c>
      <c r="N303" s="73" t="str">
        <f>IF(Main[[#This Row],[Tech Start Date]]&lt;1/1/1990,"",IF(Main[[#This Row],[Class]]="C",WORKDAY(Main[[#This Row],[Tech Start Date]],19),IF(Main[[#This Row],[Class]]="B", WORKDAY(Main[[#This Row],[Tech Start Date]],12),IF(Main[[#This Row],[Class]]="A",WORKDAY(Main[[#This Row],[Tech Start Date]],4),""))))</f>
        <v/>
      </c>
      <c r="O303" s="73" t="str">
        <f>IF(Main[[#This Row],[Tech Start Date]]&lt;1/1/1990,"",IF(Main[[#This Row],[Class]]="C",WORKDAY(Main[[#This Row],[Tech Start Date]],23),IF(Main[[#This Row],[Class]]="B", WORKDAY(Main[[#This Row],[Tech Start Date]],15),IF(Main[[#This Row],[Class]]="A",WORKDAY(Main[[#This Row],[Tech Start Date]],5),""))))</f>
        <v/>
      </c>
      <c r="P303" s="73" t="str">
        <f>IF(Main[[#This Row],[Tech Start Date]]&lt;1/1/1990,"",IF(Main[[#This Row],[Class]]="C",WORKDAY(Main[[#This Row],[Tech Start Date]],28),IF(Main[[#This Row],[Class]]="B", WORKDAY(Main[[#This Row],[Tech Start Date]],19),IF(Main[[#This Row],[Class]]="A",WORKDAY(Main[[#This Row],[Tech Start Date]],9),""))))</f>
        <v/>
      </c>
      <c r="Q303" s="85"/>
      <c r="R303" s="112"/>
      <c r="S303" s="95" t="s">
        <v>17</v>
      </c>
      <c r="T303" s="74" t="s">
        <v>4</v>
      </c>
      <c r="U303" s="95" t="s">
        <v>7</v>
      </c>
      <c r="V303" s="95" t="s">
        <v>1926</v>
      </c>
      <c r="W303" s="95" t="s">
        <v>1916</v>
      </c>
      <c r="X303" s="95" t="s">
        <v>2839</v>
      </c>
      <c r="Y303" s="72" t="s">
        <v>2926</v>
      </c>
      <c r="Z303" s="72" t="s">
        <v>2205</v>
      </c>
      <c r="AA303" s="95" t="s">
        <v>2839</v>
      </c>
      <c r="AB303" s="132"/>
      <c r="AC303" s="132"/>
      <c r="AD303" s="132"/>
      <c r="AE303" s="63"/>
      <c r="AF303" s="63"/>
      <c r="AG303" s="63"/>
    </row>
    <row r="304" spans="1:33" ht="17.2" customHeight="1">
      <c r="A304" s="64" t="str">
        <f>IF(priority(Main[[#This Row],[Comments]])&lt;&gt;0, priority(Main[[#This Row],[Comments]]),"")</f>
        <v/>
      </c>
      <c r="B304" s="60" t="s">
        <v>1153</v>
      </c>
      <c r="C304" s="72" t="s">
        <v>4</v>
      </c>
      <c r="D304" s="59" t="s">
        <v>209</v>
      </c>
      <c r="E304" s="85"/>
      <c r="F304" s="85"/>
      <c r="G304" s="64" t="str">
        <f>IF(stdProdLT(Main[[#This Row],[Comments]])=0.1,"N/A",IF(stdProdLT(Main[[#This Row],[Comments]])=0,"",TRIM(stdProdLT(Main[[#This Row],[Comments]]))))</f>
        <v/>
      </c>
      <c r="H304" s="94" t="str">
        <f>IF(OR(Main[[#This Row],[Std. Prod. Lead Time]]="N/A",Main[[#This Row],[Std. Prod. Lead Time]]=""), "",IF(AND(Main[[#This Row],[In Stock Date]]&lt;&gt;"",Main[[#This Row],[Revised Due Date]]&lt;&gt;"",Main[[#This Row],[In Stock Date]]&lt;&gt;""),Main[[#This Row],[In Stock Date]]-Main[[#This Row],[Revised Due Date]],""))</f>
        <v/>
      </c>
      <c r="I304" s="101" t="s">
        <v>4</v>
      </c>
      <c r="J304" s="95" t="s">
        <v>4</v>
      </c>
      <c r="K304" s="95" t="s">
        <v>4</v>
      </c>
      <c r="L304" s="85"/>
      <c r="M304" s="73" t="str">
        <f>IF(Main[[#This Row],[Tech Start Date]]&lt;1/1/1990,"",IF(Main[[#This Row],[Class]]="C",WORKDAY(Main[[#This Row],[Tech Start Date]],9),IF(Main[[#This Row],[Class]]="B", WORKDAY(Main[[#This Row],[Tech Start Date]],6),IF(Main[[#This Row],[Class]]="A",WORKDAY(Main[[#This Row],[Tech Start Date]],2),""))))</f>
        <v/>
      </c>
      <c r="N304" s="73" t="str">
        <f>IF(Main[[#This Row],[Tech Start Date]]&lt;1/1/1990,"",IF(Main[[#This Row],[Class]]="C",WORKDAY(Main[[#This Row],[Tech Start Date]],19),IF(Main[[#This Row],[Class]]="B", WORKDAY(Main[[#This Row],[Tech Start Date]],12),IF(Main[[#This Row],[Class]]="A",WORKDAY(Main[[#This Row],[Tech Start Date]],4),""))))</f>
        <v/>
      </c>
      <c r="O304" s="73" t="str">
        <f>IF(Main[[#This Row],[Tech Start Date]]&lt;1/1/1990,"",IF(Main[[#This Row],[Class]]="C",WORKDAY(Main[[#This Row],[Tech Start Date]],23),IF(Main[[#This Row],[Class]]="B", WORKDAY(Main[[#This Row],[Tech Start Date]],15),IF(Main[[#This Row],[Class]]="A",WORKDAY(Main[[#This Row],[Tech Start Date]],5),""))))</f>
        <v/>
      </c>
      <c r="P304" s="73" t="str">
        <f>IF(Main[[#This Row],[Tech Start Date]]&lt;1/1/1990,"",IF(Main[[#This Row],[Class]]="C",WORKDAY(Main[[#This Row],[Tech Start Date]],28),IF(Main[[#This Row],[Class]]="B", WORKDAY(Main[[#This Row],[Tech Start Date]],19),IF(Main[[#This Row],[Class]]="A",WORKDAY(Main[[#This Row],[Tech Start Date]],9),""))))</f>
        <v/>
      </c>
      <c r="Q304" s="85"/>
      <c r="R304" s="112"/>
      <c r="S304" s="95" t="s">
        <v>23</v>
      </c>
      <c r="T304" s="74" t="s">
        <v>4</v>
      </c>
      <c r="U304" s="95" t="s">
        <v>14</v>
      </c>
      <c r="V304" s="95" t="s">
        <v>1914</v>
      </c>
      <c r="W304" s="95" t="s">
        <v>1915</v>
      </c>
      <c r="X304" s="95" t="s">
        <v>306</v>
      </c>
      <c r="Y304" s="72" t="s">
        <v>4</v>
      </c>
      <c r="Z304" s="72" t="s">
        <v>4</v>
      </c>
      <c r="AA304" s="95" t="s">
        <v>3344</v>
      </c>
      <c r="AB304" s="132"/>
      <c r="AC304" s="132"/>
      <c r="AD304" s="132"/>
      <c r="AE304" s="63"/>
      <c r="AF304" s="63"/>
      <c r="AG304" s="63"/>
    </row>
    <row r="305" spans="1:33" ht="17.2" customHeight="1">
      <c r="A305" s="64" t="str">
        <f>IF(priority(Main[[#This Row],[Comments]])&lt;&gt;0, priority(Main[[#This Row],[Comments]]),"")</f>
        <v/>
      </c>
      <c r="B305" s="60" t="s">
        <v>1154</v>
      </c>
      <c r="C305" s="72" t="s">
        <v>4</v>
      </c>
      <c r="D305" s="59" t="s">
        <v>210</v>
      </c>
      <c r="E305" s="85"/>
      <c r="F305" s="85"/>
      <c r="G305" s="64" t="str">
        <f>IF(stdProdLT(Main[[#This Row],[Comments]])=0.1,"N/A",IF(stdProdLT(Main[[#This Row],[Comments]])=0,"",TRIM(stdProdLT(Main[[#This Row],[Comments]]))))</f>
        <v/>
      </c>
      <c r="H305" s="94" t="str">
        <f>IF(OR(Main[[#This Row],[Std. Prod. Lead Time]]="N/A",Main[[#This Row],[Std. Prod. Lead Time]]=""), "",IF(AND(Main[[#This Row],[In Stock Date]]&lt;&gt;"",Main[[#This Row],[Revised Due Date]]&lt;&gt;"",Main[[#This Row],[In Stock Date]]&lt;&gt;""),Main[[#This Row],[In Stock Date]]-Main[[#This Row],[Revised Due Date]],""))</f>
        <v/>
      </c>
      <c r="I305" s="101" t="s">
        <v>4</v>
      </c>
      <c r="J305" s="95" t="s">
        <v>4</v>
      </c>
      <c r="K305" s="95" t="s">
        <v>4</v>
      </c>
      <c r="L305" s="85"/>
      <c r="M305" s="73" t="str">
        <f>IF(Main[[#This Row],[Tech Start Date]]&lt;1/1/1990,"",IF(Main[[#This Row],[Class]]="C",WORKDAY(Main[[#This Row],[Tech Start Date]],9),IF(Main[[#This Row],[Class]]="B", WORKDAY(Main[[#This Row],[Tech Start Date]],6),IF(Main[[#This Row],[Class]]="A",WORKDAY(Main[[#This Row],[Tech Start Date]],2),""))))</f>
        <v/>
      </c>
      <c r="N305" s="73" t="str">
        <f>IF(Main[[#This Row],[Tech Start Date]]&lt;1/1/1990,"",IF(Main[[#This Row],[Class]]="C",WORKDAY(Main[[#This Row],[Tech Start Date]],19),IF(Main[[#This Row],[Class]]="B", WORKDAY(Main[[#This Row],[Tech Start Date]],12),IF(Main[[#This Row],[Class]]="A",WORKDAY(Main[[#This Row],[Tech Start Date]],4),""))))</f>
        <v/>
      </c>
      <c r="O305" s="73" t="str">
        <f>IF(Main[[#This Row],[Tech Start Date]]&lt;1/1/1990,"",IF(Main[[#This Row],[Class]]="C",WORKDAY(Main[[#This Row],[Tech Start Date]],23),IF(Main[[#This Row],[Class]]="B", WORKDAY(Main[[#This Row],[Tech Start Date]],15),IF(Main[[#This Row],[Class]]="A",WORKDAY(Main[[#This Row],[Tech Start Date]],5),""))))</f>
        <v/>
      </c>
      <c r="P305" s="73" t="str">
        <f>IF(Main[[#This Row],[Tech Start Date]]&lt;1/1/1990,"",IF(Main[[#This Row],[Class]]="C",WORKDAY(Main[[#This Row],[Tech Start Date]],28),IF(Main[[#This Row],[Class]]="B", WORKDAY(Main[[#This Row],[Tech Start Date]],19),IF(Main[[#This Row],[Class]]="A",WORKDAY(Main[[#This Row],[Tech Start Date]],9),""))))</f>
        <v/>
      </c>
      <c r="Q305" s="85"/>
      <c r="R305" s="112"/>
      <c r="S305" s="95" t="s">
        <v>23</v>
      </c>
      <c r="T305" s="74" t="s">
        <v>4</v>
      </c>
      <c r="U305" s="95" t="s">
        <v>14</v>
      </c>
      <c r="V305" s="95" t="s">
        <v>1914</v>
      </c>
      <c r="W305" s="95" t="s">
        <v>1915</v>
      </c>
      <c r="X305" s="95" t="s">
        <v>399</v>
      </c>
      <c r="Y305" s="72" t="s">
        <v>4</v>
      </c>
      <c r="Z305" s="72" t="s">
        <v>4</v>
      </c>
      <c r="AA305" s="95" t="s">
        <v>3358</v>
      </c>
      <c r="AB305" s="132"/>
      <c r="AC305" s="132"/>
      <c r="AD305" s="132"/>
      <c r="AE305" s="63"/>
      <c r="AF305" s="63"/>
      <c r="AG305" s="63"/>
    </row>
    <row r="306" spans="1:33" ht="17.2" customHeight="1">
      <c r="A306" s="64" t="str">
        <f>IF(priority(Main[[#This Row],[Comments]])&lt;&gt;0, priority(Main[[#This Row],[Comments]]),"")</f>
        <v/>
      </c>
      <c r="B306" s="60" t="s">
        <v>1218</v>
      </c>
      <c r="C306" s="72" t="s">
        <v>277</v>
      </c>
      <c r="D306" s="59" t="s">
        <v>278</v>
      </c>
      <c r="E306" s="85"/>
      <c r="F306" s="85">
        <v>40680</v>
      </c>
      <c r="G306" s="64" t="str">
        <f>IF(stdProdLT(Main[[#This Row],[Comments]])=0.1,"N/A",IF(stdProdLT(Main[[#This Row],[Comments]])=0,"",TRIM(stdProdLT(Main[[#This Row],[Comments]]))))</f>
        <v/>
      </c>
      <c r="H306" s="94" t="str">
        <f>IF(OR(Main[[#This Row],[Std. Prod. Lead Time]]="N/A",Main[[#This Row],[Std. Prod. Lead Time]]=""), "",IF(AND(Main[[#This Row],[In Stock Date]]&lt;&gt;"",Main[[#This Row],[Revised Due Date]]&lt;&gt;"",Main[[#This Row],[In Stock Date]]&lt;&gt;""),Main[[#This Row],[In Stock Date]]-Main[[#This Row],[Revised Due Date]],""))</f>
        <v/>
      </c>
      <c r="I306" s="101" t="s">
        <v>4</v>
      </c>
      <c r="J306" s="95" t="s">
        <v>28</v>
      </c>
      <c r="K306" s="95" t="s">
        <v>4</v>
      </c>
      <c r="L306" s="85"/>
      <c r="M306" s="73" t="str">
        <f>IF(Main[[#This Row],[Tech Start Date]]&lt;1/1/1990,"",IF(Main[[#This Row],[Class]]="C",WORKDAY(Main[[#This Row],[Tech Start Date]],9),IF(Main[[#This Row],[Class]]="B", WORKDAY(Main[[#This Row],[Tech Start Date]],6),IF(Main[[#This Row],[Class]]="A",WORKDAY(Main[[#This Row],[Tech Start Date]],2),""))))</f>
        <v/>
      </c>
      <c r="N306" s="73" t="str">
        <f>IF(Main[[#This Row],[Tech Start Date]]&lt;1/1/1990,"",IF(Main[[#This Row],[Class]]="C",WORKDAY(Main[[#This Row],[Tech Start Date]],19),IF(Main[[#This Row],[Class]]="B", WORKDAY(Main[[#This Row],[Tech Start Date]],12),IF(Main[[#This Row],[Class]]="A",WORKDAY(Main[[#This Row],[Tech Start Date]],4),""))))</f>
        <v/>
      </c>
      <c r="O306" s="73" t="str">
        <f>IF(Main[[#This Row],[Tech Start Date]]&lt;1/1/1990,"",IF(Main[[#This Row],[Class]]="C",WORKDAY(Main[[#This Row],[Tech Start Date]],23),IF(Main[[#This Row],[Class]]="B", WORKDAY(Main[[#This Row],[Tech Start Date]],15),IF(Main[[#This Row],[Class]]="A",WORKDAY(Main[[#This Row],[Tech Start Date]],5),""))))</f>
        <v/>
      </c>
      <c r="P306" s="73" t="str">
        <f>IF(Main[[#This Row],[Tech Start Date]]&lt;1/1/1990,"",IF(Main[[#This Row],[Class]]="C",WORKDAY(Main[[#This Row],[Tech Start Date]],28),IF(Main[[#This Row],[Class]]="B", WORKDAY(Main[[#This Row],[Tech Start Date]],19),IF(Main[[#This Row],[Class]]="A",WORKDAY(Main[[#This Row],[Tech Start Date]],9),""))))</f>
        <v/>
      </c>
      <c r="Q306" s="85">
        <v>40540</v>
      </c>
      <c r="R306" s="112"/>
      <c r="S306" s="95" t="s">
        <v>11</v>
      </c>
      <c r="T306" s="74" t="s">
        <v>4</v>
      </c>
      <c r="U306" s="95" t="s">
        <v>14</v>
      </c>
      <c r="V306" s="95" t="s">
        <v>1912</v>
      </c>
      <c r="W306" s="95" t="s">
        <v>1916</v>
      </c>
      <c r="X306" s="95" t="s">
        <v>2840</v>
      </c>
      <c r="Y306" s="72" t="s">
        <v>2982</v>
      </c>
      <c r="Z306" s="72" t="s">
        <v>4</v>
      </c>
      <c r="AA306" s="95" t="s">
        <v>2840</v>
      </c>
      <c r="AB306" s="132"/>
      <c r="AC306" s="132"/>
      <c r="AD306" s="132"/>
      <c r="AE306" s="63"/>
      <c r="AF306" s="63"/>
      <c r="AG306" s="63"/>
    </row>
    <row r="307" spans="1:33" ht="17.2" customHeight="1">
      <c r="A307" s="64" t="str">
        <f>IF(priority(Main[[#This Row],[Comments]])&lt;&gt;0, priority(Main[[#This Row],[Comments]]),"")</f>
        <v/>
      </c>
      <c r="B307" s="60" t="s">
        <v>2174</v>
      </c>
      <c r="C307" s="72" t="s">
        <v>4</v>
      </c>
      <c r="D307" s="59" t="s">
        <v>2175</v>
      </c>
      <c r="E307" s="85"/>
      <c r="F307" s="85"/>
      <c r="G307" s="64" t="str">
        <f>IF(stdProdLT(Main[[#This Row],[Comments]])=0.1,"N/A",IF(stdProdLT(Main[[#This Row],[Comments]])=0,"",TRIM(stdProdLT(Main[[#This Row],[Comments]]))))</f>
        <v/>
      </c>
      <c r="H307" s="94" t="str">
        <f>IF(OR(Main[[#This Row],[Std. Prod. Lead Time]]="N/A",Main[[#This Row],[Std. Prod. Lead Time]]=""), "",IF(AND(Main[[#This Row],[In Stock Date]]&lt;&gt;"",Main[[#This Row],[Revised Due Date]]&lt;&gt;"",Main[[#This Row],[In Stock Date]]&lt;&gt;""),Main[[#This Row],[In Stock Date]]-Main[[#This Row],[Revised Due Date]],""))</f>
        <v/>
      </c>
      <c r="I307" s="101" t="s">
        <v>4</v>
      </c>
      <c r="J307" s="95" t="s">
        <v>4</v>
      </c>
      <c r="K307" s="96" t="s">
        <v>4</v>
      </c>
      <c r="L307" s="85"/>
      <c r="M307" s="73" t="str">
        <f>IF(Main[[#This Row],[Tech Start Date]]&lt;1/1/1990,"",IF(Main[[#This Row],[Class]]="C",WORKDAY(Main[[#This Row],[Tech Start Date]],9),IF(Main[[#This Row],[Class]]="B", WORKDAY(Main[[#This Row],[Tech Start Date]],6),IF(Main[[#This Row],[Class]]="A",WORKDAY(Main[[#This Row],[Tech Start Date]],2),""))))</f>
        <v/>
      </c>
      <c r="N307" s="73" t="str">
        <f>IF(Main[[#This Row],[Tech Start Date]]&lt;1/1/1990,"",IF(Main[[#This Row],[Class]]="C",WORKDAY(Main[[#This Row],[Tech Start Date]],19),IF(Main[[#This Row],[Class]]="B", WORKDAY(Main[[#This Row],[Tech Start Date]],12),IF(Main[[#This Row],[Class]]="A",WORKDAY(Main[[#This Row],[Tech Start Date]],4),""))))</f>
        <v/>
      </c>
      <c r="O307" s="73" t="str">
        <f>IF(Main[[#This Row],[Tech Start Date]]&lt;1/1/1990,"",IF(Main[[#This Row],[Class]]="C",WORKDAY(Main[[#This Row],[Tech Start Date]],23),IF(Main[[#This Row],[Class]]="B", WORKDAY(Main[[#This Row],[Tech Start Date]],15),IF(Main[[#This Row],[Class]]="A",WORKDAY(Main[[#This Row],[Tech Start Date]],5),""))))</f>
        <v/>
      </c>
      <c r="P307" s="73" t="str">
        <f>IF(Main[[#This Row],[Tech Start Date]]&lt;1/1/1990,"",IF(Main[[#This Row],[Class]]="C",WORKDAY(Main[[#This Row],[Tech Start Date]],28),IF(Main[[#This Row],[Class]]="B", WORKDAY(Main[[#This Row],[Tech Start Date]],19),IF(Main[[#This Row],[Class]]="A",WORKDAY(Main[[#This Row],[Tech Start Date]],9),""))))</f>
        <v/>
      </c>
      <c r="Q307" s="85"/>
      <c r="R307" s="112"/>
      <c r="S307" s="95" t="s">
        <v>6</v>
      </c>
      <c r="T307" s="74" t="s">
        <v>4</v>
      </c>
      <c r="U307" s="95" t="s">
        <v>14</v>
      </c>
      <c r="V307" s="95" t="s">
        <v>1911</v>
      </c>
      <c r="W307" s="95" t="s">
        <v>1913</v>
      </c>
      <c r="X307" s="95" t="s">
        <v>306</v>
      </c>
      <c r="Y307" s="72" t="s">
        <v>4</v>
      </c>
      <c r="Z307" s="72" t="s">
        <v>4</v>
      </c>
      <c r="AA307" s="95" t="s">
        <v>4</v>
      </c>
      <c r="AB307" s="132"/>
      <c r="AC307" s="132"/>
      <c r="AD307" s="132"/>
      <c r="AE307" s="63"/>
      <c r="AF307" s="63"/>
      <c r="AG307" s="63"/>
    </row>
    <row r="308" spans="1:33" ht="17.2" customHeight="1">
      <c r="A308" s="64" t="str">
        <f>IF(priority(Main[[#This Row],[Comments]])&lt;&gt;0, priority(Main[[#This Row],[Comments]]),"")</f>
        <v/>
      </c>
      <c r="B308" s="60" t="s">
        <v>1140</v>
      </c>
      <c r="C308" s="72" t="s">
        <v>93</v>
      </c>
      <c r="D308" s="59" t="s">
        <v>194</v>
      </c>
      <c r="E308" s="85"/>
      <c r="F308" s="85">
        <v>40203</v>
      </c>
      <c r="G308" s="64" t="str">
        <f>IF(stdProdLT(Main[[#This Row],[Comments]])=0.1,"N/A",IF(stdProdLT(Main[[#This Row],[Comments]])=0,"",TRIM(stdProdLT(Main[[#This Row],[Comments]]))))</f>
        <v/>
      </c>
      <c r="H308" s="94" t="str">
        <f>IF(OR(Main[[#This Row],[Std. Prod. Lead Time]]="N/A",Main[[#This Row],[Std. Prod. Lead Time]]=""), "",IF(AND(Main[[#This Row],[In Stock Date]]&lt;&gt;"",Main[[#This Row],[Revised Due Date]]&lt;&gt;"",Main[[#This Row],[In Stock Date]]&lt;&gt;""),Main[[#This Row],[In Stock Date]]-Main[[#This Row],[Revised Due Date]],""))</f>
        <v/>
      </c>
      <c r="I308" s="101" t="s">
        <v>4</v>
      </c>
      <c r="J308" s="95" t="s">
        <v>4</v>
      </c>
      <c r="K308" s="95" t="s">
        <v>4</v>
      </c>
      <c r="L308" s="85"/>
      <c r="M308" s="73" t="str">
        <f>IF(Main[[#This Row],[Tech Start Date]]&lt;1/1/1990,"",IF(Main[[#This Row],[Class]]="C",WORKDAY(Main[[#This Row],[Tech Start Date]],9),IF(Main[[#This Row],[Class]]="B", WORKDAY(Main[[#This Row],[Tech Start Date]],6),IF(Main[[#This Row],[Class]]="A",WORKDAY(Main[[#This Row],[Tech Start Date]],2),""))))</f>
        <v/>
      </c>
      <c r="N308" s="73" t="str">
        <f>IF(Main[[#This Row],[Tech Start Date]]&lt;1/1/1990,"",IF(Main[[#This Row],[Class]]="C",WORKDAY(Main[[#This Row],[Tech Start Date]],19),IF(Main[[#This Row],[Class]]="B", WORKDAY(Main[[#This Row],[Tech Start Date]],12),IF(Main[[#This Row],[Class]]="A",WORKDAY(Main[[#This Row],[Tech Start Date]],4),""))))</f>
        <v/>
      </c>
      <c r="O308" s="73" t="str">
        <f>IF(Main[[#This Row],[Tech Start Date]]&lt;1/1/1990,"",IF(Main[[#This Row],[Class]]="C",WORKDAY(Main[[#This Row],[Tech Start Date]],23),IF(Main[[#This Row],[Class]]="B", WORKDAY(Main[[#This Row],[Tech Start Date]],15),IF(Main[[#This Row],[Class]]="A",WORKDAY(Main[[#This Row],[Tech Start Date]],5),""))))</f>
        <v/>
      </c>
      <c r="P308" s="73" t="str">
        <f>IF(Main[[#This Row],[Tech Start Date]]&lt;1/1/1990,"",IF(Main[[#This Row],[Class]]="C",WORKDAY(Main[[#This Row],[Tech Start Date]],28),IF(Main[[#This Row],[Class]]="B", WORKDAY(Main[[#This Row],[Tech Start Date]],19),IF(Main[[#This Row],[Class]]="A",WORKDAY(Main[[#This Row],[Tech Start Date]],9),""))))</f>
        <v/>
      </c>
      <c r="Q308" s="85">
        <v>40046</v>
      </c>
      <c r="R308" s="112"/>
      <c r="S308" s="95" t="s">
        <v>11</v>
      </c>
      <c r="T308" s="74" t="s">
        <v>4</v>
      </c>
      <c r="U308" s="95" t="s">
        <v>14</v>
      </c>
      <c r="V308" s="95" t="s">
        <v>1911</v>
      </c>
      <c r="W308" s="95" t="s">
        <v>1917</v>
      </c>
      <c r="X308" s="95" t="s">
        <v>2833</v>
      </c>
      <c r="Y308" s="72" t="s">
        <v>2969</v>
      </c>
      <c r="Z308" s="72" t="s">
        <v>4</v>
      </c>
      <c r="AA308" s="95" t="s">
        <v>2833</v>
      </c>
      <c r="AB308" s="132"/>
      <c r="AC308" s="132"/>
      <c r="AD308" s="132"/>
      <c r="AE308" s="63"/>
      <c r="AF308" s="63"/>
      <c r="AG308" s="63"/>
    </row>
    <row r="309" spans="1:33" ht="17.2" customHeight="1">
      <c r="A309" s="64" t="str">
        <f>IF(priority(Main[[#This Row],[Comments]])&lt;&gt;0, priority(Main[[#This Row],[Comments]]),"")</f>
        <v/>
      </c>
      <c r="B309" s="60" t="s">
        <v>1141</v>
      </c>
      <c r="C309" s="72" t="s">
        <v>4</v>
      </c>
      <c r="D309" s="59" t="s">
        <v>195</v>
      </c>
      <c r="E309" s="85"/>
      <c r="F309" s="85"/>
      <c r="G309" s="64" t="str">
        <f>IF(stdProdLT(Main[[#This Row],[Comments]])=0.1,"N/A",IF(stdProdLT(Main[[#This Row],[Comments]])=0,"",TRIM(stdProdLT(Main[[#This Row],[Comments]]))))</f>
        <v/>
      </c>
      <c r="H309" s="94" t="str">
        <f>IF(OR(Main[[#This Row],[Std. Prod. Lead Time]]="N/A",Main[[#This Row],[Std. Prod. Lead Time]]=""), "",IF(AND(Main[[#This Row],[In Stock Date]]&lt;&gt;"",Main[[#This Row],[Revised Due Date]]&lt;&gt;"",Main[[#This Row],[In Stock Date]]&lt;&gt;""),Main[[#This Row],[In Stock Date]]-Main[[#This Row],[Revised Due Date]],""))</f>
        <v/>
      </c>
      <c r="I309" s="101" t="s">
        <v>4</v>
      </c>
      <c r="J309" s="95" t="s">
        <v>4</v>
      </c>
      <c r="K309" s="95" t="s">
        <v>4</v>
      </c>
      <c r="L309" s="85"/>
      <c r="M309" s="73" t="str">
        <f>IF(Main[[#This Row],[Tech Start Date]]&lt;1/1/1990,"",IF(Main[[#This Row],[Class]]="C",WORKDAY(Main[[#This Row],[Tech Start Date]],9),IF(Main[[#This Row],[Class]]="B", WORKDAY(Main[[#This Row],[Tech Start Date]],6),IF(Main[[#This Row],[Class]]="A",WORKDAY(Main[[#This Row],[Tech Start Date]],2),""))))</f>
        <v/>
      </c>
      <c r="N309" s="73" t="str">
        <f>IF(Main[[#This Row],[Tech Start Date]]&lt;1/1/1990,"",IF(Main[[#This Row],[Class]]="C",WORKDAY(Main[[#This Row],[Tech Start Date]],19),IF(Main[[#This Row],[Class]]="B", WORKDAY(Main[[#This Row],[Tech Start Date]],12),IF(Main[[#This Row],[Class]]="A",WORKDAY(Main[[#This Row],[Tech Start Date]],4),""))))</f>
        <v/>
      </c>
      <c r="O309" s="73" t="str">
        <f>IF(Main[[#This Row],[Tech Start Date]]&lt;1/1/1990,"",IF(Main[[#This Row],[Class]]="C",WORKDAY(Main[[#This Row],[Tech Start Date]],23),IF(Main[[#This Row],[Class]]="B", WORKDAY(Main[[#This Row],[Tech Start Date]],15),IF(Main[[#This Row],[Class]]="A",WORKDAY(Main[[#This Row],[Tech Start Date]],5),""))))</f>
        <v/>
      </c>
      <c r="P309" s="73" t="str">
        <f>IF(Main[[#This Row],[Tech Start Date]]&lt;1/1/1990,"",IF(Main[[#This Row],[Class]]="C",WORKDAY(Main[[#This Row],[Tech Start Date]],28),IF(Main[[#This Row],[Class]]="B", WORKDAY(Main[[#This Row],[Tech Start Date]],19),IF(Main[[#This Row],[Class]]="A",WORKDAY(Main[[#This Row],[Tech Start Date]],9),""))))</f>
        <v/>
      </c>
      <c r="Q309" s="85">
        <v>40543</v>
      </c>
      <c r="R309" s="112"/>
      <c r="S309" s="95" t="s">
        <v>11</v>
      </c>
      <c r="T309" s="74" t="s">
        <v>4</v>
      </c>
      <c r="U309" s="95" t="s">
        <v>14</v>
      </c>
      <c r="V309" s="95" t="s">
        <v>1911</v>
      </c>
      <c r="W309" s="95" t="s">
        <v>1922</v>
      </c>
      <c r="X309" s="95" t="s">
        <v>2841</v>
      </c>
      <c r="Y309" s="72" t="s">
        <v>2983</v>
      </c>
      <c r="Z309" s="72" t="s">
        <v>4</v>
      </c>
      <c r="AA309" s="95" t="s">
        <v>2841</v>
      </c>
      <c r="AB309" s="132"/>
      <c r="AC309" s="132"/>
      <c r="AD309" s="132"/>
      <c r="AE309" s="63"/>
      <c r="AF309" s="63"/>
      <c r="AG309" s="63"/>
    </row>
    <row r="310" spans="1:33" ht="17.2" customHeight="1">
      <c r="A310" s="64" t="str">
        <f>IF(priority(Main[[#This Row],[Comments]])&lt;&gt;0, priority(Main[[#This Row],[Comments]]),"")</f>
        <v/>
      </c>
      <c r="B310" s="60" t="s">
        <v>2557</v>
      </c>
      <c r="C310" s="72" t="s">
        <v>4</v>
      </c>
      <c r="D310" s="59" t="s">
        <v>2558</v>
      </c>
      <c r="E310" s="85">
        <v>40876.146770833337</v>
      </c>
      <c r="F310" s="85"/>
      <c r="G310" s="64" t="str">
        <f>IF(stdProdLT(Main[[#This Row],[Comments]])=0.1,"N/A",IF(stdProdLT(Main[[#This Row],[Comments]])=0,"",TRIM(stdProdLT(Main[[#This Row],[Comments]]))))</f>
        <v/>
      </c>
      <c r="H310" s="94" t="str">
        <f>IF(OR(Main[[#This Row],[Std. Prod. Lead Time]]="N/A",Main[[#This Row],[Std. Prod. Lead Time]]=""), "",IF(AND(Main[[#This Row],[In Stock Date]]&lt;&gt;"",Main[[#This Row],[Revised Due Date]]&lt;&gt;"",Main[[#This Row],[In Stock Date]]&lt;&gt;""),Main[[#This Row],[In Stock Date]]-Main[[#This Row],[Revised Due Date]],""))</f>
        <v/>
      </c>
      <c r="I310" s="101" t="s">
        <v>4</v>
      </c>
      <c r="J310" s="95" t="s">
        <v>4</v>
      </c>
      <c r="K310" s="95" t="s">
        <v>4</v>
      </c>
      <c r="L310" s="85"/>
      <c r="M310" s="73" t="str">
        <f>IF(Main[[#This Row],[Tech Start Date]]&lt;1/1/1990,"",IF(Main[[#This Row],[Class]]="C",WORKDAY(Main[[#This Row],[Tech Start Date]],9),IF(Main[[#This Row],[Class]]="B", WORKDAY(Main[[#This Row],[Tech Start Date]],6),IF(Main[[#This Row],[Class]]="A",WORKDAY(Main[[#This Row],[Tech Start Date]],2),""))))</f>
        <v/>
      </c>
      <c r="N310" s="73" t="str">
        <f>IF(Main[[#This Row],[Tech Start Date]]&lt;1/1/1990,"",IF(Main[[#This Row],[Class]]="C",WORKDAY(Main[[#This Row],[Tech Start Date]],19),IF(Main[[#This Row],[Class]]="B", WORKDAY(Main[[#This Row],[Tech Start Date]],12),IF(Main[[#This Row],[Class]]="A",WORKDAY(Main[[#This Row],[Tech Start Date]],4),""))))</f>
        <v/>
      </c>
      <c r="O310" s="73" t="str">
        <f>IF(Main[[#This Row],[Tech Start Date]]&lt;1/1/1990,"",IF(Main[[#This Row],[Class]]="C",WORKDAY(Main[[#This Row],[Tech Start Date]],23),IF(Main[[#This Row],[Class]]="B", WORKDAY(Main[[#This Row],[Tech Start Date]],15),IF(Main[[#This Row],[Class]]="A",WORKDAY(Main[[#This Row],[Tech Start Date]],5),""))))</f>
        <v/>
      </c>
      <c r="P310" s="73" t="str">
        <f>IF(Main[[#This Row],[Tech Start Date]]&lt;1/1/1990,"",IF(Main[[#This Row],[Class]]="C",WORKDAY(Main[[#This Row],[Tech Start Date]],28),IF(Main[[#This Row],[Class]]="B", WORKDAY(Main[[#This Row],[Tech Start Date]],19),IF(Main[[#This Row],[Class]]="A",WORKDAY(Main[[#This Row],[Tech Start Date]],9),""))))</f>
        <v/>
      </c>
      <c r="Q310" s="85">
        <v>40882</v>
      </c>
      <c r="R310" s="112"/>
      <c r="S310" s="95" t="s">
        <v>6</v>
      </c>
      <c r="T310" s="74" t="s">
        <v>4</v>
      </c>
      <c r="U310" s="95" t="s">
        <v>7</v>
      </c>
      <c r="V310" s="95" t="s">
        <v>1911</v>
      </c>
      <c r="W310" s="95" t="s">
        <v>4</v>
      </c>
      <c r="X310" s="95" t="s">
        <v>2802</v>
      </c>
      <c r="Y310" s="72" t="s">
        <v>2916</v>
      </c>
      <c r="Z310" s="72" t="s">
        <v>4</v>
      </c>
      <c r="AA310" s="95" t="s">
        <v>2802</v>
      </c>
      <c r="AB310" s="132"/>
      <c r="AC310" s="132"/>
      <c r="AD310" s="132"/>
      <c r="AE310" s="63"/>
      <c r="AF310" s="63"/>
      <c r="AG310" s="63"/>
    </row>
    <row r="311" spans="1:33" ht="17.2" customHeight="1">
      <c r="A311" s="64" t="str">
        <f>IF(priority(Main[[#This Row],[Comments]])&lt;&gt;0, priority(Main[[#This Row],[Comments]]),"")</f>
        <v/>
      </c>
      <c r="B311" s="60" t="s">
        <v>1142</v>
      </c>
      <c r="C311" s="72" t="s">
        <v>4</v>
      </c>
      <c r="D311" s="59" t="s">
        <v>196</v>
      </c>
      <c r="E311" s="85"/>
      <c r="F311" s="85"/>
      <c r="G311" s="64" t="str">
        <f>IF(stdProdLT(Main[[#This Row],[Comments]])=0.1,"N/A",IF(stdProdLT(Main[[#This Row],[Comments]])=0,"",TRIM(stdProdLT(Main[[#This Row],[Comments]]))))</f>
        <v/>
      </c>
      <c r="H311" s="94" t="str">
        <f>IF(OR(Main[[#This Row],[Std. Prod. Lead Time]]="N/A",Main[[#This Row],[Std. Prod. Lead Time]]=""), "",IF(AND(Main[[#This Row],[In Stock Date]]&lt;&gt;"",Main[[#This Row],[Revised Due Date]]&lt;&gt;"",Main[[#This Row],[In Stock Date]]&lt;&gt;""),Main[[#This Row],[In Stock Date]]-Main[[#This Row],[Revised Due Date]],""))</f>
        <v/>
      </c>
      <c r="I311" s="101" t="s">
        <v>4</v>
      </c>
      <c r="J311" s="95" t="s">
        <v>4</v>
      </c>
      <c r="K311" s="96" t="s">
        <v>4</v>
      </c>
      <c r="L311" s="85"/>
      <c r="M311" s="73" t="str">
        <f>IF(Main[[#This Row],[Tech Start Date]]&lt;1/1/1990,"",IF(Main[[#This Row],[Class]]="C",WORKDAY(Main[[#This Row],[Tech Start Date]],9),IF(Main[[#This Row],[Class]]="B", WORKDAY(Main[[#This Row],[Tech Start Date]],6),IF(Main[[#This Row],[Class]]="A",WORKDAY(Main[[#This Row],[Tech Start Date]],2),""))))</f>
        <v/>
      </c>
      <c r="N311" s="73" t="str">
        <f>IF(Main[[#This Row],[Tech Start Date]]&lt;1/1/1990,"",IF(Main[[#This Row],[Class]]="C",WORKDAY(Main[[#This Row],[Tech Start Date]],19),IF(Main[[#This Row],[Class]]="B", WORKDAY(Main[[#This Row],[Tech Start Date]],12),IF(Main[[#This Row],[Class]]="A",WORKDAY(Main[[#This Row],[Tech Start Date]],4),""))))</f>
        <v/>
      </c>
      <c r="O311" s="73" t="str">
        <f>IF(Main[[#This Row],[Tech Start Date]]&lt;1/1/1990,"",IF(Main[[#This Row],[Class]]="C",WORKDAY(Main[[#This Row],[Tech Start Date]],23),IF(Main[[#This Row],[Class]]="B", WORKDAY(Main[[#This Row],[Tech Start Date]],15),IF(Main[[#This Row],[Class]]="A",WORKDAY(Main[[#This Row],[Tech Start Date]],5),""))))</f>
        <v/>
      </c>
      <c r="P311" s="73" t="str">
        <f>IF(Main[[#This Row],[Tech Start Date]]&lt;1/1/1990,"",IF(Main[[#This Row],[Class]]="C",WORKDAY(Main[[#This Row],[Tech Start Date]],28),IF(Main[[#This Row],[Class]]="B", WORKDAY(Main[[#This Row],[Tech Start Date]],19),IF(Main[[#This Row],[Class]]="A",WORKDAY(Main[[#This Row],[Tech Start Date]],9),""))))</f>
        <v/>
      </c>
      <c r="Q311" s="85"/>
      <c r="R311" s="112"/>
      <c r="S311" s="95" t="s">
        <v>17</v>
      </c>
      <c r="T311" s="74" t="s">
        <v>4</v>
      </c>
      <c r="U311" s="95" t="s">
        <v>14</v>
      </c>
      <c r="V311" s="95" t="s">
        <v>1914</v>
      </c>
      <c r="W311" s="95" t="s">
        <v>1916</v>
      </c>
      <c r="X311" s="95" t="s">
        <v>553</v>
      </c>
      <c r="Y311" s="72" t="s">
        <v>2930</v>
      </c>
      <c r="Z311" s="72" t="s">
        <v>4</v>
      </c>
      <c r="AA311" s="95" t="s">
        <v>553</v>
      </c>
      <c r="AB311" s="132"/>
      <c r="AC311" s="132"/>
      <c r="AD311" s="132"/>
      <c r="AE311" s="63"/>
      <c r="AF311" s="63"/>
      <c r="AG311" s="63"/>
    </row>
    <row r="312" spans="1:33" ht="17.2" customHeight="1">
      <c r="A312" s="64" t="str">
        <f>IF(priority(Main[[#This Row],[Comments]])&lt;&gt;0, priority(Main[[#This Row],[Comments]]),"")</f>
        <v/>
      </c>
      <c r="B312" s="60" t="s">
        <v>1143</v>
      </c>
      <c r="C312" s="72" t="s">
        <v>197</v>
      </c>
      <c r="D312" s="59" t="s">
        <v>198</v>
      </c>
      <c r="E312" s="85"/>
      <c r="F312" s="85"/>
      <c r="G312" s="64" t="str">
        <f>IF(stdProdLT(Main[[#This Row],[Comments]])=0.1,"N/A",IF(stdProdLT(Main[[#This Row],[Comments]])=0,"",TRIM(stdProdLT(Main[[#This Row],[Comments]]))))</f>
        <v/>
      </c>
      <c r="H312" s="94" t="str">
        <f>IF(OR(Main[[#This Row],[Std. Prod. Lead Time]]="N/A",Main[[#This Row],[Std. Prod. Lead Time]]=""), "",IF(AND(Main[[#This Row],[In Stock Date]]&lt;&gt;"",Main[[#This Row],[Revised Due Date]]&lt;&gt;"",Main[[#This Row],[In Stock Date]]&lt;&gt;""),Main[[#This Row],[In Stock Date]]-Main[[#This Row],[Revised Due Date]],""))</f>
        <v/>
      </c>
      <c r="I312" s="101" t="s">
        <v>4</v>
      </c>
      <c r="J312" s="95" t="s">
        <v>4</v>
      </c>
      <c r="K312" s="95" t="s">
        <v>4</v>
      </c>
      <c r="L312" s="85"/>
      <c r="M312" s="73" t="str">
        <f>IF(Main[[#This Row],[Tech Start Date]]&lt;1/1/1990,"",IF(Main[[#This Row],[Class]]="C",WORKDAY(Main[[#This Row],[Tech Start Date]],9),IF(Main[[#This Row],[Class]]="B", WORKDAY(Main[[#This Row],[Tech Start Date]],6),IF(Main[[#This Row],[Class]]="A",WORKDAY(Main[[#This Row],[Tech Start Date]],2),""))))</f>
        <v/>
      </c>
      <c r="N312" s="73" t="str">
        <f>IF(Main[[#This Row],[Tech Start Date]]&lt;1/1/1990,"",IF(Main[[#This Row],[Class]]="C",WORKDAY(Main[[#This Row],[Tech Start Date]],19),IF(Main[[#This Row],[Class]]="B", WORKDAY(Main[[#This Row],[Tech Start Date]],12),IF(Main[[#This Row],[Class]]="A",WORKDAY(Main[[#This Row],[Tech Start Date]],4),""))))</f>
        <v/>
      </c>
      <c r="O312" s="73" t="str">
        <f>IF(Main[[#This Row],[Tech Start Date]]&lt;1/1/1990,"",IF(Main[[#This Row],[Class]]="C",WORKDAY(Main[[#This Row],[Tech Start Date]],23),IF(Main[[#This Row],[Class]]="B", WORKDAY(Main[[#This Row],[Tech Start Date]],15),IF(Main[[#This Row],[Class]]="A",WORKDAY(Main[[#This Row],[Tech Start Date]],5),""))))</f>
        <v/>
      </c>
      <c r="P312" s="73" t="str">
        <f>IF(Main[[#This Row],[Tech Start Date]]&lt;1/1/1990,"",IF(Main[[#This Row],[Class]]="C",WORKDAY(Main[[#This Row],[Tech Start Date]],28),IF(Main[[#This Row],[Class]]="B", WORKDAY(Main[[#This Row],[Tech Start Date]],19),IF(Main[[#This Row],[Class]]="A",WORKDAY(Main[[#This Row],[Tech Start Date]],9),""))))</f>
        <v/>
      </c>
      <c r="Q312" s="85">
        <v>40165</v>
      </c>
      <c r="R312" s="112"/>
      <c r="S312" s="95" t="s">
        <v>11</v>
      </c>
      <c r="T312" s="74" t="s">
        <v>4</v>
      </c>
      <c r="U312" s="95" t="s">
        <v>14</v>
      </c>
      <c r="V312" s="95" t="s">
        <v>1921</v>
      </c>
      <c r="W312" s="95" t="s">
        <v>1917</v>
      </c>
      <c r="X312" s="95" t="s">
        <v>883</v>
      </c>
      <c r="Y312" s="72" t="s">
        <v>2941</v>
      </c>
      <c r="Z312" s="72" t="s">
        <v>4</v>
      </c>
      <c r="AA312" s="95" t="s">
        <v>883</v>
      </c>
      <c r="AB312" s="132"/>
      <c r="AC312" s="132"/>
      <c r="AD312" s="132"/>
      <c r="AE312" s="63"/>
      <c r="AF312" s="63"/>
      <c r="AG312" s="63"/>
    </row>
    <row r="313" spans="1:33" ht="17.2" customHeight="1">
      <c r="A313" s="64" t="str">
        <f>IF(priority(Main[[#This Row],[Comments]])&lt;&gt;0, priority(Main[[#This Row],[Comments]]),"")</f>
        <v/>
      </c>
      <c r="B313" s="60" t="s">
        <v>1716</v>
      </c>
      <c r="C313" s="72" t="s">
        <v>4</v>
      </c>
      <c r="D313" s="59" t="s">
        <v>772</v>
      </c>
      <c r="E313" s="85"/>
      <c r="F313" s="85"/>
      <c r="G313" s="64" t="str">
        <f>IF(stdProdLT(Main[[#This Row],[Comments]])=0.1,"N/A",IF(stdProdLT(Main[[#This Row],[Comments]])=0,"",TRIM(stdProdLT(Main[[#This Row],[Comments]]))))</f>
        <v/>
      </c>
      <c r="H313" s="94" t="str">
        <f>IF(OR(Main[[#This Row],[Std. Prod. Lead Time]]="N/A",Main[[#This Row],[Std. Prod. Lead Time]]=""), "",IF(AND(Main[[#This Row],[In Stock Date]]&lt;&gt;"",Main[[#This Row],[Revised Due Date]]&lt;&gt;"",Main[[#This Row],[In Stock Date]]&lt;&gt;""),Main[[#This Row],[In Stock Date]]-Main[[#This Row],[Revised Due Date]],""))</f>
        <v/>
      </c>
      <c r="I313" s="101" t="s">
        <v>4</v>
      </c>
      <c r="J313" s="95" t="s">
        <v>28</v>
      </c>
      <c r="K313" s="95" t="s">
        <v>1923</v>
      </c>
      <c r="L313" s="85"/>
      <c r="M313" s="73" t="str">
        <f>IF(Main[[#This Row],[Tech Start Date]]&lt;1/1/1990,"",IF(Main[[#This Row],[Class]]="C",WORKDAY(Main[[#This Row],[Tech Start Date]],9),IF(Main[[#This Row],[Class]]="B", WORKDAY(Main[[#This Row],[Tech Start Date]],6),IF(Main[[#This Row],[Class]]="A",WORKDAY(Main[[#This Row],[Tech Start Date]],2),""))))</f>
        <v/>
      </c>
      <c r="N313" s="73" t="str">
        <f>IF(Main[[#This Row],[Tech Start Date]]&lt;1/1/1990,"",IF(Main[[#This Row],[Class]]="C",WORKDAY(Main[[#This Row],[Tech Start Date]],19),IF(Main[[#This Row],[Class]]="B", WORKDAY(Main[[#This Row],[Tech Start Date]],12),IF(Main[[#This Row],[Class]]="A",WORKDAY(Main[[#This Row],[Tech Start Date]],4),""))))</f>
        <v/>
      </c>
      <c r="O313" s="73" t="str">
        <f>IF(Main[[#This Row],[Tech Start Date]]&lt;1/1/1990,"",IF(Main[[#This Row],[Class]]="C",WORKDAY(Main[[#This Row],[Tech Start Date]],23),IF(Main[[#This Row],[Class]]="B", WORKDAY(Main[[#This Row],[Tech Start Date]],15),IF(Main[[#This Row],[Class]]="A",WORKDAY(Main[[#This Row],[Tech Start Date]],5),""))))</f>
        <v/>
      </c>
      <c r="P313" s="73" t="str">
        <f>IF(Main[[#This Row],[Tech Start Date]]&lt;1/1/1990,"",IF(Main[[#This Row],[Class]]="C",WORKDAY(Main[[#This Row],[Tech Start Date]],28),IF(Main[[#This Row],[Class]]="B", WORKDAY(Main[[#This Row],[Tech Start Date]],19),IF(Main[[#This Row],[Class]]="A",WORKDAY(Main[[#This Row],[Tech Start Date]],9),""))))</f>
        <v/>
      </c>
      <c r="Q313" s="85">
        <v>40633</v>
      </c>
      <c r="R313" s="112"/>
      <c r="S313" s="95" t="s">
        <v>17</v>
      </c>
      <c r="T313" s="74" t="s">
        <v>4</v>
      </c>
      <c r="U313" s="95" t="s">
        <v>14</v>
      </c>
      <c r="V313" s="95" t="s">
        <v>1911</v>
      </c>
      <c r="W313" s="95" t="s">
        <v>1916</v>
      </c>
      <c r="X313" s="95" t="s">
        <v>129</v>
      </c>
      <c r="Y313" s="72" t="s">
        <v>2911</v>
      </c>
      <c r="Z313" s="72" t="s">
        <v>129</v>
      </c>
      <c r="AA313" s="95" t="s">
        <v>129</v>
      </c>
      <c r="AB313" s="132"/>
      <c r="AC313" s="132"/>
      <c r="AD313" s="132"/>
      <c r="AE313" s="63"/>
      <c r="AF313" s="63"/>
      <c r="AG313" s="63"/>
    </row>
    <row r="314" spans="1:33" ht="17.2" customHeight="1">
      <c r="A314" s="64" t="str">
        <f>IF(priority(Main[[#This Row],[Comments]])&lt;&gt;0, priority(Main[[#This Row],[Comments]]),"")</f>
        <v/>
      </c>
      <c r="B314" s="60" t="s">
        <v>1145</v>
      </c>
      <c r="C314" s="72" t="s">
        <v>93</v>
      </c>
      <c r="D314" s="59" t="s">
        <v>200</v>
      </c>
      <c r="E314" s="85"/>
      <c r="F314" s="85"/>
      <c r="G314" s="64" t="str">
        <f>IF(stdProdLT(Main[[#This Row],[Comments]])=0.1,"N/A",IF(stdProdLT(Main[[#This Row],[Comments]])=0,"",TRIM(stdProdLT(Main[[#This Row],[Comments]]))))</f>
        <v/>
      </c>
      <c r="H314" s="94" t="str">
        <f>IF(OR(Main[[#This Row],[Std. Prod. Lead Time]]="N/A",Main[[#This Row],[Std. Prod. Lead Time]]=""), "",IF(AND(Main[[#This Row],[In Stock Date]]&lt;&gt;"",Main[[#This Row],[Revised Due Date]]&lt;&gt;"",Main[[#This Row],[In Stock Date]]&lt;&gt;""),Main[[#This Row],[In Stock Date]]-Main[[#This Row],[Revised Due Date]],""))</f>
        <v/>
      </c>
      <c r="I314" s="101" t="s">
        <v>4</v>
      </c>
      <c r="J314" s="95" t="s">
        <v>4</v>
      </c>
      <c r="K314" s="95" t="s">
        <v>4</v>
      </c>
      <c r="L314" s="85"/>
      <c r="M314" s="73" t="str">
        <f>IF(Main[[#This Row],[Tech Start Date]]&lt;1/1/1990,"",IF(Main[[#This Row],[Class]]="C",WORKDAY(Main[[#This Row],[Tech Start Date]],9),IF(Main[[#This Row],[Class]]="B", WORKDAY(Main[[#This Row],[Tech Start Date]],6),IF(Main[[#This Row],[Class]]="A",WORKDAY(Main[[#This Row],[Tech Start Date]],2),""))))</f>
        <v/>
      </c>
      <c r="N314" s="73" t="str">
        <f>IF(Main[[#This Row],[Tech Start Date]]&lt;1/1/1990,"",IF(Main[[#This Row],[Class]]="C",WORKDAY(Main[[#This Row],[Tech Start Date]],19),IF(Main[[#This Row],[Class]]="B", WORKDAY(Main[[#This Row],[Tech Start Date]],12),IF(Main[[#This Row],[Class]]="A",WORKDAY(Main[[#This Row],[Tech Start Date]],4),""))))</f>
        <v/>
      </c>
      <c r="O314" s="73" t="str">
        <f>IF(Main[[#This Row],[Tech Start Date]]&lt;1/1/1990,"",IF(Main[[#This Row],[Class]]="C",WORKDAY(Main[[#This Row],[Tech Start Date]],23),IF(Main[[#This Row],[Class]]="B", WORKDAY(Main[[#This Row],[Tech Start Date]],15),IF(Main[[#This Row],[Class]]="A",WORKDAY(Main[[#This Row],[Tech Start Date]],5),""))))</f>
        <v/>
      </c>
      <c r="P314" s="73" t="str">
        <f>IF(Main[[#This Row],[Tech Start Date]]&lt;1/1/1990,"",IF(Main[[#This Row],[Class]]="C",WORKDAY(Main[[#This Row],[Tech Start Date]],28),IF(Main[[#This Row],[Class]]="B", WORKDAY(Main[[#This Row],[Tech Start Date]],19),IF(Main[[#This Row],[Class]]="A",WORKDAY(Main[[#This Row],[Tech Start Date]],9),""))))</f>
        <v/>
      </c>
      <c r="Q314" s="85"/>
      <c r="R314" s="112"/>
      <c r="S314" s="95" t="s">
        <v>11</v>
      </c>
      <c r="T314" s="74" t="s">
        <v>4</v>
      </c>
      <c r="U314" s="95" t="s">
        <v>14</v>
      </c>
      <c r="V314" s="95" t="s">
        <v>1921</v>
      </c>
      <c r="W314" s="95" t="s">
        <v>1917</v>
      </c>
      <c r="X314" s="95" t="s">
        <v>306</v>
      </c>
      <c r="Y314" s="72" t="s">
        <v>2919</v>
      </c>
      <c r="Z314" s="72" t="s">
        <v>4</v>
      </c>
      <c r="AA314" s="95" t="s">
        <v>3337</v>
      </c>
      <c r="AB314" s="132"/>
      <c r="AC314" s="132"/>
      <c r="AD314" s="132"/>
      <c r="AE314" s="63"/>
      <c r="AF314" s="63"/>
      <c r="AG314" s="63"/>
    </row>
    <row r="315" spans="1:33" ht="17.2" customHeight="1">
      <c r="A315" s="64" t="str">
        <f>IF(priority(Main[[#This Row],[Comments]])&lt;&gt;0, priority(Main[[#This Row],[Comments]]),"")</f>
        <v/>
      </c>
      <c r="B315" s="60" t="s">
        <v>1146</v>
      </c>
      <c r="C315" s="72" t="s">
        <v>42</v>
      </c>
      <c r="D315" s="59" t="s">
        <v>201</v>
      </c>
      <c r="E315" s="85">
        <v>39952.329340277778</v>
      </c>
      <c r="F315" s="85"/>
      <c r="G315" s="64" t="str">
        <f>IF(stdProdLT(Main[[#This Row],[Comments]])=0.1,"N/A",IF(stdProdLT(Main[[#This Row],[Comments]])=0,"",TRIM(stdProdLT(Main[[#This Row],[Comments]]))))</f>
        <v/>
      </c>
      <c r="H315" s="94" t="str">
        <f>IF(OR(Main[[#This Row],[Std. Prod. Lead Time]]="N/A",Main[[#This Row],[Std. Prod. Lead Time]]=""), "",IF(AND(Main[[#This Row],[In Stock Date]]&lt;&gt;"",Main[[#This Row],[Revised Due Date]]&lt;&gt;"",Main[[#This Row],[In Stock Date]]&lt;&gt;""),Main[[#This Row],[In Stock Date]]-Main[[#This Row],[Revised Due Date]],""))</f>
        <v/>
      </c>
      <c r="I315" s="101" t="s">
        <v>4</v>
      </c>
      <c r="J315" s="95" t="s">
        <v>4</v>
      </c>
      <c r="K315" s="95" t="s">
        <v>4</v>
      </c>
      <c r="L315" s="85"/>
      <c r="M315" s="73" t="str">
        <f>IF(Main[[#This Row],[Tech Start Date]]&lt;1/1/1990,"",IF(Main[[#This Row],[Class]]="C",WORKDAY(Main[[#This Row],[Tech Start Date]],9),IF(Main[[#This Row],[Class]]="B", WORKDAY(Main[[#This Row],[Tech Start Date]],6),IF(Main[[#This Row],[Class]]="A",WORKDAY(Main[[#This Row],[Tech Start Date]],2),""))))</f>
        <v/>
      </c>
      <c r="N315" s="73" t="str">
        <f>IF(Main[[#This Row],[Tech Start Date]]&lt;1/1/1990,"",IF(Main[[#This Row],[Class]]="C",WORKDAY(Main[[#This Row],[Tech Start Date]],19),IF(Main[[#This Row],[Class]]="B", WORKDAY(Main[[#This Row],[Tech Start Date]],12),IF(Main[[#This Row],[Class]]="A",WORKDAY(Main[[#This Row],[Tech Start Date]],4),""))))</f>
        <v/>
      </c>
      <c r="O315" s="73" t="str">
        <f>IF(Main[[#This Row],[Tech Start Date]]&lt;1/1/1990,"",IF(Main[[#This Row],[Class]]="C",WORKDAY(Main[[#This Row],[Tech Start Date]],23),IF(Main[[#This Row],[Class]]="B", WORKDAY(Main[[#This Row],[Tech Start Date]],15),IF(Main[[#This Row],[Class]]="A",WORKDAY(Main[[#This Row],[Tech Start Date]],5),""))))</f>
        <v/>
      </c>
      <c r="P315" s="73" t="str">
        <f>IF(Main[[#This Row],[Tech Start Date]]&lt;1/1/1990,"",IF(Main[[#This Row],[Class]]="C",WORKDAY(Main[[#This Row],[Tech Start Date]],28),IF(Main[[#This Row],[Class]]="B", WORKDAY(Main[[#This Row],[Tech Start Date]],19),IF(Main[[#This Row],[Class]]="A",WORKDAY(Main[[#This Row],[Tech Start Date]],9),""))))</f>
        <v/>
      </c>
      <c r="Q315" s="85"/>
      <c r="R315" s="112"/>
      <c r="S315" s="95" t="s">
        <v>17</v>
      </c>
      <c r="T315" s="74" t="s">
        <v>4</v>
      </c>
      <c r="U315" s="95" t="s">
        <v>7</v>
      </c>
      <c r="V315" s="95" t="s">
        <v>1914</v>
      </c>
      <c r="W315" s="95" t="s">
        <v>4</v>
      </c>
      <c r="X315" s="95" t="s">
        <v>399</v>
      </c>
      <c r="Y315" s="72" t="s">
        <v>4</v>
      </c>
      <c r="Z315" s="72" t="s">
        <v>4</v>
      </c>
      <c r="AA315" s="95" t="s">
        <v>3359</v>
      </c>
      <c r="AB315" s="132"/>
      <c r="AC315" s="132"/>
      <c r="AD315" s="132"/>
      <c r="AE315" s="63"/>
      <c r="AF315" s="63"/>
      <c r="AG315" s="63"/>
    </row>
    <row r="316" spans="1:33" ht="17.2" customHeight="1">
      <c r="A316" s="64" t="str">
        <f>IF(priority(Main[[#This Row],[Comments]])&lt;&gt;0, priority(Main[[#This Row],[Comments]]),"")</f>
        <v/>
      </c>
      <c r="B316" s="60" t="s">
        <v>1147</v>
      </c>
      <c r="C316" s="72" t="s">
        <v>58</v>
      </c>
      <c r="D316" s="59" t="s">
        <v>202</v>
      </c>
      <c r="E316" s="85"/>
      <c r="F316" s="85">
        <v>40697</v>
      </c>
      <c r="G316" s="64" t="str">
        <f>IF(stdProdLT(Main[[#This Row],[Comments]])=0.1,"N/A",IF(stdProdLT(Main[[#This Row],[Comments]])=0,"",TRIM(stdProdLT(Main[[#This Row],[Comments]]))))</f>
        <v/>
      </c>
      <c r="H316" s="94" t="str">
        <f>IF(OR(Main[[#This Row],[Std. Prod. Lead Time]]="N/A",Main[[#This Row],[Std. Prod. Lead Time]]=""), "",IF(AND(Main[[#This Row],[In Stock Date]]&lt;&gt;"",Main[[#This Row],[Revised Due Date]]&lt;&gt;"",Main[[#This Row],[In Stock Date]]&lt;&gt;""),Main[[#This Row],[In Stock Date]]-Main[[#This Row],[Revised Due Date]],""))</f>
        <v/>
      </c>
      <c r="I316" s="101" t="s">
        <v>4</v>
      </c>
      <c r="J316" s="95" t="s">
        <v>4</v>
      </c>
      <c r="K316" s="95" t="s">
        <v>4</v>
      </c>
      <c r="L316" s="85"/>
      <c r="M316" s="73" t="str">
        <f>IF(Main[[#This Row],[Tech Start Date]]&lt;1/1/1990,"",IF(Main[[#This Row],[Class]]="C",WORKDAY(Main[[#This Row],[Tech Start Date]],9),IF(Main[[#This Row],[Class]]="B", WORKDAY(Main[[#This Row],[Tech Start Date]],6),IF(Main[[#This Row],[Class]]="A",WORKDAY(Main[[#This Row],[Tech Start Date]],2),""))))</f>
        <v/>
      </c>
      <c r="N316" s="73" t="str">
        <f>IF(Main[[#This Row],[Tech Start Date]]&lt;1/1/1990,"",IF(Main[[#This Row],[Class]]="C",WORKDAY(Main[[#This Row],[Tech Start Date]],19),IF(Main[[#This Row],[Class]]="B", WORKDAY(Main[[#This Row],[Tech Start Date]],12),IF(Main[[#This Row],[Class]]="A",WORKDAY(Main[[#This Row],[Tech Start Date]],4),""))))</f>
        <v/>
      </c>
      <c r="O316" s="73" t="str">
        <f>IF(Main[[#This Row],[Tech Start Date]]&lt;1/1/1990,"",IF(Main[[#This Row],[Class]]="C",WORKDAY(Main[[#This Row],[Tech Start Date]],23),IF(Main[[#This Row],[Class]]="B", WORKDAY(Main[[#This Row],[Tech Start Date]],15),IF(Main[[#This Row],[Class]]="A",WORKDAY(Main[[#This Row],[Tech Start Date]],5),""))))</f>
        <v/>
      </c>
      <c r="P316" s="73" t="str">
        <f>IF(Main[[#This Row],[Tech Start Date]]&lt;1/1/1990,"",IF(Main[[#This Row],[Class]]="C",WORKDAY(Main[[#This Row],[Tech Start Date]],28),IF(Main[[#This Row],[Class]]="B", WORKDAY(Main[[#This Row],[Tech Start Date]],19),IF(Main[[#This Row],[Class]]="A",WORKDAY(Main[[#This Row],[Tech Start Date]],9),""))))</f>
        <v/>
      </c>
      <c r="Q316" s="85">
        <v>40539</v>
      </c>
      <c r="R316" s="112"/>
      <c r="S316" s="95" t="s">
        <v>11</v>
      </c>
      <c r="T316" s="74" t="s">
        <v>4</v>
      </c>
      <c r="U316" s="95" t="s">
        <v>14</v>
      </c>
      <c r="V316" s="95" t="s">
        <v>1911</v>
      </c>
      <c r="W316" s="95" t="s">
        <v>1917</v>
      </c>
      <c r="X316" s="95" t="s">
        <v>2809</v>
      </c>
      <c r="Y316" s="72" t="s">
        <v>2929</v>
      </c>
      <c r="Z316" s="72" t="s">
        <v>4</v>
      </c>
      <c r="AA316" s="95" t="s">
        <v>2809</v>
      </c>
      <c r="AB316" s="132"/>
      <c r="AC316" s="132"/>
      <c r="AD316" s="132"/>
      <c r="AE316" s="63"/>
      <c r="AF316" s="63"/>
      <c r="AG316" s="63"/>
    </row>
    <row r="317" spans="1:33" ht="17.2" customHeight="1">
      <c r="A317" s="64" t="str">
        <f>IF(priority(Main[[#This Row],[Comments]])&lt;&gt;0, priority(Main[[#This Row],[Comments]]),"")</f>
        <v/>
      </c>
      <c r="B317" s="60" t="s">
        <v>1148</v>
      </c>
      <c r="C317" s="72" t="s">
        <v>203</v>
      </c>
      <c r="D317" s="59" t="s">
        <v>204</v>
      </c>
      <c r="E317" s="85"/>
      <c r="F317" s="85"/>
      <c r="G317" s="64" t="str">
        <f>IF(stdProdLT(Main[[#This Row],[Comments]])=0.1,"N/A",IF(stdProdLT(Main[[#This Row],[Comments]])=0,"",TRIM(stdProdLT(Main[[#This Row],[Comments]]))))</f>
        <v/>
      </c>
      <c r="H317" s="94" t="str">
        <f>IF(OR(Main[[#This Row],[Std. Prod. Lead Time]]="N/A",Main[[#This Row],[Std. Prod. Lead Time]]=""), "",IF(AND(Main[[#This Row],[In Stock Date]]&lt;&gt;"",Main[[#This Row],[Revised Due Date]]&lt;&gt;"",Main[[#This Row],[In Stock Date]]&lt;&gt;""),Main[[#This Row],[In Stock Date]]-Main[[#This Row],[Revised Due Date]],""))</f>
        <v/>
      </c>
      <c r="I317" s="101" t="s">
        <v>4</v>
      </c>
      <c r="J317" s="95" t="s">
        <v>4</v>
      </c>
      <c r="K317" s="95" t="s">
        <v>4</v>
      </c>
      <c r="L317" s="85"/>
      <c r="M317" s="73" t="str">
        <f>IF(Main[[#This Row],[Tech Start Date]]&lt;1/1/1990,"",IF(Main[[#This Row],[Class]]="C",WORKDAY(Main[[#This Row],[Tech Start Date]],9),IF(Main[[#This Row],[Class]]="B", WORKDAY(Main[[#This Row],[Tech Start Date]],6),IF(Main[[#This Row],[Class]]="A",WORKDAY(Main[[#This Row],[Tech Start Date]],2),""))))</f>
        <v/>
      </c>
      <c r="N317" s="73" t="str">
        <f>IF(Main[[#This Row],[Tech Start Date]]&lt;1/1/1990,"",IF(Main[[#This Row],[Class]]="C",WORKDAY(Main[[#This Row],[Tech Start Date]],19),IF(Main[[#This Row],[Class]]="B", WORKDAY(Main[[#This Row],[Tech Start Date]],12),IF(Main[[#This Row],[Class]]="A",WORKDAY(Main[[#This Row],[Tech Start Date]],4),""))))</f>
        <v/>
      </c>
      <c r="O317" s="73" t="str">
        <f>IF(Main[[#This Row],[Tech Start Date]]&lt;1/1/1990,"",IF(Main[[#This Row],[Class]]="C",WORKDAY(Main[[#This Row],[Tech Start Date]],23),IF(Main[[#This Row],[Class]]="B", WORKDAY(Main[[#This Row],[Tech Start Date]],15),IF(Main[[#This Row],[Class]]="A",WORKDAY(Main[[#This Row],[Tech Start Date]],5),""))))</f>
        <v/>
      </c>
      <c r="P317" s="73" t="str">
        <f>IF(Main[[#This Row],[Tech Start Date]]&lt;1/1/1990,"",IF(Main[[#This Row],[Class]]="C",WORKDAY(Main[[#This Row],[Tech Start Date]],28),IF(Main[[#This Row],[Class]]="B", WORKDAY(Main[[#This Row],[Tech Start Date]],19),IF(Main[[#This Row],[Class]]="A",WORKDAY(Main[[#This Row],[Tech Start Date]],9),""))))</f>
        <v/>
      </c>
      <c r="Q317" s="85">
        <v>40302</v>
      </c>
      <c r="R317" s="112"/>
      <c r="S317" s="95" t="s">
        <v>11</v>
      </c>
      <c r="T317" s="74" t="s">
        <v>4</v>
      </c>
      <c r="U317" s="95" t="s">
        <v>14</v>
      </c>
      <c r="V317" s="95" t="s">
        <v>1911</v>
      </c>
      <c r="W317" s="95" t="s">
        <v>1913</v>
      </c>
      <c r="X317" s="95" t="s">
        <v>2834</v>
      </c>
      <c r="Y317" s="72" t="s">
        <v>4</v>
      </c>
      <c r="Z317" s="72" t="s">
        <v>4</v>
      </c>
      <c r="AA317" s="95" t="s">
        <v>2834</v>
      </c>
      <c r="AB317" s="132"/>
      <c r="AC317" s="132"/>
      <c r="AD317" s="132"/>
      <c r="AE317" s="63"/>
      <c r="AF317" s="63"/>
      <c r="AG317" s="63"/>
    </row>
    <row r="318" spans="1:33" ht="17.2" customHeight="1">
      <c r="A318" s="64" t="str">
        <f>IF(priority(Main[[#This Row],[Comments]])&lt;&gt;0, priority(Main[[#This Row],[Comments]]),"")</f>
        <v/>
      </c>
      <c r="B318" s="60" t="s">
        <v>2414</v>
      </c>
      <c r="C318" s="72" t="s">
        <v>4</v>
      </c>
      <c r="D318" s="59" t="s">
        <v>2644</v>
      </c>
      <c r="E318" s="85">
        <v>40842.390289351853</v>
      </c>
      <c r="F318" s="85"/>
      <c r="G318" s="64" t="str">
        <f>IF(stdProdLT(Main[[#This Row],[Comments]])=0.1,"N/A",IF(stdProdLT(Main[[#This Row],[Comments]])=0,"",TRIM(stdProdLT(Main[[#This Row],[Comments]]))))</f>
        <v/>
      </c>
      <c r="H318" s="94" t="str">
        <f>IF(OR(Main[[#This Row],[Std. Prod. Lead Time]]="N/A",Main[[#This Row],[Std. Prod. Lead Time]]=""), "",IF(AND(Main[[#This Row],[In Stock Date]]&lt;&gt;"",Main[[#This Row],[Revised Due Date]]&lt;&gt;"",Main[[#This Row],[In Stock Date]]&lt;&gt;""),Main[[#This Row],[In Stock Date]]-Main[[#This Row],[Revised Due Date]],""))</f>
        <v/>
      </c>
      <c r="I318" s="101" t="s">
        <v>4</v>
      </c>
      <c r="J318" s="95" t="s">
        <v>4</v>
      </c>
      <c r="K318" s="96" t="s">
        <v>4</v>
      </c>
      <c r="L318" s="85"/>
      <c r="M318" s="73" t="str">
        <f>IF(Main[[#This Row],[Tech Start Date]]&lt;1/1/1990,"",IF(Main[[#This Row],[Class]]="C",WORKDAY(Main[[#This Row],[Tech Start Date]],9),IF(Main[[#This Row],[Class]]="B", WORKDAY(Main[[#This Row],[Tech Start Date]],6),IF(Main[[#This Row],[Class]]="A",WORKDAY(Main[[#This Row],[Tech Start Date]],2),""))))</f>
        <v/>
      </c>
      <c r="N318" s="73" t="str">
        <f>IF(Main[[#This Row],[Tech Start Date]]&lt;1/1/1990,"",IF(Main[[#This Row],[Class]]="C",WORKDAY(Main[[#This Row],[Tech Start Date]],19),IF(Main[[#This Row],[Class]]="B", WORKDAY(Main[[#This Row],[Tech Start Date]],12),IF(Main[[#This Row],[Class]]="A",WORKDAY(Main[[#This Row],[Tech Start Date]],4),""))))</f>
        <v/>
      </c>
      <c r="O318" s="73" t="str">
        <f>IF(Main[[#This Row],[Tech Start Date]]&lt;1/1/1990,"",IF(Main[[#This Row],[Class]]="C",WORKDAY(Main[[#This Row],[Tech Start Date]],23),IF(Main[[#This Row],[Class]]="B", WORKDAY(Main[[#This Row],[Tech Start Date]],15),IF(Main[[#This Row],[Class]]="A",WORKDAY(Main[[#This Row],[Tech Start Date]],5),""))))</f>
        <v/>
      </c>
      <c r="P318" s="73" t="str">
        <f>IF(Main[[#This Row],[Tech Start Date]]&lt;1/1/1990,"",IF(Main[[#This Row],[Class]]="C",WORKDAY(Main[[#This Row],[Tech Start Date]],28),IF(Main[[#This Row],[Class]]="B", WORKDAY(Main[[#This Row],[Tech Start Date]],19),IF(Main[[#This Row],[Class]]="A",WORKDAY(Main[[#This Row],[Tech Start Date]],9),""))))</f>
        <v/>
      </c>
      <c r="Q318" s="85"/>
      <c r="R318" s="112"/>
      <c r="S318" s="95" t="s">
        <v>17</v>
      </c>
      <c r="T318" s="74" t="s">
        <v>4</v>
      </c>
      <c r="U318" s="95" t="s">
        <v>29</v>
      </c>
      <c r="V318" s="95" t="s">
        <v>1912</v>
      </c>
      <c r="W318" s="95" t="s">
        <v>1919</v>
      </c>
      <c r="X318" s="95" t="s">
        <v>2842</v>
      </c>
      <c r="Y318" s="72" t="s">
        <v>2984</v>
      </c>
      <c r="Z318" s="72" t="s">
        <v>4</v>
      </c>
      <c r="AA318" s="95" t="s">
        <v>2842</v>
      </c>
      <c r="AB318" s="132"/>
      <c r="AC318" s="132"/>
      <c r="AD318" s="132"/>
      <c r="AE318" s="63"/>
      <c r="AF318" s="63"/>
      <c r="AG318" s="63"/>
    </row>
    <row r="319" spans="1:33" ht="17.2" customHeight="1">
      <c r="A319" s="64" t="str">
        <f>IF(priority(Main[[#This Row],[Comments]])&lt;&gt;0, priority(Main[[#This Row],[Comments]]),"")</f>
        <v/>
      </c>
      <c r="B319" s="60" t="s">
        <v>1149</v>
      </c>
      <c r="C319" s="72" t="s">
        <v>205</v>
      </c>
      <c r="D319" s="59" t="s">
        <v>206</v>
      </c>
      <c r="E319" s="85"/>
      <c r="F319" s="85"/>
      <c r="G319" s="64" t="str">
        <f>IF(stdProdLT(Main[[#This Row],[Comments]])=0.1,"N/A",IF(stdProdLT(Main[[#This Row],[Comments]])=0,"",TRIM(stdProdLT(Main[[#This Row],[Comments]]))))</f>
        <v/>
      </c>
      <c r="H319" s="94" t="str">
        <f>IF(OR(Main[[#This Row],[Std. Prod. Lead Time]]="N/A",Main[[#This Row],[Std. Prod. Lead Time]]=""), "",IF(AND(Main[[#This Row],[In Stock Date]]&lt;&gt;"",Main[[#This Row],[Revised Due Date]]&lt;&gt;"",Main[[#This Row],[In Stock Date]]&lt;&gt;""),Main[[#This Row],[In Stock Date]]-Main[[#This Row],[Revised Due Date]],""))</f>
        <v/>
      </c>
      <c r="I319" s="101" t="s">
        <v>4</v>
      </c>
      <c r="J319" s="95" t="s">
        <v>4</v>
      </c>
      <c r="K319" s="95" t="s">
        <v>4</v>
      </c>
      <c r="L319" s="85"/>
      <c r="M319" s="73" t="str">
        <f>IF(Main[[#This Row],[Tech Start Date]]&lt;1/1/1990,"",IF(Main[[#This Row],[Class]]="C",WORKDAY(Main[[#This Row],[Tech Start Date]],9),IF(Main[[#This Row],[Class]]="B", WORKDAY(Main[[#This Row],[Tech Start Date]],6),IF(Main[[#This Row],[Class]]="A",WORKDAY(Main[[#This Row],[Tech Start Date]],2),""))))</f>
        <v/>
      </c>
      <c r="N319" s="73" t="str">
        <f>IF(Main[[#This Row],[Tech Start Date]]&lt;1/1/1990,"",IF(Main[[#This Row],[Class]]="C",WORKDAY(Main[[#This Row],[Tech Start Date]],19),IF(Main[[#This Row],[Class]]="B", WORKDAY(Main[[#This Row],[Tech Start Date]],12),IF(Main[[#This Row],[Class]]="A",WORKDAY(Main[[#This Row],[Tech Start Date]],4),""))))</f>
        <v/>
      </c>
      <c r="O319" s="73" t="str">
        <f>IF(Main[[#This Row],[Tech Start Date]]&lt;1/1/1990,"",IF(Main[[#This Row],[Class]]="C",WORKDAY(Main[[#This Row],[Tech Start Date]],23),IF(Main[[#This Row],[Class]]="B", WORKDAY(Main[[#This Row],[Tech Start Date]],15),IF(Main[[#This Row],[Class]]="A",WORKDAY(Main[[#This Row],[Tech Start Date]],5),""))))</f>
        <v/>
      </c>
      <c r="P319" s="73" t="str">
        <f>IF(Main[[#This Row],[Tech Start Date]]&lt;1/1/1990,"",IF(Main[[#This Row],[Class]]="C",WORKDAY(Main[[#This Row],[Tech Start Date]],28),IF(Main[[#This Row],[Class]]="B", WORKDAY(Main[[#This Row],[Tech Start Date]],19),IF(Main[[#This Row],[Class]]="A",WORKDAY(Main[[#This Row],[Tech Start Date]],9),""))))</f>
        <v/>
      </c>
      <c r="Q319" s="85">
        <v>40116</v>
      </c>
      <c r="R319" s="112"/>
      <c r="S319" s="95" t="s">
        <v>11</v>
      </c>
      <c r="T319" s="74" t="s">
        <v>4</v>
      </c>
      <c r="U319" s="95" t="s">
        <v>14</v>
      </c>
      <c r="V319" s="95" t="s">
        <v>1914</v>
      </c>
      <c r="W319" s="95" t="s">
        <v>1913</v>
      </c>
      <c r="X319" s="95" t="s">
        <v>2843</v>
      </c>
      <c r="Y319" s="72" t="s">
        <v>4</v>
      </c>
      <c r="Z319" s="72" t="s">
        <v>4</v>
      </c>
      <c r="AA319" s="95" t="s">
        <v>2843</v>
      </c>
      <c r="AB319" s="132"/>
      <c r="AC319" s="132"/>
      <c r="AD319" s="132"/>
      <c r="AE319" s="63"/>
      <c r="AF319" s="63"/>
      <c r="AG319" s="63"/>
    </row>
    <row r="320" spans="1:33" ht="17.2" customHeight="1">
      <c r="A320" s="64" t="str">
        <f>IF(priority(Main[[#This Row],[Comments]])&lt;&gt;0, priority(Main[[#This Row],[Comments]]),"")</f>
        <v/>
      </c>
      <c r="B320" s="60" t="s">
        <v>1150</v>
      </c>
      <c r="C320" s="72" t="s">
        <v>205</v>
      </c>
      <c r="D320" s="59" t="s">
        <v>207</v>
      </c>
      <c r="E320" s="85"/>
      <c r="F320" s="85"/>
      <c r="G320" s="64" t="str">
        <f>IF(stdProdLT(Main[[#This Row],[Comments]])=0.1,"N/A",IF(stdProdLT(Main[[#This Row],[Comments]])=0,"",TRIM(stdProdLT(Main[[#This Row],[Comments]]))))</f>
        <v/>
      </c>
      <c r="H320" s="94" t="str">
        <f>IF(OR(Main[[#This Row],[Std. Prod. Lead Time]]="N/A",Main[[#This Row],[Std. Prod. Lead Time]]=""), "",IF(AND(Main[[#This Row],[In Stock Date]]&lt;&gt;"",Main[[#This Row],[Revised Due Date]]&lt;&gt;"",Main[[#This Row],[In Stock Date]]&lt;&gt;""),Main[[#This Row],[In Stock Date]]-Main[[#This Row],[Revised Due Date]],""))</f>
        <v/>
      </c>
      <c r="I320" s="101" t="s">
        <v>4</v>
      </c>
      <c r="J320" s="95" t="s">
        <v>4</v>
      </c>
      <c r="K320" s="95" t="s">
        <v>4</v>
      </c>
      <c r="L320" s="85"/>
      <c r="M320" s="73" t="str">
        <f>IF(Main[[#This Row],[Tech Start Date]]&lt;1/1/1990,"",IF(Main[[#This Row],[Class]]="C",WORKDAY(Main[[#This Row],[Tech Start Date]],9),IF(Main[[#This Row],[Class]]="B", WORKDAY(Main[[#This Row],[Tech Start Date]],6),IF(Main[[#This Row],[Class]]="A",WORKDAY(Main[[#This Row],[Tech Start Date]],2),""))))</f>
        <v/>
      </c>
      <c r="N320" s="73" t="str">
        <f>IF(Main[[#This Row],[Tech Start Date]]&lt;1/1/1990,"",IF(Main[[#This Row],[Class]]="C",WORKDAY(Main[[#This Row],[Tech Start Date]],19),IF(Main[[#This Row],[Class]]="B", WORKDAY(Main[[#This Row],[Tech Start Date]],12),IF(Main[[#This Row],[Class]]="A",WORKDAY(Main[[#This Row],[Tech Start Date]],4),""))))</f>
        <v/>
      </c>
      <c r="O320" s="73" t="str">
        <f>IF(Main[[#This Row],[Tech Start Date]]&lt;1/1/1990,"",IF(Main[[#This Row],[Class]]="C",WORKDAY(Main[[#This Row],[Tech Start Date]],23),IF(Main[[#This Row],[Class]]="B", WORKDAY(Main[[#This Row],[Tech Start Date]],15),IF(Main[[#This Row],[Class]]="A",WORKDAY(Main[[#This Row],[Tech Start Date]],5),""))))</f>
        <v/>
      </c>
      <c r="P320" s="73" t="str">
        <f>IF(Main[[#This Row],[Tech Start Date]]&lt;1/1/1990,"",IF(Main[[#This Row],[Class]]="C",WORKDAY(Main[[#This Row],[Tech Start Date]],28),IF(Main[[#This Row],[Class]]="B", WORKDAY(Main[[#This Row],[Tech Start Date]],19),IF(Main[[#This Row],[Class]]="A",WORKDAY(Main[[#This Row],[Tech Start Date]],9),""))))</f>
        <v/>
      </c>
      <c r="Q320" s="85">
        <v>40116</v>
      </c>
      <c r="R320" s="112"/>
      <c r="S320" s="95" t="s">
        <v>11</v>
      </c>
      <c r="T320" s="74" t="s">
        <v>4</v>
      </c>
      <c r="U320" s="95" t="s">
        <v>14</v>
      </c>
      <c r="V320" s="95" t="s">
        <v>1914</v>
      </c>
      <c r="W320" s="95" t="s">
        <v>1913</v>
      </c>
      <c r="X320" s="95" t="s">
        <v>2843</v>
      </c>
      <c r="Y320" s="72" t="s">
        <v>4</v>
      </c>
      <c r="Z320" s="72" t="s">
        <v>4</v>
      </c>
      <c r="AA320" s="95" t="s">
        <v>2843</v>
      </c>
      <c r="AB320" s="132"/>
      <c r="AC320" s="132"/>
      <c r="AD320" s="132"/>
      <c r="AE320" s="63"/>
      <c r="AF320" s="63"/>
      <c r="AG320" s="63"/>
    </row>
    <row r="321" spans="1:33" ht="17.2" customHeight="1">
      <c r="A321" s="64" t="str">
        <f>IF(priority(Main[[#This Row],[Comments]])&lt;&gt;0, priority(Main[[#This Row],[Comments]]),"")</f>
        <v/>
      </c>
      <c r="B321" s="60" t="s">
        <v>1857</v>
      </c>
      <c r="C321" s="72" t="s">
        <v>31</v>
      </c>
      <c r="D321" s="59" t="s">
        <v>916</v>
      </c>
      <c r="E321" s="85"/>
      <c r="F321" s="85">
        <v>40664</v>
      </c>
      <c r="G321" s="64" t="str">
        <f>IF(stdProdLT(Main[[#This Row],[Comments]])=0.1,"N/A",IF(stdProdLT(Main[[#This Row],[Comments]])=0,"",TRIM(stdProdLT(Main[[#This Row],[Comments]]))))</f>
        <v/>
      </c>
      <c r="H321" s="94" t="str">
        <f>IF(OR(Main[[#This Row],[Std. Prod. Lead Time]]="N/A",Main[[#This Row],[Std. Prod. Lead Time]]=""), "",IF(AND(Main[[#This Row],[In Stock Date]]&lt;&gt;"",Main[[#This Row],[Revised Due Date]]&lt;&gt;"",Main[[#This Row],[In Stock Date]]&lt;&gt;""),Main[[#This Row],[In Stock Date]]-Main[[#This Row],[Revised Due Date]],""))</f>
        <v/>
      </c>
      <c r="I321" s="101" t="s">
        <v>417</v>
      </c>
      <c r="J321" s="95" t="s">
        <v>75</v>
      </c>
      <c r="K321" s="96" t="s">
        <v>1920</v>
      </c>
      <c r="L321" s="85"/>
      <c r="M321" s="73" t="str">
        <f>IF(Main[[#This Row],[Tech Start Date]]&lt;1/1/1990,"",IF(Main[[#This Row],[Class]]="C",WORKDAY(Main[[#This Row],[Tech Start Date]],9),IF(Main[[#This Row],[Class]]="B", WORKDAY(Main[[#This Row],[Tech Start Date]],6),IF(Main[[#This Row],[Class]]="A",WORKDAY(Main[[#This Row],[Tech Start Date]],2),""))))</f>
        <v/>
      </c>
      <c r="N321" s="73" t="str">
        <f>IF(Main[[#This Row],[Tech Start Date]]&lt;1/1/1990,"",IF(Main[[#This Row],[Class]]="C",WORKDAY(Main[[#This Row],[Tech Start Date]],19),IF(Main[[#This Row],[Class]]="B", WORKDAY(Main[[#This Row],[Tech Start Date]],12),IF(Main[[#This Row],[Class]]="A",WORKDAY(Main[[#This Row],[Tech Start Date]],4),""))))</f>
        <v/>
      </c>
      <c r="O321" s="73" t="str">
        <f>IF(Main[[#This Row],[Tech Start Date]]&lt;1/1/1990,"",IF(Main[[#This Row],[Class]]="C",WORKDAY(Main[[#This Row],[Tech Start Date]],23),IF(Main[[#This Row],[Class]]="B", WORKDAY(Main[[#This Row],[Tech Start Date]],15),IF(Main[[#This Row],[Class]]="A",WORKDAY(Main[[#This Row],[Tech Start Date]],5),""))))</f>
        <v/>
      </c>
      <c r="P321" s="73" t="str">
        <f>IF(Main[[#This Row],[Tech Start Date]]&lt;1/1/1990,"",IF(Main[[#This Row],[Class]]="C",WORKDAY(Main[[#This Row],[Tech Start Date]],28),IF(Main[[#This Row],[Class]]="B", WORKDAY(Main[[#This Row],[Tech Start Date]],19),IF(Main[[#This Row],[Class]]="A",WORKDAY(Main[[#This Row],[Tech Start Date]],9),""))))</f>
        <v/>
      </c>
      <c r="Q321" s="85">
        <v>40589</v>
      </c>
      <c r="R321" s="112">
        <v>40577</v>
      </c>
      <c r="S321" s="95" t="s">
        <v>11</v>
      </c>
      <c r="T321" s="74" t="s">
        <v>4</v>
      </c>
      <c r="U321" s="95" t="s">
        <v>14</v>
      </c>
      <c r="V321" s="95" t="s">
        <v>1914</v>
      </c>
      <c r="W321" s="95" t="s">
        <v>1917</v>
      </c>
      <c r="X321" s="95" t="s">
        <v>2805</v>
      </c>
      <c r="Y321" s="72" t="s">
        <v>2945</v>
      </c>
      <c r="Z321" s="72" t="s">
        <v>530</v>
      </c>
      <c r="AA321" s="95" t="s">
        <v>2805</v>
      </c>
      <c r="AB321" s="132">
        <v>40571</v>
      </c>
      <c r="AC321" s="132">
        <v>40578</v>
      </c>
      <c r="AD321" s="132"/>
      <c r="AE321" s="63"/>
      <c r="AF321" s="63"/>
      <c r="AG321" s="63"/>
    </row>
    <row r="322" spans="1:33" ht="17.2" customHeight="1">
      <c r="A322" s="64" t="str">
        <f>IF(priority(Main[[#This Row],[Comments]])&lt;&gt;0, priority(Main[[#This Row],[Comments]]),"")</f>
        <v/>
      </c>
      <c r="B322" s="60" t="s">
        <v>1157</v>
      </c>
      <c r="C322" s="72" t="s">
        <v>211</v>
      </c>
      <c r="D322" s="59" t="s">
        <v>212</v>
      </c>
      <c r="E322" s="85"/>
      <c r="F322" s="85">
        <v>40391</v>
      </c>
      <c r="G322" s="64" t="str">
        <f>IF(stdProdLT(Main[[#This Row],[Comments]])=0.1,"N/A",IF(stdProdLT(Main[[#This Row],[Comments]])=0,"",TRIM(stdProdLT(Main[[#This Row],[Comments]]))))</f>
        <v/>
      </c>
      <c r="H322" s="94" t="str">
        <f>IF(OR(Main[[#This Row],[Std. Prod. Lead Time]]="N/A",Main[[#This Row],[Std. Prod. Lead Time]]=""), "",IF(AND(Main[[#This Row],[In Stock Date]]&lt;&gt;"",Main[[#This Row],[Revised Due Date]]&lt;&gt;"",Main[[#This Row],[In Stock Date]]&lt;&gt;""),Main[[#This Row],[In Stock Date]]-Main[[#This Row],[Revised Due Date]],""))</f>
        <v/>
      </c>
      <c r="I322" s="101" t="s">
        <v>4</v>
      </c>
      <c r="J322" s="95" t="s">
        <v>4</v>
      </c>
      <c r="K322" s="95" t="s">
        <v>4</v>
      </c>
      <c r="L322" s="85"/>
      <c r="M322" s="73" t="str">
        <f>IF(Main[[#This Row],[Tech Start Date]]&lt;1/1/1990,"",IF(Main[[#This Row],[Class]]="C",WORKDAY(Main[[#This Row],[Tech Start Date]],9),IF(Main[[#This Row],[Class]]="B", WORKDAY(Main[[#This Row],[Tech Start Date]],6),IF(Main[[#This Row],[Class]]="A",WORKDAY(Main[[#This Row],[Tech Start Date]],2),""))))</f>
        <v/>
      </c>
      <c r="N322" s="73" t="str">
        <f>IF(Main[[#This Row],[Tech Start Date]]&lt;1/1/1990,"",IF(Main[[#This Row],[Class]]="C",WORKDAY(Main[[#This Row],[Tech Start Date]],19),IF(Main[[#This Row],[Class]]="B", WORKDAY(Main[[#This Row],[Tech Start Date]],12),IF(Main[[#This Row],[Class]]="A",WORKDAY(Main[[#This Row],[Tech Start Date]],4),""))))</f>
        <v/>
      </c>
      <c r="O322" s="73" t="str">
        <f>IF(Main[[#This Row],[Tech Start Date]]&lt;1/1/1990,"",IF(Main[[#This Row],[Class]]="C",WORKDAY(Main[[#This Row],[Tech Start Date]],23),IF(Main[[#This Row],[Class]]="B", WORKDAY(Main[[#This Row],[Tech Start Date]],15),IF(Main[[#This Row],[Class]]="A",WORKDAY(Main[[#This Row],[Tech Start Date]],5),""))))</f>
        <v/>
      </c>
      <c r="P322" s="73" t="str">
        <f>IF(Main[[#This Row],[Tech Start Date]]&lt;1/1/1990,"",IF(Main[[#This Row],[Class]]="C",WORKDAY(Main[[#This Row],[Tech Start Date]],28),IF(Main[[#This Row],[Class]]="B", WORKDAY(Main[[#This Row],[Tech Start Date]],19),IF(Main[[#This Row],[Class]]="A",WORKDAY(Main[[#This Row],[Tech Start Date]],9),""))))</f>
        <v/>
      </c>
      <c r="Q322" s="85">
        <v>40296</v>
      </c>
      <c r="R322" s="112"/>
      <c r="S322" s="95" t="s">
        <v>11</v>
      </c>
      <c r="T322" s="74" t="s">
        <v>4</v>
      </c>
      <c r="U322" s="95" t="s">
        <v>12</v>
      </c>
      <c r="V322" s="95" t="s">
        <v>1911</v>
      </c>
      <c r="W322" s="95" t="s">
        <v>1919</v>
      </c>
      <c r="X322" s="95" t="s">
        <v>2813</v>
      </c>
      <c r="Y322" s="72" t="s">
        <v>4</v>
      </c>
      <c r="Z322" s="72" t="s">
        <v>4</v>
      </c>
      <c r="AA322" s="95" t="s">
        <v>2813</v>
      </c>
      <c r="AB322" s="132"/>
      <c r="AC322" s="132"/>
      <c r="AD322" s="132"/>
      <c r="AE322" s="63"/>
      <c r="AF322" s="63"/>
      <c r="AG322" s="63"/>
    </row>
    <row r="323" spans="1:33" ht="17.2" customHeight="1">
      <c r="A323" s="64" t="str">
        <f>IF(priority(Main[[#This Row],[Comments]])&lt;&gt;0, priority(Main[[#This Row],[Comments]]),"")</f>
        <v/>
      </c>
      <c r="B323" s="60" t="s">
        <v>1159</v>
      </c>
      <c r="C323" s="72" t="s">
        <v>213</v>
      </c>
      <c r="D323" s="59" t="s">
        <v>214</v>
      </c>
      <c r="E323" s="85">
        <v>40395.391388888886</v>
      </c>
      <c r="F323" s="85">
        <v>40574</v>
      </c>
      <c r="G323" s="64" t="str">
        <f>IF(stdProdLT(Main[[#This Row],[Comments]])=0.1,"N/A",IF(stdProdLT(Main[[#This Row],[Comments]])=0,"",TRIM(stdProdLT(Main[[#This Row],[Comments]]))))</f>
        <v/>
      </c>
      <c r="H323" s="94" t="str">
        <f>IF(OR(Main[[#This Row],[Std. Prod. Lead Time]]="N/A",Main[[#This Row],[Std. Prod. Lead Time]]=""), "",IF(AND(Main[[#This Row],[In Stock Date]]&lt;&gt;"",Main[[#This Row],[Revised Due Date]]&lt;&gt;"",Main[[#This Row],[In Stock Date]]&lt;&gt;""),Main[[#This Row],[In Stock Date]]-Main[[#This Row],[Revised Due Date]],""))</f>
        <v/>
      </c>
      <c r="I323" s="101" t="s">
        <v>4</v>
      </c>
      <c r="J323" s="95" t="s">
        <v>28</v>
      </c>
      <c r="K323" s="95" t="s">
        <v>4</v>
      </c>
      <c r="L323" s="85"/>
      <c r="M323" s="73" t="str">
        <f>IF(Main[[#This Row],[Tech Start Date]]&lt;1/1/1990,"",IF(Main[[#This Row],[Class]]="C",WORKDAY(Main[[#This Row],[Tech Start Date]],9),IF(Main[[#This Row],[Class]]="B", WORKDAY(Main[[#This Row],[Tech Start Date]],6),IF(Main[[#This Row],[Class]]="A",WORKDAY(Main[[#This Row],[Tech Start Date]],2),""))))</f>
        <v/>
      </c>
      <c r="N323" s="73" t="str">
        <f>IF(Main[[#This Row],[Tech Start Date]]&lt;1/1/1990,"",IF(Main[[#This Row],[Class]]="C",WORKDAY(Main[[#This Row],[Tech Start Date]],19),IF(Main[[#This Row],[Class]]="B", WORKDAY(Main[[#This Row],[Tech Start Date]],12),IF(Main[[#This Row],[Class]]="A",WORKDAY(Main[[#This Row],[Tech Start Date]],4),""))))</f>
        <v/>
      </c>
      <c r="O323" s="73" t="str">
        <f>IF(Main[[#This Row],[Tech Start Date]]&lt;1/1/1990,"",IF(Main[[#This Row],[Class]]="C",WORKDAY(Main[[#This Row],[Tech Start Date]],23),IF(Main[[#This Row],[Class]]="B", WORKDAY(Main[[#This Row],[Tech Start Date]],15),IF(Main[[#This Row],[Class]]="A",WORKDAY(Main[[#This Row],[Tech Start Date]],5),""))))</f>
        <v/>
      </c>
      <c r="P323" s="73" t="str">
        <f>IF(Main[[#This Row],[Tech Start Date]]&lt;1/1/1990,"",IF(Main[[#This Row],[Class]]="C",WORKDAY(Main[[#This Row],[Tech Start Date]],28),IF(Main[[#This Row],[Class]]="B", WORKDAY(Main[[#This Row],[Tech Start Date]],19),IF(Main[[#This Row],[Class]]="A",WORKDAY(Main[[#This Row],[Tech Start Date]],9),""))))</f>
        <v/>
      </c>
      <c r="Q323" s="85"/>
      <c r="R323" s="112"/>
      <c r="S323" s="95" t="s">
        <v>17</v>
      </c>
      <c r="T323" s="74" t="s">
        <v>4</v>
      </c>
      <c r="U323" s="95" t="s">
        <v>7</v>
      </c>
      <c r="V323" s="95" t="s">
        <v>1911</v>
      </c>
      <c r="W323" s="95" t="s">
        <v>1916</v>
      </c>
      <c r="X323" s="95" t="s">
        <v>50</v>
      </c>
      <c r="Y323" s="72" t="s">
        <v>2985</v>
      </c>
      <c r="Z323" s="72" t="s">
        <v>129</v>
      </c>
      <c r="AA323" s="95" t="s">
        <v>65</v>
      </c>
      <c r="AB323" s="132"/>
      <c r="AC323" s="132"/>
      <c r="AD323" s="132"/>
      <c r="AE323" s="63"/>
      <c r="AF323" s="63"/>
      <c r="AG323" s="63"/>
    </row>
    <row r="324" spans="1:33" ht="17.2" customHeight="1">
      <c r="A324" s="64" t="str">
        <f>IF(priority(Main[[#This Row],[Comments]])&lt;&gt;0, priority(Main[[#This Row],[Comments]]),"")</f>
        <v/>
      </c>
      <c r="B324" s="60" t="s">
        <v>1160</v>
      </c>
      <c r="C324" s="72" t="s">
        <v>169</v>
      </c>
      <c r="D324" s="59" t="s">
        <v>215</v>
      </c>
      <c r="E324" s="85"/>
      <c r="F324" s="85">
        <v>40237</v>
      </c>
      <c r="G324" s="64" t="str">
        <f>IF(stdProdLT(Main[[#This Row],[Comments]])=0.1,"N/A",IF(stdProdLT(Main[[#This Row],[Comments]])=0,"",TRIM(stdProdLT(Main[[#This Row],[Comments]]))))</f>
        <v/>
      </c>
      <c r="H324" s="94" t="str">
        <f>IF(OR(Main[[#This Row],[Std. Prod. Lead Time]]="N/A",Main[[#This Row],[Std. Prod. Lead Time]]=""), "",IF(AND(Main[[#This Row],[In Stock Date]]&lt;&gt;"",Main[[#This Row],[Revised Due Date]]&lt;&gt;"",Main[[#This Row],[In Stock Date]]&lt;&gt;""),Main[[#This Row],[In Stock Date]]-Main[[#This Row],[Revised Due Date]],""))</f>
        <v/>
      </c>
      <c r="I324" s="101" t="s">
        <v>4</v>
      </c>
      <c r="J324" s="95" t="s">
        <v>4</v>
      </c>
      <c r="K324" s="95" t="s">
        <v>4</v>
      </c>
      <c r="L324" s="85"/>
      <c r="M324" s="73" t="str">
        <f>IF(Main[[#This Row],[Tech Start Date]]&lt;1/1/1990,"",IF(Main[[#This Row],[Class]]="C",WORKDAY(Main[[#This Row],[Tech Start Date]],9),IF(Main[[#This Row],[Class]]="B", WORKDAY(Main[[#This Row],[Tech Start Date]],6),IF(Main[[#This Row],[Class]]="A",WORKDAY(Main[[#This Row],[Tech Start Date]],2),""))))</f>
        <v/>
      </c>
      <c r="N324" s="73" t="str">
        <f>IF(Main[[#This Row],[Tech Start Date]]&lt;1/1/1990,"",IF(Main[[#This Row],[Class]]="C",WORKDAY(Main[[#This Row],[Tech Start Date]],19),IF(Main[[#This Row],[Class]]="B", WORKDAY(Main[[#This Row],[Tech Start Date]],12),IF(Main[[#This Row],[Class]]="A",WORKDAY(Main[[#This Row],[Tech Start Date]],4),""))))</f>
        <v/>
      </c>
      <c r="O324" s="73" t="str">
        <f>IF(Main[[#This Row],[Tech Start Date]]&lt;1/1/1990,"",IF(Main[[#This Row],[Class]]="C",WORKDAY(Main[[#This Row],[Tech Start Date]],23),IF(Main[[#This Row],[Class]]="B", WORKDAY(Main[[#This Row],[Tech Start Date]],15),IF(Main[[#This Row],[Class]]="A",WORKDAY(Main[[#This Row],[Tech Start Date]],5),""))))</f>
        <v/>
      </c>
      <c r="P324" s="73" t="str">
        <f>IF(Main[[#This Row],[Tech Start Date]]&lt;1/1/1990,"",IF(Main[[#This Row],[Class]]="C",WORKDAY(Main[[#This Row],[Tech Start Date]],28),IF(Main[[#This Row],[Class]]="B", WORKDAY(Main[[#This Row],[Tech Start Date]],19),IF(Main[[#This Row],[Class]]="A",WORKDAY(Main[[#This Row],[Tech Start Date]],9),""))))</f>
        <v/>
      </c>
      <c r="Q324" s="85">
        <v>40132</v>
      </c>
      <c r="R324" s="112"/>
      <c r="S324" s="95" t="s">
        <v>11</v>
      </c>
      <c r="T324" s="74" t="s">
        <v>4</v>
      </c>
      <c r="U324" s="95" t="s">
        <v>14</v>
      </c>
      <c r="V324" s="95" t="s">
        <v>1911</v>
      </c>
      <c r="W324" s="95" t="s">
        <v>1916</v>
      </c>
      <c r="X324" s="95" t="s">
        <v>2838</v>
      </c>
      <c r="Y324" s="72" t="s">
        <v>4</v>
      </c>
      <c r="Z324" s="72" t="s">
        <v>4</v>
      </c>
      <c r="AA324" s="95" t="s">
        <v>2838</v>
      </c>
      <c r="AB324" s="132"/>
      <c r="AC324" s="132"/>
      <c r="AD324" s="132"/>
      <c r="AE324" s="63"/>
      <c r="AF324" s="63"/>
      <c r="AG324" s="63"/>
    </row>
    <row r="325" spans="1:33" ht="17.2" customHeight="1">
      <c r="A325" s="64" t="str">
        <f>IF(priority(Main[[#This Row],[Comments]])&lt;&gt;0, priority(Main[[#This Row],[Comments]]),"")</f>
        <v/>
      </c>
      <c r="B325" s="60" t="s">
        <v>1161</v>
      </c>
      <c r="C325" s="72" t="s">
        <v>4</v>
      </c>
      <c r="D325" s="59" t="s">
        <v>216</v>
      </c>
      <c r="E325" s="85"/>
      <c r="F325" s="85"/>
      <c r="G325" s="64" t="str">
        <f>IF(stdProdLT(Main[[#This Row],[Comments]])=0.1,"N/A",IF(stdProdLT(Main[[#This Row],[Comments]])=0,"",TRIM(stdProdLT(Main[[#This Row],[Comments]]))))</f>
        <v/>
      </c>
      <c r="H325" s="94" t="str">
        <f>IF(OR(Main[[#This Row],[Std. Prod. Lead Time]]="N/A",Main[[#This Row],[Std. Prod. Lead Time]]=""), "",IF(AND(Main[[#This Row],[In Stock Date]]&lt;&gt;"",Main[[#This Row],[Revised Due Date]]&lt;&gt;"",Main[[#This Row],[In Stock Date]]&lt;&gt;""),Main[[#This Row],[In Stock Date]]-Main[[#This Row],[Revised Due Date]],""))</f>
        <v/>
      </c>
      <c r="I325" s="101" t="s">
        <v>4</v>
      </c>
      <c r="J325" s="95" t="s">
        <v>4</v>
      </c>
      <c r="K325" s="95" t="s">
        <v>4</v>
      </c>
      <c r="L325" s="85"/>
      <c r="M325" s="73" t="str">
        <f>IF(Main[[#This Row],[Tech Start Date]]&lt;1/1/1990,"",IF(Main[[#This Row],[Class]]="C",WORKDAY(Main[[#This Row],[Tech Start Date]],9),IF(Main[[#This Row],[Class]]="B", WORKDAY(Main[[#This Row],[Tech Start Date]],6),IF(Main[[#This Row],[Class]]="A",WORKDAY(Main[[#This Row],[Tech Start Date]],2),""))))</f>
        <v/>
      </c>
      <c r="N325" s="73" t="str">
        <f>IF(Main[[#This Row],[Tech Start Date]]&lt;1/1/1990,"",IF(Main[[#This Row],[Class]]="C",WORKDAY(Main[[#This Row],[Tech Start Date]],19),IF(Main[[#This Row],[Class]]="B", WORKDAY(Main[[#This Row],[Tech Start Date]],12),IF(Main[[#This Row],[Class]]="A",WORKDAY(Main[[#This Row],[Tech Start Date]],4),""))))</f>
        <v/>
      </c>
      <c r="O325" s="73" t="str">
        <f>IF(Main[[#This Row],[Tech Start Date]]&lt;1/1/1990,"",IF(Main[[#This Row],[Class]]="C",WORKDAY(Main[[#This Row],[Tech Start Date]],23),IF(Main[[#This Row],[Class]]="B", WORKDAY(Main[[#This Row],[Tech Start Date]],15),IF(Main[[#This Row],[Class]]="A",WORKDAY(Main[[#This Row],[Tech Start Date]],5),""))))</f>
        <v/>
      </c>
      <c r="P325" s="73" t="str">
        <f>IF(Main[[#This Row],[Tech Start Date]]&lt;1/1/1990,"",IF(Main[[#This Row],[Class]]="C",WORKDAY(Main[[#This Row],[Tech Start Date]],28),IF(Main[[#This Row],[Class]]="B", WORKDAY(Main[[#This Row],[Tech Start Date]],19),IF(Main[[#This Row],[Class]]="A",WORKDAY(Main[[#This Row],[Tech Start Date]],9),""))))</f>
        <v/>
      </c>
      <c r="Q325" s="85"/>
      <c r="R325" s="112"/>
      <c r="S325" s="95" t="s">
        <v>17</v>
      </c>
      <c r="T325" s="74" t="s">
        <v>4</v>
      </c>
      <c r="U325" s="95" t="s">
        <v>12</v>
      </c>
      <c r="V325" s="95" t="s">
        <v>1911</v>
      </c>
      <c r="W325" s="95" t="s">
        <v>1915</v>
      </c>
      <c r="X325" s="95" t="s">
        <v>877</v>
      </c>
      <c r="Y325" s="72" t="s">
        <v>4</v>
      </c>
      <c r="Z325" s="72" t="s">
        <v>4</v>
      </c>
      <c r="AA325" s="95" t="s">
        <v>4</v>
      </c>
      <c r="AB325" s="132"/>
      <c r="AC325" s="132"/>
      <c r="AD325" s="132"/>
      <c r="AE325" s="63"/>
      <c r="AF325" s="63"/>
      <c r="AG325" s="63"/>
    </row>
    <row r="326" spans="1:33" ht="17.2" customHeight="1">
      <c r="A326" s="64" t="str">
        <f>IF(priority(Main[[#This Row],[Comments]])&lt;&gt;0, priority(Main[[#This Row],[Comments]]),"")</f>
        <v/>
      </c>
      <c r="B326" s="60" t="s">
        <v>1163</v>
      </c>
      <c r="C326" s="72" t="s">
        <v>93</v>
      </c>
      <c r="D326" s="59" t="s">
        <v>218</v>
      </c>
      <c r="E326" s="85"/>
      <c r="F326" s="85">
        <v>40299</v>
      </c>
      <c r="G326" s="64" t="str">
        <f>IF(stdProdLT(Main[[#This Row],[Comments]])=0.1,"N/A",IF(stdProdLT(Main[[#This Row],[Comments]])=0,"",TRIM(stdProdLT(Main[[#This Row],[Comments]]))))</f>
        <v/>
      </c>
      <c r="H326" s="94" t="str">
        <f>IF(OR(Main[[#This Row],[Std. Prod. Lead Time]]="N/A",Main[[#This Row],[Std. Prod. Lead Time]]=""), "",IF(AND(Main[[#This Row],[In Stock Date]]&lt;&gt;"",Main[[#This Row],[Revised Due Date]]&lt;&gt;"",Main[[#This Row],[In Stock Date]]&lt;&gt;""),Main[[#This Row],[In Stock Date]]-Main[[#This Row],[Revised Due Date]],""))</f>
        <v/>
      </c>
      <c r="I326" s="101" t="s">
        <v>4</v>
      </c>
      <c r="J326" s="95" t="s">
        <v>4</v>
      </c>
      <c r="K326" s="95" t="s">
        <v>4</v>
      </c>
      <c r="L326" s="85"/>
      <c r="M326" s="73" t="str">
        <f>IF(Main[[#This Row],[Tech Start Date]]&lt;1/1/1990,"",IF(Main[[#This Row],[Class]]="C",WORKDAY(Main[[#This Row],[Tech Start Date]],9),IF(Main[[#This Row],[Class]]="B", WORKDAY(Main[[#This Row],[Tech Start Date]],6),IF(Main[[#This Row],[Class]]="A",WORKDAY(Main[[#This Row],[Tech Start Date]],2),""))))</f>
        <v/>
      </c>
      <c r="N326" s="73" t="str">
        <f>IF(Main[[#This Row],[Tech Start Date]]&lt;1/1/1990,"",IF(Main[[#This Row],[Class]]="C",WORKDAY(Main[[#This Row],[Tech Start Date]],19),IF(Main[[#This Row],[Class]]="B", WORKDAY(Main[[#This Row],[Tech Start Date]],12),IF(Main[[#This Row],[Class]]="A",WORKDAY(Main[[#This Row],[Tech Start Date]],4),""))))</f>
        <v/>
      </c>
      <c r="O326" s="73" t="str">
        <f>IF(Main[[#This Row],[Tech Start Date]]&lt;1/1/1990,"",IF(Main[[#This Row],[Class]]="C",WORKDAY(Main[[#This Row],[Tech Start Date]],23),IF(Main[[#This Row],[Class]]="B", WORKDAY(Main[[#This Row],[Tech Start Date]],15),IF(Main[[#This Row],[Class]]="A",WORKDAY(Main[[#This Row],[Tech Start Date]],5),""))))</f>
        <v/>
      </c>
      <c r="P326" s="73" t="str">
        <f>IF(Main[[#This Row],[Tech Start Date]]&lt;1/1/1990,"",IF(Main[[#This Row],[Class]]="C",WORKDAY(Main[[#This Row],[Tech Start Date]],28),IF(Main[[#This Row],[Class]]="B", WORKDAY(Main[[#This Row],[Tech Start Date]],19),IF(Main[[#This Row],[Class]]="A",WORKDAY(Main[[#This Row],[Tech Start Date]],9),""))))</f>
        <v/>
      </c>
      <c r="Q326" s="85">
        <v>40214</v>
      </c>
      <c r="R326" s="112"/>
      <c r="S326" s="95" t="s">
        <v>11</v>
      </c>
      <c r="T326" s="74" t="s">
        <v>4</v>
      </c>
      <c r="U326" s="95" t="s">
        <v>12</v>
      </c>
      <c r="V326" s="95" t="s">
        <v>1911</v>
      </c>
      <c r="W326" s="95" t="s">
        <v>1917</v>
      </c>
      <c r="X326" s="95" t="s">
        <v>2825</v>
      </c>
      <c r="Y326" s="72" t="s">
        <v>4</v>
      </c>
      <c r="Z326" s="72" t="s">
        <v>4</v>
      </c>
      <c r="AA326" s="95" t="s">
        <v>2825</v>
      </c>
      <c r="AB326" s="132"/>
      <c r="AC326" s="132"/>
      <c r="AD326" s="132"/>
      <c r="AE326" s="63"/>
      <c r="AF326" s="63"/>
      <c r="AG326" s="63"/>
    </row>
    <row r="327" spans="1:33" ht="17.2" customHeight="1">
      <c r="A327" s="64" t="str">
        <f>IF(priority(Main[[#This Row],[Comments]])&lt;&gt;0, priority(Main[[#This Row],[Comments]]),"")</f>
        <v/>
      </c>
      <c r="B327" s="60" t="s">
        <v>1164</v>
      </c>
      <c r="C327" s="72" t="s">
        <v>113</v>
      </c>
      <c r="D327" s="59" t="s">
        <v>219</v>
      </c>
      <c r="E327" s="85"/>
      <c r="F327" s="85">
        <v>40193</v>
      </c>
      <c r="G327" s="64" t="str">
        <f>IF(stdProdLT(Main[[#This Row],[Comments]])=0.1,"N/A",IF(stdProdLT(Main[[#This Row],[Comments]])=0,"",TRIM(stdProdLT(Main[[#This Row],[Comments]]))))</f>
        <v/>
      </c>
      <c r="H327" s="94" t="str">
        <f>IF(OR(Main[[#This Row],[Std. Prod. Lead Time]]="N/A",Main[[#This Row],[Std. Prod. Lead Time]]=""), "",IF(AND(Main[[#This Row],[In Stock Date]]&lt;&gt;"",Main[[#This Row],[Revised Due Date]]&lt;&gt;"",Main[[#This Row],[In Stock Date]]&lt;&gt;""),Main[[#This Row],[In Stock Date]]-Main[[#This Row],[Revised Due Date]],""))</f>
        <v/>
      </c>
      <c r="I327" s="101" t="s">
        <v>4</v>
      </c>
      <c r="J327" s="95" t="s">
        <v>4</v>
      </c>
      <c r="K327" s="95" t="s">
        <v>4</v>
      </c>
      <c r="L327" s="85"/>
      <c r="M327" s="73" t="str">
        <f>IF(Main[[#This Row],[Tech Start Date]]&lt;1/1/1990,"",IF(Main[[#This Row],[Class]]="C",WORKDAY(Main[[#This Row],[Tech Start Date]],9),IF(Main[[#This Row],[Class]]="B", WORKDAY(Main[[#This Row],[Tech Start Date]],6),IF(Main[[#This Row],[Class]]="A",WORKDAY(Main[[#This Row],[Tech Start Date]],2),""))))</f>
        <v/>
      </c>
      <c r="N327" s="73" t="str">
        <f>IF(Main[[#This Row],[Tech Start Date]]&lt;1/1/1990,"",IF(Main[[#This Row],[Class]]="C",WORKDAY(Main[[#This Row],[Tech Start Date]],19),IF(Main[[#This Row],[Class]]="B", WORKDAY(Main[[#This Row],[Tech Start Date]],12),IF(Main[[#This Row],[Class]]="A",WORKDAY(Main[[#This Row],[Tech Start Date]],4),""))))</f>
        <v/>
      </c>
      <c r="O327" s="73" t="str">
        <f>IF(Main[[#This Row],[Tech Start Date]]&lt;1/1/1990,"",IF(Main[[#This Row],[Class]]="C",WORKDAY(Main[[#This Row],[Tech Start Date]],23),IF(Main[[#This Row],[Class]]="B", WORKDAY(Main[[#This Row],[Tech Start Date]],15),IF(Main[[#This Row],[Class]]="A",WORKDAY(Main[[#This Row],[Tech Start Date]],5),""))))</f>
        <v/>
      </c>
      <c r="P327" s="73" t="str">
        <f>IF(Main[[#This Row],[Tech Start Date]]&lt;1/1/1990,"",IF(Main[[#This Row],[Class]]="C",WORKDAY(Main[[#This Row],[Tech Start Date]],28),IF(Main[[#This Row],[Class]]="B", WORKDAY(Main[[#This Row],[Tech Start Date]],19),IF(Main[[#This Row],[Class]]="A",WORKDAY(Main[[#This Row],[Tech Start Date]],9),""))))</f>
        <v/>
      </c>
      <c r="Q327" s="85">
        <v>40448</v>
      </c>
      <c r="R327" s="112"/>
      <c r="S327" s="95" t="s">
        <v>11</v>
      </c>
      <c r="T327" s="74" t="s">
        <v>4</v>
      </c>
      <c r="U327" s="95" t="s">
        <v>14</v>
      </c>
      <c r="V327" s="95" t="s">
        <v>1921</v>
      </c>
      <c r="W327" s="95" t="s">
        <v>1917</v>
      </c>
      <c r="X327" s="95" t="s">
        <v>2824</v>
      </c>
      <c r="Y327" s="72" t="s">
        <v>2955</v>
      </c>
      <c r="Z327" s="72" t="s">
        <v>4</v>
      </c>
      <c r="AA327" s="95" t="s">
        <v>2824</v>
      </c>
      <c r="AB327" s="132"/>
      <c r="AC327" s="132"/>
      <c r="AD327" s="132"/>
      <c r="AE327" s="63"/>
      <c r="AF327" s="63"/>
      <c r="AG327" s="63"/>
    </row>
    <row r="328" spans="1:33" ht="17.2" customHeight="1">
      <c r="A328" s="64" t="str">
        <f>IF(priority(Main[[#This Row],[Comments]])&lt;&gt;0, priority(Main[[#This Row],[Comments]]),"")</f>
        <v/>
      </c>
      <c r="B328" s="60" t="s">
        <v>1165</v>
      </c>
      <c r="C328" s="72" t="s">
        <v>4</v>
      </c>
      <c r="D328" s="59" t="s">
        <v>220</v>
      </c>
      <c r="E328" s="85"/>
      <c r="F328" s="85">
        <v>40031</v>
      </c>
      <c r="G328" s="64" t="str">
        <f>IF(stdProdLT(Main[[#This Row],[Comments]])=0.1,"N/A",IF(stdProdLT(Main[[#This Row],[Comments]])=0,"",TRIM(stdProdLT(Main[[#This Row],[Comments]]))))</f>
        <v/>
      </c>
      <c r="H328" s="94" t="str">
        <f>IF(OR(Main[[#This Row],[Std. Prod. Lead Time]]="N/A",Main[[#This Row],[Std. Prod. Lead Time]]=""), "",IF(AND(Main[[#This Row],[In Stock Date]]&lt;&gt;"",Main[[#This Row],[Revised Due Date]]&lt;&gt;"",Main[[#This Row],[In Stock Date]]&lt;&gt;""),Main[[#This Row],[In Stock Date]]-Main[[#This Row],[Revised Due Date]],""))</f>
        <v/>
      </c>
      <c r="I328" s="101" t="s">
        <v>4</v>
      </c>
      <c r="J328" s="95" t="s">
        <v>4</v>
      </c>
      <c r="K328" s="95" t="s">
        <v>4</v>
      </c>
      <c r="L328" s="85"/>
      <c r="M328" s="73" t="str">
        <f>IF(Main[[#This Row],[Tech Start Date]]&lt;1/1/1990,"",IF(Main[[#This Row],[Class]]="C",WORKDAY(Main[[#This Row],[Tech Start Date]],9),IF(Main[[#This Row],[Class]]="B", WORKDAY(Main[[#This Row],[Tech Start Date]],6),IF(Main[[#This Row],[Class]]="A",WORKDAY(Main[[#This Row],[Tech Start Date]],2),""))))</f>
        <v/>
      </c>
      <c r="N328" s="73" t="str">
        <f>IF(Main[[#This Row],[Tech Start Date]]&lt;1/1/1990,"",IF(Main[[#This Row],[Class]]="C",WORKDAY(Main[[#This Row],[Tech Start Date]],19),IF(Main[[#This Row],[Class]]="B", WORKDAY(Main[[#This Row],[Tech Start Date]],12),IF(Main[[#This Row],[Class]]="A",WORKDAY(Main[[#This Row],[Tech Start Date]],4),""))))</f>
        <v/>
      </c>
      <c r="O328" s="73" t="str">
        <f>IF(Main[[#This Row],[Tech Start Date]]&lt;1/1/1990,"",IF(Main[[#This Row],[Class]]="C",WORKDAY(Main[[#This Row],[Tech Start Date]],23),IF(Main[[#This Row],[Class]]="B", WORKDAY(Main[[#This Row],[Tech Start Date]],15),IF(Main[[#This Row],[Class]]="A",WORKDAY(Main[[#This Row],[Tech Start Date]],5),""))))</f>
        <v/>
      </c>
      <c r="P328" s="73" t="str">
        <f>IF(Main[[#This Row],[Tech Start Date]]&lt;1/1/1990,"",IF(Main[[#This Row],[Class]]="C",WORKDAY(Main[[#This Row],[Tech Start Date]],28),IF(Main[[#This Row],[Class]]="B", WORKDAY(Main[[#This Row],[Tech Start Date]],19),IF(Main[[#This Row],[Class]]="A",WORKDAY(Main[[#This Row],[Tech Start Date]],9),""))))</f>
        <v/>
      </c>
      <c r="Q328" s="85">
        <v>39976</v>
      </c>
      <c r="R328" s="112"/>
      <c r="S328" s="95" t="s">
        <v>11</v>
      </c>
      <c r="T328" s="74" t="s">
        <v>4</v>
      </c>
      <c r="U328" s="95" t="s">
        <v>14</v>
      </c>
      <c r="V328" s="95" t="s">
        <v>1912</v>
      </c>
      <c r="W328" s="95" t="s">
        <v>1919</v>
      </c>
      <c r="X328" s="95" t="s">
        <v>2804</v>
      </c>
      <c r="Y328" s="72" t="s">
        <v>2921</v>
      </c>
      <c r="Z328" s="72" t="s">
        <v>4</v>
      </c>
      <c r="AA328" s="95" t="s">
        <v>2804</v>
      </c>
      <c r="AB328" s="132"/>
      <c r="AC328" s="132"/>
      <c r="AD328" s="132"/>
      <c r="AE328" s="63"/>
      <c r="AF328" s="63"/>
      <c r="AG328" s="63"/>
    </row>
    <row r="329" spans="1:33" ht="17.2" customHeight="1">
      <c r="A329" s="64" t="str">
        <f>IF(priority(Main[[#This Row],[Comments]])&lt;&gt;0, priority(Main[[#This Row],[Comments]]),"")</f>
        <v/>
      </c>
      <c r="B329" s="60" t="s">
        <v>1166</v>
      </c>
      <c r="C329" s="72" t="s">
        <v>4</v>
      </c>
      <c r="D329" s="59" t="s">
        <v>221</v>
      </c>
      <c r="E329" s="85"/>
      <c r="F329" s="85">
        <v>40309</v>
      </c>
      <c r="G329" s="64" t="str">
        <f>IF(stdProdLT(Main[[#This Row],[Comments]])=0.1,"N/A",IF(stdProdLT(Main[[#This Row],[Comments]])=0,"",TRIM(stdProdLT(Main[[#This Row],[Comments]]))))</f>
        <v/>
      </c>
      <c r="H329" s="94" t="str">
        <f>IF(OR(Main[[#This Row],[Std. Prod. Lead Time]]="N/A",Main[[#This Row],[Std. Prod. Lead Time]]=""), "",IF(AND(Main[[#This Row],[In Stock Date]]&lt;&gt;"",Main[[#This Row],[Revised Due Date]]&lt;&gt;"",Main[[#This Row],[In Stock Date]]&lt;&gt;""),Main[[#This Row],[In Stock Date]]-Main[[#This Row],[Revised Due Date]],""))</f>
        <v/>
      </c>
      <c r="I329" s="101" t="s">
        <v>4</v>
      </c>
      <c r="J329" s="95" t="s">
        <v>4</v>
      </c>
      <c r="K329" s="95" t="s">
        <v>4</v>
      </c>
      <c r="L329" s="85"/>
      <c r="M329" s="73" t="str">
        <f>IF(Main[[#This Row],[Tech Start Date]]&lt;1/1/1990,"",IF(Main[[#This Row],[Class]]="C",WORKDAY(Main[[#This Row],[Tech Start Date]],9),IF(Main[[#This Row],[Class]]="B", WORKDAY(Main[[#This Row],[Tech Start Date]],6),IF(Main[[#This Row],[Class]]="A",WORKDAY(Main[[#This Row],[Tech Start Date]],2),""))))</f>
        <v/>
      </c>
      <c r="N329" s="73" t="str">
        <f>IF(Main[[#This Row],[Tech Start Date]]&lt;1/1/1990,"",IF(Main[[#This Row],[Class]]="C",WORKDAY(Main[[#This Row],[Tech Start Date]],19),IF(Main[[#This Row],[Class]]="B", WORKDAY(Main[[#This Row],[Tech Start Date]],12),IF(Main[[#This Row],[Class]]="A",WORKDAY(Main[[#This Row],[Tech Start Date]],4),""))))</f>
        <v/>
      </c>
      <c r="O329" s="73" t="str">
        <f>IF(Main[[#This Row],[Tech Start Date]]&lt;1/1/1990,"",IF(Main[[#This Row],[Class]]="C",WORKDAY(Main[[#This Row],[Tech Start Date]],23),IF(Main[[#This Row],[Class]]="B", WORKDAY(Main[[#This Row],[Tech Start Date]],15),IF(Main[[#This Row],[Class]]="A",WORKDAY(Main[[#This Row],[Tech Start Date]],5),""))))</f>
        <v/>
      </c>
      <c r="P329" s="73" t="str">
        <f>IF(Main[[#This Row],[Tech Start Date]]&lt;1/1/1990,"",IF(Main[[#This Row],[Class]]="C",WORKDAY(Main[[#This Row],[Tech Start Date]],28),IF(Main[[#This Row],[Class]]="B", WORKDAY(Main[[#This Row],[Tech Start Date]],19),IF(Main[[#This Row],[Class]]="A",WORKDAY(Main[[#This Row],[Tech Start Date]],9),""))))</f>
        <v/>
      </c>
      <c r="Q329" s="85">
        <v>40305</v>
      </c>
      <c r="R329" s="112"/>
      <c r="S329" s="95" t="s">
        <v>6</v>
      </c>
      <c r="T329" s="74" t="s">
        <v>4</v>
      </c>
      <c r="U329" s="95" t="s">
        <v>12</v>
      </c>
      <c r="V329" s="95" t="s">
        <v>1911</v>
      </c>
      <c r="W329" s="95" t="s">
        <v>1919</v>
      </c>
      <c r="X329" s="95" t="s">
        <v>2804</v>
      </c>
      <c r="Y329" s="72" t="s">
        <v>2921</v>
      </c>
      <c r="Z329" s="72" t="s">
        <v>4</v>
      </c>
      <c r="AA329" s="95" t="s">
        <v>2804</v>
      </c>
      <c r="AB329" s="132"/>
      <c r="AC329" s="132"/>
      <c r="AD329" s="132"/>
      <c r="AE329" s="63"/>
      <c r="AF329" s="63"/>
      <c r="AG329" s="63"/>
    </row>
    <row r="330" spans="1:33" ht="17.2" customHeight="1">
      <c r="A330" s="64" t="str">
        <f>IF(priority(Main[[#This Row],[Comments]])&lt;&gt;0, priority(Main[[#This Row],[Comments]]),"")</f>
        <v/>
      </c>
      <c r="B330" s="60" t="s">
        <v>1167</v>
      </c>
      <c r="C330" s="72" t="s">
        <v>31</v>
      </c>
      <c r="D330" s="59" t="s">
        <v>222</v>
      </c>
      <c r="E330" s="85"/>
      <c r="F330" s="85">
        <v>40169</v>
      </c>
      <c r="G330" s="64" t="str">
        <f>IF(stdProdLT(Main[[#This Row],[Comments]])=0.1,"N/A",IF(stdProdLT(Main[[#This Row],[Comments]])=0,"",TRIM(stdProdLT(Main[[#This Row],[Comments]]))))</f>
        <v/>
      </c>
      <c r="H330" s="94" t="str">
        <f>IF(OR(Main[[#This Row],[Std. Prod. Lead Time]]="N/A",Main[[#This Row],[Std. Prod. Lead Time]]=""), "",IF(AND(Main[[#This Row],[In Stock Date]]&lt;&gt;"",Main[[#This Row],[Revised Due Date]]&lt;&gt;"",Main[[#This Row],[In Stock Date]]&lt;&gt;""),Main[[#This Row],[In Stock Date]]-Main[[#This Row],[Revised Due Date]],""))</f>
        <v/>
      </c>
      <c r="I330" s="101" t="s">
        <v>4</v>
      </c>
      <c r="J330" s="95" t="s">
        <v>4</v>
      </c>
      <c r="K330" s="95" t="s">
        <v>4</v>
      </c>
      <c r="L330" s="85"/>
      <c r="M330" s="73" t="str">
        <f>IF(Main[[#This Row],[Tech Start Date]]&lt;1/1/1990,"",IF(Main[[#This Row],[Class]]="C",WORKDAY(Main[[#This Row],[Tech Start Date]],9),IF(Main[[#This Row],[Class]]="B", WORKDAY(Main[[#This Row],[Tech Start Date]],6),IF(Main[[#This Row],[Class]]="A",WORKDAY(Main[[#This Row],[Tech Start Date]],2),""))))</f>
        <v/>
      </c>
      <c r="N330" s="73" t="str">
        <f>IF(Main[[#This Row],[Tech Start Date]]&lt;1/1/1990,"",IF(Main[[#This Row],[Class]]="C",WORKDAY(Main[[#This Row],[Tech Start Date]],19),IF(Main[[#This Row],[Class]]="B", WORKDAY(Main[[#This Row],[Tech Start Date]],12),IF(Main[[#This Row],[Class]]="A",WORKDAY(Main[[#This Row],[Tech Start Date]],4),""))))</f>
        <v/>
      </c>
      <c r="O330" s="73" t="str">
        <f>IF(Main[[#This Row],[Tech Start Date]]&lt;1/1/1990,"",IF(Main[[#This Row],[Class]]="C",WORKDAY(Main[[#This Row],[Tech Start Date]],23),IF(Main[[#This Row],[Class]]="B", WORKDAY(Main[[#This Row],[Tech Start Date]],15),IF(Main[[#This Row],[Class]]="A",WORKDAY(Main[[#This Row],[Tech Start Date]],5),""))))</f>
        <v/>
      </c>
      <c r="P330" s="73" t="str">
        <f>IF(Main[[#This Row],[Tech Start Date]]&lt;1/1/1990,"",IF(Main[[#This Row],[Class]]="C",WORKDAY(Main[[#This Row],[Tech Start Date]],28),IF(Main[[#This Row],[Class]]="B", WORKDAY(Main[[#This Row],[Tech Start Date]],19),IF(Main[[#This Row],[Class]]="A",WORKDAY(Main[[#This Row],[Tech Start Date]],9),""))))</f>
        <v/>
      </c>
      <c r="Q330" s="85">
        <v>40169</v>
      </c>
      <c r="R330" s="112"/>
      <c r="S330" s="95" t="s">
        <v>11</v>
      </c>
      <c r="T330" s="74" t="s">
        <v>4</v>
      </c>
      <c r="U330" s="95" t="s">
        <v>14</v>
      </c>
      <c r="V330" s="95" t="s">
        <v>1912</v>
      </c>
      <c r="W330" s="95" t="s">
        <v>1919</v>
      </c>
      <c r="X330" s="95" t="s">
        <v>2815</v>
      </c>
      <c r="Y330" s="72" t="s">
        <v>4</v>
      </c>
      <c r="Z330" s="72" t="s">
        <v>4</v>
      </c>
      <c r="AA330" s="95" t="s">
        <v>2815</v>
      </c>
      <c r="AB330" s="132"/>
      <c r="AC330" s="132"/>
      <c r="AD330" s="132"/>
      <c r="AE330" s="63"/>
      <c r="AF330" s="63"/>
      <c r="AG330" s="63"/>
    </row>
    <row r="331" spans="1:33" ht="17.2" customHeight="1">
      <c r="A331" s="64" t="str">
        <f>IF(priority(Main[[#This Row],[Comments]])&lt;&gt;0, priority(Main[[#This Row],[Comments]]),"")</f>
        <v/>
      </c>
      <c r="B331" s="60" t="s">
        <v>1168</v>
      </c>
      <c r="C331" s="72" t="s">
        <v>72</v>
      </c>
      <c r="D331" s="59" t="s">
        <v>223</v>
      </c>
      <c r="E331" s="85"/>
      <c r="F331" s="85">
        <v>40391</v>
      </c>
      <c r="G331" s="64" t="str">
        <f>IF(stdProdLT(Main[[#This Row],[Comments]])=0.1,"N/A",IF(stdProdLT(Main[[#This Row],[Comments]])=0,"",TRIM(stdProdLT(Main[[#This Row],[Comments]]))))</f>
        <v/>
      </c>
      <c r="H331" s="94" t="str">
        <f>IF(OR(Main[[#This Row],[Std. Prod. Lead Time]]="N/A",Main[[#This Row],[Std. Prod. Lead Time]]=""), "",IF(AND(Main[[#This Row],[In Stock Date]]&lt;&gt;"",Main[[#This Row],[Revised Due Date]]&lt;&gt;"",Main[[#This Row],[In Stock Date]]&lt;&gt;""),Main[[#This Row],[In Stock Date]]-Main[[#This Row],[Revised Due Date]],""))</f>
        <v/>
      </c>
      <c r="I331" s="101" t="s">
        <v>4</v>
      </c>
      <c r="J331" s="95" t="s">
        <v>4</v>
      </c>
      <c r="K331" s="96" t="s">
        <v>4</v>
      </c>
      <c r="L331" s="85"/>
      <c r="M331" s="73" t="str">
        <f>IF(Main[[#This Row],[Tech Start Date]]&lt;1/1/1990,"",IF(Main[[#This Row],[Class]]="C",WORKDAY(Main[[#This Row],[Tech Start Date]],9),IF(Main[[#This Row],[Class]]="B", WORKDAY(Main[[#This Row],[Tech Start Date]],6),IF(Main[[#This Row],[Class]]="A",WORKDAY(Main[[#This Row],[Tech Start Date]],2),""))))</f>
        <v/>
      </c>
      <c r="N331" s="73" t="str">
        <f>IF(Main[[#This Row],[Tech Start Date]]&lt;1/1/1990,"",IF(Main[[#This Row],[Class]]="C",WORKDAY(Main[[#This Row],[Tech Start Date]],19),IF(Main[[#This Row],[Class]]="B", WORKDAY(Main[[#This Row],[Tech Start Date]],12),IF(Main[[#This Row],[Class]]="A",WORKDAY(Main[[#This Row],[Tech Start Date]],4),""))))</f>
        <v/>
      </c>
      <c r="O331" s="73" t="str">
        <f>IF(Main[[#This Row],[Tech Start Date]]&lt;1/1/1990,"",IF(Main[[#This Row],[Class]]="C",WORKDAY(Main[[#This Row],[Tech Start Date]],23),IF(Main[[#This Row],[Class]]="B", WORKDAY(Main[[#This Row],[Tech Start Date]],15),IF(Main[[#This Row],[Class]]="A",WORKDAY(Main[[#This Row],[Tech Start Date]],5),""))))</f>
        <v/>
      </c>
      <c r="P331" s="73" t="str">
        <f>IF(Main[[#This Row],[Tech Start Date]]&lt;1/1/1990,"",IF(Main[[#This Row],[Class]]="C",WORKDAY(Main[[#This Row],[Tech Start Date]],28),IF(Main[[#This Row],[Class]]="B", WORKDAY(Main[[#This Row],[Tech Start Date]],19),IF(Main[[#This Row],[Class]]="A",WORKDAY(Main[[#This Row],[Tech Start Date]],9),""))))</f>
        <v/>
      </c>
      <c r="Q331" s="85">
        <v>40291</v>
      </c>
      <c r="R331" s="112"/>
      <c r="S331" s="95" t="s">
        <v>11</v>
      </c>
      <c r="T331" s="74" t="s">
        <v>4</v>
      </c>
      <c r="U331" s="95" t="s">
        <v>12</v>
      </c>
      <c r="V331" s="95" t="s">
        <v>1912</v>
      </c>
      <c r="W331" s="95" t="s">
        <v>1916</v>
      </c>
      <c r="X331" s="95" t="s">
        <v>2844</v>
      </c>
      <c r="Y331" s="72" t="s">
        <v>4</v>
      </c>
      <c r="Z331" s="72" t="s">
        <v>4</v>
      </c>
      <c r="AA331" s="95" t="s">
        <v>2844</v>
      </c>
      <c r="AB331" s="132"/>
      <c r="AC331" s="132"/>
      <c r="AD331" s="132"/>
      <c r="AE331" s="63"/>
      <c r="AF331" s="63"/>
      <c r="AG331" s="63"/>
    </row>
    <row r="332" spans="1:33" ht="17.2" customHeight="1">
      <c r="A332" s="64" t="str">
        <f>IF(priority(Main[[#This Row],[Comments]])&lt;&gt;0, priority(Main[[#This Row],[Comments]]),"")</f>
        <v/>
      </c>
      <c r="B332" s="60" t="s">
        <v>1170</v>
      </c>
      <c r="C332" s="72" t="s">
        <v>4</v>
      </c>
      <c r="D332" s="59" t="s">
        <v>226</v>
      </c>
      <c r="E332" s="85"/>
      <c r="F332" s="85">
        <v>40574</v>
      </c>
      <c r="G332" s="64" t="str">
        <f>IF(stdProdLT(Main[[#This Row],[Comments]])=0.1,"N/A",IF(stdProdLT(Main[[#This Row],[Comments]])=0,"",TRIM(stdProdLT(Main[[#This Row],[Comments]]))))</f>
        <v/>
      </c>
      <c r="H332" s="94" t="str">
        <f>IF(OR(Main[[#This Row],[Std. Prod. Lead Time]]="N/A",Main[[#This Row],[Std. Prod. Lead Time]]=""), "",IF(AND(Main[[#This Row],[In Stock Date]]&lt;&gt;"",Main[[#This Row],[Revised Due Date]]&lt;&gt;"",Main[[#This Row],[In Stock Date]]&lt;&gt;""),Main[[#This Row],[In Stock Date]]-Main[[#This Row],[Revised Due Date]],""))</f>
        <v/>
      </c>
      <c r="I332" s="101" t="s">
        <v>4</v>
      </c>
      <c r="J332" s="95" t="s">
        <v>28</v>
      </c>
      <c r="K332" s="95" t="s">
        <v>1920</v>
      </c>
      <c r="L332" s="85"/>
      <c r="M332" s="73" t="str">
        <f>IF(Main[[#This Row],[Tech Start Date]]&lt;1/1/1990,"",IF(Main[[#This Row],[Class]]="C",WORKDAY(Main[[#This Row],[Tech Start Date]],9),IF(Main[[#This Row],[Class]]="B", WORKDAY(Main[[#This Row],[Tech Start Date]],6),IF(Main[[#This Row],[Class]]="A",WORKDAY(Main[[#This Row],[Tech Start Date]],2),""))))</f>
        <v/>
      </c>
      <c r="N332" s="73" t="str">
        <f>IF(Main[[#This Row],[Tech Start Date]]&lt;1/1/1990,"",IF(Main[[#This Row],[Class]]="C",WORKDAY(Main[[#This Row],[Tech Start Date]],19),IF(Main[[#This Row],[Class]]="B", WORKDAY(Main[[#This Row],[Tech Start Date]],12),IF(Main[[#This Row],[Class]]="A",WORKDAY(Main[[#This Row],[Tech Start Date]],4),""))))</f>
        <v/>
      </c>
      <c r="O332" s="73" t="str">
        <f>IF(Main[[#This Row],[Tech Start Date]]&lt;1/1/1990,"",IF(Main[[#This Row],[Class]]="C",WORKDAY(Main[[#This Row],[Tech Start Date]],23),IF(Main[[#This Row],[Class]]="B", WORKDAY(Main[[#This Row],[Tech Start Date]],15),IF(Main[[#This Row],[Class]]="A",WORKDAY(Main[[#This Row],[Tech Start Date]],5),""))))</f>
        <v/>
      </c>
      <c r="P332" s="73" t="str">
        <f>IF(Main[[#This Row],[Tech Start Date]]&lt;1/1/1990,"",IF(Main[[#This Row],[Class]]="C",WORKDAY(Main[[#This Row],[Tech Start Date]],28),IF(Main[[#This Row],[Class]]="B", WORKDAY(Main[[#This Row],[Tech Start Date]],19),IF(Main[[#This Row],[Class]]="A",WORKDAY(Main[[#This Row],[Tech Start Date]],9),""))))</f>
        <v/>
      </c>
      <c r="Q332" s="85">
        <v>40574</v>
      </c>
      <c r="R332" s="112"/>
      <c r="S332" s="95" t="s">
        <v>6</v>
      </c>
      <c r="T332" s="74" t="s">
        <v>4</v>
      </c>
      <c r="U332" s="95" t="s">
        <v>14</v>
      </c>
      <c r="V332" s="95" t="s">
        <v>1914</v>
      </c>
      <c r="W332" s="95" t="s">
        <v>1915</v>
      </c>
      <c r="X332" s="95" t="s">
        <v>2802</v>
      </c>
      <c r="Y332" s="72" t="s">
        <v>2916</v>
      </c>
      <c r="Z332" s="72" t="s">
        <v>530</v>
      </c>
      <c r="AA332" s="95" t="s">
        <v>2802</v>
      </c>
      <c r="AB332" s="132"/>
      <c r="AC332" s="132"/>
      <c r="AD332" s="132"/>
      <c r="AE332" s="63"/>
      <c r="AF332" s="63"/>
      <c r="AG332" s="63"/>
    </row>
    <row r="333" spans="1:33" ht="17.2" customHeight="1">
      <c r="A333" s="64" t="str">
        <f>IF(priority(Main[[#This Row],[Comments]])&lt;&gt;0, priority(Main[[#This Row],[Comments]]),"")</f>
        <v/>
      </c>
      <c r="B333" s="60" t="s">
        <v>1173</v>
      </c>
      <c r="C333" s="72" t="s">
        <v>4</v>
      </c>
      <c r="D333" s="59" t="s">
        <v>228</v>
      </c>
      <c r="E333" s="85"/>
      <c r="F333" s="85"/>
      <c r="G333" s="64" t="str">
        <f>IF(stdProdLT(Main[[#This Row],[Comments]])=0.1,"N/A",IF(stdProdLT(Main[[#This Row],[Comments]])=0,"",TRIM(stdProdLT(Main[[#This Row],[Comments]]))))</f>
        <v/>
      </c>
      <c r="H333" s="94" t="str">
        <f>IF(OR(Main[[#This Row],[Std. Prod. Lead Time]]="N/A",Main[[#This Row],[Std. Prod. Lead Time]]=""), "",IF(AND(Main[[#This Row],[In Stock Date]]&lt;&gt;"",Main[[#This Row],[Revised Due Date]]&lt;&gt;"",Main[[#This Row],[In Stock Date]]&lt;&gt;""),Main[[#This Row],[In Stock Date]]-Main[[#This Row],[Revised Due Date]],""))</f>
        <v/>
      </c>
      <c r="I333" s="101" t="s">
        <v>4</v>
      </c>
      <c r="J333" s="95" t="s">
        <v>4</v>
      </c>
      <c r="K333" s="95" t="s">
        <v>4</v>
      </c>
      <c r="L333" s="85"/>
      <c r="M333" s="73" t="str">
        <f>IF(Main[[#This Row],[Tech Start Date]]&lt;1/1/1990,"",IF(Main[[#This Row],[Class]]="C",WORKDAY(Main[[#This Row],[Tech Start Date]],9),IF(Main[[#This Row],[Class]]="B", WORKDAY(Main[[#This Row],[Tech Start Date]],6),IF(Main[[#This Row],[Class]]="A",WORKDAY(Main[[#This Row],[Tech Start Date]],2),""))))</f>
        <v/>
      </c>
      <c r="N333" s="73" t="str">
        <f>IF(Main[[#This Row],[Tech Start Date]]&lt;1/1/1990,"",IF(Main[[#This Row],[Class]]="C",WORKDAY(Main[[#This Row],[Tech Start Date]],19),IF(Main[[#This Row],[Class]]="B", WORKDAY(Main[[#This Row],[Tech Start Date]],12),IF(Main[[#This Row],[Class]]="A",WORKDAY(Main[[#This Row],[Tech Start Date]],4),""))))</f>
        <v/>
      </c>
      <c r="O333" s="73" t="str">
        <f>IF(Main[[#This Row],[Tech Start Date]]&lt;1/1/1990,"",IF(Main[[#This Row],[Class]]="C",WORKDAY(Main[[#This Row],[Tech Start Date]],23),IF(Main[[#This Row],[Class]]="B", WORKDAY(Main[[#This Row],[Tech Start Date]],15),IF(Main[[#This Row],[Class]]="A",WORKDAY(Main[[#This Row],[Tech Start Date]],5),""))))</f>
        <v/>
      </c>
      <c r="P333" s="73" t="str">
        <f>IF(Main[[#This Row],[Tech Start Date]]&lt;1/1/1990,"",IF(Main[[#This Row],[Class]]="C",WORKDAY(Main[[#This Row],[Tech Start Date]],28),IF(Main[[#This Row],[Class]]="B", WORKDAY(Main[[#This Row],[Tech Start Date]],19),IF(Main[[#This Row],[Class]]="A",WORKDAY(Main[[#This Row],[Tech Start Date]],9),""))))</f>
        <v/>
      </c>
      <c r="Q333" s="85">
        <v>40724</v>
      </c>
      <c r="R333" s="112"/>
      <c r="S333" s="95" t="s">
        <v>6</v>
      </c>
      <c r="T333" s="74" t="s">
        <v>4</v>
      </c>
      <c r="U333" s="95" t="s">
        <v>12</v>
      </c>
      <c r="V333" s="95" t="s">
        <v>1911</v>
      </c>
      <c r="W333" s="95" t="s">
        <v>1915</v>
      </c>
      <c r="X333" s="95" t="s">
        <v>877</v>
      </c>
      <c r="Y333" s="72" t="s">
        <v>2987</v>
      </c>
      <c r="Z333" s="72" t="s">
        <v>4</v>
      </c>
      <c r="AA333" s="95" t="s">
        <v>877</v>
      </c>
      <c r="AB333" s="132"/>
      <c r="AC333" s="132"/>
      <c r="AD333" s="132"/>
      <c r="AE333" s="63"/>
      <c r="AF333" s="63"/>
      <c r="AG333" s="63"/>
    </row>
    <row r="334" spans="1:33" ht="17.2" customHeight="1">
      <c r="A334" s="64" t="str">
        <f>IF(priority(Main[[#This Row],[Comments]])&lt;&gt;0, priority(Main[[#This Row],[Comments]]),"")</f>
        <v/>
      </c>
      <c r="B334" s="60" t="s">
        <v>2343</v>
      </c>
      <c r="C334" s="72" t="s">
        <v>53</v>
      </c>
      <c r="D334" s="59" t="s">
        <v>2344</v>
      </c>
      <c r="E334" s="85"/>
      <c r="F334" s="85">
        <v>40845</v>
      </c>
      <c r="G334" s="64" t="str">
        <f>IF(stdProdLT(Main[[#This Row],[Comments]])=0.1,"N/A",IF(stdProdLT(Main[[#This Row],[Comments]])=0,"",TRIM(stdProdLT(Main[[#This Row],[Comments]]))))</f>
        <v/>
      </c>
      <c r="H334" s="94" t="str">
        <f>IF(OR(Main[[#This Row],[Std. Prod. Lead Time]]="N/A",Main[[#This Row],[Std. Prod. Lead Time]]=""), "",IF(AND(Main[[#This Row],[In Stock Date]]&lt;&gt;"",Main[[#This Row],[Revised Due Date]]&lt;&gt;"",Main[[#This Row],[In Stock Date]]&lt;&gt;""),Main[[#This Row],[In Stock Date]]-Main[[#This Row],[Revised Due Date]],""))</f>
        <v/>
      </c>
      <c r="I334" s="101" t="s">
        <v>4</v>
      </c>
      <c r="J334" s="95" t="s">
        <v>28</v>
      </c>
      <c r="K334" s="95" t="s">
        <v>4</v>
      </c>
      <c r="L334" s="85"/>
      <c r="M334" s="73" t="str">
        <f>IF(Main[[#This Row],[Tech Start Date]]&lt;1/1/1990,"",IF(Main[[#This Row],[Class]]="C",WORKDAY(Main[[#This Row],[Tech Start Date]],9),IF(Main[[#This Row],[Class]]="B", WORKDAY(Main[[#This Row],[Tech Start Date]],6),IF(Main[[#This Row],[Class]]="A",WORKDAY(Main[[#This Row],[Tech Start Date]],2),""))))</f>
        <v/>
      </c>
      <c r="N334" s="73" t="str">
        <f>IF(Main[[#This Row],[Tech Start Date]]&lt;1/1/1990,"",IF(Main[[#This Row],[Class]]="C",WORKDAY(Main[[#This Row],[Tech Start Date]],19),IF(Main[[#This Row],[Class]]="B", WORKDAY(Main[[#This Row],[Tech Start Date]],12),IF(Main[[#This Row],[Class]]="A",WORKDAY(Main[[#This Row],[Tech Start Date]],4),""))))</f>
        <v/>
      </c>
      <c r="O334" s="73" t="str">
        <f>IF(Main[[#This Row],[Tech Start Date]]&lt;1/1/1990,"",IF(Main[[#This Row],[Class]]="C",WORKDAY(Main[[#This Row],[Tech Start Date]],23),IF(Main[[#This Row],[Class]]="B", WORKDAY(Main[[#This Row],[Tech Start Date]],15),IF(Main[[#This Row],[Class]]="A",WORKDAY(Main[[#This Row],[Tech Start Date]],5),""))))</f>
        <v/>
      </c>
      <c r="P334" s="73" t="str">
        <f>IF(Main[[#This Row],[Tech Start Date]]&lt;1/1/1990,"",IF(Main[[#This Row],[Class]]="C",WORKDAY(Main[[#This Row],[Tech Start Date]],28),IF(Main[[#This Row],[Class]]="B", WORKDAY(Main[[#This Row],[Tech Start Date]],19),IF(Main[[#This Row],[Class]]="A",WORKDAY(Main[[#This Row],[Tech Start Date]],9),""))))</f>
        <v/>
      </c>
      <c r="Q334" s="85">
        <v>40840</v>
      </c>
      <c r="R334" s="112"/>
      <c r="S334" s="95" t="s">
        <v>11</v>
      </c>
      <c r="T334" s="74" t="s">
        <v>2345</v>
      </c>
      <c r="U334" s="95" t="s">
        <v>12</v>
      </c>
      <c r="V334" s="95" t="s">
        <v>1912</v>
      </c>
      <c r="W334" s="95" t="s">
        <v>1913</v>
      </c>
      <c r="X334" s="95" t="s">
        <v>2243</v>
      </c>
      <c r="Y334" s="72" t="s">
        <v>4</v>
      </c>
      <c r="Z334" s="72" t="s">
        <v>2047</v>
      </c>
      <c r="AA334" s="95" t="s">
        <v>2796</v>
      </c>
      <c r="AB334" s="132"/>
      <c r="AC334" s="132"/>
      <c r="AD334" s="132"/>
      <c r="AE334" s="63"/>
      <c r="AF334" s="63"/>
      <c r="AG334" s="63"/>
    </row>
    <row r="335" spans="1:33" ht="17.2" customHeight="1">
      <c r="A335" s="64" t="str">
        <f>IF(priority(Main[[#This Row],[Comments]])&lt;&gt;0, priority(Main[[#This Row],[Comments]]),"")</f>
        <v/>
      </c>
      <c r="B335" s="60" t="s">
        <v>1176</v>
      </c>
      <c r="C335" s="72" t="s">
        <v>67</v>
      </c>
      <c r="D335" s="59" t="s">
        <v>231</v>
      </c>
      <c r="E335" s="85"/>
      <c r="F335" s="85"/>
      <c r="G335" s="64" t="str">
        <f>IF(stdProdLT(Main[[#This Row],[Comments]])=0.1,"N/A",IF(stdProdLT(Main[[#This Row],[Comments]])=0,"",TRIM(stdProdLT(Main[[#This Row],[Comments]]))))</f>
        <v/>
      </c>
      <c r="H335" s="94" t="str">
        <f>IF(OR(Main[[#This Row],[Std. Prod. Lead Time]]="N/A",Main[[#This Row],[Std. Prod. Lead Time]]=""), "",IF(AND(Main[[#This Row],[In Stock Date]]&lt;&gt;"",Main[[#This Row],[Revised Due Date]]&lt;&gt;"",Main[[#This Row],[In Stock Date]]&lt;&gt;""),Main[[#This Row],[In Stock Date]]-Main[[#This Row],[Revised Due Date]],""))</f>
        <v/>
      </c>
      <c r="I335" s="101" t="s">
        <v>4</v>
      </c>
      <c r="J335" s="95" t="s">
        <v>4</v>
      </c>
      <c r="K335" s="95" t="s">
        <v>4</v>
      </c>
      <c r="L335" s="85"/>
      <c r="M335" s="73" t="str">
        <f>IF(Main[[#This Row],[Tech Start Date]]&lt;1/1/1990,"",IF(Main[[#This Row],[Class]]="C",WORKDAY(Main[[#This Row],[Tech Start Date]],9),IF(Main[[#This Row],[Class]]="B", WORKDAY(Main[[#This Row],[Tech Start Date]],6),IF(Main[[#This Row],[Class]]="A",WORKDAY(Main[[#This Row],[Tech Start Date]],2),""))))</f>
        <v/>
      </c>
      <c r="N335" s="73" t="str">
        <f>IF(Main[[#This Row],[Tech Start Date]]&lt;1/1/1990,"",IF(Main[[#This Row],[Class]]="C",WORKDAY(Main[[#This Row],[Tech Start Date]],19),IF(Main[[#This Row],[Class]]="B", WORKDAY(Main[[#This Row],[Tech Start Date]],12),IF(Main[[#This Row],[Class]]="A",WORKDAY(Main[[#This Row],[Tech Start Date]],4),""))))</f>
        <v/>
      </c>
      <c r="O335" s="73" t="str">
        <f>IF(Main[[#This Row],[Tech Start Date]]&lt;1/1/1990,"",IF(Main[[#This Row],[Class]]="C",WORKDAY(Main[[#This Row],[Tech Start Date]],23),IF(Main[[#This Row],[Class]]="B", WORKDAY(Main[[#This Row],[Tech Start Date]],15),IF(Main[[#This Row],[Class]]="A",WORKDAY(Main[[#This Row],[Tech Start Date]],5),""))))</f>
        <v/>
      </c>
      <c r="P335" s="73" t="str">
        <f>IF(Main[[#This Row],[Tech Start Date]]&lt;1/1/1990,"",IF(Main[[#This Row],[Class]]="C",WORKDAY(Main[[#This Row],[Tech Start Date]],28),IF(Main[[#This Row],[Class]]="B", WORKDAY(Main[[#This Row],[Tech Start Date]],19),IF(Main[[#This Row],[Class]]="A",WORKDAY(Main[[#This Row],[Tech Start Date]],9),""))))</f>
        <v/>
      </c>
      <c r="Q335" s="85">
        <v>40466</v>
      </c>
      <c r="R335" s="112"/>
      <c r="S335" s="95" t="s">
        <v>17</v>
      </c>
      <c r="T335" s="74" t="s">
        <v>4</v>
      </c>
      <c r="U335" s="95" t="s">
        <v>14</v>
      </c>
      <c r="V335" s="95" t="s">
        <v>1914</v>
      </c>
      <c r="W335" s="95" t="s">
        <v>1919</v>
      </c>
      <c r="X335" s="95" t="s">
        <v>415</v>
      </c>
      <c r="Y335" s="72" t="s">
        <v>2927</v>
      </c>
      <c r="Z335" s="72" t="s">
        <v>415</v>
      </c>
      <c r="AA335" s="95" t="s">
        <v>415</v>
      </c>
      <c r="AB335" s="132"/>
      <c r="AC335" s="132"/>
      <c r="AD335" s="132"/>
      <c r="AE335" s="63"/>
      <c r="AF335" s="63"/>
      <c r="AG335" s="63"/>
    </row>
    <row r="336" spans="1:33" ht="17.2" customHeight="1">
      <c r="A336" s="64" t="str">
        <f>IF(priority(Main[[#This Row],[Comments]])&lt;&gt;0, priority(Main[[#This Row],[Comments]]),"")</f>
        <v/>
      </c>
      <c r="B336" s="60" t="s">
        <v>1177</v>
      </c>
      <c r="C336" s="72" t="s">
        <v>72</v>
      </c>
      <c r="D336" s="59" t="s">
        <v>223</v>
      </c>
      <c r="E336" s="85"/>
      <c r="F336" s="85">
        <v>40391</v>
      </c>
      <c r="G336" s="64" t="str">
        <f>IF(stdProdLT(Main[[#This Row],[Comments]])=0.1,"N/A",IF(stdProdLT(Main[[#This Row],[Comments]])=0,"",TRIM(stdProdLT(Main[[#This Row],[Comments]]))))</f>
        <v/>
      </c>
      <c r="H336" s="94" t="str">
        <f>IF(OR(Main[[#This Row],[Std. Prod. Lead Time]]="N/A",Main[[#This Row],[Std. Prod. Lead Time]]=""), "",IF(AND(Main[[#This Row],[In Stock Date]]&lt;&gt;"",Main[[#This Row],[Revised Due Date]]&lt;&gt;"",Main[[#This Row],[In Stock Date]]&lt;&gt;""),Main[[#This Row],[In Stock Date]]-Main[[#This Row],[Revised Due Date]],""))</f>
        <v/>
      </c>
      <c r="I336" s="101" t="s">
        <v>4</v>
      </c>
      <c r="J336" s="95" t="s">
        <v>4</v>
      </c>
      <c r="K336" s="95" t="s">
        <v>4</v>
      </c>
      <c r="L336" s="85"/>
      <c r="M336" s="73" t="str">
        <f>IF(Main[[#This Row],[Tech Start Date]]&lt;1/1/1990,"",IF(Main[[#This Row],[Class]]="C",WORKDAY(Main[[#This Row],[Tech Start Date]],9),IF(Main[[#This Row],[Class]]="B", WORKDAY(Main[[#This Row],[Tech Start Date]],6),IF(Main[[#This Row],[Class]]="A",WORKDAY(Main[[#This Row],[Tech Start Date]],2),""))))</f>
        <v/>
      </c>
      <c r="N336" s="73" t="str">
        <f>IF(Main[[#This Row],[Tech Start Date]]&lt;1/1/1990,"",IF(Main[[#This Row],[Class]]="C",WORKDAY(Main[[#This Row],[Tech Start Date]],19),IF(Main[[#This Row],[Class]]="B", WORKDAY(Main[[#This Row],[Tech Start Date]],12),IF(Main[[#This Row],[Class]]="A",WORKDAY(Main[[#This Row],[Tech Start Date]],4),""))))</f>
        <v/>
      </c>
      <c r="O336" s="73" t="str">
        <f>IF(Main[[#This Row],[Tech Start Date]]&lt;1/1/1990,"",IF(Main[[#This Row],[Class]]="C",WORKDAY(Main[[#This Row],[Tech Start Date]],23),IF(Main[[#This Row],[Class]]="B", WORKDAY(Main[[#This Row],[Tech Start Date]],15),IF(Main[[#This Row],[Class]]="A",WORKDAY(Main[[#This Row],[Tech Start Date]],5),""))))</f>
        <v/>
      </c>
      <c r="P336" s="73" t="str">
        <f>IF(Main[[#This Row],[Tech Start Date]]&lt;1/1/1990,"",IF(Main[[#This Row],[Class]]="C",WORKDAY(Main[[#This Row],[Tech Start Date]],28),IF(Main[[#This Row],[Class]]="B", WORKDAY(Main[[#This Row],[Tech Start Date]],19),IF(Main[[#This Row],[Class]]="A",WORKDAY(Main[[#This Row],[Tech Start Date]],9),""))))</f>
        <v/>
      </c>
      <c r="Q336" s="85">
        <v>40291</v>
      </c>
      <c r="R336" s="112"/>
      <c r="S336" s="95" t="s">
        <v>11</v>
      </c>
      <c r="T336" s="74" t="s">
        <v>4</v>
      </c>
      <c r="U336" s="95" t="s">
        <v>12</v>
      </c>
      <c r="V336" s="95" t="s">
        <v>1912</v>
      </c>
      <c r="W336" s="95" t="s">
        <v>1916</v>
      </c>
      <c r="X336" s="95" t="s">
        <v>2844</v>
      </c>
      <c r="Y336" s="72" t="s">
        <v>4</v>
      </c>
      <c r="Z336" s="72" t="s">
        <v>4</v>
      </c>
      <c r="AA336" s="95" t="s">
        <v>2844</v>
      </c>
      <c r="AB336" s="132"/>
      <c r="AC336" s="132"/>
      <c r="AD336" s="132"/>
      <c r="AE336" s="63"/>
      <c r="AF336" s="63"/>
      <c r="AG336" s="63"/>
    </row>
    <row r="337" spans="1:33" ht="17.2" customHeight="1">
      <c r="A337" s="64" t="str">
        <f>IF(priority(Main[[#This Row],[Comments]])&lt;&gt;0, priority(Main[[#This Row],[Comments]]),"")</f>
        <v/>
      </c>
      <c r="B337" s="60" t="s">
        <v>1219</v>
      </c>
      <c r="C337" s="72" t="s">
        <v>4</v>
      </c>
      <c r="D337" s="59" t="s">
        <v>279</v>
      </c>
      <c r="E337" s="85"/>
      <c r="F337" s="85"/>
      <c r="G337" s="64" t="str">
        <f>IF(stdProdLT(Main[[#This Row],[Comments]])=0.1,"N/A",IF(stdProdLT(Main[[#This Row],[Comments]])=0,"",TRIM(stdProdLT(Main[[#This Row],[Comments]]))))</f>
        <v/>
      </c>
      <c r="H337" s="94" t="str">
        <f>IF(OR(Main[[#This Row],[Std. Prod. Lead Time]]="N/A",Main[[#This Row],[Std. Prod. Lead Time]]=""), "",IF(AND(Main[[#This Row],[In Stock Date]]&lt;&gt;"",Main[[#This Row],[Revised Due Date]]&lt;&gt;"",Main[[#This Row],[In Stock Date]]&lt;&gt;""),Main[[#This Row],[In Stock Date]]-Main[[#This Row],[Revised Due Date]],""))</f>
        <v/>
      </c>
      <c r="I337" s="101" t="s">
        <v>4</v>
      </c>
      <c r="J337" s="95" t="s">
        <v>4</v>
      </c>
      <c r="K337" s="95" t="s">
        <v>4</v>
      </c>
      <c r="L337" s="85"/>
      <c r="M337" s="73" t="str">
        <f>IF(Main[[#This Row],[Tech Start Date]]&lt;1/1/1990,"",IF(Main[[#This Row],[Class]]="C",WORKDAY(Main[[#This Row],[Tech Start Date]],9),IF(Main[[#This Row],[Class]]="B", WORKDAY(Main[[#This Row],[Tech Start Date]],6),IF(Main[[#This Row],[Class]]="A",WORKDAY(Main[[#This Row],[Tech Start Date]],2),""))))</f>
        <v/>
      </c>
      <c r="N337" s="73" t="str">
        <f>IF(Main[[#This Row],[Tech Start Date]]&lt;1/1/1990,"",IF(Main[[#This Row],[Class]]="C",WORKDAY(Main[[#This Row],[Tech Start Date]],19),IF(Main[[#This Row],[Class]]="B", WORKDAY(Main[[#This Row],[Tech Start Date]],12),IF(Main[[#This Row],[Class]]="A",WORKDAY(Main[[#This Row],[Tech Start Date]],4),""))))</f>
        <v/>
      </c>
      <c r="O337" s="73" t="str">
        <f>IF(Main[[#This Row],[Tech Start Date]]&lt;1/1/1990,"",IF(Main[[#This Row],[Class]]="C",WORKDAY(Main[[#This Row],[Tech Start Date]],23),IF(Main[[#This Row],[Class]]="B", WORKDAY(Main[[#This Row],[Tech Start Date]],15),IF(Main[[#This Row],[Class]]="A",WORKDAY(Main[[#This Row],[Tech Start Date]],5),""))))</f>
        <v/>
      </c>
      <c r="P337" s="73" t="str">
        <f>IF(Main[[#This Row],[Tech Start Date]]&lt;1/1/1990,"",IF(Main[[#This Row],[Class]]="C",WORKDAY(Main[[#This Row],[Tech Start Date]],28),IF(Main[[#This Row],[Class]]="B", WORKDAY(Main[[#This Row],[Tech Start Date]],19),IF(Main[[#This Row],[Class]]="A",WORKDAY(Main[[#This Row],[Tech Start Date]],9),""))))</f>
        <v/>
      </c>
      <c r="Q337" s="85"/>
      <c r="R337" s="112"/>
      <c r="S337" s="95" t="s">
        <v>23</v>
      </c>
      <c r="T337" s="74" t="s">
        <v>4</v>
      </c>
      <c r="U337" s="95" t="s">
        <v>12</v>
      </c>
      <c r="V337" s="95" t="s">
        <v>1911</v>
      </c>
      <c r="W337" s="95" t="s">
        <v>1915</v>
      </c>
      <c r="X337" s="95" t="s">
        <v>399</v>
      </c>
      <c r="Y337" s="72" t="s">
        <v>4</v>
      </c>
      <c r="Z337" s="72" t="s">
        <v>4</v>
      </c>
      <c r="AA337" s="95" t="s">
        <v>3339</v>
      </c>
      <c r="AB337" s="132"/>
      <c r="AC337" s="132"/>
      <c r="AD337" s="132"/>
      <c r="AE337" s="63"/>
      <c r="AF337" s="63"/>
      <c r="AG337" s="63"/>
    </row>
    <row r="338" spans="1:33" ht="17.2" customHeight="1">
      <c r="A338" s="64" t="str">
        <f>IF(priority(Main[[#This Row],[Comments]])&lt;&gt;0, priority(Main[[#This Row],[Comments]]),"")</f>
        <v/>
      </c>
      <c r="B338" s="60" t="s">
        <v>1220</v>
      </c>
      <c r="C338" s="72" t="s">
        <v>31</v>
      </c>
      <c r="D338" s="59" t="s">
        <v>280</v>
      </c>
      <c r="E338" s="85"/>
      <c r="F338" s="85"/>
      <c r="G338" s="64" t="str">
        <f>IF(stdProdLT(Main[[#This Row],[Comments]])=0.1,"N/A",IF(stdProdLT(Main[[#This Row],[Comments]])=0,"",TRIM(stdProdLT(Main[[#This Row],[Comments]]))))</f>
        <v/>
      </c>
      <c r="H338" s="94" t="str">
        <f>IF(OR(Main[[#This Row],[Std. Prod. Lead Time]]="N/A",Main[[#This Row],[Std. Prod. Lead Time]]=""), "",IF(AND(Main[[#This Row],[In Stock Date]]&lt;&gt;"",Main[[#This Row],[Revised Due Date]]&lt;&gt;"",Main[[#This Row],[In Stock Date]]&lt;&gt;""),Main[[#This Row],[In Stock Date]]-Main[[#This Row],[Revised Due Date]],""))</f>
        <v/>
      </c>
      <c r="I338" s="101" t="s">
        <v>4</v>
      </c>
      <c r="J338" s="95" t="s">
        <v>4</v>
      </c>
      <c r="K338" s="95" t="s">
        <v>4</v>
      </c>
      <c r="L338" s="85"/>
      <c r="M338" s="73" t="str">
        <f>IF(Main[[#This Row],[Tech Start Date]]&lt;1/1/1990,"",IF(Main[[#This Row],[Class]]="C",WORKDAY(Main[[#This Row],[Tech Start Date]],9),IF(Main[[#This Row],[Class]]="B", WORKDAY(Main[[#This Row],[Tech Start Date]],6),IF(Main[[#This Row],[Class]]="A",WORKDAY(Main[[#This Row],[Tech Start Date]],2),""))))</f>
        <v/>
      </c>
      <c r="N338" s="73" t="str">
        <f>IF(Main[[#This Row],[Tech Start Date]]&lt;1/1/1990,"",IF(Main[[#This Row],[Class]]="C",WORKDAY(Main[[#This Row],[Tech Start Date]],19),IF(Main[[#This Row],[Class]]="B", WORKDAY(Main[[#This Row],[Tech Start Date]],12),IF(Main[[#This Row],[Class]]="A",WORKDAY(Main[[#This Row],[Tech Start Date]],4),""))))</f>
        <v/>
      </c>
      <c r="O338" s="73" t="str">
        <f>IF(Main[[#This Row],[Tech Start Date]]&lt;1/1/1990,"",IF(Main[[#This Row],[Class]]="C",WORKDAY(Main[[#This Row],[Tech Start Date]],23),IF(Main[[#This Row],[Class]]="B", WORKDAY(Main[[#This Row],[Tech Start Date]],15),IF(Main[[#This Row],[Class]]="A",WORKDAY(Main[[#This Row],[Tech Start Date]],5),""))))</f>
        <v/>
      </c>
      <c r="P338" s="73" t="str">
        <f>IF(Main[[#This Row],[Tech Start Date]]&lt;1/1/1990,"",IF(Main[[#This Row],[Class]]="C",WORKDAY(Main[[#This Row],[Tech Start Date]],28),IF(Main[[#This Row],[Class]]="B", WORKDAY(Main[[#This Row],[Tech Start Date]],19),IF(Main[[#This Row],[Class]]="A",WORKDAY(Main[[#This Row],[Tech Start Date]],9),""))))</f>
        <v/>
      </c>
      <c r="Q338" s="85">
        <v>40318</v>
      </c>
      <c r="R338" s="112"/>
      <c r="S338" s="95" t="s">
        <v>11</v>
      </c>
      <c r="T338" s="74" t="s">
        <v>4</v>
      </c>
      <c r="U338" s="95" t="s">
        <v>14</v>
      </c>
      <c r="V338" s="95" t="s">
        <v>1921</v>
      </c>
      <c r="W338" s="95" t="s">
        <v>1913</v>
      </c>
      <c r="X338" s="95" t="s">
        <v>2810</v>
      </c>
      <c r="Y338" s="72" t="s">
        <v>4</v>
      </c>
      <c r="Z338" s="72" t="s">
        <v>4</v>
      </c>
      <c r="AA338" s="95" t="s">
        <v>2810</v>
      </c>
      <c r="AB338" s="132"/>
      <c r="AC338" s="132"/>
      <c r="AD338" s="132"/>
      <c r="AE338" s="63"/>
      <c r="AF338" s="63"/>
      <c r="AG338" s="63"/>
    </row>
    <row r="339" spans="1:33" ht="17.2" customHeight="1">
      <c r="A339" s="64" t="str">
        <f>IF(priority(Main[[#This Row],[Comments]])&lt;&gt;0, priority(Main[[#This Row],[Comments]]),"")</f>
        <v/>
      </c>
      <c r="B339" s="60" t="s">
        <v>1821</v>
      </c>
      <c r="C339" s="72" t="s">
        <v>79</v>
      </c>
      <c r="D339" s="59" t="s">
        <v>874</v>
      </c>
      <c r="E339" s="85">
        <v>40072.658055555556</v>
      </c>
      <c r="F339" s="85">
        <v>40157</v>
      </c>
      <c r="G339" s="64" t="str">
        <f>IF(stdProdLT(Main[[#This Row],[Comments]])=0.1,"N/A",IF(stdProdLT(Main[[#This Row],[Comments]])=0,"",TRIM(stdProdLT(Main[[#This Row],[Comments]]))))</f>
        <v/>
      </c>
      <c r="H339" s="94" t="str">
        <f>IF(OR(Main[[#This Row],[Std. Prod. Lead Time]]="N/A",Main[[#This Row],[Std. Prod. Lead Time]]=""), "",IF(AND(Main[[#This Row],[In Stock Date]]&lt;&gt;"",Main[[#This Row],[Revised Due Date]]&lt;&gt;"",Main[[#This Row],[In Stock Date]]&lt;&gt;""),Main[[#This Row],[In Stock Date]]-Main[[#This Row],[Revised Due Date]],""))</f>
        <v/>
      </c>
      <c r="I339" s="101" t="s">
        <v>4</v>
      </c>
      <c r="J339" s="95" t="s">
        <v>4</v>
      </c>
      <c r="K339" s="95" t="s">
        <v>1923</v>
      </c>
      <c r="L339" s="85"/>
      <c r="M339" s="73" t="str">
        <f>IF(Main[[#This Row],[Tech Start Date]]&lt;1/1/1990,"",IF(Main[[#This Row],[Class]]="C",WORKDAY(Main[[#This Row],[Tech Start Date]],9),IF(Main[[#This Row],[Class]]="B", WORKDAY(Main[[#This Row],[Tech Start Date]],6),IF(Main[[#This Row],[Class]]="A",WORKDAY(Main[[#This Row],[Tech Start Date]],2),""))))</f>
        <v/>
      </c>
      <c r="N339" s="73" t="str">
        <f>IF(Main[[#This Row],[Tech Start Date]]&lt;1/1/1990,"",IF(Main[[#This Row],[Class]]="C",WORKDAY(Main[[#This Row],[Tech Start Date]],19),IF(Main[[#This Row],[Class]]="B", WORKDAY(Main[[#This Row],[Tech Start Date]],12),IF(Main[[#This Row],[Class]]="A",WORKDAY(Main[[#This Row],[Tech Start Date]],4),""))))</f>
        <v/>
      </c>
      <c r="O339" s="73" t="str">
        <f>IF(Main[[#This Row],[Tech Start Date]]&lt;1/1/1990,"",IF(Main[[#This Row],[Class]]="C",WORKDAY(Main[[#This Row],[Tech Start Date]],23),IF(Main[[#This Row],[Class]]="B", WORKDAY(Main[[#This Row],[Tech Start Date]],15),IF(Main[[#This Row],[Class]]="A",WORKDAY(Main[[#This Row],[Tech Start Date]],5),""))))</f>
        <v/>
      </c>
      <c r="P339" s="73" t="str">
        <f>IF(Main[[#This Row],[Tech Start Date]]&lt;1/1/1990,"",IF(Main[[#This Row],[Class]]="C",WORKDAY(Main[[#This Row],[Tech Start Date]],28),IF(Main[[#This Row],[Class]]="B", WORKDAY(Main[[#This Row],[Tech Start Date]],19),IF(Main[[#This Row],[Class]]="A",WORKDAY(Main[[#This Row],[Tech Start Date]],9),""))))</f>
        <v/>
      </c>
      <c r="Q339" s="85">
        <v>40117</v>
      </c>
      <c r="R339" s="112">
        <v>40328</v>
      </c>
      <c r="S339" s="95" t="s">
        <v>17</v>
      </c>
      <c r="T339" s="74" t="s">
        <v>4</v>
      </c>
      <c r="U339" s="95" t="s">
        <v>29</v>
      </c>
      <c r="V339" s="95" t="s">
        <v>1912</v>
      </c>
      <c r="W339" s="95" t="s">
        <v>1916</v>
      </c>
      <c r="X339" s="95" t="s">
        <v>2841</v>
      </c>
      <c r="Y339" s="72" t="s">
        <v>2934</v>
      </c>
      <c r="Z339" s="72" t="s">
        <v>4</v>
      </c>
      <c r="AA339" s="95" t="s">
        <v>2841</v>
      </c>
      <c r="AB339" s="132"/>
      <c r="AC339" s="132"/>
      <c r="AD339" s="132"/>
      <c r="AE339" s="63"/>
      <c r="AF339" s="63"/>
      <c r="AG339" s="63"/>
    </row>
    <row r="340" spans="1:33" ht="17.2" customHeight="1">
      <c r="A340" s="64" t="str">
        <f>IF(priority(Main[[#This Row],[Comments]])&lt;&gt;0, priority(Main[[#This Row],[Comments]]),"")</f>
        <v/>
      </c>
      <c r="B340" s="60" t="s">
        <v>1223</v>
      </c>
      <c r="C340" s="72" t="s">
        <v>169</v>
      </c>
      <c r="D340" s="59" t="s">
        <v>232</v>
      </c>
      <c r="E340" s="85"/>
      <c r="F340" s="85">
        <v>40237</v>
      </c>
      <c r="G340" s="64" t="str">
        <f>IF(stdProdLT(Main[[#This Row],[Comments]])=0.1,"N/A",IF(stdProdLT(Main[[#This Row],[Comments]])=0,"",TRIM(stdProdLT(Main[[#This Row],[Comments]]))))</f>
        <v/>
      </c>
      <c r="H340" s="94" t="str">
        <f>IF(OR(Main[[#This Row],[Std. Prod. Lead Time]]="N/A",Main[[#This Row],[Std. Prod. Lead Time]]=""), "",IF(AND(Main[[#This Row],[In Stock Date]]&lt;&gt;"",Main[[#This Row],[Revised Due Date]]&lt;&gt;"",Main[[#This Row],[In Stock Date]]&lt;&gt;""),Main[[#This Row],[In Stock Date]]-Main[[#This Row],[Revised Due Date]],""))</f>
        <v/>
      </c>
      <c r="I340" s="101" t="s">
        <v>4</v>
      </c>
      <c r="J340" s="95" t="s">
        <v>4</v>
      </c>
      <c r="K340" s="95" t="s">
        <v>4</v>
      </c>
      <c r="L340" s="85"/>
      <c r="M340" s="73" t="str">
        <f>IF(Main[[#This Row],[Tech Start Date]]&lt;1/1/1990,"",IF(Main[[#This Row],[Class]]="C",WORKDAY(Main[[#This Row],[Tech Start Date]],9),IF(Main[[#This Row],[Class]]="B", WORKDAY(Main[[#This Row],[Tech Start Date]],6),IF(Main[[#This Row],[Class]]="A",WORKDAY(Main[[#This Row],[Tech Start Date]],2),""))))</f>
        <v/>
      </c>
      <c r="N340" s="73" t="str">
        <f>IF(Main[[#This Row],[Tech Start Date]]&lt;1/1/1990,"",IF(Main[[#This Row],[Class]]="C",WORKDAY(Main[[#This Row],[Tech Start Date]],19),IF(Main[[#This Row],[Class]]="B", WORKDAY(Main[[#This Row],[Tech Start Date]],12),IF(Main[[#This Row],[Class]]="A",WORKDAY(Main[[#This Row],[Tech Start Date]],4),""))))</f>
        <v/>
      </c>
      <c r="O340" s="73" t="str">
        <f>IF(Main[[#This Row],[Tech Start Date]]&lt;1/1/1990,"",IF(Main[[#This Row],[Class]]="C",WORKDAY(Main[[#This Row],[Tech Start Date]],23),IF(Main[[#This Row],[Class]]="B", WORKDAY(Main[[#This Row],[Tech Start Date]],15),IF(Main[[#This Row],[Class]]="A",WORKDAY(Main[[#This Row],[Tech Start Date]],5),""))))</f>
        <v/>
      </c>
      <c r="P340" s="73" t="str">
        <f>IF(Main[[#This Row],[Tech Start Date]]&lt;1/1/1990,"",IF(Main[[#This Row],[Class]]="C",WORKDAY(Main[[#This Row],[Tech Start Date]],28),IF(Main[[#This Row],[Class]]="B", WORKDAY(Main[[#This Row],[Tech Start Date]],19),IF(Main[[#This Row],[Class]]="A",WORKDAY(Main[[#This Row],[Tech Start Date]],9),""))))</f>
        <v/>
      </c>
      <c r="Q340" s="85">
        <v>40132</v>
      </c>
      <c r="R340" s="112"/>
      <c r="S340" s="95" t="s">
        <v>11</v>
      </c>
      <c r="T340" s="74" t="s">
        <v>4</v>
      </c>
      <c r="U340" s="95" t="s">
        <v>14</v>
      </c>
      <c r="V340" s="95" t="s">
        <v>1911</v>
      </c>
      <c r="W340" s="95" t="s">
        <v>1916</v>
      </c>
      <c r="X340" s="95" t="s">
        <v>2838</v>
      </c>
      <c r="Y340" s="72" t="s">
        <v>4</v>
      </c>
      <c r="Z340" s="72" t="s">
        <v>4</v>
      </c>
      <c r="AA340" s="95" t="s">
        <v>2838</v>
      </c>
      <c r="AB340" s="132"/>
      <c r="AC340" s="132"/>
      <c r="AD340" s="132"/>
      <c r="AE340" s="63"/>
      <c r="AF340" s="63"/>
      <c r="AG340" s="63"/>
    </row>
    <row r="341" spans="1:33" ht="17.2" customHeight="1">
      <c r="A341" s="64" t="str">
        <f>IF(priority(Main[[#This Row],[Comments]])&lt;&gt;0, priority(Main[[#This Row],[Comments]]),"")</f>
        <v/>
      </c>
      <c r="B341" s="60" t="s">
        <v>1224</v>
      </c>
      <c r="C341" s="72" t="s">
        <v>4</v>
      </c>
      <c r="D341" s="59" t="s">
        <v>233</v>
      </c>
      <c r="E341" s="85">
        <v>40403.488668981481</v>
      </c>
      <c r="F341" s="85"/>
      <c r="G341" s="64" t="str">
        <f>IF(stdProdLT(Main[[#This Row],[Comments]])=0.1,"N/A",IF(stdProdLT(Main[[#This Row],[Comments]])=0,"",TRIM(stdProdLT(Main[[#This Row],[Comments]]))))</f>
        <v/>
      </c>
      <c r="H341" s="94" t="str">
        <f>IF(OR(Main[[#This Row],[Std. Prod. Lead Time]]="N/A",Main[[#This Row],[Std. Prod. Lead Time]]=""), "",IF(AND(Main[[#This Row],[In Stock Date]]&lt;&gt;"",Main[[#This Row],[Revised Due Date]]&lt;&gt;"",Main[[#This Row],[In Stock Date]]&lt;&gt;""),Main[[#This Row],[In Stock Date]]-Main[[#This Row],[Revised Due Date]],""))</f>
        <v/>
      </c>
      <c r="I341" s="101" t="s">
        <v>129</v>
      </c>
      <c r="J341" s="95" t="s">
        <v>28</v>
      </c>
      <c r="K341" s="95" t="s">
        <v>4</v>
      </c>
      <c r="L341" s="85"/>
      <c r="M341" s="73" t="str">
        <f>IF(Main[[#This Row],[Tech Start Date]]&lt;1/1/1990,"",IF(Main[[#This Row],[Class]]="C",WORKDAY(Main[[#This Row],[Tech Start Date]],9),IF(Main[[#This Row],[Class]]="B", WORKDAY(Main[[#This Row],[Tech Start Date]],6),IF(Main[[#This Row],[Class]]="A",WORKDAY(Main[[#This Row],[Tech Start Date]],2),""))))</f>
        <v/>
      </c>
      <c r="N341" s="73" t="str">
        <f>IF(Main[[#This Row],[Tech Start Date]]&lt;1/1/1990,"",IF(Main[[#This Row],[Class]]="C",WORKDAY(Main[[#This Row],[Tech Start Date]],19),IF(Main[[#This Row],[Class]]="B", WORKDAY(Main[[#This Row],[Tech Start Date]],12),IF(Main[[#This Row],[Class]]="A",WORKDAY(Main[[#This Row],[Tech Start Date]],4),""))))</f>
        <v/>
      </c>
      <c r="O341" s="73" t="str">
        <f>IF(Main[[#This Row],[Tech Start Date]]&lt;1/1/1990,"",IF(Main[[#This Row],[Class]]="C",WORKDAY(Main[[#This Row],[Tech Start Date]],23),IF(Main[[#This Row],[Class]]="B", WORKDAY(Main[[#This Row],[Tech Start Date]],15),IF(Main[[#This Row],[Class]]="A",WORKDAY(Main[[#This Row],[Tech Start Date]],5),""))))</f>
        <v/>
      </c>
      <c r="P341" s="73" t="str">
        <f>IF(Main[[#This Row],[Tech Start Date]]&lt;1/1/1990,"",IF(Main[[#This Row],[Class]]="C",WORKDAY(Main[[#This Row],[Tech Start Date]],28),IF(Main[[#This Row],[Class]]="B", WORKDAY(Main[[#This Row],[Tech Start Date]],19),IF(Main[[#This Row],[Class]]="A",WORKDAY(Main[[#This Row],[Tech Start Date]],9),""))))</f>
        <v/>
      </c>
      <c r="Q341" s="85">
        <v>40438</v>
      </c>
      <c r="R341" s="112"/>
      <c r="S341" s="95" t="s">
        <v>6</v>
      </c>
      <c r="T341" s="74" t="s">
        <v>4</v>
      </c>
      <c r="U341" s="95" t="s">
        <v>7</v>
      </c>
      <c r="V341" s="95" t="s">
        <v>1911</v>
      </c>
      <c r="W341" s="95" t="s">
        <v>1915</v>
      </c>
      <c r="X341" s="95" t="s">
        <v>2798</v>
      </c>
      <c r="Y341" s="72" t="s">
        <v>2908</v>
      </c>
      <c r="Z341" s="72" t="s">
        <v>129</v>
      </c>
      <c r="AA341" s="95" t="s">
        <v>2798</v>
      </c>
      <c r="AB341" s="132"/>
      <c r="AC341" s="132"/>
      <c r="AD341" s="132"/>
      <c r="AE341" s="63"/>
      <c r="AF341" s="63"/>
      <c r="AG341" s="63"/>
    </row>
    <row r="342" spans="1:33" ht="17.2" customHeight="1">
      <c r="A342" s="64" t="str">
        <f>IF(priority(Main[[#This Row],[Comments]])&lt;&gt;0, priority(Main[[#This Row],[Comments]]),"")</f>
        <v/>
      </c>
      <c r="B342" s="60" t="s">
        <v>1178</v>
      </c>
      <c r="C342" s="72" t="s">
        <v>234</v>
      </c>
      <c r="D342" s="59" t="s">
        <v>235</v>
      </c>
      <c r="E342" s="85"/>
      <c r="F342" s="85"/>
      <c r="G342" s="64" t="str">
        <f>IF(stdProdLT(Main[[#This Row],[Comments]])=0.1,"N/A",IF(stdProdLT(Main[[#This Row],[Comments]])=0,"",TRIM(stdProdLT(Main[[#This Row],[Comments]]))))</f>
        <v/>
      </c>
      <c r="H342" s="94" t="str">
        <f>IF(OR(Main[[#This Row],[Std. Prod. Lead Time]]="N/A",Main[[#This Row],[Std. Prod. Lead Time]]=""), "",IF(AND(Main[[#This Row],[In Stock Date]]&lt;&gt;"",Main[[#This Row],[Revised Due Date]]&lt;&gt;"",Main[[#This Row],[In Stock Date]]&lt;&gt;""),Main[[#This Row],[In Stock Date]]-Main[[#This Row],[Revised Due Date]],""))</f>
        <v/>
      </c>
      <c r="I342" s="101" t="s">
        <v>4</v>
      </c>
      <c r="J342" s="95" t="s">
        <v>4</v>
      </c>
      <c r="K342" s="95" t="s">
        <v>4</v>
      </c>
      <c r="L342" s="85"/>
      <c r="M342" s="73" t="str">
        <f>IF(Main[[#This Row],[Tech Start Date]]&lt;1/1/1990,"",IF(Main[[#This Row],[Class]]="C",WORKDAY(Main[[#This Row],[Tech Start Date]],9),IF(Main[[#This Row],[Class]]="B", WORKDAY(Main[[#This Row],[Tech Start Date]],6),IF(Main[[#This Row],[Class]]="A",WORKDAY(Main[[#This Row],[Tech Start Date]],2),""))))</f>
        <v/>
      </c>
      <c r="N342" s="73" t="str">
        <f>IF(Main[[#This Row],[Tech Start Date]]&lt;1/1/1990,"",IF(Main[[#This Row],[Class]]="C",WORKDAY(Main[[#This Row],[Tech Start Date]],19),IF(Main[[#This Row],[Class]]="B", WORKDAY(Main[[#This Row],[Tech Start Date]],12),IF(Main[[#This Row],[Class]]="A",WORKDAY(Main[[#This Row],[Tech Start Date]],4),""))))</f>
        <v/>
      </c>
      <c r="O342" s="73" t="str">
        <f>IF(Main[[#This Row],[Tech Start Date]]&lt;1/1/1990,"",IF(Main[[#This Row],[Class]]="C",WORKDAY(Main[[#This Row],[Tech Start Date]],23),IF(Main[[#This Row],[Class]]="B", WORKDAY(Main[[#This Row],[Tech Start Date]],15),IF(Main[[#This Row],[Class]]="A",WORKDAY(Main[[#This Row],[Tech Start Date]],5),""))))</f>
        <v/>
      </c>
      <c r="P342" s="73" t="str">
        <f>IF(Main[[#This Row],[Tech Start Date]]&lt;1/1/1990,"",IF(Main[[#This Row],[Class]]="C",WORKDAY(Main[[#This Row],[Tech Start Date]],28),IF(Main[[#This Row],[Class]]="B", WORKDAY(Main[[#This Row],[Tech Start Date]],19),IF(Main[[#This Row],[Class]]="A",WORKDAY(Main[[#This Row],[Tech Start Date]],9),""))))</f>
        <v/>
      </c>
      <c r="Q342" s="85">
        <v>40204</v>
      </c>
      <c r="R342" s="112"/>
      <c r="S342" s="95" t="s">
        <v>11</v>
      </c>
      <c r="T342" s="74" t="s">
        <v>4</v>
      </c>
      <c r="U342" s="95" t="s">
        <v>14</v>
      </c>
      <c r="V342" s="95" t="s">
        <v>1914</v>
      </c>
      <c r="W342" s="95" t="s">
        <v>1913</v>
      </c>
      <c r="X342" s="95" t="s">
        <v>65</v>
      </c>
      <c r="Y342" s="72" t="s">
        <v>4</v>
      </c>
      <c r="Z342" s="72" t="s">
        <v>4</v>
      </c>
      <c r="AA342" s="95" t="s">
        <v>65</v>
      </c>
      <c r="AB342" s="132"/>
      <c r="AC342" s="132"/>
      <c r="AD342" s="132"/>
      <c r="AE342" s="63"/>
      <c r="AF342" s="63"/>
      <c r="AG342" s="63"/>
    </row>
    <row r="343" spans="1:33" ht="17.2" customHeight="1">
      <c r="A343" s="64" t="str">
        <f>IF(priority(Main[[#This Row],[Comments]])&lt;&gt;0, priority(Main[[#This Row],[Comments]]),"")</f>
        <v/>
      </c>
      <c r="B343" s="60" t="s">
        <v>3474</v>
      </c>
      <c r="C343" s="72" t="s">
        <v>3475</v>
      </c>
      <c r="D343" s="59" t="s">
        <v>3476</v>
      </c>
      <c r="E343" s="85"/>
      <c r="F343" s="85"/>
      <c r="G343" s="64" t="str">
        <f>IF(stdProdLT(Main[[#This Row],[Comments]])=0.1,"N/A",IF(stdProdLT(Main[[#This Row],[Comments]])=0,"",TRIM(stdProdLT(Main[[#This Row],[Comments]]))))</f>
        <v/>
      </c>
      <c r="H343" s="94" t="str">
        <f>IF(OR(Main[[#This Row],[Std. Prod. Lead Time]]="N/A",Main[[#This Row],[Std. Prod. Lead Time]]=""), "",IF(AND(Main[[#This Row],[In Stock Date]]&lt;&gt;"",Main[[#This Row],[Revised Due Date]]&lt;&gt;"",Main[[#This Row],[In Stock Date]]&lt;&gt;""),Main[[#This Row],[In Stock Date]]-Main[[#This Row],[Revised Due Date]],""))</f>
        <v/>
      </c>
      <c r="I343" s="101" t="s">
        <v>4</v>
      </c>
      <c r="J343" s="95" t="s">
        <v>4</v>
      </c>
      <c r="K343" s="95" t="s">
        <v>4</v>
      </c>
      <c r="L343" s="85"/>
      <c r="M343" s="73" t="str">
        <f>IF(Main[[#This Row],[Tech Start Date]]&lt;1/1/1990,"",IF(Main[[#This Row],[Class]]="C",WORKDAY(Main[[#This Row],[Tech Start Date]],9),IF(Main[[#This Row],[Class]]="B", WORKDAY(Main[[#This Row],[Tech Start Date]],6),IF(Main[[#This Row],[Class]]="A",WORKDAY(Main[[#This Row],[Tech Start Date]],2),""))))</f>
        <v/>
      </c>
      <c r="N343" s="73" t="str">
        <f>IF(Main[[#This Row],[Tech Start Date]]&lt;1/1/1990,"",IF(Main[[#This Row],[Class]]="C",WORKDAY(Main[[#This Row],[Tech Start Date]],19),IF(Main[[#This Row],[Class]]="B", WORKDAY(Main[[#This Row],[Tech Start Date]],12),IF(Main[[#This Row],[Class]]="A",WORKDAY(Main[[#This Row],[Tech Start Date]],4),""))))</f>
        <v/>
      </c>
      <c r="O343" s="73" t="str">
        <f>IF(Main[[#This Row],[Tech Start Date]]&lt;1/1/1990,"",IF(Main[[#This Row],[Class]]="C",WORKDAY(Main[[#This Row],[Tech Start Date]],23),IF(Main[[#This Row],[Class]]="B", WORKDAY(Main[[#This Row],[Tech Start Date]],15),IF(Main[[#This Row],[Class]]="A",WORKDAY(Main[[#This Row],[Tech Start Date]],5),""))))</f>
        <v/>
      </c>
      <c r="P343" s="73" t="str">
        <f>IF(Main[[#This Row],[Tech Start Date]]&lt;1/1/1990,"",IF(Main[[#This Row],[Class]]="C",WORKDAY(Main[[#This Row],[Tech Start Date]],28),IF(Main[[#This Row],[Class]]="B", WORKDAY(Main[[#This Row],[Tech Start Date]],19),IF(Main[[#This Row],[Class]]="A",WORKDAY(Main[[#This Row],[Tech Start Date]],9),""))))</f>
        <v/>
      </c>
      <c r="Q343" s="85">
        <v>40953</v>
      </c>
      <c r="R343" s="112"/>
      <c r="S343" s="95" t="s">
        <v>11</v>
      </c>
      <c r="T343" s="74" t="s">
        <v>4</v>
      </c>
      <c r="U343" s="95" t="s">
        <v>14</v>
      </c>
      <c r="V343" s="95" t="s">
        <v>1911</v>
      </c>
      <c r="W343" s="95" t="s">
        <v>1922</v>
      </c>
      <c r="X343" s="95" t="s">
        <v>2819</v>
      </c>
      <c r="Y343" s="72" t="s">
        <v>2948</v>
      </c>
      <c r="Z343" s="72" t="s">
        <v>4</v>
      </c>
      <c r="AA343" s="95" t="s">
        <v>2819</v>
      </c>
      <c r="AB343" s="132"/>
      <c r="AC343" s="132"/>
      <c r="AD343" s="132"/>
      <c r="AE343" s="63"/>
      <c r="AF343" s="63"/>
      <c r="AG343" s="63"/>
    </row>
    <row r="344" spans="1:33" ht="17.2" customHeight="1">
      <c r="A344" s="64" t="str">
        <f>IF(priority(Main[[#This Row],[Comments]])&lt;&gt;0, priority(Main[[#This Row],[Comments]]),"")</f>
        <v/>
      </c>
      <c r="B344" s="60" t="s">
        <v>3480</v>
      </c>
      <c r="C344" s="72" t="s">
        <v>47</v>
      </c>
      <c r="D344" s="59" t="s">
        <v>3481</v>
      </c>
      <c r="E344" s="85">
        <v>40947.640497685185</v>
      </c>
      <c r="F344" s="85"/>
      <c r="G344" s="64" t="str">
        <f>IF(stdProdLT(Main[[#This Row],[Comments]])=0.1,"N/A",IF(stdProdLT(Main[[#This Row],[Comments]])=0,"",TRIM(stdProdLT(Main[[#This Row],[Comments]]))))</f>
        <v/>
      </c>
      <c r="H344" s="94" t="str">
        <f>IF(OR(Main[[#This Row],[Std. Prod. Lead Time]]="N/A",Main[[#This Row],[Std. Prod. Lead Time]]=""), "",IF(AND(Main[[#This Row],[In Stock Date]]&lt;&gt;"",Main[[#This Row],[Revised Due Date]]&lt;&gt;"",Main[[#This Row],[In Stock Date]]&lt;&gt;""),Main[[#This Row],[In Stock Date]]-Main[[#This Row],[Revised Due Date]],""))</f>
        <v/>
      </c>
      <c r="I344" s="101" t="s">
        <v>4</v>
      </c>
      <c r="J344" s="95" t="s">
        <v>4</v>
      </c>
      <c r="K344" s="95" t="s">
        <v>4</v>
      </c>
      <c r="L344" s="85"/>
      <c r="M344" s="73" t="str">
        <f>IF(Main[[#This Row],[Tech Start Date]]&lt;1/1/1990,"",IF(Main[[#This Row],[Class]]="C",WORKDAY(Main[[#This Row],[Tech Start Date]],9),IF(Main[[#This Row],[Class]]="B", WORKDAY(Main[[#This Row],[Tech Start Date]],6),IF(Main[[#This Row],[Class]]="A",WORKDAY(Main[[#This Row],[Tech Start Date]],2),""))))</f>
        <v/>
      </c>
      <c r="N344" s="73" t="str">
        <f>IF(Main[[#This Row],[Tech Start Date]]&lt;1/1/1990,"",IF(Main[[#This Row],[Class]]="C",WORKDAY(Main[[#This Row],[Tech Start Date]],19),IF(Main[[#This Row],[Class]]="B", WORKDAY(Main[[#This Row],[Tech Start Date]],12),IF(Main[[#This Row],[Class]]="A",WORKDAY(Main[[#This Row],[Tech Start Date]],4),""))))</f>
        <v/>
      </c>
      <c r="O344" s="73" t="str">
        <f>IF(Main[[#This Row],[Tech Start Date]]&lt;1/1/1990,"",IF(Main[[#This Row],[Class]]="C",WORKDAY(Main[[#This Row],[Tech Start Date]],23),IF(Main[[#This Row],[Class]]="B", WORKDAY(Main[[#This Row],[Tech Start Date]],15),IF(Main[[#This Row],[Class]]="A",WORKDAY(Main[[#This Row],[Tech Start Date]],5),""))))</f>
        <v/>
      </c>
      <c r="P344" s="73" t="str">
        <f>IF(Main[[#This Row],[Tech Start Date]]&lt;1/1/1990,"",IF(Main[[#This Row],[Class]]="C",WORKDAY(Main[[#This Row],[Tech Start Date]],28),IF(Main[[#This Row],[Class]]="B", WORKDAY(Main[[#This Row],[Tech Start Date]],19),IF(Main[[#This Row],[Class]]="A",WORKDAY(Main[[#This Row],[Tech Start Date]],9),""))))</f>
        <v/>
      </c>
      <c r="Q344" s="85">
        <v>40999</v>
      </c>
      <c r="R344" s="112"/>
      <c r="S344" s="95" t="s">
        <v>6</v>
      </c>
      <c r="T344" s="74" t="s">
        <v>4</v>
      </c>
      <c r="U344" s="95" t="s">
        <v>29</v>
      </c>
      <c r="V344" s="95" t="s">
        <v>2277</v>
      </c>
      <c r="W344" s="95" t="s">
        <v>4</v>
      </c>
      <c r="X344" s="95" t="s">
        <v>2845</v>
      </c>
      <c r="Y344" s="72" t="s">
        <v>2988</v>
      </c>
      <c r="Z344" s="72" t="s">
        <v>4</v>
      </c>
      <c r="AA344" s="95" t="s">
        <v>2845</v>
      </c>
      <c r="AB344" s="132"/>
      <c r="AC344" s="132"/>
      <c r="AD344" s="132"/>
      <c r="AE344" s="63"/>
      <c r="AF344" s="63"/>
      <c r="AG344" s="63"/>
    </row>
    <row r="345" spans="1:33" ht="17.2" customHeight="1">
      <c r="A345" s="64" t="str">
        <f>IF(priority(Main[[#This Row],[Comments]])&lt;&gt;0, priority(Main[[#This Row],[Comments]]),"")</f>
        <v/>
      </c>
      <c r="B345" s="60" t="s">
        <v>1179</v>
      </c>
      <c r="C345" s="72" t="s">
        <v>4</v>
      </c>
      <c r="D345" s="59" t="s">
        <v>236</v>
      </c>
      <c r="E345" s="85">
        <v>40317.337557870371</v>
      </c>
      <c r="F345" s="85"/>
      <c r="G345" s="64" t="str">
        <f>IF(stdProdLT(Main[[#This Row],[Comments]])=0.1,"N/A",IF(stdProdLT(Main[[#This Row],[Comments]])=0,"",TRIM(stdProdLT(Main[[#This Row],[Comments]]))))</f>
        <v/>
      </c>
      <c r="H345" s="94" t="str">
        <f>IF(OR(Main[[#This Row],[Std. Prod. Lead Time]]="N/A",Main[[#This Row],[Std. Prod. Lead Time]]=""), "",IF(AND(Main[[#This Row],[In Stock Date]]&lt;&gt;"",Main[[#This Row],[Revised Due Date]]&lt;&gt;"",Main[[#This Row],[In Stock Date]]&lt;&gt;""),Main[[#This Row],[In Stock Date]]-Main[[#This Row],[Revised Due Date]],""))</f>
        <v/>
      </c>
      <c r="I345" s="101" t="s">
        <v>4</v>
      </c>
      <c r="J345" s="95" t="s">
        <v>4</v>
      </c>
      <c r="K345" s="95" t="s">
        <v>4</v>
      </c>
      <c r="L345" s="85"/>
      <c r="M345" s="73" t="str">
        <f>IF(Main[[#This Row],[Tech Start Date]]&lt;1/1/1990,"",IF(Main[[#This Row],[Class]]="C",WORKDAY(Main[[#This Row],[Tech Start Date]],9),IF(Main[[#This Row],[Class]]="B", WORKDAY(Main[[#This Row],[Tech Start Date]],6),IF(Main[[#This Row],[Class]]="A",WORKDAY(Main[[#This Row],[Tech Start Date]],2),""))))</f>
        <v/>
      </c>
      <c r="N345" s="73" t="str">
        <f>IF(Main[[#This Row],[Tech Start Date]]&lt;1/1/1990,"",IF(Main[[#This Row],[Class]]="C",WORKDAY(Main[[#This Row],[Tech Start Date]],19),IF(Main[[#This Row],[Class]]="B", WORKDAY(Main[[#This Row],[Tech Start Date]],12),IF(Main[[#This Row],[Class]]="A",WORKDAY(Main[[#This Row],[Tech Start Date]],4),""))))</f>
        <v/>
      </c>
      <c r="O345" s="73" t="str">
        <f>IF(Main[[#This Row],[Tech Start Date]]&lt;1/1/1990,"",IF(Main[[#This Row],[Class]]="C",WORKDAY(Main[[#This Row],[Tech Start Date]],23),IF(Main[[#This Row],[Class]]="B", WORKDAY(Main[[#This Row],[Tech Start Date]],15),IF(Main[[#This Row],[Class]]="A",WORKDAY(Main[[#This Row],[Tech Start Date]],5),""))))</f>
        <v/>
      </c>
      <c r="P345" s="73" t="str">
        <f>IF(Main[[#This Row],[Tech Start Date]]&lt;1/1/1990,"",IF(Main[[#This Row],[Class]]="C",WORKDAY(Main[[#This Row],[Tech Start Date]],28),IF(Main[[#This Row],[Class]]="B", WORKDAY(Main[[#This Row],[Tech Start Date]],19),IF(Main[[#This Row],[Class]]="A",WORKDAY(Main[[#This Row],[Tech Start Date]],9),""))))</f>
        <v/>
      </c>
      <c r="Q345" s="85">
        <v>40330</v>
      </c>
      <c r="R345" s="112"/>
      <c r="S345" s="95" t="s">
        <v>6</v>
      </c>
      <c r="T345" s="74" t="s">
        <v>4</v>
      </c>
      <c r="U345" s="95" t="s">
        <v>7</v>
      </c>
      <c r="V345" s="95" t="s">
        <v>1911</v>
      </c>
      <c r="W345" s="95" t="s">
        <v>1913</v>
      </c>
      <c r="X345" s="95" t="s">
        <v>102</v>
      </c>
      <c r="Y345" s="72" t="s">
        <v>2989</v>
      </c>
      <c r="Z345" s="72" t="s">
        <v>129</v>
      </c>
      <c r="AA345" s="95" t="s">
        <v>102</v>
      </c>
      <c r="AB345" s="132"/>
      <c r="AC345" s="132"/>
      <c r="AD345" s="132"/>
      <c r="AE345" s="63"/>
      <c r="AF345" s="63"/>
      <c r="AG345" s="63"/>
    </row>
    <row r="346" spans="1:33" ht="17.2" customHeight="1">
      <c r="A346" s="64" t="str">
        <f>IF(priority(Main[[#This Row],[Comments]])&lt;&gt;0, priority(Main[[#This Row],[Comments]]),"")</f>
        <v/>
      </c>
      <c r="B346" s="60" t="s">
        <v>1180</v>
      </c>
      <c r="C346" s="72" t="s">
        <v>4</v>
      </c>
      <c r="D346" s="59" t="s">
        <v>237</v>
      </c>
      <c r="E346" s="85"/>
      <c r="F346" s="85"/>
      <c r="G346" s="64" t="str">
        <f>IF(stdProdLT(Main[[#This Row],[Comments]])=0.1,"N/A",IF(stdProdLT(Main[[#This Row],[Comments]])=0,"",TRIM(stdProdLT(Main[[#This Row],[Comments]]))))</f>
        <v/>
      </c>
      <c r="H346" s="94" t="str">
        <f>IF(OR(Main[[#This Row],[Std. Prod. Lead Time]]="N/A",Main[[#This Row],[Std. Prod. Lead Time]]=""), "",IF(AND(Main[[#This Row],[In Stock Date]]&lt;&gt;"",Main[[#This Row],[Revised Due Date]]&lt;&gt;"",Main[[#This Row],[In Stock Date]]&lt;&gt;""),Main[[#This Row],[In Stock Date]]-Main[[#This Row],[Revised Due Date]],""))</f>
        <v/>
      </c>
      <c r="I346" s="101" t="s">
        <v>4</v>
      </c>
      <c r="J346" s="95" t="s">
        <v>4</v>
      </c>
      <c r="K346" s="95" t="s">
        <v>4</v>
      </c>
      <c r="L346" s="85"/>
      <c r="M346" s="73" t="str">
        <f>IF(Main[[#This Row],[Tech Start Date]]&lt;1/1/1990,"",IF(Main[[#This Row],[Class]]="C",WORKDAY(Main[[#This Row],[Tech Start Date]],9),IF(Main[[#This Row],[Class]]="B", WORKDAY(Main[[#This Row],[Tech Start Date]],6),IF(Main[[#This Row],[Class]]="A",WORKDAY(Main[[#This Row],[Tech Start Date]],2),""))))</f>
        <v/>
      </c>
      <c r="N346" s="73" t="str">
        <f>IF(Main[[#This Row],[Tech Start Date]]&lt;1/1/1990,"",IF(Main[[#This Row],[Class]]="C",WORKDAY(Main[[#This Row],[Tech Start Date]],19),IF(Main[[#This Row],[Class]]="B", WORKDAY(Main[[#This Row],[Tech Start Date]],12),IF(Main[[#This Row],[Class]]="A",WORKDAY(Main[[#This Row],[Tech Start Date]],4),""))))</f>
        <v/>
      </c>
      <c r="O346" s="73" t="str">
        <f>IF(Main[[#This Row],[Tech Start Date]]&lt;1/1/1990,"",IF(Main[[#This Row],[Class]]="C",WORKDAY(Main[[#This Row],[Tech Start Date]],23),IF(Main[[#This Row],[Class]]="B", WORKDAY(Main[[#This Row],[Tech Start Date]],15),IF(Main[[#This Row],[Class]]="A",WORKDAY(Main[[#This Row],[Tech Start Date]],5),""))))</f>
        <v/>
      </c>
      <c r="P346" s="73" t="str">
        <f>IF(Main[[#This Row],[Tech Start Date]]&lt;1/1/1990,"",IF(Main[[#This Row],[Class]]="C",WORKDAY(Main[[#This Row],[Tech Start Date]],28),IF(Main[[#This Row],[Class]]="B", WORKDAY(Main[[#This Row],[Tech Start Date]],19),IF(Main[[#This Row],[Class]]="A",WORKDAY(Main[[#This Row],[Tech Start Date]],9),""))))</f>
        <v/>
      </c>
      <c r="Q346" s="85"/>
      <c r="R346" s="112"/>
      <c r="S346" s="95" t="s">
        <v>11</v>
      </c>
      <c r="T346" s="74" t="s">
        <v>4</v>
      </c>
      <c r="U346" s="95" t="s">
        <v>14</v>
      </c>
      <c r="V346" s="95" t="s">
        <v>1911</v>
      </c>
      <c r="W346" s="95" t="s">
        <v>1915</v>
      </c>
      <c r="X346" s="95" t="s">
        <v>922</v>
      </c>
      <c r="Y346" s="72" t="s">
        <v>2960</v>
      </c>
      <c r="Z346" s="72" t="s">
        <v>4</v>
      </c>
      <c r="AA346" s="95" t="s">
        <v>922</v>
      </c>
      <c r="AB346" s="132"/>
      <c r="AC346" s="132"/>
      <c r="AD346" s="132"/>
      <c r="AE346" s="63"/>
      <c r="AF346" s="63"/>
      <c r="AG346" s="63"/>
    </row>
    <row r="347" spans="1:33" ht="17.2" customHeight="1">
      <c r="A347" s="64" t="str">
        <f>IF(priority(Main[[#This Row],[Comments]])&lt;&gt;0, priority(Main[[#This Row],[Comments]]),"")</f>
        <v/>
      </c>
      <c r="B347" s="60" t="s">
        <v>1183</v>
      </c>
      <c r="C347" s="72" t="s">
        <v>243</v>
      </c>
      <c r="D347" s="59" t="s">
        <v>244</v>
      </c>
      <c r="E347" s="85"/>
      <c r="F347" s="85">
        <v>40299</v>
      </c>
      <c r="G347" s="64" t="str">
        <f>IF(stdProdLT(Main[[#This Row],[Comments]])=0.1,"N/A",IF(stdProdLT(Main[[#This Row],[Comments]])=0,"",TRIM(stdProdLT(Main[[#This Row],[Comments]]))))</f>
        <v/>
      </c>
      <c r="H347" s="94" t="str">
        <f>IF(OR(Main[[#This Row],[Std. Prod. Lead Time]]="N/A",Main[[#This Row],[Std. Prod. Lead Time]]=""), "",IF(AND(Main[[#This Row],[In Stock Date]]&lt;&gt;"",Main[[#This Row],[Revised Due Date]]&lt;&gt;"",Main[[#This Row],[In Stock Date]]&lt;&gt;""),Main[[#This Row],[In Stock Date]]-Main[[#This Row],[Revised Due Date]],""))</f>
        <v/>
      </c>
      <c r="I347" s="101" t="s">
        <v>4</v>
      </c>
      <c r="J347" s="95" t="s">
        <v>4</v>
      </c>
      <c r="K347" s="95" t="s">
        <v>4</v>
      </c>
      <c r="L347" s="85"/>
      <c r="M347" s="73" t="str">
        <f>IF(Main[[#This Row],[Tech Start Date]]&lt;1/1/1990,"",IF(Main[[#This Row],[Class]]="C",WORKDAY(Main[[#This Row],[Tech Start Date]],9),IF(Main[[#This Row],[Class]]="B", WORKDAY(Main[[#This Row],[Tech Start Date]],6),IF(Main[[#This Row],[Class]]="A",WORKDAY(Main[[#This Row],[Tech Start Date]],2),""))))</f>
        <v/>
      </c>
      <c r="N347" s="73" t="str">
        <f>IF(Main[[#This Row],[Tech Start Date]]&lt;1/1/1990,"",IF(Main[[#This Row],[Class]]="C",WORKDAY(Main[[#This Row],[Tech Start Date]],19),IF(Main[[#This Row],[Class]]="B", WORKDAY(Main[[#This Row],[Tech Start Date]],12),IF(Main[[#This Row],[Class]]="A",WORKDAY(Main[[#This Row],[Tech Start Date]],4),""))))</f>
        <v/>
      </c>
      <c r="O347" s="73" t="str">
        <f>IF(Main[[#This Row],[Tech Start Date]]&lt;1/1/1990,"",IF(Main[[#This Row],[Class]]="C",WORKDAY(Main[[#This Row],[Tech Start Date]],23),IF(Main[[#This Row],[Class]]="B", WORKDAY(Main[[#This Row],[Tech Start Date]],15),IF(Main[[#This Row],[Class]]="A",WORKDAY(Main[[#This Row],[Tech Start Date]],5),""))))</f>
        <v/>
      </c>
      <c r="P347" s="73" t="str">
        <f>IF(Main[[#This Row],[Tech Start Date]]&lt;1/1/1990,"",IF(Main[[#This Row],[Class]]="C",WORKDAY(Main[[#This Row],[Tech Start Date]],28),IF(Main[[#This Row],[Class]]="B", WORKDAY(Main[[#This Row],[Tech Start Date]],19),IF(Main[[#This Row],[Class]]="A",WORKDAY(Main[[#This Row],[Tech Start Date]],9),""))))</f>
        <v/>
      </c>
      <c r="Q347" s="85">
        <v>40241</v>
      </c>
      <c r="R347" s="112"/>
      <c r="S347" s="95" t="s">
        <v>11</v>
      </c>
      <c r="T347" s="74" t="s">
        <v>4</v>
      </c>
      <c r="U347" s="95" t="s">
        <v>14</v>
      </c>
      <c r="V347" s="95" t="s">
        <v>1921</v>
      </c>
      <c r="W347" s="95" t="s">
        <v>1919</v>
      </c>
      <c r="X347" s="95" t="s">
        <v>2848</v>
      </c>
      <c r="Y347" s="72" t="s">
        <v>2990</v>
      </c>
      <c r="Z347" s="72" t="s">
        <v>4</v>
      </c>
      <c r="AA347" s="95" t="s">
        <v>2848</v>
      </c>
      <c r="AB347" s="132"/>
      <c r="AC347" s="132"/>
      <c r="AD347" s="132"/>
      <c r="AE347" s="63"/>
      <c r="AF347" s="63"/>
      <c r="AG347" s="63"/>
    </row>
    <row r="348" spans="1:33" ht="17.2" customHeight="1">
      <c r="A348" s="64" t="str">
        <f>IF(priority(Main[[#This Row],[Comments]])&lt;&gt;0, priority(Main[[#This Row],[Comments]]),"")</f>
        <v/>
      </c>
      <c r="B348" s="60" t="s">
        <v>3503</v>
      </c>
      <c r="C348" s="72" t="s">
        <v>2198</v>
      </c>
      <c r="D348" s="59" t="s">
        <v>3504</v>
      </c>
      <c r="E348" s="85"/>
      <c r="F348" s="85"/>
      <c r="G348" s="64" t="str">
        <f>IF(stdProdLT(Main[[#This Row],[Comments]])=0.1,"N/A",IF(stdProdLT(Main[[#This Row],[Comments]])=0,"",TRIM(stdProdLT(Main[[#This Row],[Comments]]))))</f>
        <v/>
      </c>
      <c r="H348" s="94" t="str">
        <f>IF(OR(Main[[#This Row],[Std. Prod. Lead Time]]="N/A",Main[[#This Row],[Std. Prod. Lead Time]]=""), "",IF(AND(Main[[#This Row],[In Stock Date]]&lt;&gt;"",Main[[#This Row],[Revised Due Date]]&lt;&gt;"",Main[[#This Row],[In Stock Date]]&lt;&gt;""),Main[[#This Row],[In Stock Date]]-Main[[#This Row],[Revised Due Date]],""))</f>
        <v/>
      </c>
      <c r="I348" s="101" t="s">
        <v>4</v>
      </c>
      <c r="J348" s="95" t="s">
        <v>4</v>
      </c>
      <c r="K348" s="95" t="s">
        <v>4</v>
      </c>
      <c r="L348" s="85"/>
      <c r="M348" s="73" t="str">
        <f>IF(Main[[#This Row],[Tech Start Date]]&lt;1/1/1990,"",IF(Main[[#This Row],[Class]]="C",WORKDAY(Main[[#This Row],[Tech Start Date]],9),IF(Main[[#This Row],[Class]]="B", WORKDAY(Main[[#This Row],[Tech Start Date]],6),IF(Main[[#This Row],[Class]]="A",WORKDAY(Main[[#This Row],[Tech Start Date]],2),""))))</f>
        <v/>
      </c>
      <c r="N348" s="73" t="str">
        <f>IF(Main[[#This Row],[Tech Start Date]]&lt;1/1/1990,"",IF(Main[[#This Row],[Class]]="C",WORKDAY(Main[[#This Row],[Tech Start Date]],19),IF(Main[[#This Row],[Class]]="B", WORKDAY(Main[[#This Row],[Tech Start Date]],12),IF(Main[[#This Row],[Class]]="A",WORKDAY(Main[[#This Row],[Tech Start Date]],4),""))))</f>
        <v/>
      </c>
      <c r="O348" s="73" t="str">
        <f>IF(Main[[#This Row],[Tech Start Date]]&lt;1/1/1990,"",IF(Main[[#This Row],[Class]]="C",WORKDAY(Main[[#This Row],[Tech Start Date]],23),IF(Main[[#This Row],[Class]]="B", WORKDAY(Main[[#This Row],[Tech Start Date]],15),IF(Main[[#This Row],[Class]]="A",WORKDAY(Main[[#This Row],[Tech Start Date]],5),""))))</f>
        <v/>
      </c>
      <c r="P348" s="73" t="str">
        <f>IF(Main[[#This Row],[Tech Start Date]]&lt;1/1/1990,"",IF(Main[[#This Row],[Class]]="C",WORKDAY(Main[[#This Row],[Tech Start Date]],28),IF(Main[[#This Row],[Class]]="B", WORKDAY(Main[[#This Row],[Tech Start Date]],19),IF(Main[[#This Row],[Class]]="A",WORKDAY(Main[[#This Row],[Tech Start Date]],9),""))))</f>
        <v/>
      </c>
      <c r="Q348" s="85">
        <v>40984</v>
      </c>
      <c r="R348" s="112"/>
      <c r="S348" s="95" t="s">
        <v>11</v>
      </c>
      <c r="T348" s="74" t="s">
        <v>4</v>
      </c>
      <c r="U348" s="95" t="s">
        <v>14</v>
      </c>
      <c r="V348" s="95" t="s">
        <v>1911</v>
      </c>
      <c r="W348" s="95" t="s">
        <v>1919</v>
      </c>
      <c r="X348" s="95" t="s">
        <v>2890</v>
      </c>
      <c r="Y348" s="72" t="s">
        <v>4</v>
      </c>
      <c r="Z348" s="72" t="s">
        <v>4</v>
      </c>
      <c r="AA348" s="95" t="s">
        <v>3422</v>
      </c>
      <c r="AB348" s="132"/>
      <c r="AC348" s="132"/>
      <c r="AD348" s="132"/>
      <c r="AE348" s="63"/>
      <c r="AF348" s="63"/>
      <c r="AG348" s="63"/>
    </row>
    <row r="349" spans="1:33" ht="17.2" customHeight="1">
      <c r="A349" s="64" t="str">
        <f>IF(priority(Main[[#This Row],[Comments]])&lt;&gt;0, priority(Main[[#This Row],[Comments]]),"")</f>
        <v/>
      </c>
      <c r="B349" s="60" t="s">
        <v>1184</v>
      </c>
      <c r="C349" s="72" t="s">
        <v>4</v>
      </c>
      <c r="D349" s="59" t="s">
        <v>39</v>
      </c>
      <c r="E349" s="85"/>
      <c r="F349" s="85"/>
      <c r="G349" s="64" t="str">
        <f>IF(stdProdLT(Main[[#This Row],[Comments]])=0.1,"N/A",IF(stdProdLT(Main[[#This Row],[Comments]])=0,"",TRIM(stdProdLT(Main[[#This Row],[Comments]]))))</f>
        <v/>
      </c>
      <c r="H349" s="94" t="str">
        <f>IF(OR(Main[[#This Row],[Std. Prod. Lead Time]]="N/A",Main[[#This Row],[Std. Prod. Lead Time]]=""), "",IF(AND(Main[[#This Row],[In Stock Date]]&lt;&gt;"",Main[[#This Row],[Revised Due Date]]&lt;&gt;"",Main[[#This Row],[In Stock Date]]&lt;&gt;""),Main[[#This Row],[In Stock Date]]-Main[[#This Row],[Revised Due Date]],""))</f>
        <v/>
      </c>
      <c r="I349" s="101" t="s">
        <v>4</v>
      </c>
      <c r="J349" s="95" t="s">
        <v>4</v>
      </c>
      <c r="K349" s="95" t="s">
        <v>4</v>
      </c>
      <c r="L349" s="85"/>
      <c r="M349" s="73" t="str">
        <f>IF(Main[[#This Row],[Tech Start Date]]&lt;1/1/1990,"",IF(Main[[#This Row],[Class]]="C",WORKDAY(Main[[#This Row],[Tech Start Date]],9),IF(Main[[#This Row],[Class]]="B", WORKDAY(Main[[#This Row],[Tech Start Date]],6),IF(Main[[#This Row],[Class]]="A",WORKDAY(Main[[#This Row],[Tech Start Date]],2),""))))</f>
        <v/>
      </c>
      <c r="N349" s="73" t="str">
        <f>IF(Main[[#This Row],[Tech Start Date]]&lt;1/1/1990,"",IF(Main[[#This Row],[Class]]="C",WORKDAY(Main[[#This Row],[Tech Start Date]],19),IF(Main[[#This Row],[Class]]="B", WORKDAY(Main[[#This Row],[Tech Start Date]],12),IF(Main[[#This Row],[Class]]="A",WORKDAY(Main[[#This Row],[Tech Start Date]],4),""))))</f>
        <v/>
      </c>
      <c r="O349" s="73" t="str">
        <f>IF(Main[[#This Row],[Tech Start Date]]&lt;1/1/1990,"",IF(Main[[#This Row],[Class]]="C",WORKDAY(Main[[#This Row],[Tech Start Date]],23),IF(Main[[#This Row],[Class]]="B", WORKDAY(Main[[#This Row],[Tech Start Date]],15),IF(Main[[#This Row],[Class]]="A",WORKDAY(Main[[#This Row],[Tech Start Date]],5),""))))</f>
        <v/>
      </c>
      <c r="P349" s="73" t="str">
        <f>IF(Main[[#This Row],[Tech Start Date]]&lt;1/1/1990,"",IF(Main[[#This Row],[Class]]="C",WORKDAY(Main[[#This Row],[Tech Start Date]],28),IF(Main[[#This Row],[Class]]="B", WORKDAY(Main[[#This Row],[Tech Start Date]],19),IF(Main[[#This Row],[Class]]="A",WORKDAY(Main[[#This Row],[Tech Start Date]],9),""))))</f>
        <v/>
      </c>
      <c r="Q349" s="85">
        <v>40669</v>
      </c>
      <c r="R349" s="112"/>
      <c r="S349" s="95" t="s">
        <v>6</v>
      </c>
      <c r="T349" s="74" t="s">
        <v>4</v>
      </c>
      <c r="U349" s="95" t="s">
        <v>14</v>
      </c>
      <c r="V349" s="95" t="s">
        <v>1914</v>
      </c>
      <c r="W349" s="95" t="s">
        <v>4</v>
      </c>
      <c r="X349" s="95" t="s">
        <v>2798</v>
      </c>
      <c r="Y349" s="72" t="s">
        <v>2908</v>
      </c>
      <c r="Z349" s="72" t="s">
        <v>4</v>
      </c>
      <c r="AA349" s="95" t="s">
        <v>2798</v>
      </c>
      <c r="AB349" s="132"/>
      <c r="AC349" s="132"/>
      <c r="AD349" s="132"/>
      <c r="AE349" s="63"/>
      <c r="AF349" s="63"/>
      <c r="AG349" s="63"/>
    </row>
    <row r="350" spans="1:33" ht="17.2" customHeight="1">
      <c r="A350" s="64" t="str">
        <f>IF(priority(Main[[#This Row],[Comments]])&lt;&gt;0, priority(Main[[#This Row],[Comments]]),"")</f>
        <v/>
      </c>
      <c r="B350" s="60" t="s">
        <v>2065</v>
      </c>
      <c r="C350" s="72" t="s">
        <v>4</v>
      </c>
      <c r="D350" s="59" t="s">
        <v>2066</v>
      </c>
      <c r="E350" s="85">
        <v>40774.330196759256</v>
      </c>
      <c r="F350" s="85"/>
      <c r="G350" s="64" t="str">
        <f>IF(stdProdLT(Main[[#This Row],[Comments]])=0.1,"N/A",IF(stdProdLT(Main[[#This Row],[Comments]])=0,"",TRIM(stdProdLT(Main[[#This Row],[Comments]]))))</f>
        <v/>
      </c>
      <c r="H350" s="94" t="str">
        <f>IF(OR(Main[[#This Row],[Std. Prod. Lead Time]]="N/A",Main[[#This Row],[Std. Prod. Lead Time]]=""), "",IF(AND(Main[[#This Row],[In Stock Date]]&lt;&gt;"",Main[[#This Row],[Revised Due Date]]&lt;&gt;"",Main[[#This Row],[In Stock Date]]&lt;&gt;""),Main[[#This Row],[In Stock Date]]-Main[[#This Row],[Revised Due Date]],""))</f>
        <v/>
      </c>
      <c r="I350" s="101" t="s">
        <v>4</v>
      </c>
      <c r="J350" s="95" t="s">
        <v>4</v>
      </c>
      <c r="K350" s="95" t="s">
        <v>4</v>
      </c>
      <c r="L350" s="85"/>
      <c r="M350" s="73" t="str">
        <f>IF(Main[[#This Row],[Tech Start Date]]&lt;1/1/1990,"",IF(Main[[#This Row],[Class]]="C",WORKDAY(Main[[#This Row],[Tech Start Date]],9),IF(Main[[#This Row],[Class]]="B", WORKDAY(Main[[#This Row],[Tech Start Date]],6),IF(Main[[#This Row],[Class]]="A",WORKDAY(Main[[#This Row],[Tech Start Date]],2),""))))</f>
        <v/>
      </c>
      <c r="N350" s="73" t="str">
        <f>IF(Main[[#This Row],[Tech Start Date]]&lt;1/1/1990,"",IF(Main[[#This Row],[Class]]="C",WORKDAY(Main[[#This Row],[Tech Start Date]],19),IF(Main[[#This Row],[Class]]="B", WORKDAY(Main[[#This Row],[Tech Start Date]],12),IF(Main[[#This Row],[Class]]="A",WORKDAY(Main[[#This Row],[Tech Start Date]],4),""))))</f>
        <v/>
      </c>
      <c r="O350" s="73" t="str">
        <f>IF(Main[[#This Row],[Tech Start Date]]&lt;1/1/1990,"",IF(Main[[#This Row],[Class]]="C",WORKDAY(Main[[#This Row],[Tech Start Date]],23),IF(Main[[#This Row],[Class]]="B", WORKDAY(Main[[#This Row],[Tech Start Date]],15),IF(Main[[#This Row],[Class]]="A",WORKDAY(Main[[#This Row],[Tech Start Date]],5),""))))</f>
        <v/>
      </c>
      <c r="P350" s="73" t="str">
        <f>IF(Main[[#This Row],[Tech Start Date]]&lt;1/1/1990,"",IF(Main[[#This Row],[Class]]="C",WORKDAY(Main[[#This Row],[Tech Start Date]],28),IF(Main[[#This Row],[Class]]="B", WORKDAY(Main[[#This Row],[Tech Start Date]],19),IF(Main[[#This Row],[Class]]="A",WORKDAY(Main[[#This Row],[Tech Start Date]],9),""))))</f>
        <v/>
      </c>
      <c r="Q350" s="85">
        <v>40788</v>
      </c>
      <c r="R350" s="112"/>
      <c r="S350" s="95" t="s">
        <v>6</v>
      </c>
      <c r="T350" s="74" t="s">
        <v>4</v>
      </c>
      <c r="U350" s="95" t="s">
        <v>7</v>
      </c>
      <c r="V350" s="95" t="s">
        <v>1911</v>
      </c>
      <c r="W350" s="95" t="s">
        <v>4</v>
      </c>
      <c r="X350" s="95" t="s">
        <v>2831</v>
      </c>
      <c r="Y350" s="72" t="s">
        <v>2964</v>
      </c>
      <c r="Z350" s="72" t="s">
        <v>4</v>
      </c>
      <c r="AA350" s="95" t="s">
        <v>2831</v>
      </c>
      <c r="AB350" s="132"/>
      <c r="AC350" s="132"/>
      <c r="AD350" s="132"/>
      <c r="AE350" s="63"/>
      <c r="AF350" s="63"/>
      <c r="AG350" s="63"/>
    </row>
    <row r="351" spans="1:33" ht="17.2" customHeight="1">
      <c r="A351" s="64" t="str">
        <f>IF(priority(Main[[#This Row],[Comments]])&lt;&gt;0, priority(Main[[#This Row],[Comments]]),"")</f>
        <v/>
      </c>
      <c r="B351" s="60" t="s">
        <v>1185</v>
      </c>
      <c r="C351" s="72" t="s">
        <v>245</v>
      </c>
      <c r="D351" s="59" t="s">
        <v>246</v>
      </c>
      <c r="E351" s="85"/>
      <c r="F351" s="85"/>
      <c r="G351" s="64" t="str">
        <f>IF(stdProdLT(Main[[#This Row],[Comments]])=0.1,"N/A",IF(stdProdLT(Main[[#This Row],[Comments]])=0,"",TRIM(stdProdLT(Main[[#This Row],[Comments]]))))</f>
        <v/>
      </c>
      <c r="H351" s="94" t="str">
        <f>IF(OR(Main[[#This Row],[Std. Prod. Lead Time]]="N/A",Main[[#This Row],[Std. Prod. Lead Time]]=""), "",IF(AND(Main[[#This Row],[In Stock Date]]&lt;&gt;"",Main[[#This Row],[Revised Due Date]]&lt;&gt;"",Main[[#This Row],[In Stock Date]]&lt;&gt;""),Main[[#This Row],[In Stock Date]]-Main[[#This Row],[Revised Due Date]],""))</f>
        <v/>
      </c>
      <c r="I351" s="101" t="s">
        <v>4</v>
      </c>
      <c r="J351" s="95" t="s">
        <v>4</v>
      </c>
      <c r="K351" s="96" t="s">
        <v>4</v>
      </c>
      <c r="L351" s="85"/>
      <c r="M351" s="73" t="str">
        <f>IF(Main[[#This Row],[Tech Start Date]]&lt;1/1/1990,"",IF(Main[[#This Row],[Class]]="C",WORKDAY(Main[[#This Row],[Tech Start Date]],9),IF(Main[[#This Row],[Class]]="B", WORKDAY(Main[[#This Row],[Tech Start Date]],6),IF(Main[[#This Row],[Class]]="A",WORKDAY(Main[[#This Row],[Tech Start Date]],2),""))))</f>
        <v/>
      </c>
      <c r="N351" s="73" t="str">
        <f>IF(Main[[#This Row],[Tech Start Date]]&lt;1/1/1990,"",IF(Main[[#This Row],[Class]]="C",WORKDAY(Main[[#This Row],[Tech Start Date]],19),IF(Main[[#This Row],[Class]]="B", WORKDAY(Main[[#This Row],[Tech Start Date]],12),IF(Main[[#This Row],[Class]]="A",WORKDAY(Main[[#This Row],[Tech Start Date]],4),""))))</f>
        <v/>
      </c>
      <c r="O351" s="73" t="str">
        <f>IF(Main[[#This Row],[Tech Start Date]]&lt;1/1/1990,"",IF(Main[[#This Row],[Class]]="C",WORKDAY(Main[[#This Row],[Tech Start Date]],23),IF(Main[[#This Row],[Class]]="B", WORKDAY(Main[[#This Row],[Tech Start Date]],15),IF(Main[[#This Row],[Class]]="A",WORKDAY(Main[[#This Row],[Tech Start Date]],5),""))))</f>
        <v/>
      </c>
      <c r="P351" s="73" t="str">
        <f>IF(Main[[#This Row],[Tech Start Date]]&lt;1/1/1990,"",IF(Main[[#This Row],[Class]]="C",WORKDAY(Main[[#This Row],[Tech Start Date]],28),IF(Main[[#This Row],[Class]]="B", WORKDAY(Main[[#This Row],[Tech Start Date]],19),IF(Main[[#This Row],[Class]]="A",WORKDAY(Main[[#This Row],[Tech Start Date]],9),""))))</f>
        <v/>
      </c>
      <c r="Q351" s="85">
        <v>40325</v>
      </c>
      <c r="R351" s="112"/>
      <c r="S351" s="95" t="s">
        <v>11</v>
      </c>
      <c r="T351" s="74" t="s">
        <v>4</v>
      </c>
      <c r="U351" s="95" t="s">
        <v>12</v>
      </c>
      <c r="V351" s="95" t="s">
        <v>1912</v>
      </c>
      <c r="W351" s="95" t="s">
        <v>1917</v>
      </c>
      <c r="X351" s="95" t="s">
        <v>50</v>
      </c>
      <c r="Y351" s="72" t="s">
        <v>2991</v>
      </c>
      <c r="Z351" s="72" t="s">
        <v>4</v>
      </c>
      <c r="AA351" s="95" t="s">
        <v>3360</v>
      </c>
      <c r="AB351" s="132"/>
      <c r="AC351" s="132"/>
      <c r="AD351" s="132"/>
      <c r="AE351" s="63"/>
      <c r="AF351" s="63"/>
      <c r="AG351" s="63"/>
    </row>
    <row r="352" spans="1:33" ht="17.2" customHeight="1">
      <c r="A352" s="64" t="str">
        <f>IF(priority(Main[[#This Row],[Comments]])&lt;&gt;0, priority(Main[[#This Row],[Comments]]),"")</f>
        <v/>
      </c>
      <c r="B352" s="60" t="s">
        <v>3470</v>
      </c>
      <c r="C352" s="72" t="s">
        <v>3227</v>
      </c>
      <c r="D352" s="59" t="s">
        <v>3471</v>
      </c>
      <c r="E352" s="85"/>
      <c r="F352" s="85">
        <v>41068</v>
      </c>
      <c r="G352" s="64" t="str">
        <f>IF(stdProdLT(Main[[#This Row],[Comments]])=0.1,"N/A",IF(stdProdLT(Main[[#This Row],[Comments]])=0,"",TRIM(stdProdLT(Main[[#This Row],[Comments]]))))</f>
        <v/>
      </c>
      <c r="H352" s="94" t="str">
        <f>IF(OR(Main[[#This Row],[Std. Prod. Lead Time]]="N/A",Main[[#This Row],[Std. Prod. Lead Time]]=""), "",IF(AND(Main[[#This Row],[In Stock Date]]&lt;&gt;"",Main[[#This Row],[Revised Due Date]]&lt;&gt;"",Main[[#This Row],[In Stock Date]]&lt;&gt;""),Main[[#This Row],[In Stock Date]]-Main[[#This Row],[Revised Due Date]],""))</f>
        <v/>
      </c>
      <c r="I352" s="101" t="s">
        <v>4</v>
      </c>
      <c r="J352" s="95" t="s">
        <v>4</v>
      </c>
      <c r="K352" s="95" t="s">
        <v>4</v>
      </c>
      <c r="L352" s="85"/>
      <c r="M352" s="73" t="str">
        <f>IF(Main[[#This Row],[Tech Start Date]]&lt;1/1/1990,"",IF(Main[[#This Row],[Class]]="C",WORKDAY(Main[[#This Row],[Tech Start Date]],9),IF(Main[[#This Row],[Class]]="B", WORKDAY(Main[[#This Row],[Tech Start Date]],6),IF(Main[[#This Row],[Class]]="A",WORKDAY(Main[[#This Row],[Tech Start Date]],2),""))))</f>
        <v/>
      </c>
      <c r="N352" s="73" t="str">
        <f>IF(Main[[#This Row],[Tech Start Date]]&lt;1/1/1990,"",IF(Main[[#This Row],[Class]]="C",WORKDAY(Main[[#This Row],[Tech Start Date]],19),IF(Main[[#This Row],[Class]]="B", WORKDAY(Main[[#This Row],[Tech Start Date]],12),IF(Main[[#This Row],[Class]]="A",WORKDAY(Main[[#This Row],[Tech Start Date]],4),""))))</f>
        <v/>
      </c>
      <c r="O352" s="73" t="str">
        <f>IF(Main[[#This Row],[Tech Start Date]]&lt;1/1/1990,"",IF(Main[[#This Row],[Class]]="C",WORKDAY(Main[[#This Row],[Tech Start Date]],23),IF(Main[[#This Row],[Class]]="B", WORKDAY(Main[[#This Row],[Tech Start Date]],15),IF(Main[[#This Row],[Class]]="A",WORKDAY(Main[[#This Row],[Tech Start Date]],5),""))))</f>
        <v/>
      </c>
      <c r="P352" s="73" t="str">
        <f>IF(Main[[#This Row],[Tech Start Date]]&lt;1/1/1990,"",IF(Main[[#This Row],[Class]]="C",WORKDAY(Main[[#This Row],[Tech Start Date]],28),IF(Main[[#This Row],[Class]]="B", WORKDAY(Main[[#This Row],[Tech Start Date]],19),IF(Main[[#This Row],[Class]]="A",WORKDAY(Main[[#This Row],[Tech Start Date]],9),""))))</f>
        <v/>
      </c>
      <c r="Q352" s="85">
        <v>40956</v>
      </c>
      <c r="R352" s="112"/>
      <c r="S352" s="95" t="s">
        <v>11</v>
      </c>
      <c r="T352" s="74" t="s">
        <v>4</v>
      </c>
      <c r="U352" s="95" t="s">
        <v>14</v>
      </c>
      <c r="V352" s="95" t="s">
        <v>1921</v>
      </c>
      <c r="W352" s="95" t="s">
        <v>1919</v>
      </c>
      <c r="X352" s="95" t="s">
        <v>2809</v>
      </c>
      <c r="Y352" s="72" t="s">
        <v>2929</v>
      </c>
      <c r="Z352" s="72" t="s">
        <v>4</v>
      </c>
      <c r="AA352" s="95" t="s">
        <v>2809</v>
      </c>
      <c r="AB352" s="132"/>
      <c r="AC352" s="132"/>
      <c r="AD352" s="132"/>
      <c r="AE352" s="63"/>
      <c r="AF352" s="63"/>
      <c r="AG352" s="63"/>
    </row>
    <row r="353" spans="1:33" ht="17.2" customHeight="1">
      <c r="A353" s="64" t="str">
        <f>IF(priority(Main[[#This Row],[Comments]])&lt;&gt;0, priority(Main[[#This Row],[Comments]]),"")</f>
        <v/>
      </c>
      <c r="B353" s="60" t="s">
        <v>1683</v>
      </c>
      <c r="C353" s="72" t="s">
        <v>79</v>
      </c>
      <c r="D353" s="59" t="s">
        <v>739</v>
      </c>
      <c r="E353" s="85">
        <v>40458.641226851854</v>
      </c>
      <c r="F353" s="85"/>
      <c r="G353" s="64" t="str">
        <f>IF(stdProdLT(Main[[#This Row],[Comments]])=0.1,"N/A",IF(stdProdLT(Main[[#This Row],[Comments]])=0,"",TRIM(stdProdLT(Main[[#This Row],[Comments]]))))</f>
        <v/>
      </c>
      <c r="H353" s="94" t="str">
        <f>IF(OR(Main[[#This Row],[Std. Prod. Lead Time]]="N/A",Main[[#This Row],[Std. Prod. Lead Time]]=""), "",IF(AND(Main[[#This Row],[In Stock Date]]&lt;&gt;"",Main[[#This Row],[Revised Due Date]]&lt;&gt;"",Main[[#This Row],[In Stock Date]]&lt;&gt;""),Main[[#This Row],[In Stock Date]]-Main[[#This Row],[Revised Due Date]],""))</f>
        <v/>
      </c>
      <c r="I353" s="101" t="s">
        <v>4</v>
      </c>
      <c r="J353" s="95" t="s">
        <v>28</v>
      </c>
      <c r="K353" s="96" t="s">
        <v>1923</v>
      </c>
      <c r="L353" s="85"/>
      <c r="M353" s="73" t="str">
        <f>IF(Main[[#This Row],[Tech Start Date]]&lt;1/1/1990,"",IF(Main[[#This Row],[Class]]="C",WORKDAY(Main[[#This Row],[Tech Start Date]],9),IF(Main[[#This Row],[Class]]="B", WORKDAY(Main[[#This Row],[Tech Start Date]],6),IF(Main[[#This Row],[Class]]="A",WORKDAY(Main[[#This Row],[Tech Start Date]],2),""))))</f>
        <v/>
      </c>
      <c r="N353" s="73" t="str">
        <f>IF(Main[[#This Row],[Tech Start Date]]&lt;1/1/1990,"",IF(Main[[#This Row],[Class]]="C",WORKDAY(Main[[#This Row],[Tech Start Date]],19),IF(Main[[#This Row],[Class]]="B", WORKDAY(Main[[#This Row],[Tech Start Date]],12),IF(Main[[#This Row],[Class]]="A",WORKDAY(Main[[#This Row],[Tech Start Date]],4),""))))</f>
        <v/>
      </c>
      <c r="O353" s="73" t="str">
        <f>IF(Main[[#This Row],[Tech Start Date]]&lt;1/1/1990,"",IF(Main[[#This Row],[Class]]="C",WORKDAY(Main[[#This Row],[Tech Start Date]],23),IF(Main[[#This Row],[Class]]="B", WORKDAY(Main[[#This Row],[Tech Start Date]],15),IF(Main[[#This Row],[Class]]="A",WORKDAY(Main[[#This Row],[Tech Start Date]],5),""))))</f>
        <v/>
      </c>
      <c r="P353" s="73" t="str">
        <f>IF(Main[[#This Row],[Tech Start Date]]&lt;1/1/1990,"",IF(Main[[#This Row],[Class]]="C",WORKDAY(Main[[#This Row],[Tech Start Date]],28),IF(Main[[#This Row],[Class]]="B", WORKDAY(Main[[#This Row],[Tech Start Date]],19),IF(Main[[#This Row],[Class]]="A",WORKDAY(Main[[#This Row],[Tech Start Date]],9),""))))</f>
        <v/>
      </c>
      <c r="Q353" s="85">
        <v>40486</v>
      </c>
      <c r="R353" s="112"/>
      <c r="S353" s="95" t="s">
        <v>17</v>
      </c>
      <c r="T353" s="74" t="s">
        <v>4</v>
      </c>
      <c r="U353" s="95" t="s">
        <v>7</v>
      </c>
      <c r="V353" s="95" t="s">
        <v>1911</v>
      </c>
      <c r="W353" s="95" t="s">
        <v>1916</v>
      </c>
      <c r="X353" s="95" t="s">
        <v>2801</v>
      </c>
      <c r="Y353" s="72" t="s">
        <v>2914</v>
      </c>
      <c r="Z353" s="72" t="s">
        <v>129</v>
      </c>
      <c r="AA353" s="95" t="s">
        <v>2801</v>
      </c>
      <c r="AB353" s="132"/>
      <c r="AC353" s="132"/>
      <c r="AD353" s="132"/>
      <c r="AE353" s="63"/>
      <c r="AF353" s="63"/>
      <c r="AG353" s="63"/>
    </row>
    <row r="354" spans="1:33" ht="17.2" customHeight="1">
      <c r="A354" s="64" t="str">
        <f>IF(priority(Main[[#This Row],[Comments]])&lt;&gt;0, priority(Main[[#This Row],[Comments]]),"")</f>
        <v/>
      </c>
      <c r="B354" s="60" t="s">
        <v>2034</v>
      </c>
      <c r="C354" s="72" t="s">
        <v>4</v>
      </c>
      <c r="D354" s="59" t="s">
        <v>2035</v>
      </c>
      <c r="E354" s="85"/>
      <c r="F354" s="85"/>
      <c r="G354" s="64" t="str">
        <f>IF(stdProdLT(Main[[#This Row],[Comments]])=0.1,"N/A",IF(stdProdLT(Main[[#This Row],[Comments]])=0,"",TRIM(stdProdLT(Main[[#This Row],[Comments]]))))</f>
        <v/>
      </c>
      <c r="H354" s="94" t="str">
        <f>IF(OR(Main[[#This Row],[Std. Prod. Lead Time]]="N/A",Main[[#This Row],[Std. Prod. Lead Time]]=""), "",IF(AND(Main[[#This Row],[In Stock Date]]&lt;&gt;"",Main[[#This Row],[Revised Due Date]]&lt;&gt;"",Main[[#This Row],[In Stock Date]]&lt;&gt;""),Main[[#This Row],[In Stock Date]]-Main[[#This Row],[Revised Due Date]],""))</f>
        <v/>
      </c>
      <c r="I354" s="101" t="s">
        <v>4</v>
      </c>
      <c r="J354" s="95" t="s">
        <v>4</v>
      </c>
      <c r="K354" s="95" t="s">
        <v>4</v>
      </c>
      <c r="L354" s="85"/>
      <c r="M354" s="73" t="str">
        <f>IF(Main[[#This Row],[Tech Start Date]]&lt;1/1/1990,"",IF(Main[[#This Row],[Class]]="C",WORKDAY(Main[[#This Row],[Tech Start Date]],9),IF(Main[[#This Row],[Class]]="B", WORKDAY(Main[[#This Row],[Tech Start Date]],6),IF(Main[[#This Row],[Class]]="A",WORKDAY(Main[[#This Row],[Tech Start Date]],2),""))))</f>
        <v/>
      </c>
      <c r="N354" s="73" t="str">
        <f>IF(Main[[#This Row],[Tech Start Date]]&lt;1/1/1990,"",IF(Main[[#This Row],[Class]]="C",WORKDAY(Main[[#This Row],[Tech Start Date]],19),IF(Main[[#This Row],[Class]]="B", WORKDAY(Main[[#This Row],[Tech Start Date]],12),IF(Main[[#This Row],[Class]]="A",WORKDAY(Main[[#This Row],[Tech Start Date]],4),""))))</f>
        <v/>
      </c>
      <c r="O354" s="73" t="str">
        <f>IF(Main[[#This Row],[Tech Start Date]]&lt;1/1/1990,"",IF(Main[[#This Row],[Class]]="C",WORKDAY(Main[[#This Row],[Tech Start Date]],23),IF(Main[[#This Row],[Class]]="B", WORKDAY(Main[[#This Row],[Tech Start Date]],15),IF(Main[[#This Row],[Class]]="A",WORKDAY(Main[[#This Row],[Tech Start Date]],5),""))))</f>
        <v/>
      </c>
      <c r="P354" s="73" t="str">
        <f>IF(Main[[#This Row],[Tech Start Date]]&lt;1/1/1990,"",IF(Main[[#This Row],[Class]]="C",WORKDAY(Main[[#This Row],[Tech Start Date]],28),IF(Main[[#This Row],[Class]]="B", WORKDAY(Main[[#This Row],[Tech Start Date]],19),IF(Main[[#This Row],[Class]]="A",WORKDAY(Main[[#This Row],[Tech Start Date]],9),""))))</f>
        <v/>
      </c>
      <c r="Q354" s="85"/>
      <c r="R354" s="112"/>
      <c r="S354" s="95" t="s">
        <v>6</v>
      </c>
      <c r="T354" s="74" t="s">
        <v>4</v>
      </c>
      <c r="U354" s="95" t="s">
        <v>14</v>
      </c>
      <c r="V354" s="95" t="s">
        <v>1914</v>
      </c>
      <c r="W354" s="95" t="s">
        <v>1915</v>
      </c>
      <c r="X354" s="95" t="s">
        <v>306</v>
      </c>
      <c r="Y354" s="72" t="s">
        <v>4</v>
      </c>
      <c r="Z354" s="72" t="s">
        <v>4</v>
      </c>
      <c r="AA354" s="95" t="s">
        <v>4</v>
      </c>
      <c r="AB354" s="132"/>
      <c r="AC354" s="132"/>
      <c r="AD354" s="132"/>
      <c r="AE354" s="63"/>
      <c r="AF354" s="63"/>
      <c r="AG354" s="63"/>
    </row>
    <row r="355" spans="1:33" ht="17.2" customHeight="1">
      <c r="A355" s="64" t="str">
        <f>IF(priority(Main[[#This Row],[Comments]])&lt;&gt;0, priority(Main[[#This Row],[Comments]]),"")</f>
        <v/>
      </c>
      <c r="B355" s="60" t="s">
        <v>1187</v>
      </c>
      <c r="C355" s="72" t="s">
        <v>33</v>
      </c>
      <c r="D355" s="59" t="s">
        <v>248</v>
      </c>
      <c r="E355" s="85"/>
      <c r="F355" s="85"/>
      <c r="G355" s="64" t="str">
        <f>IF(stdProdLT(Main[[#This Row],[Comments]])=0.1,"N/A",IF(stdProdLT(Main[[#This Row],[Comments]])=0,"",TRIM(stdProdLT(Main[[#This Row],[Comments]]))))</f>
        <v/>
      </c>
      <c r="H355" s="94" t="str">
        <f>IF(OR(Main[[#This Row],[Std. Prod. Lead Time]]="N/A",Main[[#This Row],[Std. Prod. Lead Time]]=""), "",IF(AND(Main[[#This Row],[In Stock Date]]&lt;&gt;"",Main[[#This Row],[Revised Due Date]]&lt;&gt;"",Main[[#This Row],[In Stock Date]]&lt;&gt;""),Main[[#This Row],[In Stock Date]]-Main[[#This Row],[Revised Due Date]],""))</f>
        <v/>
      </c>
      <c r="I355" s="101" t="s">
        <v>4</v>
      </c>
      <c r="J355" s="95" t="s">
        <v>4</v>
      </c>
      <c r="K355" s="95" t="s">
        <v>4</v>
      </c>
      <c r="L355" s="85"/>
      <c r="M355" s="73" t="str">
        <f>IF(Main[[#This Row],[Tech Start Date]]&lt;1/1/1990,"",IF(Main[[#This Row],[Class]]="C",WORKDAY(Main[[#This Row],[Tech Start Date]],9),IF(Main[[#This Row],[Class]]="B", WORKDAY(Main[[#This Row],[Tech Start Date]],6),IF(Main[[#This Row],[Class]]="A",WORKDAY(Main[[#This Row],[Tech Start Date]],2),""))))</f>
        <v/>
      </c>
      <c r="N355" s="73" t="str">
        <f>IF(Main[[#This Row],[Tech Start Date]]&lt;1/1/1990,"",IF(Main[[#This Row],[Class]]="C",WORKDAY(Main[[#This Row],[Tech Start Date]],19),IF(Main[[#This Row],[Class]]="B", WORKDAY(Main[[#This Row],[Tech Start Date]],12),IF(Main[[#This Row],[Class]]="A",WORKDAY(Main[[#This Row],[Tech Start Date]],4),""))))</f>
        <v/>
      </c>
      <c r="O355" s="73" t="str">
        <f>IF(Main[[#This Row],[Tech Start Date]]&lt;1/1/1990,"",IF(Main[[#This Row],[Class]]="C",WORKDAY(Main[[#This Row],[Tech Start Date]],23),IF(Main[[#This Row],[Class]]="B", WORKDAY(Main[[#This Row],[Tech Start Date]],15),IF(Main[[#This Row],[Class]]="A",WORKDAY(Main[[#This Row],[Tech Start Date]],5),""))))</f>
        <v/>
      </c>
      <c r="P355" s="73" t="str">
        <f>IF(Main[[#This Row],[Tech Start Date]]&lt;1/1/1990,"",IF(Main[[#This Row],[Class]]="C",WORKDAY(Main[[#This Row],[Tech Start Date]],28),IF(Main[[#This Row],[Class]]="B", WORKDAY(Main[[#This Row],[Tech Start Date]],19),IF(Main[[#This Row],[Class]]="A",WORKDAY(Main[[#This Row],[Tech Start Date]],9),""))))</f>
        <v/>
      </c>
      <c r="Q355" s="85">
        <v>40269</v>
      </c>
      <c r="R355" s="112"/>
      <c r="S355" s="95" t="s">
        <v>11</v>
      </c>
      <c r="T355" s="74" t="s">
        <v>4</v>
      </c>
      <c r="U355" s="95" t="s">
        <v>14</v>
      </c>
      <c r="V355" s="95" t="s">
        <v>1914</v>
      </c>
      <c r="W355" s="95" t="s">
        <v>1913</v>
      </c>
      <c r="X355" s="95" t="s">
        <v>2849</v>
      </c>
      <c r="Y355" s="72" t="s">
        <v>4</v>
      </c>
      <c r="Z355" s="72" t="s">
        <v>4</v>
      </c>
      <c r="AA355" s="95" t="s">
        <v>2849</v>
      </c>
      <c r="AB355" s="132"/>
      <c r="AC355" s="132"/>
      <c r="AD355" s="132"/>
      <c r="AE355" s="63"/>
      <c r="AF355" s="63"/>
      <c r="AG355" s="63"/>
    </row>
    <row r="356" spans="1:33" ht="17.2" customHeight="1">
      <c r="A356" s="64" t="str">
        <f>IF(priority(Main[[#This Row],[Comments]])&lt;&gt;0, priority(Main[[#This Row],[Comments]]),"")</f>
        <v/>
      </c>
      <c r="B356" s="60" t="s">
        <v>1188</v>
      </c>
      <c r="C356" s="72" t="s">
        <v>249</v>
      </c>
      <c r="D356" s="59" t="s">
        <v>250</v>
      </c>
      <c r="E356" s="85"/>
      <c r="F356" s="85"/>
      <c r="G356" s="64" t="str">
        <f>IF(stdProdLT(Main[[#This Row],[Comments]])=0.1,"N/A",IF(stdProdLT(Main[[#This Row],[Comments]])=0,"",TRIM(stdProdLT(Main[[#This Row],[Comments]]))))</f>
        <v/>
      </c>
      <c r="H356" s="94" t="str">
        <f>IF(OR(Main[[#This Row],[Std. Prod. Lead Time]]="N/A",Main[[#This Row],[Std. Prod. Lead Time]]=""), "",IF(AND(Main[[#This Row],[In Stock Date]]&lt;&gt;"",Main[[#This Row],[Revised Due Date]]&lt;&gt;"",Main[[#This Row],[In Stock Date]]&lt;&gt;""),Main[[#This Row],[In Stock Date]]-Main[[#This Row],[Revised Due Date]],""))</f>
        <v/>
      </c>
      <c r="I356" s="101" t="s">
        <v>4</v>
      </c>
      <c r="J356" s="95" t="s">
        <v>28</v>
      </c>
      <c r="K356" s="95" t="s">
        <v>4</v>
      </c>
      <c r="L356" s="85"/>
      <c r="M356" s="73" t="str">
        <f>IF(Main[[#This Row],[Tech Start Date]]&lt;1/1/1990,"",IF(Main[[#This Row],[Class]]="C",WORKDAY(Main[[#This Row],[Tech Start Date]],9),IF(Main[[#This Row],[Class]]="B", WORKDAY(Main[[#This Row],[Tech Start Date]],6),IF(Main[[#This Row],[Class]]="A",WORKDAY(Main[[#This Row],[Tech Start Date]],2),""))))</f>
        <v/>
      </c>
      <c r="N356" s="73" t="str">
        <f>IF(Main[[#This Row],[Tech Start Date]]&lt;1/1/1990,"",IF(Main[[#This Row],[Class]]="C",WORKDAY(Main[[#This Row],[Tech Start Date]],19),IF(Main[[#This Row],[Class]]="B", WORKDAY(Main[[#This Row],[Tech Start Date]],12),IF(Main[[#This Row],[Class]]="A",WORKDAY(Main[[#This Row],[Tech Start Date]],4),""))))</f>
        <v/>
      </c>
      <c r="O356" s="73" t="str">
        <f>IF(Main[[#This Row],[Tech Start Date]]&lt;1/1/1990,"",IF(Main[[#This Row],[Class]]="C",WORKDAY(Main[[#This Row],[Tech Start Date]],23),IF(Main[[#This Row],[Class]]="B", WORKDAY(Main[[#This Row],[Tech Start Date]],15),IF(Main[[#This Row],[Class]]="A",WORKDAY(Main[[#This Row],[Tech Start Date]],5),""))))</f>
        <v/>
      </c>
      <c r="P356" s="73" t="str">
        <f>IF(Main[[#This Row],[Tech Start Date]]&lt;1/1/1990,"",IF(Main[[#This Row],[Class]]="C",WORKDAY(Main[[#This Row],[Tech Start Date]],28),IF(Main[[#This Row],[Class]]="B", WORKDAY(Main[[#This Row],[Tech Start Date]],19),IF(Main[[#This Row],[Class]]="A",WORKDAY(Main[[#This Row],[Tech Start Date]],9),""))))</f>
        <v/>
      </c>
      <c r="Q356" s="85"/>
      <c r="R356" s="112"/>
      <c r="S356" s="95" t="s">
        <v>6</v>
      </c>
      <c r="T356" s="74" t="s">
        <v>4</v>
      </c>
      <c r="U356" s="95" t="s">
        <v>14</v>
      </c>
      <c r="V356" s="95" t="s">
        <v>1911</v>
      </c>
      <c r="W356" s="95" t="s">
        <v>1919</v>
      </c>
      <c r="X356" s="95" t="s">
        <v>889</v>
      </c>
      <c r="Y356" s="72" t="s">
        <v>2992</v>
      </c>
      <c r="Z356" s="72" t="s">
        <v>129</v>
      </c>
      <c r="AA356" s="95" t="s">
        <v>3333</v>
      </c>
      <c r="AB356" s="132"/>
      <c r="AC356" s="132"/>
      <c r="AD356" s="132"/>
      <c r="AE356" s="63"/>
      <c r="AF356" s="63"/>
      <c r="AG356" s="63"/>
    </row>
    <row r="357" spans="1:33" ht="17.2" customHeight="1">
      <c r="A357" s="64" t="str">
        <f>IF(priority(Main[[#This Row],[Comments]])&lt;&gt;0, priority(Main[[#This Row],[Comments]]),"")</f>
        <v/>
      </c>
      <c r="B357" s="60" t="s">
        <v>1189</v>
      </c>
      <c r="C357" s="72" t="s">
        <v>4</v>
      </c>
      <c r="D357" s="59" t="s">
        <v>251</v>
      </c>
      <c r="E357" s="85"/>
      <c r="F357" s="85"/>
      <c r="G357" s="64" t="str">
        <f>IF(stdProdLT(Main[[#This Row],[Comments]])=0.1,"N/A",IF(stdProdLT(Main[[#This Row],[Comments]])=0,"",TRIM(stdProdLT(Main[[#This Row],[Comments]]))))</f>
        <v/>
      </c>
      <c r="H357" s="94" t="str">
        <f>IF(OR(Main[[#This Row],[Std. Prod. Lead Time]]="N/A",Main[[#This Row],[Std. Prod. Lead Time]]=""), "",IF(AND(Main[[#This Row],[In Stock Date]]&lt;&gt;"",Main[[#This Row],[Revised Due Date]]&lt;&gt;"",Main[[#This Row],[In Stock Date]]&lt;&gt;""),Main[[#This Row],[In Stock Date]]-Main[[#This Row],[Revised Due Date]],""))</f>
        <v/>
      </c>
      <c r="I357" s="101" t="s">
        <v>4</v>
      </c>
      <c r="J357" s="95" t="s">
        <v>4</v>
      </c>
      <c r="K357" s="95" t="s">
        <v>4</v>
      </c>
      <c r="L357" s="85"/>
      <c r="M357" s="73" t="str">
        <f>IF(Main[[#This Row],[Tech Start Date]]&lt;1/1/1990,"",IF(Main[[#This Row],[Class]]="C",WORKDAY(Main[[#This Row],[Tech Start Date]],9),IF(Main[[#This Row],[Class]]="B", WORKDAY(Main[[#This Row],[Tech Start Date]],6),IF(Main[[#This Row],[Class]]="A",WORKDAY(Main[[#This Row],[Tech Start Date]],2),""))))</f>
        <v/>
      </c>
      <c r="N357" s="73" t="str">
        <f>IF(Main[[#This Row],[Tech Start Date]]&lt;1/1/1990,"",IF(Main[[#This Row],[Class]]="C",WORKDAY(Main[[#This Row],[Tech Start Date]],19),IF(Main[[#This Row],[Class]]="B", WORKDAY(Main[[#This Row],[Tech Start Date]],12),IF(Main[[#This Row],[Class]]="A",WORKDAY(Main[[#This Row],[Tech Start Date]],4),""))))</f>
        <v/>
      </c>
      <c r="O357" s="73" t="str">
        <f>IF(Main[[#This Row],[Tech Start Date]]&lt;1/1/1990,"",IF(Main[[#This Row],[Class]]="C",WORKDAY(Main[[#This Row],[Tech Start Date]],23),IF(Main[[#This Row],[Class]]="B", WORKDAY(Main[[#This Row],[Tech Start Date]],15),IF(Main[[#This Row],[Class]]="A",WORKDAY(Main[[#This Row],[Tech Start Date]],5),""))))</f>
        <v/>
      </c>
      <c r="P357" s="73" t="str">
        <f>IF(Main[[#This Row],[Tech Start Date]]&lt;1/1/1990,"",IF(Main[[#This Row],[Class]]="C",WORKDAY(Main[[#This Row],[Tech Start Date]],28),IF(Main[[#This Row],[Class]]="B", WORKDAY(Main[[#This Row],[Tech Start Date]],19),IF(Main[[#This Row],[Class]]="A",WORKDAY(Main[[#This Row],[Tech Start Date]],9),""))))</f>
        <v/>
      </c>
      <c r="Q357" s="85"/>
      <c r="R357" s="112"/>
      <c r="S357" s="95" t="s">
        <v>6</v>
      </c>
      <c r="T357" s="74" t="s">
        <v>4</v>
      </c>
      <c r="U357" s="95" t="s">
        <v>14</v>
      </c>
      <c r="V357" s="95" t="s">
        <v>1914</v>
      </c>
      <c r="W357" s="95" t="s">
        <v>1915</v>
      </c>
      <c r="X357" s="95" t="s">
        <v>306</v>
      </c>
      <c r="Y357" s="72" t="s">
        <v>4</v>
      </c>
      <c r="Z357" s="72" t="s">
        <v>4</v>
      </c>
      <c r="AA357" s="95" t="s">
        <v>415</v>
      </c>
      <c r="AB357" s="132"/>
      <c r="AC357" s="132"/>
      <c r="AD357" s="132"/>
      <c r="AE357" s="63"/>
      <c r="AF357" s="63"/>
      <c r="AG357" s="63"/>
    </row>
    <row r="358" spans="1:33" ht="17.2" customHeight="1">
      <c r="A358" s="64" t="str">
        <f>IF(priority(Main[[#This Row],[Comments]])&lt;&gt;0, priority(Main[[#This Row],[Comments]]),"")</f>
        <v/>
      </c>
      <c r="B358" s="60" t="s">
        <v>1190</v>
      </c>
      <c r="C358" s="72" t="s">
        <v>113</v>
      </c>
      <c r="D358" s="59" t="s">
        <v>136</v>
      </c>
      <c r="E358" s="85"/>
      <c r="F358" s="85"/>
      <c r="G358" s="64" t="str">
        <f>IF(stdProdLT(Main[[#This Row],[Comments]])=0.1,"N/A",IF(stdProdLT(Main[[#This Row],[Comments]])=0,"",TRIM(stdProdLT(Main[[#This Row],[Comments]]))))</f>
        <v/>
      </c>
      <c r="H358" s="94" t="str">
        <f>IF(OR(Main[[#This Row],[Std. Prod. Lead Time]]="N/A",Main[[#This Row],[Std. Prod. Lead Time]]=""), "",IF(AND(Main[[#This Row],[In Stock Date]]&lt;&gt;"",Main[[#This Row],[Revised Due Date]]&lt;&gt;"",Main[[#This Row],[In Stock Date]]&lt;&gt;""),Main[[#This Row],[In Stock Date]]-Main[[#This Row],[Revised Due Date]],""))</f>
        <v/>
      </c>
      <c r="I358" s="101" t="s">
        <v>4</v>
      </c>
      <c r="J358" s="95" t="s">
        <v>4</v>
      </c>
      <c r="K358" s="95" t="s">
        <v>4</v>
      </c>
      <c r="L358" s="85"/>
      <c r="M358" s="73" t="str">
        <f>IF(Main[[#This Row],[Tech Start Date]]&lt;1/1/1990,"",IF(Main[[#This Row],[Class]]="C",WORKDAY(Main[[#This Row],[Tech Start Date]],9),IF(Main[[#This Row],[Class]]="B", WORKDAY(Main[[#This Row],[Tech Start Date]],6),IF(Main[[#This Row],[Class]]="A",WORKDAY(Main[[#This Row],[Tech Start Date]],2),""))))</f>
        <v/>
      </c>
      <c r="N358" s="73" t="str">
        <f>IF(Main[[#This Row],[Tech Start Date]]&lt;1/1/1990,"",IF(Main[[#This Row],[Class]]="C",WORKDAY(Main[[#This Row],[Tech Start Date]],19),IF(Main[[#This Row],[Class]]="B", WORKDAY(Main[[#This Row],[Tech Start Date]],12),IF(Main[[#This Row],[Class]]="A",WORKDAY(Main[[#This Row],[Tech Start Date]],4),""))))</f>
        <v/>
      </c>
      <c r="O358" s="73" t="str">
        <f>IF(Main[[#This Row],[Tech Start Date]]&lt;1/1/1990,"",IF(Main[[#This Row],[Class]]="C",WORKDAY(Main[[#This Row],[Tech Start Date]],23),IF(Main[[#This Row],[Class]]="B", WORKDAY(Main[[#This Row],[Tech Start Date]],15),IF(Main[[#This Row],[Class]]="A",WORKDAY(Main[[#This Row],[Tech Start Date]],5),""))))</f>
        <v/>
      </c>
      <c r="P358" s="73" t="str">
        <f>IF(Main[[#This Row],[Tech Start Date]]&lt;1/1/1990,"",IF(Main[[#This Row],[Class]]="C",WORKDAY(Main[[#This Row],[Tech Start Date]],28),IF(Main[[#This Row],[Class]]="B", WORKDAY(Main[[#This Row],[Tech Start Date]],19),IF(Main[[#This Row],[Class]]="A",WORKDAY(Main[[#This Row],[Tech Start Date]],9),""))))</f>
        <v/>
      </c>
      <c r="Q358" s="85">
        <v>40641</v>
      </c>
      <c r="R358" s="112"/>
      <c r="S358" s="95" t="s">
        <v>11</v>
      </c>
      <c r="T358" s="74" t="s">
        <v>4</v>
      </c>
      <c r="U358" s="95" t="s">
        <v>14</v>
      </c>
      <c r="V358" s="95" t="s">
        <v>1911</v>
      </c>
      <c r="W358" s="95" t="s">
        <v>1919</v>
      </c>
      <c r="X358" s="95" t="s">
        <v>2819</v>
      </c>
      <c r="Y358" s="72" t="s">
        <v>2959</v>
      </c>
      <c r="Z358" s="72" t="s">
        <v>4</v>
      </c>
      <c r="AA358" s="95" t="s">
        <v>2819</v>
      </c>
      <c r="AB358" s="132"/>
      <c r="AC358" s="132"/>
      <c r="AD358" s="132"/>
      <c r="AE358" s="63"/>
      <c r="AF358" s="63"/>
      <c r="AG358" s="63"/>
    </row>
    <row r="359" spans="1:33" ht="17.2" customHeight="1">
      <c r="A359" s="64" t="str">
        <f>IF(priority(Main[[#This Row],[Comments]])&lt;&gt;0, priority(Main[[#This Row],[Comments]]),"")</f>
        <v/>
      </c>
      <c r="B359" s="60" t="s">
        <v>1133</v>
      </c>
      <c r="C359" s="72" t="s">
        <v>4</v>
      </c>
      <c r="D359" s="59" t="s">
        <v>186</v>
      </c>
      <c r="E359" s="85">
        <v>40585.675416666665</v>
      </c>
      <c r="F359" s="85">
        <v>40606</v>
      </c>
      <c r="G359" s="64" t="str">
        <f>IF(stdProdLT(Main[[#This Row],[Comments]])=0.1,"N/A",IF(stdProdLT(Main[[#This Row],[Comments]])=0,"",TRIM(stdProdLT(Main[[#This Row],[Comments]]))))</f>
        <v/>
      </c>
      <c r="H359" s="94" t="str">
        <f>IF(OR(Main[[#This Row],[Std. Prod. Lead Time]]="N/A",Main[[#This Row],[Std. Prod. Lead Time]]=""), "",IF(AND(Main[[#This Row],[In Stock Date]]&lt;&gt;"",Main[[#This Row],[Revised Due Date]]&lt;&gt;"",Main[[#This Row],[In Stock Date]]&lt;&gt;""),Main[[#This Row],[In Stock Date]]-Main[[#This Row],[Revised Due Date]],""))</f>
        <v/>
      </c>
      <c r="I359" s="101" t="s">
        <v>4</v>
      </c>
      <c r="J359" s="95" t="s">
        <v>28</v>
      </c>
      <c r="K359" s="95" t="s">
        <v>1923</v>
      </c>
      <c r="L359" s="85"/>
      <c r="M359" s="73" t="str">
        <f>IF(Main[[#This Row],[Tech Start Date]]&lt;1/1/1990,"",IF(Main[[#This Row],[Class]]="C",WORKDAY(Main[[#This Row],[Tech Start Date]],9),IF(Main[[#This Row],[Class]]="B", WORKDAY(Main[[#This Row],[Tech Start Date]],6),IF(Main[[#This Row],[Class]]="A",WORKDAY(Main[[#This Row],[Tech Start Date]],2),""))))</f>
        <v/>
      </c>
      <c r="N359" s="73" t="str">
        <f>IF(Main[[#This Row],[Tech Start Date]]&lt;1/1/1990,"",IF(Main[[#This Row],[Class]]="C",WORKDAY(Main[[#This Row],[Tech Start Date]],19),IF(Main[[#This Row],[Class]]="B", WORKDAY(Main[[#This Row],[Tech Start Date]],12),IF(Main[[#This Row],[Class]]="A",WORKDAY(Main[[#This Row],[Tech Start Date]],4),""))))</f>
        <v/>
      </c>
      <c r="O359" s="73" t="str">
        <f>IF(Main[[#This Row],[Tech Start Date]]&lt;1/1/1990,"",IF(Main[[#This Row],[Class]]="C",WORKDAY(Main[[#This Row],[Tech Start Date]],23),IF(Main[[#This Row],[Class]]="B", WORKDAY(Main[[#This Row],[Tech Start Date]],15),IF(Main[[#This Row],[Class]]="A",WORKDAY(Main[[#This Row],[Tech Start Date]],5),""))))</f>
        <v/>
      </c>
      <c r="P359" s="73" t="str">
        <f>IF(Main[[#This Row],[Tech Start Date]]&lt;1/1/1990,"",IF(Main[[#This Row],[Class]]="C",WORKDAY(Main[[#This Row],[Tech Start Date]],28),IF(Main[[#This Row],[Class]]="B", WORKDAY(Main[[#This Row],[Tech Start Date]],19),IF(Main[[#This Row],[Class]]="A",WORKDAY(Main[[#This Row],[Tech Start Date]],9),""))))</f>
        <v/>
      </c>
      <c r="Q359" s="85">
        <v>40606</v>
      </c>
      <c r="R359" s="112"/>
      <c r="S359" s="95" t="s">
        <v>17</v>
      </c>
      <c r="T359" s="74" t="s">
        <v>4</v>
      </c>
      <c r="U359" s="95" t="s">
        <v>7</v>
      </c>
      <c r="V359" s="95" t="s">
        <v>1911</v>
      </c>
      <c r="W359" s="95" t="s">
        <v>1919</v>
      </c>
      <c r="X359" s="95" t="s">
        <v>2808</v>
      </c>
      <c r="Y359" s="72" t="s">
        <v>2928</v>
      </c>
      <c r="Z359" s="72" t="s">
        <v>129</v>
      </c>
      <c r="AA359" s="95" t="s">
        <v>2808</v>
      </c>
      <c r="AB359" s="132"/>
      <c r="AC359" s="132"/>
      <c r="AD359" s="132"/>
      <c r="AE359" s="63"/>
      <c r="AF359" s="63"/>
      <c r="AG359" s="63"/>
    </row>
    <row r="360" spans="1:33" ht="17.2" customHeight="1">
      <c r="A360" s="64" t="str">
        <f>IF(priority(Main[[#This Row],[Comments]])&lt;&gt;0, priority(Main[[#This Row],[Comments]]),"")</f>
        <v/>
      </c>
      <c r="B360" s="60" t="s">
        <v>1191</v>
      </c>
      <c r="C360" s="72" t="s">
        <v>4</v>
      </c>
      <c r="D360" s="59" t="s">
        <v>2350</v>
      </c>
      <c r="E360" s="85">
        <v>40620.555636574078</v>
      </c>
      <c r="F360" s="85"/>
      <c r="G360" s="64" t="str">
        <f>IF(stdProdLT(Main[[#This Row],[Comments]])=0.1,"N/A",IF(stdProdLT(Main[[#This Row],[Comments]])=0,"",TRIM(stdProdLT(Main[[#This Row],[Comments]]))))</f>
        <v/>
      </c>
      <c r="H360" s="94" t="str">
        <f>IF(OR(Main[[#This Row],[Std. Prod. Lead Time]]="N/A",Main[[#This Row],[Std. Prod. Lead Time]]=""), "",IF(AND(Main[[#This Row],[In Stock Date]]&lt;&gt;"",Main[[#This Row],[Revised Due Date]]&lt;&gt;"",Main[[#This Row],[In Stock Date]]&lt;&gt;""),Main[[#This Row],[In Stock Date]]-Main[[#This Row],[Revised Due Date]],""))</f>
        <v/>
      </c>
      <c r="I360" s="101" t="s">
        <v>30</v>
      </c>
      <c r="J360" s="95" t="s">
        <v>75</v>
      </c>
      <c r="K360" s="95" t="s">
        <v>1920</v>
      </c>
      <c r="L360" s="85"/>
      <c r="M360" s="73" t="str">
        <f>IF(Main[[#This Row],[Tech Start Date]]&lt;1/1/1990,"",IF(Main[[#This Row],[Class]]="C",WORKDAY(Main[[#This Row],[Tech Start Date]],9),IF(Main[[#This Row],[Class]]="B", WORKDAY(Main[[#This Row],[Tech Start Date]],6),IF(Main[[#This Row],[Class]]="A",WORKDAY(Main[[#This Row],[Tech Start Date]],2),""))))</f>
        <v/>
      </c>
      <c r="N360" s="73" t="str">
        <f>IF(Main[[#This Row],[Tech Start Date]]&lt;1/1/1990,"",IF(Main[[#This Row],[Class]]="C",WORKDAY(Main[[#This Row],[Tech Start Date]],19),IF(Main[[#This Row],[Class]]="B", WORKDAY(Main[[#This Row],[Tech Start Date]],12),IF(Main[[#This Row],[Class]]="A",WORKDAY(Main[[#This Row],[Tech Start Date]],4),""))))</f>
        <v/>
      </c>
      <c r="O360" s="73" t="str">
        <f>IF(Main[[#This Row],[Tech Start Date]]&lt;1/1/1990,"",IF(Main[[#This Row],[Class]]="C",WORKDAY(Main[[#This Row],[Tech Start Date]],23),IF(Main[[#This Row],[Class]]="B", WORKDAY(Main[[#This Row],[Tech Start Date]],15),IF(Main[[#This Row],[Class]]="A",WORKDAY(Main[[#This Row],[Tech Start Date]],5),""))))</f>
        <v/>
      </c>
      <c r="P360" s="73" t="str">
        <f>IF(Main[[#This Row],[Tech Start Date]]&lt;1/1/1990,"",IF(Main[[#This Row],[Class]]="C",WORKDAY(Main[[#This Row],[Tech Start Date]],28),IF(Main[[#This Row],[Class]]="B", WORKDAY(Main[[#This Row],[Tech Start Date]],19),IF(Main[[#This Row],[Class]]="A",WORKDAY(Main[[#This Row],[Tech Start Date]],9),""))))</f>
        <v/>
      </c>
      <c r="Q360" s="85">
        <v>40662</v>
      </c>
      <c r="R360" s="112"/>
      <c r="S360" s="95" t="s">
        <v>6</v>
      </c>
      <c r="T360" s="74" t="s">
        <v>4</v>
      </c>
      <c r="U360" s="95" t="s">
        <v>29</v>
      </c>
      <c r="V360" s="95" t="s">
        <v>1914</v>
      </c>
      <c r="W360" s="95" t="s">
        <v>1915</v>
      </c>
      <c r="X360" s="95" t="s">
        <v>30</v>
      </c>
      <c r="Y360" s="72" t="s">
        <v>2993</v>
      </c>
      <c r="Z360" s="72" t="s">
        <v>30</v>
      </c>
      <c r="AA360" s="95" t="s">
        <v>3361</v>
      </c>
      <c r="AB360" s="132"/>
      <c r="AC360" s="132"/>
      <c r="AD360" s="132"/>
      <c r="AE360" s="63"/>
      <c r="AF360" s="63"/>
      <c r="AG360" s="63"/>
    </row>
    <row r="361" spans="1:33" ht="17.2" customHeight="1">
      <c r="A361" s="64" t="str">
        <f>IF(priority(Main[[#This Row],[Comments]])&lt;&gt;0, priority(Main[[#This Row],[Comments]]),"")</f>
        <v/>
      </c>
      <c r="B361" s="60" t="s">
        <v>1120</v>
      </c>
      <c r="C361" s="72" t="s">
        <v>169</v>
      </c>
      <c r="D361" s="59" t="s">
        <v>170</v>
      </c>
      <c r="E361" s="85"/>
      <c r="F361" s="85">
        <v>40237</v>
      </c>
      <c r="G361" s="64" t="str">
        <f>IF(stdProdLT(Main[[#This Row],[Comments]])=0.1,"N/A",IF(stdProdLT(Main[[#This Row],[Comments]])=0,"",TRIM(stdProdLT(Main[[#This Row],[Comments]]))))</f>
        <v/>
      </c>
      <c r="H361" s="94" t="str">
        <f>IF(OR(Main[[#This Row],[Std. Prod. Lead Time]]="N/A",Main[[#This Row],[Std. Prod. Lead Time]]=""), "",IF(AND(Main[[#This Row],[In Stock Date]]&lt;&gt;"",Main[[#This Row],[Revised Due Date]]&lt;&gt;"",Main[[#This Row],[In Stock Date]]&lt;&gt;""),Main[[#This Row],[In Stock Date]]-Main[[#This Row],[Revised Due Date]],""))</f>
        <v/>
      </c>
      <c r="I361" s="101" t="s">
        <v>4</v>
      </c>
      <c r="J361" s="95" t="s">
        <v>4</v>
      </c>
      <c r="K361" s="95" t="s">
        <v>4</v>
      </c>
      <c r="L361" s="85"/>
      <c r="M361" s="73" t="str">
        <f>IF(Main[[#This Row],[Tech Start Date]]&lt;1/1/1990,"",IF(Main[[#This Row],[Class]]="C",WORKDAY(Main[[#This Row],[Tech Start Date]],9),IF(Main[[#This Row],[Class]]="B", WORKDAY(Main[[#This Row],[Tech Start Date]],6),IF(Main[[#This Row],[Class]]="A",WORKDAY(Main[[#This Row],[Tech Start Date]],2),""))))</f>
        <v/>
      </c>
      <c r="N361" s="73" t="str">
        <f>IF(Main[[#This Row],[Tech Start Date]]&lt;1/1/1990,"",IF(Main[[#This Row],[Class]]="C",WORKDAY(Main[[#This Row],[Tech Start Date]],19),IF(Main[[#This Row],[Class]]="B", WORKDAY(Main[[#This Row],[Tech Start Date]],12),IF(Main[[#This Row],[Class]]="A",WORKDAY(Main[[#This Row],[Tech Start Date]],4),""))))</f>
        <v/>
      </c>
      <c r="O361" s="73" t="str">
        <f>IF(Main[[#This Row],[Tech Start Date]]&lt;1/1/1990,"",IF(Main[[#This Row],[Class]]="C",WORKDAY(Main[[#This Row],[Tech Start Date]],23),IF(Main[[#This Row],[Class]]="B", WORKDAY(Main[[#This Row],[Tech Start Date]],15),IF(Main[[#This Row],[Class]]="A",WORKDAY(Main[[#This Row],[Tech Start Date]],5),""))))</f>
        <v/>
      </c>
      <c r="P361" s="73" t="str">
        <f>IF(Main[[#This Row],[Tech Start Date]]&lt;1/1/1990,"",IF(Main[[#This Row],[Class]]="C",WORKDAY(Main[[#This Row],[Tech Start Date]],28),IF(Main[[#This Row],[Class]]="B", WORKDAY(Main[[#This Row],[Tech Start Date]],19),IF(Main[[#This Row],[Class]]="A",WORKDAY(Main[[#This Row],[Tech Start Date]],9),""))))</f>
        <v/>
      </c>
      <c r="Q361" s="85">
        <v>40132</v>
      </c>
      <c r="R361" s="112"/>
      <c r="S361" s="95" t="s">
        <v>11</v>
      </c>
      <c r="T361" s="74" t="s">
        <v>4</v>
      </c>
      <c r="U361" s="95" t="s">
        <v>14</v>
      </c>
      <c r="V361" s="95" t="s">
        <v>1911</v>
      </c>
      <c r="W361" s="95" t="s">
        <v>1916</v>
      </c>
      <c r="X361" s="95" t="s">
        <v>2838</v>
      </c>
      <c r="Y361" s="72" t="s">
        <v>4</v>
      </c>
      <c r="Z361" s="72" t="s">
        <v>4</v>
      </c>
      <c r="AA361" s="95" t="s">
        <v>2838</v>
      </c>
      <c r="AB361" s="132"/>
      <c r="AC361" s="132"/>
      <c r="AD361" s="132"/>
      <c r="AE361" s="63"/>
      <c r="AF361" s="63"/>
      <c r="AG361" s="63"/>
    </row>
    <row r="362" spans="1:33" ht="17.2" customHeight="1">
      <c r="A362" s="64" t="str">
        <f>IF(priority(Main[[#This Row],[Comments]])&lt;&gt;0, priority(Main[[#This Row],[Comments]]),"")</f>
        <v/>
      </c>
      <c r="B362" s="60" t="s">
        <v>2351</v>
      </c>
      <c r="C362" s="72" t="s">
        <v>4</v>
      </c>
      <c r="D362" s="59" t="s">
        <v>2352</v>
      </c>
      <c r="E362" s="85">
        <v>40826.383356481485</v>
      </c>
      <c r="F362" s="85"/>
      <c r="G362" s="64" t="str">
        <f>IF(stdProdLT(Main[[#This Row],[Comments]])=0.1,"N/A",IF(stdProdLT(Main[[#This Row],[Comments]])=0,"",TRIM(stdProdLT(Main[[#This Row],[Comments]]))))</f>
        <v/>
      </c>
      <c r="H362" s="94" t="str">
        <f>IF(OR(Main[[#This Row],[Std. Prod. Lead Time]]="N/A",Main[[#This Row],[Std. Prod. Lead Time]]=""), "",IF(AND(Main[[#This Row],[In Stock Date]]&lt;&gt;"",Main[[#This Row],[Revised Due Date]]&lt;&gt;"",Main[[#This Row],[In Stock Date]]&lt;&gt;""),Main[[#This Row],[In Stock Date]]-Main[[#This Row],[Revised Due Date]],""))</f>
        <v/>
      </c>
      <c r="I362" s="101" t="s">
        <v>30</v>
      </c>
      <c r="J362" s="95" t="s">
        <v>2206</v>
      </c>
      <c r="K362" s="95" t="s">
        <v>4</v>
      </c>
      <c r="L362" s="85"/>
      <c r="M362" s="73" t="str">
        <f>IF(Main[[#This Row],[Tech Start Date]]&lt;1/1/1990,"",IF(Main[[#This Row],[Class]]="C",WORKDAY(Main[[#This Row],[Tech Start Date]],9),IF(Main[[#This Row],[Class]]="B", WORKDAY(Main[[#This Row],[Tech Start Date]],6),IF(Main[[#This Row],[Class]]="A",WORKDAY(Main[[#This Row],[Tech Start Date]],2),""))))</f>
        <v/>
      </c>
      <c r="N362" s="73" t="str">
        <f>IF(Main[[#This Row],[Tech Start Date]]&lt;1/1/1990,"",IF(Main[[#This Row],[Class]]="C",WORKDAY(Main[[#This Row],[Tech Start Date]],19),IF(Main[[#This Row],[Class]]="B", WORKDAY(Main[[#This Row],[Tech Start Date]],12),IF(Main[[#This Row],[Class]]="A",WORKDAY(Main[[#This Row],[Tech Start Date]],4),""))))</f>
        <v/>
      </c>
      <c r="O362" s="73" t="str">
        <f>IF(Main[[#This Row],[Tech Start Date]]&lt;1/1/1990,"",IF(Main[[#This Row],[Class]]="C",WORKDAY(Main[[#This Row],[Tech Start Date]],23),IF(Main[[#This Row],[Class]]="B", WORKDAY(Main[[#This Row],[Tech Start Date]],15),IF(Main[[#This Row],[Class]]="A",WORKDAY(Main[[#This Row],[Tech Start Date]],5),""))))</f>
        <v/>
      </c>
      <c r="P362" s="73" t="str">
        <f>IF(Main[[#This Row],[Tech Start Date]]&lt;1/1/1990,"",IF(Main[[#This Row],[Class]]="C",WORKDAY(Main[[#This Row],[Tech Start Date]],28),IF(Main[[#This Row],[Class]]="B", WORKDAY(Main[[#This Row],[Tech Start Date]],19),IF(Main[[#This Row],[Class]]="A",WORKDAY(Main[[#This Row],[Tech Start Date]],9),""))))</f>
        <v/>
      </c>
      <c r="Q362" s="85"/>
      <c r="R362" s="112"/>
      <c r="S362" s="95" t="s">
        <v>6</v>
      </c>
      <c r="T362" s="74" t="s">
        <v>4</v>
      </c>
      <c r="U362" s="95" t="s">
        <v>29</v>
      </c>
      <c r="V362" s="95" t="s">
        <v>1914</v>
      </c>
      <c r="W362" s="95" t="s">
        <v>1913</v>
      </c>
      <c r="X362" s="95" t="s">
        <v>306</v>
      </c>
      <c r="Y362" s="72" t="s">
        <v>4</v>
      </c>
      <c r="Z362" s="72" t="s">
        <v>81</v>
      </c>
      <c r="AA362" s="95" t="s">
        <v>3355</v>
      </c>
      <c r="AB362" s="132"/>
      <c r="AC362" s="132"/>
      <c r="AD362" s="132"/>
      <c r="AE362" s="63"/>
      <c r="AF362" s="63"/>
      <c r="AG362" s="63"/>
    </row>
    <row r="363" spans="1:33" ht="17.2" customHeight="1">
      <c r="A363" s="64" t="str">
        <f>IF(priority(Main[[#This Row],[Comments]])&lt;&gt;0, priority(Main[[#This Row],[Comments]]),"")</f>
        <v/>
      </c>
      <c r="B363" s="60" t="s">
        <v>1121</v>
      </c>
      <c r="C363" s="72" t="s">
        <v>172</v>
      </c>
      <c r="D363" s="59" t="s">
        <v>173</v>
      </c>
      <c r="E363" s="85"/>
      <c r="F363" s="85">
        <v>40848</v>
      </c>
      <c r="G363" s="64" t="str">
        <f>IF(stdProdLT(Main[[#This Row],[Comments]])=0.1,"N/A",IF(stdProdLT(Main[[#This Row],[Comments]])=0,"",TRIM(stdProdLT(Main[[#This Row],[Comments]]))))</f>
        <v/>
      </c>
      <c r="H363" s="94" t="str">
        <f>IF(OR(Main[[#This Row],[Std. Prod. Lead Time]]="N/A",Main[[#This Row],[Std. Prod. Lead Time]]=""), "",IF(AND(Main[[#This Row],[In Stock Date]]&lt;&gt;"",Main[[#This Row],[Revised Due Date]]&lt;&gt;"",Main[[#This Row],[In Stock Date]]&lt;&gt;""),Main[[#This Row],[In Stock Date]]-Main[[#This Row],[Revised Due Date]],""))</f>
        <v/>
      </c>
      <c r="I363" s="101" t="s">
        <v>4</v>
      </c>
      <c r="J363" s="95" t="s">
        <v>51</v>
      </c>
      <c r="K363" s="96" t="s">
        <v>4</v>
      </c>
      <c r="L363" s="85"/>
      <c r="M363" s="73" t="str">
        <f>IF(Main[[#This Row],[Tech Start Date]]&lt;1/1/1990,"",IF(Main[[#This Row],[Class]]="C",WORKDAY(Main[[#This Row],[Tech Start Date]],9),IF(Main[[#This Row],[Class]]="B", WORKDAY(Main[[#This Row],[Tech Start Date]],6),IF(Main[[#This Row],[Class]]="A",WORKDAY(Main[[#This Row],[Tech Start Date]],2),""))))</f>
        <v/>
      </c>
      <c r="N363" s="73" t="str">
        <f>IF(Main[[#This Row],[Tech Start Date]]&lt;1/1/1990,"",IF(Main[[#This Row],[Class]]="C",WORKDAY(Main[[#This Row],[Tech Start Date]],19),IF(Main[[#This Row],[Class]]="B", WORKDAY(Main[[#This Row],[Tech Start Date]],12),IF(Main[[#This Row],[Class]]="A",WORKDAY(Main[[#This Row],[Tech Start Date]],4),""))))</f>
        <v/>
      </c>
      <c r="O363" s="73" t="str">
        <f>IF(Main[[#This Row],[Tech Start Date]]&lt;1/1/1990,"",IF(Main[[#This Row],[Class]]="C",WORKDAY(Main[[#This Row],[Tech Start Date]],23),IF(Main[[#This Row],[Class]]="B", WORKDAY(Main[[#This Row],[Tech Start Date]],15),IF(Main[[#This Row],[Class]]="A",WORKDAY(Main[[#This Row],[Tech Start Date]],5),""))))</f>
        <v/>
      </c>
      <c r="P363" s="73" t="str">
        <f>IF(Main[[#This Row],[Tech Start Date]]&lt;1/1/1990,"",IF(Main[[#This Row],[Class]]="C",WORKDAY(Main[[#This Row],[Tech Start Date]],28),IF(Main[[#This Row],[Class]]="B", WORKDAY(Main[[#This Row],[Tech Start Date]],19),IF(Main[[#This Row],[Class]]="A",WORKDAY(Main[[#This Row],[Tech Start Date]],9),""))))</f>
        <v/>
      </c>
      <c r="Q363" s="85">
        <v>40648</v>
      </c>
      <c r="R363" s="112"/>
      <c r="S363" s="95" t="s">
        <v>11</v>
      </c>
      <c r="T363" s="74" t="s">
        <v>4</v>
      </c>
      <c r="U363" s="95" t="s">
        <v>12</v>
      </c>
      <c r="V363" s="95" t="s">
        <v>1911</v>
      </c>
      <c r="W363" s="95" t="s">
        <v>1917</v>
      </c>
      <c r="X363" s="95" t="s">
        <v>50</v>
      </c>
      <c r="Y363" s="72" t="s">
        <v>2921</v>
      </c>
      <c r="Z363" s="72" t="s">
        <v>3137</v>
      </c>
      <c r="AA363" s="95" t="s">
        <v>2804</v>
      </c>
      <c r="AB363" s="132"/>
      <c r="AC363" s="132"/>
      <c r="AD363" s="132"/>
      <c r="AE363" s="63"/>
      <c r="AF363" s="63"/>
      <c r="AG363" s="63"/>
    </row>
    <row r="364" spans="1:33" ht="17.2" customHeight="1">
      <c r="A364" s="64" t="str">
        <f>IF(priority(Main[[#This Row],[Comments]])&lt;&gt;0, priority(Main[[#This Row],[Comments]]),"")</f>
        <v/>
      </c>
      <c r="B364" s="60" t="s">
        <v>2525</v>
      </c>
      <c r="C364" s="72" t="s">
        <v>2346</v>
      </c>
      <c r="D364" s="59" t="s">
        <v>2526</v>
      </c>
      <c r="E364" s="85"/>
      <c r="F364" s="85">
        <v>41030</v>
      </c>
      <c r="G364" s="64" t="str">
        <f>IF(stdProdLT(Main[[#This Row],[Comments]])=0.1,"N/A",IF(stdProdLT(Main[[#This Row],[Comments]])=0,"",TRIM(stdProdLT(Main[[#This Row],[Comments]]))))</f>
        <v/>
      </c>
      <c r="H364" s="94" t="str">
        <f>IF(OR(Main[[#This Row],[Std. Prod. Lead Time]]="N/A",Main[[#This Row],[Std. Prod. Lead Time]]=""), "",IF(AND(Main[[#This Row],[In Stock Date]]&lt;&gt;"",Main[[#This Row],[Revised Due Date]]&lt;&gt;"",Main[[#This Row],[In Stock Date]]&lt;&gt;""),Main[[#This Row],[In Stock Date]]-Main[[#This Row],[Revised Due Date]],""))</f>
        <v/>
      </c>
      <c r="I364" s="101" t="s">
        <v>4</v>
      </c>
      <c r="J364" s="95" t="s">
        <v>75</v>
      </c>
      <c r="K364" s="95" t="s">
        <v>4</v>
      </c>
      <c r="L364" s="85"/>
      <c r="M364" s="73" t="str">
        <f>IF(Main[[#This Row],[Tech Start Date]]&lt;1/1/1990,"",IF(Main[[#This Row],[Class]]="C",WORKDAY(Main[[#This Row],[Tech Start Date]],9),IF(Main[[#This Row],[Class]]="B", WORKDAY(Main[[#This Row],[Tech Start Date]],6),IF(Main[[#This Row],[Class]]="A",WORKDAY(Main[[#This Row],[Tech Start Date]],2),""))))</f>
        <v/>
      </c>
      <c r="N364" s="73" t="str">
        <f>IF(Main[[#This Row],[Tech Start Date]]&lt;1/1/1990,"",IF(Main[[#This Row],[Class]]="C",WORKDAY(Main[[#This Row],[Tech Start Date]],19),IF(Main[[#This Row],[Class]]="B", WORKDAY(Main[[#This Row],[Tech Start Date]],12),IF(Main[[#This Row],[Class]]="A",WORKDAY(Main[[#This Row],[Tech Start Date]],4),""))))</f>
        <v/>
      </c>
      <c r="O364" s="73" t="str">
        <f>IF(Main[[#This Row],[Tech Start Date]]&lt;1/1/1990,"",IF(Main[[#This Row],[Class]]="C",WORKDAY(Main[[#This Row],[Tech Start Date]],23),IF(Main[[#This Row],[Class]]="B", WORKDAY(Main[[#This Row],[Tech Start Date]],15),IF(Main[[#This Row],[Class]]="A",WORKDAY(Main[[#This Row],[Tech Start Date]],5),""))))</f>
        <v/>
      </c>
      <c r="P364" s="73" t="str">
        <f>IF(Main[[#This Row],[Tech Start Date]]&lt;1/1/1990,"",IF(Main[[#This Row],[Class]]="C",WORKDAY(Main[[#This Row],[Tech Start Date]],28),IF(Main[[#This Row],[Class]]="B", WORKDAY(Main[[#This Row],[Tech Start Date]],19),IF(Main[[#This Row],[Class]]="A",WORKDAY(Main[[#This Row],[Tech Start Date]],9),""))))</f>
        <v/>
      </c>
      <c r="Q364" s="85">
        <v>40923</v>
      </c>
      <c r="R364" s="112"/>
      <c r="S364" s="95" t="s">
        <v>11</v>
      </c>
      <c r="T364" s="74" t="s">
        <v>4</v>
      </c>
      <c r="U364" s="95" t="s">
        <v>14</v>
      </c>
      <c r="V364" s="95" t="s">
        <v>1921</v>
      </c>
      <c r="W364" s="95" t="s">
        <v>1917</v>
      </c>
      <c r="X364" s="95" t="s">
        <v>2828</v>
      </c>
      <c r="Y364" s="72" t="s">
        <v>2957</v>
      </c>
      <c r="Z364" s="72" t="s">
        <v>530</v>
      </c>
      <c r="AA364" s="95" t="s">
        <v>2828</v>
      </c>
      <c r="AB364" s="132"/>
      <c r="AC364" s="132"/>
      <c r="AD364" s="132"/>
      <c r="AE364" s="63"/>
      <c r="AF364" s="63"/>
      <c r="AG364" s="63"/>
    </row>
    <row r="365" spans="1:33" ht="17.2" customHeight="1">
      <c r="A365" s="64" t="str">
        <f>IF(priority(Main[[#This Row],[Comments]])&lt;&gt;0, priority(Main[[#This Row],[Comments]]),"")</f>
        <v/>
      </c>
      <c r="B365" s="60" t="s">
        <v>1122</v>
      </c>
      <c r="C365" s="72" t="s">
        <v>4</v>
      </c>
      <c r="D365" s="59" t="s">
        <v>174</v>
      </c>
      <c r="E365" s="85">
        <v>40681.639328703706</v>
      </c>
      <c r="F365" s="85"/>
      <c r="G365" s="64" t="str">
        <f>IF(stdProdLT(Main[[#This Row],[Comments]])=0.1,"N/A",IF(stdProdLT(Main[[#This Row],[Comments]])=0,"",TRIM(stdProdLT(Main[[#This Row],[Comments]]))))</f>
        <v/>
      </c>
      <c r="H365" s="94" t="str">
        <f>IF(OR(Main[[#This Row],[Std. Prod. Lead Time]]="N/A",Main[[#This Row],[Std. Prod. Lead Time]]=""), "",IF(AND(Main[[#This Row],[In Stock Date]]&lt;&gt;"",Main[[#This Row],[Revised Due Date]]&lt;&gt;"",Main[[#This Row],[In Stock Date]]&lt;&gt;""),Main[[#This Row],[In Stock Date]]-Main[[#This Row],[Revised Due Date]],""))</f>
        <v/>
      </c>
      <c r="I365" s="101" t="s">
        <v>4</v>
      </c>
      <c r="J365" s="95" t="s">
        <v>4</v>
      </c>
      <c r="K365" s="95" t="s">
        <v>4</v>
      </c>
      <c r="L365" s="85"/>
      <c r="M365" s="73" t="str">
        <f>IF(Main[[#This Row],[Tech Start Date]]&lt;1/1/1990,"",IF(Main[[#This Row],[Class]]="C",WORKDAY(Main[[#This Row],[Tech Start Date]],9),IF(Main[[#This Row],[Class]]="B", WORKDAY(Main[[#This Row],[Tech Start Date]],6),IF(Main[[#This Row],[Class]]="A",WORKDAY(Main[[#This Row],[Tech Start Date]],2),""))))</f>
        <v/>
      </c>
      <c r="N365" s="73" t="str">
        <f>IF(Main[[#This Row],[Tech Start Date]]&lt;1/1/1990,"",IF(Main[[#This Row],[Class]]="C",WORKDAY(Main[[#This Row],[Tech Start Date]],19),IF(Main[[#This Row],[Class]]="B", WORKDAY(Main[[#This Row],[Tech Start Date]],12),IF(Main[[#This Row],[Class]]="A",WORKDAY(Main[[#This Row],[Tech Start Date]],4),""))))</f>
        <v/>
      </c>
      <c r="O365" s="73" t="str">
        <f>IF(Main[[#This Row],[Tech Start Date]]&lt;1/1/1990,"",IF(Main[[#This Row],[Class]]="C",WORKDAY(Main[[#This Row],[Tech Start Date]],23),IF(Main[[#This Row],[Class]]="B", WORKDAY(Main[[#This Row],[Tech Start Date]],15),IF(Main[[#This Row],[Class]]="A",WORKDAY(Main[[#This Row],[Tech Start Date]],5),""))))</f>
        <v/>
      </c>
      <c r="P365" s="73" t="str">
        <f>IF(Main[[#This Row],[Tech Start Date]]&lt;1/1/1990,"",IF(Main[[#This Row],[Class]]="C",WORKDAY(Main[[#This Row],[Tech Start Date]],28),IF(Main[[#This Row],[Class]]="B", WORKDAY(Main[[#This Row],[Tech Start Date]],19),IF(Main[[#This Row],[Class]]="A",WORKDAY(Main[[#This Row],[Tech Start Date]],9),""))))</f>
        <v/>
      </c>
      <c r="Q365" s="85">
        <v>40702</v>
      </c>
      <c r="R365" s="112"/>
      <c r="S365" s="95" t="s">
        <v>6</v>
      </c>
      <c r="T365" s="74" t="s">
        <v>4</v>
      </c>
      <c r="U365" s="95" t="s">
        <v>7</v>
      </c>
      <c r="V365" s="95" t="s">
        <v>1911</v>
      </c>
      <c r="W365" s="95" t="s">
        <v>1919</v>
      </c>
      <c r="X365" s="95" t="s">
        <v>2801</v>
      </c>
      <c r="Y365" s="72" t="s">
        <v>2914</v>
      </c>
      <c r="Z365" s="72" t="s">
        <v>4</v>
      </c>
      <c r="AA365" s="95" t="s">
        <v>2801</v>
      </c>
      <c r="AB365" s="132"/>
      <c r="AC365" s="132"/>
      <c r="AD365" s="132"/>
      <c r="AE365" s="63"/>
      <c r="AF365" s="63"/>
      <c r="AG365" s="63"/>
    </row>
    <row r="366" spans="1:33" ht="17.2" customHeight="1">
      <c r="A366" s="64" t="str">
        <f>IF(priority(Main[[#This Row],[Comments]])&lt;&gt;0, priority(Main[[#This Row],[Comments]]),"")</f>
        <v/>
      </c>
      <c r="B366" s="60" t="s">
        <v>1194</v>
      </c>
      <c r="C366" s="72" t="s">
        <v>4</v>
      </c>
      <c r="D366" s="59" t="s">
        <v>254</v>
      </c>
      <c r="E366" s="85">
        <v>40703.393472222226</v>
      </c>
      <c r="F366" s="85"/>
      <c r="G366" s="64" t="str">
        <f>IF(stdProdLT(Main[[#This Row],[Comments]])=0.1,"N/A",IF(stdProdLT(Main[[#This Row],[Comments]])=0,"",TRIM(stdProdLT(Main[[#This Row],[Comments]]))))</f>
        <v/>
      </c>
      <c r="H366" s="94" t="str">
        <f>IF(OR(Main[[#This Row],[Std. Prod. Lead Time]]="N/A",Main[[#This Row],[Std. Prod. Lead Time]]=""), "",IF(AND(Main[[#This Row],[In Stock Date]]&lt;&gt;"",Main[[#This Row],[Revised Due Date]]&lt;&gt;"",Main[[#This Row],[In Stock Date]]&lt;&gt;""),Main[[#This Row],[In Stock Date]]-Main[[#This Row],[Revised Due Date]],""))</f>
        <v/>
      </c>
      <c r="I366" s="101" t="s">
        <v>4</v>
      </c>
      <c r="J366" s="95" t="s">
        <v>4</v>
      </c>
      <c r="K366" s="95" t="s">
        <v>4</v>
      </c>
      <c r="L366" s="85"/>
      <c r="M366" s="73" t="str">
        <f>IF(Main[[#This Row],[Tech Start Date]]&lt;1/1/1990,"",IF(Main[[#This Row],[Class]]="C",WORKDAY(Main[[#This Row],[Tech Start Date]],9),IF(Main[[#This Row],[Class]]="B", WORKDAY(Main[[#This Row],[Tech Start Date]],6),IF(Main[[#This Row],[Class]]="A",WORKDAY(Main[[#This Row],[Tech Start Date]],2),""))))</f>
        <v/>
      </c>
      <c r="N366" s="73" t="str">
        <f>IF(Main[[#This Row],[Tech Start Date]]&lt;1/1/1990,"",IF(Main[[#This Row],[Class]]="C",WORKDAY(Main[[#This Row],[Tech Start Date]],19),IF(Main[[#This Row],[Class]]="B", WORKDAY(Main[[#This Row],[Tech Start Date]],12),IF(Main[[#This Row],[Class]]="A",WORKDAY(Main[[#This Row],[Tech Start Date]],4),""))))</f>
        <v/>
      </c>
      <c r="O366" s="73" t="str">
        <f>IF(Main[[#This Row],[Tech Start Date]]&lt;1/1/1990,"",IF(Main[[#This Row],[Class]]="C",WORKDAY(Main[[#This Row],[Tech Start Date]],23),IF(Main[[#This Row],[Class]]="B", WORKDAY(Main[[#This Row],[Tech Start Date]],15),IF(Main[[#This Row],[Class]]="A",WORKDAY(Main[[#This Row],[Tech Start Date]],5),""))))</f>
        <v/>
      </c>
      <c r="P366" s="73" t="str">
        <f>IF(Main[[#This Row],[Tech Start Date]]&lt;1/1/1990,"",IF(Main[[#This Row],[Class]]="C",WORKDAY(Main[[#This Row],[Tech Start Date]],28),IF(Main[[#This Row],[Class]]="B", WORKDAY(Main[[#This Row],[Tech Start Date]],19),IF(Main[[#This Row],[Class]]="A",WORKDAY(Main[[#This Row],[Tech Start Date]],9),""))))</f>
        <v/>
      </c>
      <c r="Q366" s="85">
        <v>40724</v>
      </c>
      <c r="R366" s="112"/>
      <c r="S366" s="95" t="s">
        <v>6</v>
      </c>
      <c r="T366" s="74" t="s">
        <v>4</v>
      </c>
      <c r="U366" s="95" t="s">
        <v>7</v>
      </c>
      <c r="V366" s="95" t="s">
        <v>1911</v>
      </c>
      <c r="W366" s="95" t="s">
        <v>1915</v>
      </c>
      <c r="X366" s="95" t="s">
        <v>2816</v>
      </c>
      <c r="Y366" s="72" t="s">
        <v>2943</v>
      </c>
      <c r="Z366" s="72" t="s">
        <v>4</v>
      </c>
      <c r="AA366" s="95" t="s">
        <v>2816</v>
      </c>
      <c r="AB366" s="132"/>
      <c r="AC366" s="132"/>
      <c r="AD366" s="132"/>
      <c r="AE366" s="63"/>
      <c r="AF366" s="63"/>
      <c r="AG366" s="63"/>
    </row>
    <row r="367" spans="1:33" ht="17.2" customHeight="1">
      <c r="A367" s="64" t="str">
        <f>IF(priority(Main[[#This Row],[Comments]])&lt;&gt;0, priority(Main[[#This Row],[Comments]]),"")</f>
        <v/>
      </c>
      <c r="B367" s="60" t="s">
        <v>1195</v>
      </c>
      <c r="C367" s="72" t="s">
        <v>33</v>
      </c>
      <c r="D367" s="59" t="s">
        <v>255</v>
      </c>
      <c r="E367" s="85"/>
      <c r="F367" s="85"/>
      <c r="G367" s="64" t="str">
        <f>IF(stdProdLT(Main[[#This Row],[Comments]])=0.1,"N/A",IF(stdProdLT(Main[[#This Row],[Comments]])=0,"",TRIM(stdProdLT(Main[[#This Row],[Comments]]))))</f>
        <v/>
      </c>
      <c r="H367" s="94" t="str">
        <f>IF(OR(Main[[#This Row],[Std. Prod. Lead Time]]="N/A",Main[[#This Row],[Std. Prod. Lead Time]]=""), "",IF(AND(Main[[#This Row],[In Stock Date]]&lt;&gt;"",Main[[#This Row],[Revised Due Date]]&lt;&gt;"",Main[[#This Row],[In Stock Date]]&lt;&gt;""),Main[[#This Row],[In Stock Date]]-Main[[#This Row],[Revised Due Date]],""))</f>
        <v/>
      </c>
      <c r="I367" s="101" t="s">
        <v>4</v>
      </c>
      <c r="J367" s="95" t="s">
        <v>28</v>
      </c>
      <c r="K367" s="95" t="s">
        <v>1924</v>
      </c>
      <c r="L367" s="85"/>
      <c r="M367" s="73" t="str">
        <f>IF(Main[[#This Row],[Tech Start Date]]&lt;1/1/1990,"",IF(Main[[#This Row],[Class]]="C",WORKDAY(Main[[#This Row],[Tech Start Date]],9),IF(Main[[#This Row],[Class]]="B", WORKDAY(Main[[#This Row],[Tech Start Date]],6),IF(Main[[#This Row],[Class]]="A",WORKDAY(Main[[#This Row],[Tech Start Date]],2),""))))</f>
        <v/>
      </c>
      <c r="N367" s="73" t="str">
        <f>IF(Main[[#This Row],[Tech Start Date]]&lt;1/1/1990,"",IF(Main[[#This Row],[Class]]="C",WORKDAY(Main[[#This Row],[Tech Start Date]],19),IF(Main[[#This Row],[Class]]="B", WORKDAY(Main[[#This Row],[Tech Start Date]],12),IF(Main[[#This Row],[Class]]="A",WORKDAY(Main[[#This Row],[Tech Start Date]],4),""))))</f>
        <v/>
      </c>
      <c r="O367" s="73" t="str">
        <f>IF(Main[[#This Row],[Tech Start Date]]&lt;1/1/1990,"",IF(Main[[#This Row],[Class]]="C",WORKDAY(Main[[#This Row],[Tech Start Date]],23),IF(Main[[#This Row],[Class]]="B", WORKDAY(Main[[#This Row],[Tech Start Date]],15),IF(Main[[#This Row],[Class]]="A",WORKDAY(Main[[#This Row],[Tech Start Date]],5),""))))</f>
        <v/>
      </c>
      <c r="P367" s="73" t="str">
        <f>IF(Main[[#This Row],[Tech Start Date]]&lt;1/1/1990,"",IF(Main[[#This Row],[Class]]="C",WORKDAY(Main[[#This Row],[Tech Start Date]],28),IF(Main[[#This Row],[Class]]="B", WORKDAY(Main[[#This Row],[Tech Start Date]],19),IF(Main[[#This Row],[Class]]="A",WORKDAY(Main[[#This Row],[Tech Start Date]],9),""))))</f>
        <v/>
      </c>
      <c r="Q367" s="85">
        <v>40364</v>
      </c>
      <c r="R367" s="112"/>
      <c r="S367" s="95" t="s">
        <v>17</v>
      </c>
      <c r="T367" s="74" t="s">
        <v>4</v>
      </c>
      <c r="U367" s="95" t="s">
        <v>14</v>
      </c>
      <c r="V367" s="95" t="s">
        <v>1912</v>
      </c>
      <c r="W367" s="95" t="s">
        <v>1916</v>
      </c>
      <c r="X367" s="95" t="s">
        <v>2855</v>
      </c>
      <c r="Y367" s="72" t="s">
        <v>2999</v>
      </c>
      <c r="Z367" s="72" t="s">
        <v>108</v>
      </c>
      <c r="AA367" s="95" t="s">
        <v>2855</v>
      </c>
      <c r="AB367" s="132"/>
      <c r="AC367" s="132"/>
      <c r="AD367" s="132"/>
      <c r="AE367" s="63"/>
      <c r="AF367" s="63"/>
      <c r="AG367" s="63"/>
    </row>
    <row r="368" spans="1:33" ht="17.2" customHeight="1">
      <c r="A368" s="64" t="str">
        <f>IF(priority(Main[[#This Row],[Comments]])&lt;&gt;0, priority(Main[[#This Row],[Comments]]),"")</f>
        <v/>
      </c>
      <c r="B368" s="60" t="s">
        <v>1196</v>
      </c>
      <c r="C368" s="72" t="s">
        <v>31</v>
      </c>
      <c r="D368" s="59" t="s">
        <v>256</v>
      </c>
      <c r="E368" s="85"/>
      <c r="F368" s="85"/>
      <c r="G368" s="64" t="str">
        <f>IF(stdProdLT(Main[[#This Row],[Comments]])=0.1,"N/A",IF(stdProdLT(Main[[#This Row],[Comments]])=0,"",TRIM(stdProdLT(Main[[#This Row],[Comments]]))))</f>
        <v/>
      </c>
      <c r="H368" s="94" t="str">
        <f>IF(OR(Main[[#This Row],[Std. Prod. Lead Time]]="N/A",Main[[#This Row],[Std. Prod. Lead Time]]=""), "",IF(AND(Main[[#This Row],[In Stock Date]]&lt;&gt;"",Main[[#This Row],[Revised Due Date]]&lt;&gt;"",Main[[#This Row],[In Stock Date]]&lt;&gt;""),Main[[#This Row],[In Stock Date]]-Main[[#This Row],[Revised Due Date]],""))</f>
        <v/>
      </c>
      <c r="I368" s="101" t="s">
        <v>4</v>
      </c>
      <c r="J368" s="95" t="s">
        <v>4</v>
      </c>
      <c r="K368" s="95" t="s">
        <v>4</v>
      </c>
      <c r="L368" s="85"/>
      <c r="M368" s="73" t="str">
        <f>IF(Main[[#This Row],[Tech Start Date]]&lt;1/1/1990,"",IF(Main[[#This Row],[Class]]="C",WORKDAY(Main[[#This Row],[Tech Start Date]],9),IF(Main[[#This Row],[Class]]="B", WORKDAY(Main[[#This Row],[Tech Start Date]],6),IF(Main[[#This Row],[Class]]="A",WORKDAY(Main[[#This Row],[Tech Start Date]],2),""))))</f>
        <v/>
      </c>
      <c r="N368" s="73" t="str">
        <f>IF(Main[[#This Row],[Tech Start Date]]&lt;1/1/1990,"",IF(Main[[#This Row],[Class]]="C",WORKDAY(Main[[#This Row],[Tech Start Date]],19),IF(Main[[#This Row],[Class]]="B", WORKDAY(Main[[#This Row],[Tech Start Date]],12),IF(Main[[#This Row],[Class]]="A",WORKDAY(Main[[#This Row],[Tech Start Date]],4),""))))</f>
        <v/>
      </c>
      <c r="O368" s="73" t="str">
        <f>IF(Main[[#This Row],[Tech Start Date]]&lt;1/1/1990,"",IF(Main[[#This Row],[Class]]="C",WORKDAY(Main[[#This Row],[Tech Start Date]],23),IF(Main[[#This Row],[Class]]="B", WORKDAY(Main[[#This Row],[Tech Start Date]],15),IF(Main[[#This Row],[Class]]="A",WORKDAY(Main[[#This Row],[Tech Start Date]],5),""))))</f>
        <v/>
      </c>
      <c r="P368" s="73" t="str">
        <f>IF(Main[[#This Row],[Tech Start Date]]&lt;1/1/1990,"",IF(Main[[#This Row],[Class]]="C",WORKDAY(Main[[#This Row],[Tech Start Date]],28),IF(Main[[#This Row],[Class]]="B", WORKDAY(Main[[#This Row],[Tech Start Date]],19),IF(Main[[#This Row],[Class]]="A",WORKDAY(Main[[#This Row],[Tech Start Date]],9),""))))</f>
        <v/>
      </c>
      <c r="Q368" s="85">
        <v>40318</v>
      </c>
      <c r="R368" s="112"/>
      <c r="S368" s="95" t="s">
        <v>11</v>
      </c>
      <c r="T368" s="74" t="s">
        <v>4</v>
      </c>
      <c r="U368" s="95" t="s">
        <v>14</v>
      </c>
      <c r="V368" s="95" t="s">
        <v>1914</v>
      </c>
      <c r="W368" s="95" t="s">
        <v>1913</v>
      </c>
      <c r="X368" s="95" t="s">
        <v>2810</v>
      </c>
      <c r="Y368" s="72" t="s">
        <v>4</v>
      </c>
      <c r="Z368" s="72" t="s">
        <v>4</v>
      </c>
      <c r="AA368" s="95" t="s">
        <v>2810</v>
      </c>
      <c r="AB368" s="132"/>
      <c r="AC368" s="132"/>
      <c r="AD368" s="132"/>
      <c r="AE368" s="63"/>
      <c r="AF368" s="63"/>
      <c r="AG368" s="63"/>
    </row>
    <row r="369" spans="1:33" ht="17.2" customHeight="1">
      <c r="A369" s="64" t="str">
        <f>IF(priority(Main[[#This Row],[Comments]])&lt;&gt;0, priority(Main[[#This Row],[Comments]]),"")</f>
        <v/>
      </c>
      <c r="B369" s="60" t="s">
        <v>1197</v>
      </c>
      <c r="C369" s="72" t="s">
        <v>4</v>
      </c>
      <c r="D369" s="59" t="s">
        <v>257</v>
      </c>
      <c r="E369" s="85"/>
      <c r="F369" s="85"/>
      <c r="G369" s="64" t="str">
        <f>IF(stdProdLT(Main[[#This Row],[Comments]])=0.1,"N/A",IF(stdProdLT(Main[[#This Row],[Comments]])=0,"",TRIM(stdProdLT(Main[[#This Row],[Comments]]))))</f>
        <v/>
      </c>
      <c r="H369" s="94" t="str">
        <f>IF(OR(Main[[#This Row],[Std. Prod. Lead Time]]="N/A",Main[[#This Row],[Std. Prod. Lead Time]]=""), "",IF(AND(Main[[#This Row],[In Stock Date]]&lt;&gt;"",Main[[#This Row],[Revised Due Date]]&lt;&gt;"",Main[[#This Row],[In Stock Date]]&lt;&gt;""),Main[[#This Row],[In Stock Date]]-Main[[#This Row],[Revised Due Date]],""))</f>
        <v/>
      </c>
      <c r="I369" s="101" t="s">
        <v>4</v>
      </c>
      <c r="J369" s="95" t="s">
        <v>4</v>
      </c>
      <c r="K369" s="95" t="s">
        <v>4</v>
      </c>
      <c r="L369" s="85"/>
      <c r="M369" s="73" t="str">
        <f>IF(Main[[#This Row],[Tech Start Date]]&lt;1/1/1990,"",IF(Main[[#This Row],[Class]]="C",WORKDAY(Main[[#This Row],[Tech Start Date]],9),IF(Main[[#This Row],[Class]]="B", WORKDAY(Main[[#This Row],[Tech Start Date]],6),IF(Main[[#This Row],[Class]]="A",WORKDAY(Main[[#This Row],[Tech Start Date]],2),""))))</f>
        <v/>
      </c>
      <c r="N369" s="73" t="str">
        <f>IF(Main[[#This Row],[Tech Start Date]]&lt;1/1/1990,"",IF(Main[[#This Row],[Class]]="C",WORKDAY(Main[[#This Row],[Tech Start Date]],19),IF(Main[[#This Row],[Class]]="B", WORKDAY(Main[[#This Row],[Tech Start Date]],12),IF(Main[[#This Row],[Class]]="A",WORKDAY(Main[[#This Row],[Tech Start Date]],4),""))))</f>
        <v/>
      </c>
      <c r="O369" s="73" t="str">
        <f>IF(Main[[#This Row],[Tech Start Date]]&lt;1/1/1990,"",IF(Main[[#This Row],[Class]]="C",WORKDAY(Main[[#This Row],[Tech Start Date]],23),IF(Main[[#This Row],[Class]]="B", WORKDAY(Main[[#This Row],[Tech Start Date]],15),IF(Main[[#This Row],[Class]]="A",WORKDAY(Main[[#This Row],[Tech Start Date]],5),""))))</f>
        <v/>
      </c>
      <c r="P369" s="73" t="str">
        <f>IF(Main[[#This Row],[Tech Start Date]]&lt;1/1/1990,"",IF(Main[[#This Row],[Class]]="C",WORKDAY(Main[[#This Row],[Tech Start Date]],28),IF(Main[[#This Row],[Class]]="B", WORKDAY(Main[[#This Row],[Tech Start Date]],19),IF(Main[[#This Row],[Class]]="A",WORKDAY(Main[[#This Row],[Tech Start Date]],9),""))))</f>
        <v/>
      </c>
      <c r="Q369" s="85">
        <v>40390</v>
      </c>
      <c r="R369" s="112"/>
      <c r="S369" s="95" t="s">
        <v>6</v>
      </c>
      <c r="T369" s="74" t="s">
        <v>4</v>
      </c>
      <c r="U369" s="95" t="s">
        <v>14</v>
      </c>
      <c r="V369" s="95" t="s">
        <v>1914</v>
      </c>
      <c r="W369" s="95" t="s">
        <v>4</v>
      </c>
      <c r="X369" s="95" t="s">
        <v>2799</v>
      </c>
      <c r="Y369" s="72" t="s">
        <v>2910</v>
      </c>
      <c r="Z369" s="72" t="s">
        <v>4</v>
      </c>
      <c r="AA369" s="95" t="s">
        <v>2799</v>
      </c>
      <c r="AB369" s="132"/>
      <c r="AC369" s="132"/>
      <c r="AD369" s="132"/>
      <c r="AE369" s="63"/>
      <c r="AF369" s="63"/>
      <c r="AG369" s="63"/>
    </row>
    <row r="370" spans="1:33" ht="17.2" customHeight="1">
      <c r="A370" s="64" t="str">
        <f>IF(priority(Main[[#This Row],[Comments]])&lt;&gt;0, priority(Main[[#This Row],[Comments]]),"")</f>
        <v/>
      </c>
      <c r="B370" s="60" t="s">
        <v>1198</v>
      </c>
      <c r="C370" s="72" t="s">
        <v>211</v>
      </c>
      <c r="D370" s="59" t="s">
        <v>258</v>
      </c>
      <c r="E370" s="85"/>
      <c r="F370" s="85">
        <v>40452</v>
      </c>
      <c r="G370" s="64" t="str">
        <f>IF(stdProdLT(Main[[#This Row],[Comments]])=0.1,"N/A",IF(stdProdLT(Main[[#This Row],[Comments]])=0,"",TRIM(stdProdLT(Main[[#This Row],[Comments]]))))</f>
        <v/>
      </c>
      <c r="H370" s="94" t="str">
        <f>IF(OR(Main[[#This Row],[Std. Prod. Lead Time]]="N/A",Main[[#This Row],[Std. Prod. Lead Time]]=""), "",IF(AND(Main[[#This Row],[In Stock Date]]&lt;&gt;"",Main[[#This Row],[Revised Due Date]]&lt;&gt;"",Main[[#This Row],[In Stock Date]]&lt;&gt;""),Main[[#This Row],[In Stock Date]]-Main[[#This Row],[Revised Due Date]],""))</f>
        <v/>
      </c>
      <c r="I370" s="101" t="s">
        <v>4</v>
      </c>
      <c r="J370" s="95" t="s">
        <v>4</v>
      </c>
      <c r="K370" s="95" t="s">
        <v>4</v>
      </c>
      <c r="L370" s="85"/>
      <c r="M370" s="73" t="str">
        <f>IF(Main[[#This Row],[Tech Start Date]]&lt;1/1/1990,"",IF(Main[[#This Row],[Class]]="C",WORKDAY(Main[[#This Row],[Tech Start Date]],9),IF(Main[[#This Row],[Class]]="B", WORKDAY(Main[[#This Row],[Tech Start Date]],6),IF(Main[[#This Row],[Class]]="A",WORKDAY(Main[[#This Row],[Tech Start Date]],2),""))))</f>
        <v/>
      </c>
      <c r="N370" s="73" t="str">
        <f>IF(Main[[#This Row],[Tech Start Date]]&lt;1/1/1990,"",IF(Main[[#This Row],[Class]]="C",WORKDAY(Main[[#This Row],[Tech Start Date]],19),IF(Main[[#This Row],[Class]]="B", WORKDAY(Main[[#This Row],[Tech Start Date]],12),IF(Main[[#This Row],[Class]]="A",WORKDAY(Main[[#This Row],[Tech Start Date]],4),""))))</f>
        <v/>
      </c>
      <c r="O370" s="73" t="str">
        <f>IF(Main[[#This Row],[Tech Start Date]]&lt;1/1/1990,"",IF(Main[[#This Row],[Class]]="C",WORKDAY(Main[[#This Row],[Tech Start Date]],23),IF(Main[[#This Row],[Class]]="B", WORKDAY(Main[[#This Row],[Tech Start Date]],15),IF(Main[[#This Row],[Class]]="A",WORKDAY(Main[[#This Row],[Tech Start Date]],5),""))))</f>
        <v/>
      </c>
      <c r="P370" s="73" t="str">
        <f>IF(Main[[#This Row],[Tech Start Date]]&lt;1/1/1990,"",IF(Main[[#This Row],[Class]]="C",WORKDAY(Main[[#This Row],[Tech Start Date]],28),IF(Main[[#This Row],[Class]]="B", WORKDAY(Main[[#This Row],[Tech Start Date]],19),IF(Main[[#This Row],[Class]]="A",WORKDAY(Main[[#This Row],[Tech Start Date]],9),""))))</f>
        <v/>
      </c>
      <c r="Q370" s="85">
        <v>40357</v>
      </c>
      <c r="R370" s="112"/>
      <c r="S370" s="95" t="s">
        <v>11</v>
      </c>
      <c r="T370" s="74" t="s">
        <v>4</v>
      </c>
      <c r="U370" s="95" t="s">
        <v>12</v>
      </c>
      <c r="V370" s="95" t="s">
        <v>1911</v>
      </c>
      <c r="W370" s="95" t="s">
        <v>1919</v>
      </c>
      <c r="X370" s="95" t="s">
        <v>2813</v>
      </c>
      <c r="Y370" s="72" t="s">
        <v>4</v>
      </c>
      <c r="Z370" s="72" t="s">
        <v>4</v>
      </c>
      <c r="AA370" s="95" t="s">
        <v>2813</v>
      </c>
      <c r="AB370" s="132"/>
      <c r="AC370" s="132"/>
      <c r="AD370" s="132"/>
      <c r="AE370" s="63"/>
      <c r="AF370" s="63"/>
      <c r="AG370" s="63"/>
    </row>
    <row r="371" spans="1:33" ht="17.2" customHeight="1">
      <c r="A371" s="64" t="str">
        <f>IF(priority(Main[[#This Row],[Comments]])&lt;&gt;0, priority(Main[[#This Row],[Comments]]),"")</f>
        <v/>
      </c>
      <c r="B371" s="60" t="s">
        <v>1199</v>
      </c>
      <c r="C371" s="72" t="s">
        <v>211</v>
      </c>
      <c r="D371" s="59" t="s">
        <v>259</v>
      </c>
      <c r="E371" s="85"/>
      <c r="F371" s="85">
        <v>40452</v>
      </c>
      <c r="G371" s="64" t="str">
        <f>IF(stdProdLT(Main[[#This Row],[Comments]])=0.1,"N/A",IF(stdProdLT(Main[[#This Row],[Comments]])=0,"",TRIM(stdProdLT(Main[[#This Row],[Comments]]))))</f>
        <v/>
      </c>
      <c r="H371" s="94" t="str">
        <f>IF(OR(Main[[#This Row],[Std. Prod. Lead Time]]="N/A",Main[[#This Row],[Std. Prod. Lead Time]]=""), "",IF(AND(Main[[#This Row],[In Stock Date]]&lt;&gt;"",Main[[#This Row],[Revised Due Date]]&lt;&gt;"",Main[[#This Row],[In Stock Date]]&lt;&gt;""),Main[[#This Row],[In Stock Date]]-Main[[#This Row],[Revised Due Date]],""))</f>
        <v/>
      </c>
      <c r="I371" s="101" t="s">
        <v>4</v>
      </c>
      <c r="J371" s="95" t="s">
        <v>4</v>
      </c>
      <c r="K371" s="96" t="s">
        <v>4</v>
      </c>
      <c r="L371" s="85"/>
      <c r="M371" s="73" t="str">
        <f>IF(Main[[#This Row],[Tech Start Date]]&lt;1/1/1990,"",IF(Main[[#This Row],[Class]]="C",WORKDAY(Main[[#This Row],[Tech Start Date]],9),IF(Main[[#This Row],[Class]]="B", WORKDAY(Main[[#This Row],[Tech Start Date]],6),IF(Main[[#This Row],[Class]]="A",WORKDAY(Main[[#This Row],[Tech Start Date]],2),""))))</f>
        <v/>
      </c>
      <c r="N371" s="73" t="str">
        <f>IF(Main[[#This Row],[Tech Start Date]]&lt;1/1/1990,"",IF(Main[[#This Row],[Class]]="C",WORKDAY(Main[[#This Row],[Tech Start Date]],19),IF(Main[[#This Row],[Class]]="B", WORKDAY(Main[[#This Row],[Tech Start Date]],12),IF(Main[[#This Row],[Class]]="A",WORKDAY(Main[[#This Row],[Tech Start Date]],4),""))))</f>
        <v/>
      </c>
      <c r="O371" s="73" t="str">
        <f>IF(Main[[#This Row],[Tech Start Date]]&lt;1/1/1990,"",IF(Main[[#This Row],[Class]]="C",WORKDAY(Main[[#This Row],[Tech Start Date]],23),IF(Main[[#This Row],[Class]]="B", WORKDAY(Main[[#This Row],[Tech Start Date]],15),IF(Main[[#This Row],[Class]]="A",WORKDAY(Main[[#This Row],[Tech Start Date]],5),""))))</f>
        <v/>
      </c>
      <c r="P371" s="73" t="str">
        <f>IF(Main[[#This Row],[Tech Start Date]]&lt;1/1/1990,"",IF(Main[[#This Row],[Class]]="C",WORKDAY(Main[[#This Row],[Tech Start Date]],28),IF(Main[[#This Row],[Class]]="B", WORKDAY(Main[[#This Row],[Tech Start Date]],19),IF(Main[[#This Row],[Class]]="A",WORKDAY(Main[[#This Row],[Tech Start Date]],9),""))))</f>
        <v/>
      </c>
      <c r="Q371" s="85">
        <v>40357</v>
      </c>
      <c r="R371" s="112"/>
      <c r="S371" s="95" t="s">
        <v>11</v>
      </c>
      <c r="T371" s="74" t="s">
        <v>4</v>
      </c>
      <c r="U371" s="95" t="s">
        <v>12</v>
      </c>
      <c r="V371" s="95" t="s">
        <v>1911</v>
      </c>
      <c r="W371" s="95" t="s">
        <v>1919</v>
      </c>
      <c r="X371" s="95" t="s">
        <v>2813</v>
      </c>
      <c r="Y371" s="72" t="s">
        <v>4</v>
      </c>
      <c r="Z371" s="72" t="s">
        <v>4</v>
      </c>
      <c r="AA371" s="95" t="s">
        <v>2813</v>
      </c>
      <c r="AB371" s="132"/>
      <c r="AC371" s="132"/>
      <c r="AD371" s="132"/>
      <c r="AE371" s="63"/>
      <c r="AF371" s="63"/>
      <c r="AG371" s="63"/>
    </row>
    <row r="372" spans="1:33" ht="17.2" customHeight="1">
      <c r="A372" s="64" t="str">
        <f>IF(priority(Main[[#This Row],[Comments]])&lt;&gt;0, priority(Main[[#This Row],[Comments]]),"")</f>
        <v/>
      </c>
      <c r="B372" s="60" t="s">
        <v>1228</v>
      </c>
      <c r="C372" s="72" t="s">
        <v>4</v>
      </c>
      <c r="D372" s="59" t="s">
        <v>289</v>
      </c>
      <c r="E372" s="85">
        <v>40379.350532407407</v>
      </c>
      <c r="F372" s="85"/>
      <c r="G372" s="64" t="str">
        <f>IF(stdProdLT(Main[[#This Row],[Comments]])=0.1,"N/A",IF(stdProdLT(Main[[#This Row],[Comments]])=0,"",TRIM(stdProdLT(Main[[#This Row],[Comments]]))))</f>
        <v/>
      </c>
      <c r="H372" s="94" t="str">
        <f>IF(OR(Main[[#This Row],[Std. Prod. Lead Time]]="N/A",Main[[#This Row],[Std. Prod. Lead Time]]=""), "",IF(AND(Main[[#This Row],[In Stock Date]]&lt;&gt;"",Main[[#This Row],[Revised Due Date]]&lt;&gt;"",Main[[#This Row],[In Stock Date]]&lt;&gt;""),Main[[#This Row],[In Stock Date]]-Main[[#This Row],[Revised Due Date]],""))</f>
        <v/>
      </c>
      <c r="I372" s="101" t="s">
        <v>4</v>
      </c>
      <c r="J372" s="95" t="s">
        <v>28</v>
      </c>
      <c r="K372" s="95" t="s">
        <v>4</v>
      </c>
      <c r="L372" s="85"/>
      <c r="M372" s="73" t="str">
        <f>IF(Main[[#This Row],[Tech Start Date]]&lt;1/1/1990,"",IF(Main[[#This Row],[Class]]="C",WORKDAY(Main[[#This Row],[Tech Start Date]],9),IF(Main[[#This Row],[Class]]="B", WORKDAY(Main[[#This Row],[Tech Start Date]],6),IF(Main[[#This Row],[Class]]="A",WORKDAY(Main[[#This Row],[Tech Start Date]],2),""))))</f>
        <v/>
      </c>
      <c r="N372" s="73" t="str">
        <f>IF(Main[[#This Row],[Tech Start Date]]&lt;1/1/1990,"",IF(Main[[#This Row],[Class]]="C",WORKDAY(Main[[#This Row],[Tech Start Date]],19),IF(Main[[#This Row],[Class]]="B", WORKDAY(Main[[#This Row],[Tech Start Date]],12),IF(Main[[#This Row],[Class]]="A",WORKDAY(Main[[#This Row],[Tech Start Date]],4),""))))</f>
        <v/>
      </c>
      <c r="O372" s="73" t="str">
        <f>IF(Main[[#This Row],[Tech Start Date]]&lt;1/1/1990,"",IF(Main[[#This Row],[Class]]="C",WORKDAY(Main[[#This Row],[Tech Start Date]],23),IF(Main[[#This Row],[Class]]="B", WORKDAY(Main[[#This Row],[Tech Start Date]],15),IF(Main[[#This Row],[Class]]="A",WORKDAY(Main[[#This Row],[Tech Start Date]],5),""))))</f>
        <v/>
      </c>
      <c r="P372" s="73" t="str">
        <f>IF(Main[[#This Row],[Tech Start Date]]&lt;1/1/1990,"",IF(Main[[#This Row],[Class]]="C",WORKDAY(Main[[#This Row],[Tech Start Date]],28),IF(Main[[#This Row],[Class]]="B", WORKDAY(Main[[#This Row],[Tech Start Date]],19),IF(Main[[#This Row],[Class]]="A",WORKDAY(Main[[#This Row],[Tech Start Date]],9),""))))</f>
        <v/>
      </c>
      <c r="Q372" s="85">
        <v>40413</v>
      </c>
      <c r="R372" s="112"/>
      <c r="S372" s="95" t="s">
        <v>6</v>
      </c>
      <c r="T372" s="74" t="s">
        <v>4</v>
      </c>
      <c r="U372" s="95" t="s">
        <v>7</v>
      </c>
      <c r="V372" s="95" t="s">
        <v>1911</v>
      </c>
      <c r="W372" s="95" t="s">
        <v>1913</v>
      </c>
      <c r="X372" s="95" t="s">
        <v>2798</v>
      </c>
      <c r="Y372" s="72" t="s">
        <v>2908</v>
      </c>
      <c r="Z372" s="72" t="s">
        <v>129</v>
      </c>
      <c r="AA372" s="95" t="s">
        <v>2798</v>
      </c>
      <c r="AB372" s="132"/>
      <c r="AC372" s="132"/>
      <c r="AD372" s="132"/>
      <c r="AE372" s="63"/>
      <c r="AF372" s="63"/>
      <c r="AG372" s="63"/>
    </row>
    <row r="373" spans="1:33" ht="17.2" customHeight="1">
      <c r="A373" s="64" t="str">
        <f>IF(priority(Main[[#This Row],[Comments]])&lt;&gt;0, priority(Main[[#This Row],[Comments]]),"")</f>
        <v/>
      </c>
      <c r="B373" s="60" t="s">
        <v>1229</v>
      </c>
      <c r="C373" s="72" t="s">
        <v>290</v>
      </c>
      <c r="D373" s="59" t="s">
        <v>291</v>
      </c>
      <c r="E373" s="85"/>
      <c r="F373" s="85"/>
      <c r="G373" s="64" t="str">
        <f>IF(stdProdLT(Main[[#This Row],[Comments]])=0.1,"N/A",IF(stdProdLT(Main[[#This Row],[Comments]])=0,"",TRIM(stdProdLT(Main[[#This Row],[Comments]]))))</f>
        <v/>
      </c>
      <c r="H373" s="94" t="str">
        <f>IF(OR(Main[[#This Row],[Std. Prod. Lead Time]]="N/A",Main[[#This Row],[Std. Prod. Lead Time]]=""), "",IF(AND(Main[[#This Row],[In Stock Date]]&lt;&gt;"",Main[[#This Row],[Revised Due Date]]&lt;&gt;"",Main[[#This Row],[In Stock Date]]&lt;&gt;""),Main[[#This Row],[In Stock Date]]-Main[[#This Row],[Revised Due Date]],""))</f>
        <v/>
      </c>
      <c r="I373" s="101" t="s">
        <v>4</v>
      </c>
      <c r="J373" s="95" t="s">
        <v>4</v>
      </c>
      <c r="K373" s="95" t="s">
        <v>4</v>
      </c>
      <c r="L373" s="85"/>
      <c r="M373" s="73" t="str">
        <f>IF(Main[[#This Row],[Tech Start Date]]&lt;1/1/1990,"",IF(Main[[#This Row],[Class]]="C",WORKDAY(Main[[#This Row],[Tech Start Date]],9),IF(Main[[#This Row],[Class]]="B", WORKDAY(Main[[#This Row],[Tech Start Date]],6),IF(Main[[#This Row],[Class]]="A",WORKDAY(Main[[#This Row],[Tech Start Date]],2),""))))</f>
        <v/>
      </c>
      <c r="N373" s="73" t="str">
        <f>IF(Main[[#This Row],[Tech Start Date]]&lt;1/1/1990,"",IF(Main[[#This Row],[Class]]="C",WORKDAY(Main[[#This Row],[Tech Start Date]],19),IF(Main[[#This Row],[Class]]="B", WORKDAY(Main[[#This Row],[Tech Start Date]],12),IF(Main[[#This Row],[Class]]="A",WORKDAY(Main[[#This Row],[Tech Start Date]],4),""))))</f>
        <v/>
      </c>
      <c r="O373" s="73" t="str">
        <f>IF(Main[[#This Row],[Tech Start Date]]&lt;1/1/1990,"",IF(Main[[#This Row],[Class]]="C",WORKDAY(Main[[#This Row],[Tech Start Date]],23),IF(Main[[#This Row],[Class]]="B", WORKDAY(Main[[#This Row],[Tech Start Date]],15),IF(Main[[#This Row],[Class]]="A",WORKDAY(Main[[#This Row],[Tech Start Date]],5),""))))</f>
        <v/>
      </c>
      <c r="P373" s="73" t="str">
        <f>IF(Main[[#This Row],[Tech Start Date]]&lt;1/1/1990,"",IF(Main[[#This Row],[Class]]="C",WORKDAY(Main[[#This Row],[Tech Start Date]],28),IF(Main[[#This Row],[Class]]="B", WORKDAY(Main[[#This Row],[Tech Start Date]],19),IF(Main[[#This Row],[Class]]="A",WORKDAY(Main[[#This Row],[Tech Start Date]],9),""))))</f>
        <v/>
      </c>
      <c r="Q373" s="85">
        <v>40052</v>
      </c>
      <c r="R373" s="112"/>
      <c r="S373" s="95" t="s">
        <v>11</v>
      </c>
      <c r="T373" s="74" t="s">
        <v>4</v>
      </c>
      <c r="U373" s="95" t="s">
        <v>14</v>
      </c>
      <c r="V373" s="95" t="s">
        <v>1914</v>
      </c>
      <c r="W373" s="95" t="s">
        <v>1913</v>
      </c>
      <c r="X373" s="95" t="s">
        <v>2814</v>
      </c>
      <c r="Y373" s="72" t="s">
        <v>4</v>
      </c>
      <c r="Z373" s="72" t="s">
        <v>4</v>
      </c>
      <c r="AA373" s="95" t="s">
        <v>2814</v>
      </c>
      <c r="AB373" s="132"/>
      <c r="AC373" s="132"/>
      <c r="AD373" s="132"/>
      <c r="AE373" s="63"/>
      <c r="AF373" s="63"/>
      <c r="AG373" s="63"/>
    </row>
    <row r="374" spans="1:33" ht="17.2" customHeight="1">
      <c r="A374" s="64" t="str">
        <f>IF(priority(Main[[#This Row],[Comments]])&lt;&gt;0, priority(Main[[#This Row],[Comments]]),"")</f>
        <v/>
      </c>
      <c r="B374" s="60" t="s">
        <v>2689</v>
      </c>
      <c r="C374" s="72" t="s">
        <v>2690</v>
      </c>
      <c r="D374" s="59" t="s">
        <v>2691</v>
      </c>
      <c r="E374" s="85"/>
      <c r="F374" s="85">
        <v>40900</v>
      </c>
      <c r="G374" s="64" t="str">
        <f>IF(stdProdLT(Main[[#This Row],[Comments]])=0.1,"N/A",IF(stdProdLT(Main[[#This Row],[Comments]])=0,"",TRIM(stdProdLT(Main[[#This Row],[Comments]]))))</f>
        <v/>
      </c>
      <c r="H374" s="94" t="str">
        <f>IF(OR(Main[[#This Row],[Std. Prod. Lead Time]]="N/A",Main[[#This Row],[Std. Prod. Lead Time]]=""), "",IF(AND(Main[[#This Row],[In Stock Date]]&lt;&gt;"",Main[[#This Row],[Revised Due Date]]&lt;&gt;"",Main[[#This Row],[In Stock Date]]&lt;&gt;""),Main[[#This Row],[In Stock Date]]-Main[[#This Row],[Revised Due Date]],""))</f>
        <v/>
      </c>
      <c r="I374" s="101" t="s">
        <v>4</v>
      </c>
      <c r="J374" s="95" t="s">
        <v>4</v>
      </c>
      <c r="K374" s="95" t="s">
        <v>4</v>
      </c>
      <c r="L374" s="85"/>
      <c r="M374" s="73" t="str">
        <f>IF(Main[[#This Row],[Tech Start Date]]&lt;1/1/1990,"",IF(Main[[#This Row],[Class]]="C",WORKDAY(Main[[#This Row],[Tech Start Date]],9),IF(Main[[#This Row],[Class]]="B", WORKDAY(Main[[#This Row],[Tech Start Date]],6),IF(Main[[#This Row],[Class]]="A",WORKDAY(Main[[#This Row],[Tech Start Date]],2),""))))</f>
        <v/>
      </c>
      <c r="N374" s="73" t="str">
        <f>IF(Main[[#This Row],[Tech Start Date]]&lt;1/1/1990,"",IF(Main[[#This Row],[Class]]="C",WORKDAY(Main[[#This Row],[Tech Start Date]],19),IF(Main[[#This Row],[Class]]="B", WORKDAY(Main[[#This Row],[Tech Start Date]],12),IF(Main[[#This Row],[Class]]="A",WORKDAY(Main[[#This Row],[Tech Start Date]],4),""))))</f>
        <v/>
      </c>
      <c r="O374" s="73" t="str">
        <f>IF(Main[[#This Row],[Tech Start Date]]&lt;1/1/1990,"",IF(Main[[#This Row],[Class]]="C",WORKDAY(Main[[#This Row],[Tech Start Date]],23),IF(Main[[#This Row],[Class]]="B", WORKDAY(Main[[#This Row],[Tech Start Date]],15),IF(Main[[#This Row],[Class]]="A",WORKDAY(Main[[#This Row],[Tech Start Date]],5),""))))</f>
        <v/>
      </c>
      <c r="P374" s="73" t="str">
        <f>IF(Main[[#This Row],[Tech Start Date]]&lt;1/1/1990,"",IF(Main[[#This Row],[Class]]="C",WORKDAY(Main[[#This Row],[Tech Start Date]],28),IF(Main[[#This Row],[Class]]="B", WORKDAY(Main[[#This Row],[Tech Start Date]],19),IF(Main[[#This Row],[Class]]="A",WORKDAY(Main[[#This Row],[Tech Start Date]],9),""))))</f>
        <v/>
      </c>
      <c r="Q374" s="85">
        <v>40899</v>
      </c>
      <c r="R374" s="112"/>
      <c r="S374" s="95" t="s">
        <v>11</v>
      </c>
      <c r="T374" s="74" t="s">
        <v>4</v>
      </c>
      <c r="U374" s="95" t="s">
        <v>14</v>
      </c>
      <c r="V374" s="95" t="s">
        <v>1914</v>
      </c>
      <c r="W374" s="95" t="s">
        <v>1917</v>
      </c>
      <c r="X374" s="95" t="s">
        <v>2850</v>
      </c>
      <c r="Y374" s="72" t="s">
        <v>2994</v>
      </c>
      <c r="Z374" s="72" t="s">
        <v>4</v>
      </c>
      <c r="AA374" s="95" t="s">
        <v>2850</v>
      </c>
      <c r="AB374" s="132"/>
      <c r="AC374" s="132"/>
      <c r="AD374" s="132"/>
      <c r="AE374" s="63"/>
      <c r="AF374" s="63"/>
      <c r="AG374" s="63"/>
    </row>
    <row r="375" spans="1:33" ht="17.2" customHeight="1">
      <c r="A375" s="64" t="str">
        <f>IF(priority(Main[[#This Row],[Comments]])&lt;&gt;0, priority(Main[[#This Row],[Comments]]),"")</f>
        <v/>
      </c>
      <c r="B375" s="60" t="s">
        <v>3539</v>
      </c>
      <c r="C375" s="72" t="s">
        <v>4</v>
      </c>
      <c r="D375" s="59" t="s">
        <v>3540</v>
      </c>
      <c r="E375" s="85">
        <v>40959.340949074074</v>
      </c>
      <c r="F375" s="85"/>
      <c r="G375" s="64" t="str">
        <f>IF(stdProdLT(Main[[#This Row],[Comments]])=0.1,"N/A",IF(stdProdLT(Main[[#This Row],[Comments]])=0,"",TRIM(stdProdLT(Main[[#This Row],[Comments]]))))</f>
        <v/>
      </c>
      <c r="H375" s="94" t="str">
        <f>IF(OR(Main[[#This Row],[Std. Prod. Lead Time]]="N/A",Main[[#This Row],[Std. Prod. Lead Time]]=""), "",IF(AND(Main[[#This Row],[In Stock Date]]&lt;&gt;"",Main[[#This Row],[Revised Due Date]]&lt;&gt;"",Main[[#This Row],[In Stock Date]]&lt;&gt;""),Main[[#This Row],[In Stock Date]]-Main[[#This Row],[Revised Due Date]],""))</f>
        <v/>
      </c>
      <c r="I375" s="101" t="s">
        <v>4</v>
      </c>
      <c r="J375" s="95" t="s">
        <v>4</v>
      </c>
      <c r="K375" s="95" t="s">
        <v>4</v>
      </c>
      <c r="L375" s="85"/>
      <c r="M375" s="73" t="str">
        <f>IF(Main[[#This Row],[Tech Start Date]]&lt;1/1/1990,"",IF(Main[[#This Row],[Class]]="C",WORKDAY(Main[[#This Row],[Tech Start Date]],9),IF(Main[[#This Row],[Class]]="B", WORKDAY(Main[[#This Row],[Tech Start Date]],6),IF(Main[[#This Row],[Class]]="A",WORKDAY(Main[[#This Row],[Tech Start Date]],2),""))))</f>
        <v/>
      </c>
      <c r="N375" s="73" t="str">
        <f>IF(Main[[#This Row],[Tech Start Date]]&lt;1/1/1990,"",IF(Main[[#This Row],[Class]]="C",WORKDAY(Main[[#This Row],[Tech Start Date]],19),IF(Main[[#This Row],[Class]]="B", WORKDAY(Main[[#This Row],[Tech Start Date]],12),IF(Main[[#This Row],[Class]]="A",WORKDAY(Main[[#This Row],[Tech Start Date]],4),""))))</f>
        <v/>
      </c>
      <c r="O375" s="73" t="str">
        <f>IF(Main[[#This Row],[Tech Start Date]]&lt;1/1/1990,"",IF(Main[[#This Row],[Class]]="C",WORKDAY(Main[[#This Row],[Tech Start Date]],23),IF(Main[[#This Row],[Class]]="B", WORKDAY(Main[[#This Row],[Tech Start Date]],15),IF(Main[[#This Row],[Class]]="A",WORKDAY(Main[[#This Row],[Tech Start Date]],5),""))))</f>
        <v/>
      </c>
      <c r="P375" s="73" t="str">
        <f>IF(Main[[#This Row],[Tech Start Date]]&lt;1/1/1990,"",IF(Main[[#This Row],[Class]]="C",WORKDAY(Main[[#This Row],[Tech Start Date]],28),IF(Main[[#This Row],[Class]]="B", WORKDAY(Main[[#This Row],[Tech Start Date]],19),IF(Main[[#This Row],[Class]]="A",WORKDAY(Main[[#This Row],[Tech Start Date]],9),""))))</f>
        <v/>
      </c>
      <c r="Q375" s="85"/>
      <c r="R375" s="112"/>
      <c r="S375" s="95" t="s">
        <v>6</v>
      </c>
      <c r="T375" s="74" t="s">
        <v>4</v>
      </c>
      <c r="U375" s="95" t="s">
        <v>7</v>
      </c>
      <c r="V375" s="95" t="s">
        <v>1912</v>
      </c>
      <c r="W375" s="95" t="s">
        <v>1913</v>
      </c>
      <c r="X375" s="95" t="s">
        <v>306</v>
      </c>
      <c r="Y375" s="72" t="s">
        <v>4</v>
      </c>
      <c r="Z375" s="72" t="s">
        <v>2205</v>
      </c>
      <c r="AA375" s="95" t="s">
        <v>4</v>
      </c>
      <c r="AB375" s="132"/>
      <c r="AC375" s="132"/>
      <c r="AD375" s="132"/>
      <c r="AE375" s="63"/>
      <c r="AF375" s="63"/>
      <c r="AG375" s="63"/>
    </row>
    <row r="376" spans="1:33" ht="17.2" customHeight="1">
      <c r="A376" s="64" t="str">
        <f>IF(priority(Main[[#This Row],[Comments]])&lt;&gt;0, priority(Main[[#This Row],[Comments]]),"")</f>
        <v/>
      </c>
      <c r="B376" s="60" t="s">
        <v>2356</v>
      </c>
      <c r="C376" s="72" t="s">
        <v>4</v>
      </c>
      <c r="D376" s="59" t="s">
        <v>2357</v>
      </c>
      <c r="E376" s="85"/>
      <c r="F376" s="85"/>
      <c r="G376" s="64" t="str">
        <f>IF(stdProdLT(Main[[#This Row],[Comments]])=0.1,"N/A",IF(stdProdLT(Main[[#This Row],[Comments]])=0,"",TRIM(stdProdLT(Main[[#This Row],[Comments]]))))</f>
        <v/>
      </c>
      <c r="H376" s="94" t="str">
        <f>IF(OR(Main[[#This Row],[Std. Prod. Lead Time]]="N/A",Main[[#This Row],[Std. Prod. Lead Time]]=""), "",IF(AND(Main[[#This Row],[In Stock Date]]&lt;&gt;"",Main[[#This Row],[Revised Due Date]]&lt;&gt;"",Main[[#This Row],[In Stock Date]]&lt;&gt;""),Main[[#This Row],[In Stock Date]]-Main[[#This Row],[Revised Due Date]],""))</f>
        <v/>
      </c>
      <c r="I376" s="101" t="s">
        <v>4</v>
      </c>
      <c r="J376" s="95" t="s">
        <v>4</v>
      </c>
      <c r="K376" s="95" t="s">
        <v>4</v>
      </c>
      <c r="L376" s="85"/>
      <c r="M376" s="73" t="str">
        <f>IF(Main[[#This Row],[Tech Start Date]]&lt;1/1/1990,"",IF(Main[[#This Row],[Class]]="C",WORKDAY(Main[[#This Row],[Tech Start Date]],9),IF(Main[[#This Row],[Class]]="B", WORKDAY(Main[[#This Row],[Tech Start Date]],6),IF(Main[[#This Row],[Class]]="A",WORKDAY(Main[[#This Row],[Tech Start Date]],2),""))))</f>
        <v/>
      </c>
      <c r="N376" s="73" t="str">
        <f>IF(Main[[#This Row],[Tech Start Date]]&lt;1/1/1990,"",IF(Main[[#This Row],[Class]]="C",WORKDAY(Main[[#This Row],[Tech Start Date]],19),IF(Main[[#This Row],[Class]]="B", WORKDAY(Main[[#This Row],[Tech Start Date]],12),IF(Main[[#This Row],[Class]]="A",WORKDAY(Main[[#This Row],[Tech Start Date]],4),""))))</f>
        <v/>
      </c>
      <c r="O376" s="73" t="str">
        <f>IF(Main[[#This Row],[Tech Start Date]]&lt;1/1/1990,"",IF(Main[[#This Row],[Class]]="C",WORKDAY(Main[[#This Row],[Tech Start Date]],23),IF(Main[[#This Row],[Class]]="B", WORKDAY(Main[[#This Row],[Tech Start Date]],15),IF(Main[[#This Row],[Class]]="A",WORKDAY(Main[[#This Row],[Tech Start Date]],5),""))))</f>
        <v/>
      </c>
      <c r="P376" s="73" t="str">
        <f>IF(Main[[#This Row],[Tech Start Date]]&lt;1/1/1990,"",IF(Main[[#This Row],[Class]]="C",WORKDAY(Main[[#This Row],[Tech Start Date]],28),IF(Main[[#This Row],[Class]]="B", WORKDAY(Main[[#This Row],[Tech Start Date]],19),IF(Main[[#This Row],[Class]]="A",WORKDAY(Main[[#This Row],[Tech Start Date]],9),""))))</f>
        <v/>
      </c>
      <c r="Q376" s="85"/>
      <c r="R376" s="112"/>
      <c r="S376" s="95" t="s">
        <v>11</v>
      </c>
      <c r="T376" s="74" t="s">
        <v>4</v>
      </c>
      <c r="U376" s="95" t="s">
        <v>14</v>
      </c>
      <c r="V376" s="95" t="s">
        <v>1912</v>
      </c>
      <c r="W376" s="95" t="s">
        <v>4</v>
      </c>
      <c r="X376" s="95" t="s">
        <v>2243</v>
      </c>
      <c r="Y376" s="72" t="s">
        <v>4</v>
      </c>
      <c r="Z376" s="72" t="s">
        <v>4</v>
      </c>
      <c r="AA376" s="95" t="s">
        <v>4</v>
      </c>
      <c r="AB376" s="132"/>
      <c r="AC376" s="132"/>
      <c r="AD376" s="132"/>
      <c r="AE376" s="63"/>
      <c r="AF376" s="63"/>
      <c r="AG376" s="63"/>
    </row>
    <row r="377" spans="1:33" ht="17.2" customHeight="1">
      <c r="A377" s="64" t="str">
        <f>IF(priority(Main[[#This Row],[Comments]])&lt;&gt;0, priority(Main[[#This Row],[Comments]]),"")</f>
        <v/>
      </c>
      <c r="B377" s="60" t="s">
        <v>3286</v>
      </c>
      <c r="C377" s="72" t="s">
        <v>4</v>
      </c>
      <c r="D377" s="59" t="s">
        <v>3287</v>
      </c>
      <c r="E377" s="85">
        <v>40938.460057870368</v>
      </c>
      <c r="F377" s="85"/>
      <c r="G377" s="64" t="str">
        <f>IF(stdProdLT(Main[[#This Row],[Comments]])=0.1,"N/A",IF(stdProdLT(Main[[#This Row],[Comments]])=0,"",TRIM(stdProdLT(Main[[#This Row],[Comments]]))))</f>
        <v/>
      </c>
      <c r="H377" s="94" t="str">
        <f>IF(OR(Main[[#This Row],[Std. Prod. Lead Time]]="N/A",Main[[#This Row],[Std. Prod. Lead Time]]=""), "",IF(AND(Main[[#This Row],[In Stock Date]]&lt;&gt;"",Main[[#This Row],[Revised Due Date]]&lt;&gt;"",Main[[#This Row],[In Stock Date]]&lt;&gt;""),Main[[#This Row],[In Stock Date]]-Main[[#This Row],[Revised Due Date]],""))</f>
        <v/>
      </c>
      <c r="I377" s="101" t="s">
        <v>4</v>
      </c>
      <c r="J377" s="95" t="s">
        <v>4</v>
      </c>
      <c r="K377" s="96" t="s">
        <v>4</v>
      </c>
      <c r="L377" s="85"/>
      <c r="M377" s="73" t="str">
        <f>IF(Main[[#This Row],[Tech Start Date]]&lt;1/1/1990,"",IF(Main[[#This Row],[Class]]="C",WORKDAY(Main[[#This Row],[Tech Start Date]],9),IF(Main[[#This Row],[Class]]="B", WORKDAY(Main[[#This Row],[Tech Start Date]],6),IF(Main[[#This Row],[Class]]="A",WORKDAY(Main[[#This Row],[Tech Start Date]],2),""))))</f>
        <v/>
      </c>
      <c r="N377" s="73" t="str">
        <f>IF(Main[[#This Row],[Tech Start Date]]&lt;1/1/1990,"",IF(Main[[#This Row],[Class]]="C",WORKDAY(Main[[#This Row],[Tech Start Date]],19),IF(Main[[#This Row],[Class]]="B", WORKDAY(Main[[#This Row],[Tech Start Date]],12),IF(Main[[#This Row],[Class]]="A",WORKDAY(Main[[#This Row],[Tech Start Date]],4),""))))</f>
        <v/>
      </c>
      <c r="O377" s="73" t="str">
        <f>IF(Main[[#This Row],[Tech Start Date]]&lt;1/1/1990,"",IF(Main[[#This Row],[Class]]="C",WORKDAY(Main[[#This Row],[Tech Start Date]],23),IF(Main[[#This Row],[Class]]="B", WORKDAY(Main[[#This Row],[Tech Start Date]],15),IF(Main[[#This Row],[Class]]="A",WORKDAY(Main[[#This Row],[Tech Start Date]],5),""))))</f>
        <v/>
      </c>
      <c r="P377" s="73" t="str">
        <f>IF(Main[[#This Row],[Tech Start Date]]&lt;1/1/1990,"",IF(Main[[#This Row],[Class]]="C",WORKDAY(Main[[#This Row],[Tech Start Date]],28),IF(Main[[#This Row],[Class]]="B", WORKDAY(Main[[#This Row],[Tech Start Date]],19),IF(Main[[#This Row],[Class]]="A",WORKDAY(Main[[#This Row],[Tech Start Date]],9),""))))</f>
        <v/>
      </c>
      <c r="Q377" s="85"/>
      <c r="R377" s="112"/>
      <c r="S377" s="95" t="s">
        <v>6</v>
      </c>
      <c r="T377" s="74" t="s">
        <v>4</v>
      </c>
      <c r="U377" s="95" t="s">
        <v>7</v>
      </c>
      <c r="V377" s="95" t="s">
        <v>1926</v>
      </c>
      <c r="W377" s="95" t="s">
        <v>1915</v>
      </c>
      <c r="X377" s="95" t="s">
        <v>922</v>
      </c>
      <c r="Y377" s="72" t="s">
        <v>2960</v>
      </c>
      <c r="Z377" s="72" t="s">
        <v>4</v>
      </c>
      <c r="AA377" s="95" t="s">
        <v>922</v>
      </c>
      <c r="AB377" s="132"/>
      <c r="AC377" s="132"/>
      <c r="AD377" s="132"/>
      <c r="AE377" s="63"/>
      <c r="AF377" s="63"/>
      <c r="AG377" s="63"/>
    </row>
    <row r="378" spans="1:33" ht="17.2" customHeight="1">
      <c r="A378" s="64" t="str">
        <f>IF(priority(Main[[#This Row],[Comments]])&lt;&gt;0, priority(Main[[#This Row],[Comments]]),"")</f>
        <v/>
      </c>
      <c r="B378" s="60" t="s">
        <v>1834</v>
      </c>
      <c r="C378" s="72" t="s">
        <v>891</v>
      </c>
      <c r="D378" s="59" t="s">
        <v>892</v>
      </c>
      <c r="E378" s="85"/>
      <c r="F378" s="85"/>
      <c r="G378" s="64" t="str">
        <f>IF(stdProdLT(Main[[#This Row],[Comments]])=0.1,"N/A",IF(stdProdLT(Main[[#This Row],[Comments]])=0,"",TRIM(stdProdLT(Main[[#This Row],[Comments]]))))</f>
        <v/>
      </c>
      <c r="H378" s="94" t="str">
        <f>IF(OR(Main[[#This Row],[Std. Prod. Lead Time]]="N/A",Main[[#This Row],[Std. Prod. Lead Time]]=""), "",IF(AND(Main[[#This Row],[In Stock Date]]&lt;&gt;"",Main[[#This Row],[Revised Due Date]]&lt;&gt;"",Main[[#This Row],[In Stock Date]]&lt;&gt;""),Main[[#This Row],[In Stock Date]]-Main[[#This Row],[Revised Due Date]],""))</f>
        <v/>
      </c>
      <c r="I378" s="101" t="s">
        <v>4</v>
      </c>
      <c r="J378" s="95" t="s">
        <v>4</v>
      </c>
      <c r="K378" s="96" t="s">
        <v>1924</v>
      </c>
      <c r="L378" s="85"/>
      <c r="M378" s="73" t="str">
        <f>IF(Main[[#This Row],[Tech Start Date]]&lt;1/1/1990,"",IF(Main[[#This Row],[Class]]="C",WORKDAY(Main[[#This Row],[Tech Start Date]],9),IF(Main[[#This Row],[Class]]="B", WORKDAY(Main[[#This Row],[Tech Start Date]],6),IF(Main[[#This Row],[Class]]="A",WORKDAY(Main[[#This Row],[Tech Start Date]],2),""))))</f>
        <v/>
      </c>
      <c r="N378" s="73" t="str">
        <f>IF(Main[[#This Row],[Tech Start Date]]&lt;1/1/1990,"",IF(Main[[#This Row],[Class]]="C",WORKDAY(Main[[#This Row],[Tech Start Date]],19),IF(Main[[#This Row],[Class]]="B", WORKDAY(Main[[#This Row],[Tech Start Date]],12),IF(Main[[#This Row],[Class]]="A",WORKDAY(Main[[#This Row],[Tech Start Date]],4),""))))</f>
        <v/>
      </c>
      <c r="O378" s="73" t="str">
        <f>IF(Main[[#This Row],[Tech Start Date]]&lt;1/1/1990,"",IF(Main[[#This Row],[Class]]="C",WORKDAY(Main[[#This Row],[Tech Start Date]],23),IF(Main[[#This Row],[Class]]="B", WORKDAY(Main[[#This Row],[Tech Start Date]],15),IF(Main[[#This Row],[Class]]="A",WORKDAY(Main[[#This Row],[Tech Start Date]],5),""))))</f>
        <v/>
      </c>
      <c r="P378" s="73" t="str">
        <f>IF(Main[[#This Row],[Tech Start Date]]&lt;1/1/1990,"",IF(Main[[#This Row],[Class]]="C",WORKDAY(Main[[#This Row],[Tech Start Date]],28),IF(Main[[#This Row],[Class]]="B", WORKDAY(Main[[#This Row],[Tech Start Date]],19),IF(Main[[#This Row],[Class]]="A",WORKDAY(Main[[#This Row],[Tech Start Date]],9),""))))</f>
        <v/>
      </c>
      <c r="Q378" s="85">
        <v>40436</v>
      </c>
      <c r="R378" s="112">
        <v>40436</v>
      </c>
      <c r="S378" s="95" t="s">
        <v>11</v>
      </c>
      <c r="T378" s="74" t="s">
        <v>4</v>
      </c>
      <c r="U378" s="95" t="s">
        <v>14</v>
      </c>
      <c r="V378" s="95" t="s">
        <v>1912</v>
      </c>
      <c r="W378" s="95" t="s">
        <v>1913</v>
      </c>
      <c r="X378" s="95" t="s">
        <v>2834</v>
      </c>
      <c r="Y378" s="72" t="s">
        <v>4</v>
      </c>
      <c r="Z378" s="72" t="s">
        <v>4</v>
      </c>
      <c r="AA378" s="95" t="s">
        <v>2834</v>
      </c>
      <c r="AB378" s="132"/>
      <c r="AC378" s="132"/>
      <c r="AD378" s="132"/>
      <c r="AE378" s="63"/>
      <c r="AF378" s="63"/>
      <c r="AG378" s="63"/>
    </row>
    <row r="379" spans="1:33" ht="17.2" customHeight="1">
      <c r="A379" s="64" t="str">
        <f>IF(priority(Main[[#This Row],[Comments]])&lt;&gt;0, priority(Main[[#This Row],[Comments]]),"")</f>
        <v/>
      </c>
      <c r="B379" s="60" t="s">
        <v>1230</v>
      </c>
      <c r="C379" s="72" t="s">
        <v>113</v>
      </c>
      <c r="D379" s="59" t="s">
        <v>292</v>
      </c>
      <c r="E379" s="85"/>
      <c r="F379" s="85">
        <v>40193</v>
      </c>
      <c r="G379" s="64" t="str">
        <f>IF(stdProdLT(Main[[#This Row],[Comments]])=0.1,"N/A",IF(stdProdLT(Main[[#This Row],[Comments]])=0,"",TRIM(stdProdLT(Main[[#This Row],[Comments]]))))</f>
        <v/>
      </c>
      <c r="H379" s="94" t="str">
        <f>IF(OR(Main[[#This Row],[Std. Prod. Lead Time]]="N/A",Main[[#This Row],[Std. Prod. Lead Time]]=""), "",IF(AND(Main[[#This Row],[In Stock Date]]&lt;&gt;"",Main[[#This Row],[Revised Due Date]]&lt;&gt;"",Main[[#This Row],[In Stock Date]]&lt;&gt;""),Main[[#This Row],[In Stock Date]]-Main[[#This Row],[Revised Due Date]],""))</f>
        <v/>
      </c>
      <c r="I379" s="101" t="s">
        <v>4</v>
      </c>
      <c r="J379" s="95" t="s">
        <v>4</v>
      </c>
      <c r="K379" s="95" t="s">
        <v>4</v>
      </c>
      <c r="L379" s="85"/>
      <c r="M379" s="73" t="str">
        <f>IF(Main[[#This Row],[Tech Start Date]]&lt;1/1/1990,"",IF(Main[[#This Row],[Class]]="C",WORKDAY(Main[[#This Row],[Tech Start Date]],9),IF(Main[[#This Row],[Class]]="B", WORKDAY(Main[[#This Row],[Tech Start Date]],6),IF(Main[[#This Row],[Class]]="A",WORKDAY(Main[[#This Row],[Tech Start Date]],2),""))))</f>
        <v/>
      </c>
      <c r="N379" s="73" t="str">
        <f>IF(Main[[#This Row],[Tech Start Date]]&lt;1/1/1990,"",IF(Main[[#This Row],[Class]]="C",WORKDAY(Main[[#This Row],[Tech Start Date]],19),IF(Main[[#This Row],[Class]]="B", WORKDAY(Main[[#This Row],[Tech Start Date]],12),IF(Main[[#This Row],[Class]]="A",WORKDAY(Main[[#This Row],[Tech Start Date]],4),""))))</f>
        <v/>
      </c>
      <c r="O379" s="73" t="str">
        <f>IF(Main[[#This Row],[Tech Start Date]]&lt;1/1/1990,"",IF(Main[[#This Row],[Class]]="C",WORKDAY(Main[[#This Row],[Tech Start Date]],23),IF(Main[[#This Row],[Class]]="B", WORKDAY(Main[[#This Row],[Tech Start Date]],15),IF(Main[[#This Row],[Class]]="A",WORKDAY(Main[[#This Row],[Tech Start Date]],5),""))))</f>
        <v/>
      </c>
      <c r="P379" s="73" t="str">
        <f>IF(Main[[#This Row],[Tech Start Date]]&lt;1/1/1990,"",IF(Main[[#This Row],[Class]]="C",WORKDAY(Main[[#This Row],[Tech Start Date]],28),IF(Main[[#This Row],[Class]]="B", WORKDAY(Main[[#This Row],[Tech Start Date]],19),IF(Main[[#This Row],[Class]]="A",WORKDAY(Main[[#This Row],[Tech Start Date]],9),""))))</f>
        <v/>
      </c>
      <c r="Q379" s="85"/>
      <c r="R379" s="112"/>
      <c r="S379" s="95" t="s">
        <v>11</v>
      </c>
      <c r="T379" s="74" t="s">
        <v>4</v>
      </c>
      <c r="U379" s="95" t="s">
        <v>14</v>
      </c>
      <c r="V379" s="95" t="s">
        <v>1921</v>
      </c>
      <c r="W379" s="95" t="s">
        <v>1917</v>
      </c>
      <c r="X379" s="95" t="s">
        <v>2824</v>
      </c>
      <c r="Y379" s="72" t="s">
        <v>2955</v>
      </c>
      <c r="Z379" s="72" t="s">
        <v>4</v>
      </c>
      <c r="AA379" s="95" t="s">
        <v>2824</v>
      </c>
      <c r="AB379" s="132"/>
      <c r="AC379" s="132"/>
      <c r="AD379" s="132"/>
      <c r="AE379" s="63"/>
      <c r="AF379" s="63"/>
      <c r="AG379" s="63"/>
    </row>
    <row r="380" spans="1:33" ht="17.2" customHeight="1">
      <c r="A380" s="64" t="str">
        <f>IF(priority(Main[[#This Row],[Comments]])&lt;&gt;0, priority(Main[[#This Row],[Comments]]),"")</f>
        <v/>
      </c>
      <c r="B380" s="60" t="s">
        <v>1231</v>
      </c>
      <c r="C380" s="72" t="s">
        <v>4</v>
      </c>
      <c r="D380" s="59" t="s">
        <v>293</v>
      </c>
      <c r="E380" s="85"/>
      <c r="F380" s="85"/>
      <c r="G380" s="64" t="str">
        <f>IF(stdProdLT(Main[[#This Row],[Comments]])=0.1,"N/A",IF(stdProdLT(Main[[#This Row],[Comments]])=0,"",TRIM(stdProdLT(Main[[#This Row],[Comments]]))))</f>
        <v/>
      </c>
      <c r="H380" s="94" t="str">
        <f>IF(OR(Main[[#This Row],[Std. Prod. Lead Time]]="N/A",Main[[#This Row],[Std. Prod. Lead Time]]=""), "",IF(AND(Main[[#This Row],[In Stock Date]]&lt;&gt;"",Main[[#This Row],[Revised Due Date]]&lt;&gt;"",Main[[#This Row],[In Stock Date]]&lt;&gt;""),Main[[#This Row],[In Stock Date]]-Main[[#This Row],[Revised Due Date]],""))</f>
        <v/>
      </c>
      <c r="I380" s="101" t="s">
        <v>4</v>
      </c>
      <c r="J380" s="95" t="s">
        <v>28</v>
      </c>
      <c r="K380" s="96" t="s">
        <v>4</v>
      </c>
      <c r="L380" s="85"/>
      <c r="M380" s="73" t="str">
        <f>IF(Main[[#This Row],[Tech Start Date]]&lt;1/1/1990,"",IF(Main[[#This Row],[Class]]="C",WORKDAY(Main[[#This Row],[Tech Start Date]],9),IF(Main[[#This Row],[Class]]="B", WORKDAY(Main[[#This Row],[Tech Start Date]],6),IF(Main[[#This Row],[Class]]="A",WORKDAY(Main[[#This Row],[Tech Start Date]],2),""))))</f>
        <v/>
      </c>
      <c r="N380" s="73" t="str">
        <f>IF(Main[[#This Row],[Tech Start Date]]&lt;1/1/1990,"",IF(Main[[#This Row],[Class]]="C",WORKDAY(Main[[#This Row],[Tech Start Date]],19),IF(Main[[#This Row],[Class]]="B", WORKDAY(Main[[#This Row],[Tech Start Date]],12),IF(Main[[#This Row],[Class]]="A",WORKDAY(Main[[#This Row],[Tech Start Date]],4),""))))</f>
        <v/>
      </c>
      <c r="O380" s="73" t="str">
        <f>IF(Main[[#This Row],[Tech Start Date]]&lt;1/1/1990,"",IF(Main[[#This Row],[Class]]="C",WORKDAY(Main[[#This Row],[Tech Start Date]],23),IF(Main[[#This Row],[Class]]="B", WORKDAY(Main[[#This Row],[Tech Start Date]],15),IF(Main[[#This Row],[Class]]="A",WORKDAY(Main[[#This Row],[Tech Start Date]],5),""))))</f>
        <v/>
      </c>
      <c r="P380" s="73" t="str">
        <f>IF(Main[[#This Row],[Tech Start Date]]&lt;1/1/1990,"",IF(Main[[#This Row],[Class]]="C",WORKDAY(Main[[#This Row],[Tech Start Date]],28),IF(Main[[#This Row],[Class]]="B", WORKDAY(Main[[#This Row],[Tech Start Date]],19),IF(Main[[#This Row],[Class]]="A",WORKDAY(Main[[#This Row],[Tech Start Date]],9),""))))</f>
        <v/>
      </c>
      <c r="Q380" s="85">
        <v>40471</v>
      </c>
      <c r="R380" s="112"/>
      <c r="S380" s="95" t="s">
        <v>6</v>
      </c>
      <c r="T380" s="74" t="s">
        <v>4</v>
      </c>
      <c r="U380" s="95" t="s">
        <v>14</v>
      </c>
      <c r="V380" s="95" t="s">
        <v>1921</v>
      </c>
      <c r="W380" s="95" t="s">
        <v>1913</v>
      </c>
      <c r="X380" s="95" t="s">
        <v>2827</v>
      </c>
      <c r="Y380" s="72" t="s">
        <v>2956</v>
      </c>
      <c r="Z380" s="72" t="s">
        <v>530</v>
      </c>
      <c r="AA380" s="95" t="s">
        <v>2827</v>
      </c>
      <c r="AB380" s="132"/>
      <c r="AC380" s="132"/>
      <c r="AD380" s="132"/>
      <c r="AE380" s="63"/>
      <c r="AF380" s="63"/>
      <c r="AG380" s="63"/>
    </row>
    <row r="381" spans="1:33" ht="17.2" customHeight="1">
      <c r="A381" s="64" t="str">
        <f>IF(priority(Main[[#This Row],[Comments]])&lt;&gt;0, priority(Main[[#This Row],[Comments]]),"")</f>
        <v/>
      </c>
      <c r="B381" s="60" t="s">
        <v>1232</v>
      </c>
      <c r="C381" s="72" t="s">
        <v>4</v>
      </c>
      <c r="D381" s="59" t="s">
        <v>97</v>
      </c>
      <c r="E381" s="85"/>
      <c r="F381" s="85"/>
      <c r="G381" s="64" t="str">
        <f>IF(stdProdLT(Main[[#This Row],[Comments]])=0.1,"N/A",IF(stdProdLT(Main[[#This Row],[Comments]])=0,"",TRIM(stdProdLT(Main[[#This Row],[Comments]]))))</f>
        <v/>
      </c>
      <c r="H381" s="94" t="str">
        <f>IF(OR(Main[[#This Row],[Std. Prod. Lead Time]]="N/A",Main[[#This Row],[Std. Prod. Lead Time]]=""), "",IF(AND(Main[[#This Row],[In Stock Date]]&lt;&gt;"",Main[[#This Row],[Revised Due Date]]&lt;&gt;"",Main[[#This Row],[In Stock Date]]&lt;&gt;""),Main[[#This Row],[In Stock Date]]-Main[[#This Row],[Revised Due Date]],""))</f>
        <v/>
      </c>
      <c r="I381" s="101" t="s">
        <v>4</v>
      </c>
      <c r="J381" s="95" t="s">
        <v>4</v>
      </c>
      <c r="K381" s="95" t="s">
        <v>4</v>
      </c>
      <c r="L381" s="85"/>
      <c r="M381" s="73" t="str">
        <f>IF(Main[[#This Row],[Tech Start Date]]&lt;1/1/1990,"",IF(Main[[#This Row],[Class]]="C",WORKDAY(Main[[#This Row],[Tech Start Date]],9),IF(Main[[#This Row],[Class]]="B", WORKDAY(Main[[#This Row],[Tech Start Date]],6),IF(Main[[#This Row],[Class]]="A",WORKDAY(Main[[#This Row],[Tech Start Date]],2),""))))</f>
        <v/>
      </c>
      <c r="N381" s="73" t="str">
        <f>IF(Main[[#This Row],[Tech Start Date]]&lt;1/1/1990,"",IF(Main[[#This Row],[Class]]="C",WORKDAY(Main[[#This Row],[Tech Start Date]],19),IF(Main[[#This Row],[Class]]="B", WORKDAY(Main[[#This Row],[Tech Start Date]],12),IF(Main[[#This Row],[Class]]="A",WORKDAY(Main[[#This Row],[Tech Start Date]],4),""))))</f>
        <v/>
      </c>
      <c r="O381" s="73" t="str">
        <f>IF(Main[[#This Row],[Tech Start Date]]&lt;1/1/1990,"",IF(Main[[#This Row],[Class]]="C",WORKDAY(Main[[#This Row],[Tech Start Date]],23),IF(Main[[#This Row],[Class]]="B", WORKDAY(Main[[#This Row],[Tech Start Date]],15),IF(Main[[#This Row],[Class]]="A",WORKDAY(Main[[#This Row],[Tech Start Date]],5),""))))</f>
        <v/>
      </c>
      <c r="P381" s="73" t="str">
        <f>IF(Main[[#This Row],[Tech Start Date]]&lt;1/1/1990,"",IF(Main[[#This Row],[Class]]="C",WORKDAY(Main[[#This Row],[Tech Start Date]],28),IF(Main[[#This Row],[Class]]="B", WORKDAY(Main[[#This Row],[Tech Start Date]],19),IF(Main[[#This Row],[Class]]="A",WORKDAY(Main[[#This Row],[Tech Start Date]],9),""))))</f>
        <v/>
      </c>
      <c r="Q381" s="85">
        <v>40858</v>
      </c>
      <c r="R381" s="112"/>
      <c r="S381" s="95" t="s">
        <v>17</v>
      </c>
      <c r="T381" s="74" t="s">
        <v>4</v>
      </c>
      <c r="U381" s="95" t="s">
        <v>14</v>
      </c>
      <c r="V381" s="95" t="s">
        <v>1911</v>
      </c>
      <c r="W381" s="95" t="s">
        <v>1916</v>
      </c>
      <c r="X381" s="95" t="s">
        <v>50</v>
      </c>
      <c r="Y381" s="72" t="s">
        <v>2937</v>
      </c>
      <c r="Z381" s="72" t="s">
        <v>4</v>
      </c>
      <c r="AA381" s="95" t="s">
        <v>2808</v>
      </c>
      <c r="AB381" s="132"/>
      <c r="AC381" s="132"/>
      <c r="AD381" s="132"/>
      <c r="AE381" s="63"/>
      <c r="AF381" s="63"/>
      <c r="AG381" s="63"/>
    </row>
    <row r="382" spans="1:33" ht="17.2" customHeight="1">
      <c r="A382" s="64" t="str">
        <f>IF(priority(Main[[#This Row],[Comments]])&lt;&gt;0, priority(Main[[#This Row],[Comments]]),"")</f>
        <v/>
      </c>
      <c r="B382" s="60" t="s">
        <v>1234</v>
      </c>
      <c r="C382" s="72" t="s">
        <v>4</v>
      </c>
      <c r="D382" s="59" t="s">
        <v>295</v>
      </c>
      <c r="E382" s="85"/>
      <c r="F382" s="85"/>
      <c r="G382" s="64" t="str">
        <f>IF(stdProdLT(Main[[#This Row],[Comments]])=0.1,"N/A",IF(stdProdLT(Main[[#This Row],[Comments]])=0,"",TRIM(stdProdLT(Main[[#This Row],[Comments]]))))</f>
        <v/>
      </c>
      <c r="H382" s="94" t="str">
        <f>IF(OR(Main[[#This Row],[Std. Prod. Lead Time]]="N/A",Main[[#This Row],[Std. Prod. Lead Time]]=""), "",IF(AND(Main[[#This Row],[In Stock Date]]&lt;&gt;"",Main[[#This Row],[Revised Due Date]]&lt;&gt;"",Main[[#This Row],[In Stock Date]]&lt;&gt;""),Main[[#This Row],[In Stock Date]]-Main[[#This Row],[Revised Due Date]],""))</f>
        <v/>
      </c>
      <c r="I382" s="101" t="s">
        <v>4</v>
      </c>
      <c r="J382" s="95" t="s">
        <v>28</v>
      </c>
      <c r="K382" s="96" t="s">
        <v>4</v>
      </c>
      <c r="L382" s="85"/>
      <c r="M382" s="73" t="str">
        <f>IF(Main[[#This Row],[Tech Start Date]]&lt;1/1/1990,"",IF(Main[[#This Row],[Class]]="C",WORKDAY(Main[[#This Row],[Tech Start Date]],9),IF(Main[[#This Row],[Class]]="B", WORKDAY(Main[[#This Row],[Tech Start Date]],6),IF(Main[[#This Row],[Class]]="A",WORKDAY(Main[[#This Row],[Tech Start Date]],2),""))))</f>
        <v/>
      </c>
      <c r="N382" s="73" t="str">
        <f>IF(Main[[#This Row],[Tech Start Date]]&lt;1/1/1990,"",IF(Main[[#This Row],[Class]]="C",WORKDAY(Main[[#This Row],[Tech Start Date]],19),IF(Main[[#This Row],[Class]]="B", WORKDAY(Main[[#This Row],[Tech Start Date]],12),IF(Main[[#This Row],[Class]]="A",WORKDAY(Main[[#This Row],[Tech Start Date]],4),""))))</f>
        <v/>
      </c>
      <c r="O382" s="73" t="str">
        <f>IF(Main[[#This Row],[Tech Start Date]]&lt;1/1/1990,"",IF(Main[[#This Row],[Class]]="C",WORKDAY(Main[[#This Row],[Tech Start Date]],23),IF(Main[[#This Row],[Class]]="B", WORKDAY(Main[[#This Row],[Tech Start Date]],15),IF(Main[[#This Row],[Class]]="A",WORKDAY(Main[[#This Row],[Tech Start Date]],5),""))))</f>
        <v/>
      </c>
      <c r="P382" s="73" t="str">
        <f>IF(Main[[#This Row],[Tech Start Date]]&lt;1/1/1990,"",IF(Main[[#This Row],[Class]]="C",WORKDAY(Main[[#This Row],[Tech Start Date]],28),IF(Main[[#This Row],[Class]]="B", WORKDAY(Main[[#This Row],[Tech Start Date]],19),IF(Main[[#This Row],[Class]]="A",WORKDAY(Main[[#This Row],[Tech Start Date]],9),""))))</f>
        <v/>
      </c>
      <c r="Q382" s="85">
        <v>40471</v>
      </c>
      <c r="R382" s="112"/>
      <c r="S382" s="95" t="s">
        <v>296</v>
      </c>
      <c r="T382" s="74" t="s">
        <v>4</v>
      </c>
      <c r="U382" s="95" t="s">
        <v>14</v>
      </c>
      <c r="V382" s="95" t="s">
        <v>1921</v>
      </c>
      <c r="W382" s="95" t="s">
        <v>1913</v>
      </c>
      <c r="X382" s="95" t="s">
        <v>2827</v>
      </c>
      <c r="Y382" s="72" t="s">
        <v>2956</v>
      </c>
      <c r="Z382" s="72" t="s">
        <v>530</v>
      </c>
      <c r="AA382" s="95" t="s">
        <v>2827</v>
      </c>
      <c r="AB382" s="132"/>
      <c r="AC382" s="132"/>
      <c r="AD382" s="132"/>
      <c r="AE382" s="63"/>
      <c r="AF382" s="63"/>
      <c r="AG382" s="63"/>
    </row>
    <row r="383" spans="1:33" ht="17.2" customHeight="1">
      <c r="A383" s="64" t="str">
        <f>IF(priority(Main[[#This Row],[Comments]])&lt;&gt;0, priority(Main[[#This Row],[Comments]]),"")</f>
        <v/>
      </c>
      <c r="B383" s="60" t="s">
        <v>1235</v>
      </c>
      <c r="C383" s="72" t="s">
        <v>93</v>
      </c>
      <c r="D383" s="59" t="s">
        <v>297</v>
      </c>
      <c r="E383" s="85"/>
      <c r="F383" s="85">
        <v>40210</v>
      </c>
      <c r="G383" s="64" t="str">
        <f>IF(stdProdLT(Main[[#This Row],[Comments]])=0.1,"N/A",IF(stdProdLT(Main[[#This Row],[Comments]])=0,"",TRIM(stdProdLT(Main[[#This Row],[Comments]]))))</f>
        <v/>
      </c>
      <c r="H383" s="94" t="str">
        <f>IF(OR(Main[[#This Row],[Std. Prod. Lead Time]]="N/A",Main[[#This Row],[Std. Prod. Lead Time]]=""), "",IF(AND(Main[[#This Row],[In Stock Date]]&lt;&gt;"",Main[[#This Row],[Revised Due Date]]&lt;&gt;"",Main[[#This Row],[In Stock Date]]&lt;&gt;""),Main[[#This Row],[In Stock Date]]-Main[[#This Row],[Revised Due Date]],""))</f>
        <v/>
      </c>
      <c r="I383" s="101" t="s">
        <v>4</v>
      </c>
      <c r="J383" s="95" t="s">
        <v>4</v>
      </c>
      <c r="K383" s="95" t="s">
        <v>4</v>
      </c>
      <c r="L383" s="85"/>
      <c r="M383" s="73" t="str">
        <f>IF(Main[[#This Row],[Tech Start Date]]&lt;1/1/1990,"",IF(Main[[#This Row],[Class]]="C",WORKDAY(Main[[#This Row],[Tech Start Date]],9),IF(Main[[#This Row],[Class]]="B", WORKDAY(Main[[#This Row],[Tech Start Date]],6),IF(Main[[#This Row],[Class]]="A",WORKDAY(Main[[#This Row],[Tech Start Date]],2),""))))</f>
        <v/>
      </c>
      <c r="N383" s="73" t="str">
        <f>IF(Main[[#This Row],[Tech Start Date]]&lt;1/1/1990,"",IF(Main[[#This Row],[Class]]="C",WORKDAY(Main[[#This Row],[Tech Start Date]],19),IF(Main[[#This Row],[Class]]="B", WORKDAY(Main[[#This Row],[Tech Start Date]],12),IF(Main[[#This Row],[Class]]="A",WORKDAY(Main[[#This Row],[Tech Start Date]],4),""))))</f>
        <v/>
      </c>
      <c r="O383" s="73" t="str">
        <f>IF(Main[[#This Row],[Tech Start Date]]&lt;1/1/1990,"",IF(Main[[#This Row],[Class]]="C",WORKDAY(Main[[#This Row],[Tech Start Date]],23),IF(Main[[#This Row],[Class]]="B", WORKDAY(Main[[#This Row],[Tech Start Date]],15),IF(Main[[#This Row],[Class]]="A",WORKDAY(Main[[#This Row],[Tech Start Date]],5),""))))</f>
        <v/>
      </c>
      <c r="P383" s="73" t="str">
        <f>IF(Main[[#This Row],[Tech Start Date]]&lt;1/1/1990,"",IF(Main[[#This Row],[Class]]="C",WORKDAY(Main[[#This Row],[Tech Start Date]],28),IF(Main[[#This Row],[Class]]="B", WORKDAY(Main[[#This Row],[Tech Start Date]],19),IF(Main[[#This Row],[Class]]="A",WORKDAY(Main[[#This Row],[Tech Start Date]],9),""))))</f>
        <v/>
      </c>
      <c r="Q383" s="85">
        <v>40145</v>
      </c>
      <c r="R383" s="112"/>
      <c r="S383" s="95" t="s">
        <v>11</v>
      </c>
      <c r="T383" s="74" t="s">
        <v>4</v>
      </c>
      <c r="U383" s="95" t="s">
        <v>14</v>
      </c>
      <c r="V383" s="95" t="s">
        <v>1911</v>
      </c>
      <c r="W383" s="95" t="s">
        <v>1917</v>
      </c>
      <c r="X383" s="95" t="s">
        <v>2851</v>
      </c>
      <c r="Y383" s="72" t="s">
        <v>4</v>
      </c>
      <c r="Z383" s="72" t="s">
        <v>4</v>
      </c>
      <c r="AA383" s="95" t="s">
        <v>2851</v>
      </c>
      <c r="AB383" s="132"/>
      <c r="AC383" s="132"/>
      <c r="AD383" s="132"/>
      <c r="AE383" s="63"/>
      <c r="AF383" s="63"/>
      <c r="AG383" s="63"/>
    </row>
    <row r="384" spans="1:33" ht="17.2" customHeight="1">
      <c r="A384" s="64" t="str">
        <f>IF(priority(Main[[#This Row],[Comments]])&lt;&gt;0, priority(Main[[#This Row],[Comments]]),"")</f>
        <v/>
      </c>
      <c r="B384" s="60" t="s">
        <v>1236</v>
      </c>
      <c r="C384" s="72" t="s">
        <v>63</v>
      </c>
      <c r="D384" s="59" t="s">
        <v>298</v>
      </c>
      <c r="E384" s="85"/>
      <c r="F384" s="85">
        <v>40513</v>
      </c>
      <c r="G384" s="64" t="str">
        <f>IF(stdProdLT(Main[[#This Row],[Comments]])=0.1,"N/A",IF(stdProdLT(Main[[#This Row],[Comments]])=0,"",TRIM(stdProdLT(Main[[#This Row],[Comments]]))))</f>
        <v/>
      </c>
      <c r="H384" s="94" t="str">
        <f>IF(OR(Main[[#This Row],[Std. Prod. Lead Time]]="N/A",Main[[#This Row],[Std. Prod. Lead Time]]=""), "",IF(AND(Main[[#This Row],[In Stock Date]]&lt;&gt;"",Main[[#This Row],[Revised Due Date]]&lt;&gt;"",Main[[#This Row],[In Stock Date]]&lt;&gt;""),Main[[#This Row],[In Stock Date]]-Main[[#This Row],[Revised Due Date]],""))</f>
        <v/>
      </c>
      <c r="I384" s="101" t="s">
        <v>65</v>
      </c>
      <c r="J384" s="95" t="s">
        <v>28</v>
      </c>
      <c r="K384" s="95" t="s">
        <v>4</v>
      </c>
      <c r="L384" s="85"/>
      <c r="M384" s="73" t="str">
        <f>IF(Main[[#This Row],[Tech Start Date]]&lt;1/1/1990,"",IF(Main[[#This Row],[Class]]="C",WORKDAY(Main[[#This Row],[Tech Start Date]],9),IF(Main[[#This Row],[Class]]="B", WORKDAY(Main[[#This Row],[Tech Start Date]],6),IF(Main[[#This Row],[Class]]="A",WORKDAY(Main[[#This Row],[Tech Start Date]],2),""))))</f>
        <v/>
      </c>
      <c r="N384" s="73" t="str">
        <f>IF(Main[[#This Row],[Tech Start Date]]&lt;1/1/1990,"",IF(Main[[#This Row],[Class]]="C",WORKDAY(Main[[#This Row],[Tech Start Date]],19),IF(Main[[#This Row],[Class]]="B", WORKDAY(Main[[#This Row],[Tech Start Date]],12),IF(Main[[#This Row],[Class]]="A",WORKDAY(Main[[#This Row],[Tech Start Date]],4),""))))</f>
        <v/>
      </c>
      <c r="O384" s="73" t="str">
        <f>IF(Main[[#This Row],[Tech Start Date]]&lt;1/1/1990,"",IF(Main[[#This Row],[Class]]="C",WORKDAY(Main[[#This Row],[Tech Start Date]],23),IF(Main[[#This Row],[Class]]="B", WORKDAY(Main[[#This Row],[Tech Start Date]],15),IF(Main[[#This Row],[Class]]="A",WORKDAY(Main[[#This Row],[Tech Start Date]],5),""))))</f>
        <v/>
      </c>
      <c r="P384" s="73" t="str">
        <f>IF(Main[[#This Row],[Tech Start Date]]&lt;1/1/1990,"",IF(Main[[#This Row],[Class]]="C",WORKDAY(Main[[#This Row],[Tech Start Date]],28),IF(Main[[#This Row],[Class]]="B", WORKDAY(Main[[#This Row],[Tech Start Date]],19),IF(Main[[#This Row],[Class]]="A",WORKDAY(Main[[#This Row],[Tech Start Date]],9),""))))</f>
        <v/>
      </c>
      <c r="Q384" s="85">
        <v>40513</v>
      </c>
      <c r="R384" s="112"/>
      <c r="S384" s="95" t="s">
        <v>11</v>
      </c>
      <c r="T384" s="74" t="s">
        <v>4</v>
      </c>
      <c r="U384" s="95" t="s">
        <v>14</v>
      </c>
      <c r="V384" s="95" t="s">
        <v>1914</v>
      </c>
      <c r="W384" s="95" t="s">
        <v>1919</v>
      </c>
      <c r="X384" s="95" t="s">
        <v>2795</v>
      </c>
      <c r="Y384" s="72" t="s">
        <v>2906</v>
      </c>
      <c r="Z384" s="72" t="s">
        <v>530</v>
      </c>
      <c r="AA384" s="95" t="s">
        <v>2795</v>
      </c>
      <c r="AB384" s="132"/>
      <c r="AC384" s="132"/>
      <c r="AD384" s="132"/>
      <c r="AE384" s="63"/>
      <c r="AF384" s="63"/>
      <c r="AG384" s="63"/>
    </row>
    <row r="385" spans="1:33" ht="17.2" customHeight="1">
      <c r="A385" s="64" t="str">
        <f>IF(priority(Main[[#This Row],[Comments]])&lt;&gt;0, priority(Main[[#This Row],[Comments]]),"")</f>
        <v/>
      </c>
      <c r="B385" s="60" t="s">
        <v>1237</v>
      </c>
      <c r="C385" s="72" t="s">
        <v>4</v>
      </c>
      <c r="D385" s="59" t="s">
        <v>300</v>
      </c>
      <c r="E385" s="85"/>
      <c r="F385" s="85"/>
      <c r="G385" s="64" t="str">
        <f>IF(stdProdLT(Main[[#This Row],[Comments]])=0.1,"N/A",IF(stdProdLT(Main[[#This Row],[Comments]])=0,"",TRIM(stdProdLT(Main[[#This Row],[Comments]]))))</f>
        <v/>
      </c>
      <c r="H385" s="94" t="str">
        <f>IF(OR(Main[[#This Row],[Std. Prod. Lead Time]]="N/A",Main[[#This Row],[Std. Prod. Lead Time]]=""), "",IF(AND(Main[[#This Row],[In Stock Date]]&lt;&gt;"",Main[[#This Row],[Revised Due Date]]&lt;&gt;"",Main[[#This Row],[In Stock Date]]&lt;&gt;""),Main[[#This Row],[In Stock Date]]-Main[[#This Row],[Revised Due Date]],""))</f>
        <v/>
      </c>
      <c r="I385" s="101" t="s">
        <v>4</v>
      </c>
      <c r="J385" s="95" t="s">
        <v>28</v>
      </c>
      <c r="K385" s="95" t="s">
        <v>1920</v>
      </c>
      <c r="L385" s="85"/>
      <c r="M385" s="73" t="str">
        <f>IF(Main[[#This Row],[Tech Start Date]]&lt;1/1/1990,"",IF(Main[[#This Row],[Class]]="C",WORKDAY(Main[[#This Row],[Tech Start Date]],9),IF(Main[[#This Row],[Class]]="B", WORKDAY(Main[[#This Row],[Tech Start Date]],6),IF(Main[[#This Row],[Class]]="A",WORKDAY(Main[[#This Row],[Tech Start Date]],2),""))))</f>
        <v/>
      </c>
      <c r="N385" s="73" t="str">
        <f>IF(Main[[#This Row],[Tech Start Date]]&lt;1/1/1990,"",IF(Main[[#This Row],[Class]]="C",WORKDAY(Main[[#This Row],[Tech Start Date]],19),IF(Main[[#This Row],[Class]]="B", WORKDAY(Main[[#This Row],[Tech Start Date]],12),IF(Main[[#This Row],[Class]]="A",WORKDAY(Main[[#This Row],[Tech Start Date]],4),""))))</f>
        <v/>
      </c>
      <c r="O385" s="73" t="str">
        <f>IF(Main[[#This Row],[Tech Start Date]]&lt;1/1/1990,"",IF(Main[[#This Row],[Class]]="C",WORKDAY(Main[[#This Row],[Tech Start Date]],23),IF(Main[[#This Row],[Class]]="B", WORKDAY(Main[[#This Row],[Tech Start Date]],15),IF(Main[[#This Row],[Class]]="A",WORKDAY(Main[[#This Row],[Tech Start Date]],5),""))))</f>
        <v/>
      </c>
      <c r="P385" s="73" t="str">
        <f>IF(Main[[#This Row],[Tech Start Date]]&lt;1/1/1990,"",IF(Main[[#This Row],[Class]]="C",WORKDAY(Main[[#This Row],[Tech Start Date]],28),IF(Main[[#This Row],[Class]]="B", WORKDAY(Main[[#This Row],[Tech Start Date]],19),IF(Main[[#This Row],[Class]]="A",WORKDAY(Main[[#This Row],[Tech Start Date]],9),""))))</f>
        <v/>
      </c>
      <c r="Q385" s="85">
        <v>40661</v>
      </c>
      <c r="R385" s="112"/>
      <c r="S385" s="95" t="s">
        <v>6</v>
      </c>
      <c r="T385" s="74" t="s">
        <v>4</v>
      </c>
      <c r="U385" s="95" t="s">
        <v>14</v>
      </c>
      <c r="V385" s="95" t="s">
        <v>1914</v>
      </c>
      <c r="W385" s="95" t="s">
        <v>1915</v>
      </c>
      <c r="X385" s="95" t="s">
        <v>2802</v>
      </c>
      <c r="Y385" s="72" t="s">
        <v>2916</v>
      </c>
      <c r="Z385" s="72" t="s">
        <v>530</v>
      </c>
      <c r="AA385" s="95" t="s">
        <v>2802</v>
      </c>
      <c r="AB385" s="132"/>
      <c r="AC385" s="132"/>
      <c r="AD385" s="132"/>
      <c r="AE385" s="63"/>
      <c r="AF385" s="63"/>
      <c r="AG385" s="63"/>
    </row>
    <row r="386" spans="1:33" ht="17.2" customHeight="1">
      <c r="A386" s="64" t="str">
        <f>IF(priority(Main[[#This Row],[Comments]])&lt;&gt;0, priority(Main[[#This Row],[Comments]]),"")</f>
        <v/>
      </c>
      <c r="B386" s="60" t="s">
        <v>1238</v>
      </c>
      <c r="C386" s="72" t="s">
        <v>4</v>
      </c>
      <c r="D386" s="59" t="s">
        <v>301</v>
      </c>
      <c r="E386" s="85"/>
      <c r="F386" s="85"/>
      <c r="G386" s="64" t="str">
        <f>IF(stdProdLT(Main[[#This Row],[Comments]])=0.1,"N/A",IF(stdProdLT(Main[[#This Row],[Comments]])=0,"",TRIM(stdProdLT(Main[[#This Row],[Comments]]))))</f>
        <v/>
      </c>
      <c r="H386" s="94" t="str">
        <f>IF(OR(Main[[#This Row],[Std. Prod. Lead Time]]="N/A",Main[[#This Row],[Std. Prod. Lead Time]]=""), "",IF(AND(Main[[#This Row],[In Stock Date]]&lt;&gt;"",Main[[#This Row],[Revised Due Date]]&lt;&gt;"",Main[[#This Row],[In Stock Date]]&lt;&gt;""),Main[[#This Row],[In Stock Date]]-Main[[#This Row],[Revised Due Date]],""))</f>
        <v/>
      </c>
      <c r="I386" s="101" t="s">
        <v>4</v>
      </c>
      <c r="J386" s="95" t="s">
        <v>4</v>
      </c>
      <c r="K386" s="96" t="s">
        <v>4</v>
      </c>
      <c r="L386" s="85"/>
      <c r="M386" s="73" t="str">
        <f>IF(Main[[#This Row],[Tech Start Date]]&lt;1/1/1990,"",IF(Main[[#This Row],[Class]]="C",WORKDAY(Main[[#This Row],[Tech Start Date]],9),IF(Main[[#This Row],[Class]]="B", WORKDAY(Main[[#This Row],[Tech Start Date]],6),IF(Main[[#This Row],[Class]]="A",WORKDAY(Main[[#This Row],[Tech Start Date]],2),""))))</f>
        <v/>
      </c>
      <c r="N386" s="73" t="str">
        <f>IF(Main[[#This Row],[Tech Start Date]]&lt;1/1/1990,"",IF(Main[[#This Row],[Class]]="C",WORKDAY(Main[[#This Row],[Tech Start Date]],19),IF(Main[[#This Row],[Class]]="B", WORKDAY(Main[[#This Row],[Tech Start Date]],12),IF(Main[[#This Row],[Class]]="A",WORKDAY(Main[[#This Row],[Tech Start Date]],4),""))))</f>
        <v/>
      </c>
      <c r="O386" s="73" t="str">
        <f>IF(Main[[#This Row],[Tech Start Date]]&lt;1/1/1990,"",IF(Main[[#This Row],[Class]]="C",WORKDAY(Main[[#This Row],[Tech Start Date]],23),IF(Main[[#This Row],[Class]]="B", WORKDAY(Main[[#This Row],[Tech Start Date]],15),IF(Main[[#This Row],[Class]]="A",WORKDAY(Main[[#This Row],[Tech Start Date]],5),""))))</f>
        <v/>
      </c>
      <c r="P386" s="73" t="str">
        <f>IF(Main[[#This Row],[Tech Start Date]]&lt;1/1/1990,"",IF(Main[[#This Row],[Class]]="C",WORKDAY(Main[[#This Row],[Tech Start Date]],28),IF(Main[[#This Row],[Class]]="B", WORKDAY(Main[[#This Row],[Tech Start Date]],19),IF(Main[[#This Row],[Class]]="A",WORKDAY(Main[[#This Row],[Tech Start Date]],9),""))))</f>
        <v/>
      </c>
      <c r="Q386" s="85">
        <v>40287</v>
      </c>
      <c r="R386" s="112"/>
      <c r="S386" s="95" t="s">
        <v>11</v>
      </c>
      <c r="T386" s="74" t="s">
        <v>4</v>
      </c>
      <c r="U386" s="95" t="s">
        <v>14</v>
      </c>
      <c r="V386" s="95" t="s">
        <v>1911</v>
      </c>
      <c r="W386" s="95" t="s">
        <v>1917</v>
      </c>
      <c r="X386" s="95" t="s">
        <v>883</v>
      </c>
      <c r="Y386" s="72" t="s">
        <v>2941</v>
      </c>
      <c r="Z386" s="72" t="s">
        <v>4</v>
      </c>
      <c r="AA386" s="95" t="s">
        <v>883</v>
      </c>
      <c r="AB386" s="132"/>
      <c r="AC386" s="132"/>
      <c r="AD386" s="132"/>
      <c r="AE386" s="63"/>
      <c r="AF386" s="63"/>
      <c r="AG386" s="63"/>
    </row>
    <row r="387" spans="1:33" ht="17.2" customHeight="1">
      <c r="A387" s="64" t="str">
        <f>IF(priority(Main[[#This Row],[Comments]])&lt;&gt;0, priority(Main[[#This Row],[Comments]]),"")</f>
        <v/>
      </c>
      <c r="B387" s="60" t="s">
        <v>1239</v>
      </c>
      <c r="C387" s="72" t="s">
        <v>93</v>
      </c>
      <c r="D387" s="59" t="s">
        <v>302</v>
      </c>
      <c r="E387" s="85"/>
      <c r="F387" s="85">
        <v>40210</v>
      </c>
      <c r="G387" s="64" t="str">
        <f>IF(stdProdLT(Main[[#This Row],[Comments]])=0.1,"N/A",IF(stdProdLT(Main[[#This Row],[Comments]])=0,"",TRIM(stdProdLT(Main[[#This Row],[Comments]]))))</f>
        <v/>
      </c>
      <c r="H387" s="94" t="str">
        <f>IF(OR(Main[[#This Row],[Std. Prod. Lead Time]]="N/A",Main[[#This Row],[Std. Prod. Lead Time]]=""), "",IF(AND(Main[[#This Row],[In Stock Date]]&lt;&gt;"",Main[[#This Row],[Revised Due Date]]&lt;&gt;"",Main[[#This Row],[In Stock Date]]&lt;&gt;""),Main[[#This Row],[In Stock Date]]-Main[[#This Row],[Revised Due Date]],""))</f>
        <v/>
      </c>
      <c r="I387" s="101" t="s">
        <v>4</v>
      </c>
      <c r="J387" s="95" t="s">
        <v>4</v>
      </c>
      <c r="K387" s="96" t="s">
        <v>4</v>
      </c>
      <c r="L387" s="85"/>
      <c r="M387" s="73" t="str">
        <f>IF(Main[[#This Row],[Tech Start Date]]&lt;1/1/1990,"",IF(Main[[#This Row],[Class]]="C",WORKDAY(Main[[#This Row],[Tech Start Date]],9),IF(Main[[#This Row],[Class]]="B", WORKDAY(Main[[#This Row],[Tech Start Date]],6),IF(Main[[#This Row],[Class]]="A",WORKDAY(Main[[#This Row],[Tech Start Date]],2),""))))</f>
        <v/>
      </c>
      <c r="N387" s="73" t="str">
        <f>IF(Main[[#This Row],[Tech Start Date]]&lt;1/1/1990,"",IF(Main[[#This Row],[Class]]="C",WORKDAY(Main[[#This Row],[Tech Start Date]],19),IF(Main[[#This Row],[Class]]="B", WORKDAY(Main[[#This Row],[Tech Start Date]],12),IF(Main[[#This Row],[Class]]="A",WORKDAY(Main[[#This Row],[Tech Start Date]],4),""))))</f>
        <v/>
      </c>
      <c r="O387" s="73" t="str">
        <f>IF(Main[[#This Row],[Tech Start Date]]&lt;1/1/1990,"",IF(Main[[#This Row],[Class]]="C",WORKDAY(Main[[#This Row],[Tech Start Date]],23),IF(Main[[#This Row],[Class]]="B", WORKDAY(Main[[#This Row],[Tech Start Date]],15),IF(Main[[#This Row],[Class]]="A",WORKDAY(Main[[#This Row],[Tech Start Date]],5),""))))</f>
        <v/>
      </c>
      <c r="P387" s="73" t="str">
        <f>IF(Main[[#This Row],[Tech Start Date]]&lt;1/1/1990,"",IF(Main[[#This Row],[Class]]="C",WORKDAY(Main[[#This Row],[Tech Start Date]],28),IF(Main[[#This Row],[Class]]="B", WORKDAY(Main[[#This Row],[Tech Start Date]],19),IF(Main[[#This Row],[Class]]="A",WORKDAY(Main[[#This Row],[Tech Start Date]],9),""))))</f>
        <v/>
      </c>
      <c r="Q387" s="85">
        <v>40210</v>
      </c>
      <c r="R387" s="112"/>
      <c r="S387" s="95" t="s">
        <v>11</v>
      </c>
      <c r="T387" s="74" t="s">
        <v>4</v>
      </c>
      <c r="U387" s="95" t="s">
        <v>12</v>
      </c>
      <c r="V387" s="95" t="s">
        <v>1921</v>
      </c>
      <c r="W387" s="95" t="s">
        <v>1922</v>
      </c>
      <c r="X387" s="95" t="s">
        <v>2825</v>
      </c>
      <c r="Y387" s="72" t="s">
        <v>4</v>
      </c>
      <c r="Z387" s="72" t="s">
        <v>4</v>
      </c>
      <c r="AA387" s="95" t="s">
        <v>2825</v>
      </c>
      <c r="AB387" s="132"/>
      <c r="AC387" s="132"/>
      <c r="AD387" s="132"/>
      <c r="AE387" s="63"/>
      <c r="AF387" s="63"/>
      <c r="AG387" s="63"/>
    </row>
    <row r="388" spans="1:33" ht="17.2" customHeight="1">
      <c r="A388" s="64" t="str">
        <f>IF(priority(Main[[#This Row],[Comments]])&lt;&gt;0, priority(Main[[#This Row],[Comments]]),"")</f>
        <v/>
      </c>
      <c r="B388" s="60" t="s">
        <v>2692</v>
      </c>
      <c r="C388" s="72" t="s">
        <v>4</v>
      </c>
      <c r="D388" s="59" t="s">
        <v>2693</v>
      </c>
      <c r="E388" s="85">
        <v>40897.76525462963</v>
      </c>
      <c r="F388" s="85"/>
      <c r="G388" s="64" t="str">
        <f>IF(stdProdLT(Main[[#This Row],[Comments]])=0.1,"N/A",IF(stdProdLT(Main[[#This Row],[Comments]])=0,"",TRIM(stdProdLT(Main[[#This Row],[Comments]]))))</f>
        <v/>
      </c>
      <c r="H388" s="94" t="str">
        <f>IF(OR(Main[[#This Row],[Std. Prod. Lead Time]]="N/A",Main[[#This Row],[Std. Prod. Lead Time]]=""), "",IF(AND(Main[[#This Row],[In Stock Date]]&lt;&gt;"",Main[[#This Row],[Revised Due Date]]&lt;&gt;"",Main[[#This Row],[In Stock Date]]&lt;&gt;""),Main[[#This Row],[In Stock Date]]-Main[[#This Row],[Revised Due Date]],""))</f>
        <v/>
      </c>
      <c r="I388" s="101" t="s">
        <v>4</v>
      </c>
      <c r="J388" s="95" t="s">
        <v>4</v>
      </c>
      <c r="K388" s="95" t="s">
        <v>4</v>
      </c>
      <c r="L388" s="85"/>
      <c r="M388" s="73" t="str">
        <f>IF(Main[[#This Row],[Tech Start Date]]&lt;1/1/1990,"",IF(Main[[#This Row],[Class]]="C",WORKDAY(Main[[#This Row],[Tech Start Date]],9),IF(Main[[#This Row],[Class]]="B", WORKDAY(Main[[#This Row],[Tech Start Date]],6),IF(Main[[#This Row],[Class]]="A",WORKDAY(Main[[#This Row],[Tech Start Date]],2),""))))</f>
        <v/>
      </c>
      <c r="N388" s="73" t="str">
        <f>IF(Main[[#This Row],[Tech Start Date]]&lt;1/1/1990,"",IF(Main[[#This Row],[Class]]="C",WORKDAY(Main[[#This Row],[Tech Start Date]],19),IF(Main[[#This Row],[Class]]="B", WORKDAY(Main[[#This Row],[Tech Start Date]],12),IF(Main[[#This Row],[Class]]="A",WORKDAY(Main[[#This Row],[Tech Start Date]],4),""))))</f>
        <v/>
      </c>
      <c r="O388" s="73" t="str">
        <f>IF(Main[[#This Row],[Tech Start Date]]&lt;1/1/1990,"",IF(Main[[#This Row],[Class]]="C",WORKDAY(Main[[#This Row],[Tech Start Date]],23),IF(Main[[#This Row],[Class]]="B", WORKDAY(Main[[#This Row],[Tech Start Date]],15),IF(Main[[#This Row],[Class]]="A",WORKDAY(Main[[#This Row],[Tech Start Date]],5),""))))</f>
        <v/>
      </c>
      <c r="P388" s="73" t="str">
        <f>IF(Main[[#This Row],[Tech Start Date]]&lt;1/1/1990,"",IF(Main[[#This Row],[Class]]="C",WORKDAY(Main[[#This Row],[Tech Start Date]],28),IF(Main[[#This Row],[Class]]="B", WORKDAY(Main[[#This Row],[Tech Start Date]],19),IF(Main[[#This Row],[Class]]="A",WORKDAY(Main[[#This Row],[Tech Start Date]],9),""))))</f>
        <v/>
      </c>
      <c r="Q388" s="85">
        <v>40907</v>
      </c>
      <c r="R388" s="112"/>
      <c r="S388" s="95" t="s">
        <v>6</v>
      </c>
      <c r="T388" s="74" t="s">
        <v>4</v>
      </c>
      <c r="U388" s="95" t="s">
        <v>7</v>
      </c>
      <c r="V388" s="95" t="s">
        <v>1911</v>
      </c>
      <c r="W388" s="95" t="s">
        <v>4</v>
      </c>
      <c r="X388" s="95" t="s">
        <v>2799</v>
      </c>
      <c r="Y388" s="72" t="s">
        <v>2910</v>
      </c>
      <c r="Z388" s="72" t="s">
        <v>4</v>
      </c>
      <c r="AA388" s="95" t="s">
        <v>2799</v>
      </c>
      <c r="AB388" s="132"/>
      <c r="AC388" s="132"/>
      <c r="AD388" s="132"/>
      <c r="AE388" s="63"/>
      <c r="AF388" s="63"/>
      <c r="AG388" s="63"/>
    </row>
    <row r="389" spans="1:33" ht="17.2" customHeight="1">
      <c r="A389" s="64" t="str">
        <f>IF(priority(Main[[#This Row],[Comments]])&lt;&gt;0, priority(Main[[#This Row],[Comments]]),"")</f>
        <v/>
      </c>
      <c r="B389" s="60" t="s">
        <v>1240</v>
      </c>
      <c r="C389" s="72" t="s">
        <v>31</v>
      </c>
      <c r="D389" s="59" t="s">
        <v>303</v>
      </c>
      <c r="E389" s="85"/>
      <c r="F389" s="85">
        <v>40269</v>
      </c>
      <c r="G389" s="64" t="str">
        <f>IF(stdProdLT(Main[[#This Row],[Comments]])=0.1,"N/A",IF(stdProdLT(Main[[#This Row],[Comments]])=0,"",TRIM(stdProdLT(Main[[#This Row],[Comments]]))))</f>
        <v/>
      </c>
      <c r="H389" s="94" t="str">
        <f>IF(OR(Main[[#This Row],[Std. Prod. Lead Time]]="N/A",Main[[#This Row],[Std. Prod. Lead Time]]=""), "",IF(AND(Main[[#This Row],[In Stock Date]]&lt;&gt;"",Main[[#This Row],[Revised Due Date]]&lt;&gt;"",Main[[#This Row],[In Stock Date]]&lt;&gt;""),Main[[#This Row],[In Stock Date]]-Main[[#This Row],[Revised Due Date]],""))</f>
        <v/>
      </c>
      <c r="I389" s="101" t="s">
        <v>4</v>
      </c>
      <c r="J389" s="95" t="s">
        <v>4</v>
      </c>
      <c r="K389" s="95" t="s">
        <v>4</v>
      </c>
      <c r="L389" s="85"/>
      <c r="M389" s="73" t="str">
        <f>IF(Main[[#This Row],[Tech Start Date]]&lt;1/1/1990,"",IF(Main[[#This Row],[Class]]="C",WORKDAY(Main[[#This Row],[Tech Start Date]],9),IF(Main[[#This Row],[Class]]="B", WORKDAY(Main[[#This Row],[Tech Start Date]],6),IF(Main[[#This Row],[Class]]="A",WORKDAY(Main[[#This Row],[Tech Start Date]],2),""))))</f>
        <v/>
      </c>
      <c r="N389" s="73" t="str">
        <f>IF(Main[[#This Row],[Tech Start Date]]&lt;1/1/1990,"",IF(Main[[#This Row],[Class]]="C",WORKDAY(Main[[#This Row],[Tech Start Date]],19),IF(Main[[#This Row],[Class]]="B", WORKDAY(Main[[#This Row],[Tech Start Date]],12),IF(Main[[#This Row],[Class]]="A",WORKDAY(Main[[#This Row],[Tech Start Date]],4),""))))</f>
        <v/>
      </c>
      <c r="O389" s="73" t="str">
        <f>IF(Main[[#This Row],[Tech Start Date]]&lt;1/1/1990,"",IF(Main[[#This Row],[Class]]="C",WORKDAY(Main[[#This Row],[Tech Start Date]],23),IF(Main[[#This Row],[Class]]="B", WORKDAY(Main[[#This Row],[Tech Start Date]],15),IF(Main[[#This Row],[Class]]="A",WORKDAY(Main[[#This Row],[Tech Start Date]],5),""))))</f>
        <v/>
      </c>
      <c r="P389" s="73" t="str">
        <f>IF(Main[[#This Row],[Tech Start Date]]&lt;1/1/1990,"",IF(Main[[#This Row],[Class]]="C",WORKDAY(Main[[#This Row],[Tech Start Date]],28),IF(Main[[#This Row],[Class]]="B", WORKDAY(Main[[#This Row],[Tech Start Date]],19),IF(Main[[#This Row],[Class]]="A",WORKDAY(Main[[#This Row],[Tech Start Date]],9),""))))</f>
        <v/>
      </c>
      <c r="Q389" s="85">
        <v>40274</v>
      </c>
      <c r="R389" s="112"/>
      <c r="S389" s="95" t="s">
        <v>11</v>
      </c>
      <c r="T389" s="74" t="s">
        <v>4</v>
      </c>
      <c r="U389" s="95" t="s">
        <v>14</v>
      </c>
      <c r="V389" s="95" t="s">
        <v>1911</v>
      </c>
      <c r="W389" s="95" t="s">
        <v>1917</v>
      </c>
      <c r="X389" s="95" t="s">
        <v>2851</v>
      </c>
      <c r="Y389" s="72" t="s">
        <v>4</v>
      </c>
      <c r="Z389" s="72" t="s">
        <v>4</v>
      </c>
      <c r="AA389" s="95" t="s">
        <v>2851</v>
      </c>
      <c r="AB389" s="132"/>
      <c r="AC389" s="132"/>
      <c r="AD389" s="132"/>
      <c r="AE389" s="63"/>
      <c r="AF389" s="63"/>
      <c r="AG389" s="63"/>
    </row>
    <row r="390" spans="1:33" ht="17.2" customHeight="1">
      <c r="A390" s="64" t="str">
        <f>IF(priority(Main[[#This Row],[Comments]])&lt;&gt;0, priority(Main[[#This Row],[Comments]]),"")</f>
        <v/>
      </c>
      <c r="B390" s="60" t="s">
        <v>1241</v>
      </c>
      <c r="C390" s="72" t="s">
        <v>4</v>
      </c>
      <c r="D390" s="59" t="s">
        <v>304</v>
      </c>
      <c r="E390" s="85"/>
      <c r="F390" s="85">
        <v>40390</v>
      </c>
      <c r="G390" s="64" t="str">
        <f>IF(stdProdLT(Main[[#This Row],[Comments]])=0.1,"N/A",IF(stdProdLT(Main[[#This Row],[Comments]])=0,"",TRIM(stdProdLT(Main[[#This Row],[Comments]]))))</f>
        <v/>
      </c>
      <c r="H390" s="94" t="str">
        <f>IF(OR(Main[[#This Row],[Std. Prod. Lead Time]]="N/A",Main[[#This Row],[Std. Prod. Lead Time]]=""), "",IF(AND(Main[[#This Row],[In Stock Date]]&lt;&gt;"",Main[[#This Row],[Revised Due Date]]&lt;&gt;"",Main[[#This Row],[In Stock Date]]&lt;&gt;""),Main[[#This Row],[In Stock Date]]-Main[[#This Row],[Revised Due Date]],""))</f>
        <v/>
      </c>
      <c r="I390" s="101" t="s">
        <v>4</v>
      </c>
      <c r="J390" s="95" t="s">
        <v>4</v>
      </c>
      <c r="K390" s="95" t="s">
        <v>4</v>
      </c>
      <c r="L390" s="85"/>
      <c r="M390" s="73" t="str">
        <f>IF(Main[[#This Row],[Tech Start Date]]&lt;1/1/1990,"",IF(Main[[#This Row],[Class]]="C",WORKDAY(Main[[#This Row],[Tech Start Date]],9),IF(Main[[#This Row],[Class]]="B", WORKDAY(Main[[#This Row],[Tech Start Date]],6),IF(Main[[#This Row],[Class]]="A",WORKDAY(Main[[#This Row],[Tech Start Date]],2),""))))</f>
        <v/>
      </c>
      <c r="N390" s="73" t="str">
        <f>IF(Main[[#This Row],[Tech Start Date]]&lt;1/1/1990,"",IF(Main[[#This Row],[Class]]="C",WORKDAY(Main[[#This Row],[Tech Start Date]],19),IF(Main[[#This Row],[Class]]="B", WORKDAY(Main[[#This Row],[Tech Start Date]],12),IF(Main[[#This Row],[Class]]="A",WORKDAY(Main[[#This Row],[Tech Start Date]],4),""))))</f>
        <v/>
      </c>
      <c r="O390" s="73" t="str">
        <f>IF(Main[[#This Row],[Tech Start Date]]&lt;1/1/1990,"",IF(Main[[#This Row],[Class]]="C",WORKDAY(Main[[#This Row],[Tech Start Date]],23),IF(Main[[#This Row],[Class]]="B", WORKDAY(Main[[#This Row],[Tech Start Date]],15),IF(Main[[#This Row],[Class]]="A",WORKDAY(Main[[#This Row],[Tech Start Date]],5),""))))</f>
        <v/>
      </c>
      <c r="P390" s="73" t="str">
        <f>IF(Main[[#This Row],[Tech Start Date]]&lt;1/1/1990,"",IF(Main[[#This Row],[Class]]="C",WORKDAY(Main[[#This Row],[Tech Start Date]],28),IF(Main[[#This Row],[Class]]="B", WORKDAY(Main[[#This Row],[Tech Start Date]],19),IF(Main[[#This Row],[Class]]="A",WORKDAY(Main[[#This Row],[Tech Start Date]],9),""))))</f>
        <v/>
      </c>
      <c r="Q390" s="85">
        <v>40329</v>
      </c>
      <c r="R390" s="112"/>
      <c r="S390" s="95" t="s">
        <v>11</v>
      </c>
      <c r="T390" s="74" t="s">
        <v>4</v>
      </c>
      <c r="U390" s="95" t="s">
        <v>12</v>
      </c>
      <c r="V390" s="95" t="s">
        <v>1921</v>
      </c>
      <c r="W390" s="95" t="s">
        <v>1917</v>
      </c>
      <c r="X390" s="95" t="s">
        <v>2852</v>
      </c>
      <c r="Y390" s="72" t="s">
        <v>2974</v>
      </c>
      <c r="Z390" s="72" t="s">
        <v>4</v>
      </c>
      <c r="AA390" s="95" t="s">
        <v>2852</v>
      </c>
      <c r="AB390" s="132"/>
      <c r="AC390" s="132"/>
      <c r="AD390" s="132"/>
      <c r="AE390" s="63"/>
      <c r="AF390" s="63"/>
      <c r="AG390" s="63"/>
    </row>
    <row r="391" spans="1:33" ht="17.2" customHeight="1">
      <c r="A391" s="64" t="str">
        <f>IF(priority(Main[[#This Row],[Comments]])&lt;&gt;0, priority(Main[[#This Row],[Comments]]),"")</f>
        <v/>
      </c>
      <c r="B391" s="60" t="s">
        <v>1242</v>
      </c>
      <c r="C391" s="72" t="s">
        <v>4</v>
      </c>
      <c r="D391" s="59" t="s">
        <v>305</v>
      </c>
      <c r="E391" s="85"/>
      <c r="F391" s="85">
        <v>40574</v>
      </c>
      <c r="G391" s="64" t="str">
        <f>IF(stdProdLT(Main[[#This Row],[Comments]])=0.1,"N/A",IF(stdProdLT(Main[[#This Row],[Comments]])=0,"",TRIM(stdProdLT(Main[[#This Row],[Comments]]))))</f>
        <v/>
      </c>
      <c r="H391" s="94" t="str">
        <f>IF(OR(Main[[#This Row],[Std. Prod. Lead Time]]="N/A",Main[[#This Row],[Std. Prod. Lead Time]]=""), "",IF(AND(Main[[#This Row],[In Stock Date]]&lt;&gt;"",Main[[#This Row],[Revised Due Date]]&lt;&gt;"",Main[[#This Row],[In Stock Date]]&lt;&gt;""),Main[[#This Row],[In Stock Date]]-Main[[#This Row],[Revised Due Date]],""))</f>
        <v/>
      </c>
      <c r="I391" s="101" t="s">
        <v>306</v>
      </c>
      <c r="J391" s="95" t="s">
        <v>75</v>
      </c>
      <c r="K391" s="95" t="s">
        <v>1920</v>
      </c>
      <c r="L391" s="85"/>
      <c r="M391" s="73" t="str">
        <f>IF(Main[[#This Row],[Tech Start Date]]&lt;1/1/1990,"",IF(Main[[#This Row],[Class]]="C",WORKDAY(Main[[#This Row],[Tech Start Date]],9),IF(Main[[#This Row],[Class]]="B", WORKDAY(Main[[#This Row],[Tech Start Date]],6),IF(Main[[#This Row],[Class]]="A",WORKDAY(Main[[#This Row],[Tech Start Date]],2),""))))</f>
        <v/>
      </c>
      <c r="N391" s="73" t="str">
        <f>IF(Main[[#This Row],[Tech Start Date]]&lt;1/1/1990,"",IF(Main[[#This Row],[Class]]="C",WORKDAY(Main[[#This Row],[Tech Start Date]],19),IF(Main[[#This Row],[Class]]="B", WORKDAY(Main[[#This Row],[Tech Start Date]],12),IF(Main[[#This Row],[Class]]="A",WORKDAY(Main[[#This Row],[Tech Start Date]],4),""))))</f>
        <v/>
      </c>
      <c r="O391" s="73" t="str">
        <f>IF(Main[[#This Row],[Tech Start Date]]&lt;1/1/1990,"",IF(Main[[#This Row],[Class]]="C",WORKDAY(Main[[#This Row],[Tech Start Date]],23),IF(Main[[#This Row],[Class]]="B", WORKDAY(Main[[#This Row],[Tech Start Date]],15),IF(Main[[#This Row],[Class]]="A",WORKDAY(Main[[#This Row],[Tech Start Date]],5),""))))</f>
        <v/>
      </c>
      <c r="P391" s="73" t="str">
        <f>IF(Main[[#This Row],[Tech Start Date]]&lt;1/1/1990,"",IF(Main[[#This Row],[Class]]="C",WORKDAY(Main[[#This Row],[Tech Start Date]],28),IF(Main[[#This Row],[Class]]="B", WORKDAY(Main[[#This Row],[Tech Start Date]],19),IF(Main[[#This Row],[Class]]="A",WORKDAY(Main[[#This Row],[Tech Start Date]],9),""))))</f>
        <v/>
      </c>
      <c r="Q391" s="85">
        <v>40574</v>
      </c>
      <c r="R391" s="112"/>
      <c r="S391" s="95" t="s">
        <v>6</v>
      </c>
      <c r="T391" s="74" t="s">
        <v>4</v>
      </c>
      <c r="U391" s="95" t="s">
        <v>14</v>
      </c>
      <c r="V391" s="95" t="s">
        <v>1921</v>
      </c>
      <c r="W391" s="95" t="s">
        <v>1913</v>
      </c>
      <c r="X391" s="95" t="s">
        <v>2798</v>
      </c>
      <c r="Y391" s="72" t="s">
        <v>2908</v>
      </c>
      <c r="Z391" s="72" t="s">
        <v>30</v>
      </c>
      <c r="AA391" s="95" t="s">
        <v>2798</v>
      </c>
      <c r="AB391" s="132"/>
      <c r="AC391" s="132"/>
      <c r="AD391" s="132"/>
      <c r="AE391" s="63"/>
      <c r="AF391" s="63"/>
      <c r="AG391" s="63"/>
    </row>
    <row r="392" spans="1:33" ht="17.2" customHeight="1">
      <c r="A392" s="64" t="str">
        <f>IF(priority(Main[[#This Row],[Comments]])&lt;&gt;0, priority(Main[[#This Row],[Comments]]),"")</f>
        <v/>
      </c>
      <c r="B392" s="60" t="s">
        <v>1243</v>
      </c>
      <c r="C392" s="72" t="s">
        <v>169</v>
      </c>
      <c r="D392" s="59" t="s">
        <v>307</v>
      </c>
      <c r="E392" s="85"/>
      <c r="F392" s="85">
        <v>40237</v>
      </c>
      <c r="G392" s="64" t="str">
        <f>IF(stdProdLT(Main[[#This Row],[Comments]])=0.1,"N/A",IF(stdProdLT(Main[[#This Row],[Comments]])=0,"",TRIM(stdProdLT(Main[[#This Row],[Comments]]))))</f>
        <v/>
      </c>
      <c r="H392" s="94" t="str">
        <f>IF(OR(Main[[#This Row],[Std. Prod. Lead Time]]="N/A",Main[[#This Row],[Std. Prod. Lead Time]]=""), "",IF(AND(Main[[#This Row],[In Stock Date]]&lt;&gt;"",Main[[#This Row],[Revised Due Date]]&lt;&gt;"",Main[[#This Row],[In Stock Date]]&lt;&gt;""),Main[[#This Row],[In Stock Date]]-Main[[#This Row],[Revised Due Date]],""))</f>
        <v/>
      </c>
      <c r="I392" s="101" t="s">
        <v>4</v>
      </c>
      <c r="J392" s="95" t="s">
        <v>4</v>
      </c>
      <c r="K392" s="95" t="s">
        <v>4</v>
      </c>
      <c r="L392" s="85"/>
      <c r="M392" s="73" t="str">
        <f>IF(Main[[#This Row],[Tech Start Date]]&lt;1/1/1990,"",IF(Main[[#This Row],[Class]]="C",WORKDAY(Main[[#This Row],[Tech Start Date]],9),IF(Main[[#This Row],[Class]]="B", WORKDAY(Main[[#This Row],[Tech Start Date]],6),IF(Main[[#This Row],[Class]]="A",WORKDAY(Main[[#This Row],[Tech Start Date]],2),""))))</f>
        <v/>
      </c>
      <c r="N392" s="73" t="str">
        <f>IF(Main[[#This Row],[Tech Start Date]]&lt;1/1/1990,"",IF(Main[[#This Row],[Class]]="C",WORKDAY(Main[[#This Row],[Tech Start Date]],19),IF(Main[[#This Row],[Class]]="B", WORKDAY(Main[[#This Row],[Tech Start Date]],12),IF(Main[[#This Row],[Class]]="A",WORKDAY(Main[[#This Row],[Tech Start Date]],4),""))))</f>
        <v/>
      </c>
      <c r="O392" s="73" t="str">
        <f>IF(Main[[#This Row],[Tech Start Date]]&lt;1/1/1990,"",IF(Main[[#This Row],[Class]]="C",WORKDAY(Main[[#This Row],[Tech Start Date]],23),IF(Main[[#This Row],[Class]]="B", WORKDAY(Main[[#This Row],[Tech Start Date]],15),IF(Main[[#This Row],[Class]]="A",WORKDAY(Main[[#This Row],[Tech Start Date]],5),""))))</f>
        <v/>
      </c>
      <c r="P392" s="73" t="str">
        <f>IF(Main[[#This Row],[Tech Start Date]]&lt;1/1/1990,"",IF(Main[[#This Row],[Class]]="C",WORKDAY(Main[[#This Row],[Tech Start Date]],28),IF(Main[[#This Row],[Class]]="B", WORKDAY(Main[[#This Row],[Tech Start Date]],19),IF(Main[[#This Row],[Class]]="A",WORKDAY(Main[[#This Row],[Tech Start Date]],9),""))))</f>
        <v/>
      </c>
      <c r="Q392" s="85">
        <v>40132</v>
      </c>
      <c r="R392" s="112"/>
      <c r="S392" s="95" t="s">
        <v>11</v>
      </c>
      <c r="T392" s="74" t="s">
        <v>4</v>
      </c>
      <c r="U392" s="95" t="s">
        <v>14</v>
      </c>
      <c r="V392" s="95" t="s">
        <v>1911</v>
      </c>
      <c r="W392" s="95" t="s">
        <v>1916</v>
      </c>
      <c r="X392" s="95" t="s">
        <v>2838</v>
      </c>
      <c r="Y392" s="72" t="s">
        <v>4</v>
      </c>
      <c r="Z392" s="72" t="s">
        <v>4</v>
      </c>
      <c r="AA392" s="95" t="s">
        <v>2838</v>
      </c>
      <c r="AB392" s="132"/>
      <c r="AC392" s="132"/>
      <c r="AD392" s="132"/>
      <c r="AE392" s="63"/>
      <c r="AF392" s="63"/>
      <c r="AG392" s="63"/>
    </row>
    <row r="393" spans="1:33" ht="17.2" customHeight="1">
      <c r="A393" s="64" t="str">
        <f>IF(priority(Main[[#This Row],[Comments]])&lt;&gt;0, priority(Main[[#This Row],[Comments]]),"")</f>
        <v/>
      </c>
      <c r="B393" s="60" t="s">
        <v>1244</v>
      </c>
      <c r="C393" s="72" t="s">
        <v>4</v>
      </c>
      <c r="D393" s="59" t="s">
        <v>308</v>
      </c>
      <c r="E393" s="85"/>
      <c r="F393" s="85"/>
      <c r="G393" s="64" t="str">
        <f>IF(stdProdLT(Main[[#This Row],[Comments]])=0.1,"N/A",IF(stdProdLT(Main[[#This Row],[Comments]])=0,"",TRIM(stdProdLT(Main[[#This Row],[Comments]]))))</f>
        <v/>
      </c>
      <c r="H393" s="94" t="str">
        <f>IF(OR(Main[[#This Row],[Std. Prod. Lead Time]]="N/A",Main[[#This Row],[Std. Prod. Lead Time]]=""), "",IF(AND(Main[[#This Row],[In Stock Date]]&lt;&gt;"",Main[[#This Row],[Revised Due Date]]&lt;&gt;"",Main[[#This Row],[In Stock Date]]&lt;&gt;""),Main[[#This Row],[In Stock Date]]-Main[[#This Row],[Revised Due Date]],""))</f>
        <v/>
      </c>
      <c r="I393" s="101" t="s">
        <v>4</v>
      </c>
      <c r="J393" s="95" t="s">
        <v>4</v>
      </c>
      <c r="K393" s="95" t="s">
        <v>4</v>
      </c>
      <c r="L393" s="85"/>
      <c r="M393" s="73" t="str">
        <f>IF(Main[[#This Row],[Tech Start Date]]&lt;1/1/1990,"",IF(Main[[#This Row],[Class]]="C",WORKDAY(Main[[#This Row],[Tech Start Date]],9),IF(Main[[#This Row],[Class]]="B", WORKDAY(Main[[#This Row],[Tech Start Date]],6),IF(Main[[#This Row],[Class]]="A",WORKDAY(Main[[#This Row],[Tech Start Date]],2),""))))</f>
        <v/>
      </c>
      <c r="N393" s="73" t="str">
        <f>IF(Main[[#This Row],[Tech Start Date]]&lt;1/1/1990,"",IF(Main[[#This Row],[Class]]="C",WORKDAY(Main[[#This Row],[Tech Start Date]],19),IF(Main[[#This Row],[Class]]="B", WORKDAY(Main[[#This Row],[Tech Start Date]],12),IF(Main[[#This Row],[Class]]="A",WORKDAY(Main[[#This Row],[Tech Start Date]],4),""))))</f>
        <v/>
      </c>
      <c r="O393" s="73" t="str">
        <f>IF(Main[[#This Row],[Tech Start Date]]&lt;1/1/1990,"",IF(Main[[#This Row],[Class]]="C",WORKDAY(Main[[#This Row],[Tech Start Date]],23),IF(Main[[#This Row],[Class]]="B", WORKDAY(Main[[#This Row],[Tech Start Date]],15),IF(Main[[#This Row],[Class]]="A",WORKDAY(Main[[#This Row],[Tech Start Date]],5),""))))</f>
        <v/>
      </c>
      <c r="P393" s="73" t="str">
        <f>IF(Main[[#This Row],[Tech Start Date]]&lt;1/1/1990,"",IF(Main[[#This Row],[Class]]="C",WORKDAY(Main[[#This Row],[Tech Start Date]],28),IF(Main[[#This Row],[Class]]="B", WORKDAY(Main[[#This Row],[Tech Start Date]],19),IF(Main[[#This Row],[Class]]="A",WORKDAY(Main[[#This Row],[Tech Start Date]],9),""))))</f>
        <v/>
      </c>
      <c r="Q393" s="85">
        <v>40390</v>
      </c>
      <c r="R393" s="112"/>
      <c r="S393" s="95" t="s">
        <v>6</v>
      </c>
      <c r="T393" s="74" t="s">
        <v>4</v>
      </c>
      <c r="U393" s="95" t="s">
        <v>14</v>
      </c>
      <c r="V393" s="95" t="s">
        <v>1914</v>
      </c>
      <c r="W393" s="95" t="s">
        <v>4</v>
      </c>
      <c r="X393" s="95" t="s">
        <v>2799</v>
      </c>
      <c r="Y393" s="72" t="s">
        <v>2910</v>
      </c>
      <c r="Z393" s="72" t="s">
        <v>4</v>
      </c>
      <c r="AA393" s="95" t="s">
        <v>2799</v>
      </c>
      <c r="AB393" s="132"/>
      <c r="AC393" s="132"/>
      <c r="AD393" s="132"/>
      <c r="AE393" s="63"/>
      <c r="AF393" s="63"/>
      <c r="AG393" s="63"/>
    </row>
    <row r="394" spans="1:33" ht="17.2" customHeight="1">
      <c r="A394" s="64" t="str">
        <f>IF(priority(Main[[#This Row],[Comments]])&lt;&gt;0, priority(Main[[#This Row],[Comments]]),"")</f>
        <v/>
      </c>
      <c r="B394" s="60" t="s">
        <v>1246</v>
      </c>
      <c r="C394" s="72" t="s">
        <v>310</v>
      </c>
      <c r="D394" s="59" t="s">
        <v>311</v>
      </c>
      <c r="E394" s="85"/>
      <c r="F394" s="85">
        <v>40179</v>
      </c>
      <c r="G394" s="64" t="str">
        <f>IF(stdProdLT(Main[[#This Row],[Comments]])=0.1,"N/A",IF(stdProdLT(Main[[#This Row],[Comments]])=0,"",TRIM(stdProdLT(Main[[#This Row],[Comments]]))))</f>
        <v/>
      </c>
      <c r="H394" s="94" t="str">
        <f>IF(OR(Main[[#This Row],[Std. Prod. Lead Time]]="N/A",Main[[#This Row],[Std. Prod. Lead Time]]=""), "",IF(AND(Main[[#This Row],[In Stock Date]]&lt;&gt;"",Main[[#This Row],[Revised Due Date]]&lt;&gt;"",Main[[#This Row],[In Stock Date]]&lt;&gt;""),Main[[#This Row],[In Stock Date]]-Main[[#This Row],[Revised Due Date]],""))</f>
        <v/>
      </c>
      <c r="I394" s="101" t="s">
        <v>4</v>
      </c>
      <c r="J394" s="95" t="s">
        <v>4</v>
      </c>
      <c r="K394" s="95" t="s">
        <v>4</v>
      </c>
      <c r="L394" s="85"/>
      <c r="M394" s="73" t="str">
        <f>IF(Main[[#This Row],[Tech Start Date]]&lt;1/1/1990,"",IF(Main[[#This Row],[Class]]="C",WORKDAY(Main[[#This Row],[Tech Start Date]],9),IF(Main[[#This Row],[Class]]="B", WORKDAY(Main[[#This Row],[Tech Start Date]],6),IF(Main[[#This Row],[Class]]="A",WORKDAY(Main[[#This Row],[Tech Start Date]],2),""))))</f>
        <v/>
      </c>
      <c r="N394" s="73" t="str">
        <f>IF(Main[[#This Row],[Tech Start Date]]&lt;1/1/1990,"",IF(Main[[#This Row],[Class]]="C",WORKDAY(Main[[#This Row],[Tech Start Date]],19),IF(Main[[#This Row],[Class]]="B", WORKDAY(Main[[#This Row],[Tech Start Date]],12),IF(Main[[#This Row],[Class]]="A",WORKDAY(Main[[#This Row],[Tech Start Date]],4),""))))</f>
        <v/>
      </c>
      <c r="O394" s="73" t="str">
        <f>IF(Main[[#This Row],[Tech Start Date]]&lt;1/1/1990,"",IF(Main[[#This Row],[Class]]="C",WORKDAY(Main[[#This Row],[Tech Start Date]],23),IF(Main[[#This Row],[Class]]="B", WORKDAY(Main[[#This Row],[Tech Start Date]],15),IF(Main[[#This Row],[Class]]="A",WORKDAY(Main[[#This Row],[Tech Start Date]],5),""))))</f>
        <v/>
      </c>
      <c r="P394" s="73" t="str">
        <f>IF(Main[[#This Row],[Tech Start Date]]&lt;1/1/1990,"",IF(Main[[#This Row],[Class]]="C",WORKDAY(Main[[#This Row],[Tech Start Date]],28),IF(Main[[#This Row],[Class]]="B", WORKDAY(Main[[#This Row],[Tech Start Date]],19),IF(Main[[#This Row],[Class]]="A",WORKDAY(Main[[#This Row],[Tech Start Date]],9),""))))</f>
        <v/>
      </c>
      <c r="Q394" s="85">
        <v>40174</v>
      </c>
      <c r="R394" s="112"/>
      <c r="S394" s="95" t="s">
        <v>11</v>
      </c>
      <c r="T394" s="74" t="s">
        <v>4</v>
      </c>
      <c r="U394" s="95" t="s">
        <v>12</v>
      </c>
      <c r="V394" s="95" t="s">
        <v>1911</v>
      </c>
      <c r="W394" s="95" t="s">
        <v>1919</v>
      </c>
      <c r="X394" s="95" t="s">
        <v>2853</v>
      </c>
      <c r="Y394" s="72" t="s">
        <v>4</v>
      </c>
      <c r="Z394" s="72" t="s">
        <v>4</v>
      </c>
      <c r="AA394" s="95" t="s">
        <v>2853</v>
      </c>
      <c r="AB394" s="132"/>
      <c r="AC394" s="132"/>
      <c r="AD394" s="132"/>
      <c r="AE394" s="63"/>
      <c r="AF394" s="63"/>
      <c r="AG394" s="63"/>
    </row>
    <row r="395" spans="1:33" ht="17.2" customHeight="1">
      <c r="A395" s="64" t="str">
        <f>IF(priority(Main[[#This Row],[Comments]])&lt;&gt;0, priority(Main[[#This Row],[Comments]]),"")</f>
        <v/>
      </c>
      <c r="B395" s="60" t="s">
        <v>1247</v>
      </c>
      <c r="C395" s="72" t="s">
        <v>4</v>
      </c>
      <c r="D395" s="59" t="s">
        <v>312</v>
      </c>
      <c r="E395" s="85">
        <v>40701.550486111111</v>
      </c>
      <c r="F395" s="85"/>
      <c r="G395" s="64" t="str">
        <f>IF(stdProdLT(Main[[#This Row],[Comments]])=0.1,"N/A",IF(stdProdLT(Main[[#This Row],[Comments]])=0,"",TRIM(stdProdLT(Main[[#This Row],[Comments]]))))</f>
        <v/>
      </c>
      <c r="H395" s="94" t="str">
        <f>IF(OR(Main[[#This Row],[Std. Prod. Lead Time]]="N/A",Main[[#This Row],[Std. Prod. Lead Time]]=""), "",IF(AND(Main[[#This Row],[In Stock Date]]&lt;&gt;"",Main[[#This Row],[Revised Due Date]]&lt;&gt;"",Main[[#This Row],[In Stock Date]]&lt;&gt;""),Main[[#This Row],[In Stock Date]]-Main[[#This Row],[Revised Due Date]],""))</f>
        <v/>
      </c>
      <c r="I395" s="101" t="s">
        <v>4</v>
      </c>
      <c r="J395" s="95" t="s">
        <v>4</v>
      </c>
      <c r="K395" s="95" t="s">
        <v>4</v>
      </c>
      <c r="L395" s="85"/>
      <c r="M395" s="73" t="str">
        <f>IF(Main[[#This Row],[Tech Start Date]]&lt;1/1/1990,"",IF(Main[[#This Row],[Class]]="C",WORKDAY(Main[[#This Row],[Tech Start Date]],9),IF(Main[[#This Row],[Class]]="B", WORKDAY(Main[[#This Row],[Tech Start Date]],6),IF(Main[[#This Row],[Class]]="A",WORKDAY(Main[[#This Row],[Tech Start Date]],2),""))))</f>
        <v/>
      </c>
      <c r="N395" s="73" t="str">
        <f>IF(Main[[#This Row],[Tech Start Date]]&lt;1/1/1990,"",IF(Main[[#This Row],[Class]]="C",WORKDAY(Main[[#This Row],[Tech Start Date]],19),IF(Main[[#This Row],[Class]]="B", WORKDAY(Main[[#This Row],[Tech Start Date]],12),IF(Main[[#This Row],[Class]]="A",WORKDAY(Main[[#This Row],[Tech Start Date]],4),""))))</f>
        <v/>
      </c>
      <c r="O395" s="73" t="str">
        <f>IF(Main[[#This Row],[Tech Start Date]]&lt;1/1/1990,"",IF(Main[[#This Row],[Class]]="C",WORKDAY(Main[[#This Row],[Tech Start Date]],23),IF(Main[[#This Row],[Class]]="B", WORKDAY(Main[[#This Row],[Tech Start Date]],15),IF(Main[[#This Row],[Class]]="A",WORKDAY(Main[[#This Row],[Tech Start Date]],5),""))))</f>
        <v/>
      </c>
      <c r="P395" s="73" t="str">
        <f>IF(Main[[#This Row],[Tech Start Date]]&lt;1/1/1990,"",IF(Main[[#This Row],[Class]]="C",WORKDAY(Main[[#This Row],[Tech Start Date]],28),IF(Main[[#This Row],[Class]]="B", WORKDAY(Main[[#This Row],[Tech Start Date]],19),IF(Main[[#This Row],[Class]]="A",WORKDAY(Main[[#This Row],[Tech Start Date]],9),""))))</f>
        <v/>
      </c>
      <c r="Q395" s="85"/>
      <c r="R395" s="112"/>
      <c r="S395" s="95" t="s">
        <v>6</v>
      </c>
      <c r="T395" s="74" t="s">
        <v>4</v>
      </c>
      <c r="U395" s="95" t="s">
        <v>7</v>
      </c>
      <c r="V395" s="95" t="s">
        <v>1911</v>
      </c>
      <c r="W395" s="95" t="s">
        <v>4</v>
      </c>
      <c r="X395" s="95" t="s">
        <v>907</v>
      </c>
      <c r="Y395" s="72" t="s">
        <v>2995</v>
      </c>
      <c r="Z395" s="72" t="s">
        <v>4</v>
      </c>
      <c r="AA395" s="95" t="s">
        <v>907</v>
      </c>
      <c r="AB395" s="132"/>
      <c r="AC395" s="132"/>
      <c r="AD395" s="132"/>
      <c r="AE395" s="63"/>
      <c r="AF395" s="63"/>
      <c r="AG395" s="63"/>
    </row>
    <row r="396" spans="1:33" ht="17.2" customHeight="1">
      <c r="A396" s="64" t="str">
        <f>IF(priority(Main[[#This Row],[Comments]])&lt;&gt;0, priority(Main[[#This Row],[Comments]]),"")</f>
        <v/>
      </c>
      <c r="B396" s="60" t="s">
        <v>1248</v>
      </c>
      <c r="C396" s="72" t="s">
        <v>4</v>
      </c>
      <c r="D396" s="59" t="s">
        <v>313</v>
      </c>
      <c r="E396" s="85"/>
      <c r="F396" s="85"/>
      <c r="G396" s="64" t="str">
        <f>IF(stdProdLT(Main[[#This Row],[Comments]])=0.1,"N/A",IF(stdProdLT(Main[[#This Row],[Comments]])=0,"",TRIM(stdProdLT(Main[[#This Row],[Comments]]))))</f>
        <v/>
      </c>
      <c r="H396" s="94" t="str">
        <f>IF(OR(Main[[#This Row],[Std. Prod. Lead Time]]="N/A",Main[[#This Row],[Std. Prod. Lead Time]]=""), "",IF(AND(Main[[#This Row],[In Stock Date]]&lt;&gt;"",Main[[#This Row],[Revised Due Date]]&lt;&gt;"",Main[[#This Row],[In Stock Date]]&lt;&gt;""),Main[[#This Row],[In Stock Date]]-Main[[#This Row],[Revised Due Date]],""))</f>
        <v/>
      </c>
      <c r="I396" s="101" t="s">
        <v>4</v>
      </c>
      <c r="J396" s="95" t="s">
        <v>4</v>
      </c>
      <c r="K396" s="95" t="s">
        <v>4</v>
      </c>
      <c r="L396" s="85"/>
      <c r="M396" s="73" t="str">
        <f>IF(Main[[#This Row],[Tech Start Date]]&lt;1/1/1990,"",IF(Main[[#This Row],[Class]]="C",WORKDAY(Main[[#This Row],[Tech Start Date]],9),IF(Main[[#This Row],[Class]]="B", WORKDAY(Main[[#This Row],[Tech Start Date]],6),IF(Main[[#This Row],[Class]]="A",WORKDAY(Main[[#This Row],[Tech Start Date]],2),""))))</f>
        <v/>
      </c>
      <c r="N396" s="73" t="str">
        <f>IF(Main[[#This Row],[Tech Start Date]]&lt;1/1/1990,"",IF(Main[[#This Row],[Class]]="C",WORKDAY(Main[[#This Row],[Tech Start Date]],19),IF(Main[[#This Row],[Class]]="B", WORKDAY(Main[[#This Row],[Tech Start Date]],12),IF(Main[[#This Row],[Class]]="A",WORKDAY(Main[[#This Row],[Tech Start Date]],4),""))))</f>
        <v/>
      </c>
      <c r="O396" s="73" t="str">
        <f>IF(Main[[#This Row],[Tech Start Date]]&lt;1/1/1990,"",IF(Main[[#This Row],[Class]]="C",WORKDAY(Main[[#This Row],[Tech Start Date]],23),IF(Main[[#This Row],[Class]]="B", WORKDAY(Main[[#This Row],[Tech Start Date]],15),IF(Main[[#This Row],[Class]]="A",WORKDAY(Main[[#This Row],[Tech Start Date]],5),""))))</f>
        <v/>
      </c>
      <c r="P396" s="73" t="str">
        <f>IF(Main[[#This Row],[Tech Start Date]]&lt;1/1/1990,"",IF(Main[[#This Row],[Class]]="C",WORKDAY(Main[[#This Row],[Tech Start Date]],28),IF(Main[[#This Row],[Class]]="B", WORKDAY(Main[[#This Row],[Tech Start Date]],19),IF(Main[[#This Row],[Class]]="A",WORKDAY(Main[[#This Row],[Tech Start Date]],9),""))))</f>
        <v/>
      </c>
      <c r="Q396" s="85">
        <v>40374</v>
      </c>
      <c r="R396" s="112"/>
      <c r="S396" s="95" t="s">
        <v>11</v>
      </c>
      <c r="T396" s="74" t="s">
        <v>4</v>
      </c>
      <c r="U396" s="95" t="s">
        <v>12</v>
      </c>
      <c r="V396" s="95" t="s">
        <v>1912</v>
      </c>
      <c r="W396" s="95" t="s">
        <v>1913</v>
      </c>
      <c r="X396" s="95" t="s">
        <v>2852</v>
      </c>
      <c r="Y396" s="72" t="s">
        <v>2974</v>
      </c>
      <c r="Z396" s="72" t="s">
        <v>4</v>
      </c>
      <c r="AA396" s="95" t="s">
        <v>2852</v>
      </c>
      <c r="AB396" s="132"/>
      <c r="AC396" s="132"/>
      <c r="AD396" s="132"/>
      <c r="AE396" s="63"/>
      <c r="AF396" s="63"/>
      <c r="AG396" s="63"/>
    </row>
    <row r="397" spans="1:33" ht="17.2" customHeight="1">
      <c r="A397" s="64" t="str">
        <f>IF(priority(Main[[#This Row],[Comments]])&lt;&gt;0, priority(Main[[#This Row],[Comments]]),"")</f>
        <v/>
      </c>
      <c r="B397" s="60" t="s">
        <v>1249</v>
      </c>
      <c r="C397" s="72" t="s">
        <v>4</v>
      </c>
      <c r="D397" s="59" t="s">
        <v>314</v>
      </c>
      <c r="E397" s="85"/>
      <c r="F397" s="85"/>
      <c r="G397" s="64" t="str">
        <f>IF(stdProdLT(Main[[#This Row],[Comments]])=0.1,"N/A",IF(stdProdLT(Main[[#This Row],[Comments]])=0,"",TRIM(stdProdLT(Main[[#This Row],[Comments]]))))</f>
        <v/>
      </c>
      <c r="H397" s="94" t="str">
        <f>IF(OR(Main[[#This Row],[Std. Prod. Lead Time]]="N/A",Main[[#This Row],[Std. Prod. Lead Time]]=""), "",IF(AND(Main[[#This Row],[In Stock Date]]&lt;&gt;"",Main[[#This Row],[Revised Due Date]]&lt;&gt;"",Main[[#This Row],[In Stock Date]]&lt;&gt;""),Main[[#This Row],[In Stock Date]]-Main[[#This Row],[Revised Due Date]],""))</f>
        <v/>
      </c>
      <c r="I397" s="101" t="s">
        <v>4</v>
      </c>
      <c r="J397" s="95" t="s">
        <v>4</v>
      </c>
      <c r="K397" s="95" t="s">
        <v>4</v>
      </c>
      <c r="L397" s="85"/>
      <c r="M397" s="73" t="str">
        <f>IF(Main[[#This Row],[Tech Start Date]]&lt;1/1/1990,"",IF(Main[[#This Row],[Class]]="C",WORKDAY(Main[[#This Row],[Tech Start Date]],9),IF(Main[[#This Row],[Class]]="B", WORKDAY(Main[[#This Row],[Tech Start Date]],6),IF(Main[[#This Row],[Class]]="A",WORKDAY(Main[[#This Row],[Tech Start Date]],2),""))))</f>
        <v/>
      </c>
      <c r="N397" s="73" t="str">
        <f>IF(Main[[#This Row],[Tech Start Date]]&lt;1/1/1990,"",IF(Main[[#This Row],[Class]]="C",WORKDAY(Main[[#This Row],[Tech Start Date]],19),IF(Main[[#This Row],[Class]]="B", WORKDAY(Main[[#This Row],[Tech Start Date]],12),IF(Main[[#This Row],[Class]]="A",WORKDAY(Main[[#This Row],[Tech Start Date]],4),""))))</f>
        <v/>
      </c>
      <c r="O397" s="73" t="str">
        <f>IF(Main[[#This Row],[Tech Start Date]]&lt;1/1/1990,"",IF(Main[[#This Row],[Class]]="C",WORKDAY(Main[[#This Row],[Tech Start Date]],23),IF(Main[[#This Row],[Class]]="B", WORKDAY(Main[[#This Row],[Tech Start Date]],15),IF(Main[[#This Row],[Class]]="A",WORKDAY(Main[[#This Row],[Tech Start Date]],5),""))))</f>
        <v/>
      </c>
      <c r="P397" s="73" t="str">
        <f>IF(Main[[#This Row],[Tech Start Date]]&lt;1/1/1990,"",IF(Main[[#This Row],[Class]]="C",WORKDAY(Main[[#This Row],[Tech Start Date]],28),IF(Main[[#This Row],[Class]]="B", WORKDAY(Main[[#This Row],[Tech Start Date]],19),IF(Main[[#This Row],[Class]]="A",WORKDAY(Main[[#This Row],[Tech Start Date]],9),""))))</f>
        <v/>
      </c>
      <c r="Q397" s="85"/>
      <c r="R397" s="112"/>
      <c r="S397" s="95" t="s">
        <v>6</v>
      </c>
      <c r="T397" s="74" t="s">
        <v>4</v>
      </c>
      <c r="U397" s="95" t="s">
        <v>14</v>
      </c>
      <c r="V397" s="95" t="s">
        <v>1912</v>
      </c>
      <c r="W397" s="95" t="s">
        <v>1913</v>
      </c>
      <c r="X397" s="95" t="s">
        <v>2842</v>
      </c>
      <c r="Y397" s="72" t="s">
        <v>2984</v>
      </c>
      <c r="Z397" s="72" t="s">
        <v>4</v>
      </c>
      <c r="AA397" s="95" t="s">
        <v>2842</v>
      </c>
      <c r="AB397" s="132"/>
      <c r="AC397" s="132"/>
      <c r="AD397" s="132"/>
      <c r="AE397" s="63"/>
      <c r="AF397" s="63"/>
      <c r="AG397" s="63"/>
    </row>
    <row r="398" spans="1:33" ht="17.2" customHeight="1">
      <c r="A398" s="64" t="str">
        <f>IF(priority(Main[[#This Row],[Comments]])&lt;&gt;0, priority(Main[[#This Row],[Comments]]),"")</f>
        <v/>
      </c>
      <c r="B398" s="60" t="s">
        <v>1250</v>
      </c>
      <c r="C398" s="72" t="s">
        <v>197</v>
      </c>
      <c r="D398" s="59" t="s">
        <v>315</v>
      </c>
      <c r="E398" s="85"/>
      <c r="F398" s="85"/>
      <c r="G398" s="64" t="str">
        <f>IF(stdProdLT(Main[[#This Row],[Comments]])=0.1,"N/A",IF(stdProdLT(Main[[#This Row],[Comments]])=0,"",TRIM(stdProdLT(Main[[#This Row],[Comments]]))))</f>
        <v/>
      </c>
      <c r="H398" s="94" t="str">
        <f>IF(OR(Main[[#This Row],[Std. Prod. Lead Time]]="N/A",Main[[#This Row],[Std. Prod. Lead Time]]=""), "",IF(AND(Main[[#This Row],[In Stock Date]]&lt;&gt;"",Main[[#This Row],[Revised Due Date]]&lt;&gt;"",Main[[#This Row],[In Stock Date]]&lt;&gt;""),Main[[#This Row],[In Stock Date]]-Main[[#This Row],[Revised Due Date]],""))</f>
        <v/>
      </c>
      <c r="I398" s="101" t="s">
        <v>4</v>
      </c>
      <c r="J398" s="95" t="s">
        <v>4</v>
      </c>
      <c r="K398" s="95" t="s">
        <v>4</v>
      </c>
      <c r="L398" s="85"/>
      <c r="M398" s="73" t="str">
        <f>IF(Main[[#This Row],[Tech Start Date]]&lt;1/1/1990,"",IF(Main[[#This Row],[Class]]="C",WORKDAY(Main[[#This Row],[Tech Start Date]],9),IF(Main[[#This Row],[Class]]="B", WORKDAY(Main[[#This Row],[Tech Start Date]],6),IF(Main[[#This Row],[Class]]="A",WORKDAY(Main[[#This Row],[Tech Start Date]],2),""))))</f>
        <v/>
      </c>
      <c r="N398" s="73" t="str">
        <f>IF(Main[[#This Row],[Tech Start Date]]&lt;1/1/1990,"",IF(Main[[#This Row],[Class]]="C",WORKDAY(Main[[#This Row],[Tech Start Date]],19),IF(Main[[#This Row],[Class]]="B", WORKDAY(Main[[#This Row],[Tech Start Date]],12),IF(Main[[#This Row],[Class]]="A",WORKDAY(Main[[#This Row],[Tech Start Date]],4),""))))</f>
        <v/>
      </c>
      <c r="O398" s="73" t="str">
        <f>IF(Main[[#This Row],[Tech Start Date]]&lt;1/1/1990,"",IF(Main[[#This Row],[Class]]="C",WORKDAY(Main[[#This Row],[Tech Start Date]],23),IF(Main[[#This Row],[Class]]="B", WORKDAY(Main[[#This Row],[Tech Start Date]],15),IF(Main[[#This Row],[Class]]="A",WORKDAY(Main[[#This Row],[Tech Start Date]],5),""))))</f>
        <v/>
      </c>
      <c r="P398" s="73" t="str">
        <f>IF(Main[[#This Row],[Tech Start Date]]&lt;1/1/1990,"",IF(Main[[#This Row],[Class]]="C",WORKDAY(Main[[#This Row],[Tech Start Date]],28),IF(Main[[#This Row],[Class]]="B", WORKDAY(Main[[#This Row],[Tech Start Date]],19),IF(Main[[#This Row],[Class]]="A",WORKDAY(Main[[#This Row],[Tech Start Date]],9),""))))</f>
        <v/>
      </c>
      <c r="Q398" s="85">
        <v>40165</v>
      </c>
      <c r="R398" s="112"/>
      <c r="S398" s="95" t="s">
        <v>11</v>
      </c>
      <c r="T398" s="74" t="s">
        <v>4</v>
      </c>
      <c r="U398" s="95" t="s">
        <v>14</v>
      </c>
      <c r="V398" s="95" t="s">
        <v>1921</v>
      </c>
      <c r="W398" s="95" t="s">
        <v>1917</v>
      </c>
      <c r="X398" s="95" t="s">
        <v>306</v>
      </c>
      <c r="Y398" s="72" t="s">
        <v>2941</v>
      </c>
      <c r="Z398" s="72" t="s">
        <v>4</v>
      </c>
      <c r="AA398" s="95" t="s">
        <v>883</v>
      </c>
      <c r="AB398" s="132"/>
      <c r="AC398" s="132"/>
      <c r="AD398" s="132"/>
      <c r="AE398" s="63"/>
      <c r="AF398" s="63"/>
      <c r="AG398" s="63"/>
    </row>
    <row r="399" spans="1:33" ht="17.2" customHeight="1">
      <c r="A399" s="64" t="str">
        <f>IF(priority(Main[[#This Row],[Comments]])&lt;&gt;0, priority(Main[[#This Row],[Comments]]),"")</f>
        <v/>
      </c>
      <c r="B399" s="60" t="s">
        <v>1252</v>
      </c>
      <c r="C399" s="72" t="s">
        <v>4</v>
      </c>
      <c r="D399" s="59" t="s">
        <v>317</v>
      </c>
      <c r="E399" s="85">
        <v>40275.49355324074</v>
      </c>
      <c r="F399" s="85"/>
      <c r="G399" s="64" t="str">
        <f>IF(stdProdLT(Main[[#This Row],[Comments]])=0.1,"N/A",IF(stdProdLT(Main[[#This Row],[Comments]])=0,"",TRIM(stdProdLT(Main[[#This Row],[Comments]]))))</f>
        <v/>
      </c>
      <c r="H399" s="94" t="str">
        <f>IF(OR(Main[[#This Row],[Std. Prod. Lead Time]]="N/A",Main[[#This Row],[Std. Prod. Lead Time]]=""), "",IF(AND(Main[[#This Row],[In Stock Date]]&lt;&gt;"",Main[[#This Row],[Revised Due Date]]&lt;&gt;"",Main[[#This Row],[In Stock Date]]&lt;&gt;""),Main[[#This Row],[In Stock Date]]-Main[[#This Row],[Revised Due Date]],""))</f>
        <v/>
      </c>
      <c r="I399" s="101" t="s">
        <v>4</v>
      </c>
      <c r="J399" s="95" t="s">
        <v>4</v>
      </c>
      <c r="K399" s="95" t="s">
        <v>4</v>
      </c>
      <c r="L399" s="85"/>
      <c r="M399" s="73" t="str">
        <f>IF(Main[[#This Row],[Tech Start Date]]&lt;1/1/1990,"",IF(Main[[#This Row],[Class]]="C",WORKDAY(Main[[#This Row],[Tech Start Date]],9),IF(Main[[#This Row],[Class]]="B", WORKDAY(Main[[#This Row],[Tech Start Date]],6),IF(Main[[#This Row],[Class]]="A",WORKDAY(Main[[#This Row],[Tech Start Date]],2),""))))</f>
        <v/>
      </c>
      <c r="N399" s="73" t="str">
        <f>IF(Main[[#This Row],[Tech Start Date]]&lt;1/1/1990,"",IF(Main[[#This Row],[Class]]="C",WORKDAY(Main[[#This Row],[Tech Start Date]],19),IF(Main[[#This Row],[Class]]="B", WORKDAY(Main[[#This Row],[Tech Start Date]],12),IF(Main[[#This Row],[Class]]="A",WORKDAY(Main[[#This Row],[Tech Start Date]],4),""))))</f>
        <v/>
      </c>
      <c r="O399" s="73" t="str">
        <f>IF(Main[[#This Row],[Tech Start Date]]&lt;1/1/1990,"",IF(Main[[#This Row],[Class]]="C",WORKDAY(Main[[#This Row],[Tech Start Date]],23),IF(Main[[#This Row],[Class]]="B", WORKDAY(Main[[#This Row],[Tech Start Date]],15),IF(Main[[#This Row],[Class]]="A",WORKDAY(Main[[#This Row],[Tech Start Date]],5),""))))</f>
        <v/>
      </c>
      <c r="P399" s="73" t="str">
        <f>IF(Main[[#This Row],[Tech Start Date]]&lt;1/1/1990,"",IF(Main[[#This Row],[Class]]="C",WORKDAY(Main[[#This Row],[Tech Start Date]],28),IF(Main[[#This Row],[Class]]="B", WORKDAY(Main[[#This Row],[Tech Start Date]],19),IF(Main[[#This Row],[Class]]="A",WORKDAY(Main[[#This Row],[Tech Start Date]],9),""))))</f>
        <v/>
      </c>
      <c r="Q399" s="85">
        <v>40289</v>
      </c>
      <c r="R399" s="112"/>
      <c r="S399" s="95" t="s">
        <v>318</v>
      </c>
      <c r="T399" s="74" t="s">
        <v>4</v>
      </c>
      <c r="U399" s="95" t="s">
        <v>7</v>
      </c>
      <c r="V399" s="95" t="s">
        <v>1911</v>
      </c>
      <c r="W399" s="95" t="s">
        <v>1913</v>
      </c>
      <c r="X399" s="95" t="s">
        <v>2801</v>
      </c>
      <c r="Y399" s="72" t="s">
        <v>2914</v>
      </c>
      <c r="Z399" s="72" t="s">
        <v>4</v>
      </c>
      <c r="AA399" s="95" t="s">
        <v>2801</v>
      </c>
      <c r="AB399" s="132"/>
      <c r="AC399" s="132"/>
      <c r="AD399" s="132"/>
      <c r="AE399" s="63"/>
      <c r="AF399" s="63"/>
      <c r="AG399" s="63"/>
    </row>
    <row r="400" spans="1:33" ht="17.2" customHeight="1">
      <c r="A400" s="64" t="str">
        <f>IF(priority(Main[[#This Row],[Comments]])&lt;&gt;0, priority(Main[[#This Row],[Comments]]),"")</f>
        <v/>
      </c>
      <c r="B400" s="60" t="s">
        <v>1254</v>
      </c>
      <c r="C400" s="72" t="s">
        <v>4</v>
      </c>
      <c r="D400" s="59" t="s">
        <v>320</v>
      </c>
      <c r="E400" s="85"/>
      <c r="F400" s="85"/>
      <c r="G400" s="64" t="str">
        <f>IF(stdProdLT(Main[[#This Row],[Comments]])=0.1,"N/A",IF(stdProdLT(Main[[#This Row],[Comments]])=0,"",TRIM(stdProdLT(Main[[#This Row],[Comments]]))))</f>
        <v/>
      </c>
      <c r="H400" s="94" t="str">
        <f>IF(OR(Main[[#This Row],[Std. Prod. Lead Time]]="N/A",Main[[#This Row],[Std. Prod. Lead Time]]=""), "",IF(AND(Main[[#This Row],[In Stock Date]]&lt;&gt;"",Main[[#This Row],[Revised Due Date]]&lt;&gt;"",Main[[#This Row],[In Stock Date]]&lt;&gt;""),Main[[#This Row],[In Stock Date]]-Main[[#This Row],[Revised Due Date]],""))</f>
        <v/>
      </c>
      <c r="I400" s="101" t="s">
        <v>4</v>
      </c>
      <c r="J400" s="95" t="s">
        <v>28</v>
      </c>
      <c r="K400" s="95" t="s">
        <v>4</v>
      </c>
      <c r="L400" s="85"/>
      <c r="M400" s="73" t="str">
        <f>IF(Main[[#This Row],[Tech Start Date]]&lt;1/1/1990,"",IF(Main[[#This Row],[Class]]="C",WORKDAY(Main[[#This Row],[Tech Start Date]],9),IF(Main[[#This Row],[Class]]="B", WORKDAY(Main[[#This Row],[Tech Start Date]],6),IF(Main[[#This Row],[Class]]="A",WORKDAY(Main[[#This Row],[Tech Start Date]],2),""))))</f>
        <v/>
      </c>
      <c r="N400" s="73" t="str">
        <f>IF(Main[[#This Row],[Tech Start Date]]&lt;1/1/1990,"",IF(Main[[#This Row],[Class]]="C",WORKDAY(Main[[#This Row],[Tech Start Date]],19),IF(Main[[#This Row],[Class]]="B", WORKDAY(Main[[#This Row],[Tech Start Date]],12),IF(Main[[#This Row],[Class]]="A",WORKDAY(Main[[#This Row],[Tech Start Date]],4),""))))</f>
        <v/>
      </c>
      <c r="O400" s="73" t="str">
        <f>IF(Main[[#This Row],[Tech Start Date]]&lt;1/1/1990,"",IF(Main[[#This Row],[Class]]="C",WORKDAY(Main[[#This Row],[Tech Start Date]],23),IF(Main[[#This Row],[Class]]="B", WORKDAY(Main[[#This Row],[Tech Start Date]],15),IF(Main[[#This Row],[Class]]="A",WORKDAY(Main[[#This Row],[Tech Start Date]],5),""))))</f>
        <v/>
      </c>
      <c r="P400" s="73" t="str">
        <f>IF(Main[[#This Row],[Tech Start Date]]&lt;1/1/1990,"",IF(Main[[#This Row],[Class]]="C",WORKDAY(Main[[#This Row],[Tech Start Date]],28),IF(Main[[#This Row],[Class]]="B", WORKDAY(Main[[#This Row],[Tech Start Date]],19),IF(Main[[#This Row],[Class]]="A",WORKDAY(Main[[#This Row],[Tech Start Date]],9),""))))</f>
        <v/>
      </c>
      <c r="Q400" s="85"/>
      <c r="R400" s="112"/>
      <c r="S400" s="95" t="s">
        <v>17</v>
      </c>
      <c r="T400" s="74" t="s">
        <v>4</v>
      </c>
      <c r="U400" s="95" t="s">
        <v>14</v>
      </c>
      <c r="V400" s="95" t="s">
        <v>1911</v>
      </c>
      <c r="W400" s="95" t="s">
        <v>1915</v>
      </c>
      <c r="X400" s="95" t="s">
        <v>129</v>
      </c>
      <c r="Y400" s="72" t="s">
        <v>4</v>
      </c>
      <c r="Z400" s="72" t="s">
        <v>129</v>
      </c>
      <c r="AA400" s="95" t="s">
        <v>2801</v>
      </c>
      <c r="AB400" s="132"/>
      <c r="AC400" s="132"/>
      <c r="AD400" s="132"/>
      <c r="AE400" s="63"/>
      <c r="AF400" s="63"/>
      <c r="AG400" s="63"/>
    </row>
    <row r="401" spans="1:33" ht="17.2" customHeight="1">
      <c r="A401" s="64" t="str">
        <f>IF(priority(Main[[#This Row],[Comments]])&lt;&gt;0, priority(Main[[#This Row],[Comments]]),"")</f>
        <v/>
      </c>
      <c r="B401" s="60" t="s">
        <v>1255</v>
      </c>
      <c r="C401" s="72" t="s">
        <v>4</v>
      </c>
      <c r="D401" s="59" t="s">
        <v>321</v>
      </c>
      <c r="E401" s="85"/>
      <c r="F401" s="85"/>
      <c r="G401" s="64" t="str">
        <f>IF(stdProdLT(Main[[#This Row],[Comments]])=0.1,"N/A",IF(stdProdLT(Main[[#This Row],[Comments]])=0,"",TRIM(stdProdLT(Main[[#This Row],[Comments]]))))</f>
        <v/>
      </c>
      <c r="H401" s="94" t="str">
        <f>IF(OR(Main[[#This Row],[Std. Prod. Lead Time]]="N/A",Main[[#This Row],[Std. Prod. Lead Time]]=""), "",IF(AND(Main[[#This Row],[In Stock Date]]&lt;&gt;"",Main[[#This Row],[Revised Due Date]]&lt;&gt;"",Main[[#This Row],[In Stock Date]]&lt;&gt;""),Main[[#This Row],[In Stock Date]]-Main[[#This Row],[Revised Due Date]],""))</f>
        <v/>
      </c>
      <c r="I401" s="101" t="s">
        <v>4</v>
      </c>
      <c r="J401" s="95" t="s">
        <v>4</v>
      </c>
      <c r="K401" s="95" t="s">
        <v>4</v>
      </c>
      <c r="L401" s="85"/>
      <c r="M401" s="73" t="str">
        <f>IF(Main[[#This Row],[Tech Start Date]]&lt;1/1/1990,"",IF(Main[[#This Row],[Class]]="C",WORKDAY(Main[[#This Row],[Tech Start Date]],9),IF(Main[[#This Row],[Class]]="B", WORKDAY(Main[[#This Row],[Tech Start Date]],6),IF(Main[[#This Row],[Class]]="A",WORKDAY(Main[[#This Row],[Tech Start Date]],2),""))))</f>
        <v/>
      </c>
      <c r="N401" s="73" t="str">
        <f>IF(Main[[#This Row],[Tech Start Date]]&lt;1/1/1990,"",IF(Main[[#This Row],[Class]]="C",WORKDAY(Main[[#This Row],[Tech Start Date]],19),IF(Main[[#This Row],[Class]]="B", WORKDAY(Main[[#This Row],[Tech Start Date]],12),IF(Main[[#This Row],[Class]]="A",WORKDAY(Main[[#This Row],[Tech Start Date]],4),""))))</f>
        <v/>
      </c>
      <c r="O401" s="73" t="str">
        <f>IF(Main[[#This Row],[Tech Start Date]]&lt;1/1/1990,"",IF(Main[[#This Row],[Class]]="C",WORKDAY(Main[[#This Row],[Tech Start Date]],23),IF(Main[[#This Row],[Class]]="B", WORKDAY(Main[[#This Row],[Tech Start Date]],15),IF(Main[[#This Row],[Class]]="A",WORKDAY(Main[[#This Row],[Tech Start Date]],5),""))))</f>
        <v/>
      </c>
      <c r="P401" s="73" t="str">
        <f>IF(Main[[#This Row],[Tech Start Date]]&lt;1/1/1990,"",IF(Main[[#This Row],[Class]]="C",WORKDAY(Main[[#This Row],[Tech Start Date]],28),IF(Main[[#This Row],[Class]]="B", WORKDAY(Main[[#This Row],[Tech Start Date]],19),IF(Main[[#This Row],[Class]]="A",WORKDAY(Main[[#This Row],[Tech Start Date]],9),""))))</f>
        <v/>
      </c>
      <c r="Q401" s="85">
        <v>40725</v>
      </c>
      <c r="R401" s="112"/>
      <c r="S401" s="95" t="s">
        <v>17</v>
      </c>
      <c r="T401" s="74" t="s">
        <v>4</v>
      </c>
      <c r="U401" s="95" t="s">
        <v>14</v>
      </c>
      <c r="V401" s="95" t="s">
        <v>1911</v>
      </c>
      <c r="W401" s="95" t="s">
        <v>1913</v>
      </c>
      <c r="X401" s="95" t="s">
        <v>907</v>
      </c>
      <c r="Y401" s="72" t="s">
        <v>2995</v>
      </c>
      <c r="Z401" s="72" t="s">
        <v>4</v>
      </c>
      <c r="AA401" s="95" t="s">
        <v>907</v>
      </c>
      <c r="AB401" s="132"/>
      <c r="AC401" s="132"/>
      <c r="AD401" s="132"/>
      <c r="AE401" s="63"/>
      <c r="AF401" s="63"/>
      <c r="AG401" s="63"/>
    </row>
    <row r="402" spans="1:33" ht="17.2" customHeight="1">
      <c r="A402" s="64" t="str">
        <f>IF(priority(Main[[#This Row],[Comments]])&lt;&gt;0, priority(Main[[#This Row],[Comments]]),"")</f>
        <v/>
      </c>
      <c r="B402" s="60" t="s">
        <v>1256</v>
      </c>
      <c r="C402" s="72" t="s">
        <v>93</v>
      </c>
      <c r="D402" s="59" t="s">
        <v>322</v>
      </c>
      <c r="E402" s="85"/>
      <c r="F402" s="85">
        <v>40168</v>
      </c>
      <c r="G402" s="64" t="str">
        <f>IF(stdProdLT(Main[[#This Row],[Comments]])=0.1,"N/A",IF(stdProdLT(Main[[#This Row],[Comments]])=0,"",TRIM(stdProdLT(Main[[#This Row],[Comments]]))))</f>
        <v/>
      </c>
      <c r="H402" s="94" t="str">
        <f>IF(OR(Main[[#This Row],[Std. Prod. Lead Time]]="N/A",Main[[#This Row],[Std. Prod. Lead Time]]=""), "",IF(AND(Main[[#This Row],[In Stock Date]]&lt;&gt;"",Main[[#This Row],[Revised Due Date]]&lt;&gt;"",Main[[#This Row],[In Stock Date]]&lt;&gt;""),Main[[#This Row],[In Stock Date]]-Main[[#This Row],[Revised Due Date]],""))</f>
        <v/>
      </c>
      <c r="I402" s="101" t="s">
        <v>4</v>
      </c>
      <c r="J402" s="95" t="s">
        <v>4</v>
      </c>
      <c r="K402" s="95" t="s">
        <v>4</v>
      </c>
      <c r="L402" s="85"/>
      <c r="M402" s="73" t="str">
        <f>IF(Main[[#This Row],[Tech Start Date]]&lt;1/1/1990,"",IF(Main[[#This Row],[Class]]="C",WORKDAY(Main[[#This Row],[Tech Start Date]],9),IF(Main[[#This Row],[Class]]="B", WORKDAY(Main[[#This Row],[Tech Start Date]],6),IF(Main[[#This Row],[Class]]="A",WORKDAY(Main[[#This Row],[Tech Start Date]],2),""))))</f>
        <v/>
      </c>
      <c r="N402" s="73" t="str">
        <f>IF(Main[[#This Row],[Tech Start Date]]&lt;1/1/1990,"",IF(Main[[#This Row],[Class]]="C",WORKDAY(Main[[#This Row],[Tech Start Date]],19),IF(Main[[#This Row],[Class]]="B", WORKDAY(Main[[#This Row],[Tech Start Date]],12),IF(Main[[#This Row],[Class]]="A",WORKDAY(Main[[#This Row],[Tech Start Date]],4),""))))</f>
        <v/>
      </c>
      <c r="O402" s="73" t="str">
        <f>IF(Main[[#This Row],[Tech Start Date]]&lt;1/1/1990,"",IF(Main[[#This Row],[Class]]="C",WORKDAY(Main[[#This Row],[Tech Start Date]],23),IF(Main[[#This Row],[Class]]="B", WORKDAY(Main[[#This Row],[Tech Start Date]],15),IF(Main[[#This Row],[Class]]="A",WORKDAY(Main[[#This Row],[Tech Start Date]],5),""))))</f>
        <v/>
      </c>
      <c r="P402" s="73" t="str">
        <f>IF(Main[[#This Row],[Tech Start Date]]&lt;1/1/1990,"",IF(Main[[#This Row],[Class]]="C",WORKDAY(Main[[#This Row],[Tech Start Date]],28),IF(Main[[#This Row],[Class]]="B", WORKDAY(Main[[#This Row],[Tech Start Date]],19),IF(Main[[#This Row],[Class]]="A",WORKDAY(Main[[#This Row],[Tech Start Date]],9),""))))</f>
        <v/>
      </c>
      <c r="Q402" s="85">
        <v>39993</v>
      </c>
      <c r="R402" s="112"/>
      <c r="S402" s="95" t="s">
        <v>11</v>
      </c>
      <c r="T402" s="74" t="s">
        <v>4</v>
      </c>
      <c r="U402" s="95" t="s">
        <v>14</v>
      </c>
      <c r="V402" s="95" t="s">
        <v>1912</v>
      </c>
      <c r="W402" s="95" t="s">
        <v>1919</v>
      </c>
      <c r="X402" s="95" t="s">
        <v>2833</v>
      </c>
      <c r="Y402" s="72" t="s">
        <v>2969</v>
      </c>
      <c r="Z402" s="72" t="s">
        <v>4</v>
      </c>
      <c r="AA402" s="95" t="s">
        <v>2833</v>
      </c>
      <c r="AB402" s="132"/>
      <c r="AC402" s="132"/>
      <c r="AD402" s="132"/>
      <c r="AE402" s="63"/>
      <c r="AF402" s="63"/>
      <c r="AG402" s="63"/>
    </row>
    <row r="403" spans="1:33" ht="17.2" customHeight="1">
      <c r="A403" s="64" t="str">
        <f>IF(priority(Main[[#This Row],[Comments]])&lt;&gt;0, priority(Main[[#This Row],[Comments]]),"")</f>
        <v/>
      </c>
      <c r="B403" s="60" t="s">
        <v>1257</v>
      </c>
      <c r="C403" s="72" t="s">
        <v>93</v>
      </c>
      <c r="D403" s="59" t="s">
        <v>323</v>
      </c>
      <c r="E403" s="85"/>
      <c r="F403" s="85">
        <v>40299</v>
      </c>
      <c r="G403" s="64" t="str">
        <f>IF(stdProdLT(Main[[#This Row],[Comments]])=0.1,"N/A",IF(stdProdLT(Main[[#This Row],[Comments]])=0,"",TRIM(stdProdLT(Main[[#This Row],[Comments]]))))</f>
        <v/>
      </c>
      <c r="H403" s="94" t="str">
        <f>IF(OR(Main[[#This Row],[Std. Prod. Lead Time]]="N/A",Main[[#This Row],[Std. Prod. Lead Time]]=""), "",IF(AND(Main[[#This Row],[In Stock Date]]&lt;&gt;"",Main[[#This Row],[Revised Due Date]]&lt;&gt;"",Main[[#This Row],[In Stock Date]]&lt;&gt;""),Main[[#This Row],[In Stock Date]]-Main[[#This Row],[Revised Due Date]],""))</f>
        <v/>
      </c>
      <c r="I403" s="101" t="s">
        <v>4</v>
      </c>
      <c r="J403" s="95" t="s">
        <v>4</v>
      </c>
      <c r="K403" s="96" t="s">
        <v>4</v>
      </c>
      <c r="L403" s="85"/>
      <c r="M403" s="73" t="str">
        <f>IF(Main[[#This Row],[Tech Start Date]]&lt;1/1/1990,"",IF(Main[[#This Row],[Class]]="C",WORKDAY(Main[[#This Row],[Tech Start Date]],9),IF(Main[[#This Row],[Class]]="B", WORKDAY(Main[[#This Row],[Tech Start Date]],6),IF(Main[[#This Row],[Class]]="A",WORKDAY(Main[[#This Row],[Tech Start Date]],2),""))))</f>
        <v/>
      </c>
      <c r="N403" s="73" t="str">
        <f>IF(Main[[#This Row],[Tech Start Date]]&lt;1/1/1990,"",IF(Main[[#This Row],[Class]]="C",WORKDAY(Main[[#This Row],[Tech Start Date]],19),IF(Main[[#This Row],[Class]]="B", WORKDAY(Main[[#This Row],[Tech Start Date]],12),IF(Main[[#This Row],[Class]]="A",WORKDAY(Main[[#This Row],[Tech Start Date]],4),""))))</f>
        <v/>
      </c>
      <c r="O403" s="73" t="str">
        <f>IF(Main[[#This Row],[Tech Start Date]]&lt;1/1/1990,"",IF(Main[[#This Row],[Class]]="C",WORKDAY(Main[[#This Row],[Tech Start Date]],23),IF(Main[[#This Row],[Class]]="B", WORKDAY(Main[[#This Row],[Tech Start Date]],15),IF(Main[[#This Row],[Class]]="A",WORKDAY(Main[[#This Row],[Tech Start Date]],5),""))))</f>
        <v/>
      </c>
      <c r="P403" s="73" t="str">
        <f>IF(Main[[#This Row],[Tech Start Date]]&lt;1/1/1990,"",IF(Main[[#This Row],[Class]]="C",WORKDAY(Main[[#This Row],[Tech Start Date]],28),IF(Main[[#This Row],[Class]]="B", WORKDAY(Main[[#This Row],[Tech Start Date]],19),IF(Main[[#This Row],[Class]]="A",WORKDAY(Main[[#This Row],[Tech Start Date]],9),""))))</f>
        <v/>
      </c>
      <c r="Q403" s="85">
        <v>40214</v>
      </c>
      <c r="R403" s="112"/>
      <c r="S403" s="95" t="s">
        <v>11</v>
      </c>
      <c r="T403" s="74" t="s">
        <v>4</v>
      </c>
      <c r="U403" s="95" t="s">
        <v>12</v>
      </c>
      <c r="V403" s="95" t="s">
        <v>1911</v>
      </c>
      <c r="W403" s="95" t="s">
        <v>1917</v>
      </c>
      <c r="X403" s="95" t="s">
        <v>2825</v>
      </c>
      <c r="Y403" s="72" t="s">
        <v>4</v>
      </c>
      <c r="Z403" s="72" t="s">
        <v>4</v>
      </c>
      <c r="AA403" s="95" t="s">
        <v>2825</v>
      </c>
      <c r="AB403" s="132"/>
      <c r="AC403" s="132"/>
      <c r="AD403" s="132"/>
      <c r="AE403" s="63"/>
      <c r="AF403" s="63"/>
      <c r="AG403" s="63"/>
    </row>
    <row r="404" spans="1:33" ht="17.2" customHeight="1">
      <c r="A404" s="64" t="str">
        <f>IF(priority(Main[[#This Row],[Comments]])&lt;&gt;0, priority(Main[[#This Row],[Comments]]),"")</f>
        <v/>
      </c>
      <c r="B404" s="60" t="s">
        <v>1258</v>
      </c>
      <c r="C404" s="72" t="s">
        <v>4</v>
      </c>
      <c r="D404" s="59" t="s">
        <v>328</v>
      </c>
      <c r="E404" s="85"/>
      <c r="F404" s="85"/>
      <c r="G404" s="64" t="str">
        <f>IF(stdProdLT(Main[[#This Row],[Comments]])=0.1,"N/A",IF(stdProdLT(Main[[#This Row],[Comments]])=0,"",TRIM(stdProdLT(Main[[#This Row],[Comments]]))))</f>
        <v/>
      </c>
      <c r="H404" s="94" t="str">
        <f>IF(OR(Main[[#This Row],[Std. Prod. Lead Time]]="N/A",Main[[#This Row],[Std. Prod. Lead Time]]=""), "",IF(AND(Main[[#This Row],[In Stock Date]]&lt;&gt;"",Main[[#This Row],[Revised Due Date]]&lt;&gt;"",Main[[#This Row],[In Stock Date]]&lt;&gt;""),Main[[#This Row],[In Stock Date]]-Main[[#This Row],[Revised Due Date]],""))</f>
        <v/>
      </c>
      <c r="I404" s="101" t="s">
        <v>4</v>
      </c>
      <c r="J404" s="95" t="s">
        <v>4</v>
      </c>
      <c r="K404" s="95" t="s">
        <v>4</v>
      </c>
      <c r="L404" s="85"/>
      <c r="M404" s="73" t="str">
        <f>IF(Main[[#This Row],[Tech Start Date]]&lt;1/1/1990,"",IF(Main[[#This Row],[Class]]="C",WORKDAY(Main[[#This Row],[Tech Start Date]],9),IF(Main[[#This Row],[Class]]="B", WORKDAY(Main[[#This Row],[Tech Start Date]],6),IF(Main[[#This Row],[Class]]="A",WORKDAY(Main[[#This Row],[Tech Start Date]],2),""))))</f>
        <v/>
      </c>
      <c r="N404" s="73" t="str">
        <f>IF(Main[[#This Row],[Tech Start Date]]&lt;1/1/1990,"",IF(Main[[#This Row],[Class]]="C",WORKDAY(Main[[#This Row],[Tech Start Date]],19),IF(Main[[#This Row],[Class]]="B", WORKDAY(Main[[#This Row],[Tech Start Date]],12),IF(Main[[#This Row],[Class]]="A",WORKDAY(Main[[#This Row],[Tech Start Date]],4),""))))</f>
        <v/>
      </c>
      <c r="O404" s="73" t="str">
        <f>IF(Main[[#This Row],[Tech Start Date]]&lt;1/1/1990,"",IF(Main[[#This Row],[Class]]="C",WORKDAY(Main[[#This Row],[Tech Start Date]],23),IF(Main[[#This Row],[Class]]="B", WORKDAY(Main[[#This Row],[Tech Start Date]],15),IF(Main[[#This Row],[Class]]="A",WORKDAY(Main[[#This Row],[Tech Start Date]],5),""))))</f>
        <v/>
      </c>
      <c r="P404" s="73" t="str">
        <f>IF(Main[[#This Row],[Tech Start Date]]&lt;1/1/1990,"",IF(Main[[#This Row],[Class]]="C",WORKDAY(Main[[#This Row],[Tech Start Date]],28),IF(Main[[#This Row],[Class]]="B", WORKDAY(Main[[#This Row],[Tech Start Date]],19),IF(Main[[#This Row],[Class]]="A",WORKDAY(Main[[#This Row],[Tech Start Date]],9),""))))</f>
        <v/>
      </c>
      <c r="Q404" s="85"/>
      <c r="R404" s="112"/>
      <c r="S404" s="95" t="s">
        <v>17</v>
      </c>
      <c r="T404" s="74" t="s">
        <v>4</v>
      </c>
      <c r="U404" s="95" t="s">
        <v>14</v>
      </c>
      <c r="V404" s="95" t="s">
        <v>1911</v>
      </c>
      <c r="W404" s="95" t="s">
        <v>1913</v>
      </c>
      <c r="X404" s="95" t="s">
        <v>907</v>
      </c>
      <c r="Y404" s="72" t="s">
        <v>2995</v>
      </c>
      <c r="Z404" s="72" t="s">
        <v>4</v>
      </c>
      <c r="AA404" s="95" t="s">
        <v>907</v>
      </c>
      <c r="AB404" s="132"/>
      <c r="AC404" s="132"/>
      <c r="AD404" s="132"/>
      <c r="AE404" s="63"/>
      <c r="AF404" s="63"/>
      <c r="AG404" s="63"/>
    </row>
    <row r="405" spans="1:33" ht="17.2" customHeight="1">
      <c r="A405" s="64" t="str">
        <f>IF(priority(Main[[#This Row],[Comments]])&lt;&gt;0, priority(Main[[#This Row],[Comments]]),"")</f>
        <v/>
      </c>
      <c r="B405" s="60" t="s">
        <v>3541</v>
      </c>
      <c r="C405" s="72" t="s">
        <v>4</v>
      </c>
      <c r="D405" s="59" t="s">
        <v>3542</v>
      </c>
      <c r="E405" s="85">
        <v>40967.694027777776</v>
      </c>
      <c r="F405" s="85"/>
      <c r="G405" s="64" t="str">
        <f>IF(stdProdLT(Main[[#This Row],[Comments]])=0.1,"N/A",IF(stdProdLT(Main[[#This Row],[Comments]])=0,"",TRIM(stdProdLT(Main[[#This Row],[Comments]]))))</f>
        <v/>
      </c>
      <c r="H405" s="94" t="str">
        <f>IF(OR(Main[[#This Row],[Std. Prod. Lead Time]]="N/A",Main[[#This Row],[Std. Prod. Lead Time]]=""), "",IF(AND(Main[[#This Row],[In Stock Date]]&lt;&gt;"",Main[[#This Row],[Revised Due Date]]&lt;&gt;"",Main[[#This Row],[In Stock Date]]&lt;&gt;""),Main[[#This Row],[In Stock Date]]-Main[[#This Row],[Revised Due Date]],""))</f>
        <v/>
      </c>
      <c r="I405" s="101" t="s">
        <v>4</v>
      </c>
      <c r="J405" s="95" t="s">
        <v>4</v>
      </c>
      <c r="K405" s="95" t="s">
        <v>4</v>
      </c>
      <c r="L405" s="85"/>
      <c r="M405" s="73" t="str">
        <f>IF(Main[[#This Row],[Tech Start Date]]&lt;1/1/1990,"",IF(Main[[#This Row],[Class]]="C",WORKDAY(Main[[#This Row],[Tech Start Date]],9),IF(Main[[#This Row],[Class]]="B", WORKDAY(Main[[#This Row],[Tech Start Date]],6),IF(Main[[#This Row],[Class]]="A",WORKDAY(Main[[#This Row],[Tech Start Date]],2),""))))</f>
        <v/>
      </c>
      <c r="N405" s="73" t="str">
        <f>IF(Main[[#This Row],[Tech Start Date]]&lt;1/1/1990,"",IF(Main[[#This Row],[Class]]="C",WORKDAY(Main[[#This Row],[Tech Start Date]],19),IF(Main[[#This Row],[Class]]="B", WORKDAY(Main[[#This Row],[Tech Start Date]],12),IF(Main[[#This Row],[Class]]="A",WORKDAY(Main[[#This Row],[Tech Start Date]],4),""))))</f>
        <v/>
      </c>
      <c r="O405" s="73" t="str">
        <f>IF(Main[[#This Row],[Tech Start Date]]&lt;1/1/1990,"",IF(Main[[#This Row],[Class]]="C",WORKDAY(Main[[#This Row],[Tech Start Date]],23),IF(Main[[#This Row],[Class]]="B", WORKDAY(Main[[#This Row],[Tech Start Date]],15),IF(Main[[#This Row],[Class]]="A",WORKDAY(Main[[#This Row],[Tech Start Date]],5),""))))</f>
        <v/>
      </c>
      <c r="P405" s="73" t="str">
        <f>IF(Main[[#This Row],[Tech Start Date]]&lt;1/1/1990,"",IF(Main[[#This Row],[Class]]="C",WORKDAY(Main[[#This Row],[Tech Start Date]],28),IF(Main[[#This Row],[Class]]="B", WORKDAY(Main[[#This Row],[Tech Start Date]],19),IF(Main[[#This Row],[Class]]="A",WORKDAY(Main[[#This Row],[Tech Start Date]],9),""))))</f>
        <v/>
      </c>
      <c r="Q405" s="85"/>
      <c r="R405" s="112"/>
      <c r="S405" s="95" t="s">
        <v>6</v>
      </c>
      <c r="T405" s="74" t="s">
        <v>4</v>
      </c>
      <c r="U405" s="95" t="s">
        <v>7</v>
      </c>
      <c r="V405" s="95" t="s">
        <v>1914</v>
      </c>
      <c r="W405" s="95" t="s">
        <v>1915</v>
      </c>
      <c r="X405" s="95" t="s">
        <v>69</v>
      </c>
      <c r="Y405" s="72" t="s">
        <v>4</v>
      </c>
      <c r="Z405" s="72" t="s">
        <v>4</v>
      </c>
      <c r="AA405" s="95" t="s">
        <v>4</v>
      </c>
      <c r="AB405" s="132"/>
      <c r="AC405" s="132"/>
      <c r="AD405" s="132"/>
      <c r="AE405" s="63"/>
      <c r="AF405" s="63"/>
      <c r="AG405" s="63"/>
    </row>
    <row r="406" spans="1:33" ht="17.2" customHeight="1">
      <c r="A406" s="64" t="str">
        <f>IF(priority(Main[[#This Row],[Comments]])&lt;&gt;0, priority(Main[[#This Row],[Comments]]),"")</f>
        <v/>
      </c>
      <c r="B406" s="60" t="s">
        <v>1259</v>
      </c>
      <c r="C406" s="72" t="s">
        <v>4</v>
      </c>
      <c r="D406" s="59" t="s">
        <v>329</v>
      </c>
      <c r="E406" s="85">
        <v>40519.3518287037</v>
      </c>
      <c r="F406" s="85"/>
      <c r="G406" s="64" t="str">
        <f>IF(stdProdLT(Main[[#This Row],[Comments]])=0.1,"N/A",IF(stdProdLT(Main[[#This Row],[Comments]])=0,"",TRIM(stdProdLT(Main[[#This Row],[Comments]]))))</f>
        <v/>
      </c>
      <c r="H406" s="94" t="str">
        <f>IF(OR(Main[[#This Row],[Std. Prod. Lead Time]]="N/A",Main[[#This Row],[Std. Prod. Lead Time]]=""), "",IF(AND(Main[[#This Row],[In Stock Date]]&lt;&gt;"",Main[[#This Row],[Revised Due Date]]&lt;&gt;"",Main[[#This Row],[In Stock Date]]&lt;&gt;""),Main[[#This Row],[In Stock Date]]-Main[[#This Row],[Revised Due Date]],""))</f>
        <v/>
      </c>
      <c r="I406" s="101" t="s">
        <v>4</v>
      </c>
      <c r="J406" s="95" t="s">
        <v>4</v>
      </c>
      <c r="K406" s="95" t="s">
        <v>4</v>
      </c>
      <c r="L406" s="85"/>
      <c r="M406" s="73" t="str">
        <f>IF(Main[[#This Row],[Tech Start Date]]&lt;1/1/1990,"",IF(Main[[#This Row],[Class]]="C",WORKDAY(Main[[#This Row],[Tech Start Date]],9),IF(Main[[#This Row],[Class]]="B", WORKDAY(Main[[#This Row],[Tech Start Date]],6),IF(Main[[#This Row],[Class]]="A",WORKDAY(Main[[#This Row],[Tech Start Date]],2),""))))</f>
        <v/>
      </c>
      <c r="N406" s="73" t="str">
        <f>IF(Main[[#This Row],[Tech Start Date]]&lt;1/1/1990,"",IF(Main[[#This Row],[Class]]="C",WORKDAY(Main[[#This Row],[Tech Start Date]],19),IF(Main[[#This Row],[Class]]="B", WORKDAY(Main[[#This Row],[Tech Start Date]],12),IF(Main[[#This Row],[Class]]="A",WORKDAY(Main[[#This Row],[Tech Start Date]],4),""))))</f>
        <v/>
      </c>
      <c r="O406" s="73" t="str">
        <f>IF(Main[[#This Row],[Tech Start Date]]&lt;1/1/1990,"",IF(Main[[#This Row],[Class]]="C",WORKDAY(Main[[#This Row],[Tech Start Date]],23),IF(Main[[#This Row],[Class]]="B", WORKDAY(Main[[#This Row],[Tech Start Date]],15),IF(Main[[#This Row],[Class]]="A",WORKDAY(Main[[#This Row],[Tech Start Date]],5),""))))</f>
        <v/>
      </c>
      <c r="P406" s="73" t="str">
        <f>IF(Main[[#This Row],[Tech Start Date]]&lt;1/1/1990,"",IF(Main[[#This Row],[Class]]="C",WORKDAY(Main[[#This Row],[Tech Start Date]],28),IF(Main[[#This Row],[Class]]="B", WORKDAY(Main[[#This Row],[Tech Start Date]],19),IF(Main[[#This Row],[Class]]="A",WORKDAY(Main[[#This Row],[Tech Start Date]],9),""))))</f>
        <v/>
      </c>
      <c r="Q406" s="85">
        <v>40536</v>
      </c>
      <c r="R406" s="112"/>
      <c r="S406" s="95" t="s">
        <v>4</v>
      </c>
      <c r="T406" s="74" t="s">
        <v>4</v>
      </c>
      <c r="U406" s="95" t="s">
        <v>7</v>
      </c>
      <c r="V406" s="95" t="s">
        <v>1911</v>
      </c>
      <c r="W406" s="95" t="s">
        <v>4</v>
      </c>
      <c r="X406" s="95" t="s">
        <v>2798</v>
      </c>
      <c r="Y406" s="72" t="s">
        <v>2908</v>
      </c>
      <c r="Z406" s="72" t="s">
        <v>4</v>
      </c>
      <c r="AA406" s="95" t="s">
        <v>2798</v>
      </c>
      <c r="AB406" s="132"/>
      <c r="AC406" s="132"/>
      <c r="AD406" s="132"/>
      <c r="AE406" s="63"/>
      <c r="AF406" s="63"/>
      <c r="AG406" s="63"/>
    </row>
    <row r="407" spans="1:33" ht="17.2" customHeight="1">
      <c r="A407" s="64" t="str">
        <f>IF(priority(Main[[#This Row],[Comments]])&lt;&gt;0, priority(Main[[#This Row],[Comments]]),"")</f>
        <v/>
      </c>
      <c r="B407" s="60" t="s">
        <v>1260</v>
      </c>
      <c r="C407" s="72" t="s">
        <v>72</v>
      </c>
      <c r="D407" s="59" t="s">
        <v>330</v>
      </c>
      <c r="E407" s="85"/>
      <c r="F407" s="85">
        <v>40313</v>
      </c>
      <c r="G407" s="64" t="str">
        <f>IF(stdProdLT(Main[[#This Row],[Comments]])=0.1,"N/A",IF(stdProdLT(Main[[#This Row],[Comments]])=0,"",TRIM(stdProdLT(Main[[#This Row],[Comments]]))))</f>
        <v/>
      </c>
      <c r="H407" s="94" t="str">
        <f>IF(OR(Main[[#This Row],[Std. Prod. Lead Time]]="N/A",Main[[#This Row],[Std. Prod. Lead Time]]=""), "",IF(AND(Main[[#This Row],[In Stock Date]]&lt;&gt;"",Main[[#This Row],[Revised Due Date]]&lt;&gt;"",Main[[#This Row],[In Stock Date]]&lt;&gt;""),Main[[#This Row],[In Stock Date]]-Main[[#This Row],[Revised Due Date]],""))</f>
        <v/>
      </c>
      <c r="I407" s="101" t="s">
        <v>4</v>
      </c>
      <c r="J407" s="95" t="s">
        <v>4</v>
      </c>
      <c r="K407" s="95" t="s">
        <v>4</v>
      </c>
      <c r="L407" s="85"/>
      <c r="M407" s="73" t="str">
        <f>IF(Main[[#This Row],[Tech Start Date]]&lt;1/1/1990,"",IF(Main[[#This Row],[Class]]="C",WORKDAY(Main[[#This Row],[Tech Start Date]],9),IF(Main[[#This Row],[Class]]="B", WORKDAY(Main[[#This Row],[Tech Start Date]],6),IF(Main[[#This Row],[Class]]="A",WORKDAY(Main[[#This Row],[Tech Start Date]],2),""))))</f>
        <v/>
      </c>
      <c r="N407" s="73" t="str">
        <f>IF(Main[[#This Row],[Tech Start Date]]&lt;1/1/1990,"",IF(Main[[#This Row],[Class]]="C",WORKDAY(Main[[#This Row],[Tech Start Date]],19),IF(Main[[#This Row],[Class]]="B", WORKDAY(Main[[#This Row],[Tech Start Date]],12),IF(Main[[#This Row],[Class]]="A",WORKDAY(Main[[#This Row],[Tech Start Date]],4),""))))</f>
        <v/>
      </c>
      <c r="O407" s="73" t="str">
        <f>IF(Main[[#This Row],[Tech Start Date]]&lt;1/1/1990,"",IF(Main[[#This Row],[Class]]="C",WORKDAY(Main[[#This Row],[Tech Start Date]],23),IF(Main[[#This Row],[Class]]="B", WORKDAY(Main[[#This Row],[Tech Start Date]],15),IF(Main[[#This Row],[Class]]="A",WORKDAY(Main[[#This Row],[Tech Start Date]],5),""))))</f>
        <v/>
      </c>
      <c r="P407" s="73" t="str">
        <f>IF(Main[[#This Row],[Tech Start Date]]&lt;1/1/1990,"",IF(Main[[#This Row],[Class]]="C",WORKDAY(Main[[#This Row],[Tech Start Date]],28),IF(Main[[#This Row],[Class]]="B", WORKDAY(Main[[#This Row],[Tech Start Date]],19),IF(Main[[#This Row],[Class]]="A",WORKDAY(Main[[#This Row],[Tech Start Date]],9),""))))</f>
        <v/>
      </c>
      <c r="Q407" s="85">
        <v>40233</v>
      </c>
      <c r="R407" s="112"/>
      <c r="S407" s="95" t="s">
        <v>11</v>
      </c>
      <c r="T407" s="74" t="s">
        <v>4</v>
      </c>
      <c r="U407" s="95" t="s">
        <v>14</v>
      </c>
      <c r="V407" s="95" t="s">
        <v>1914</v>
      </c>
      <c r="W407" s="95" t="s">
        <v>1919</v>
      </c>
      <c r="X407" s="95" t="s">
        <v>2804</v>
      </c>
      <c r="Y407" s="72" t="s">
        <v>2921</v>
      </c>
      <c r="Z407" s="72" t="s">
        <v>4</v>
      </c>
      <c r="AA407" s="95" t="s">
        <v>2804</v>
      </c>
      <c r="AB407" s="132"/>
      <c r="AC407" s="132"/>
      <c r="AD407" s="132"/>
      <c r="AE407" s="63"/>
      <c r="AF407" s="63"/>
      <c r="AG407" s="63"/>
    </row>
    <row r="408" spans="1:33" ht="17.2" customHeight="1">
      <c r="A408" s="64" t="str">
        <f>IF(priority(Main[[#This Row],[Comments]])&lt;&gt;0, priority(Main[[#This Row],[Comments]]),"")</f>
        <v/>
      </c>
      <c r="B408" s="60" t="s">
        <v>1261</v>
      </c>
      <c r="C408" s="72" t="s">
        <v>4</v>
      </c>
      <c r="D408" s="59" t="s">
        <v>331</v>
      </c>
      <c r="E408" s="85"/>
      <c r="F408" s="85"/>
      <c r="G408" s="64" t="str">
        <f>IF(stdProdLT(Main[[#This Row],[Comments]])=0.1,"N/A",IF(stdProdLT(Main[[#This Row],[Comments]])=0,"",TRIM(stdProdLT(Main[[#This Row],[Comments]]))))</f>
        <v/>
      </c>
      <c r="H408" s="94" t="str">
        <f>IF(OR(Main[[#This Row],[Std. Prod. Lead Time]]="N/A",Main[[#This Row],[Std. Prod. Lead Time]]=""), "",IF(AND(Main[[#This Row],[In Stock Date]]&lt;&gt;"",Main[[#This Row],[Revised Due Date]]&lt;&gt;"",Main[[#This Row],[In Stock Date]]&lt;&gt;""),Main[[#This Row],[In Stock Date]]-Main[[#This Row],[Revised Due Date]],""))</f>
        <v/>
      </c>
      <c r="I408" s="101" t="s">
        <v>4</v>
      </c>
      <c r="J408" s="95" t="s">
        <v>4</v>
      </c>
      <c r="K408" s="95" t="s">
        <v>4</v>
      </c>
      <c r="L408" s="85"/>
      <c r="M408" s="73" t="str">
        <f>IF(Main[[#This Row],[Tech Start Date]]&lt;1/1/1990,"",IF(Main[[#This Row],[Class]]="C",WORKDAY(Main[[#This Row],[Tech Start Date]],9),IF(Main[[#This Row],[Class]]="B", WORKDAY(Main[[#This Row],[Tech Start Date]],6),IF(Main[[#This Row],[Class]]="A",WORKDAY(Main[[#This Row],[Tech Start Date]],2),""))))</f>
        <v/>
      </c>
      <c r="N408" s="73" t="str">
        <f>IF(Main[[#This Row],[Tech Start Date]]&lt;1/1/1990,"",IF(Main[[#This Row],[Class]]="C",WORKDAY(Main[[#This Row],[Tech Start Date]],19),IF(Main[[#This Row],[Class]]="B", WORKDAY(Main[[#This Row],[Tech Start Date]],12),IF(Main[[#This Row],[Class]]="A",WORKDAY(Main[[#This Row],[Tech Start Date]],4),""))))</f>
        <v/>
      </c>
      <c r="O408" s="73" t="str">
        <f>IF(Main[[#This Row],[Tech Start Date]]&lt;1/1/1990,"",IF(Main[[#This Row],[Class]]="C",WORKDAY(Main[[#This Row],[Tech Start Date]],23),IF(Main[[#This Row],[Class]]="B", WORKDAY(Main[[#This Row],[Tech Start Date]],15),IF(Main[[#This Row],[Class]]="A",WORKDAY(Main[[#This Row],[Tech Start Date]],5),""))))</f>
        <v/>
      </c>
      <c r="P408" s="73" t="str">
        <f>IF(Main[[#This Row],[Tech Start Date]]&lt;1/1/1990,"",IF(Main[[#This Row],[Class]]="C",WORKDAY(Main[[#This Row],[Tech Start Date]],28),IF(Main[[#This Row],[Class]]="B", WORKDAY(Main[[#This Row],[Tech Start Date]],19),IF(Main[[#This Row],[Class]]="A",WORKDAY(Main[[#This Row],[Tech Start Date]],9),""))))</f>
        <v/>
      </c>
      <c r="Q408" s="85"/>
      <c r="R408" s="112"/>
      <c r="S408" s="95" t="s">
        <v>11</v>
      </c>
      <c r="T408" s="74" t="s">
        <v>4</v>
      </c>
      <c r="U408" s="95" t="s">
        <v>12</v>
      </c>
      <c r="V408" s="95" t="s">
        <v>1911</v>
      </c>
      <c r="W408" s="95" t="s">
        <v>1925</v>
      </c>
      <c r="X408" s="95" t="s">
        <v>922</v>
      </c>
      <c r="Y408" s="72" t="s">
        <v>2960</v>
      </c>
      <c r="Z408" s="72" t="s">
        <v>4</v>
      </c>
      <c r="AA408" s="95" t="s">
        <v>922</v>
      </c>
      <c r="AB408" s="132"/>
      <c r="AC408" s="132"/>
      <c r="AD408" s="132"/>
      <c r="AE408" s="63"/>
      <c r="AF408" s="63"/>
      <c r="AG408" s="63"/>
    </row>
    <row r="409" spans="1:33" ht="17.2" customHeight="1">
      <c r="A409" s="64" t="str">
        <f>IF(priority(Main[[#This Row],[Comments]])&lt;&gt;0, priority(Main[[#This Row],[Comments]]),"")</f>
        <v/>
      </c>
      <c r="B409" s="60" t="s">
        <v>1262</v>
      </c>
      <c r="C409" s="72" t="s">
        <v>4</v>
      </c>
      <c r="D409" s="59" t="s">
        <v>332</v>
      </c>
      <c r="E409" s="85">
        <v>40322.153738425928</v>
      </c>
      <c r="F409" s="85"/>
      <c r="G409" s="64" t="str">
        <f>IF(stdProdLT(Main[[#This Row],[Comments]])=0.1,"N/A",IF(stdProdLT(Main[[#This Row],[Comments]])=0,"",TRIM(stdProdLT(Main[[#This Row],[Comments]]))))</f>
        <v/>
      </c>
      <c r="H409" s="94" t="str">
        <f>IF(OR(Main[[#This Row],[Std. Prod. Lead Time]]="N/A",Main[[#This Row],[Std. Prod. Lead Time]]=""), "",IF(AND(Main[[#This Row],[In Stock Date]]&lt;&gt;"",Main[[#This Row],[Revised Due Date]]&lt;&gt;"",Main[[#This Row],[In Stock Date]]&lt;&gt;""),Main[[#This Row],[In Stock Date]]-Main[[#This Row],[Revised Due Date]],""))</f>
        <v/>
      </c>
      <c r="I409" s="101" t="s">
        <v>129</v>
      </c>
      <c r="J409" s="95" t="s">
        <v>4</v>
      </c>
      <c r="K409" s="95" t="s">
        <v>4</v>
      </c>
      <c r="L409" s="85"/>
      <c r="M409" s="73" t="str">
        <f>IF(Main[[#This Row],[Tech Start Date]]&lt;1/1/1990,"",IF(Main[[#This Row],[Class]]="C",WORKDAY(Main[[#This Row],[Tech Start Date]],9),IF(Main[[#This Row],[Class]]="B", WORKDAY(Main[[#This Row],[Tech Start Date]],6),IF(Main[[#This Row],[Class]]="A",WORKDAY(Main[[#This Row],[Tech Start Date]],2),""))))</f>
        <v/>
      </c>
      <c r="N409" s="73" t="str">
        <f>IF(Main[[#This Row],[Tech Start Date]]&lt;1/1/1990,"",IF(Main[[#This Row],[Class]]="C",WORKDAY(Main[[#This Row],[Tech Start Date]],19),IF(Main[[#This Row],[Class]]="B", WORKDAY(Main[[#This Row],[Tech Start Date]],12),IF(Main[[#This Row],[Class]]="A",WORKDAY(Main[[#This Row],[Tech Start Date]],4),""))))</f>
        <v/>
      </c>
      <c r="O409" s="73" t="str">
        <f>IF(Main[[#This Row],[Tech Start Date]]&lt;1/1/1990,"",IF(Main[[#This Row],[Class]]="C",WORKDAY(Main[[#This Row],[Tech Start Date]],23),IF(Main[[#This Row],[Class]]="B", WORKDAY(Main[[#This Row],[Tech Start Date]],15),IF(Main[[#This Row],[Class]]="A",WORKDAY(Main[[#This Row],[Tech Start Date]],5),""))))</f>
        <v/>
      </c>
      <c r="P409" s="73" t="str">
        <f>IF(Main[[#This Row],[Tech Start Date]]&lt;1/1/1990,"",IF(Main[[#This Row],[Class]]="C",WORKDAY(Main[[#This Row],[Tech Start Date]],28),IF(Main[[#This Row],[Class]]="B", WORKDAY(Main[[#This Row],[Tech Start Date]],19),IF(Main[[#This Row],[Class]]="A",WORKDAY(Main[[#This Row],[Tech Start Date]],9),""))))</f>
        <v/>
      </c>
      <c r="Q409" s="85">
        <v>40353</v>
      </c>
      <c r="R409" s="112"/>
      <c r="S409" s="95" t="s">
        <v>6</v>
      </c>
      <c r="T409" s="74" t="s">
        <v>4</v>
      </c>
      <c r="U409" s="95" t="s">
        <v>7</v>
      </c>
      <c r="V409" s="95" t="s">
        <v>1911</v>
      </c>
      <c r="W409" s="95" t="s">
        <v>1913</v>
      </c>
      <c r="X409" s="95" t="s">
        <v>2802</v>
      </c>
      <c r="Y409" s="72" t="s">
        <v>2916</v>
      </c>
      <c r="Z409" s="72" t="s">
        <v>4</v>
      </c>
      <c r="AA409" s="95" t="s">
        <v>2802</v>
      </c>
      <c r="AB409" s="132"/>
      <c r="AC409" s="132"/>
      <c r="AD409" s="132"/>
      <c r="AE409" s="63"/>
      <c r="AF409" s="63"/>
      <c r="AG409" s="63"/>
    </row>
    <row r="410" spans="1:33" ht="17.2" customHeight="1">
      <c r="A410" s="64" t="str">
        <f>IF(priority(Main[[#This Row],[Comments]])&lt;&gt;0, priority(Main[[#This Row],[Comments]]),"")</f>
        <v/>
      </c>
      <c r="B410" s="60" t="s">
        <v>1263</v>
      </c>
      <c r="C410" s="72" t="s">
        <v>169</v>
      </c>
      <c r="D410" s="59" t="s">
        <v>333</v>
      </c>
      <c r="E410" s="85"/>
      <c r="F410" s="85">
        <v>40237</v>
      </c>
      <c r="G410" s="64" t="str">
        <f>IF(stdProdLT(Main[[#This Row],[Comments]])=0.1,"N/A",IF(stdProdLT(Main[[#This Row],[Comments]])=0,"",TRIM(stdProdLT(Main[[#This Row],[Comments]]))))</f>
        <v/>
      </c>
      <c r="H410" s="94" t="str">
        <f>IF(OR(Main[[#This Row],[Std. Prod. Lead Time]]="N/A",Main[[#This Row],[Std. Prod. Lead Time]]=""), "",IF(AND(Main[[#This Row],[In Stock Date]]&lt;&gt;"",Main[[#This Row],[Revised Due Date]]&lt;&gt;"",Main[[#This Row],[In Stock Date]]&lt;&gt;""),Main[[#This Row],[In Stock Date]]-Main[[#This Row],[Revised Due Date]],""))</f>
        <v/>
      </c>
      <c r="I410" s="101" t="s">
        <v>4</v>
      </c>
      <c r="J410" s="95" t="s">
        <v>4</v>
      </c>
      <c r="K410" s="95" t="s">
        <v>4</v>
      </c>
      <c r="L410" s="85"/>
      <c r="M410" s="73" t="str">
        <f>IF(Main[[#This Row],[Tech Start Date]]&lt;1/1/1990,"",IF(Main[[#This Row],[Class]]="C",WORKDAY(Main[[#This Row],[Tech Start Date]],9),IF(Main[[#This Row],[Class]]="B", WORKDAY(Main[[#This Row],[Tech Start Date]],6),IF(Main[[#This Row],[Class]]="A",WORKDAY(Main[[#This Row],[Tech Start Date]],2),""))))</f>
        <v/>
      </c>
      <c r="N410" s="73" t="str">
        <f>IF(Main[[#This Row],[Tech Start Date]]&lt;1/1/1990,"",IF(Main[[#This Row],[Class]]="C",WORKDAY(Main[[#This Row],[Tech Start Date]],19),IF(Main[[#This Row],[Class]]="B", WORKDAY(Main[[#This Row],[Tech Start Date]],12),IF(Main[[#This Row],[Class]]="A",WORKDAY(Main[[#This Row],[Tech Start Date]],4),""))))</f>
        <v/>
      </c>
      <c r="O410" s="73" t="str">
        <f>IF(Main[[#This Row],[Tech Start Date]]&lt;1/1/1990,"",IF(Main[[#This Row],[Class]]="C",WORKDAY(Main[[#This Row],[Tech Start Date]],23),IF(Main[[#This Row],[Class]]="B", WORKDAY(Main[[#This Row],[Tech Start Date]],15),IF(Main[[#This Row],[Class]]="A",WORKDAY(Main[[#This Row],[Tech Start Date]],5),""))))</f>
        <v/>
      </c>
      <c r="P410" s="73" t="str">
        <f>IF(Main[[#This Row],[Tech Start Date]]&lt;1/1/1990,"",IF(Main[[#This Row],[Class]]="C",WORKDAY(Main[[#This Row],[Tech Start Date]],28),IF(Main[[#This Row],[Class]]="B", WORKDAY(Main[[#This Row],[Tech Start Date]],19),IF(Main[[#This Row],[Class]]="A",WORKDAY(Main[[#This Row],[Tech Start Date]],9),""))))</f>
        <v/>
      </c>
      <c r="Q410" s="85">
        <v>40132</v>
      </c>
      <c r="R410" s="112"/>
      <c r="S410" s="95" t="s">
        <v>11</v>
      </c>
      <c r="T410" s="74" t="s">
        <v>4</v>
      </c>
      <c r="U410" s="95" t="s">
        <v>14</v>
      </c>
      <c r="V410" s="95" t="s">
        <v>1911</v>
      </c>
      <c r="W410" s="95" t="s">
        <v>1916</v>
      </c>
      <c r="X410" s="95" t="s">
        <v>2838</v>
      </c>
      <c r="Y410" s="72" t="s">
        <v>4</v>
      </c>
      <c r="Z410" s="72" t="s">
        <v>4</v>
      </c>
      <c r="AA410" s="95" t="s">
        <v>2838</v>
      </c>
      <c r="AB410" s="132"/>
      <c r="AC410" s="132"/>
      <c r="AD410" s="132"/>
      <c r="AE410" s="63"/>
      <c r="AF410" s="63"/>
      <c r="AG410" s="63"/>
    </row>
    <row r="411" spans="1:33" ht="17.2" customHeight="1">
      <c r="A411" s="64" t="str">
        <f>IF(priority(Main[[#This Row],[Comments]])&lt;&gt;0, priority(Main[[#This Row],[Comments]]),"")</f>
        <v/>
      </c>
      <c r="B411" s="60" t="s">
        <v>1264</v>
      </c>
      <c r="C411" s="72" t="s">
        <v>4</v>
      </c>
      <c r="D411" s="59" t="s">
        <v>341</v>
      </c>
      <c r="E411" s="85"/>
      <c r="F411" s="85"/>
      <c r="G411" s="64" t="str">
        <f>IF(stdProdLT(Main[[#This Row],[Comments]])=0.1,"N/A",IF(stdProdLT(Main[[#This Row],[Comments]])=0,"",TRIM(stdProdLT(Main[[#This Row],[Comments]]))))</f>
        <v/>
      </c>
      <c r="H411" s="94" t="str">
        <f>IF(OR(Main[[#This Row],[Std. Prod. Lead Time]]="N/A",Main[[#This Row],[Std. Prod. Lead Time]]=""), "",IF(AND(Main[[#This Row],[In Stock Date]]&lt;&gt;"",Main[[#This Row],[Revised Due Date]]&lt;&gt;"",Main[[#This Row],[In Stock Date]]&lt;&gt;""),Main[[#This Row],[In Stock Date]]-Main[[#This Row],[Revised Due Date]],""))</f>
        <v/>
      </c>
      <c r="I411" s="101" t="s">
        <v>4</v>
      </c>
      <c r="J411" s="95" t="s">
        <v>4</v>
      </c>
      <c r="K411" s="95" t="s">
        <v>4</v>
      </c>
      <c r="L411" s="85"/>
      <c r="M411" s="73" t="str">
        <f>IF(Main[[#This Row],[Tech Start Date]]&lt;1/1/1990,"",IF(Main[[#This Row],[Class]]="C",WORKDAY(Main[[#This Row],[Tech Start Date]],9),IF(Main[[#This Row],[Class]]="B", WORKDAY(Main[[#This Row],[Tech Start Date]],6),IF(Main[[#This Row],[Class]]="A",WORKDAY(Main[[#This Row],[Tech Start Date]],2),""))))</f>
        <v/>
      </c>
      <c r="N411" s="73" t="str">
        <f>IF(Main[[#This Row],[Tech Start Date]]&lt;1/1/1990,"",IF(Main[[#This Row],[Class]]="C",WORKDAY(Main[[#This Row],[Tech Start Date]],19),IF(Main[[#This Row],[Class]]="B", WORKDAY(Main[[#This Row],[Tech Start Date]],12),IF(Main[[#This Row],[Class]]="A",WORKDAY(Main[[#This Row],[Tech Start Date]],4),""))))</f>
        <v/>
      </c>
      <c r="O411" s="73" t="str">
        <f>IF(Main[[#This Row],[Tech Start Date]]&lt;1/1/1990,"",IF(Main[[#This Row],[Class]]="C",WORKDAY(Main[[#This Row],[Tech Start Date]],23),IF(Main[[#This Row],[Class]]="B", WORKDAY(Main[[#This Row],[Tech Start Date]],15),IF(Main[[#This Row],[Class]]="A",WORKDAY(Main[[#This Row],[Tech Start Date]],5),""))))</f>
        <v/>
      </c>
      <c r="P411" s="73" t="str">
        <f>IF(Main[[#This Row],[Tech Start Date]]&lt;1/1/1990,"",IF(Main[[#This Row],[Class]]="C",WORKDAY(Main[[#This Row],[Tech Start Date]],28),IF(Main[[#This Row],[Class]]="B", WORKDAY(Main[[#This Row],[Tech Start Date]],19),IF(Main[[#This Row],[Class]]="A",WORKDAY(Main[[#This Row],[Tech Start Date]],9),""))))</f>
        <v/>
      </c>
      <c r="Q411" s="85"/>
      <c r="R411" s="112"/>
      <c r="S411" s="95" t="s">
        <v>11</v>
      </c>
      <c r="T411" s="74" t="s">
        <v>4</v>
      </c>
      <c r="U411" s="95" t="s">
        <v>14</v>
      </c>
      <c r="V411" s="95" t="s">
        <v>1912</v>
      </c>
      <c r="W411" s="95" t="s">
        <v>1919</v>
      </c>
      <c r="X411" s="95" t="s">
        <v>2842</v>
      </c>
      <c r="Y411" s="72" t="s">
        <v>2984</v>
      </c>
      <c r="Z411" s="72" t="s">
        <v>4</v>
      </c>
      <c r="AA411" s="95" t="s">
        <v>2842</v>
      </c>
      <c r="AB411" s="132"/>
      <c r="AC411" s="132"/>
      <c r="AD411" s="132"/>
      <c r="AE411" s="63"/>
      <c r="AF411" s="63"/>
      <c r="AG411" s="63"/>
    </row>
    <row r="412" spans="1:33" ht="17.2" customHeight="1">
      <c r="A412" s="64" t="str">
        <f>IF(priority(Main[[#This Row],[Comments]])&lt;&gt;0, priority(Main[[#This Row],[Comments]]),"")</f>
        <v/>
      </c>
      <c r="B412" s="60" t="s">
        <v>1203</v>
      </c>
      <c r="C412" s="72" t="s">
        <v>4</v>
      </c>
      <c r="D412" s="59" t="s">
        <v>261</v>
      </c>
      <c r="E412" s="85"/>
      <c r="F412" s="85"/>
      <c r="G412" s="64" t="str">
        <f>IF(stdProdLT(Main[[#This Row],[Comments]])=0.1,"N/A",IF(stdProdLT(Main[[#This Row],[Comments]])=0,"",TRIM(stdProdLT(Main[[#This Row],[Comments]]))))</f>
        <v/>
      </c>
      <c r="H412" s="94" t="str">
        <f>IF(OR(Main[[#This Row],[Std. Prod. Lead Time]]="N/A",Main[[#This Row],[Std. Prod. Lead Time]]=""), "",IF(AND(Main[[#This Row],[In Stock Date]]&lt;&gt;"",Main[[#This Row],[Revised Due Date]]&lt;&gt;"",Main[[#This Row],[In Stock Date]]&lt;&gt;""),Main[[#This Row],[In Stock Date]]-Main[[#This Row],[Revised Due Date]],""))</f>
        <v/>
      </c>
      <c r="I412" s="101" t="s">
        <v>4</v>
      </c>
      <c r="J412" s="95" t="s">
        <v>4</v>
      </c>
      <c r="K412" s="95" t="s">
        <v>4</v>
      </c>
      <c r="L412" s="85"/>
      <c r="M412" s="73" t="str">
        <f>IF(Main[[#This Row],[Tech Start Date]]&lt;1/1/1990,"",IF(Main[[#This Row],[Class]]="C",WORKDAY(Main[[#This Row],[Tech Start Date]],9),IF(Main[[#This Row],[Class]]="B", WORKDAY(Main[[#This Row],[Tech Start Date]],6),IF(Main[[#This Row],[Class]]="A",WORKDAY(Main[[#This Row],[Tech Start Date]],2),""))))</f>
        <v/>
      </c>
      <c r="N412" s="73" t="str">
        <f>IF(Main[[#This Row],[Tech Start Date]]&lt;1/1/1990,"",IF(Main[[#This Row],[Class]]="C",WORKDAY(Main[[#This Row],[Tech Start Date]],19),IF(Main[[#This Row],[Class]]="B", WORKDAY(Main[[#This Row],[Tech Start Date]],12),IF(Main[[#This Row],[Class]]="A",WORKDAY(Main[[#This Row],[Tech Start Date]],4),""))))</f>
        <v/>
      </c>
      <c r="O412" s="73" t="str">
        <f>IF(Main[[#This Row],[Tech Start Date]]&lt;1/1/1990,"",IF(Main[[#This Row],[Class]]="C",WORKDAY(Main[[#This Row],[Tech Start Date]],23),IF(Main[[#This Row],[Class]]="B", WORKDAY(Main[[#This Row],[Tech Start Date]],15),IF(Main[[#This Row],[Class]]="A",WORKDAY(Main[[#This Row],[Tech Start Date]],5),""))))</f>
        <v/>
      </c>
      <c r="P412" s="73" t="str">
        <f>IF(Main[[#This Row],[Tech Start Date]]&lt;1/1/1990,"",IF(Main[[#This Row],[Class]]="C",WORKDAY(Main[[#This Row],[Tech Start Date]],28),IF(Main[[#This Row],[Class]]="B", WORKDAY(Main[[#This Row],[Tech Start Date]],19),IF(Main[[#This Row],[Class]]="A",WORKDAY(Main[[#This Row],[Tech Start Date]],9),""))))</f>
        <v/>
      </c>
      <c r="Q412" s="85">
        <v>40313</v>
      </c>
      <c r="R412" s="112"/>
      <c r="S412" s="95" t="s">
        <v>11</v>
      </c>
      <c r="T412" s="74" t="s">
        <v>4</v>
      </c>
      <c r="U412" s="95" t="s">
        <v>14</v>
      </c>
      <c r="V412" s="95" t="s">
        <v>1911</v>
      </c>
      <c r="W412" s="95" t="s">
        <v>1919</v>
      </c>
      <c r="X412" s="95" t="s">
        <v>129</v>
      </c>
      <c r="Y412" s="72" t="s">
        <v>2911</v>
      </c>
      <c r="Z412" s="72" t="s">
        <v>4</v>
      </c>
      <c r="AA412" s="95" t="s">
        <v>129</v>
      </c>
      <c r="AB412" s="132"/>
      <c r="AC412" s="132"/>
      <c r="AD412" s="132"/>
      <c r="AE412" s="63"/>
      <c r="AF412" s="63"/>
      <c r="AG412" s="63"/>
    </row>
    <row r="413" spans="1:33" ht="17.2" customHeight="1">
      <c r="A413" s="64" t="str">
        <f>IF(priority(Main[[#This Row],[Comments]])&lt;&gt;0, priority(Main[[#This Row],[Comments]]),"")</f>
        <v/>
      </c>
      <c r="B413" s="60" t="s">
        <v>1204</v>
      </c>
      <c r="C413" s="72" t="s">
        <v>4</v>
      </c>
      <c r="D413" s="59" t="s">
        <v>262</v>
      </c>
      <c r="E413" s="85"/>
      <c r="F413" s="85"/>
      <c r="G413" s="64" t="str">
        <f>IF(stdProdLT(Main[[#This Row],[Comments]])=0.1,"N/A",IF(stdProdLT(Main[[#This Row],[Comments]])=0,"",TRIM(stdProdLT(Main[[#This Row],[Comments]]))))</f>
        <v/>
      </c>
      <c r="H413" s="94" t="str">
        <f>IF(OR(Main[[#This Row],[Std. Prod. Lead Time]]="N/A",Main[[#This Row],[Std. Prod. Lead Time]]=""), "",IF(AND(Main[[#This Row],[In Stock Date]]&lt;&gt;"",Main[[#This Row],[Revised Due Date]]&lt;&gt;"",Main[[#This Row],[In Stock Date]]&lt;&gt;""),Main[[#This Row],[In Stock Date]]-Main[[#This Row],[Revised Due Date]],""))</f>
        <v/>
      </c>
      <c r="I413" s="101" t="s">
        <v>4</v>
      </c>
      <c r="J413" s="95" t="s">
        <v>4</v>
      </c>
      <c r="K413" s="95" t="s">
        <v>4</v>
      </c>
      <c r="L413" s="85"/>
      <c r="M413" s="73" t="str">
        <f>IF(Main[[#This Row],[Tech Start Date]]&lt;1/1/1990,"",IF(Main[[#This Row],[Class]]="C",WORKDAY(Main[[#This Row],[Tech Start Date]],9),IF(Main[[#This Row],[Class]]="B", WORKDAY(Main[[#This Row],[Tech Start Date]],6),IF(Main[[#This Row],[Class]]="A",WORKDAY(Main[[#This Row],[Tech Start Date]],2),""))))</f>
        <v/>
      </c>
      <c r="N413" s="73" t="str">
        <f>IF(Main[[#This Row],[Tech Start Date]]&lt;1/1/1990,"",IF(Main[[#This Row],[Class]]="C",WORKDAY(Main[[#This Row],[Tech Start Date]],19),IF(Main[[#This Row],[Class]]="B", WORKDAY(Main[[#This Row],[Tech Start Date]],12),IF(Main[[#This Row],[Class]]="A",WORKDAY(Main[[#This Row],[Tech Start Date]],4),""))))</f>
        <v/>
      </c>
      <c r="O413" s="73" t="str">
        <f>IF(Main[[#This Row],[Tech Start Date]]&lt;1/1/1990,"",IF(Main[[#This Row],[Class]]="C",WORKDAY(Main[[#This Row],[Tech Start Date]],23),IF(Main[[#This Row],[Class]]="B", WORKDAY(Main[[#This Row],[Tech Start Date]],15),IF(Main[[#This Row],[Class]]="A",WORKDAY(Main[[#This Row],[Tech Start Date]],5),""))))</f>
        <v/>
      </c>
      <c r="P413" s="73" t="str">
        <f>IF(Main[[#This Row],[Tech Start Date]]&lt;1/1/1990,"",IF(Main[[#This Row],[Class]]="C",WORKDAY(Main[[#This Row],[Tech Start Date]],28),IF(Main[[#This Row],[Class]]="B", WORKDAY(Main[[#This Row],[Tech Start Date]],19),IF(Main[[#This Row],[Class]]="A",WORKDAY(Main[[#This Row],[Tech Start Date]],9),""))))</f>
        <v/>
      </c>
      <c r="Q413" s="85"/>
      <c r="R413" s="112"/>
      <c r="S413" s="95" t="s">
        <v>11</v>
      </c>
      <c r="T413" s="74" t="s">
        <v>4</v>
      </c>
      <c r="U413" s="95" t="s">
        <v>12</v>
      </c>
      <c r="V413" s="95" t="s">
        <v>1912</v>
      </c>
      <c r="W413" s="95" t="s">
        <v>1915</v>
      </c>
      <c r="X413" s="95" t="s">
        <v>922</v>
      </c>
      <c r="Y413" s="72" t="s">
        <v>2960</v>
      </c>
      <c r="Z413" s="72" t="s">
        <v>4</v>
      </c>
      <c r="AA413" s="95" t="s">
        <v>922</v>
      </c>
      <c r="AB413" s="132"/>
      <c r="AC413" s="132"/>
      <c r="AD413" s="132"/>
      <c r="AE413" s="63"/>
      <c r="AF413" s="63"/>
      <c r="AG413" s="63"/>
    </row>
    <row r="414" spans="1:33" ht="17.2" customHeight="1">
      <c r="A414" s="64" t="str">
        <f>IF(priority(Main[[#This Row],[Comments]])&lt;&gt;0, priority(Main[[#This Row],[Comments]]),"")</f>
        <v/>
      </c>
      <c r="B414" s="60" t="s">
        <v>1967</v>
      </c>
      <c r="C414" s="72" t="s">
        <v>4</v>
      </c>
      <c r="D414" s="59" t="s">
        <v>1968</v>
      </c>
      <c r="E414" s="85">
        <v>40732.708599537036</v>
      </c>
      <c r="F414" s="85"/>
      <c r="G414" s="64" t="str">
        <f>IF(stdProdLT(Main[[#This Row],[Comments]])=0.1,"N/A",IF(stdProdLT(Main[[#This Row],[Comments]])=0,"",TRIM(stdProdLT(Main[[#This Row],[Comments]]))))</f>
        <v/>
      </c>
      <c r="H414" s="94" t="str">
        <f>IF(OR(Main[[#This Row],[Std. Prod. Lead Time]]="N/A",Main[[#This Row],[Std. Prod. Lead Time]]=""), "",IF(AND(Main[[#This Row],[In Stock Date]]&lt;&gt;"",Main[[#This Row],[Revised Due Date]]&lt;&gt;"",Main[[#This Row],[In Stock Date]]&lt;&gt;""),Main[[#This Row],[In Stock Date]]-Main[[#This Row],[Revised Due Date]],""))</f>
        <v/>
      </c>
      <c r="I414" s="101" t="s">
        <v>4</v>
      </c>
      <c r="J414" s="95" t="s">
        <v>4</v>
      </c>
      <c r="K414" s="95" t="s">
        <v>4</v>
      </c>
      <c r="L414" s="85"/>
      <c r="M414" s="73" t="str">
        <f>IF(Main[[#This Row],[Tech Start Date]]&lt;1/1/1990,"",IF(Main[[#This Row],[Class]]="C",WORKDAY(Main[[#This Row],[Tech Start Date]],9),IF(Main[[#This Row],[Class]]="B", WORKDAY(Main[[#This Row],[Tech Start Date]],6),IF(Main[[#This Row],[Class]]="A",WORKDAY(Main[[#This Row],[Tech Start Date]],2),""))))</f>
        <v/>
      </c>
      <c r="N414" s="73" t="str">
        <f>IF(Main[[#This Row],[Tech Start Date]]&lt;1/1/1990,"",IF(Main[[#This Row],[Class]]="C",WORKDAY(Main[[#This Row],[Tech Start Date]],19),IF(Main[[#This Row],[Class]]="B", WORKDAY(Main[[#This Row],[Tech Start Date]],12),IF(Main[[#This Row],[Class]]="A",WORKDAY(Main[[#This Row],[Tech Start Date]],4),""))))</f>
        <v/>
      </c>
      <c r="O414" s="73" t="str">
        <f>IF(Main[[#This Row],[Tech Start Date]]&lt;1/1/1990,"",IF(Main[[#This Row],[Class]]="C",WORKDAY(Main[[#This Row],[Tech Start Date]],23),IF(Main[[#This Row],[Class]]="B", WORKDAY(Main[[#This Row],[Tech Start Date]],15),IF(Main[[#This Row],[Class]]="A",WORKDAY(Main[[#This Row],[Tech Start Date]],5),""))))</f>
        <v/>
      </c>
      <c r="P414" s="73" t="str">
        <f>IF(Main[[#This Row],[Tech Start Date]]&lt;1/1/1990,"",IF(Main[[#This Row],[Class]]="C",WORKDAY(Main[[#This Row],[Tech Start Date]],28),IF(Main[[#This Row],[Class]]="B", WORKDAY(Main[[#This Row],[Tech Start Date]],19),IF(Main[[#This Row],[Class]]="A",WORKDAY(Main[[#This Row],[Tech Start Date]],9),""))))</f>
        <v/>
      </c>
      <c r="Q414" s="85">
        <v>40908</v>
      </c>
      <c r="R414" s="112"/>
      <c r="S414" s="95" t="s">
        <v>17</v>
      </c>
      <c r="T414" s="74" t="s">
        <v>4</v>
      </c>
      <c r="U414" s="95" t="s">
        <v>7</v>
      </c>
      <c r="V414" s="95" t="s">
        <v>1914</v>
      </c>
      <c r="W414" s="95" t="s">
        <v>1925</v>
      </c>
      <c r="X414" s="95" t="s">
        <v>553</v>
      </c>
      <c r="Y414" s="72" t="s">
        <v>2930</v>
      </c>
      <c r="Z414" s="72" t="s">
        <v>4</v>
      </c>
      <c r="AA414" s="95" t="s">
        <v>553</v>
      </c>
      <c r="AB414" s="132"/>
      <c r="AC414" s="132"/>
      <c r="AD414" s="132"/>
      <c r="AE414" s="63"/>
      <c r="AF414" s="63"/>
      <c r="AG414" s="63"/>
    </row>
    <row r="415" spans="1:33" ht="17.2" customHeight="1">
      <c r="A415" s="64" t="str">
        <f>IF(priority(Main[[#This Row],[Comments]])&lt;&gt;0, priority(Main[[#This Row],[Comments]]),"")</f>
        <v/>
      </c>
      <c r="B415" s="60" t="s">
        <v>1206</v>
      </c>
      <c r="C415" s="72" t="s">
        <v>4</v>
      </c>
      <c r="D415" s="59" t="s">
        <v>264</v>
      </c>
      <c r="E415" s="85">
        <v>40609.588946759257</v>
      </c>
      <c r="F415" s="85"/>
      <c r="G415" s="64" t="str">
        <f>IF(stdProdLT(Main[[#This Row],[Comments]])=0.1,"N/A",IF(stdProdLT(Main[[#This Row],[Comments]])=0,"",TRIM(stdProdLT(Main[[#This Row],[Comments]]))))</f>
        <v/>
      </c>
      <c r="H415" s="94" t="str">
        <f>IF(OR(Main[[#This Row],[Std. Prod. Lead Time]]="N/A",Main[[#This Row],[Std. Prod. Lead Time]]=""), "",IF(AND(Main[[#This Row],[In Stock Date]]&lt;&gt;"",Main[[#This Row],[Revised Due Date]]&lt;&gt;"",Main[[#This Row],[In Stock Date]]&lt;&gt;""),Main[[#This Row],[In Stock Date]]-Main[[#This Row],[Revised Due Date]],""))</f>
        <v/>
      </c>
      <c r="I415" s="101" t="s">
        <v>4</v>
      </c>
      <c r="J415" s="95" t="s">
        <v>28</v>
      </c>
      <c r="K415" s="95" t="s">
        <v>1920</v>
      </c>
      <c r="L415" s="85"/>
      <c r="M415" s="73" t="str">
        <f>IF(Main[[#This Row],[Tech Start Date]]&lt;1/1/1990,"",IF(Main[[#This Row],[Class]]="C",WORKDAY(Main[[#This Row],[Tech Start Date]],9),IF(Main[[#This Row],[Class]]="B", WORKDAY(Main[[#This Row],[Tech Start Date]],6),IF(Main[[#This Row],[Class]]="A",WORKDAY(Main[[#This Row],[Tech Start Date]],2),""))))</f>
        <v/>
      </c>
      <c r="N415" s="73" t="str">
        <f>IF(Main[[#This Row],[Tech Start Date]]&lt;1/1/1990,"",IF(Main[[#This Row],[Class]]="C",WORKDAY(Main[[#This Row],[Tech Start Date]],19),IF(Main[[#This Row],[Class]]="B", WORKDAY(Main[[#This Row],[Tech Start Date]],12),IF(Main[[#This Row],[Class]]="A",WORKDAY(Main[[#This Row],[Tech Start Date]],4),""))))</f>
        <v/>
      </c>
      <c r="O415" s="73" t="str">
        <f>IF(Main[[#This Row],[Tech Start Date]]&lt;1/1/1990,"",IF(Main[[#This Row],[Class]]="C",WORKDAY(Main[[#This Row],[Tech Start Date]],23),IF(Main[[#This Row],[Class]]="B", WORKDAY(Main[[#This Row],[Tech Start Date]],15),IF(Main[[#This Row],[Class]]="A",WORKDAY(Main[[#This Row],[Tech Start Date]],5),""))))</f>
        <v/>
      </c>
      <c r="P415" s="73" t="str">
        <f>IF(Main[[#This Row],[Tech Start Date]]&lt;1/1/1990,"",IF(Main[[#This Row],[Class]]="C",WORKDAY(Main[[#This Row],[Tech Start Date]],28),IF(Main[[#This Row],[Class]]="B", WORKDAY(Main[[#This Row],[Tech Start Date]],19),IF(Main[[#This Row],[Class]]="A",WORKDAY(Main[[#This Row],[Tech Start Date]],9),""))))</f>
        <v/>
      </c>
      <c r="Q415" s="85">
        <v>40640</v>
      </c>
      <c r="R415" s="112"/>
      <c r="S415" s="95" t="s">
        <v>6</v>
      </c>
      <c r="T415" s="74" t="s">
        <v>4</v>
      </c>
      <c r="U415" s="95" t="s">
        <v>7</v>
      </c>
      <c r="V415" s="95" t="s">
        <v>1911</v>
      </c>
      <c r="W415" s="95" t="s">
        <v>1913</v>
      </c>
      <c r="X415" s="95" t="s">
        <v>2799</v>
      </c>
      <c r="Y415" s="72" t="s">
        <v>2910</v>
      </c>
      <c r="Z415" s="72" t="s">
        <v>129</v>
      </c>
      <c r="AA415" s="95" t="s">
        <v>2799</v>
      </c>
      <c r="AB415" s="132"/>
      <c r="AC415" s="132"/>
      <c r="AD415" s="132"/>
      <c r="AE415" s="63"/>
      <c r="AF415" s="63"/>
      <c r="AG415" s="63"/>
    </row>
    <row r="416" spans="1:33" ht="17.2" customHeight="1">
      <c r="A416" s="64" t="str">
        <f>IF(priority(Main[[#This Row],[Comments]])&lt;&gt;0, priority(Main[[#This Row],[Comments]]),"")</f>
        <v/>
      </c>
      <c r="B416" s="60" t="s">
        <v>1207</v>
      </c>
      <c r="C416" s="72" t="s">
        <v>265</v>
      </c>
      <c r="D416" s="59" t="s">
        <v>266</v>
      </c>
      <c r="E416" s="85"/>
      <c r="F416" s="85"/>
      <c r="G416" s="64" t="str">
        <f>IF(stdProdLT(Main[[#This Row],[Comments]])=0.1,"N/A",IF(stdProdLT(Main[[#This Row],[Comments]])=0,"",TRIM(stdProdLT(Main[[#This Row],[Comments]]))))</f>
        <v/>
      </c>
      <c r="H416" s="94" t="str">
        <f>IF(OR(Main[[#This Row],[Std. Prod. Lead Time]]="N/A",Main[[#This Row],[Std. Prod. Lead Time]]=""), "",IF(AND(Main[[#This Row],[In Stock Date]]&lt;&gt;"",Main[[#This Row],[Revised Due Date]]&lt;&gt;"",Main[[#This Row],[In Stock Date]]&lt;&gt;""),Main[[#This Row],[In Stock Date]]-Main[[#This Row],[Revised Due Date]],""))</f>
        <v/>
      </c>
      <c r="I416" s="101" t="s">
        <v>4</v>
      </c>
      <c r="J416" s="95" t="s">
        <v>4</v>
      </c>
      <c r="K416" s="95" t="s">
        <v>4</v>
      </c>
      <c r="L416" s="85"/>
      <c r="M416" s="73" t="str">
        <f>IF(Main[[#This Row],[Tech Start Date]]&lt;1/1/1990,"",IF(Main[[#This Row],[Class]]="C",WORKDAY(Main[[#This Row],[Tech Start Date]],9),IF(Main[[#This Row],[Class]]="B", WORKDAY(Main[[#This Row],[Tech Start Date]],6),IF(Main[[#This Row],[Class]]="A",WORKDAY(Main[[#This Row],[Tech Start Date]],2),""))))</f>
        <v/>
      </c>
      <c r="N416" s="73" t="str">
        <f>IF(Main[[#This Row],[Tech Start Date]]&lt;1/1/1990,"",IF(Main[[#This Row],[Class]]="C",WORKDAY(Main[[#This Row],[Tech Start Date]],19),IF(Main[[#This Row],[Class]]="B", WORKDAY(Main[[#This Row],[Tech Start Date]],12),IF(Main[[#This Row],[Class]]="A",WORKDAY(Main[[#This Row],[Tech Start Date]],4),""))))</f>
        <v/>
      </c>
      <c r="O416" s="73" t="str">
        <f>IF(Main[[#This Row],[Tech Start Date]]&lt;1/1/1990,"",IF(Main[[#This Row],[Class]]="C",WORKDAY(Main[[#This Row],[Tech Start Date]],23),IF(Main[[#This Row],[Class]]="B", WORKDAY(Main[[#This Row],[Tech Start Date]],15),IF(Main[[#This Row],[Class]]="A",WORKDAY(Main[[#This Row],[Tech Start Date]],5),""))))</f>
        <v/>
      </c>
      <c r="P416" s="73" t="str">
        <f>IF(Main[[#This Row],[Tech Start Date]]&lt;1/1/1990,"",IF(Main[[#This Row],[Class]]="C",WORKDAY(Main[[#This Row],[Tech Start Date]],28),IF(Main[[#This Row],[Class]]="B", WORKDAY(Main[[#This Row],[Tech Start Date]],19),IF(Main[[#This Row],[Class]]="A",WORKDAY(Main[[#This Row],[Tech Start Date]],9),""))))</f>
        <v/>
      </c>
      <c r="Q416" s="85">
        <v>40497</v>
      </c>
      <c r="R416" s="112"/>
      <c r="S416" s="95" t="s">
        <v>11</v>
      </c>
      <c r="T416" s="74" t="s">
        <v>4</v>
      </c>
      <c r="U416" s="95" t="s">
        <v>12</v>
      </c>
      <c r="V416" s="95" t="s">
        <v>1911</v>
      </c>
      <c r="W416" s="95" t="s">
        <v>1913</v>
      </c>
      <c r="X416" s="95" t="s">
        <v>2835</v>
      </c>
      <c r="Y416" s="72" t="s">
        <v>4</v>
      </c>
      <c r="Z416" s="72" t="s">
        <v>4</v>
      </c>
      <c r="AA416" s="95" t="s">
        <v>2835</v>
      </c>
      <c r="AB416" s="132"/>
      <c r="AC416" s="132"/>
      <c r="AD416" s="132"/>
      <c r="AE416" s="63"/>
      <c r="AF416" s="63"/>
      <c r="AG416" s="63"/>
    </row>
    <row r="417" spans="1:33" ht="17.2" customHeight="1">
      <c r="A417" s="64" t="str">
        <f>IF(priority(Main[[#This Row],[Comments]])&lt;&gt;0, priority(Main[[#This Row],[Comments]]),"")</f>
        <v/>
      </c>
      <c r="B417" s="60" t="s">
        <v>1209</v>
      </c>
      <c r="C417" s="72" t="s">
        <v>268</v>
      </c>
      <c r="D417" s="59" t="s">
        <v>269</v>
      </c>
      <c r="E417" s="85"/>
      <c r="F417" s="85">
        <v>40399</v>
      </c>
      <c r="G417" s="64" t="str">
        <f>IF(stdProdLT(Main[[#This Row],[Comments]])=0.1,"N/A",IF(stdProdLT(Main[[#This Row],[Comments]])=0,"",TRIM(stdProdLT(Main[[#This Row],[Comments]]))))</f>
        <v/>
      </c>
      <c r="H417" s="94" t="str">
        <f>IF(OR(Main[[#This Row],[Std. Prod. Lead Time]]="N/A",Main[[#This Row],[Std. Prod. Lead Time]]=""), "",IF(AND(Main[[#This Row],[In Stock Date]]&lt;&gt;"",Main[[#This Row],[Revised Due Date]]&lt;&gt;"",Main[[#This Row],[In Stock Date]]&lt;&gt;""),Main[[#This Row],[In Stock Date]]-Main[[#This Row],[Revised Due Date]],""))</f>
        <v/>
      </c>
      <c r="I417" s="101" t="s">
        <v>129</v>
      </c>
      <c r="J417" s="95" t="s">
        <v>4</v>
      </c>
      <c r="K417" s="95" t="s">
        <v>4</v>
      </c>
      <c r="L417" s="85"/>
      <c r="M417" s="73" t="str">
        <f>IF(Main[[#This Row],[Tech Start Date]]&lt;1/1/1990,"",IF(Main[[#This Row],[Class]]="C",WORKDAY(Main[[#This Row],[Tech Start Date]],9),IF(Main[[#This Row],[Class]]="B", WORKDAY(Main[[#This Row],[Tech Start Date]],6),IF(Main[[#This Row],[Class]]="A",WORKDAY(Main[[#This Row],[Tech Start Date]],2),""))))</f>
        <v/>
      </c>
      <c r="N417" s="73" t="str">
        <f>IF(Main[[#This Row],[Tech Start Date]]&lt;1/1/1990,"",IF(Main[[#This Row],[Class]]="C",WORKDAY(Main[[#This Row],[Tech Start Date]],19),IF(Main[[#This Row],[Class]]="B", WORKDAY(Main[[#This Row],[Tech Start Date]],12),IF(Main[[#This Row],[Class]]="A",WORKDAY(Main[[#This Row],[Tech Start Date]],4),""))))</f>
        <v/>
      </c>
      <c r="O417" s="73" t="str">
        <f>IF(Main[[#This Row],[Tech Start Date]]&lt;1/1/1990,"",IF(Main[[#This Row],[Class]]="C",WORKDAY(Main[[#This Row],[Tech Start Date]],23),IF(Main[[#This Row],[Class]]="B", WORKDAY(Main[[#This Row],[Tech Start Date]],15),IF(Main[[#This Row],[Class]]="A",WORKDAY(Main[[#This Row],[Tech Start Date]],5),""))))</f>
        <v/>
      </c>
      <c r="P417" s="73" t="str">
        <f>IF(Main[[#This Row],[Tech Start Date]]&lt;1/1/1990,"",IF(Main[[#This Row],[Class]]="C",WORKDAY(Main[[#This Row],[Tech Start Date]],28),IF(Main[[#This Row],[Class]]="B", WORKDAY(Main[[#This Row],[Tech Start Date]],19),IF(Main[[#This Row],[Class]]="A",WORKDAY(Main[[#This Row],[Tech Start Date]],9),""))))</f>
        <v/>
      </c>
      <c r="Q417" s="85">
        <v>40344</v>
      </c>
      <c r="R417" s="112"/>
      <c r="S417" s="95" t="s">
        <v>11</v>
      </c>
      <c r="T417" s="74" t="s">
        <v>4</v>
      </c>
      <c r="U417" s="95" t="s">
        <v>14</v>
      </c>
      <c r="V417" s="95" t="s">
        <v>1911</v>
      </c>
      <c r="W417" s="95" t="s">
        <v>1916</v>
      </c>
      <c r="X417" s="95" t="s">
        <v>2834</v>
      </c>
      <c r="Y417" s="72" t="s">
        <v>4</v>
      </c>
      <c r="Z417" s="72" t="s">
        <v>4</v>
      </c>
      <c r="AA417" s="95" t="s">
        <v>2834</v>
      </c>
      <c r="AB417" s="132"/>
      <c r="AC417" s="132"/>
      <c r="AD417" s="132"/>
      <c r="AE417" s="63"/>
      <c r="AF417" s="63"/>
      <c r="AG417" s="63"/>
    </row>
    <row r="418" spans="1:33" ht="17.2" customHeight="1">
      <c r="A418" s="64" t="str">
        <f>IF(priority(Main[[#This Row],[Comments]])&lt;&gt;0, priority(Main[[#This Row],[Comments]]),"")</f>
        <v/>
      </c>
      <c r="B418" s="60" t="s">
        <v>1385</v>
      </c>
      <c r="C418" s="72" t="s">
        <v>4</v>
      </c>
      <c r="D418" s="59" t="s">
        <v>2353</v>
      </c>
      <c r="E418" s="85">
        <v>40407.653564814813</v>
      </c>
      <c r="F418" s="85"/>
      <c r="G418" s="64" t="str">
        <f>IF(stdProdLT(Main[[#This Row],[Comments]])=0.1,"N/A",IF(stdProdLT(Main[[#This Row],[Comments]])=0,"",TRIM(stdProdLT(Main[[#This Row],[Comments]]))))</f>
        <v/>
      </c>
      <c r="H418" s="94" t="str">
        <f>IF(OR(Main[[#This Row],[Std. Prod. Lead Time]]="N/A",Main[[#This Row],[Std. Prod. Lead Time]]=""), "",IF(AND(Main[[#This Row],[In Stock Date]]&lt;&gt;"",Main[[#This Row],[Revised Due Date]]&lt;&gt;"",Main[[#This Row],[In Stock Date]]&lt;&gt;""),Main[[#This Row],[In Stock Date]]-Main[[#This Row],[Revised Due Date]],""))</f>
        <v/>
      </c>
      <c r="I418" s="101" t="s">
        <v>4</v>
      </c>
      <c r="J418" s="95" t="s">
        <v>28</v>
      </c>
      <c r="K418" s="95" t="s">
        <v>4</v>
      </c>
      <c r="L418" s="85"/>
      <c r="M418" s="73" t="str">
        <f>IF(Main[[#This Row],[Tech Start Date]]&lt;1/1/1990,"",IF(Main[[#This Row],[Class]]="C",WORKDAY(Main[[#This Row],[Tech Start Date]],9),IF(Main[[#This Row],[Class]]="B", WORKDAY(Main[[#This Row],[Tech Start Date]],6),IF(Main[[#This Row],[Class]]="A",WORKDAY(Main[[#This Row],[Tech Start Date]],2),""))))</f>
        <v/>
      </c>
      <c r="N418" s="73" t="str">
        <f>IF(Main[[#This Row],[Tech Start Date]]&lt;1/1/1990,"",IF(Main[[#This Row],[Class]]="C",WORKDAY(Main[[#This Row],[Tech Start Date]],19),IF(Main[[#This Row],[Class]]="B", WORKDAY(Main[[#This Row],[Tech Start Date]],12),IF(Main[[#This Row],[Class]]="A",WORKDAY(Main[[#This Row],[Tech Start Date]],4),""))))</f>
        <v/>
      </c>
      <c r="O418" s="73" t="str">
        <f>IF(Main[[#This Row],[Tech Start Date]]&lt;1/1/1990,"",IF(Main[[#This Row],[Class]]="C",WORKDAY(Main[[#This Row],[Tech Start Date]],23),IF(Main[[#This Row],[Class]]="B", WORKDAY(Main[[#This Row],[Tech Start Date]],15),IF(Main[[#This Row],[Class]]="A",WORKDAY(Main[[#This Row],[Tech Start Date]],5),""))))</f>
        <v/>
      </c>
      <c r="P418" s="73" t="str">
        <f>IF(Main[[#This Row],[Tech Start Date]]&lt;1/1/1990,"",IF(Main[[#This Row],[Class]]="C",WORKDAY(Main[[#This Row],[Tech Start Date]],28),IF(Main[[#This Row],[Class]]="B", WORKDAY(Main[[#This Row],[Tech Start Date]],19),IF(Main[[#This Row],[Class]]="A",WORKDAY(Main[[#This Row],[Tech Start Date]],9),""))))</f>
        <v/>
      </c>
      <c r="Q418" s="85"/>
      <c r="R418" s="112"/>
      <c r="S418" s="95" t="s">
        <v>6</v>
      </c>
      <c r="T418" s="74" t="s">
        <v>4</v>
      </c>
      <c r="U418" s="95" t="s">
        <v>7</v>
      </c>
      <c r="V418" s="95" t="s">
        <v>1911</v>
      </c>
      <c r="W418" s="95" t="s">
        <v>1913</v>
      </c>
      <c r="X418" s="95" t="s">
        <v>877</v>
      </c>
      <c r="Y418" s="72" t="s">
        <v>2996</v>
      </c>
      <c r="Z418" s="72" t="s">
        <v>129</v>
      </c>
      <c r="AA418" s="95" t="s">
        <v>3363</v>
      </c>
      <c r="AB418" s="132"/>
      <c r="AC418" s="132"/>
      <c r="AD418" s="132"/>
      <c r="AE418" s="63"/>
      <c r="AF418" s="63"/>
      <c r="AG418" s="63"/>
    </row>
    <row r="419" spans="1:33" ht="17.2" customHeight="1">
      <c r="A419" s="64" t="str">
        <f>IF(priority(Main[[#This Row],[Comments]])&lt;&gt;0, priority(Main[[#This Row],[Comments]]),"")</f>
        <v/>
      </c>
      <c r="B419" s="60" t="s">
        <v>1210</v>
      </c>
      <c r="C419" s="72" t="s">
        <v>180</v>
      </c>
      <c r="D419" s="59" t="s">
        <v>270</v>
      </c>
      <c r="E419" s="85"/>
      <c r="F419" s="85">
        <v>40389</v>
      </c>
      <c r="G419" s="64" t="str">
        <f>IF(stdProdLT(Main[[#This Row],[Comments]])=0.1,"N/A",IF(stdProdLT(Main[[#This Row],[Comments]])=0,"",TRIM(stdProdLT(Main[[#This Row],[Comments]]))))</f>
        <v/>
      </c>
      <c r="H419" s="94" t="str">
        <f>IF(OR(Main[[#This Row],[Std. Prod. Lead Time]]="N/A",Main[[#This Row],[Std. Prod. Lead Time]]=""), "",IF(AND(Main[[#This Row],[In Stock Date]]&lt;&gt;"",Main[[#This Row],[Revised Due Date]]&lt;&gt;"",Main[[#This Row],[In Stock Date]]&lt;&gt;""),Main[[#This Row],[In Stock Date]]-Main[[#This Row],[Revised Due Date]],""))</f>
        <v/>
      </c>
      <c r="I419" s="101" t="s">
        <v>4</v>
      </c>
      <c r="J419" s="95" t="s">
        <v>4</v>
      </c>
      <c r="K419" s="95" t="s">
        <v>4</v>
      </c>
      <c r="L419" s="85"/>
      <c r="M419" s="73" t="str">
        <f>IF(Main[[#This Row],[Tech Start Date]]&lt;1/1/1990,"",IF(Main[[#This Row],[Class]]="C",WORKDAY(Main[[#This Row],[Tech Start Date]],9),IF(Main[[#This Row],[Class]]="B", WORKDAY(Main[[#This Row],[Tech Start Date]],6),IF(Main[[#This Row],[Class]]="A",WORKDAY(Main[[#This Row],[Tech Start Date]],2),""))))</f>
        <v/>
      </c>
      <c r="N419" s="73" t="str">
        <f>IF(Main[[#This Row],[Tech Start Date]]&lt;1/1/1990,"",IF(Main[[#This Row],[Class]]="C",WORKDAY(Main[[#This Row],[Tech Start Date]],19),IF(Main[[#This Row],[Class]]="B", WORKDAY(Main[[#This Row],[Tech Start Date]],12),IF(Main[[#This Row],[Class]]="A",WORKDAY(Main[[#This Row],[Tech Start Date]],4),""))))</f>
        <v/>
      </c>
      <c r="O419" s="73" t="str">
        <f>IF(Main[[#This Row],[Tech Start Date]]&lt;1/1/1990,"",IF(Main[[#This Row],[Class]]="C",WORKDAY(Main[[#This Row],[Tech Start Date]],23),IF(Main[[#This Row],[Class]]="B", WORKDAY(Main[[#This Row],[Tech Start Date]],15),IF(Main[[#This Row],[Class]]="A",WORKDAY(Main[[#This Row],[Tech Start Date]],5),""))))</f>
        <v/>
      </c>
      <c r="P419" s="73" t="str">
        <f>IF(Main[[#This Row],[Tech Start Date]]&lt;1/1/1990,"",IF(Main[[#This Row],[Class]]="C",WORKDAY(Main[[#This Row],[Tech Start Date]],28),IF(Main[[#This Row],[Class]]="B", WORKDAY(Main[[#This Row],[Tech Start Date]],19),IF(Main[[#This Row],[Class]]="A",WORKDAY(Main[[#This Row],[Tech Start Date]],9),""))))</f>
        <v/>
      </c>
      <c r="Q419" s="85">
        <v>40298</v>
      </c>
      <c r="R419" s="112"/>
      <c r="S419" s="95" t="s">
        <v>11</v>
      </c>
      <c r="T419" s="74" t="s">
        <v>4</v>
      </c>
      <c r="U419" s="95" t="s">
        <v>14</v>
      </c>
      <c r="V419" s="95" t="s">
        <v>1911</v>
      </c>
      <c r="W419" s="95" t="s">
        <v>1917</v>
      </c>
      <c r="X419" s="95" t="s">
        <v>2804</v>
      </c>
      <c r="Y419" s="72" t="s">
        <v>2921</v>
      </c>
      <c r="Z419" s="72" t="s">
        <v>4</v>
      </c>
      <c r="AA419" s="95" t="s">
        <v>2804</v>
      </c>
      <c r="AB419" s="132"/>
      <c r="AC419" s="132"/>
      <c r="AD419" s="132"/>
      <c r="AE419" s="63"/>
      <c r="AF419" s="63"/>
      <c r="AG419" s="63"/>
    </row>
    <row r="420" spans="1:33" ht="17.2" customHeight="1">
      <c r="A420" s="64" t="str">
        <f>IF(priority(Main[[#This Row],[Comments]])&lt;&gt;0, priority(Main[[#This Row],[Comments]]),"")</f>
        <v/>
      </c>
      <c r="B420" s="60" t="s">
        <v>1212</v>
      </c>
      <c r="C420" s="72" t="s">
        <v>273</v>
      </c>
      <c r="D420" s="59" t="s">
        <v>274</v>
      </c>
      <c r="E420" s="85"/>
      <c r="F420" s="85">
        <v>40262</v>
      </c>
      <c r="G420" s="64" t="str">
        <f>IF(stdProdLT(Main[[#This Row],[Comments]])=0.1,"N/A",IF(stdProdLT(Main[[#This Row],[Comments]])=0,"",TRIM(stdProdLT(Main[[#This Row],[Comments]]))))</f>
        <v/>
      </c>
      <c r="H420" s="94" t="str">
        <f>IF(OR(Main[[#This Row],[Std. Prod. Lead Time]]="N/A",Main[[#This Row],[Std. Prod. Lead Time]]=""), "",IF(AND(Main[[#This Row],[In Stock Date]]&lt;&gt;"",Main[[#This Row],[Revised Due Date]]&lt;&gt;"",Main[[#This Row],[In Stock Date]]&lt;&gt;""),Main[[#This Row],[In Stock Date]]-Main[[#This Row],[Revised Due Date]],""))</f>
        <v/>
      </c>
      <c r="I420" s="101" t="s">
        <v>4</v>
      </c>
      <c r="J420" s="95" t="s">
        <v>4</v>
      </c>
      <c r="K420" s="95" t="s">
        <v>4</v>
      </c>
      <c r="L420" s="85"/>
      <c r="M420" s="73" t="str">
        <f>IF(Main[[#This Row],[Tech Start Date]]&lt;1/1/1990,"",IF(Main[[#This Row],[Class]]="C",WORKDAY(Main[[#This Row],[Tech Start Date]],9),IF(Main[[#This Row],[Class]]="B", WORKDAY(Main[[#This Row],[Tech Start Date]],6),IF(Main[[#This Row],[Class]]="A",WORKDAY(Main[[#This Row],[Tech Start Date]],2),""))))</f>
        <v/>
      </c>
      <c r="N420" s="73" t="str">
        <f>IF(Main[[#This Row],[Tech Start Date]]&lt;1/1/1990,"",IF(Main[[#This Row],[Class]]="C",WORKDAY(Main[[#This Row],[Tech Start Date]],19),IF(Main[[#This Row],[Class]]="B", WORKDAY(Main[[#This Row],[Tech Start Date]],12),IF(Main[[#This Row],[Class]]="A",WORKDAY(Main[[#This Row],[Tech Start Date]],4),""))))</f>
        <v/>
      </c>
      <c r="O420" s="73" t="str">
        <f>IF(Main[[#This Row],[Tech Start Date]]&lt;1/1/1990,"",IF(Main[[#This Row],[Class]]="C",WORKDAY(Main[[#This Row],[Tech Start Date]],23),IF(Main[[#This Row],[Class]]="B", WORKDAY(Main[[#This Row],[Tech Start Date]],15),IF(Main[[#This Row],[Class]]="A",WORKDAY(Main[[#This Row],[Tech Start Date]],5),""))))</f>
        <v/>
      </c>
      <c r="P420" s="73" t="str">
        <f>IF(Main[[#This Row],[Tech Start Date]]&lt;1/1/1990,"",IF(Main[[#This Row],[Class]]="C",WORKDAY(Main[[#This Row],[Tech Start Date]],28),IF(Main[[#This Row],[Class]]="B", WORKDAY(Main[[#This Row],[Tech Start Date]],19),IF(Main[[#This Row],[Class]]="A",WORKDAY(Main[[#This Row],[Tech Start Date]],9),""))))</f>
        <v/>
      </c>
      <c r="Q420" s="85">
        <v>40242</v>
      </c>
      <c r="R420" s="112"/>
      <c r="S420" s="95" t="s">
        <v>11</v>
      </c>
      <c r="T420" s="74" t="s">
        <v>4</v>
      </c>
      <c r="U420" s="95" t="s">
        <v>14</v>
      </c>
      <c r="V420" s="95" t="s">
        <v>1921</v>
      </c>
      <c r="W420" s="95" t="s">
        <v>1915</v>
      </c>
      <c r="X420" s="95" t="s">
        <v>2848</v>
      </c>
      <c r="Y420" s="72" t="s">
        <v>2990</v>
      </c>
      <c r="Z420" s="72" t="s">
        <v>4</v>
      </c>
      <c r="AA420" s="95" t="s">
        <v>2848</v>
      </c>
      <c r="AB420" s="132"/>
      <c r="AC420" s="132"/>
      <c r="AD420" s="132"/>
      <c r="AE420" s="63"/>
      <c r="AF420" s="63"/>
      <c r="AG420" s="63"/>
    </row>
    <row r="421" spans="1:33" ht="17.2" customHeight="1">
      <c r="A421" s="64" t="str">
        <f>IF(priority(Main[[#This Row],[Comments]])&lt;&gt;0, priority(Main[[#This Row],[Comments]]),"")</f>
        <v/>
      </c>
      <c r="B421" s="60" t="s">
        <v>1213</v>
      </c>
      <c r="C421" s="72" t="s">
        <v>275</v>
      </c>
      <c r="D421" s="59" t="s">
        <v>276</v>
      </c>
      <c r="E421" s="85"/>
      <c r="F421" s="85">
        <v>40186</v>
      </c>
      <c r="G421" s="64" t="str">
        <f>IF(stdProdLT(Main[[#This Row],[Comments]])=0.1,"N/A",IF(stdProdLT(Main[[#This Row],[Comments]])=0,"",TRIM(stdProdLT(Main[[#This Row],[Comments]]))))</f>
        <v/>
      </c>
      <c r="H421" s="94" t="str">
        <f>IF(OR(Main[[#This Row],[Std. Prod. Lead Time]]="N/A",Main[[#This Row],[Std. Prod. Lead Time]]=""), "",IF(AND(Main[[#This Row],[In Stock Date]]&lt;&gt;"",Main[[#This Row],[Revised Due Date]]&lt;&gt;"",Main[[#This Row],[In Stock Date]]&lt;&gt;""),Main[[#This Row],[In Stock Date]]-Main[[#This Row],[Revised Due Date]],""))</f>
        <v/>
      </c>
      <c r="I421" s="101" t="s">
        <v>4</v>
      </c>
      <c r="J421" s="95" t="s">
        <v>4</v>
      </c>
      <c r="K421" s="95" t="s">
        <v>4</v>
      </c>
      <c r="L421" s="85"/>
      <c r="M421" s="73" t="str">
        <f>IF(Main[[#This Row],[Tech Start Date]]&lt;1/1/1990,"",IF(Main[[#This Row],[Class]]="C",WORKDAY(Main[[#This Row],[Tech Start Date]],9),IF(Main[[#This Row],[Class]]="B", WORKDAY(Main[[#This Row],[Tech Start Date]],6),IF(Main[[#This Row],[Class]]="A",WORKDAY(Main[[#This Row],[Tech Start Date]],2),""))))</f>
        <v/>
      </c>
      <c r="N421" s="73" t="str">
        <f>IF(Main[[#This Row],[Tech Start Date]]&lt;1/1/1990,"",IF(Main[[#This Row],[Class]]="C",WORKDAY(Main[[#This Row],[Tech Start Date]],19),IF(Main[[#This Row],[Class]]="B", WORKDAY(Main[[#This Row],[Tech Start Date]],12),IF(Main[[#This Row],[Class]]="A",WORKDAY(Main[[#This Row],[Tech Start Date]],4),""))))</f>
        <v/>
      </c>
      <c r="O421" s="73" t="str">
        <f>IF(Main[[#This Row],[Tech Start Date]]&lt;1/1/1990,"",IF(Main[[#This Row],[Class]]="C",WORKDAY(Main[[#This Row],[Tech Start Date]],23),IF(Main[[#This Row],[Class]]="B", WORKDAY(Main[[#This Row],[Tech Start Date]],15),IF(Main[[#This Row],[Class]]="A",WORKDAY(Main[[#This Row],[Tech Start Date]],5),""))))</f>
        <v/>
      </c>
      <c r="P421" s="73" t="str">
        <f>IF(Main[[#This Row],[Tech Start Date]]&lt;1/1/1990,"",IF(Main[[#This Row],[Class]]="C",WORKDAY(Main[[#This Row],[Tech Start Date]],28),IF(Main[[#This Row],[Class]]="B", WORKDAY(Main[[#This Row],[Tech Start Date]],19),IF(Main[[#This Row],[Class]]="A",WORKDAY(Main[[#This Row],[Tech Start Date]],9),""))))</f>
        <v/>
      </c>
      <c r="Q421" s="85">
        <v>40196</v>
      </c>
      <c r="R421" s="112"/>
      <c r="S421" s="95" t="s">
        <v>11</v>
      </c>
      <c r="T421" s="74" t="s">
        <v>4</v>
      </c>
      <c r="U421" s="95" t="s">
        <v>14</v>
      </c>
      <c r="V421" s="95" t="s">
        <v>1914</v>
      </c>
      <c r="W421" s="95" t="s">
        <v>1919</v>
      </c>
      <c r="X421" s="95" t="s">
        <v>2822</v>
      </c>
      <c r="Y421" s="72" t="s">
        <v>4</v>
      </c>
      <c r="Z421" s="72" t="s">
        <v>4</v>
      </c>
      <c r="AA421" s="95" t="s">
        <v>2822</v>
      </c>
      <c r="AB421" s="132"/>
      <c r="AC421" s="132"/>
      <c r="AD421" s="132"/>
      <c r="AE421" s="63"/>
      <c r="AF421" s="63"/>
      <c r="AG421" s="63"/>
    </row>
    <row r="422" spans="1:33" ht="17.2" customHeight="1">
      <c r="A422" s="64" t="str">
        <f>IF(priority(Main[[#This Row],[Comments]])&lt;&gt;0, priority(Main[[#This Row],[Comments]]),"")</f>
        <v/>
      </c>
      <c r="B422" s="60" t="s">
        <v>2215</v>
      </c>
      <c r="C422" s="72" t="s">
        <v>4</v>
      </c>
      <c r="D422" s="59" t="s">
        <v>2216</v>
      </c>
      <c r="E422" s="85"/>
      <c r="F422" s="85"/>
      <c r="G422" s="64" t="str">
        <f>IF(stdProdLT(Main[[#This Row],[Comments]])=0.1,"N/A",IF(stdProdLT(Main[[#This Row],[Comments]])=0,"",TRIM(stdProdLT(Main[[#This Row],[Comments]]))))</f>
        <v/>
      </c>
      <c r="H422" s="94" t="str">
        <f>IF(OR(Main[[#This Row],[Std. Prod. Lead Time]]="N/A",Main[[#This Row],[Std. Prod. Lead Time]]=""), "",IF(AND(Main[[#This Row],[In Stock Date]]&lt;&gt;"",Main[[#This Row],[Revised Due Date]]&lt;&gt;"",Main[[#This Row],[In Stock Date]]&lt;&gt;""),Main[[#This Row],[In Stock Date]]-Main[[#This Row],[Revised Due Date]],""))</f>
        <v/>
      </c>
      <c r="I422" s="101" t="s">
        <v>4</v>
      </c>
      <c r="J422" s="95" t="s">
        <v>4</v>
      </c>
      <c r="K422" s="96" t="s">
        <v>4</v>
      </c>
      <c r="L422" s="85"/>
      <c r="M422" s="73" t="str">
        <f>IF(Main[[#This Row],[Tech Start Date]]&lt;1/1/1990,"",IF(Main[[#This Row],[Class]]="C",WORKDAY(Main[[#This Row],[Tech Start Date]],9),IF(Main[[#This Row],[Class]]="B", WORKDAY(Main[[#This Row],[Tech Start Date]],6),IF(Main[[#This Row],[Class]]="A",WORKDAY(Main[[#This Row],[Tech Start Date]],2),""))))</f>
        <v/>
      </c>
      <c r="N422" s="73" t="str">
        <f>IF(Main[[#This Row],[Tech Start Date]]&lt;1/1/1990,"",IF(Main[[#This Row],[Class]]="C",WORKDAY(Main[[#This Row],[Tech Start Date]],19),IF(Main[[#This Row],[Class]]="B", WORKDAY(Main[[#This Row],[Tech Start Date]],12),IF(Main[[#This Row],[Class]]="A",WORKDAY(Main[[#This Row],[Tech Start Date]],4),""))))</f>
        <v/>
      </c>
      <c r="O422" s="73" t="str">
        <f>IF(Main[[#This Row],[Tech Start Date]]&lt;1/1/1990,"",IF(Main[[#This Row],[Class]]="C",WORKDAY(Main[[#This Row],[Tech Start Date]],23),IF(Main[[#This Row],[Class]]="B", WORKDAY(Main[[#This Row],[Tech Start Date]],15),IF(Main[[#This Row],[Class]]="A",WORKDAY(Main[[#This Row],[Tech Start Date]],5),""))))</f>
        <v/>
      </c>
      <c r="P422" s="73" t="str">
        <f>IF(Main[[#This Row],[Tech Start Date]]&lt;1/1/1990,"",IF(Main[[#This Row],[Class]]="C",WORKDAY(Main[[#This Row],[Tech Start Date]],28),IF(Main[[#This Row],[Class]]="B", WORKDAY(Main[[#This Row],[Tech Start Date]],19),IF(Main[[#This Row],[Class]]="A",WORKDAY(Main[[#This Row],[Tech Start Date]],9),""))))</f>
        <v/>
      </c>
      <c r="Q422" s="85">
        <v>40837</v>
      </c>
      <c r="R422" s="112"/>
      <c r="S422" s="95" t="s">
        <v>6</v>
      </c>
      <c r="T422" s="74" t="s">
        <v>4</v>
      </c>
      <c r="U422" s="95" t="s">
        <v>14</v>
      </c>
      <c r="V422" s="95" t="s">
        <v>1914</v>
      </c>
      <c r="W422" s="95" t="s">
        <v>4</v>
      </c>
      <c r="X422" s="95" t="s">
        <v>2798</v>
      </c>
      <c r="Y422" s="72" t="s">
        <v>2908</v>
      </c>
      <c r="Z422" s="72" t="s">
        <v>4</v>
      </c>
      <c r="AA422" s="95" t="s">
        <v>2798</v>
      </c>
      <c r="AB422" s="132"/>
      <c r="AC422" s="132"/>
      <c r="AD422" s="132"/>
      <c r="AE422" s="63"/>
      <c r="AF422" s="63"/>
      <c r="AG422" s="63"/>
    </row>
    <row r="423" spans="1:33" ht="17.2" customHeight="1">
      <c r="A423" s="64" t="str">
        <f>IF(priority(Main[[#This Row],[Comments]])&lt;&gt;0, priority(Main[[#This Row],[Comments]]),"")</f>
        <v/>
      </c>
      <c r="B423" s="60" t="s">
        <v>1405</v>
      </c>
      <c r="C423" s="72" t="s">
        <v>4</v>
      </c>
      <c r="D423" s="59" t="s">
        <v>487</v>
      </c>
      <c r="E423" s="85">
        <v>40704.65116898148</v>
      </c>
      <c r="F423" s="85"/>
      <c r="G423" s="64" t="str">
        <f>IF(stdProdLT(Main[[#This Row],[Comments]])=0.1,"N/A",IF(stdProdLT(Main[[#This Row],[Comments]])=0,"",TRIM(stdProdLT(Main[[#This Row],[Comments]]))))</f>
        <v/>
      </c>
      <c r="H423" s="94" t="str">
        <f>IF(OR(Main[[#This Row],[Std. Prod. Lead Time]]="N/A",Main[[#This Row],[Std. Prod. Lead Time]]=""), "",IF(AND(Main[[#This Row],[In Stock Date]]&lt;&gt;"",Main[[#This Row],[Revised Due Date]]&lt;&gt;"",Main[[#This Row],[In Stock Date]]&lt;&gt;""),Main[[#This Row],[In Stock Date]]-Main[[#This Row],[Revised Due Date]],""))</f>
        <v/>
      </c>
      <c r="I423" s="101" t="s">
        <v>4</v>
      </c>
      <c r="J423" s="95" t="s">
        <v>4</v>
      </c>
      <c r="K423" s="96" t="s">
        <v>4</v>
      </c>
      <c r="L423" s="85"/>
      <c r="M423" s="73" t="str">
        <f>IF(Main[[#This Row],[Tech Start Date]]&lt;1/1/1990,"",IF(Main[[#This Row],[Class]]="C",WORKDAY(Main[[#This Row],[Tech Start Date]],9),IF(Main[[#This Row],[Class]]="B", WORKDAY(Main[[#This Row],[Tech Start Date]],6),IF(Main[[#This Row],[Class]]="A",WORKDAY(Main[[#This Row],[Tech Start Date]],2),""))))</f>
        <v/>
      </c>
      <c r="N423" s="73" t="str">
        <f>IF(Main[[#This Row],[Tech Start Date]]&lt;1/1/1990,"",IF(Main[[#This Row],[Class]]="C",WORKDAY(Main[[#This Row],[Tech Start Date]],19),IF(Main[[#This Row],[Class]]="B", WORKDAY(Main[[#This Row],[Tech Start Date]],12),IF(Main[[#This Row],[Class]]="A",WORKDAY(Main[[#This Row],[Tech Start Date]],4),""))))</f>
        <v/>
      </c>
      <c r="O423" s="73" t="str">
        <f>IF(Main[[#This Row],[Tech Start Date]]&lt;1/1/1990,"",IF(Main[[#This Row],[Class]]="C",WORKDAY(Main[[#This Row],[Tech Start Date]],23),IF(Main[[#This Row],[Class]]="B", WORKDAY(Main[[#This Row],[Tech Start Date]],15),IF(Main[[#This Row],[Class]]="A",WORKDAY(Main[[#This Row],[Tech Start Date]],5),""))))</f>
        <v/>
      </c>
      <c r="P423" s="73" t="str">
        <f>IF(Main[[#This Row],[Tech Start Date]]&lt;1/1/1990,"",IF(Main[[#This Row],[Class]]="C",WORKDAY(Main[[#This Row],[Tech Start Date]],28),IF(Main[[#This Row],[Class]]="B", WORKDAY(Main[[#This Row],[Tech Start Date]],19),IF(Main[[#This Row],[Class]]="A",WORKDAY(Main[[#This Row],[Tech Start Date]],9),""))))</f>
        <v/>
      </c>
      <c r="Q423" s="85"/>
      <c r="R423" s="112"/>
      <c r="S423" s="95" t="s">
        <v>6</v>
      </c>
      <c r="T423" s="74" t="s">
        <v>4</v>
      </c>
      <c r="U423" s="95" t="s">
        <v>29</v>
      </c>
      <c r="V423" s="95" t="s">
        <v>1911</v>
      </c>
      <c r="W423" s="95" t="s">
        <v>1915</v>
      </c>
      <c r="X423" s="95" t="s">
        <v>399</v>
      </c>
      <c r="Y423" s="72" t="s">
        <v>4</v>
      </c>
      <c r="Z423" s="72" t="s">
        <v>4</v>
      </c>
      <c r="AA423" s="95" t="s">
        <v>3339</v>
      </c>
      <c r="AB423" s="132"/>
      <c r="AC423" s="132"/>
      <c r="AD423" s="132"/>
      <c r="AE423" s="63"/>
      <c r="AF423" s="63"/>
      <c r="AG423" s="63"/>
    </row>
    <row r="424" spans="1:33" ht="17.2" customHeight="1">
      <c r="A424" s="64" t="str">
        <f>IF(priority(Main[[#This Row],[Comments]])&lt;&gt;0, priority(Main[[#This Row],[Comments]]),"")</f>
        <v/>
      </c>
      <c r="B424" s="60" t="s">
        <v>1214</v>
      </c>
      <c r="C424" s="72" t="s">
        <v>4</v>
      </c>
      <c r="D424" s="59" t="s">
        <v>281</v>
      </c>
      <c r="E424" s="85">
        <v>40297.413148148145</v>
      </c>
      <c r="F424" s="85"/>
      <c r="G424" s="64" t="str">
        <f>IF(stdProdLT(Main[[#This Row],[Comments]])=0.1,"N/A",IF(stdProdLT(Main[[#This Row],[Comments]])=0,"",TRIM(stdProdLT(Main[[#This Row],[Comments]]))))</f>
        <v/>
      </c>
      <c r="H424" s="94" t="str">
        <f>IF(OR(Main[[#This Row],[Std. Prod. Lead Time]]="N/A",Main[[#This Row],[Std. Prod. Lead Time]]=""), "",IF(AND(Main[[#This Row],[In Stock Date]]&lt;&gt;"",Main[[#This Row],[Revised Due Date]]&lt;&gt;"",Main[[#This Row],[In Stock Date]]&lt;&gt;""),Main[[#This Row],[In Stock Date]]-Main[[#This Row],[Revised Due Date]],""))</f>
        <v/>
      </c>
      <c r="I424" s="101" t="s">
        <v>4</v>
      </c>
      <c r="J424" s="95" t="s">
        <v>4</v>
      </c>
      <c r="K424" s="95" t="s">
        <v>4</v>
      </c>
      <c r="L424" s="85"/>
      <c r="M424" s="73" t="str">
        <f>IF(Main[[#This Row],[Tech Start Date]]&lt;1/1/1990,"",IF(Main[[#This Row],[Class]]="C",WORKDAY(Main[[#This Row],[Tech Start Date]],9),IF(Main[[#This Row],[Class]]="B", WORKDAY(Main[[#This Row],[Tech Start Date]],6),IF(Main[[#This Row],[Class]]="A",WORKDAY(Main[[#This Row],[Tech Start Date]],2),""))))</f>
        <v/>
      </c>
      <c r="N424" s="73" t="str">
        <f>IF(Main[[#This Row],[Tech Start Date]]&lt;1/1/1990,"",IF(Main[[#This Row],[Class]]="C",WORKDAY(Main[[#This Row],[Tech Start Date]],19),IF(Main[[#This Row],[Class]]="B", WORKDAY(Main[[#This Row],[Tech Start Date]],12),IF(Main[[#This Row],[Class]]="A",WORKDAY(Main[[#This Row],[Tech Start Date]],4),""))))</f>
        <v/>
      </c>
      <c r="O424" s="73" t="str">
        <f>IF(Main[[#This Row],[Tech Start Date]]&lt;1/1/1990,"",IF(Main[[#This Row],[Class]]="C",WORKDAY(Main[[#This Row],[Tech Start Date]],23),IF(Main[[#This Row],[Class]]="B", WORKDAY(Main[[#This Row],[Tech Start Date]],15),IF(Main[[#This Row],[Class]]="A",WORKDAY(Main[[#This Row],[Tech Start Date]],5),""))))</f>
        <v/>
      </c>
      <c r="P424" s="73" t="str">
        <f>IF(Main[[#This Row],[Tech Start Date]]&lt;1/1/1990,"",IF(Main[[#This Row],[Class]]="C",WORKDAY(Main[[#This Row],[Tech Start Date]],28),IF(Main[[#This Row],[Class]]="B", WORKDAY(Main[[#This Row],[Tech Start Date]],19),IF(Main[[#This Row],[Class]]="A",WORKDAY(Main[[#This Row],[Tech Start Date]],9),""))))</f>
        <v/>
      </c>
      <c r="Q424" s="85">
        <v>40319</v>
      </c>
      <c r="R424" s="112"/>
      <c r="S424" s="95" t="s">
        <v>17</v>
      </c>
      <c r="T424" s="74" t="s">
        <v>4</v>
      </c>
      <c r="U424" s="95" t="s">
        <v>29</v>
      </c>
      <c r="V424" s="95" t="s">
        <v>1912</v>
      </c>
      <c r="W424" s="95" t="s">
        <v>1915</v>
      </c>
      <c r="X424" s="95" t="s">
        <v>2842</v>
      </c>
      <c r="Y424" s="72" t="s">
        <v>4</v>
      </c>
      <c r="Z424" s="72" t="s">
        <v>4</v>
      </c>
      <c r="AA424" s="95" t="s">
        <v>2815</v>
      </c>
      <c r="AB424" s="132"/>
      <c r="AC424" s="132"/>
      <c r="AD424" s="132"/>
      <c r="AE424" s="63"/>
      <c r="AF424" s="63"/>
      <c r="AG424" s="63"/>
    </row>
    <row r="425" spans="1:33" ht="17.2" customHeight="1">
      <c r="A425" s="64" t="str">
        <f>IF(priority(Main[[#This Row],[Comments]])&lt;&gt;0, priority(Main[[#This Row],[Comments]]),"")</f>
        <v/>
      </c>
      <c r="B425" s="60" t="s">
        <v>1215</v>
      </c>
      <c r="C425" s="72" t="s">
        <v>282</v>
      </c>
      <c r="D425" s="59" t="s">
        <v>283</v>
      </c>
      <c r="E425" s="85"/>
      <c r="F425" s="85">
        <v>40391</v>
      </c>
      <c r="G425" s="64" t="str">
        <f>IF(stdProdLT(Main[[#This Row],[Comments]])=0.1,"N/A",IF(stdProdLT(Main[[#This Row],[Comments]])=0,"",TRIM(stdProdLT(Main[[#This Row],[Comments]]))))</f>
        <v/>
      </c>
      <c r="H425" s="94" t="str">
        <f>IF(OR(Main[[#This Row],[Std. Prod. Lead Time]]="N/A",Main[[#This Row],[Std. Prod. Lead Time]]=""), "",IF(AND(Main[[#This Row],[In Stock Date]]&lt;&gt;"",Main[[#This Row],[Revised Due Date]]&lt;&gt;"",Main[[#This Row],[In Stock Date]]&lt;&gt;""),Main[[#This Row],[In Stock Date]]-Main[[#This Row],[Revised Due Date]],""))</f>
        <v/>
      </c>
      <c r="I425" s="101" t="s">
        <v>4</v>
      </c>
      <c r="J425" s="95" t="s">
        <v>4</v>
      </c>
      <c r="K425" s="95" t="s">
        <v>4</v>
      </c>
      <c r="L425" s="85"/>
      <c r="M425" s="73" t="str">
        <f>IF(Main[[#This Row],[Tech Start Date]]&lt;1/1/1990,"",IF(Main[[#This Row],[Class]]="C",WORKDAY(Main[[#This Row],[Tech Start Date]],9),IF(Main[[#This Row],[Class]]="B", WORKDAY(Main[[#This Row],[Tech Start Date]],6),IF(Main[[#This Row],[Class]]="A",WORKDAY(Main[[#This Row],[Tech Start Date]],2),""))))</f>
        <v/>
      </c>
      <c r="N425" s="73" t="str">
        <f>IF(Main[[#This Row],[Tech Start Date]]&lt;1/1/1990,"",IF(Main[[#This Row],[Class]]="C",WORKDAY(Main[[#This Row],[Tech Start Date]],19),IF(Main[[#This Row],[Class]]="B", WORKDAY(Main[[#This Row],[Tech Start Date]],12),IF(Main[[#This Row],[Class]]="A",WORKDAY(Main[[#This Row],[Tech Start Date]],4),""))))</f>
        <v/>
      </c>
      <c r="O425" s="73" t="str">
        <f>IF(Main[[#This Row],[Tech Start Date]]&lt;1/1/1990,"",IF(Main[[#This Row],[Class]]="C",WORKDAY(Main[[#This Row],[Tech Start Date]],23),IF(Main[[#This Row],[Class]]="B", WORKDAY(Main[[#This Row],[Tech Start Date]],15),IF(Main[[#This Row],[Class]]="A",WORKDAY(Main[[#This Row],[Tech Start Date]],5),""))))</f>
        <v/>
      </c>
      <c r="P425" s="73" t="str">
        <f>IF(Main[[#This Row],[Tech Start Date]]&lt;1/1/1990,"",IF(Main[[#This Row],[Class]]="C",WORKDAY(Main[[#This Row],[Tech Start Date]],28),IF(Main[[#This Row],[Class]]="B", WORKDAY(Main[[#This Row],[Tech Start Date]],19),IF(Main[[#This Row],[Class]]="A",WORKDAY(Main[[#This Row],[Tech Start Date]],9),""))))</f>
        <v/>
      </c>
      <c r="Q425" s="85">
        <v>40314</v>
      </c>
      <c r="R425" s="112"/>
      <c r="S425" s="95" t="s">
        <v>11</v>
      </c>
      <c r="T425" s="74" t="s">
        <v>4</v>
      </c>
      <c r="U425" s="95" t="s">
        <v>14</v>
      </c>
      <c r="V425" s="95" t="s">
        <v>1914</v>
      </c>
      <c r="W425" s="95" t="s">
        <v>1917</v>
      </c>
      <c r="X425" s="95" t="s">
        <v>2838</v>
      </c>
      <c r="Y425" s="72" t="s">
        <v>4</v>
      </c>
      <c r="Z425" s="72" t="s">
        <v>4</v>
      </c>
      <c r="AA425" s="95" t="s">
        <v>2838</v>
      </c>
      <c r="AB425" s="132"/>
      <c r="AC425" s="132"/>
      <c r="AD425" s="132"/>
      <c r="AE425" s="63"/>
      <c r="AF425" s="63"/>
      <c r="AG425" s="63"/>
    </row>
    <row r="426" spans="1:33" ht="17.2" customHeight="1">
      <c r="A426" s="64" t="str">
        <f>IF(priority(Main[[#This Row],[Comments]])&lt;&gt;0, priority(Main[[#This Row],[Comments]]),"")</f>
        <v/>
      </c>
      <c r="B426" s="60" t="s">
        <v>1216</v>
      </c>
      <c r="C426" s="72" t="s">
        <v>284</v>
      </c>
      <c r="D426" s="59" t="s">
        <v>285</v>
      </c>
      <c r="E426" s="85"/>
      <c r="F426" s="85"/>
      <c r="G426" s="64" t="str">
        <f>IF(stdProdLT(Main[[#This Row],[Comments]])=0.1,"N/A",IF(stdProdLT(Main[[#This Row],[Comments]])=0,"",TRIM(stdProdLT(Main[[#This Row],[Comments]]))))</f>
        <v/>
      </c>
      <c r="H426" s="94" t="str">
        <f>IF(OR(Main[[#This Row],[Std. Prod. Lead Time]]="N/A",Main[[#This Row],[Std. Prod. Lead Time]]=""), "",IF(AND(Main[[#This Row],[In Stock Date]]&lt;&gt;"",Main[[#This Row],[Revised Due Date]]&lt;&gt;"",Main[[#This Row],[In Stock Date]]&lt;&gt;""),Main[[#This Row],[In Stock Date]]-Main[[#This Row],[Revised Due Date]],""))</f>
        <v/>
      </c>
      <c r="I426" s="101" t="s">
        <v>4</v>
      </c>
      <c r="J426" s="95" t="s">
        <v>4</v>
      </c>
      <c r="K426" s="95" t="s">
        <v>4</v>
      </c>
      <c r="L426" s="85"/>
      <c r="M426" s="73" t="str">
        <f>IF(Main[[#This Row],[Tech Start Date]]&lt;1/1/1990,"",IF(Main[[#This Row],[Class]]="C",WORKDAY(Main[[#This Row],[Tech Start Date]],9),IF(Main[[#This Row],[Class]]="B", WORKDAY(Main[[#This Row],[Tech Start Date]],6),IF(Main[[#This Row],[Class]]="A",WORKDAY(Main[[#This Row],[Tech Start Date]],2),""))))</f>
        <v/>
      </c>
      <c r="N426" s="73" t="str">
        <f>IF(Main[[#This Row],[Tech Start Date]]&lt;1/1/1990,"",IF(Main[[#This Row],[Class]]="C",WORKDAY(Main[[#This Row],[Tech Start Date]],19),IF(Main[[#This Row],[Class]]="B", WORKDAY(Main[[#This Row],[Tech Start Date]],12),IF(Main[[#This Row],[Class]]="A",WORKDAY(Main[[#This Row],[Tech Start Date]],4),""))))</f>
        <v/>
      </c>
      <c r="O426" s="73" t="str">
        <f>IF(Main[[#This Row],[Tech Start Date]]&lt;1/1/1990,"",IF(Main[[#This Row],[Class]]="C",WORKDAY(Main[[#This Row],[Tech Start Date]],23),IF(Main[[#This Row],[Class]]="B", WORKDAY(Main[[#This Row],[Tech Start Date]],15),IF(Main[[#This Row],[Class]]="A",WORKDAY(Main[[#This Row],[Tech Start Date]],5),""))))</f>
        <v/>
      </c>
      <c r="P426" s="73" t="str">
        <f>IF(Main[[#This Row],[Tech Start Date]]&lt;1/1/1990,"",IF(Main[[#This Row],[Class]]="C",WORKDAY(Main[[#This Row],[Tech Start Date]],28),IF(Main[[#This Row],[Class]]="B", WORKDAY(Main[[#This Row],[Tech Start Date]],19),IF(Main[[#This Row],[Class]]="A",WORKDAY(Main[[#This Row],[Tech Start Date]],9),""))))</f>
        <v/>
      </c>
      <c r="Q426" s="85">
        <v>40147</v>
      </c>
      <c r="R426" s="112"/>
      <c r="S426" s="95" t="s">
        <v>11</v>
      </c>
      <c r="T426" s="74" t="s">
        <v>4</v>
      </c>
      <c r="U426" s="95" t="s">
        <v>14</v>
      </c>
      <c r="V426" s="95" t="s">
        <v>1921</v>
      </c>
      <c r="W426" s="95" t="s">
        <v>1919</v>
      </c>
      <c r="X426" s="95" t="s">
        <v>2797</v>
      </c>
      <c r="Y426" s="72" t="s">
        <v>4</v>
      </c>
      <c r="Z426" s="72" t="s">
        <v>4</v>
      </c>
      <c r="AA426" s="95" t="s">
        <v>2797</v>
      </c>
      <c r="AB426" s="132"/>
      <c r="AC426" s="132"/>
      <c r="AD426" s="132"/>
      <c r="AE426" s="63"/>
      <c r="AF426" s="63"/>
      <c r="AG426" s="63"/>
    </row>
    <row r="427" spans="1:33" ht="17.2" customHeight="1">
      <c r="A427" s="64" t="str">
        <f>IF(priority(Main[[#This Row],[Comments]])&lt;&gt;0, priority(Main[[#This Row],[Comments]]),"")</f>
        <v/>
      </c>
      <c r="B427" s="60" t="s">
        <v>2069</v>
      </c>
      <c r="C427" s="72" t="s">
        <v>4</v>
      </c>
      <c r="D427" s="59" t="s">
        <v>2059</v>
      </c>
      <c r="E427" s="85"/>
      <c r="F427" s="85"/>
      <c r="G427" s="64" t="str">
        <f>IF(stdProdLT(Main[[#This Row],[Comments]])=0.1,"N/A",IF(stdProdLT(Main[[#This Row],[Comments]])=0,"",TRIM(stdProdLT(Main[[#This Row],[Comments]]))))</f>
        <v/>
      </c>
      <c r="H427" s="94" t="str">
        <f>IF(OR(Main[[#This Row],[Std. Prod. Lead Time]]="N/A",Main[[#This Row],[Std. Prod. Lead Time]]=""), "",IF(AND(Main[[#This Row],[In Stock Date]]&lt;&gt;"",Main[[#This Row],[Revised Due Date]]&lt;&gt;"",Main[[#This Row],[In Stock Date]]&lt;&gt;""),Main[[#This Row],[In Stock Date]]-Main[[#This Row],[Revised Due Date]],""))</f>
        <v/>
      </c>
      <c r="I427" s="101" t="s">
        <v>4</v>
      </c>
      <c r="J427" s="95" t="s">
        <v>4</v>
      </c>
      <c r="K427" s="95" t="s">
        <v>4</v>
      </c>
      <c r="L427" s="85"/>
      <c r="M427" s="73" t="str">
        <f>IF(Main[[#This Row],[Tech Start Date]]&lt;1/1/1990,"",IF(Main[[#This Row],[Class]]="C",WORKDAY(Main[[#This Row],[Tech Start Date]],9),IF(Main[[#This Row],[Class]]="B", WORKDAY(Main[[#This Row],[Tech Start Date]],6),IF(Main[[#This Row],[Class]]="A",WORKDAY(Main[[#This Row],[Tech Start Date]],2),""))))</f>
        <v/>
      </c>
      <c r="N427" s="73" t="str">
        <f>IF(Main[[#This Row],[Tech Start Date]]&lt;1/1/1990,"",IF(Main[[#This Row],[Class]]="C",WORKDAY(Main[[#This Row],[Tech Start Date]],19),IF(Main[[#This Row],[Class]]="B", WORKDAY(Main[[#This Row],[Tech Start Date]],12),IF(Main[[#This Row],[Class]]="A",WORKDAY(Main[[#This Row],[Tech Start Date]],4),""))))</f>
        <v/>
      </c>
      <c r="O427" s="73" t="str">
        <f>IF(Main[[#This Row],[Tech Start Date]]&lt;1/1/1990,"",IF(Main[[#This Row],[Class]]="C",WORKDAY(Main[[#This Row],[Tech Start Date]],23),IF(Main[[#This Row],[Class]]="B", WORKDAY(Main[[#This Row],[Tech Start Date]],15),IF(Main[[#This Row],[Class]]="A",WORKDAY(Main[[#This Row],[Tech Start Date]],5),""))))</f>
        <v/>
      </c>
      <c r="P427" s="73" t="str">
        <f>IF(Main[[#This Row],[Tech Start Date]]&lt;1/1/1990,"",IF(Main[[#This Row],[Class]]="C",WORKDAY(Main[[#This Row],[Tech Start Date]],28),IF(Main[[#This Row],[Class]]="B", WORKDAY(Main[[#This Row],[Tech Start Date]],19),IF(Main[[#This Row],[Class]]="A",WORKDAY(Main[[#This Row],[Tech Start Date]],9),""))))</f>
        <v/>
      </c>
      <c r="Q427" s="85">
        <v>40798</v>
      </c>
      <c r="R427" s="112"/>
      <c r="S427" s="95" t="s">
        <v>6</v>
      </c>
      <c r="T427" s="74" t="s">
        <v>4</v>
      </c>
      <c r="U427" s="95" t="s">
        <v>12</v>
      </c>
      <c r="V427" s="95" t="s">
        <v>1914</v>
      </c>
      <c r="W427" s="95" t="s">
        <v>4</v>
      </c>
      <c r="X427" s="95" t="s">
        <v>2799</v>
      </c>
      <c r="Y427" s="72" t="s">
        <v>2910</v>
      </c>
      <c r="Z427" s="72" t="s">
        <v>4</v>
      </c>
      <c r="AA427" s="95" t="s">
        <v>2799</v>
      </c>
      <c r="AB427" s="132"/>
      <c r="AC427" s="132"/>
      <c r="AD427" s="132"/>
      <c r="AE427" s="63"/>
      <c r="AF427" s="63"/>
      <c r="AG427" s="63"/>
    </row>
    <row r="428" spans="1:33" ht="17.2" customHeight="1">
      <c r="A428" s="64" t="str">
        <f>IF(priority(Main[[#This Row],[Comments]])&lt;&gt;0, priority(Main[[#This Row],[Comments]]),"")</f>
        <v/>
      </c>
      <c r="B428" s="60" t="s">
        <v>1217</v>
      </c>
      <c r="C428" s="72" t="s">
        <v>286</v>
      </c>
      <c r="D428" s="59" t="s">
        <v>287</v>
      </c>
      <c r="E428" s="85"/>
      <c r="F428" s="85">
        <v>40421</v>
      </c>
      <c r="G428" s="64" t="str">
        <f>IF(stdProdLT(Main[[#This Row],[Comments]])=0.1,"N/A",IF(stdProdLT(Main[[#This Row],[Comments]])=0,"",TRIM(stdProdLT(Main[[#This Row],[Comments]]))))</f>
        <v/>
      </c>
      <c r="H428" s="94" t="str">
        <f>IF(OR(Main[[#This Row],[Std. Prod. Lead Time]]="N/A",Main[[#This Row],[Std. Prod. Lead Time]]=""), "",IF(AND(Main[[#This Row],[In Stock Date]]&lt;&gt;"",Main[[#This Row],[Revised Due Date]]&lt;&gt;"",Main[[#This Row],[In Stock Date]]&lt;&gt;""),Main[[#This Row],[In Stock Date]]-Main[[#This Row],[Revised Due Date]],""))</f>
        <v/>
      </c>
      <c r="I428" s="101" t="s">
        <v>4</v>
      </c>
      <c r="J428" s="95" t="s">
        <v>4</v>
      </c>
      <c r="K428" s="95" t="s">
        <v>4</v>
      </c>
      <c r="L428" s="85"/>
      <c r="M428" s="73" t="str">
        <f>IF(Main[[#This Row],[Tech Start Date]]&lt;1/1/1990,"",IF(Main[[#This Row],[Class]]="C",WORKDAY(Main[[#This Row],[Tech Start Date]],9),IF(Main[[#This Row],[Class]]="B", WORKDAY(Main[[#This Row],[Tech Start Date]],6),IF(Main[[#This Row],[Class]]="A",WORKDAY(Main[[#This Row],[Tech Start Date]],2),""))))</f>
        <v/>
      </c>
      <c r="N428" s="73" t="str">
        <f>IF(Main[[#This Row],[Tech Start Date]]&lt;1/1/1990,"",IF(Main[[#This Row],[Class]]="C",WORKDAY(Main[[#This Row],[Tech Start Date]],19),IF(Main[[#This Row],[Class]]="B", WORKDAY(Main[[#This Row],[Tech Start Date]],12),IF(Main[[#This Row],[Class]]="A",WORKDAY(Main[[#This Row],[Tech Start Date]],4),""))))</f>
        <v/>
      </c>
      <c r="O428" s="73" t="str">
        <f>IF(Main[[#This Row],[Tech Start Date]]&lt;1/1/1990,"",IF(Main[[#This Row],[Class]]="C",WORKDAY(Main[[#This Row],[Tech Start Date]],23),IF(Main[[#This Row],[Class]]="B", WORKDAY(Main[[#This Row],[Tech Start Date]],15),IF(Main[[#This Row],[Class]]="A",WORKDAY(Main[[#This Row],[Tech Start Date]],5),""))))</f>
        <v/>
      </c>
      <c r="P428" s="73" t="str">
        <f>IF(Main[[#This Row],[Tech Start Date]]&lt;1/1/1990,"",IF(Main[[#This Row],[Class]]="C",WORKDAY(Main[[#This Row],[Tech Start Date]],28),IF(Main[[#This Row],[Class]]="B", WORKDAY(Main[[#This Row],[Tech Start Date]],19),IF(Main[[#This Row],[Class]]="A",WORKDAY(Main[[#This Row],[Tech Start Date]],9),""))))</f>
        <v/>
      </c>
      <c r="Q428" s="85">
        <v>40360</v>
      </c>
      <c r="R428" s="112"/>
      <c r="S428" s="95" t="s">
        <v>11</v>
      </c>
      <c r="T428" s="74" t="s">
        <v>4</v>
      </c>
      <c r="U428" s="95" t="s">
        <v>12</v>
      </c>
      <c r="V428" s="95" t="s">
        <v>1912</v>
      </c>
      <c r="W428" s="95" t="s">
        <v>1916</v>
      </c>
      <c r="X428" s="95" t="s">
        <v>2854</v>
      </c>
      <c r="Y428" s="72" t="s">
        <v>2997</v>
      </c>
      <c r="Z428" s="72" t="s">
        <v>4</v>
      </c>
      <c r="AA428" s="95" t="s">
        <v>2854</v>
      </c>
      <c r="AB428" s="132"/>
      <c r="AC428" s="132"/>
      <c r="AD428" s="132"/>
      <c r="AE428" s="63"/>
      <c r="AF428" s="63"/>
      <c r="AG428" s="63"/>
    </row>
    <row r="429" spans="1:33" ht="17.2" customHeight="1">
      <c r="A429" s="64" t="str">
        <f>IF(priority(Main[[#This Row],[Comments]])&lt;&gt;0, priority(Main[[#This Row],[Comments]]),"")</f>
        <v/>
      </c>
      <c r="B429" s="60" t="s">
        <v>1424</v>
      </c>
      <c r="C429" s="72" t="s">
        <v>4</v>
      </c>
      <c r="D429" s="59" t="s">
        <v>1948</v>
      </c>
      <c r="E429" s="85"/>
      <c r="F429" s="85"/>
      <c r="G429" s="64" t="str">
        <f>IF(stdProdLT(Main[[#This Row],[Comments]])=0.1,"N/A",IF(stdProdLT(Main[[#This Row],[Comments]])=0,"",TRIM(stdProdLT(Main[[#This Row],[Comments]]))))</f>
        <v/>
      </c>
      <c r="H429" s="94" t="str">
        <f>IF(OR(Main[[#This Row],[Std. Prod. Lead Time]]="N/A",Main[[#This Row],[Std. Prod. Lead Time]]=""), "",IF(AND(Main[[#This Row],[In Stock Date]]&lt;&gt;"",Main[[#This Row],[Revised Due Date]]&lt;&gt;"",Main[[#This Row],[In Stock Date]]&lt;&gt;""),Main[[#This Row],[In Stock Date]]-Main[[#This Row],[Revised Due Date]],""))</f>
        <v/>
      </c>
      <c r="I429" s="101" t="s">
        <v>4</v>
      </c>
      <c r="J429" s="95" t="s">
        <v>4</v>
      </c>
      <c r="K429" s="95" t="s">
        <v>4</v>
      </c>
      <c r="L429" s="85"/>
      <c r="M429" s="73" t="str">
        <f>IF(Main[[#This Row],[Tech Start Date]]&lt;1/1/1990,"",IF(Main[[#This Row],[Class]]="C",WORKDAY(Main[[#This Row],[Tech Start Date]],9),IF(Main[[#This Row],[Class]]="B", WORKDAY(Main[[#This Row],[Tech Start Date]],6),IF(Main[[#This Row],[Class]]="A",WORKDAY(Main[[#This Row],[Tech Start Date]],2),""))))</f>
        <v/>
      </c>
      <c r="N429" s="73" t="str">
        <f>IF(Main[[#This Row],[Tech Start Date]]&lt;1/1/1990,"",IF(Main[[#This Row],[Class]]="C",WORKDAY(Main[[#This Row],[Tech Start Date]],19),IF(Main[[#This Row],[Class]]="B", WORKDAY(Main[[#This Row],[Tech Start Date]],12),IF(Main[[#This Row],[Class]]="A",WORKDAY(Main[[#This Row],[Tech Start Date]],4),""))))</f>
        <v/>
      </c>
      <c r="O429" s="73" t="str">
        <f>IF(Main[[#This Row],[Tech Start Date]]&lt;1/1/1990,"",IF(Main[[#This Row],[Class]]="C",WORKDAY(Main[[#This Row],[Tech Start Date]],23),IF(Main[[#This Row],[Class]]="B", WORKDAY(Main[[#This Row],[Tech Start Date]],15),IF(Main[[#This Row],[Class]]="A",WORKDAY(Main[[#This Row],[Tech Start Date]],5),""))))</f>
        <v/>
      </c>
      <c r="P429" s="73" t="str">
        <f>IF(Main[[#This Row],[Tech Start Date]]&lt;1/1/1990,"",IF(Main[[#This Row],[Class]]="C",WORKDAY(Main[[#This Row],[Tech Start Date]],28),IF(Main[[#This Row],[Class]]="B", WORKDAY(Main[[#This Row],[Tech Start Date]],19),IF(Main[[#This Row],[Class]]="A",WORKDAY(Main[[#This Row],[Tech Start Date]],9),""))))</f>
        <v/>
      </c>
      <c r="Q429" s="85"/>
      <c r="R429" s="112"/>
      <c r="S429" s="95" t="s">
        <v>6</v>
      </c>
      <c r="T429" s="74" t="s">
        <v>4</v>
      </c>
      <c r="U429" s="95" t="s">
        <v>14</v>
      </c>
      <c r="V429" s="95" t="s">
        <v>1912</v>
      </c>
      <c r="W429" s="95" t="s">
        <v>1913</v>
      </c>
      <c r="X429" s="95" t="s">
        <v>922</v>
      </c>
      <c r="Y429" s="72" t="s">
        <v>2998</v>
      </c>
      <c r="Z429" s="72" t="s">
        <v>4</v>
      </c>
      <c r="AA429" s="95" t="s">
        <v>3364</v>
      </c>
      <c r="AB429" s="132"/>
      <c r="AC429" s="132"/>
      <c r="AD429" s="132"/>
      <c r="AE429" s="63"/>
      <c r="AF429" s="63"/>
      <c r="AG429" s="63"/>
    </row>
    <row r="430" spans="1:33" ht="17.2" customHeight="1">
      <c r="A430" s="64" t="str">
        <f>IF(priority(Main[[#This Row],[Comments]])&lt;&gt;0, priority(Main[[#This Row],[Comments]]),"")</f>
        <v/>
      </c>
      <c r="B430" s="60" t="s">
        <v>1129</v>
      </c>
      <c r="C430" s="72" t="s">
        <v>4</v>
      </c>
      <c r="D430" s="59" t="s">
        <v>2354</v>
      </c>
      <c r="E430" s="85">
        <v>40574.415509259263</v>
      </c>
      <c r="F430" s="85">
        <v>40613</v>
      </c>
      <c r="G430" s="64" t="str">
        <f>IF(stdProdLT(Main[[#This Row],[Comments]])=0.1,"N/A",IF(stdProdLT(Main[[#This Row],[Comments]])=0,"",TRIM(stdProdLT(Main[[#This Row],[Comments]]))))</f>
        <v/>
      </c>
      <c r="H430" s="94" t="str">
        <f>IF(OR(Main[[#This Row],[Std. Prod. Lead Time]]="N/A",Main[[#This Row],[Std. Prod. Lead Time]]=""), "",IF(AND(Main[[#This Row],[In Stock Date]]&lt;&gt;"",Main[[#This Row],[Revised Due Date]]&lt;&gt;"",Main[[#This Row],[In Stock Date]]&lt;&gt;""),Main[[#This Row],[In Stock Date]]-Main[[#This Row],[Revised Due Date]],""))</f>
        <v/>
      </c>
      <c r="I430" s="101" t="s">
        <v>912</v>
      </c>
      <c r="J430" s="95" t="s">
        <v>52</v>
      </c>
      <c r="K430" s="95" t="s">
        <v>1920</v>
      </c>
      <c r="L430" s="85"/>
      <c r="M430" s="73" t="str">
        <f>IF(Main[[#This Row],[Tech Start Date]]&lt;1/1/1990,"",IF(Main[[#This Row],[Class]]="C",WORKDAY(Main[[#This Row],[Tech Start Date]],9),IF(Main[[#This Row],[Class]]="B", WORKDAY(Main[[#This Row],[Tech Start Date]],6),IF(Main[[#This Row],[Class]]="A",WORKDAY(Main[[#This Row],[Tech Start Date]],2),""))))</f>
        <v/>
      </c>
      <c r="N430" s="73" t="str">
        <f>IF(Main[[#This Row],[Tech Start Date]]&lt;1/1/1990,"",IF(Main[[#This Row],[Class]]="C",WORKDAY(Main[[#This Row],[Tech Start Date]],19),IF(Main[[#This Row],[Class]]="B", WORKDAY(Main[[#This Row],[Tech Start Date]],12),IF(Main[[#This Row],[Class]]="A",WORKDAY(Main[[#This Row],[Tech Start Date]],4),""))))</f>
        <v/>
      </c>
      <c r="O430" s="73" t="str">
        <f>IF(Main[[#This Row],[Tech Start Date]]&lt;1/1/1990,"",IF(Main[[#This Row],[Class]]="C",WORKDAY(Main[[#This Row],[Tech Start Date]],23),IF(Main[[#This Row],[Class]]="B", WORKDAY(Main[[#This Row],[Tech Start Date]],15),IF(Main[[#This Row],[Class]]="A",WORKDAY(Main[[#This Row],[Tech Start Date]],5),""))))</f>
        <v/>
      </c>
      <c r="P430" s="73" t="str">
        <f>IF(Main[[#This Row],[Tech Start Date]]&lt;1/1/1990,"",IF(Main[[#This Row],[Class]]="C",WORKDAY(Main[[#This Row],[Tech Start Date]],28),IF(Main[[#This Row],[Class]]="B", WORKDAY(Main[[#This Row],[Tech Start Date]],19),IF(Main[[#This Row],[Class]]="A",WORKDAY(Main[[#This Row],[Tech Start Date]],9),""))))</f>
        <v/>
      </c>
      <c r="Q430" s="85">
        <v>40613</v>
      </c>
      <c r="R430" s="112"/>
      <c r="S430" s="95" t="s">
        <v>6</v>
      </c>
      <c r="T430" s="74" t="s">
        <v>4</v>
      </c>
      <c r="U430" s="95" t="s">
        <v>29</v>
      </c>
      <c r="V430" s="95" t="s">
        <v>1911</v>
      </c>
      <c r="W430" s="95" t="s">
        <v>1913</v>
      </c>
      <c r="X430" s="95" t="s">
        <v>2798</v>
      </c>
      <c r="Y430" s="72" t="s">
        <v>2908</v>
      </c>
      <c r="Z430" s="72" t="s">
        <v>129</v>
      </c>
      <c r="AA430" s="95" t="s">
        <v>2798</v>
      </c>
      <c r="AB430" s="132"/>
      <c r="AC430" s="132"/>
      <c r="AD430" s="132"/>
      <c r="AE430" s="63"/>
      <c r="AF430" s="63"/>
      <c r="AG430" s="63"/>
    </row>
    <row r="431" spans="1:33" ht="17.2" customHeight="1">
      <c r="A431" s="64" t="str">
        <f>IF(priority(Main[[#This Row],[Comments]])&lt;&gt;0, priority(Main[[#This Row],[Comments]]),"")</f>
        <v/>
      </c>
      <c r="B431" s="60" t="s">
        <v>2282</v>
      </c>
      <c r="C431" s="72" t="s">
        <v>4</v>
      </c>
      <c r="D431" s="59" t="s">
        <v>2359</v>
      </c>
      <c r="E431" s="85">
        <v>40813.664259259262</v>
      </c>
      <c r="F431" s="85"/>
      <c r="G431" s="64" t="str">
        <f>IF(stdProdLT(Main[[#This Row],[Comments]])=0.1,"N/A",IF(stdProdLT(Main[[#This Row],[Comments]])=0,"",TRIM(stdProdLT(Main[[#This Row],[Comments]]))))</f>
        <v/>
      </c>
      <c r="H431" s="94" t="str">
        <f>IF(OR(Main[[#This Row],[Std. Prod. Lead Time]]="N/A",Main[[#This Row],[Std. Prod. Lead Time]]=""), "",IF(AND(Main[[#This Row],[In Stock Date]]&lt;&gt;"",Main[[#This Row],[Revised Due Date]]&lt;&gt;"",Main[[#This Row],[In Stock Date]]&lt;&gt;""),Main[[#This Row],[In Stock Date]]-Main[[#This Row],[Revised Due Date]],""))</f>
        <v/>
      </c>
      <c r="I431" s="101" t="s">
        <v>937</v>
      </c>
      <c r="J431" s="95" t="s">
        <v>4</v>
      </c>
      <c r="K431" s="95" t="s">
        <v>4</v>
      </c>
      <c r="L431" s="85"/>
      <c r="M431" s="73" t="str">
        <f>IF(Main[[#This Row],[Tech Start Date]]&lt;1/1/1990,"",IF(Main[[#This Row],[Class]]="C",WORKDAY(Main[[#This Row],[Tech Start Date]],9),IF(Main[[#This Row],[Class]]="B", WORKDAY(Main[[#This Row],[Tech Start Date]],6),IF(Main[[#This Row],[Class]]="A",WORKDAY(Main[[#This Row],[Tech Start Date]],2),""))))</f>
        <v/>
      </c>
      <c r="N431" s="73" t="str">
        <f>IF(Main[[#This Row],[Tech Start Date]]&lt;1/1/1990,"",IF(Main[[#This Row],[Class]]="C",WORKDAY(Main[[#This Row],[Tech Start Date]],19),IF(Main[[#This Row],[Class]]="B", WORKDAY(Main[[#This Row],[Tech Start Date]],12),IF(Main[[#This Row],[Class]]="A",WORKDAY(Main[[#This Row],[Tech Start Date]],4),""))))</f>
        <v/>
      </c>
      <c r="O431" s="73" t="str">
        <f>IF(Main[[#This Row],[Tech Start Date]]&lt;1/1/1990,"",IF(Main[[#This Row],[Class]]="C",WORKDAY(Main[[#This Row],[Tech Start Date]],23),IF(Main[[#This Row],[Class]]="B", WORKDAY(Main[[#This Row],[Tech Start Date]],15),IF(Main[[#This Row],[Class]]="A",WORKDAY(Main[[#This Row],[Tech Start Date]],5),""))))</f>
        <v/>
      </c>
      <c r="P431" s="73" t="str">
        <f>IF(Main[[#This Row],[Tech Start Date]]&lt;1/1/1990,"",IF(Main[[#This Row],[Class]]="C",WORKDAY(Main[[#This Row],[Tech Start Date]],28),IF(Main[[#This Row],[Class]]="B", WORKDAY(Main[[#This Row],[Tech Start Date]],19),IF(Main[[#This Row],[Class]]="A",WORKDAY(Main[[#This Row],[Tech Start Date]],9),""))))</f>
        <v/>
      </c>
      <c r="Q431" s="85"/>
      <c r="R431" s="112">
        <v>40840</v>
      </c>
      <c r="S431" s="95" t="s">
        <v>6</v>
      </c>
      <c r="T431" s="74" t="s">
        <v>4</v>
      </c>
      <c r="U431" s="95" t="s">
        <v>7</v>
      </c>
      <c r="V431" s="95" t="s">
        <v>1911</v>
      </c>
      <c r="W431" s="95" t="s">
        <v>1915</v>
      </c>
      <c r="X431" s="95" t="s">
        <v>306</v>
      </c>
      <c r="Y431" s="72" t="s">
        <v>4</v>
      </c>
      <c r="Z431" s="72" t="s">
        <v>4</v>
      </c>
      <c r="AA431" s="95" t="s">
        <v>3365</v>
      </c>
      <c r="AB431" s="132"/>
      <c r="AC431" s="132"/>
      <c r="AD431" s="132"/>
      <c r="AE431" s="63"/>
      <c r="AF431" s="63"/>
      <c r="AG431" s="63"/>
    </row>
    <row r="432" spans="1:33" ht="17.2" customHeight="1">
      <c r="A432" s="64" t="str">
        <f>IF(priority(Main[[#This Row],[Comments]])&lt;&gt;0, priority(Main[[#This Row],[Comments]]),"")</f>
        <v/>
      </c>
      <c r="B432" s="60" t="s">
        <v>1265</v>
      </c>
      <c r="C432" s="72" t="s">
        <v>4</v>
      </c>
      <c r="D432" s="59" t="s">
        <v>334</v>
      </c>
      <c r="E432" s="85"/>
      <c r="F432" s="85"/>
      <c r="G432" s="64" t="str">
        <f>IF(stdProdLT(Main[[#This Row],[Comments]])=0.1,"N/A",IF(stdProdLT(Main[[#This Row],[Comments]])=0,"",TRIM(stdProdLT(Main[[#This Row],[Comments]]))))</f>
        <v/>
      </c>
      <c r="H432" s="94" t="str">
        <f>IF(OR(Main[[#This Row],[Std. Prod. Lead Time]]="N/A",Main[[#This Row],[Std. Prod. Lead Time]]=""), "",IF(AND(Main[[#This Row],[In Stock Date]]&lt;&gt;"",Main[[#This Row],[Revised Due Date]]&lt;&gt;"",Main[[#This Row],[In Stock Date]]&lt;&gt;""),Main[[#This Row],[In Stock Date]]-Main[[#This Row],[Revised Due Date]],""))</f>
        <v/>
      </c>
      <c r="I432" s="101" t="s">
        <v>4</v>
      </c>
      <c r="J432" s="95" t="s">
        <v>4</v>
      </c>
      <c r="K432" s="95" t="s">
        <v>4</v>
      </c>
      <c r="L432" s="85"/>
      <c r="M432" s="73" t="str">
        <f>IF(Main[[#This Row],[Tech Start Date]]&lt;1/1/1990,"",IF(Main[[#This Row],[Class]]="C",WORKDAY(Main[[#This Row],[Tech Start Date]],9),IF(Main[[#This Row],[Class]]="B", WORKDAY(Main[[#This Row],[Tech Start Date]],6),IF(Main[[#This Row],[Class]]="A",WORKDAY(Main[[#This Row],[Tech Start Date]],2),""))))</f>
        <v/>
      </c>
      <c r="N432" s="73" t="str">
        <f>IF(Main[[#This Row],[Tech Start Date]]&lt;1/1/1990,"",IF(Main[[#This Row],[Class]]="C",WORKDAY(Main[[#This Row],[Tech Start Date]],19),IF(Main[[#This Row],[Class]]="B", WORKDAY(Main[[#This Row],[Tech Start Date]],12),IF(Main[[#This Row],[Class]]="A",WORKDAY(Main[[#This Row],[Tech Start Date]],4),""))))</f>
        <v/>
      </c>
      <c r="O432" s="73" t="str">
        <f>IF(Main[[#This Row],[Tech Start Date]]&lt;1/1/1990,"",IF(Main[[#This Row],[Class]]="C",WORKDAY(Main[[#This Row],[Tech Start Date]],23),IF(Main[[#This Row],[Class]]="B", WORKDAY(Main[[#This Row],[Tech Start Date]],15),IF(Main[[#This Row],[Class]]="A",WORKDAY(Main[[#This Row],[Tech Start Date]],5),""))))</f>
        <v/>
      </c>
      <c r="P432" s="73" t="str">
        <f>IF(Main[[#This Row],[Tech Start Date]]&lt;1/1/1990,"",IF(Main[[#This Row],[Class]]="C",WORKDAY(Main[[#This Row],[Tech Start Date]],28),IF(Main[[#This Row],[Class]]="B", WORKDAY(Main[[#This Row],[Tech Start Date]],19),IF(Main[[#This Row],[Class]]="A",WORKDAY(Main[[#This Row],[Tech Start Date]],9),""))))</f>
        <v/>
      </c>
      <c r="Q432" s="85"/>
      <c r="R432" s="112"/>
      <c r="S432" s="95" t="s">
        <v>23</v>
      </c>
      <c r="T432" s="74" t="s">
        <v>4</v>
      </c>
      <c r="U432" s="95" t="s">
        <v>14</v>
      </c>
      <c r="V432" s="95" t="s">
        <v>1914</v>
      </c>
      <c r="W432" s="95" t="s">
        <v>1915</v>
      </c>
      <c r="X432" s="95" t="s">
        <v>399</v>
      </c>
      <c r="Y432" s="72" t="s">
        <v>4</v>
      </c>
      <c r="Z432" s="72" t="s">
        <v>4</v>
      </c>
      <c r="AA432" s="95" t="s">
        <v>3366</v>
      </c>
      <c r="AB432" s="132"/>
      <c r="AC432" s="132"/>
      <c r="AD432" s="132"/>
      <c r="AE432" s="63"/>
      <c r="AF432" s="63"/>
      <c r="AG432" s="63"/>
    </row>
    <row r="433" spans="1:33" ht="17.2" customHeight="1">
      <c r="A433" s="64" t="str">
        <f>IF(priority(Main[[#This Row],[Comments]])&lt;&gt;0, priority(Main[[#This Row],[Comments]]),"")</f>
        <v/>
      </c>
      <c r="B433" s="60" t="s">
        <v>1266</v>
      </c>
      <c r="C433" s="72" t="s">
        <v>31</v>
      </c>
      <c r="D433" s="59" t="s">
        <v>335</v>
      </c>
      <c r="E433" s="85"/>
      <c r="F433" s="85"/>
      <c r="G433" s="64" t="str">
        <f>IF(stdProdLT(Main[[#This Row],[Comments]])=0.1,"N/A",IF(stdProdLT(Main[[#This Row],[Comments]])=0,"",TRIM(stdProdLT(Main[[#This Row],[Comments]]))))</f>
        <v/>
      </c>
      <c r="H433" s="94" t="str">
        <f>IF(OR(Main[[#This Row],[Std. Prod. Lead Time]]="N/A",Main[[#This Row],[Std. Prod. Lead Time]]=""), "",IF(AND(Main[[#This Row],[In Stock Date]]&lt;&gt;"",Main[[#This Row],[Revised Due Date]]&lt;&gt;"",Main[[#This Row],[In Stock Date]]&lt;&gt;""),Main[[#This Row],[In Stock Date]]-Main[[#This Row],[Revised Due Date]],""))</f>
        <v/>
      </c>
      <c r="I433" s="101" t="s">
        <v>4</v>
      </c>
      <c r="J433" s="95" t="s">
        <v>4</v>
      </c>
      <c r="K433" s="95" t="s">
        <v>4</v>
      </c>
      <c r="L433" s="85"/>
      <c r="M433" s="73" t="str">
        <f>IF(Main[[#This Row],[Tech Start Date]]&lt;1/1/1990,"",IF(Main[[#This Row],[Class]]="C",WORKDAY(Main[[#This Row],[Tech Start Date]],9),IF(Main[[#This Row],[Class]]="B", WORKDAY(Main[[#This Row],[Tech Start Date]],6),IF(Main[[#This Row],[Class]]="A",WORKDAY(Main[[#This Row],[Tech Start Date]],2),""))))</f>
        <v/>
      </c>
      <c r="N433" s="73" t="str">
        <f>IF(Main[[#This Row],[Tech Start Date]]&lt;1/1/1990,"",IF(Main[[#This Row],[Class]]="C",WORKDAY(Main[[#This Row],[Tech Start Date]],19),IF(Main[[#This Row],[Class]]="B", WORKDAY(Main[[#This Row],[Tech Start Date]],12),IF(Main[[#This Row],[Class]]="A",WORKDAY(Main[[#This Row],[Tech Start Date]],4),""))))</f>
        <v/>
      </c>
      <c r="O433" s="73" t="str">
        <f>IF(Main[[#This Row],[Tech Start Date]]&lt;1/1/1990,"",IF(Main[[#This Row],[Class]]="C",WORKDAY(Main[[#This Row],[Tech Start Date]],23),IF(Main[[#This Row],[Class]]="B", WORKDAY(Main[[#This Row],[Tech Start Date]],15),IF(Main[[#This Row],[Class]]="A",WORKDAY(Main[[#This Row],[Tech Start Date]],5),""))))</f>
        <v/>
      </c>
      <c r="P433" s="73" t="str">
        <f>IF(Main[[#This Row],[Tech Start Date]]&lt;1/1/1990,"",IF(Main[[#This Row],[Class]]="C",WORKDAY(Main[[#This Row],[Tech Start Date]],28),IF(Main[[#This Row],[Class]]="B", WORKDAY(Main[[#This Row],[Tech Start Date]],19),IF(Main[[#This Row],[Class]]="A",WORKDAY(Main[[#This Row],[Tech Start Date]],9),""))))</f>
        <v/>
      </c>
      <c r="Q433" s="85">
        <v>40318</v>
      </c>
      <c r="R433" s="112"/>
      <c r="S433" s="95" t="s">
        <v>11</v>
      </c>
      <c r="T433" s="74" t="s">
        <v>4</v>
      </c>
      <c r="U433" s="95" t="s">
        <v>14</v>
      </c>
      <c r="V433" s="95" t="s">
        <v>1914</v>
      </c>
      <c r="W433" s="95" t="s">
        <v>1913</v>
      </c>
      <c r="X433" s="95" t="s">
        <v>2810</v>
      </c>
      <c r="Y433" s="72" t="s">
        <v>4</v>
      </c>
      <c r="Z433" s="72" t="s">
        <v>4</v>
      </c>
      <c r="AA433" s="95" t="s">
        <v>2810</v>
      </c>
      <c r="AB433" s="132"/>
      <c r="AC433" s="132"/>
      <c r="AD433" s="132"/>
      <c r="AE433" s="63"/>
      <c r="AF433" s="63"/>
      <c r="AG433" s="63"/>
    </row>
    <row r="434" spans="1:33" ht="17.2" customHeight="1">
      <c r="A434" s="64" t="str">
        <f>IF(priority(Main[[#This Row],[Comments]])&lt;&gt;0, priority(Main[[#This Row],[Comments]]),"")</f>
        <v/>
      </c>
      <c r="B434" s="60" t="s">
        <v>1267</v>
      </c>
      <c r="C434" s="72" t="s">
        <v>4</v>
      </c>
      <c r="D434" s="59" t="s">
        <v>336</v>
      </c>
      <c r="E434" s="85">
        <v>40542.302245370367</v>
      </c>
      <c r="F434" s="85"/>
      <c r="G434" s="64" t="str">
        <f>IF(stdProdLT(Main[[#This Row],[Comments]])=0.1,"N/A",IF(stdProdLT(Main[[#This Row],[Comments]])=0,"",TRIM(stdProdLT(Main[[#This Row],[Comments]]))))</f>
        <v/>
      </c>
      <c r="H434" s="94" t="str">
        <f>IF(OR(Main[[#This Row],[Std. Prod. Lead Time]]="N/A",Main[[#This Row],[Std. Prod. Lead Time]]=""), "",IF(AND(Main[[#This Row],[In Stock Date]]&lt;&gt;"",Main[[#This Row],[Revised Due Date]]&lt;&gt;"",Main[[#This Row],[In Stock Date]]&lt;&gt;""),Main[[#This Row],[In Stock Date]]-Main[[#This Row],[Revised Due Date]],""))</f>
        <v/>
      </c>
      <c r="I434" s="101" t="s">
        <v>4</v>
      </c>
      <c r="J434" s="95" t="s">
        <v>4</v>
      </c>
      <c r="K434" s="95" t="s">
        <v>1920</v>
      </c>
      <c r="L434" s="85"/>
      <c r="M434" s="73" t="str">
        <f>IF(Main[[#This Row],[Tech Start Date]]&lt;1/1/1990,"",IF(Main[[#This Row],[Class]]="C",WORKDAY(Main[[#This Row],[Tech Start Date]],9),IF(Main[[#This Row],[Class]]="B", WORKDAY(Main[[#This Row],[Tech Start Date]],6),IF(Main[[#This Row],[Class]]="A",WORKDAY(Main[[#This Row],[Tech Start Date]],2),""))))</f>
        <v/>
      </c>
      <c r="N434" s="73" t="str">
        <f>IF(Main[[#This Row],[Tech Start Date]]&lt;1/1/1990,"",IF(Main[[#This Row],[Class]]="C",WORKDAY(Main[[#This Row],[Tech Start Date]],19),IF(Main[[#This Row],[Class]]="B", WORKDAY(Main[[#This Row],[Tech Start Date]],12),IF(Main[[#This Row],[Class]]="A",WORKDAY(Main[[#This Row],[Tech Start Date]],4),""))))</f>
        <v/>
      </c>
      <c r="O434" s="73" t="str">
        <f>IF(Main[[#This Row],[Tech Start Date]]&lt;1/1/1990,"",IF(Main[[#This Row],[Class]]="C",WORKDAY(Main[[#This Row],[Tech Start Date]],23),IF(Main[[#This Row],[Class]]="B", WORKDAY(Main[[#This Row],[Tech Start Date]],15),IF(Main[[#This Row],[Class]]="A",WORKDAY(Main[[#This Row],[Tech Start Date]],5),""))))</f>
        <v/>
      </c>
      <c r="P434" s="73" t="str">
        <f>IF(Main[[#This Row],[Tech Start Date]]&lt;1/1/1990,"",IF(Main[[#This Row],[Class]]="C",WORKDAY(Main[[#This Row],[Tech Start Date]],28),IF(Main[[#This Row],[Class]]="B", WORKDAY(Main[[#This Row],[Tech Start Date]],19),IF(Main[[#This Row],[Class]]="A",WORKDAY(Main[[#This Row],[Tech Start Date]],9),""))))</f>
        <v/>
      </c>
      <c r="Q434" s="85"/>
      <c r="R434" s="112"/>
      <c r="S434" s="95" t="s">
        <v>6</v>
      </c>
      <c r="T434" s="74" t="s">
        <v>4</v>
      </c>
      <c r="U434" s="95" t="s">
        <v>29</v>
      </c>
      <c r="V434" s="95" t="s">
        <v>1911</v>
      </c>
      <c r="W434" s="95" t="s">
        <v>1915</v>
      </c>
      <c r="X434" s="95" t="s">
        <v>306</v>
      </c>
      <c r="Y434" s="72" t="s">
        <v>4</v>
      </c>
      <c r="Z434" s="72" t="s">
        <v>4</v>
      </c>
      <c r="AA434" s="95" t="s">
        <v>2848</v>
      </c>
      <c r="AB434" s="132"/>
      <c r="AC434" s="132"/>
      <c r="AD434" s="132"/>
      <c r="AE434" s="63"/>
      <c r="AF434" s="63"/>
      <c r="AG434" s="63"/>
    </row>
    <row r="435" spans="1:33" ht="17.2" customHeight="1">
      <c r="A435" s="64" t="str">
        <f>IF(priority(Main[[#This Row],[Comments]])&lt;&gt;0, priority(Main[[#This Row],[Comments]]),"")</f>
        <v/>
      </c>
      <c r="B435" s="60" t="s">
        <v>1268</v>
      </c>
      <c r="C435" s="72" t="s">
        <v>93</v>
      </c>
      <c r="D435" s="59" t="s">
        <v>337</v>
      </c>
      <c r="E435" s="85"/>
      <c r="F435" s="85">
        <v>40132</v>
      </c>
      <c r="G435" s="64" t="str">
        <f>IF(stdProdLT(Main[[#This Row],[Comments]])=0.1,"N/A",IF(stdProdLT(Main[[#This Row],[Comments]])=0,"",TRIM(stdProdLT(Main[[#This Row],[Comments]]))))</f>
        <v/>
      </c>
      <c r="H435" s="94" t="str">
        <f>IF(OR(Main[[#This Row],[Std. Prod. Lead Time]]="N/A",Main[[#This Row],[Std. Prod. Lead Time]]=""), "",IF(AND(Main[[#This Row],[In Stock Date]]&lt;&gt;"",Main[[#This Row],[Revised Due Date]]&lt;&gt;"",Main[[#This Row],[In Stock Date]]&lt;&gt;""),Main[[#This Row],[In Stock Date]]-Main[[#This Row],[Revised Due Date]],""))</f>
        <v/>
      </c>
      <c r="I435" s="101" t="s">
        <v>4</v>
      </c>
      <c r="J435" s="95" t="s">
        <v>4</v>
      </c>
      <c r="K435" s="95" t="s">
        <v>4</v>
      </c>
      <c r="L435" s="85"/>
      <c r="M435" s="73" t="str">
        <f>IF(Main[[#This Row],[Tech Start Date]]&lt;1/1/1990,"",IF(Main[[#This Row],[Class]]="C",WORKDAY(Main[[#This Row],[Tech Start Date]],9),IF(Main[[#This Row],[Class]]="B", WORKDAY(Main[[#This Row],[Tech Start Date]],6),IF(Main[[#This Row],[Class]]="A",WORKDAY(Main[[#This Row],[Tech Start Date]],2),""))))</f>
        <v/>
      </c>
      <c r="N435" s="73" t="str">
        <f>IF(Main[[#This Row],[Tech Start Date]]&lt;1/1/1990,"",IF(Main[[#This Row],[Class]]="C",WORKDAY(Main[[#This Row],[Tech Start Date]],19),IF(Main[[#This Row],[Class]]="B", WORKDAY(Main[[#This Row],[Tech Start Date]],12),IF(Main[[#This Row],[Class]]="A",WORKDAY(Main[[#This Row],[Tech Start Date]],4),""))))</f>
        <v/>
      </c>
      <c r="O435" s="73" t="str">
        <f>IF(Main[[#This Row],[Tech Start Date]]&lt;1/1/1990,"",IF(Main[[#This Row],[Class]]="C",WORKDAY(Main[[#This Row],[Tech Start Date]],23),IF(Main[[#This Row],[Class]]="B", WORKDAY(Main[[#This Row],[Tech Start Date]],15),IF(Main[[#This Row],[Class]]="A",WORKDAY(Main[[#This Row],[Tech Start Date]],5),""))))</f>
        <v/>
      </c>
      <c r="P435" s="73" t="str">
        <f>IF(Main[[#This Row],[Tech Start Date]]&lt;1/1/1990,"",IF(Main[[#This Row],[Class]]="C",WORKDAY(Main[[#This Row],[Tech Start Date]],28),IF(Main[[#This Row],[Class]]="B", WORKDAY(Main[[#This Row],[Tech Start Date]],19),IF(Main[[#This Row],[Class]]="A",WORKDAY(Main[[#This Row],[Tech Start Date]],9),""))))</f>
        <v/>
      </c>
      <c r="Q435" s="85">
        <v>40132</v>
      </c>
      <c r="R435" s="112"/>
      <c r="S435" s="95" t="s">
        <v>11</v>
      </c>
      <c r="T435" s="74" t="s">
        <v>4</v>
      </c>
      <c r="U435" s="95" t="s">
        <v>14</v>
      </c>
      <c r="V435" s="95" t="s">
        <v>1921</v>
      </c>
      <c r="W435" s="95" t="s">
        <v>1917</v>
      </c>
      <c r="X435" s="95" t="s">
        <v>2836</v>
      </c>
      <c r="Y435" s="72" t="s">
        <v>4</v>
      </c>
      <c r="Z435" s="72" t="s">
        <v>4</v>
      </c>
      <c r="AA435" s="95" t="s">
        <v>2836</v>
      </c>
      <c r="AB435" s="132"/>
      <c r="AC435" s="132"/>
      <c r="AD435" s="132"/>
      <c r="AE435" s="63"/>
      <c r="AF435" s="63"/>
      <c r="AG435" s="63"/>
    </row>
    <row r="436" spans="1:33" ht="17.2" customHeight="1">
      <c r="A436" s="64" t="str">
        <f>IF(priority(Main[[#This Row],[Comments]])&lt;&gt;0, priority(Main[[#This Row],[Comments]]),"")</f>
        <v/>
      </c>
      <c r="B436" s="60" t="s">
        <v>1269</v>
      </c>
      <c r="C436" s="72" t="s">
        <v>4</v>
      </c>
      <c r="D436" s="59" t="s">
        <v>338</v>
      </c>
      <c r="E436" s="85"/>
      <c r="F436" s="85"/>
      <c r="G436" s="64" t="str">
        <f>IF(stdProdLT(Main[[#This Row],[Comments]])=0.1,"N/A",IF(stdProdLT(Main[[#This Row],[Comments]])=0,"",TRIM(stdProdLT(Main[[#This Row],[Comments]]))))</f>
        <v/>
      </c>
      <c r="H436" s="94" t="str">
        <f>IF(OR(Main[[#This Row],[Std. Prod. Lead Time]]="N/A",Main[[#This Row],[Std. Prod. Lead Time]]=""), "",IF(AND(Main[[#This Row],[In Stock Date]]&lt;&gt;"",Main[[#This Row],[Revised Due Date]]&lt;&gt;"",Main[[#This Row],[In Stock Date]]&lt;&gt;""),Main[[#This Row],[In Stock Date]]-Main[[#This Row],[Revised Due Date]],""))</f>
        <v/>
      </c>
      <c r="I436" s="101" t="s">
        <v>4</v>
      </c>
      <c r="J436" s="95" t="s">
        <v>4</v>
      </c>
      <c r="K436" s="95" t="s">
        <v>4</v>
      </c>
      <c r="L436" s="85"/>
      <c r="M436" s="73" t="str">
        <f>IF(Main[[#This Row],[Tech Start Date]]&lt;1/1/1990,"",IF(Main[[#This Row],[Class]]="C",WORKDAY(Main[[#This Row],[Tech Start Date]],9),IF(Main[[#This Row],[Class]]="B", WORKDAY(Main[[#This Row],[Tech Start Date]],6),IF(Main[[#This Row],[Class]]="A",WORKDAY(Main[[#This Row],[Tech Start Date]],2),""))))</f>
        <v/>
      </c>
      <c r="N436" s="73" t="str">
        <f>IF(Main[[#This Row],[Tech Start Date]]&lt;1/1/1990,"",IF(Main[[#This Row],[Class]]="C",WORKDAY(Main[[#This Row],[Tech Start Date]],19),IF(Main[[#This Row],[Class]]="B", WORKDAY(Main[[#This Row],[Tech Start Date]],12),IF(Main[[#This Row],[Class]]="A",WORKDAY(Main[[#This Row],[Tech Start Date]],4),""))))</f>
        <v/>
      </c>
      <c r="O436" s="73" t="str">
        <f>IF(Main[[#This Row],[Tech Start Date]]&lt;1/1/1990,"",IF(Main[[#This Row],[Class]]="C",WORKDAY(Main[[#This Row],[Tech Start Date]],23),IF(Main[[#This Row],[Class]]="B", WORKDAY(Main[[#This Row],[Tech Start Date]],15),IF(Main[[#This Row],[Class]]="A",WORKDAY(Main[[#This Row],[Tech Start Date]],5),""))))</f>
        <v/>
      </c>
      <c r="P436" s="73" t="str">
        <f>IF(Main[[#This Row],[Tech Start Date]]&lt;1/1/1990,"",IF(Main[[#This Row],[Class]]="C",WORKDAY(Main[[#This Row],[Tech Start Date]],28),IF(Main[[#This Row],[Class]]="B", WORKDAY(Main[[#This Row],[Tech Start Date]],19),IF(Main[[#This Row],[Class]]="A",WORKDAY(Main[[#This Row],[Tech Start Date]],9),""))))</f>
        <v/>
      </c>
      <c r="Q436" s="85"/>
      <c r="R436" s="112"/>
      <c r="S436" s="95" t="s">
        <v>23</v>
      </c>
      <c r="T436" s="74" t="s">
        <v>4</v>
      </c>
      <c r="U436" s="95" t="s">
        <v>14</v>
      </c>
      <c r="V436" s="95" t="s">
        <v>1911</v>
      </c>
      <c r="W436" s="95" t="s">
        <v>1913</v>
      </c>
      <c r="X436" s="95" t="s">
        <v>102</v>
      </c>
      <c r="Y436" s="72" t="s">
        <v>4</v>
      </c>
      <c r="Z436" s="72" t="s">
        <v>4</v>
      </c>
      <c r="AA436" s="95" t="s">
        <v>4</v>
      </c>
      <c r="AB436" s="132"/>
      <c r="AC436" s="132"/>
      <c r="AD436" s="132"/>
      <c r="AE436" s="63"/>
      <c r="AF436" s="63"/>
      <c r="AG436" s="63"/>
    </row>
    <row r="437" spans="1:33" ht="17.2" customHeight="1">
      <c r="A437" s="64" t="str">
        <f>IF(priority(Main[[#This Row],[Comments]])&lt;&gt;0, priority(Main[[#This Row],[Comments]]),"")</f>
        <v/>
      </c>
      <c r="B437" s="60" t="s">
        <v>1270</v>
      </c>
      <c r="C437" s="72" t="s">
        <v>47</v>
      </c>
      <c r="D437" s="59" t="s">
        <v>339</v>
      </c>
      <c r="E437" s="85">
        <v>39937.597743055558</v>
      </c>
      <c r="F437" s="85"/>
      <c r="G437" s="64" t="str">
        <f>IF(stdProdLT(Main[[#This Row],[Comments]])=0.1,"N/A",IF(stdProdLT(Main[[#This Row],[Comments]])=0,"",TRIM(stdProdLT(Main[[#This Row],[Comments]]))))</f>
        <v/>
      </c>
      <c r="H437" s="94" t="str">
        <f>IF(OR(Main[[#This Row],[Std. Prod. Lead Time]]="N/A",Main[[#This Row],[Std. Prod. Lead Time]]=""), "",IF(AND(Main[[#This Row],[In Stock Date]]&lt;&gt;"",Main[[#This Row],[Revised Due Date]]&lt;&gt;"",Main[[#This Row],[In Stock Date]]&lt;&gt;""),Main[[#This Row],[In Stock Date]]-Main[[#This Row],[Revised Due Date]],""))</f>
        <v/>
      </c>
      <c r="I437" s="101" t="s">
        <v>4</v>
      </c>
      <c r="J437" s="95" t="s">
        <v>4</v>
      </c>
      <c r="K437" s="95" t="s">
        <v>4</v>
      </c>
      <c r="L437" s="85"/>
      <c r="M437" s="73" t="str">
        <f>IF(Main[[#This Row],[Tech Start Date]]&lt;1/1/1990,"",IF(Main[[#This Row],[Class]]="C",WORKDAY(Main[[#This Row],[Tech Start Date]],9),IF(Main[[#This Row],[Class]]="B", WORKDAY(Main[[#This Row],[Tech Start Date]],6),IF(Main[[#This Row],[Class]]="A",WORKDAY(Main[[#This Row],[Tech Start Date]],2),""))))</f>
        <v/>
      </c>
      <c r="N437" s="73" t="str">
        <f>IF(Main[[#This Row],[Tech Start Date]]&lt;1/1/1990,"",IF(Main[[#This Row],[Class]]="C",WORKDAY(Main[[#This Row],[Tech Start Date]],19),IF(Main[[#This Row],[Class]]="B", WORKDAY(Main[[#This Row],[Tech Start Date]],12),IF(Main[[#This Row],[Class]]="A",WORKDAY(Main[[#This Row],[Tech Start Date]],4),""))))</f>
        <v/>
      </c>
      <c r="O437" s="73" t="str">
        <f>IF(Main[[#This Row],[Tech Start Date]]&lt;1/1/1990,"",IF(Main[[#This Row],[Class]]="C",WORKDAY(Main[[#This Row],[Tech Start Date]],23),IF(Main[[#This Row],[Class]]="B", WORKDAY(Main[[#This Row],[Tech Start Date]],15),IF(Main[[#This Row],[Class]]="A",WORKDAY(Main[[#This Row],[Tech Start Date]],5),""))))</f>
        <v/>
      </c>
      <c r="P437" s="73" t="str">
        <f>IF(Main[[#This Row],[Tech Start Date]]&lt;1/1/1990,"",IF(Main[[#This Row],[Class]]="C",WORKDAY(Main[[#This Row],[Tech Start Date]],28),IF(Main[[#This Row],[Class]]="B", WORKDAY(Main[[#This Row],[Tech Start Date]],19),IF(Main[[#This Row],[Class]]="A",WORKDAY(Main[[#This Row],[Tech Start Date]],9),""))))</f>
        <v/>
      </c>
      <c r="Q437" s="85"/>
      <c r="R437" s="112"/>
      <c r="S437" s="95" t="s">
        <v>17</v>
      </c>
      <c r="T437" s="74" t="s">
        <v>4</v>
      </c>
      <c r="U437" s="95" t="s">
        <v>7</v>
      </c>
      <c r="V437" s="95" t="s">
        <v>1914</v>
      </c>
      <c r="W437" s="95" t="s">
        <v>4</v>
      </c>
      <c r="X437" s="95" t="s">
        <v>2807</v>
      </c>
      <c r="Y437" s="72" t="s">
        <v>2926</v>
      </c>
      <c r="Z437" s="72" t="s">
        <v>4</v>
      </c>
      <c r="AA437" s="95" t="s">
        <v>2807</v>
      </c>
      <c r="AB437" s="132"/>
      <c r="AC437" s="132"/>
      <c r="AD437" s="132"/>
      <c r="AE437" s="63"/>
      <c r="AF437" s="63"/>
      <c r="AG437" s="63"/>
    </row>
    <row r="438" spans="1:33" ht="17.2" customHeight="1">
      <c r="A438" s="64" t="str">
        <f>IF(priority(Main[[#This Row],[Comments]])&lt;&gt;0, priority(Main[[#This Row],[Comments]]),"")</f>
        <v/>
      </c>
      <c r="B438" s="60" t="s">
        <v>1271</v>
      </c>
      <c r="C438" s="72" t="s">
        <v>95</v>
      </c>
      <c r="D438" s="59" t="s">
        <v>340</v>
      </c>
      <c r="E438" s="85"/>
      <c r="F438" s="85">
        <v>40195</v>
      </c>
      <c r="G438" s="64" t="str">
        <f>IF(stdProdLT(Main[[#This Row],[Comments]])=0.1,"N/A",IF(stdProdLT(Main[[#This Row],[Comments]])=0,"",TRIM(stdProdLT(Main[[#This Row],[Comments]]))))</f>
        <v/>
      </c>
      <c r="H438" s="94" t="str">
        <f>IF(OR(Main[[#This Row],[Std. Prod. Lead Time]]="N/A",Main[[#This Row],[Std. Prod. Lead Time]]=""), "",IF(AND(Main[[#This Row],[In Stock Date]]&lt;&gt;"",Main[[#This Row],[Revised Due Date]]&lt;&gt;"",Main[[#This Row],[In Stock Date]]&lt;&gt;""),Main[[#This Row],[In Stock Date]]-Main[[#This Row],[Revised Due Date]],""))</f>
        <v/>
      </c>
      <c r="I438" s="101" t="s">
        <v>4</v>
      </c>
      <c r="J438" s="95" t="s">
        <v>4</v>
      </c>
      <c r="K438" s="96" t="s">
        <v>4</v>
      </c>
      <c r="L438" s="85"/>
      <c r="M438" s="73" t="str">
        <f>IF(Main[[#This Row],[Tech Start Date]]&lt;1/1/1990,"",IF(Main[[#This Row],[Class]]="C",WORKDAY(Main[[#This Row],[Tech Start Date]],9),IF(Main[[#This Row],[Class]]="B", WORKDAY(Main[[#This Row],[Tech Start Date]],6),IF(Main[[#This Row],[Class]]="A",WORKDAY(Main[[#This Row],[Tech Start Date]],2),""))))</f>
        <v/>
      </c>
      <c r="N438" s="73" t="str">
        <f>IF(Main[[#This Row],[Tech Start Date]]&lt;1/1/1990,"",IF(Main[[#This Row],[Class]]="C",WORKDAY(Main[[#This Row],[Tech Start Date]],19),IF(Main[[#This Row],[Class]]="B", WORKDAY(Main[[#This Row],[Tech Start Date]],12),IF(Main[[#This Row],[Class]]="A",WORKDAY(Main[[#This Row],[Tech Start Date]],4),""))))</f>
        <v/>
      </c>
      <c r="O438" s="73" t="str">
        <f>IF(Main[[#This Row],[Tech Start Date]]&lt;1/1/1990,"",IF(Main[[#This Row],[Class]]="C",WORKDAY(Main[[#This Row],[Tech Start Date]],23),IF(Main[[#This Row],[Class]]="B", WORKDAY(Main[[#This Row],[Tech Start Date]],15),IF(Main[[#This Row],[Class]]="A",WORKDAY(Main[[#This Row],[Tech Start Date]],5),""))))</f>
        <v/>
      </c>
      <c r="P438" s="73" t="str">
        <f>IF(Main[[#This Row],[Tech Start Date]]&lt;1/1/1990,"",IF(Main[[#This Row],[Class]]="C",WORKDAY(Main[[#This Row],[Tech Start Date]],28),IF(Main[[#This Row],[Class]]="B", WORKDAY(Main[[#This Row],[Tech Start Date]],19),IF(Main[[#This Row],[Class]]="A",WORKDAY(Main[[#This Row],[Tech Start Date]],9),""))))</f>
        <v/>
      </c>
      <c r="Q438" s="85">
        <v>40070</v>
      </c>
      <c r="R438" s="112"/>
      <c r="S438" s="95" t="s">
        <v>11</v>
      </c>
      <c r="T438" s="74" t="s">
        <v>4</v>
      </c>
      <c r="U438" s="95" t="s">
        <v>14</v>
      </c>
      <c r="V438" s="95" t="s">
        <v>1914</v>
      </c>
      <c r="W438" s="95" t="s">
        <v>1917</v>
      </c>
      <c r="X438" s="95" t="s">
        <v>2856</v>
      </c>
      <c r="Y438" s="72" t="s">
        <v>4</v>
      </c>
      <c r="Z438" s="72" t="s">
        <v>4</v>
      </c>
      <c r="AA438" s="95" t="s">
        <v>3367</v>
      </c>
      <c r="AB438" s="132"/>
      <c r="AC438" s="132"/>
      <c r="AD438" s="132"/>
      <c r="AE438" s="63"/>
      <c r="AF438" s="63"/>
      <c r="AG438" s="63"/>
    </row>
    <row r="439" spans="1:33" ht="17.2" customHeight="1">
      <c r="A439" s="64" t="str">
        <f>IF(priority(Main[[#This Row],[Comments]])&lt;&gt;0, priority(Main[[#This Row],[Comments]]),"")</f>
        <v/>
      </c>
      <c r="B439" s="60" t="s">
        <v>1291</v>
      </c>
      <c r="C439" s="72" t="s">
        <v>4</v>
      </c>
      <c r="D439" s="59" t="s">
        <v>342</v>
      </c>
      <c r="E439" s="85">
        <v>40704.346435185187</v>
      </c>
      <c r="F439" s="85"/>
      <c r="G439" s="64" t="str">
        <f>IF(stdProdLT(Main[[#This Row],[Comments]])=0.1,"N/A",IF(stdProdLT(Main[[#This Row],[Comments]])=0,"",TRIM(stdProdLT(Main[[#This Row],[Comments]]))))</f>
        <v/>
      </c>
      <c r="H439" s="94" t="str">
        <f>IF(OR(Main[[#This Row],[Std. Prod. Lead Time]]="N/A",Main[[#This Row],[Std. Prod. Lead Time]]=""), "",IF(AND(Main[[#This Row],[In Stock Date]]&lt;&gt;"",Main[[#This Row],[Revised Due Date]]&lt;&gt;"",Main[[#This Row],[In Stock Date]]&lt;&gt;""),Main[[#This Row],[In Stock Date]]-Main[[#This Row],[Revised Due Date]],""))</f>
        <v/>
      </c>
      <c r="I439" s="101" t="s">
        <v>922</v>
      </c>
      <c r="J439" s="95" t="s">
        <v>28</v>
      </c>
      <c r="K439" s="95" t="s">
        <v>4</v>
      </c>
      <c r="L439" s="85"/>
      <c r="M439" s="73" t="str">
        <f>IF(Main[[#This Row],[Tech Start Date]]&lt;1/1/1990,"",IF(Main[[#This Row],[Class]]="C",WORKDAY(Main[[#This Row],[Tech Start Date]],9),IF(Main[[#This Row],[Class]]="B", WORKDAY(Main[[#This Row],[Tech Start Date]],6),IF(Main[[#This Row],[Class]]="A",WORKDAY(Main[[#This Row],[Tech Start Date]],2),""))))</f>
        <v/>
      </c>
      <c r="N439" s="73" t="str">
        <f>IF(Main[[#This Row],[Tech Start Date]]&lt;1/1/1990,"",IF(Main[[#This Row],[Class]]="C",WORKDAY(Main[[#This Row],[Tech Start Date]],19),IF(Main[[#This Row],[Class]]="B", WORKDAY(Main[[#This Row],[Tech Start Date]],12),IF(Main[[#This Row],[Class]]="A",WORKDAY(Main[[#This Row],[Tech Start Date]],4),""))))</f>
        <v/>
      </c>
      <c r="O439" s="73" t="str">
        <f>IF(Main[[#This Row],[Tech Start Date]]&lt;1/1/1990,"",IF(Main[[#This Row],[Class]]="C",WORKDAY(Main[[#This Row],[Tech Start Date]],23),IF(Main[[#This Row],[Class]]="B", WORKDAY(Main[[#This Row],[Tech Start Date]],15),IF(Main[[#This Row],[Class]]="A",WORKDAY(Main[[#This Row],[Tech Start Date]],5),""))))</f>
        <v/>
      </c>
      <c r="P439" s="73" t="str">
        <f>IF(Main[[#This Row],[Tech Start Date]]&lt;1/1/1990,"",IF(Main[[#This Row],[Class]]="C",WORKDAY(Main[[#This Row],[Tech Start Date]],28),IF(Main[[#This Row],[Class]]="B", WORKDAY(Main[[#This Row],[Tech Start Date]],19),IF(Main[[#This Row],[Class]]="A",WORKDAY(Main[[#This Row],[Tech Start Date]],9),""))))</f>
        <v/>
      </c>
      <c r="Q439" s="85"/>
      <c r="R439" s="112">
        <v>40908</v>
      </c>
      <c r="S439" s="95" t="s">
        <v>49</v>
      </c>
      <c r="T439" s="74" t="s">
        <v>4</v>
      </c>
      <c r="U439" s="95" t="s">
        <v>7</v>
      </c>
      <c r="V439" s="95" t="s">
        <v>1926</v>
      </c>
      <c r="W439" s="95" t="s">
        <v>1913</v>
      </c>
      <c r="X439" s="95" t="s">
        <v>922</v>
      </c>
      <c r="Y439" s="72" t="s">
        <v>2960</v>
      </c>
      <c r="Z439" s="72" t="s">
        <v>2205</v>
      </c>
      <c r="AA439" s="95" t="s">
        <v>922</v>
      </c>
      <c r="AB439" s="132"/>
      <c r="AC439" s="132"/>
      <c r="AD439" s="132"/>
      <c r="AE439" s="63"/>
      <c r="AF439" s="63"/>
      <c r="AG439" s="63"/>
    </row>
    <row r="440" spans="1:33" ht="17.2" customHeight="1">
      <c r="A440" s="64" t="str">
        <f>IF(priority(Main[[#This Row],[Comments]])&lt;&gt;0, priority(Main[[#This Row],[Comments]]),"")</f>
        <v/>
      </c>
      <c r="B440" s="60" t="s">
        <v>1292</v>
      </c>
      <c r="C440" s="72" t="s">
        <v>72</v>
      </c>
      <c r="D440" s="59" t="s">
        <v>343</v>
      </c>
      <c r="E440" s="85"/>
      <c r="F440" s="85">
        <v>40106</v>
      </c>
      <c r="G440" s="64" t="str">
        <f>IF(stdProdLT(Main[[#This Row],[Comments]])=0.1,"N/A",IF(stdProdLT(Main[[#This Row],[Comments]])=0,"",TRIM(stdProdLT(Main[[#This Row],[Comments]]))))</f>
        <v/>
      </c>
      <c r="H440" s="94" t="str">
        <f>IF(OR(Main[[#This Row],[Std. Prod. Lead Time]]="N/A",Main[[#This Row],[Std. Prod. Lead Time]]=""), "",IF(AND(Main[[#This Row],[In Stock Date]]&lt;&gt;"",Main[[#This Row],[Revised Due Date]]&lt;&gt;"",Main[[#This Row],[In Stock Date]]&lt;&gt;""),Main[[#This Row],[In Stock Date]]-Main[[#This Row],[Revised Due Date]],""))</f>
        <v/>
      </c>
      <c r="I440" s="101" t="s">
        <v>4</v>
      </c>
      <c r="J440" s="95" t="s">
        <v>4</v>
      </c>
      <c r="K440" s="95" t="s">
        <v>4</v>
      </c>
      <c r="L440" s="85"/>
      <c r="M440" s="73" t="str">
        <f>IF(Main[[#This Row],[Tech Start Date]]&lt;1/1/1990,"",IF(Main[[#This Row],[Class]]="C",WORKDAY(Main[[#This Row],[Tech Start Date]],9),IF(Main[[#This Row],[Class]]="B", WORKDAY(Main[[#This Row],[Tech Start Date]],6),IF(Main[[#This Row],[Class]]="A",WORKDAY(Main[[#This Row],[Tech Start Date]],2),""))))</f>
        <v/>
      </c>
      <c r="N440" s="73" t="str">
        <f>IF(Main[[#This Row],[Tech Start Date]]&lt;1/1/1990,"",IF(Main[[#This Row],[Class]]="C",WORKDAY(Main[[#This Row],[Tech Start Date]],19),IF(Main[[#This Row],[Class]]="B", WORKDAY(Main[[#This Row],[Tech Start Date]],12),IF(Main[[#This Row],[Class]]="A",WORKDAY(Main[[#This Row],[Tech Start Date]],4),""))))</f>
        <v/>
      </c>
      <c r="O440" s="73" t="str">
        <f>IF(Main[[#This Row],[Tech Start Date]]&lt;1/1/1990,"",IF(Main[[#This Row],[Class]]="C",WORKDAY(Main[[#This Row],[Tech Start Date]],23),IF(Main[[#This Row],[Class]]="B", WORKDAY(Main[[#This Row],[Tech Start Date]],15),IF(Main[[#This Row],[Class]]="A",WORKDAY(Main[[#This Row],[Tech Start Date]],5),""))))</f>
        <v/>
      </c>
      <c r="P440" s="73" t="str">
        <f>IF(Main[[#This Row],[Tech Start Date]]&lt;1/1/1990,"",IF(Main[[#This Row],[Class]]="C",WORKDAY(Main[[#This Row],[Tech Start Date]],28),IF(Main[[#This Row],[Class]]="B", WORKDAY(Main[[#This Row],[Tech Start Date]],19),IF(Main[[#This Row],[Class]]="A",WORKDAY(Main[[#This Row],[Tech Start Date]],9),""))))</f>
        <v/>
      </c>
      <c r="Q440" s="85">
        <v>39986</v>
      </c>
      <c r="R440" s="112"/>
      <c r="S440" s="95" t="s">
        <v>11</v>
      </c>
      <c r="T440" s="74" t="s">
        <v>4</v>
      </c>
      <c r="U440" s="95" t="s">
        <v>14</v>
      </c>
      <c r="V440" s="95" t="s">
        <v>1912</v>
      </c>
      <c r="W440" s="95" t="s">
        <v>1916</v>
      </c>
      <c r="X440" s="95" t="s">
        <v>2804</v>
      </c>
      <c r="Y440" s="72" t="s">
        <v>2921</v>
      </c>
      <c r="Z440" s="72" t="s">
        <v>4</v>
      </c>
      <c r="AA440" s="95" t="s">
        <v>2804</v>
      </c>
      <c r="AB440" s="132"/>
      <c r="AC440" s="132"/>
      <c r="AD440" s="132"/>
      <c r="AE440" s="63"/>
      <c r="AF440" s="63"/>
      <c r="AG440" s="63"/>
    </row>
    <row r="441" spans="1:33" ht="17.2" customHeight="1">
      <c r="A441" s="64" t="str">
        <f>IF(priority(Main[[#This Row],[Comments]])&lt;&gt;0, priority(Main[[#This Row],[Comments]]),"")</f>
        <v/>
      </c>
      <c r="B441" s="60" t="s">
        <v>1293</v>
      </c>
      <c r="C441" s="72" t="s">
        <v>4</v>
      </c>
      <c r="D441" s="59" t="s">
        <v>344</v>
      </c>
      <c r="E441" s="85"/>
      <c r="F441" s="85"/>
      <c r="G441" s="64" t="str">
        <f>IF(stdProdLT(Main[[#This Row],[Comments]])=0.1,"N/A",IF(stdProdLT(Main[[#This Row],[Comments]])=0,"",TRIM(stdProdLT(Main[[#This Row],[Comments]]))))</f>
        <v/>
      </c>
      <c r="H441" s="94" t="str">
        <f>IF(OR(Main[[#This Row],[Std. Prod. Lead Time]]="N/A",Main[[#This Row],[Std. Prod. Lead Time]]=""), "",IF(AND(Main[[#This Row],[In Stock Date]]&lt;&gt;"",Main[[#This Row],[Revised Due Date]]&lt;&gt;"",Main[[#This Row],[In Stock Date]]&lt;&gt;""),Main[[#This Row],[In Stock Date]]-Main[[#This Row],[Revised Due Date]],""))</f>
        <v/>
      </c>
      <c r="I441" s="101" t="s">
        <v>4</v>
      </c>
      <c r="J441" s="95" t="s">
        <v>4</v>
      </c>
      <c r="K441" s="95" t="s">
        <v>4</v>
      </c>
      <c r="L441" s="85"/>
      <c r="M441" s="73" t="str">
        <f>IF(Main[[#This Row],[Tech Start Date]]&lt;1/1/1990,"",IF(Main[[#This Row],[Class]]="C",WORKDAY(Main[[#This Row],[Tech Start Date]],9),IF(Main[[#This Row],[Class]]="B", WORKDAY(Main[[#This Row],[Tech Start Date]],6),IF(Main[[#This Row],[Class]]="A",WORKDAY(Main[[#This Row],[Tech Start Date]],2),""))))</f>
        <v/>
      </c>
      <c r="N441" s="73" t="str">
        <f>IF(Main[[#This Row],[Tech Start Date]]&lt;1/1/1990,"",IF(Main[[#This Row],[Class]]="C",WORKDAY(Main[[#This Row],[Tech Start Date]],19),IF(Main[[#This Row],[Class]]="B", WORKDAY(Main[[#This Row],[Tech Start Date]],12),IF(Main[[#This Row],[Class]]="A",WORKDAY(Main[[#This Row],[Tech Start Date]],4),""))))</f>
        <v/>
      </c>
      <c r="O441" s="73" t="str">
        <f>IF(Main[[#This Row],[Tech Start Date]]&lt;1/1/1990,"",IF(Main[[#This Row],[Class]]="C",WORKDAY(Main[[#This Row],[Tech Start Date]],23),IF(Main[[#This Row],[Class]]="B", WORKDAY(Main[[#This Row],[Tech Start Date]],15),IF(Main[[#This Row],[Class]]="A",WORKDAY(Main[[#This Row],[Tech Start Date]],5),""))))</f>
        <v/>
      </c>
      <c r="P441" s="73" t="str">
        <f>IF(Main[[#This Row],[Tech Start Date]]&lt;1/1/1990,"",IF(Main[[#This Row],[Class]]="C",WORKDAY(Main[[#This Row],[Tech Start Date]],28),IF(Main[[#This Row],[Class]]="B", WORKDAY(Main[[#This Row],[Tech Start Date]],19),IF(Main[[#This Row],[Class]]="A",WORKDAY(Main[[#This Row],[Tech Start Date]],9),""))))</f>
        <v/>
      </c>
      <c r="Q441" s="85"/>
      <c r="R441" s="112"/>
      <c r="S441" s="95" t="s">
        <v>6</v>
      </c>
      <c r="T441" s="74" t="s">
        <v>4</v>
      </c>
      <c r="U441" s="95" t="s">
        <v>12</v>
      </c>
      <c r="V441" s="95" t="s">
        <v>1911</v>
      </c>
      <c r="W441" s="95" t="s">
        <v>1915</v>
      </c>
      <c r="X441" s="95" t="s">
        <v>708</v>
      </c>
      <c r="Y441" s="72" t="s">
        <v>3000</v>
      </c>
      <c r="Z441" s="72" t="s">
        <v>4</v>
      </c>
      <c r="AA441" s="95" t="s">
        <v>3362</v>
      </c>
      <c r="AB441" s="132"/>
      <c r="AC441" s="132"/>
      <c r="AD441" s="132"/>
      <c r="AE441" s="63"/>
      <c r="AF441" s="63"/>
      <c r="AG441" s="63"/>
    </row>
    <row r="442" spans="1:33" ht="17.2" customHeight="1">
      <c r="A442" s="64" t="str">
        <f>IF(priority(Main[[#This Row],[Comments]])&lt;&gt;0, priority(Main[[#This Row],[Comments]]),"")</f>
        <v/>
      </c>
      <c r="B442" s="60" t="s">
        <v>1272</v>
      </c>
      <c r="C442" s="72" t="s">
        <v>79</v>
      </c>
      <c r="D442" s="59" t="s">
        <v>345</v>
      </c>
      <c r="E442" s="85">
        <v>40072.642395833333</v>
      </c>
      <c r="F442" s="85">
        <v>40116</v>
      </c>
      <c r="G442" s="64" t="str">
        <f>IF(stdProdLT(Main[[#This Row],[Comments]])=0.1,"N/A",IF(stdProdLT(Main[[#This Row],[Comments]])=0,"",TRIM(stdProdLT(Main[[#This Row],[Comments]]))))</f>
        <v/>
      </c>
      <c r="H442" s="94" t="str">
        <f>IF(OR(Main[[#This Row],[Std. Prod. Lead Time]]="N/A",Main[[#This Row],[Std. Prod. Lead Time]]=""), "",IF(AND(Main[[#This Row],[In Stock Date]]&lt;&gt;"",Main[[#This Row],[Revised Due Date]]&lt;&gt;"",Main[[#This Row],[In Stock Date]]&lt;&gt;""),Main[[#This Row],[In Stock Date]]-Main[[#This Row],[Revised Due Date]],""))</f>
        <v/>
      </c>
      <c r="I442" s="101" t="s">
        <v>4</v>
      </c>
      <c r="J442" s="95" t="s">
        <v>4</v>
      </c>
      <c r="K442" s="95" t="s">
        <v>4</v>
      </c>
      <c r="L442" s="85"/>
      <c r="M442" s="73" t="str">
        <f>IF(Main[[#This Row],[Tech Start Date]]&lt;1/1/1990,"",IF(Main[[#This Row],[Class]]="C",WORKDAY(Main[[#This Row],[Tech Start Date]],9),IF(Main[[#This Row],[Class]]="B", WORKDAY(Main[[#This Row],[Tech Start Date]],6),IF(Main[[#This Row],[Class]]="A",WORKDAY(Main[[#This Row],[Tech Start Date]],2),""))))</f>
        <v/>
      </c>
      <c r="N442" s="73" t="str">
        <f>IF(Main[[#This Row],[Tech Start Date]]&lt;1/1/1990,"",IF(Main[[#This Row],[Class]]="C",WORKDAY(Main[[#This Row],[Tech Start Date]],19),IF(Main[[#This Row],[Class]]="B", WORKDAY(Main[[#This Row],[Tech Start Date]],12),IF(Main[[#This Row],[Class]]="A",WORKDAY(Main[[#This Row],[Tech Start Date]],4),""))))</f>
        <v/>
      </c>
      <c r="O442" s="73" t="str">
        <f>IF(Main[[#This Row],[Tech Start Date]]&lt;1/1/1990,"",IF(Main[[#This Row],[Class]]="C",WORKDAY(Main[[#This Row],[Tech Start Date]],23),IF(Main[[#This Row],[Class]]="B", WORKDAY(Main[[#This Row],[Tech Start Date]],15),IF(Main[[#This Row],[Class]]="A",WORKDAY(Main[[#This Row],[Tech Start Date]],5),""))))</f>
        <v/>
      </c>
      <c r="P442" s="73" t="str">
        <f>IF(Main[[#This Row],[Tech Start Date]]&lt;1/1/1990,"",IF(Main[[#This Row],[Class]]="C",WORKDAY(Main[[#This Row],[Tech Start Date]],28),IF(Main[[#This Row],[Class]]="B", WORKDAY(Main[[#This Row],[Tech Start Date]],19),IF(Main[[#This Row],[Class]]="A",WORKDAY(Main[[#This Row],[Tech Start Date]],9),""))))</f>
        <v/>
      </c>
      <c r="Q442" s="85"/>
      <c r="R442" s="112"/>
      <c r="S442" s="95" t="s">
        <v>17</v>
      </c>
      <c r="T442" s="74" t="s">
        <v>4</v>
      </c>
      <c r="U442" s="95" t="s">
        <v>7</v>
      </c>
      <c r="V442" s="95" t="s">
        <v>1911</v>
      </c>
      <c r="W442" s="95" t="s">
        <v>1915</v>
      </c>
      <c r="X442" s="95" t="s">
        <v>2841</v>
      </c>
      <c r="Y442" s="72" t="s">
        <v>2934</v>
      </c>
      <c r="Z442" s="72" t="s">
        <v>4</v>
      </c>
      <c r="AA442" s="95" t="s">
        <v>2841</v>
      </c>
      <c r="AB442" s="132"/>
      <c r="AC442" s="132"/>
      <c r="AD442" s="132"/>
      <c r="AE442" s="63"/>
      <c r="AF442" s="63"/>
      <c r="AG442" s="63"/>
    </row>
    <row r="443" spans="1:33" ht="17.2" customHeight="1">
      <c r="A443" s="64" t="str">
        <f>IF(priority(Main[[#This Row],[Comments]])&lt;&gt;0, priority(Main[[#This Row],[Comments]]),"")</f>
        <v/>
      </c>
      <c r="B443" s="60" t="s">
        <v>1273</v>
      </c>
      <c r="C443" s="72" t="s">
        <v>4</v>
      </c>
      <c r="D443" s="59" t="s">
        <v>346</v>
      </c>
      <c r="E443" s="85">
        <v>40422.66909722222</v>
      </c>
      <c r="F443" s="85"/>
      <c r="G443" s="64" t="str">
        <f>IF(stdProdLT(Main[[#This Row],[Comments]])=0.1,"N/A",IF(stdProdLT(Main[[#This Row],[Comments]])=0,"",TRIM(stdProdLT(Main[[#This Row],[Comments]]))))</f>
        <v/>
      </c>
      <c r="H443" s="94" t="str">
        <f>IF(OR(Main[[#This Row],[Std. Prod. Lead Time]]="N/A",Main[[#This Row],[Std. Prod. Lead Time]]=""), "",IF(AND(Main[[#This Row],[In Stock Date]]&lt;&gt;"",Main[[#This Row],[Revised Due Date]]&lt;&gt;"",Main[[#This Row],[In Stock Date]]&lt;&gt;""),Main[[#This Row],[In Stock Date]]-Main[[#This Row],[Revised Due Date]],""))</f>
        <v/>
      </c>
      <c r="I443" s="101" t="s">
        <v>4</v>
      </c>
      <c r="J443" s="95" t="s">
        <v>28</v>
      </c>
      <c r="K443" s="95" t="s">
        <v>4</v>
      </c>
      <c r="L443" s="85"/>
      <c r="M443" s="73" t="str">
        <f>IF(Main[[#This Row],[Tech Start Date]]&lt;1/1/1990,"",IF(Main[[#This Row],[Class]]="C",WORKDAY(Main[[#This Row],[Tech Start Date]],9),IF(Main[[#This Row],[Class]]="B", WORKDAY(Main[[#This Row],[Tech Start Date]],6),IF(Main[[#This Row],[Class]]="A",WORKDAY(Main[[#This Row],[Tech Start Date]],2),""))))</f>
        <v/>
      </c>
      <c r="N443" s="73" t="str">
        <f>IF(Main[[#This Row],[Tech Start Date]]&lt;1/1/1990,"",IF(Main[[#This Row],[Class]]="C",WORKDAY(Main[[#This Row],[Tech Start Date]],19),IF(Main[[#This Row],[Class]]="B", WORKDAY(Main[[#This Row],[Tech Start Date]],12),IF(Main[[#This Row],[Class]]="A",WORKDAY(Main[[#This Row],[Tech Start Date]],4),""))))</f>
        <v/>
      </c>
      <c r="O443" s="73" t="str">
        <f>IF(Main[[#This Row],[Tech Start Date]]&lt;1/1/1990,"",IF(Main[[#This Row],[Class]]="C",WORKDAY(Main[[#This Row],[Tech Start Date]],23),IF(Main[[#This Row],[Class]]="B", WORKDAY(Main[[#This Row],[Tech Start Date]],15),IF(Main[[#This Row],[Class]]="A",WORKDAY(Main[[#This Row],[Tech Start Date]],5),""))))</f>
        <v/>
      </c>
      <c r="P443" s="73" t="str">
        <f>IF(Main[[#This Row],[Tech Start Date]]&lt;1/1/1990,"",IF(Main[[#This Row],[Class]]="C",WORKDAY(Main[[#This Row],[Tech Start Date]],28),IF(Main[[#This Row],[Class]]="B", WORKDAY(Main[[#This Row],[Tech Start Date]],19),IF(Main[[#This Row],[Class]]="A",WORKDAY(Main[[#This Row],[Tech Start Date]],9),""))))</f>
        <v/>
      </c>
      <c r="Q443" s="85"/>
      <c r="R443" s="112"/>
      <c r="S443" s="95" t="s">
        <v>6</v>
      </c>
      <c r="T443" s="74" t="s">
        <v>4</v>
      </c>
      <c r="U443" s="95" t="s">
        <v>29</v>
      </c>
      <c r="V443" s="95" t="s">
        <v>1911</v>
      </c>
      <c r="W443" s="95" t="s">
        <v>1915</v>
      </c>
      <c r="X443" s="95" t="s">
        <v>399</v>
      </c>
      <c r="Y443" s="72" t="s">
        <v>3001</v>
      </c>
      <c r="Z443" s="72" t="s">
        <v>129</v>
      </c>
      <c r="AA443" s="95" t="s">
        <v>3339</v>
      </c>
      <c r="AB443" s="132"/>
      <c r="AC443" s="132"/>
      <c r="AD443" s="132"/>
      <c r="AE443" s="63"/>
      <c r="AF443" s="63"/>
      <c r="AG443" s="63"/>
    </row>
    <row r="444" spans="1:33" ht="17.2" customHeight="1">
      <c r="A444" s="64" t="str">
        <f>IF(priority(Main[[#This Row],[Comments]])&lt;&gt;0, priority(Main[[#This Row],[Comments]]),"")</f>
        <v/>
      </c>
      <c r="B444" s="60" t="s">
        <v>1274</v>
      </c>
      <c r="C444" s="72" t="s">
        <v>347</v>
      </c>
      <c r="D444" s="59" t="s">
        <v>348</v>
      </c>
      <c r="E444" s="85"/>
      <c r="F444" s="85"/>
      <c r="G444" s="64" t="str">
        <f>IF(stdProdLT(Main[[#This Row],[Comments]])=0.1,"N/A",IF(stdProdLT(Main[[#This Row],[Comments]])=0,"",TRIM(stdProdLT(Main[[#This Row],[Comments]]))))</f>
        <v/>
      </c>
      <c r="H444" s="94" t="str">
        <f>IF(OR(Main[[#This Row],[Std. Prod. Lead Time]]="N/A",Main[[#This Row],[Std. Prod. Lead Time]]=""), "",IF(AND(Main[[#This Row],[In Stock Date]]&lt;&gt;"",Main[[#This Row],[Revised Due Date]]&lt;&gt;"",Main[[#This Row],[In Stock Date]]&lt;&gt;""),Main[[#This Row],[In Stock Date]]-Main[[#This Row],[Revised Due Date]],""))</f>
        <v/>
      </c>
      <c r="I444" s="101" t="s">
        <v>4</v>
      </c>
      <c r="J444" s="95" t="s">
        <v>4</v>
      </c>
      <c r="K444" s="95" t="s">
        <v>4</v>
      </c>
      <c r="L444" s="85"/>
      <c r="M444" s="73" t="str">
        <f>IF(Main[[#This Row],[Tech Start Date]]&lt;1/1/1990,"",IF(Main[[#This Row],[Class]]="C",WORKDAY(Main[[#This Row],[Tech Start Date]],9),IF(Main[[#This Row],[Class]]="B", WORKDAY(Main[[#This Row],[Tech Start Date]],6),IF(Main[[#This Row],[Class]]="A",WORKDAY(Main[[#This Row],[Tech Start Date]],2),""))))</f>
        <v/>
      </c>
      <c r="N444" s="73" t="str">
        <f>IF(Main[[#This Row],[Tech Start Date]]&lt;1/1/1990,"",IF(Main[[#This Row],[Class]]="C",WORKDAY(Main[[#This Row],[Tech Start Date]],19),IF(Main[[#This Row],[Class]]="B", WORKDAY(Main[[#This Row],[Tech Start Date]],12),IF(Main[[#This Row],[Class]]="A",WORKDAY(Main[[#This Row],[Tech Start Date]],4),""))))</f>
        <v/>
      </c>
      <c r="O444" s="73" t="str">
        <f>IF(Main[[#This Row],[Tech Start Date]]&lt;1/1/1990,"",IF(Main[[#This Row],[Class]]="C",WORKDAY(Main[[#This Row],[Tech Start Date]],23),IF(Main[[#This Row],[Class]]="B", WORKDAY(Main[[#This Row],[Tech Start Date]],15),IF(Main[[#This Row],[Class]]="A",WORKDAY(Main[[#This Row],[Tech Start Date]],5),""))))</f>
        <v/>
      </c>
      <c r="P444" s="73" t="str">
        <f>IF(Main[[#This Row],[Tech Start Date]]&lt;1/1/1990,"",IF(Main[[#This Row],[Class]]="C",WORKDAY(Main[[#This Row],[Tech Start Date]],28),IF(Main[[#This Row],[Class]]="B", WORKDAY(Main[[#This Row],[Tech Start Date]],19),IF(Main[[#This Row],[Class]]="A",WORKDAY(Main[[#This Row],[Tech Start Date]],9),""))))</f>
        <v/>
      </c>
      <c r="Q444" s="85"/>
      <c r="R444" s="112"/>
      <c r="S444" s="95" t="s">
        <v>11</v>
      </c>
      <c r="T444" s="74" t="s">
        <v>4</v>
      </c>
      <c r="U444" s="95" t="s">
        <v>14</v>
      </c>
      <c r="V444" s="95" t="s">
        <v>1912</v>
      </c>
      <c r="W444" s="95" t="s">
        <v>1916</v>
      </c>
      <c r="X444" s="95" t="s">
        <v>306</v>
      </c>
      <c r="Y444" s="72" t="s">
        <v>2919</v>
      </c>
      <c r="Z444" s="72" t="s">
        <v>4</v>
      </c>
      <c r="AA444" s="95" t="s">
        <v>306</v>
      </c>
      <c r="AB444" s="132"/>
      <c r="AC444" s="132"/>
      <c r="AD444" s="132"/>
      <c r="AE444" s="63"/>
      <c r="AF444" s="63"/>
      <c r="AG444" s="63"/>
    </row>
    <row r="445" spans="1:33" ht="17.2" customHeight="1">
      <c r="A445" s="64" t="str">
        <f>IF(priority(Main[[#This Row],[Comments]])&lt;&gt;0, priority(Main[[#This Row],[Comments]]),"")</f>
        <v/>
      </c>
      <c r="B445" s="60" t="s">
        <v>2365</v>
      </c>
      <c r="C445" s="72" t="s">
        <v>4</v>
      </c>
      <c r="D445" s="59" t="s">
        <v>2366</v>
      </c>
      <c r="E445" s="85">
        <v>40869.35837962963</v>
      </c>
      <c r="F445" s="85"/>
      <c r="G445" s="64" t="str">
        <f>IF(stdProdLT(Main[[#This Row],[Comments]])=0.1,"N/A",IF(stdProdLT(Main[[#This Row],[Comments]])=0,"",TRIM(stdProdLT(Main[[#This Row],[Comments]]))))</f>
        <v/>
      </c>
      <c r="H445" s="94" t="str">
        <f>IF(OR(Main[[#This Row],[Std. Prod. Lead Time]]="N/A",Main[[#This Row],[Std. Prod. Lead Time]]=""), "",IF(AND(Main[[#This Row],[In Stock Date]]&lt;&gt;"",Main[[#This Row],[Revised Due Date]]&lt;&gt;"",Main[[#This Row],[In Stock Date]]&lt;&gt;""),Main[[#This Row],[In Stock Date]]-Main[[#This Row],[Revised Due Date]],""))</f>
        <v/>
      </c>
      <c r="I445" s="101" t="s">
        <v>4</v>
      </c>
      <c r="J445" s="95" t="s">
        <v>4</v>
      </c>
      <c r="K445" s="95" t="s">
        <v>4</v>
      </c>
      <c r="L445" s="85"/>
      <c r="M445" s="73" t="str">
        <f>IF(Main[[#This Row],[Tech Start Date]]&lt;1/1/1990,"",IF(Main[[#This Row],[Class]]="C",WORKDAY(Main[[#This Row],[Tech Start Date]],9),IF(Main[[#This Row],[Class]]="B", WORKDAY(Main[[#This Row],[Tech Start Date]],6),IF(Main[[#This Row],[Class]]="A",WORKDAY(Main[[#This Row],[Tech Start Date]],2),""))))</f>
        <v/>
      </c>
      <c r="N445" s="73" t="str">
        <f>IF(Main[[#This Row],[Tech Start Date]]&lt;1/1/1990,"",IF(Main[[#This Row],[Class]]="C",WORKDAY(Main[[#This Row],[Tech Start Date]],19),IF(Main[[#This Row],[Class]]="B", WORKDAY(Main[[#This Row],[Tech Start Date]],12),IF(Main[[#This Row],[Class]]="A",WORKDAY(Main[[#This Row],[Tech Start Date]],4),""))))</f>
        <v/>
      </c>
      <c r="O445" s="73" t="str">
        <f>IF(Main[[#This Row],[Tech Start Date]]&lt;1/1/1990,"",IF(Main[[#This Row],[Class]]="C",WORKDAY(Main[[#This Row],[Tech Start Date]],23),IF(Main[[#This Row],[Class]]="B", WORKDAY(Main[[#This Row],[Tech Start Date]],15),IF(Main[[#This Row],[Class]]="A",WORKDAY(Main[[#This Row],[Tech Start Date]],5),""))))</f>
        <v/>
      </c>
      <c r="P445" s="73" t="str">
        <f>IF(Main[[#This Row],[Tech Start Date]]&lt;1/1/1990,"",IF(Main[[#This Row],[Class]]="C",WORKDAY(Main[[#This Row],[Tech Start Date]],28),IF(Main[[#This Row],[Class]]="B", WORKDAY(Main[[#This Row],[Tech Start Date]],19),IF(Main[[#This Row],[Class]]="A",WORKDAY(Main[[#This Row],[Tech Start Date]],9),""))))</f>
        <v/>
      </c>
      <c r="Q445" s="85"/>
      <c r="R445" s="112"/>
      <c r="S445" s="95" t="s">
        <v>6</v>
      </c>
      <c r="T445" s="74" t="s">
        <v>4</v>
      </c>
      <c r="U445" s="95" t="s">
        <v>29</v>
      </c>
      <c r="V445" s="95" t="s">
        <v>1912</v>
      </c>
      <c r="W445" s="95" t="s">
        <v>1913</v>
      </c>
      <c r="X445" s="95" t="s">
        <v>102</v>
      </c>
      <c r="Y445" s="72" t="s">
        <v>3002</v>
      </c>
      <c r="Z445" s="72" t="s">
        <v>4</v>
      </c>
      <c r="AA445" s="95" t="s">
        <v>3368</v>
      </c>
      <c r="AB445" s="132"/>
      <c r="AC445" s="132"/>
      <c r="AD445" s="132"/>
      <c r="AE445" s="63"/>
      <c r="AF445" s="63"/>
      <c r="AG445" s="63"/>
    </row>
    <row r="446" spans="1:33" ht="17.2" customHeight="1">
      <c r="A446" s="64" t="str">
        <f>IF(priority(Main[[#This Row],[Comments]])&lt;&gt;0, priority(Main[[#This Row],[Comments]]),"")</f>
        <v/>
      </c>
      <c r="B446" s="60" t="s">
        <v>1275</v>
      </c>
      <c r="C446" s="72" t="s">
        <v>93</v>
      </c>
      <c r="D446" s="59" t="s">
        <v>349</v>
      </c>
      <c r="E446" s="85"/>
      <c r="F446" s="85"/>
      <c r="G446" s="64" t="str">
        <f>IF(stdProdLT(Main[[#This Row],[Comments]])=0.1,"N/A",IF(stdProdLT(Main[[#This Row],[Comments]])=0,"",TRIM(stdProdLT(Main[[#This Row],[Comments]]))))</f>
        <v/>
      </c>
      <c r="H446" s="94" t="str">
        <f>IF(OR(Main[[#This Row],[Std. Prod. Lead Time]]="N/A",Main[[#This Row],[Std. Prod. Lead Time]]=""), "",IF(AND(Main[[#This Row],[In Stock Date]]&lt;&gt;"",Main[[#This Row],[Revised Due Date]]&lt;&gt;"",Main[[#This Row],[In Stock Date]]&lt;&gt;""),Main[[#This Row],[In Stock Date]]-Main[[#This Row],[Revised Due Date]],""))</f>
        <v/>
      </c>
      <c r="I446" s="101" t="s">
        <v>4</v>
      </c>
      <c r="J446" s="95" t="s">
        <v>4</v>
      </c>
      <c r="K446" s="95" t="s">
        <v>4</v>
      </c>
      <c r="L446" s="85"/>
      <c r="M446" s="73" t="str">
        <f>IF(Main[[#This Row],[Tech Start Date]]&lt;1/1/1990,"",IF(Main[[#This Row],[Class]]="C",WORKDAY(Main[[#This Row],[Tech Start Date]],9),IF(Main[[#This Row],[Class]]="B", WORKDAY(Main[[#This Row],[Tech Start Date]],6),IF(Main[[#This Row],[Class]]="A",WORKDAY(Main[[#This Row],[Tech Start Date]],2),""))))</f>
        <v/>
      </c>
      <c r="N446" s="73" t="str">
        <f>IF(Main[[#This Row],[Tech Start Date]]&lt;1/1/1990,"",IF(Main[[#This Row],[Class]]="C",WORKDAY(Main[[#This Row],[Tech Start Date]],19),IF(Main[[#This Row],[Class]]="B", WORKDAY(Main[[#This Row],[Tech Start Date]],12),IF(Main[[#This Row],[Class]]="A",WORKDAY(Main[[#This Row],[Tech Start Date]],4),""))))</f>
        <v/>
      </c>
      <c r="O446" s="73" t="str">
        <f>IF(Main[[#This Row],[Tech Start Date]]&lt;1/1/1990,"",IF(Main[[#This Row],[Class]]="C",WORKDAY(Main[[#This Row],[Tech Start Date]],23),IF(Main[[#This Row],[Class]]="B", WORKDAY(Main[[#This Row],[Tech Start Date]],15),IF(Main[[#This Row],[Class]]="A",WORKDAY(Main[[#This Row],[Tech Start Date]],5),""))))</f>
        <v/>
      </c>
      <c r="P446" s="73" t="str">
        <f>IF(Main[[#This Row],[Tech Start Date]]&lt;1/1/1990,"",IF(Main[[#This Row],[Class]]="C",WORKDAY(Main[[#This Row],[Tech Start Date]],28),IF(Main[[#This Row],[Class]]="B", WORKDAY(Main[[#This Row],[Tech Start Date]],19),IF(Main[[#This Row],[Class]]="A",WORKDAY(Main[[#This Row],[Tech Start Date]],9),""))))</f>
        <v/>
      </c>
      <c r="Q446" s="85"/>
      <c r="R446" s="112"/>
      <c r="S446" s="95" t="s">
        <v>11</v>
      </c>
      <c r="T446" s="74" t="s">
        <v>4</v>
      </c>
      <c r="U446" s="95" t="s">
        <v>14</v>
      </c>
      <c r="V446" s="95" t="s">
        <v>1914</v>
      </c>
      <c r="W446" s="95" t="s">
        <v>1917</v>
      </c>
      <c r="X446" s="95" t="s">
        <v>2833</v>
      </c>
      <c r="Y446" s="72" t="s">
        <v>2969</v>
      </c>
      <c r="Z446" s="72" t="s">
        <v>4</v>
      </c>
      <c r="AA446" s="95" t="s">
        <v>2833</v>
      </c>
      <c r="AB446" s="132"/>
      <c r="AC446" s="132"/>
      <c r="AD446" s="132"/>
      <c r="AE446" s="63"/>
      <c r="AF446" s="63"/>
      <c r="AG446" s="63"/>
    </row>
    <row r="447" spans="1:33" ht="17.2" customHeight="1">
      <c r="A447" s="64" t="str">
        <f>IF(priority(Main[[#This Row],[Comments]])&lt;&gt;0, priority(Main[[#This Row],[Comments]]),"")</f>
        <v/>
      </c>
      <c r="B447" s="60" t="s">
        <v>1277</v>
      </c>
      <c r="C447" s="72" t="s">
        <v>4</v>
      </c>
      <c r="D447" s="59" t="s">
        <v>350</v>
      </c>
      <c r="E447" s="85"/>
      <c r="F447" s="85"/>
      <c r="G447" s="64" t="str">
        <f>IF(stdProdLT(Main[[#This Row],[Comments]])=0.1,"N/A",IF(stdProdLT(Main[[#This Row],[Comments]])=0,"",TRIM(stdProdLT(Main[[#This Row],[Comments]]))))</f>
        <v/>
      </c>
      <c r="H447" s="94" t="str">
        <f>IF(OR(Main[[#This Row],[Std. Prod. Lead Time]]="N/A",Main[[#This Row],[Std. Prod. Lead Time]]=""), "",IF(AND(Main[[#This Row],[In Stock Date]]&lt;&gt;"",Main[[#This Row],[Revised Due Date]]&lt;&gt;"",Main[[#This Row],[In Stock Date]]&lt;&gt;""),Main[[#This Row],[In Stock Date]]-Main[[#This Row],[Revised Due Date]],""))</f>
        <v/>
      </c>
      <c r="I447" s="101" t="s">
        <v>4</v>
      </c>
      <c r="J447" s="95" t="s">
        <v>4</v>
      </c>
      <c r="K447" s="95" t="s">
        <v>4</v>
      </c>
      <c r="L447" s="85"/>
      <c r="M447" s="73" t="str">
        <f>IF(Main[[#This Row],[Tech Start Date]]&lt;1/1/1990,"",IF(Main[[#This Row],[Class]]="C",WORKDAY(Main[[#This Row],[Tech Start Date]],9),IF(Main[[#This Row],[Class]]="B", WORKDAY(Main[[#This Row],[Tech Start Date]],6),IF(Main[[#This Row],[Class]]="A",WORKDAY(Main[[#This Row],[Tech Start Date]],2),""))))</f>
        <v/>
      </c>
      <c r="N447" s="73" t="str">
        <f>IF(Main[[#This Row],[Tech Start Date]]&lt;1/1/1990,"",IF(Main[[#This Row],[Class]]="C",WORKDAY(Main[[#This Row],[Tech Start Date]],19),IF(Main[[#This Row],[Class]]="B", WORKDAY(Main[[#This Row],[Tech Start Date]],12),IF(Main[[#This Row],[Class]]="A",WORKDAY(Main[[#This Row],[Tech Start Date]],4),""))))</f>
        <v/>
      </c>
      <c r="O447" s="73" t="str">
        <f>IF(Main[[#This Row],[Tech Start Date]]&lt;1/1/1990,"",IF(Main[[#This Row],[Class]]="C",WORKDAY(Main[[#This Row],[Tech Start Date]],23),IF(Main[[#This Row],[Class]]="B", WORKDAY(Main[[#This Row],[Tech Start Date]],15),IF(Main[[#This Row],[Class]]="A",WORKDAY(Main[[#This Row],[Tech Start Date]],5),""))))</f>
        <v/>
      </c>
      <c r="P447" s="73" t="str">
        <f>IF(Main[[#This Row],[Tech Start Date]]&lt;1/1/1990,"",IF(Main[[#This Row],[Class]]="C",WORKDAY(Main[[#This Row],[Tech Start Date]],28),IF(Main[[#This Row],[Class]]="B", WORKDAY(Main[[#This Row],[Tech Start Date]],19),IF(Main[[#This Row],[Class]]="A",WORKDAY(Main[[#This Row],[Tech Start Date]],9),""))))</f>
        <v/>
      </c>
      <c r="Q447" s="85"/>
      <c r="R447" s="112"/>
      <c r="S447" s="95" t="s">
        <v>11</v>
      </c>
      <c r="T447" s="74" t="s">
        <v>4</v>
      </c>
      <c r="U447" s="95" t="s">
        <v>14</v>
      </c>
      <c r="V447" s="95" t="s">
        <v>1914</v>
      </c>
      <c r="W447" s="95" t="s">
        <v>1913</v>
      </c>
      <c r="X447" s="95" t="s">
        <v>2857</v>
      </c>
      <c r="Y447" s="72" t="s">
        <v>3003</v>
      </c>
      <c r="Z447" s="72" t="s">
        <v>4</v>
      </c>
      <c r="AA447" s="95" t="s">
        <v>2857</v>
      </c>
      <c r="AB447" s="132"/>
      <c r="AC447" s="132"/>
      <c r="AD447" s="132"/>
      <c r="AE447" s="63"/>
      <c r="AF447" s="63"/>
      <c r="AG447" s="63"/>
    </row>
    <row r="448" spans="1:33" ht="17.2" customHeight="1">
      <c r="A448" s="64" t="str">
        <f>IF(priority(Main[[#This Row],[Comments]])&lt;&gt;0, priority(Main[[#This Row],[Comments]]),"")</f>
        <v/>
      </c>
      <c r="B448" s="60" t="s">
        <v>1278</v>
      </c>
      <c r="C448" s="72" t="s">
        <v>351</v>
      </c>
      <c r="D448" s="59" t="s">
        <v>352</v>
      </c>
      <c r="E448" s="85"/>
      <c r="F448" s="85">
        <v>40452</v>
      </c>
      <c r="G448" s="64" t="str">
        <f>IF(stdProdLT(Main[[#This Row],[Comments]])=0.1,"N/A",IF(stdProdLT(Main[[#This Row],[Comments]])=0,"",TRIM(stdProdLT(Main[[#This Row],[Comments]]))))</f>
        <v/>
      </c>
      <c r="H448" s="94" t="str">
        <f>IF(OR(Main[[#This Row],[Std. Prod. Lead Time]]="N/A",Main[[#This Row],[Std. Prod. Lead Time]]=""), "",IF(AND(Main[[#This Row],[In Stock Date]]&lt;&gt;"",Main[[#This Row],[Revised Due Date]]&lt;&gt;"",Main[[#This Row],[In Stock Date]]&lt;&gt;""),Main[[#This Row],[In Stock Date]]-Main[[#This Row],[Revised Due Date]],""))</f>
        <v/>
      </c>
      <c r="I448" s="101" t="s">
        <v>4</v>
      </c>
      <c r="J448" s="95" t="s">
        <v>4</v>
      </c>
      <c r="K448" s="95" t="s">
        <v>4</v>
      </c>
      <c r="L448" s="85"/>
      <c r="M448" s="73" t="str">
        <f>IF(Main[[#This Row],[Tech Start Date]]&lt;1/1/1990,"",IF(Main[[#This Row],[Class]]="C",WORKDAY(Main[[#This Row],[Tech Start Date]],9),IF(Main[[#This Row],[Class]]="B", WORKDAY(Main[[#This Row],[Tech Start Date]],6),IF(Main[[#This Row],[Class]]="A",WORKDAY(Main[[#This Row],[Tech Start Date]],2),""))))</f>
        <v/>
      </c>
      <c r="N448" s="73" t="str">
        <f>IF(Main[[#This Row],[Tech Start Date]]&lt;1/1/1990,"",IF(Main[[#This Row],[Class]]="C",WORKDAY(Main[[#This Row],[Tech Start Date]],19),IF(Main[[#This Row],[Class]]="B", WORKDAY(Main[[#This Row],[Tech Start Date]],12),IF(Main[[#This Row],[Class]]="A",WORKDAY(Main[[#This Row],[Tech Start Date]],4),""))))</f>
        <v/>
      </c>
      <c r="O448" s="73" t="str">
        <f>IF(Main[[#This Row],[Tech Start Date]]&lt;1/1/1990,"",IF(Main[[#This Row],[Class]]="C",WORKDAY(Main[[#This Row],[Tech Start Date]],23),IF(Main[[#This Row],[Class]]="B", WORKDAY(Main[[#This Row],[Tech Start Date]],15),IF(Main[[#This Row],[Class]]="A",WORKDAY(Main[[#This Row],[Tech Start Date]],5),""))))</f>
        <v/>
      </c>
      <c r="P448" s="73" t="str">
        <f>IF(Main[[#This Row],[Tech Start Date]]&lt;1/1/1990,"",IF(Main[[#This Row],[Class]]="C",WORKDAY(Main[[#This Row],[Tech Start Date]],28),IF(Main[[#This Row],[Class]]="B", WORKDAY(Main[[#This Row],[Tech Start Date]],19),IF(Main[[#This Row],[Class]]="A",WORKDAY(Main[[#This Row],[Tech Start Date]],9),""))))</f>
        <v/>
      </c>
      <c r="Q448" s="85">
        <v>40344</v>
      </c>
      <c r="R448" s="112"/>
      <c r="S448" s="95" t="s">
        <v>11</v>
      </c>
      <c r="T448" s="74" t="s">
        <v>4</v>
      </c>
      <c r="U448" s="95" t="s">
        <v>14</v>
      </c>
      <c r="V448" s="95" t="s">
        <v>1914</v>
      </c>
      <c r="W448" s="95" t="s">
        <v>1917</v>
      </c>
      <c r="X448" s="95" t="s">
        <v>2852</v>
      </c>
      <c r="Y448" s="72" t="s">
        <v>2974</v>
      </c>
      <c r="Z448" s="72" t="s">
        <v>530</v>
      </c>
      <c r="AA448" s="95" t="s">
        <v>2852</v>
      </c>
      <c r="AB448" s="132"/>
      <c r="AC448" s="132"/>
      <c r="AD448" s="132"/>
      <c r="AE448" s="63"/>
      <c r="AF448" s="63"/>
      <c r="AG448" s="63"/>
    </row>
    <row r="449" spans="1:33" ht="17.2" customHeight="1">
      <c r="A449" s="64" t="str">
        <f>IF(priority(Main[[#This Row],[Comments]])&lt;&gt;0, priority(Main[[#This Row],[Comments]]),"")</f>
        <v/>
      </c>
      <c r="B449" s="60" t="s">
        <v>1279</v>
      </c>
      <c r="C449" s="72" t="s">
        <v>4</v>
      </c>
      <c r="D449" s="59" t="s">
        <v>353</v>
      </c>
      <c r="E449" s="85"/>
      <c r="F449" s="85"/>
      <c r="G449" s="64" t="str">
        <f>IF(stdProdLT(Main[[#This Row],[Comments]])=0.1,"N/A",IF(stdProdLT(Main[[#This Row],[Comments]])=0,"",TRIM(stdProdLT(Main[[#This Row],[Comments]]))))</f>
        <v/>
      </c>
      <c r="H449" s="94" t="str">
        <f>IF(OR(Main[[#This Row],[Std. Prod. Lead Time]]="N/A",Main[[#This Row],[Std. Prod. Lead Time]]=""), "",IF(AND(Main[[#This Row],[In Stock Date]]&lt;&gt;"",Main[[#This Row],[Revised Due Date]]&lt;&gt;"",Main[[#This Row],[In Stock Date]]&lt;&gt;""),Main[[#This Row],[In Stock Date]]-Main[[#This Row],[Revised Due Date]],""))</f>
        <v/>
      </c>
      <c r="I449" s="101" t="s">
        <v>4</v>
      </c>
      <c r="J449" s="95" t="s">
        <v>4</v>
      </c>
      <c r="K449" s="96" t="s">
        <v>4</v>
      </c>
      <c r="L449" s="85"/>
      <c r="M449" s="73" t="str">
        <f>IF(Main[[#This Row],[Tech Start Date]]&lt;1/1/1990,"",IF(Main[[#This Row],[Class]]="C",WORKDAY(Main[[#This Row],[Tech Start Date]],9),IF(Main[[#This Row],[Class]]="B", WORKDAY(Main[[#This Row],[Tech Start Date]],6),IF(Main[[#This Row],[Class]]="A",WORKDAY(Main[[#This Row],[Tech Start Date]],2),""))))</f>
        <v/>
      </c>
      <c r="N449" s="73" t="str">
        <f>IF(Main[[#This Row],[Tech Start Date]]&lt;1/1/1990,"",IF(Main[[#This Row],[Class]]="C",WORKDAY(Main[[#This Row],[Tech Start Date]],19),IF(Main[[#This Row],[Class]]="B", WORKDAY(Main[[#This Row],[Tech Start Date]],12),IF(Main[[#This Row],[Class]]="A",WORKDAY(Main[[#This Row],[Tech Start Date]],4),""))))</f>
        <v/>
      </c>
      <c r="O449" s="73" t="str">
        <f>IF(Main[[#This Row],[Tech Start Date]]&lt;1/1/1990,"",IF(Main[[#This Row],[Class]]="C",WORKDAY(Main[[#This Row],[Tech Start Date]],23),IF(Main[[#This Row],[Class]]="B", WORKDAY(Main[[#This Row],[Tech Start Date]],15),IF(Main[[#This Row],[Class]]="A",WORKDAY(Main[[#This Row],[Tech Start Date]],5),""))))</f>
        <v/>
      </c>
      <c r="P449" s="73" t="str">
        <f>IF(Main[[#This Row],[Tech Start Date]]&lt;1/1/1990,"",IF(Main[[#This Row],[Class]]="C",WORKDAY(Main[[#This Row],[Tech Start Date]],28),IF(Main[[#This Row],[Class]]="B", WORKDAY(Main[[#This Row],[Tech Start Date]],19),IF(Main[[#This Row],[Class]]="A",WORKDAY(Main[[#This Row],[Tech Start Date]],9),""))))</f>
        <v/>
      </c>
      <c r="Q449" s="85"/>
      <c r="R449" s="112"/>
      <c r="S449" s="95" t="s">
        <v>4</v>
      </c>
      <c r="T449" s="74" t="s">
        <v>4</v>
      </c>
      <c r="U449" s="95" t="s">
        <v>14</v>
      </c>
      <c r="V449" s="95" t="s">
        <v>1911</v>
      </c>
      <c r="W449" s="95" t="s">
        <v>4</v>
      </c>
      <c r="X449" s="95" t="s">
        <v>2858</v>
      </c>
      <c r="Y449" s="72" t="s">
        <v>3004</v>
      </c>
      <c r="Z449" s="72" t="s">
        <v>4</v>
      </c>
      <c r="AA449" s="95" t="s">
        <v>2858</v>
      </c>
      <c r="AB449" s="132"/>
      <c r="AC449" s="132"/>
      <c r="AD449" s="132"/>
      <c r="AE449" s="63"/>
      <c r="AF449" s="63"/>
      <c r="AG449" s="63"/>
    </row>
    <row r="450" spans="1:33" ht="17.2" customHeight="1">
      <c r="A450" s="64" t="str">
        <f>IF(priority(Main[[#This Row],[Comments]])&lt;&gt;0, priority(Main[[#This Row],[Comments]]),"")</f>
        <v/>
      </c>
      <c r="B450" s="60" t="s">
        <v>1280</v>
      </c>
      <c r="C450" s="72" t="s">
        <v>33</v>
      </c>
      <c r="D450" s="59" t="s">
        <v>354</v>
      </c>
      <c r="E450" s="85"/>
      <c r="F450" s="85"/>
      <c r="G450" s="64" t="str">
        <f>IF(stdProdLT(Main[[#This Row],[Comments]])=0.1,"N/A",IF(stdProdLT(Main[[#This Row],[Comments]])=0,"",TRIM(stdProdLT(Main[[#This Row],[Comments]]))))</f>
        <v/>
      </c>
      <c r="H450" s="94" t="str">
        <f>IF(OR(Main[[#This Row],[Std. Prod. Lead Time]]="N/A",Main[[#This Row],[Std. Prod. Lead Time]]=""), "",IF(AND(Main[[#This Row],[In Stock Date]]&lt;&gt;"",Main[[#This Row],[Revised Due Date]]&lt;&gt;"",Main[[#This Row],[In Stock Date]]&lt;&gt;""),Main[[#This Row],[In Stock Date]]-Main[[#This Row],[Revised Due Date]],""))</f>
        <v/>
      </c>
      <c r="I450" s="101" t="s">
        <v>4</v>
      </c>
      <c r="J450" s="95" t="s">
        <v>4</v>
      </c>
      <c r="K450" s="96" t="s">
        <v>4</v>
      </c>
      <c r="L450" s="85"/>
      <c r="M450" s="73" t="str">
        <f>IF(Main[[#This Row],[Tech Start Date]]&lt;1/1/1990,"",IF(Main[[#This Row],[Class]]="C",WORKDAY(Main[[#This Row],[Tech Start Date]],9),IF(Main[[#This Row],[Class]]="B", WORKDAY(Main[[#This Row],[Tech Start Date]],6),IF(Main[[#This Row],[Class]]="A",WORKDAY(Main[[#This Row],[Tech Start Date]],2),""))))</f>
        <v/>
      </c>
      <c r="N450" s="73" t="str">
        <f>IF(Main[[#This Row],[Tech Start Date]]&lt;1/1/1990,"",IF(Main[[#This Row],[Class]]="C",WORKDAY(Main[[#This Row],[Tech Start Date]],19),IF(Main[[#This Row],[Class]]="B", WORKDAY(Main[[#This Row],[Tech Start Date]],12),IF(Main[[#This Row],[Class]]="A",WORKDAY(Main[[#This Row],[Tech Start Date]],4),""))))</f>
        <v/>
      </c>
      <c r="O450" s="73" t="str">
        <f>IF(Main[[#This Row],[Tech Start Date]]&lt;1/1/1990,"",IF(Main[[#This Row],[Class]]="C",WORKDAY(Main[[#This Row],[Tech Start Date]],23),IF(Main[[#This Row],[Class]]="B", WORKDAY(Main[[#This Row],[Tech Start Date]],15),IF(Main[[#This Row],[Class]]="A",WORKDAY(Main[[#This Row],[Tech Start Date]],5),""))))</f>
        <v/>
      </c>
      <c r="P450" s="73" t="str">
        <f>IF(Main[[#This Row],[Tech Start Date]]&lt;1/1/1990,"",IF(Main[[#This Row],[Class]]="C",WORKDAY(Main[[#This Row],[Tech Start Date]],28),IF(Main[[#This Row],[Class]]="B", WORKDAY(Main[[#This Row],[Tech Start Date]],19),IF(Main[[#This Row],[Class]]="A",WORKDAY(Main[[#This Row],[Tech Start Date]],9),""))))</f>
        <v/>
      </c>
      <c r="Q450" s="85"/>
      <c r="R450" s="112"/>
      <c r="S450" s="95" t="s">
        <v>11</v>
      </c>
      <c r="T450" s="74" t="s">
        <v>4</v>
      </c>
      <c r="U450" s="95" t="s">
        <v>14</v>
      </c>
      <c r="V450" s="95" t="s">
        <v>1912</v>
      </c>
      <c r="W450" s="95" t="s">
        <v>1919</v>
      </c>
      <c r="X450" s="95" t="s">
        <v>2807</v>
      </c>
      <c r="Y450" s="72" t="s">
        <v>2926</v>
      </c>
      <c r="Z450" s="72" t="s">
        <v>4</v>
      </c>
      <c r="AA450" s="95" t="s">
        <v>2807</v>
      </c>
      <c r="AB450" s="132"/>
      <c r="AC450" s="132"/>
      <c r="AD450" s="132"/>
      <c r="AE450" s="63"/>
      <c r="AF450" s="63"/>
      <c r="AG450" s="63"/>
    </row>
    <row r="451" spans="1:33" ht="17.2" customHeight="1">
      <c r="A451" s="64" t="str">
        <f>IF(priority(Main[[#This Row],[Comments]])&lt;&gt;0, priority(Main[[#This Row],[Comments]]),"")</f>
        <v/>
      </c>
      <c r="B451" s="60" t="s">
        <v>1282</v>
      </c>
      <c r="C451" s="72" t="s">
        <v>211</v>
      </c>
      <c r="D451" s="59" t="s">
        <v>356</v>
      </c>
      <c r="E451" s="85"/>
      <c r="F451" s="85">
        <v>40087</v>
      </c>
      <c r="G451" s="64" t="str">
        <f>IF(stdProdLT(Main[[#This Row],[Comments]])=0.1,"N/A",IF(stdProdLT(Main[[#This Row],[Comments]])=0,"",TRIM(stdProdLT(Main[[#This Row],[Comments]]))))</f>
        <v/>
      </c>
      <c r="H451" s="94" t="str">
        <f>IF(OR(Main[[#This Row],[Std. Prod. Lead Time]]="N/A",Main[[#This Row],[Std. Prod. Lead Time]]=""), "",IF(AND(Main[[#This Row],[In Stock Date]]&lt;&gt;"",Main[[#This Row],[Revised Due Date]]&lt;&gt;"",Main[[#This Row],[In Stock Date]]&lt;&gt;""),Main[[#This Row],[In Stock Date]]-Main[[#This Row],[Revised Due Date]],""))</f>
        <v/>
      </c>
      <c r="I451" s="101" t="s">
        <v>4</v>
      </c>
      <c r="J451" s="95" t="s">
        <v>4</v>
      </c>
      <c r="K451" s="95" t="s">
        <v>4</v>
      </c>
      <c r="L451" s="85"/>
      <c r="M451" s="73" t="str">
        <f>IF(Main[[#This Row],[Tech Start Date]]&lt;1/1/1990,"",IF(Main[[#This Row],[Class]]="C",WORKDAY(Main[[#This Row],[Tech Start Date]],9),IF(Main[[#This Row],[Class]]="B", WORKDAY(Main[[#This Row],[Tech Start Date]],6),IF(Main[[#This Row],[Class]]="A",WORKDAY(Main[[#This Row],[Tech Start Date]],2),""))))</f>
        <v/>
      </c>
      <c r="N451" s="73" t="str">
        <f>IF(Main[[#This Row],[Tech Start Date]]&lt;1/1/1990,"",IF(Main[[#This Row],[Class]]="C",WORKDAY(Main[[#This Row],[Tech Start Date]],19),IF(Main[[#This Row],[Class]]="B", WORKDAY(Main[[#This Row],[Tech Start Date]],12),IF(Main[[#This Row],[Class]]="A",WORKDAY(Main[[#This Row],[Tech Start Date]],4),""))))</f>
        <v/>
      </c>
      <c r="O451" s="73" t="str">
        <f>IF(Main[[#This Row],[Tech Start Date]]&lt;1/1/1990,"",IF(Main[[#This Row],[Class]]="C",WORKDAY(Main[[#This Row],[Tech Start Date]],23),IF(Main[[#This Row],[Class]]="B", WORKDAY(Main[[#This Row],[Tech Start Date]],15),IF(Main[[#This Row],[Class]]="A",WORKDAY(Main[[#This Row],[Tech Start Date]],5),""))))</f>
        <v/>
      </c>
      <c r="P451" s="73" t="str">
        <f>IF(Main[[#This Row],[Tech Start Date]]&lt;1/1/1990,"",IF(Main[[#This Row],[Class]]="C",WORKDAY(Main[[#This Row],[Tech Start Date]],28),IF(Main[[#This Row],[Class]]="B", WORKDAY(Main[[#This Row],[Tech Start Date]],19),IF(Main[[#This Row],[Class]]="A",WORKDAY(Main[[#This Row],[Tech Start Date]],9),""))))</f>
        <v/>
      </c>
      <c r="Q451" s="85">
        <v>39891</v>
      </c>
      <c r="R451" s="112"/>
      <c r="S451" s="95" t="s">
        <v>11</v>
      </c>
      <c r="T451" s="74" t="s">
        <v>4</v>
      </c>
      <c r="U451" s="95" t="s">
        <v>12</v>
      </c>
      <c r="V451" s="95" t="s">
        <v>1911</v>
      </c>
      <c r="W451" s="95" t="s">
        <v>1916</v>
      </c>
      <c r="X451" s="95" t="s">
        <v>2813</v>
      </c>
      <c r="Y451" s="72" t="s">
        <v>4</v>
      </c>
      <c r="Z451" s="72" t="s">
        <v>4</v>
      </c>
      <c r="AA451" s="95" t="s">
        <v>2813</v>
      </c>
      <c r="AB451" s="132"/>
      <c r="AC451" s="132"/>
      <c r="AD451" s="132"/>
      <c r="AE451" s="63"/>
      <c r="AF451" s="63"/>
      <c r="AG451" s="63"/>
    </row>
    <row r="452" spans="1:33" ht="17.2" customHeight="1">
      <c r="A452" s="64" t="str">
        <f>IF(priority(Main[[#This Row],[Comments]])&lt;&gt;0, priority(Main[[#This Row],[Comments]]),"")</f>
        <v/>
      </c>
      <c r="B452" s="60" t="s">
        <v>1284</v>
      </c>
      <c r="C452" s="72" t="s">
        <v>211</v>
      </c>
      <c r="D452" s="59" t="s">
        <v>357</v>
      </c>
      <c r="E452" s="85"/>
      <c r="F452" s="85">
        <v>40087</v>
      </c>
      <c r="G452" s="64" t="str">
        <f>IF(stdProdLT(Main[[#This Row],[Comments]])=0.1,"N/A",IF(stdProdLT(Main[[#This Row],[Comments]])=0,"",TRIM(stdProdLT(Main[[#This Row],[Comments]]))))</f>
        <v/>
      </c>
      <c r="H452" s="94" t="str">
        <f>IF(OR(Main[[#This Row],[Std. Prod. Lead Time]]="N/A",Main[[#This Row],[Std. Prod. Lead Time]]=""), "",IF(AND(Main[[#This Row],[In Stock Date]]&lt;&gt;"",Main[[#This Row],[Revised Due Date]]&lt;&gt;"",Main[[#This Row],[In Stock Date]]&lt;&gt;""),Main[[#This Row],[In Stock Date]]-Main[[#This Row],[Revised Due Date]],""))</f>
        <v/>
      </c>
      <c r="I452" s="101" t="s">
        <v>4</v>
      </c>
      <c r="J452" s="95" t="s">
        <v>4</v>
      </c>
      <c r="K452" s="96" t="s">
        <v>4</v>
      </c>
      <c r="L452" s="85"/>
      <c r="M452" s="73" t="str">
        <f>IF(Main[[#This Row],[Tech Start Date]]&lt;1/1/1990,"",IF(Main[[#This Row],[Class]]="C",WORKDAY(Main[[#This Row],[Tech Start Date]],9),IF(Main[[#This Row],[Class]]="B", WORKDAY(Main[[#This Row],[Tech Start Date]],6),IF(Main[[#This Row],[Class]]="A",WORKDAY(Main[[#This Row],[Tech Start Date]],2),""))))</f>
        <v/>
      </c>
      <c r="N452" s="73" t="str">
        <f>IF(Main[[#This Row],[Tech Start Date]]&lt;1/1/1990,"",IF(Main[[#This Row],[Class]]="C",WORKDAY(Main[[#This Row],[Tech Start Date]],19),IF(Main[[#This Row],[Class]]="B", WORKDAY(Main[[#This Row],[Tech Start Date]],12),IF(Main[[#This Row],[Class]]="A",WORKDAY(Main[[#This Row],[Tech Start Date]],4),""))))</f>
        <v/>
      </c>
      <c r="O452" s="73" t="str">
        <f>IF(Main[[#This Row],[Tech Start Date]]&lt;1/1/1990,"",IF(Main[[#This Row],[Class]]="C",WORKDAY(Main[[#This Row],[Tech Start Date]],23),IF(Main[[#This Row],[Class]]="B", WORKDAY(Main[[#This Row],[Tech Start Date]],15),IF(Main[[#This Row],[Class]]="A",WORKDAY(Main[[#This Row],[Tech Start Date]],5),""))))</f>
        <v/>
      </c>
      <c r="P452" s="73" t="str">
        <f>IF(Main[[#This Row],[Tech Start Date]]&lt;1/1/1990,"",IF(Main[[#This Row],[Class]]="C",WORKDAY(Main[[#This Row],[Tech Start Date]],28),IF(Main[[#This Row],[Class]]="B", WORKDAY(Main[[#This Row],[Tech Start Date]],19),IF(Main[[#This Row],[Class]]="A",WORKDAY(Main[[#This Row],[Tech Start Date]],9),""))))</f>
        <v/>
      </c>
      <c r="Q452" s="85">
        <v>39891</v>
      </c>
      <c r="R452" s="112"/>
      <c r="S452" s="95" t="s">
        <v>11</v>
      </c>
      <c r="T452" s="74" t="s">
        <v>4</v>
      </c>
      <c r="U452" s="95" t="s">
        <v>12</v>
      </c>
      <c r="V452" s="95" t="s">
        <v>1911</v>
      </c>
      <c r="W452" s="95" t="s">
        <v>1916</v>
      </c>
      <c r="X452" s="95" t="s">
        <v>2813</v>
      </c>
      <c r="Y452" s="72" t="s">
        <v>4</v>
      </c>
      <c r="Z452" s="72" t="s">
        <v>4</v>
      </c>
      <c r="AA452" s="95" t="s">
        <v>2813</v>
      </c>
      <c r="AB452" s="132"/>
      <c r="AC452" s="132"/>
      <c r="AD452" s="132"/>
      <c r="AE452" s="63"/>
      <c r="AF452" s="63"/>
      <c r="AG452" s="63"/>
    </row>
    <row r="453" spans="1:33" ht="17.2" customHeight="1">
      <c r="A453" s="64" t="str">
        <f>IF(priority(Main[[#This Row],[Comments]])&lt;&gt;0, priority(Main[[#This Row],[Comments]]),"")</f>
        <v/>
      </c>
      <c r="B453" s="60" t="s">
        <v>2694</v>
      </c>
      <c r="C453" s="72" t="s">
        <v>4</v>
      </c>
      <c r="D453" s="59" t="s">
        <v>2695</v>
      </c>
      <c r="E453" s="85"/>
      <c r="F453" s="85"/>
      <c r="G453" s="64" t="str">
        <f>IF(stdProdLT(Main[[#This Row],[Comments]])=0.1,"N/A",IF(stdProdLT(Main[[#This Row],[Comments]])=0,"",TRIM(stdProdLT(Main[[#This Row],[Comments]]))))</f>
        <v/>
      </c>
      <c r="H453" s="94" t="str">
        <f>IF(OR(Main[[#This Row],[Std. Prod. Lead Time]]="N/A",Main[[#This Row],[Std. Prod. Lead Time]]=""), "",IF(AND(Main[[#This Row],[In Stock Date]]&lt;&gt;"",Main[[#This Row],[Revised Due Date]]&lt;&gt;"",Main[[#This Row],[In Stock Date]]&lt;&gt;""),Main[[#This Row],[In Stock Date]]-Main[[#This Row],[Revised Due Date]],""))</f>
        <v/>
      </c>
      <c r="I453" s="101" t="s">
        <v>4</v>
      </c>
      <c r="J453" s="95" t="s">
        <v>4</v>
      </c>
      <c r="K453" s="95" t="s">
        <v>4</v>
      </c>
      <c r="L453" s="85"/>
      <c r="M453" s="73" t="str">
        <f>IF(Main[[#This Row],[Tech Start Date]]&lt;1/1/1990,"",IF(Main[[#This Row],[Class]]="C",WORKDAY(Main[[#This Row],[Tech Start Date]],9),IF(Main[[#This Row],[Class]]="B", WORKDAY(Main[[#This Row],[Tech Start Date]],6),IF(Main[[#This Row],[Class]]="A",WORKDAY(Main[[#This Row],[Tech Start Date]],2),""))))</f>
        <v/>
      </c>
      <c r="N453" s="73" t="str">
        <f>IF(Main[[#This Row],[Tech Start Date]]&lt;1/1/1990,"",IF(Main[[#This Row],[Class]]="C",WORKDAY(Main[[#This Row],[Tech Start Date]],19),IF(Main[[#This Row],[Class]]="B", WORKDAY(Main[[#This Row],[Tech Start Date]],12),IF(Main[[#This Row],[Class]]="A",WORKDAY(Main[[#This Row],[Tech Start Date]],4),""))))</f>
        <v/>
      </c>
      <c r="O453" s="73" t="str">
        <f>IF(Main[[#This Row],[Tech Start Date]]&lt;1/1/1990,"",IF(Main[[#This Row],[Class]]="C",WORKDAY(Main[[#This Row],[Tech Start Date]],23),IF(Main[[#This Row],[Class]]="B", WORKDAY(Main[[#This Row],[Tech Start Date]],15),IF(Main[[#This Row],[Class]]="A",WORKDAY(Main[[#This Row],[Tech Start Date]],5),""))))</f>
        <v/>
      </c>
      <c r="P453" s="73" t="str">
        <f>IF(Main[[#This Row],[Tech Start Date]]&lt;1/1/1990,"",IF(Main[[#This Row],[Class]]="C",WORKDAY(Main[[#This Row],[Tech Start Date]],28),IF(Main[[#This Row],[Class]]="B", WORKDAY(Main[[#This Row],[Tech Start Date]],19),IF(Main[[#This Row],[Class]]="A",WORKDAY(Main[[#This Row],[Tech Start Date]],9),""))))</f>
        <v/>
      </c>
      <c r="Q453" s="85">
        <v>40896</v>
      </c>
      <c r="R453" s="112"/>
      <c r="S453" s="95" t="s">
        <v>17</v>
      </c>
      <c r="T453" s="74" t="s">
        <v>4</v>
      </c>
      <c r="U453" s="95" t="s">
        <v>14</v>
      </c>
      <c r="V453" s="95" t="s">
        <v>1914</v>
      </c>
      <c r="W453" s="95" t="s">
        <v>1919</v>
      </c>
      <c r="X453" s="95" t="s">
        <v>2859</v>
      </c>
      <c r="Y453" s="72" t="s">
        <v>3005</v>
      </c>
      <c r="Z453" s="72" t="s">
        <v>4</v>
      </c>
      <c r="AA453" s="95" t="s">
        <v>2859</v>
      </c>
      <c r="AB453" s="132"/>
      <c r="AC453" s="132"/>
      <c r="AD453" s="132"/>
      <c r="AE453" s="63"/>
      <c r="AF453" s="63"/>
      <c r="AG453" s="63"/>
    </row>
    <row r="454" spans="1:33" ht="17.2" customHeight="1">
      <c r="A454" s="64" t="str">
        <f>IF(priority(Main[[#This Row],[Comments]])&lt;&gt;0, priority(Main[[#This Row],[Comments]]),"")</f>
        <v/>
      </c>
      <c r="B454" s="60" t="s">
        <v>1285</v>
      </c>
      <c r="C454" s="72" t="s">
        <v>33</v>
      </c>
      <c r="D454" s="59" t="s">
        <v>359</v>
      </c>
      <c r="E454" s="85"/>
      <c r="F454" s="85"/>
      <c r="G454" s="64" t="str">
        <f>IF(stdProdLT(Main[[#This Row],[Comments]])=0.1,"N/A",IF(stdProdLT(Main[[#This Row],[Comments]])=0,"",TRIM(stdProdLT(Main[[#This Row],[Comments]]))))</f>
        <v/>
      </c>
      <c r="H454" s="94" t="str">
        <f>IF(OR(Main[[#This Row],[Std. Prod. Lead Time]]="N/A",Main[[#This Row],[Std. Prod. Lead Time]]=""), "",IF(AND(Main[[#This Row],[In Stock Date]]&lt;&gt;"",Main[[#This Row],[Revised Due Date]]&lt;&gt;"",Main[[#This Row],[In Stock Date]]&lt;&gt;""),Main[[#This Row],[In Stock Date]]-Main[[#This Row],[Revised Due Date]],""))</f>
        <v/>
      </c>
      <c r="I454" s="101" t="s">
        <v>4</v>
      </c>
      <c r="J454" s="95" t="s">
        <v>4</v>
      </c>
      <c r="K454" s="96" t="s">
        <v>4</v>
      </c>
      <c r="L454" s="85"/>
      <c r="M454" s="73" t="str">
        <f>IF(Main[[#This Row],[Tech Start Date]]&lt;1/1/1990,"",IF(Main[[#This Row],[Class]]="C",WORKDAY(Main[[#This Row],[Tech Start Date]],9),IF(Main[[#This Row],[Class]]="B", WORKDAY(Main[[#This Row],[Tech Start Date]],6),IF(Main[[#This Row],[Class]]="A",WORKDAY(Main[[#This Row],[Tech Start Date]],2),""))))</f>
        <v/>
      </c>
      <c r="N454" s="73" t="str">
        <f>IF(Main[[#This Row],[Tech Start Date]]&lt;1/1/1990,"",IF(Main[[#This Row],[Class]]="C",WORKDAY(Main[[#This Row],[Tech Start Date]],19),IF(Main[[#This Row],[Class]]="B", WORKDAY(Main[[#This Row],[Tech Start Date]],12),IF(Main[[#This Row],[Class]]="A",WORKDAY(Main[[#This Row],[Tech Start Date]],4),""))))</f>
        <v/>
      </c>
      <c r="O454" s="73" t="str">
        <f>IF(Main[[#This Row],[Tech Start Date]]&lt;1/1/1990,"",IF(Main[[#This Row],[Class]]="C",WORKDAY(Main[[#This Row],[Tech Start Date]],23),IF(Main[[#This Row],[Class]]="B", WORKDAY(Main[[#This Row],[Tech Start Date]],15),IF(Main[[#This Row],[Class]]="A",WORKDAY(Main[[#This Row],[Tech Start Date]],5),""))))</f>
        <v/>
      </c>
      <c r="P454" s="73" t="str">
        <f>IF(Main[[#This Row],[Tech Start Date]]&lt;1/1/1990,"",IF(Main[[#This Row],[Class]]="C",WORKDAY(Main[[#This Row],[Tech Start Date]],28),IF(Main[[#This Row],[Class]]="B", WORKDAY(Main[[#This Row],[Tech Start Date]],19),IF(Main[[#This Row],[Class]]="A",WORKDAY(Main[[#This Row],[Tech Start Date]],9),""))))</f>
        <v/>
      </c>
      <c r="Q454" s="85"/>
      <c r="R454" s="112"/>
      <c r="S454" s="95" t="s">
        <v>11</v>
      </c>
      <c r="T454" s="74" t="s">
        <v>4</v>
      </c>
      <c r="U454" s="95" t="s">
        <v>14</v>
      </c>
      <c r="V454" s="95" t="s">
        <v>1912</v>
      </c>
      <c r="W454" s="95" t="s">
        <v>1919</v>
      </c>
      <c r="X454" s="95" t="s">
        <v>2807</v>
      </c>
      <c r="Y454" s="72" t="s">
        <v>2926</v>
      </c>
      <c r="Z454" s="72" t="s">
        <v>4</v>
      </c>
      <c r="AA454" s="95" t="s">
        <v>2807</v>
      </c>
      <c r="AB454" s="132"/>
      <c r="AC454" s="132"/>
      <c r="AD454" s="132"/>
      <c r="AE454" s="63"/>
      <c r="AF454" s="63"/>
      <c r="AG454" s="63"/>
    </row>
    <row r="455" spans="1:33" ht="17.2" customHeight="1">
      <c r="A455" s="64" t="str">
        <f>IF(priority(Main[[#This Row],[Comments]])&lt;&gt;0, priority(Main[[#This Row],[Comments]]),"")</f>
        <v/>
      </c>
      <c r="B455" s="60" t="s">
        <v>1286</v>
      </c>
      <c r="C455" s="72" t="s">
        <v>33</v>
      </c>
      <c r="D455" s="59" t="s">
        <v>360</v>
      </c>
      <c r="E455" s="85"/>
      <c r="F455" s="85"/>
      <c r="G455" s="64" t="str">
        <f>IF(stdProdLT(Main[[#This Row],[Comments]])=0.1,"N/A",IF(stdProdLT(Main[[#This Row],[Comments]])=0,"",TRIM(stdProdLT(Main[[#This Row],[Comments]]))))</f>
        <v/>
      </c>
      <c r="H455" s="94" t="str">
        <f>IF(OR(Main[[#This Row],[Std. Prod. Lead Time]]="N/A",Main[[#This Row],[Std. Prod. Lead Time]]=""), "",IF(AND(Main[[#This Row],[In Stock Date]]&lt;&gt;"",Main[[#This Row],[Revised Due Date]]&lt;&gt;"",Main[[#This Row],[In Stock Date]]&lt;&gt;""),Main[[#This Row],[In Stock Date]]-Main[[#This Row],[Revised Due Date]],""))</f>
        <v/>
      </c>
      <c r="I455" s="101" t="s">
        <v>4</v>
      </c>
      <c r="J455" s="95" t="s">
        <v>4</v>
      </c>
      <c r="K455" s="95" t="s">
        <v>4</v>
      </c>
      <c r="L455" s="85"/>
      <c r="M455" s="73" t="str">
        <f>IF(Main[[#This Row],[Tech Start Date]]&lt;1/1/1990,"",IF(Main[[#This Row],[Class]]="C",WORKDAY(Main[[#This Row],[Tech Start Date]],9),IF(Main[[#This Row],[Class]]="B", WORKDAY(Main[[#This Row],[Tech Start Date]],6),IF(Main[[#This Row],[Class]]="A",WORKDAY(Main[[#This Row],[Tech Start Date]],2),""))))</f>
        <v/>
      </c>
      <c r="N455" s="73" t="str">
        <f>IF(Main[[#This Row],[Tech Start Date]]&lt;1/1/1990,"",IF(Main[[#This Row],[Class]]="C",WORKDAY(Main[[#This Row],[Tech Start Date]],19),IF(Main[[#This Row],[Class]]="B", WORKDAY(Main[[#This Row],[Tech Start Date]],12),IF(Main[[#This Row],[Class]]="A",WORKDAY(Main[[#This Row],[Tech Start Date]],4),""))))</f>
        <v/>
      </c>
      <c r="O455" s="73" t="str">
        <f>IF(Main[[#This Row],[Tech Start Date]]&lt;1/1/1990,"",IF(Main[[#This Row],[Class]]="C",WORKDAY(Main[[#This Row],[Tech Start Date]],23),IF(Main[[#This Row],[Class]]="B", WORKDAY(Main[[#This Row],[Tech Start Date]],15),IF(Main[[#This Row],[Class]]="A",WORKDAY(Main[[#This Row],[Tech Start Date]],5),""))))</f>
        <v/>
      </c>
      <c r="P455" s="73" t="str">
        <f>IF(Main[[#This Row],[Tech Start Date]]&lt;1/1/1990,"",IF(Main[[#This Row],[Class]]="C",WORKDAY(Main[[#This Row],[Tech Start Date]],28),IF(Main[[#This Row],[Class]]="B", WORKDAY(Main[[#This Row],[Tech Start Date]],19),IF(Main[[#This Row],[Class]]="A",WORKDAY(Main[[#This Row],[Tech Start Date]],9),""))))</f>
        <v/>
      </c>
      <c r="Q455" s="85"/>
      <c r="R455" s="112"/>
      <c r="S455" s="95" t="s">
        <v>11</v>
      </c>
      <c r="T455" s="74" t="s">
        <v>4</v>
      </c>
      <c r="U455" s="95" t="s">
        <v>14</v>
      </c>
      <c r="V455" s="95" t="s">
        <v>1912</v>
      </c>
      <c r="W455" s="95" t="s">
        <v>1919</v>
      </c>
      <c r="X455" s="95" t="s">
        <v>2807</v>
      </c>
      <c r="Y455" s="72" t="s">
        <v>2926</v>
      </c>
      <c r="Z455" s="72" t="s">
        <v>4</v>
      </c>
      <c r="AA455" s="95" t="s">
        <v>2807</v>
      </c>
      <c r="AB455" s="132"/>
      <c r="AC455" s="132"/>
      <c r="AD455" s="132"/>
      <c r="AE455" s="63"/>
      <c r="AF455" s="63"/>
      <c r="AG455" s="63"/>
    </row>
    <row r="456" spans="1:33" ht="17.2" customHeight="1">
      <c r="A456" s="64" t="str">
        <f>IF(priority(Main[[#This Row],[Comments]])&lt;&gt;0, priority(Main[[#This Row],[Comments]]),"")</f>
        <v/>
      </c>
      <c r="B456" s="60" t="s">
        <v>1287</v>
      </c>
      <c r="C456" s="72" t="s">
        <v>361</v>
      </c>
      <c r="D456" s="59" t="s">
        <v>362</v>
      </c>
      <c r="E456" s="85"/>
      <c r="F456" s="85"/>
      <c r="G456" s="64" t="str">
        <f>IF(stdProdLT(Main[[#This Row],[Comments]])=0.1,"N/A",IF(stdProdLT(Main[[#This Row],[Comments]])=0,"",TRIM(stdProdLT(Main[[#This Row],[Comments]]))))</f>
        <v/>
      </c>
      <c r="H456" s="94" t="str">
        <f>IF(OR(Main[[#This Row],[Std. Prod. Lead Time]]="N/A",Main[[#This Row],[Std. Prod. Lead Time]]=""), "",IF(AND(Main[[#This Row],[In Stock Date]]&lt;&gt;"",Main[[#This Row],[Revised Due Date]]&lt;&gt;"",Main[[#This Row],[In Stock Date]]&lt;&gt;""),Main[[#This Row],[In Stock Date]]-Main[[#This Row],[Revised Due Date]],""))</f>
        <v/>
      </c>
      <c r="I456" s="101" t="s">
        <v>4</v>
      </c>
      <c r="J456" s="95" t="s">
        <v>4</v>
      </c>
      <c r="K456" s="95" t="s">
        <v>4</v>
      </c>
      <c r="L456" s="85"/>
      <c r="M456" s="73" t="str">
        <f>IF(Main[[#This Row],[Tech Start Date]]&lt;1/1/1990,"",IF(Main[[#This Row],[Class]]="C",WORKDAY(Main[[#This Row],[Tech Start Date]],9),IF(Main[[#This Row],[Class]]="B", WORKDAY(Main[[#This Row],[Tech Start Date]],6),IF(Main[[#This Row],[Class]]="A",WORKDAY(Main[[#This Row],[Tech Start Date]],2),""))))</f>
        <v/>
      </c>
      <c r="N456" s="73" t="str">
        <f>IF(Main[[#This Row],[Tech Start Date]]&lt;1/1/1990,"",IF(Main[[#This Row],[Class]]="C",WORKDAY(Main[[#This Row],[Tech Start Date]],19),IF(Main[[#This Row],[Class]]="B", WORKDAY(Main[[#This Row],[Tech Start Date]],12),IF(Main[[#This Row],[Class]]="A",WORKDAY(Main[[#This Row],[Tech Start Date]],4),""))))</f>
        <v/>
      </c>
      <c r="O456" s="73" t="str">
        <f>IF(Main[[#This Row],[Tech Start Date]]&lt;1/1/1990,"",IF(Main[[#This Row],[Class]]="C",WORKDAY(Main[[#This Row],[Tech Start Date]],23),IF(Main[[#This Row],[Class]]="B", WORKDAY(Main[[#This Row],[Tech Start Date]],15),IF(Main[[#This Row],[Class]]="A",WORKDAY(Main[[#This Row],[Tech Start Date]],5),""))))</f>
        <v/>
      </c>
      <c r="P456" s="73" t="str">
        <f>IF(Main[[#This Row],[Tech Start Date]]&lt;1/1/1990,"",IF(Main[[#This Row],[Class]]="C",WORKDAY(Main[[#This Row],[Tech Start Date]],28),IF(Main[[#This Row],[Class]]="B", WORKDAY(Main[[#This Row],[Tech Start Date]],19),IF(Main[[#This Row],[Class]]="A",WORKDAY(Main[[#This Row],[Tech Start Date]],9),""))))</f>
        <v/>
      </c>
      <c r="Q456" s="85"/>
      <c r="R456" s="112"/>
      <c r="S456" s="95" t="s">
        <v>11</v>
      </c>
      <c r="T456" s="74" t="s">
        <v>4</v>
      </c>
      <c r="U456" s="95" t="s">
        <v>14</v>
      </c>
      <c r="V456" s="95" t="s">
        <v>1912</v>
      </c>
      <c r="W456" s="95" t="s">
        <v>1919</v>
      </c>
      <c r="X456" s="95" t="s">
        <v>2807</v>
      </c>
      <c r="Y456" s="72" t="s">
        <v>2926</v>
      </c>
      <c r="Z456" s="72" t="s">
        <v>4</v>
      </c>
      <c r="AA456" s="95" t="s">
        <v>2807</v>
      </c>
      <c r="AB456" s="132"/>
      <c r="AC456" s="132"/>
      <c r="AD456" s="132"/>
      <c r="AE456" s="63"/>
      <c r="AF456" s="63"/>
      <c r="AG456" s="63"/>
    </row>
    <row r="457" spans="1:33" ht="17.2" customHeight="1">
      <c r="A457" s="64" t="str">
        <f>IF(priority(Main[[#This Row],[Comments]])&lt;&gt;0, priority(Main[[#This Row],[Comments]]),"")</f>
        <v/>
      </c>
      <c r="B457" s="60" t="s">
        <v>1288</v>
      </c>
      <c r="C457" s="72" t="s">
        <v>363</v>
      </c>
      <c r="D457" s="59" t="s">
        <v>364</v>
      </c>
      <c r="E457" s="85"/>
      <c r="F457" s="85"/>
      <c r="G457" s="64" t="str">
        <f>IF(stdProdLT(Main[[#This Row],[Comments]])=0.1,"N/A",IF(stdProdLT(Main[[#This Row],[Comments]])=0,"",TRIM(stdProdLT(Main[[#This Row],[Comments]]))))</f>
        <v/>
      </c>
      <c r="H457" s="94" t="str">
        <f>IF(OR(Main[[#This Row],[Std. Prod. Lead Time]]="N/A",Main[[#This Row],[Std. Prod. Lead Time]]=""), "",IF(AND(Main[[#This Row],[In Stock Date]]&lt;&gt;"",Main[[#This Row],[Revised Due Date]]&lt;&gt;"",Main[[#This Row],[In Stock Date]]&lt;&gt;""),Main[[#This Row],[In Stock Date]]-Main[[#This Row],[Revised Due Date]],""))</f>
        <v/>
      </c>
      <c r="I457" s="101" t="s">
        <v>4</v>
      </c>
      <c r="J457" s="95" t="s">
        <v>4</v>
      </c>
      <c r="K457" s="95" t="s">
        <v>4</v>
      </c>
      <c r="L457" s="85"/>
      <c r="M457" s="73" t="str">
        <f>IF(Main[[#This Row],[Tech Start Date]]&lt;1/1/1990,"",IF(Main[[#This Row],[Class]]="C",WORKDAY(Main[[#This Row],[Tech Start Date]],9),IF(Main[[#This Row],[Class]]="B", WORKDAY(Main[[#This Row],[Tech Start Date]],6),IF(Main[[#This Row],[Class]]="A",WORKDAY(Main[[#This Row],[Tech Start Date]],2),""))))</f>
        <v/>
      </c>
      <c r="N457" s="73" t="str">
        <f>IF(Main[[#This Row],[Tech Start Date]]&lt;1/1/1990,"",IF(Main[[#This Row],[Class]]="C",WORKDAY(Main[[#This Row],[Tech Start Date]],19),IF(Main[[#This Row],[Class]]="B", WORKDAY(Main[[#This Row],[Tech Start Date]],12),IF(Main[[#This Row],[Class]]="A",WORKDAY(Main[[#This Row],[Tech Start Date]],4),""))))</f>
        <v/>
      </c>
      <c r="O457" s="73" t="str">
        <f>IF(Main[[#This Row],[Tech Start Date]]&lt;1/1/1990,"",IF(Main[[#This Row],[Class]]="C",WORKDAY(Main[[#This Row],[Tech Start Date]],23),IF(Main[[#This Row],[Class]]="B", WORKDAY(Main[[#This Row],[Tech Start Date]],15),IF(Main[[#This Row],[Class]]="A",WORKDAY(Main[[#This Row],[Tech Start Date]],5),""))))</f>
        <v/>
      </c>
      <c r="P457" s="73" t="str">
        <f>IF(Main[[#This Row],[Tech Start Date]]&lt;1/1/1990,"",IF(Main[[#This Row],[Class]]="C",WORKDAY(Main[[#This Row],[Tech Start Date]],28),IF(Main[[#This Row],[Class]]="B", WORKDAY(Main[[#This Row],[Tech Start Date]],19),IF(Main[[#This Row],[Class]]="A",WORKDAY(Main[[#This Row],[Tech Start Date]],9),""))))</f>
        <v/>
      </c>
      <c r="Q457" s="85"/>
      <c r="R457" s="112"/>
      <c r="S457" s="95" t="s">
        <v>11</v>
      </c>
      <c r="T457" s="74" t="s">
        <v>4</v>
      </c>
      <c r="U457" s="95" t="s">
        <v>14</v>
      </c>
      <c r="V457" s="95" t="s">
        <v>1912</v>
      </c>
      <c r="W457" s="95" t="s">
        <v>1919</v>
      </c>
      <c r="X457" s="95" t="s">
        <v>2807</v>
      </c>
      <c r="Y457" s="72" t="s">
        <v>2926</v>
      </c>
      <c r="Z457" s="72" t="s">
        <v>4</v>
      </c>
      <c r="AA457" s="95" t="s">
        <v>2807</v>
      </c>
      <c r="AB457" s="132"/>
      <c r="AC457" s="132"/>
      <c r="AD457" s="132"/>
      <c r="AE457" s="63"/>
      <c r="AF457" s="63"/>
      <c r="AG457" s="63"/>
    </row>
    <row r="458" spans="1:33" ht="17.2" customHeight="1">
      <c r="A458" s="64" t="str">
        <f>IF(priority(Main[[#This Row],[Comments]])&lt;&gt;0, priority(Main[[#This Row],[Comments]]),"")</f>
        <v/>
      </c>
      <c r="B458" s="60" t="s">
        <v>1289</v>
      </c>
      <c r="C458" s="72" t="s">
        <v>365</v>
      </c>
      <c r="D458" s="59" t="s">
        <v>366</v>
      </c>
      <c r="E458" s="85"/>
      <c r="F458" s="85"/>
      <c r="G458" s="64" t="str">
        <f>IF(stdProdLT(Main[[#This Row],[Comments]])=0.1,"N/A",IF(stdProdLT(Main[[#This Row],[Comments]])=0,"",TRIM(stdProdLT(Main[[#This Row],[Comments]]))))</f>
        <v/>
      </c>
      <c r="H458" s="94" t="str">
        <f>IF(OR(Main[[#This Row],[Std. Prod. Lead Time]]="N/A",Main[[#This Row],[Std. Prod. Lead Time]]=""), "",IF(AND(Main[[#This Row],[In Stock Date]]&lt;&gt;"",Main[[#This Row],[Revised Due Date]]&lt;&gt;"",Main[[#This Row],[In Stock Date]]&lt;&gt;""),Main[[#This Row],[In Stock Date]]-Main[[#This Row],[Revised Due Date]],""))</f>
        <v/>
      </c>
      <c r="I458" s="101" t="s">
        <v>4</v>
      </c>
      <c r="J458" s="95" t="s">
        <v>4</v>
      </c>
      <c r="K458" s="96" t="s">
        <v>4</v>
      </c>
      <c r="L458" s="85"/>
      <c r="M458" s="73" t="str">
        <f>IF(Main[[#This Row],[Tech Start Date]]&lt;1/1/1990,"",IF(Main[[#This Row],[Class]]="C",WORKDAY(Main[[#This Row],[Tech Start Date]],9),IF(Main[[#This Row],[Class]]="B", WORKDAY(Main[[#This Row],[Tech Start Date]],6),IF(Main[[#This Row],[Class]]="A",WORKDAY(Main[[#This Row],[Tech Start Date]],2),""))))</f>
        <v/>
      </c>
      <c r="N458" s="73" t="str">
        <f>IF(Main[[#This Row],[Tech Start Date]]&lt;1/1/1990,"",IF(Main[[#This Row],[Class]]="C",WORKDAY(Main[[#This Row],[Tech Start Date]],19),IF(Main[[#This Row],[Class]]="B", WORKDAY(Main[[#This Row],[Tech Start Date]],12),IF(Main[[#This Row],[Class]]="A",WORKDAY(Main[[#This Row],[Tech Start Date]],4),""))))</f>
        <v/>
      </c>
      <c r="O458" s="73" t="str">
        <f>IF(Main[[#This Row],[Tech Start Date]]&lt;1/1/1990,"",IF(Main[[#This Row],[Class]]="C",WORKDAY(Main[[#This Row],[Tech Start Date]],23),IF(Main[[#This Row],[Class]]="B", WORKDAY(Main[[#This Row],[Tech Start Date]],15),IF(Main[[#This Row],[Class]]="A",WORKDAY(Main[[#This Row],[Tech Start Date]],5),""))))</f>
        <v/>
      </c>
      <c r="P458" s="73" t="str">
        <f>IF(Main[[#This Row],[Tech Start Date]]&lt;1/1/1990,"",IF(Main[[#This Row],[Class]]="C",WORKDAY(Main[[#This Row],[Tech Start Date]],28),IF(Main[[#This Row],[Class]]="B", WORKDAY(Main[[#This Row],[Tech Start Date]],19),IF(Main[[#This Row],[Class]]="A",WORKDAY(Main[[#This Row],[Tech Start Date]],9),""))))</f>
        <v/>
      </c>
      <c r="Q458" s="85"/>
      <c r="R458" s="112"/>
      <c r="S458" s="95" t="s">
        <v>11</v>
      </c>
      <c r="T458" s="74" t="s">
        <v>4</v>
      </c>
      <c r="U458" s="95" t="s">
        <v>14</v>
      </c>
      <c r="V458" s="95" t="s">
        <v>1912</v>
      </c>
      <c r="W458" s="95" t="s">
        <v>1919</v>
      </c>
      <c r="X458" s="95" t="s">
        <v>2807</v>
      </c>
      <c r="Y458" s="72" t="s">
        <v>2926</v>
      </c>
      <c r="Z458" s="72" t="s">
        <v>4</v>
      </c>
      <c r="AA458" s="95" t="s">
        <v>2807</v>
      </c>
      <c r="AB458" s="132"/>
      <c r="AC458" s="132"/>
      <c r="AD458" s="132"/>
      <c r="AE458" s="63"/>
      <c r="AF458" s="63"/>
      <c r="AG458" s="63"/>
    </row>
    <row r="459" spans="1:33" ht="17.2" customHeight="1">
      <c r="A459" s="64" t="str">
        <f>IF(priority(Main[[#This Row],[Comments]])&lt;&gt;0, priority(Main[[#This Row],[Comments]]),"")</f>
        <v/>
      </c>
      <c r="B459" s="60" t="s">
        <v>1290</v>
      </c>
      <c r="C459" s="72" t="s">
        <v>367</v>
      </c>
      <c r="D459" s="59" t="s">
        <v>368</v>
      </c>
      <c r="E459" s="85">
        <v>40210.419814814813</v>
      </c>
      <c r="F459" s="85">
        <v>40405</v>
      </c>
      <c r="G459" s="64" t="str">
        <f>IF(stdProdLT(Main[[#This Row],[Comments]])=0.1,"N/A",IF(stdProdLT(Main[[#This Row],[Comments]])=0,"",TRIM(stdProdLT(Main[[#This Row],[Comments]]))))</f>
        <v/>
      </c>
      <c r="H459" s="94" t="str">
        <f>IF(OR(Main[[#This Row],[Std. Prod. Lead Time]]="N/A",Main[[#This Row],[Std. Prod. Lead Time]]=""), "",IF(AND(Main[[#This Row],[In Stock Date]]&lt;&gt;"",Main[[#This Row],[Revised Due Date]]&lt;&gt;"",Main[[#This Row],[In Stock Date]]&lt;&gt;""),Main[[#This Row],[In Stock Date]]-Main[[#This Row],[Revised Due Date]],""))</f>
        <v/>
      </c>
      <c r="I459" s="101" t="s">
        <v>163</v>
      </c>
      <c r="J459" s="95" t="s">
        <v>4</v>
      </c>
      <c r="K459" s="95" t="s">
        <v>1923</v>
      </c>
      <c r="L459" s="85"/>
      <c r="M459" s="73" t="str">
        <f>IF(Main[[#This Row],[Tech Start Date]]&lt;1/1/1990,"",IF(Main[[#This Row],[Class]]="C",WORKDAY(Main[[#This Row],[Tech Start Date]],9),IF(Main[[#This Row],[Class]]="B", WORKDAY(Main[[#This Row],[Tech Start Date]],6),IF(Main[[#This Row],[Class]]="A",WORKDAY(Main[[#This Row],[Tech Start Date]],2),""))))</f>
        <v/>
      </c>
      <c r="N459" s="73" t="str">
        <f>IF(Main[[#This Row],[Tech Start Date]]&lt;1/1/1990,"",IF(Main[[#This Row],[Class]]="C",WORKDAY(Main[[#This Row],[Tech Start Date]],19),IF(Main[[#This Row],[Class]]="B", WORKDAY(Main[[#This Row],[Tech Start Date]],12),IF(Main[[#This Row],[Class]]="A",WORKDAY(Main[[#This Row],[Tech Start Date]],4),""))))</f>
        <v/>
      </c>
      <c r="O459" s="73" t="str">
        <f>IF(Main[[#This Row],[Tech Start Date]]&lt;1/1/1990,"",IF(Main[[#This Row],[Class]]="C",WORKDAY(Main[[#This Row],[Tech Start Date]],23),IF(Main[[#This Row],[Class]]="B", WORKDAY(Main[[#This Row],[Tech Start Date]],15),IF(Main[[#This Row],[Class]]="A",WORKDAY(Main[[#This Row],[Tech Start Date]],5),""))))</f>
        <v/>
      </c>
      <c r="P459" s="73" t="str">
        <f>IF(Main[[#This Row],[Tech Start Date]]&lt;1/1/1990,"",IF(Main[[#This Row],[Class]]="C",WORKDAY(Main[[#This Row],[Tech Start Date]],28),IF(Main[[#This Row],[Class]]="B", WORKDAY(Main[[#This Row],[Tech Start Date]],19),IF(Main[[#This Row],[Class]]="A",WORKDAY(Main[[#This Row],[Tech Start Date]],9),""))))</f>
        <v/>
      </c>
      <c r="Q459" s="85">
        <v>40223</v>
      </c>
      <c r="R459" s="112"/>
      <c r="S459" s="95" t="s">
        <v>17</v>
      </c>
      <c r="T459" s="74" t="s">
        <v>4</v>
      </c>
      <c r="U459" s="95" t="s">
        <v>29</v>
      </c>
      <c r="V459" s="95" t="s">
        <v>1914</v>
      </c>
      <c r="W459" s="95" t="s">
        <v>1916</v>
      </c>
      <c r="X459" s="95" t="s">
        <v>553</v>
      </c>
      <c r="Y459" s="72" t="s">
        <v>4</v>
      </c>
      <c r="Z459" s="72" t="s">
        <v>4</v>
      </c>
      <c r="AA459" s="95" t="s">
        <v>553</v>
      </c>
      <c r="AB459" s="132"/>
      <c r="AC459" s="132"/>
      <c r="AD459" s="132"/>
      <c r="AE459" s="63"/>
      <c r="AF459" s="63"/>
      <c r="AG459" s="63"/>
    </row>
    <row r="460" spans="1:33" ht="17.2" customHeight="1">
      <c r="A460" s="64" t="str">
        <f>IF(priority(Main[[#This Row],[Comments]])&lt;&gt;0, priority(Main[[#This Row],[Comments]]),"")</f>
        <v/>
      </c>
      <c r="B460" s="60" t="s">
        <v>1294</v>
      </c>
      <c r="C460" s="72" t="s">
        <v>4</v>
      </c>
      <c r="D460" s="59" t="s">
        <v>412</v>
      </c>
      <c r="E460" s="85"/>
      <c r="F460" s="85"/>
      <c r="G460" s="64" t="str">
        <f>IF(stdProdLT(Main[[#This Row],[Comments]])=0.1,"N/A",IF(stdProdLT(Main[[#This Row],[Comments]])=0,"",TRIM(stdProdLT(Main[[#This Row],[Comments]]))))</f>
        <v/>
      </c>
      <c r="H460" s="94" t="str">
        <f>IF(OR(Main[[#This Row],[Std. Prod. Lead Time]]="N/A",Main[[#This Row],[Std. Prod. Lead Time]]=""), "",IF(AND(Main[[#This Row],[In Stock Date]]&lt;&gt;"",Main[[#This Row],[Revised Due Date]]&lt;&gt;"",Main[[#This Row],[In Stock Date]]&lt;&gt;""),Main[[#This Row],[In Stock Date]]-Main[[#This Row],[Revised Due Date]],""))</f>
        <v/>
      </c>
      <c r="I460" s="101" t="s">
        <v>306</v>
      </c>
      <c r="J460" s="95" t="s">
        <v>75</v>
      </c>
      <c r="K460" s="95" t="s">
        <v>1920</v>
      </c>
      <c r="L460" s="85"/>
      <c r="M460" s="73" t="str">
        <f>IF(Main[[#This Row],[Tech Start Date]]&lt;1/1/1990,"",IF(Main[[#This Row],[Class]]="C",WORKDAY(Main[[#This Row],[Tech Start Date]],9),IF(Main[[#This Row],[Class]]="B", WORKDAY(Main[[#This Row],[Tech Start Date]],6),IF(Main[[#This Row],[Class]]="A",WORKDAY(Main[[#This Row],[Tech Start Date]],2),""))))</f>
        <v/>
      </c>
      <c r="N460" s="73" t="str">
        <f>IF(Main[[#This Row],[Tech Start Date]]&lt;1/1/1990,"",IF(Main[[#This Row],[Class]]="C",WORKDAY(Main[[#This Row],[Tech Start Date]],19),IF(Main[[#This Row],[Class]]="B", WORKDAY(Main[[#This Row],[Tech Start Date]],12),IF(Main[[#This Row],[Class]]="A",WORKDAY(Main[[#This Row],[Tech Start Date]],4),""))))</f>
        <v/>
      </c>
      <c r="O460" s="73" t="str">
        <f>IF(Main[[#This Row],[Tech Start Date]]&lt;1/1/1990,"",IF(Main[[#This Row],[Class]]="C",WORKDAY(Main[[#This Row],[Tech Start Date]],23),IF(Main[[#This Row],[Class]]="B", WORKDAY(Main[[#This Row],[Tech Start Date]],15),IF(Main[[#This Row],[Class]]="A",WORKDAY(Main[[#This Row],[Tech Start Date]],5),""))))</f>
        <v/>
      </c>
      <c r="P460" s="73" t="str">
        <f>IF(Main[[#This Row],[Tech Start Date]]&lt;1/1/1990,"",IF(Main[[#This Row],[Class]]="C",WORKDAY(Main[[#This Row],[Tech Start Date]],28),IF(Main[[#This Row],[Class]]="B", WORKDAY(Main[[#This Row],[Tech Start Date]],19),IF(Main[[#This Row],[Class]]="A",WORKDAY(Main[[#This Row],[Tech Start Date]],9),""))))</f>
        <v/>
      </c>
      <c r="Q460" s="85">
        <v>40655</v>
      </c>
      <c r="R460" s="112"/>
      <c r="S460" s="95" t="s">
        <v>6</v>
      </c>
      <c r="T460" s="74" t="s">
        <v>4</v>
      </c>
      <c r="U460" s="95" t="s">
        <v>14</v>
      </c>
      <c r="V460" s="95" t="s">
        <v>1914</v>
      </c>
      <c r="W460" s="95" t="s">
        <v>1913</v>
      </c>
      <c r="X460" s="95" t="s">
        <v>2799</v>
      </c>
      <c r="Y460" s="72" t="s">
        <v>2910</v>
      </c>
      <c r="Z460" s="72" t="s">
        <v>44</v>
      </c>
      <c r="AA460" s="95" t="s">
        <v>2799</v>
      </c>
      <c r="AB460" s="132"/>
      <c r="AC460" s="132"/>
      <c r="AD460" s="132"/>
      <c r="AE460" s="63"/>
      <c r="AF460" s="63"/>
      <c r="AG460" s="63"/>
    </row>
    <row r="461" spans="1:33" ht="17.2" customHeight="1">
      <c r="A461" s="64" t="str">
        <f>IF(priority(Main[[#This Row],[Comments]])&lt;&gt;0, priority(Main[[#This Row],[Comments]]),"")</f>
        <v/>
      </c>
      <c r="B461" s="60" t="s">
        <v>1295</v>
      </c>
      <c r="C461" s="72" t="s">
        <v>211</v>
      </c>
      <c r="D461" s="59" t="s">
        <v>413</v>
      </c>
      <c r="E461" s="85"/>
      <c r="F461" s="85">
        <v>40452</v>
      </c>
      <c r="G461" s="64" t="str">
        <f>IF(stdProdLT(Main[[#This Row],[Comments]])=0.1,"N/A",IF(stdProdLT(Main[[#This Row],[Comments]])=0,"",TRIM(stdProdLT(Main[[#This Row],[Comments]]))))</f>
        <v/>
      </c>
      <c r="H461" s="94" t="str">
        <f>IF(OR(Main[[#This Row],[Std. Prod. Lead Time]]="N/A",Main[[#This Row],[Std. Prod. Lead Time]]=""), "",IF(AND(Main[[#This Row],[In Stock Date]]&lt;&gt;"",Main[[#This Row],[Revised Due Date]]&lt;&gt;"",Main[[#This Row],[In Stock Date]]&lt;&gt;""),Main[[#This Row],[In Stock Date]]-Main[[#This Row],[Revised Due Date]],""))</f>
        <v/>
      </c>
      <c r="I461" s="101" t="s">
        <v>4</v>
      </c>
      <c r="J461" s="95" t="s">
        <v>4</v>
      </c>
      <c r="K461" s="95" t="s">
        <v>4</v>
      </c>
      <c r="L461" s="85"/>
      <c r="M461" s="73" t="str">
        <f>IF(Main[[#This Row],[Tech Start Date]]&lt;1/1/1990,"",IF(Main[[#This Row],[Class]]="C",WORKDAY(Main[[#This Row],[Tech Start Date]],9),IF(Main[[#This Row],[Class]]="B", WORKDAY(Main[[#This Row],[Tech Start Date]],6),IF(Main[[#This Row],[Class]]="A",WORKDAY(Main[[#This Row],[Tech Start Date]],2),""))))</f>
        <v/>
      </c>
      <c r="N461" s="73" t="str">
        <f>IF(Main[[#This Row],[Tech Start Date]]&lt;1/1/1990,"",IF(Main[[#This Row],[Class]]="C",WORKDAY(Main[[#This Row],[Tech Start Date]],19),IF(Main[[#This Row],[Class]]="B", WORKDAY(Main[[#This Row],[Tech Start Date]],12),IF(Main[[#This Row],[Class]]="A",WORKDAY(Main[[#This Row],[Tech Start Date]],4),""))))</f>
        <v/>
      </c>
      <c r="O461" s="73" t="str">
        <f>IF(Main[[#This Row],[Tech Start Date]]&lt;1/1/1990,"",IF(Main[[#This Row],[Class]]="C",WORKDAY(Main[[#This Row],[Tech Start Date]],23),IF(Main[[#This Row],[Class]]="B", WORKDAY(Main[[#This Row],[Tech Start Date]],15),IF(Main[[#This Row],[Class]]="A",WORKDAY(Main[[#This Row],[Tech Start Date]],5),""))))</f>
        <v/>
      </c>
      <c r="P461" s="73" t="str">
        <f>IF(Main[[#This Row],[Tech Start Date]]&lt;1/1/1990,"",IF(Main[[#This Row],[Class]]="C",WORKDAY(Main[[#This Row],[Tech Start Date]],28),IF(Main[[#This Row],[Class]]="B", WORKDAY(Main[[#This Row],[Tech Start Date]],19),IF(Main[[#This Row],[Class]]="A",WORKDAY(Main[[#This Row],[Tech Start Date]],9),""))))</f>
        <v/>
      </c>
      <c r="Q461" s="85">
        <v>40357</v>
      </c>
      <c r="R461" s="112"/>
      <c r="S461" s="95" t="s">
        <v>11</v>
      </c>
      <c r="T461" s="74" t="s">
        <v>4</v>
      </c>
      <c r="U461" s="95" t="s">
        <v>12</v>
      </c>
      <c r="V461" s="95" t="s">
        <v>1911</v>
      </c>
      <c r="W461" s="95" t="s">
        <v>1919</v>
      </c>
      <c r="X461" s="95" t="s">
        <v>2813</v>
      </c>
      <c r="Y461" s="72" t="s">
        <v>4</v>
      </c>
      <c r="Z461" s="72" t="s">
        <v>4</v>
      </c>
      <c r="AA461" s="95" t="s">
        <v>2813</v>
      </c>
      <c r="AB461" s="132"/>
      <c r="AC461" s="132"/>
      <c r="AD461" s="132"/>
      <c r="AE461" s="63"/>
      <c r="AF461" s="63"/>
      <c r="AG461" s="63"/>
    </row>
    <row r="462" spans="1:33" ht="17.2" customHeight="1">
      <c r="A462" s="64" t="str">
        <f>IF(priority(Main[[#This Row],[Comments]])&lt;&gt;0, priority(Main[[#This Row],[Comments]]),"")</f>
        <v/>
      </c>
      <c r="B462" s="60" t="s">
        <v>1334</v>
      </c>
      <c r="C462" s="72" t="s">
        <v>4</v>
      </c>
      <c r="D462" s="59" t="s">
        <v>414</v>
      </c>
      <c r="E462" s="85"/>
      <c r="F462" s="85">
        <v>40633</v>
      </c>
      <c r="G462" s="64" t="str">
        <f>IF(stdProdLT(Main[[#This Row],[Comments]])=0.1,"N/A",IF(stdProdLT(Main[[#This Row],[Comments]])=0,"",TRIM(stdProdLT(Main[[#This Row],[Comments]]))))</f>
        <v/>
      </c>
      <c r="H462" s="94" t="str">
        <f>IF(OR(Main[[#This Row],[Std. Prod. Lead Time]]="N/A",Main[[#This Row],[Std. Prod. Lead Time]]=""), "",IF(AND(Main[[#This Row],[In Stock Date]]&lt;&gt;"",Main[[#This Row],[Revised Due Date]]&lt;&gt;"",Main[[#This Row],[In Stock Date]]&lt;&gt;""),Main[[#This Row],[In Stock Date]]-Main[[#This Row],[Revised Due Date]],""))</f>
        <v/>
      </c>
      <c r="I462" s="101" t="s">
        <v>415</v>
      </c>
      <c r="J462" s="95" t="s">
        <v>28</v>
      </c>
      <c r="K462" s="95" t="s">
        <v>1920</v>
      </c>
      <c r="L462" s="85"/>
      <c r="M462" s="73" t="str">
        <f>IF(Main[[#This Row],[Tech Start Date]]&lt;1/1/1990,"",IF(Main[[#This Row],[Class]]="C",WORKDAY(Main[[#This Row],[Tech Start Date]],9),IF(Main[[#This Row],[Class]]="B", WORKDAY(Main[[#This Row],[Tech Start Date]],6),IF(Main[[#This Row],[Class]]="A",WORKDAY(Main[[#This Row],[Tech Start Date]],2),""))))</f>
        <v/>
      </c>
      <c r="N462" s="73" t="str">
        <f>IF(Main[[#This Row],[Tech Start Date]]&lt;1/1/1990,"",IF(Main[[#This Row],[Class]]="C",WORKDAY(Main[[#This Row],[Tech Start Date]],19),IF(Main[[#This Row],[Class]]="B", WORKDAY(Main[[#This Row],[Tech Start Date]],12),IF(Main[[#This Row],[Class]]="A",WORKDAY(Main[[#This Row],[Tech Start Date]],4),""))))</f>
        <v/>
      </c>
      <c r="O462" s="73" t="str">
        <f>IF(Main[[#This Row],[Tech Start Date]]&lt;1/1/1990,"",IF(Main[[#This Row],[Class]]="C",WORKDAY(Main[[#This Row],[Tech Start Date]],23),IF(Main[[#This Row],[Class]]="B", WORKDAY(Main[[#This Row],[Tech Start Date]],15),IF(Main[[#This Row],[Class]]="A",WORKDAY(Main[[#This Row],[Tech Start Date]],5),""))))</f>
        <v/>
      </c>
      <c r="P462" s="73" t="str">
        <f>IF(Main[[#This Row],[Tech Start Date]]&lt;1/1/1990,"",IF(Main[[#This Row],[Class]]="C",WORKDAY(Main[[#This Row],[Tech Start Date]],28),IF(Main[[#This Row],[Class]]="B", WORKDAY(Main[[#This Row],[Tech Start Date]],19),IF(Main[[#This Row],[Class]]="A",WORKDAY(Main[[#This Row],[Tech Start Date]],9),""))))</f>
        <v/>
      </c>
      <c r="Q462" s="85">
        <v>40633</v>
      </c>
      <c r="R462" s="112"/>
      <c r="S462" s="95" t="s">
        <v>6</v>
      </c>
      <c r="T462" s="74" t="s">
        <v>4</v>
      </c>
      <c r="U462" s="95" t="s">
        <v>14</v>
      </c>
      <c r="V462" s="95" t="s">
        <v>1914</v>
      </c>
      <c r="W462" s="95" t="s">
        <v>1913</v>
      </c>
      <c r="X462" s="95" t="s">
        <v>2799</v>
      </c>
      <c r="Y462" s="72" t="s">
        <v>2910</v>
      </c>
      <c r="Z462" s="72" t="s">
        <v>30</v>
      </c>
      <c r="AA462" s="95" t="s">
        <v>2799</v>
      </c>
      <c r="AB462" s="132"/>
      <c r="AC462" s="132"/>
      <c r="AD462" s="132"/>
      <c r="AE462" s="63"/>
      <c r="AF462" s="63"/>
      <c r="AG462" s="63"/>
    </row>
    <row r="463" spans="1:33" ht="17.2" customHeight="1">
      <c r="A463" s="64" t="str">
        <f>IF(priority(Main[[#This Row],[Comments]])&lt;&gt;0, priority(Main[[#This Row],[Comments]]),"")</f>
        <v/>
      </c>
      <c r="B463" s="60" t="s">
        <v>1832</v>
      </c>
      <c r="C463" s="72" t="s">
        <v>4</v>
      </c>
      <c r="D463" s="59" t="s">
        <v>888</v>
      </c>
      <c r="E463" s="85">
        <v>40365.442546296297</v>
      </c>
      <c r="F463" s="85"/>
      <c r="G463" s="64" t="str">
        <f>IF(stdProdLT(Main[[#This Row],[Comments]])=0.1,"N/A",IF(stdProdLT(Main[[#This Row],[Comments]])=0,"",TRIM(stdProdLT(Main[[#This Row],[Comments]]))))</f>
        <v/>
      </c>
      <c r="H463" s="94" t="str">
        <f>IF(OR(Main[[#This Row],[Std. Prod. Lead Time]]="N/A",Main[[#This Row],[Std. Prod. Lead Time]]=""), "",IF(AND(Main[[#This Row],[In Stock Date]]&lt;&gt;"",Main[[#This Row],[Revised Due Date]]&lt;&gt;"",Main[[#This Row],[In Stock Date]]&lt;&gt;""),Main[[#This Row],[In Stock Date]]-Main[[#This Row],[Revised Due Date]],""))</f>
        <v/>
      </c>
      <c r="I463" s="101" t="s">
        <v>889</v>
      </c>
      <c r="J463" s="95" t="s">
        <v>28</v>
      </c>
      <c r="K463" s="95" t="s">
        <v>1923</v>
      </c>
      <c r="L463" s="85"/>
      <c r="M463" s="73" t="str">
        <f>IF(Main[[#This Row],[Tech Start Date]]&lt;1/1/1990,"",IF(Main[[#This Row],[Class]]="C",WORKDAY(Main[[#This Row],[Tech Start Date]],9),IF(Main[[#This Row],[Class]]="B", WORKDAY(Main[[#This Row],[Tech Start Date]],6),IF(Main[[#This Row],[Class]]="A",WORKDAY(Main[[#This Row],[Tech Start Date]],2),""))))</f>
        <v/>
      </c>
      <c r="N463" s="73" t="str">
        <f>IF(Main[[#This Row],[Tech Start Date]]&lt;1/1/1990,"",IF(Main[[#This Row],[Class]]="C",WORKDAY(Main[[#This Row],[Tech Start Date]],19),IF(Main[[#This Row],[Class]]="B", WORKDAY(Main[[#This Row],[Tech Start Date]],12),IF(Main[[#This Row],[Class]]="A",WORKDAY(Main[[#This Row],[Tech Start Date]],4),""))))</f>
        <v/>
      </c>
      <c r="O463" s="73" t="str">
        <f>IF(Main[[#This Row],[Tech Start Date]]&lt;1/1/1990,"",IF(Main[[#This Row],[Class]]="C",WORKDAY(Main[[#This Row],[Tech Start Date]],23),IF(Main[[#This Row],[Class]]="B", WORKDAY(Main[[#This Row],[Tech Start Date]],15),IF(Main[[#This Row],[Class]]="A",WORKDAY(Main[[#This Row],[Tech Start Date]],5),""))))</f>
        <v/>
      </c>
      <c r="P463" s="73" t="str">
        <f>IF(Main[[#This Row],[Tech Start Date]]&lt;1/1/1990,"",IF(Main[[#This Row],[Class]]="C",WORKDAY(Main[[#This Row],[Tech Start Date]],28),IF(Main[[#This Row],[Class]]="B", WORKDAY(Main[[#This Row],[Tech Start Date]],19),IF(Main[[#This Row],[Class]]="A",WORKDAY(Main[[#This Row],[Tech Start Date]],9),""))))</f>
        <v/>
      </c>
      <c r="Q463" s="85">
        <v>40420</v>
      </c>
      <c r="R463" s="112">
        <v>40420</v>
      </c>
      <c r="S463" s="95" t="s">
        <v>318</v>
      </c>
      <c r="T463" s="74" t="s">
        <v>4</v>
      </c>
      <c r="U463" s="95" t="s">
        <v>29</v>
      </c>
      <c r="V463" s="95" t="s">
        <v>1911</v>
      </c>
      <c r="W463" s="95" t="s">
        <v>1915</v>
      </c>
      <c r="X463" s="95" t="s">
        <v>129</v>
      </c>
      <c r="Y463" s="72" t="s">
        <v>2911</v>
      </c>
      <c r="Z463" s="72" t="s">
        <v>129</v>
      </c>
      <c r="AA463" s="95" t="s">
        <v>129</v>
      </c>
      <c r="AB463" s="132"/>
      <c r="AC463" s="132"/>
      <c r="AD463" s="132"/>
      <c r="AE463" s="63"/>
      <c r="AF463" s="63"/>
      <c r="AG463" s="63"/>
    </row>
    <row r="464" spans="1:33" ht="17.2" customHeight="1">
      <c r="A464" s="64" t="str">
        <f>IF(priority(Main[[#This Row],[Comments]])&lt;&gt;0, priority(Main[[#This Row],[Comments]]),"")</f>
        <v/>
      </c>
      <c r="B464" s="60" t="s">
        <v>1335</v>
      </c>
      <c r="C464" s="72" t="s">
        <v>31</v>
      </c>
      <c r="D464" s="59" t="s">
        <v>416</v>
      </c>
      <c r="E464" s="85"/>
      <c r="F464" s="85">
        <v>40330</v>
      </c>
      <c r="G464" s="64" t="str">
        <f>IF(stdProdLT(Main[[#This Row],[Comments]])=0.1,"N/A",IF(stdProdLT(Main[[#This Row],[Comments]])=0,"",TRIM(stdProdLT(Main[[#This Row],[Comments]]))))</f>
        <v/>
      </c>
      <c r="H464" s="94" t="str">
        <f>IF(OR(Main[[#This Row],[Std. Prod. Lead Time]]="N/A",Main[[#This Row],[Std. Prod. Lead Time]]=""), "",IF(AND(Main[[#This Row],[In Stock Date]]&lt;&gt;"",Main[[#This Row],[Revised Due Date]]&lt;&gt;"",Main[[#This Row],[In Stock Date]]&lt;&gt;""),Main[[#This Row],[In Stock Date]]-Main[[#This Row],[Revised Due Date]],""))</f>
        <v/>
      </c>
      <c r="I464" s="101" t="s">
        <v>417</v>
      </c>
      <c r="J464" s="95" t="s">
        <v>4</v>
      </c>
      <c r="K464" s="95" t="s">
        <v>4</v>
      </c>
      <c r="L464" s="85"/>
      <c r="M464" s="73" t="str">
        <f>IF(Main[[#This Row],[Tech Start Date]]&lt;1/1/1990,"",IF(Main[[#This Row],[Class]]="C",WORKDAY(Main[[#This Row],[Tech Start Date]],9),IF(Main[[#This Row],[Class]]="B", WORKDAY(Main[[#This Row],[Tech Start Date]],6),IF(Main[[#This Row],[Class]]="A",WORKDAY(Main[[#This Row],[Tech Start Date]],2),""))))</f>
        <v/>
      </c>
      <c r="N464" s="73" t="str">
        <f>IF(Main[[#This Row],[Tech Start Date]]&lt;1/1/1990,"",IF(Main[[#This Row],[Class]]="C",WORKDAY(Main[[#This Row],[Tech Start Date]],19),IF(Main[[#This Row],[Class]]="B", WORKDAY(Main[[#This Row],[Tech Start Date]],12),IF(Main[[#This Row],[Class]]="A",WORKDAY(Main[[#This Row],[Tech Start Date]],4),""))))</f>
        <v/>
      </c>
      <c r="O464" s="73" t="str">
        <f>IF(Main[[#This Row],[Tech Start Date]]&lt;1/1/1990,"",IF(Main[[#This Row],[Class]]="C",WORKDAY(Main[[#This Row],[Tech Start Date]],23),IF(Main[[#This Row],[Class]]="B", WORKDAY(Main[[#This Row],[Tech Start Date]],15),IF(Main[[#This Row],[Class]]="A",WORKDAY(Main[[#This Row],[Tech Start Date]],5),""))))</f>
        <v/>
      </c>
      <c r="P464" s="73" t="str">
        <f>IF(Main[[#This Row],[Tech Start Date]]&lt;1/1/1990,"",IF(Main[[#This Row],[Class]]="C",WORKDAY(Main[[#This Row],[Tech Start Date]],28),IF(Main[[#This Row],[Class]]="B", WORKDAY(Main[[#This Row],[Tech Start Date]],19),IF(Main[[#This Row],[Class]]="A",WORKDAY(Main[[#This Row],[Tech Start Date]],9),""))))</f>
        <v/>
      </c>
      <c r="Q464" s="85">
        <v>40210</v>
      </c>
      <c r="R464" s="112"/>
      <c r="S464" s="95" t="s">
        <v>11</v>
      </c>
      <c r="T464" s="74" t="s">
        <v>4</v>
      </c>
      <c r="U464" s="95" t="s">
        <v>14</v>
      </c>
      <c r="V464" s="95" t="s">
        <v>1914</v>
      </c>
      <c r="W464" s="95" t="s">
        <v>1917</v>
      </c>
      <c r="X464" s="95" t="s">
        <v>2804</v>
      </c>
      <c r="Y464" s="72" t="s">
        <v>2921</v>
      </c>
      <c r="Z464" s="72" t="s">
        <v>4</v>
      </c>
      <c r="AA464" s="95" t="s">
        <v>2804</v>
      </c>
      <c r="AB464" s="132">
        <v>40207</v>
      </c>
      <c r="AC464" s="132"/>
      <c r="AD464" s="132"/>
      <c r="AE464" s="63"/>
      <c r="AF464" s="63"/>
      <c r="AG464" s="63"/>
    </row>
    <row r="465" spans="1:33" ht="17.2" customHeight="1">
      <c r="A465" s="64" t="str">
        <f>IF(priority(Main[[#This Row],[Comments]])&lt;&gt;0, priority(Main[[#This Row],[Comments]]),"")</f>
        <v/>
      </c>
      <c r="B465" s="60" t="s">
        <v>1336</v>
      </c>
      <c r="C465" s="72" t="s">
        <v>4</v>
      </c>
      <c r="D465" s="59" t="s">
        <v>418</v>
      </c>
      <c r="E465" s="85">
        <v>40305.512083333335</v>
      </c>
      <c r="F465" s="85"/>
      <c r="G465" s="64" t="str">
        <f>IF(stdProdLT(Main[[#This Row],[Comments]])=0.1,"N/A",IF(stdProdLT(Main[[#This Row],[Comments]])=0,"",TRIM(stdProdLT(Main[[#This Row],[Comments]]))))</f>
        <v/>
      </c>
      <c r="H465" s="94" t="str">
        <f>IF(OR(Main[[#This Row],[Std. Prod. Lead Time]]="N/A",Main[[#This Row],[Std. Prod. Lead Time]]=""), "",IF(AND(Main[[#This Row],[In Stock Date]]&lt;&gt;"",Main[[#This Row],[Revised Due Date]]&lt;&gt;"",Main[[#This Row],[In Stock Date]]&lt;&gt;""),Main[[#This Row],[In Stock Date]]-Main[[#This Row],[Revised Due Date]],""))</f>
        <v/>
      </c>
      <c r="I465" s="101" t="s">
        <v>4</v>
      </c>
      <c r="J465" s="95" t="s">
        <v>4</v>
      </c>
      <c r="K465" s="95" t="s">
        <v>4</v>
      </c>
      <c r="L465" s="85"/>
      <c r="M465" s="73" t="str">
        <f>IF(Main[[#This Row],[Tech Start Date]]&lt;1/1/1990,"",IF(Main[[#This Row],[Class]]="C",WORKDAY(Main[[#This Row],[Tech Start Date]],9),IF(Main[[#This Row],[Class]]="B", WORKDAY(Main[[#This Row],[Tech Start Date]],6),IF(Main[[#This Row],[Class]]="A",WORKDAY(Main[[#This Row],[Tech Start Date]],2),""))))</f>
        <v/>
      </c>
      <c r="N465" s="73" t="str">
        <f>IF(Main[[#This Row],[Tech Start Date]]&lt;1/1/1990,"",IF(Main[[#This Row],[Class]]="C",WORKDAY(Main[[#This Row],[Tech Start Date]],19),IF(Main[[#This Row],[Class]]="B", WORKDAY(Main[[#This Row],[Tech Start Date]],12),IF(Main[[#This Row],[Class]]="A",WORKDAY(Main[[#This Row],[Tech Start Date]],4),""))))</f>
        <v/>
      </c>
      <c r="O465" s="73" t="str">
        <f>IF(Main[[#This Row],[Tech Start Date]]&lt;1/1/1990,"",IF(Main[[#This Row],[Class]]="C",WORKDAY(Main[[#This Row],[Tech Start Date]],23),IF(Main[[#This Row],[Class]]="B", WORKDAY(Main[[#This Row],[Tech Start Date]],15),IF(Main[[#This Row],[Class]]="A",WORKDAY(Main[[#This Row],[Tech Start Date]],5),""))))</f>
        <v/>
      </c>
      <c r="P465" s="73" t="str">
        <f>IF(Main[[#This Row],[Tech Start Date]]&lt;1/1/1990,"",IF(Main[[#This Row],[Class]]="C",WORKDAY(Main[[#This Row],[Tech Start Date]],28),IF(Main[[#This Row],[Class]]="B", WORKDAY(Main[[#This Row],[Tech Start Date]],19),IF(Main[[#This Row],[Class]]="A",WORKDAY(Main[[#This Row],[Tech Start Date]],9),""))))</f>
        <v/>
      </c>
      <c r="Q465" s="85">
        <v>40312</v>
      </c>
      <c r="R465" s="112"/>
      <c r="S465" s="95" t="s">
        <v>6</v>
      </c>
      <c r="T465" s="74" t="s">
        <v>4</v>
      </c>
      <c r="U465" s="95" t="s">
        <v>7</v>
      </c>
      <c r="V465" s="95" t="s">
        <v>1911</v>
      </c>
      <c r="W465" s="95" t="s">
        <v>4</v>
      </c>
      <c r="X465" s="95" t="s">
        <v>102</v>
      </c>
      <c r="Y465" s="72" t="s">
        <v>2989</v>
      </c>
      <c r="Z465" s="72" t="s">
        <v>4</v>
      </c>
      <c r="AA465" s="95" t="s">
        <v>3369</v>
      </c>
      <c r="AB465" s="132"/>
      <c r="AC465" s="132"/>
      <c r="AD465" s="132"/>
      <c r="AE465" s="63"/>
      <c r="AF465" s="63"/>
      <c r="AG465" s="63"/>
    </row>
    <row r="466" spans="1:33" ht="17.2" customHeight="1">
      <c r="A466" s="64" t="str">
        <f>IF(priority(Main[[#This Row],[Comments]])&lt;&gt;0, priority(Main[[#This Row],[Comments]]),"")</f>
        <v/>
      </c>
      <c r="B466" s="60" t="s">
        <v>1297</v>
      </c>
      <c r="C466" s="72" t="s">
        <v>31</v>
      </c>
      <c r="D466" s="59" t="s">
        <v>371</v>
      </c>
      <c r="E466" s="85"/>
      <c r="F466" s="85"/>
      <c r="G466" s="64" t="str">
        <f>IF(stdProdLT(Main[[#This Row],[Comments]])=0.1,"N/A",IF(stdProdLT(Main[[#This Row],[Comments]])=0,"",TRIM(stdProdLT(Main[[#This Row],[Comments]]))))</f>
        <v/>
      </c>
      <c r="H466" s="94" t="str">
        <f>IF(OR(Main[[#This Row],[Std. Prod. Lead Time]]="N/A",Main[[#This Row],[Std. Prod. Lead Time]]=""), "",IF(AND(Main[[#This Row],[In Stock Date]]&lt;&gt;"",Main[[#This Row],[Revised Due Date]]&lt;&gt;"",Main[[#This Row],[In Stock Date]]&lt;&gt;""),Main[[#This Row],[In Stock Date]]-Main[[#This Row],[Revised Due Date]],""))</f>
        <v/>
      </c>
      <c r="I466" s="101" t="s">
        <v>4</v>
      </c>
      <c r="J466" s="95" t="s">
        <v>4</v>
      </c>
      <c r="K466" s="95" t="s">
        <v>4</v>
      </c>
      <c r="L466" s="85"/>
      <c r="M466" s="73" t="str">
        <f>IF(Main[[#This Row],[Tech Start Date]]&lt;1/1/1990,"",IF(Main[[#This Row],[Class]]="C",WORKDAY(Main[[#This Row],[Tech Start Date]],9),IF(Main[[#This Row],[Class]]="B", WORKDAY(Main[[#This Row],[Tech Start Date]],6),IF(Main[[#This Row],[Class]]="A",WORKDAY(Main[[#This Row],[Tech Start Date]],2),""))))</f>
        <v/>
      </c>
      <c r="N466" s="73" t="str">
        <f>IF(Main[[#This Row],[Tech Start Date]]&lt;1/1/1990,"",IF(Main[[#This Row],[Class]]="C",WORKDAY(Main[[#This Row],[Tech Start Date]],19),IF(Main[[#This Row],[Class]]="B", WORKDAY(Main[[#This Row],[Tech Start Date]],12),IF(Main[[#This Row],[Class]]="A",WORKDAY(Main[[#This Row],[Tech Start Date]],4),""))))</f>
        <v/>
      </c>
      <c r="O466" s="73" t="str">
        <f>IF(Main[[#This Row],[Tech Start Date]]&lt;1/1/1990,"",IF(Main[[#This Row],[Class]]="C",WORKDAY(Main[[#This Row],[Tech Start Date]],23),IF(Main[[#This Row],[Class]]="B", WORKDAY(Main[[#This Row],[Tech Start Date]],15),IF(Main[[#This Row],[Class]]="A",WORKDAY(Main[[#This Row],[Tech Start Date]],5),""))))</f>
        <v/>
      </c>
      <c r="P466" s="73" t="str">
        <f>IF(Main[[#This Row],[Tech Start Date]]&lt;1/1/1990,"",IF(Main[[#This Row],[Class]]="C",WORKDAY(Main[[#This Row],[Tech Start Date]],28),IF(Main[[#This Row],[Class]]="B", WORKDAY(Main[[#This Row],[Tech Start Date]],19),IF(Main[[#This Row],[Class]]="A",WORKDAY(Main[[#This Row],[Tech Start Date]],9),""))))</f>
        <v/>
      </c>
      <c r="Q466" s="85">
        <v>40318</v>
      </c>
      <c r="R466" s="112"/>
      <c r="S466" s="95" t="s">
        <v>11</v>
      </c>
      <c r="T466" s="74" t="s">
        <v>4</v>
      </c>
      <c r="U466" s="95" t="s">
        <v>14</v>
      </c>
      <c r="V466" s="95" t="s">
        <v>1914</v>
      </c>
      <c r="W466" s="95" t="s">
        <v>1913</v>
      </c>
      <c r="X466" s="95" t="s">
        <v>2810</v>
      </c>
      <c r="Y466" s="72" t="s">
        <v>4</v>
      </c>
      <c r="Z466" s="72" t="s">
        <v>4</v>
      </c>
      <c r="AA466" s="95" t="s">
        <v>2810</v>
      </c>
      <c r="AB466" s="132"/>
      <c r="AC466" s="132"/>
      <c r="AD466" s="132"/>
      <c r="AE466" s="63"/>
      <c r="AF466" s="63"/>
      <c r="AG466" s="63"/>
    </row>
    <row r="467" spans="1:33" ht="17.2" customHeight="1">
      <c r="A467" s="64" t="str">
        <f>IF(priority(Main[[#This Row],[Comments]])&lt;&gt;0, priority(Main[[#This Row],[Comments]]),"")</f>
        <v/>
      </c>
      <c r="B467" s="60" t="s">
        <v>1298</v>
      </c>
      <c r="C467" s="72" t="s">
        <v>4</v>
      </c>
      <c r="D467" s="59" t="s">
        <v>372</v>
      </c>
      <c r="E467" s="85">
        <v>40679.255486111113</v>
      </c>
      <c r="F467" s="85"/>
      <c r="G467" s="64" t="str">
        <f>IF(stdProdLT(Main[[#This Row],[Comments]])=0.1,"N/A",IF(stdProdLT(Main[[#This Row],[Comments]])=0,"",TRIM(stdProdLT(Main[[#This Row],[Comments]]))))</f>
        <v/>
      </c>
      <c r="H467" s="94" t="str">
        <f>IF(OR(Main[[#This Row],[Std. Prod. Lead Time]]="N/A",Main[[#This Row],[Std. Prod. Lead Time]]=""), "",IF(AND(Main[[#This Row],[In Stock Date]]&lt;&gt;"",Main[[#This Row],[Revised Due Date]]&lt;&gt;"",Main[[#This Row],[In Stock Date]]&lt;&gt;""),Main[[#This Row],[In Stock Date]]-Main[[#This Row],[Revised Due Date]],""))</f>
        <v/>
      </c>
      <c r="I467" s="101" t="s">
        <v>4</v>
      </c>
      <c r="J467" s="95" t="s">
        <v>4</v>
      </c>
      <c r="K467" s="95" t="s">
        <v>4</v>
      </c>
      <c r="L467" s="85"/>
      <c r="M467" s="73" t="str">
        <f>IF(Main[[#This Row],[Tech Start Date]]&lt;1/1/1990,"",IF(Main[[#This Row],[Class]]="C",WORKDAY(Main[[#This Row],[Tech Start Date]],9),IF(Main[[#This Row],[Class]]="B", WORKDAY(Main[[#This Row],[Tech Start Date]],6),IF(Main[[#This Row],[Class]]="A",WORKDAY(Main[[#This Row],[Tech Start Date]],2),""))))</f>
        <v/>
      </c>
      <c r="N467" s="73" t="str">
        <f>IF(Main[[#This Row],[Tech Start Date]]&lt;1/1/1990,"",IF(Main[[#This Row],[Class]]="C",WORKDAY(Main[[#This Row],[Tech Start Date]],19),IF(Main[[#This Row],[Class]]="B", WORKDAY(Main[[#This Row],[Tech Start Date]],12),IF(Main[[#This Row],[Class]]="A",WORKDAY(Main[[#This Row],[Tech Start Date]],4),""))))</f>
        <v/>
      </c>
      <c r="O467" s="73" t="str">
        <f>IF(Main[[#This Row],[Tech Start Date]]&lt;1/1/1990,"",IF(Main[[#This Row],[Class]]="C",WORKDAY(Main[[#This Row],[Tech Start Date]],23),IF(Main[[#This Row],[Class]]="B", WORKDAY(Main[[#This Row],[Tech Start Date]],15),IF(Main[[#This Row],[Class]]="A",WORKDAY(Main[[#This Row],[Tech Start Date]],5),""))))</f>
        <v/>
      </c>
      <c r="P467" s="73" t="str">
        <f>IF(Main[[#This Row],[Tech Start Date]]&lt;1/1/1990,"",IF(Main[[#This Row],[Class]]="C",WORKDAY(Main[[#This Row],[Tech Start Date]],28),IF(Main[[#This Row],[Class]]="B", WORKDAY(Main[[#This Row],[Tech Start Date]],19),IF(Main[[#This Row],[Class]]="A",WORKDAY(Main[[#This Row],[Tech Start Date]],9),""))))</f>
        <v/>
      </c>
      <c r="Q467" s="85">
        <v>40724</v>
      </c>
      <c r="R467" s="112"/>
      <c r="S467" s="95" t="s">
        <v>6</v>
      </c>
      <c r="T467" s="74" t="s">
        <v>4</v>
      </c>
      <c r="U467" s="95" t="s">
        <v>7</v>
      </c>
      <c r="V467" s="95" t="s">
        <v>1911</v>
      </c>
      <c r="W467" s="95" t="s">
        <v>4</v>
      </c>
      <c r="X467" s="95" t="s">
        <v>2802</v>
      </c>
      <c r="Y467" s="72" t="s">
        <v>2916</v>
      </c>
      <c r="Z467" s="72" t="s">
        <v>4</v>
      </c>
      <c r="AA467" s="95" t="s">
        <v>2802</v>
      </c>
      <c r="AB467" s="132"/>
      <c r="AC467" s="132"/>
      <c r="AD467" s="132"/>
      <c r="AE467" s="63"/>
      <c r="AF467" s="63"/>
      <c r="AG467" s="63"/>
    </row>
    <row r="468" spans="1:33" ht="17.2" customHeight="1">
      <c r="A468" s="64" t="str">
        <f>IF(priority(Main[[#This Row],[Comments]])&lt;&gt;0, priority(Main[[#This Row],[Comments]]),"")</f>
        <v/>
      </c>
      <c r="B468" s="60" t="s">
        <v>1299</v>
      </c>
      <c r="C468" s="72" t="s">
        <v>4</v>
      </c>
      <c r="D468" s="59" t="s">
        <v>373</v>
      </c>
      <c r="E468" s="85"/>
      <c r="F468" s="85"/>
      <c r="G468" s="64" t="str">
        <f>IF(stdProdLT(Main[[#This Row],[Comments]])=0.1,"N/A",IF(stdProdLT(Main[[#This Row],[Comments]])=0,"",TRIM(stdProdLT(Main[[#This Row],[Comments]]))))</f>
        <v/>
      </c>
      <c r="H468" s="94" t="str">
        <f>IF(OR(Main[[#This Row],[Std. Prod. Lead Time]]="N/A",Main[[#This Row],[Std. Prod. Lead Time]]=""), "",IF(AND(Main[[#This Row],[In Stock Date]]&lt;&gt;"",Main[[#This Row],[Revised Due Date]]&lt;&gt;"",Main[[#This Row],[In Stock Date]]&lt;&gt;""),Main[[#This Row],[In Stock Date]]-Main[[#This Row],[Revised Due Date]],""))</f>
        <v/>
      </c>
      <c r="I468" s="101" t="s">
        <v>4</v>
      </c>
      <c r="J468" s="95" t="s">
        <v>4</v>
      </c>
      <c r="K468" s="95" t="s">
        <v>4</v>
      </c>
      <c r="L468" s="85"/>
      <c r="M468" s="73" t="str">
        <f>IF(Main[[#This Row],[Tech Start Date]]&lt;1/1/1990,"",IF(Main[[#This Row],[Class]]="C",WORKDAY(Main[[#This Row],[Tech Start Date]],9),IF(Main[[#This Row],[Class]]="B", WORKDAY(Main[[#This Row],[Tech Start Date]],6),IF(Main[[#This Row],[Class]]="A",WORKDAY(Main[[#This Row],[Tech Start Date]],2),""))))</f>
        <v/>
      </c>
      <c r="N468" s="73" t="str">
        <f>IF(Main[[#This Row],[Tech Start Date]]&lt;1/1/1990,"",IF(Main[[#This Row],[Class]]="C",WORKDAY(Main[[#This Row],[Tech Start Date]],19),IF(Main[[#This Row],[Class]]="B", WORKDAY(Main[[#This Row],[Tech Start Date]],12),IF(Main[[#This Row],[Class]]="A",WORKDAY(Main[[#This Row],[Tech Start Date]],4),""))))</f>
        <v/>
      </c>
      <c r="O468" s="73" t="str">
        <f>IF(Main[[#This Row],[Tech Start Date]]&lt;1/1/1990,"",IF(Main[[#This Row],[Class]]="C",WORKDAY(Main[[#This Row],[Tech Start Date]],23),IF(Main[[#This Row],[Class]]="B", WORKDAY(Main[[#This Row],[Tech Start Date]],15),IF(Main[[#This Row],[Class]]="A",WORKDAY(Main[[#This Row],[Tech Start Date]],5),""))))</f>
        <v/>
      </c>
      <c r="P468" s="73" t="str">
        <f>IF(Main[[#This Row],[Tech Start Date]]&lt;1/1/1990,"",IF(Main[[#This Row],[Class]]="C",WORKDAY(Main[[#This Row],[Tech Start Date]],28),IF(Main[[#This Row],[Class]]="B", WORKDAY(Main[[#This Row],[Tech Start Date]],19),IF(Main[[#This Row],[Class]]="A",WORKDAY(Main[[#This Row],[Tech Start Date]],9),""))))</f>
        <v/>
      </c>
      <c r="Q468" s="85"/>
      <c r="R468" s="112"/>
      <c r="S468" s="95" t="s">
        <v>11</v>
      </c>
      <c r="T468" s="74" t="s">
        <v>4</v>
      </c>
      <c r="U468" s="95" t="s">
        <v>14</v>
      </c>
      <c r="V468" s="95" t="s">
        <v>1914</v>
      </c>
      <c r="W468" s="95" t="s">
        <v>1922</v>
      </c>
      <c r="X468" s="95" t="s">
        <v>306</v>
      </c>
      <c r="Y468" s="72" t="s">
        <v>4</v>
      </c>
      <c r="Z468" s="72" t="s">
        <v>4</v>
      </c>
      <c r="AA468" s="95" t="s">
        <v>3357</v>
      </c>
      <c r="AB468" s="132"/>
      <c r="AC468" s="132"/>
      <c r="AD468" s="132"/>
      <c r="AE468" s="63"/>
      <c r="AF468" s="63"/>
      <c r="AG468" s="63"/>
    </row>
    <row r="469" spans="1:33" ht="17.2" customHeight="1">
      <c r="A469" s="65" t="str">
        <f>IF(priority(Main[[#This Row],[Comments]])&lt;&gt;0, priority(Main[[#This Row],[Comments]]),"")</f>
        <v/>
      </c>
      <c r="B469" s="60" t="s">
        <v>1977</v>
      </c>
      <c r="C469" s="78" t="s">
        <v>4</v>
      </c>
      <c r="D469" s="137" t="s">
        <v>1978</v>
      </c>
      <c r="E469" s="87"/>
      <c r="F469" s="87"/>
      <c r="G469" s="65" t="str">
        <f>IF(stdProdLT(Main[[#This Row],[Comments]])=0.1,"N/A",IF(stdProdLT(Main[[#This Row],[Comments]])=0,"",TRIM(stdProdLT(Main[[#This Row],[Comments]]))))</f>
        <v/>
      </c>
      <c r="H469" s="98" t="str">
        <f>IF(OR(Main[[#This Row],[Std. Prod. Lead Time]]="N/A",Main[[#This Row],[Std. Prod. Lead Time]]=""), "",IF(AND(Main[[#This Row],[In Stock Date]]&lt;&gt;"",Main[[#This Row],[Revised Due Date]]&lt;&gt;"",Main[[#This Row],[In Stock Date]]&lt;&gt;""),Main[[#This Row],[In Stock Date]]-Main[[#This Row],[Revised Due Date]],""))</f>
        <v/>
      </c>
      <c r="I469" s="103" t="s">
        <v>4</v>
      </c>
      <c r="J469" s="99" t="s">
        <v>4</v>
      </c>
      <c r="K469" s="99" t="s">
        <v>4</v>
      </c>
      <c r="L469" s="87"/>
      <c r="M469" s="79" t="str">
        <f>IF(Main[[#This Row],[Tech Start Date]]&lt;1/1/1990,"",IF(Main[[#This Row],[Class]]="C",WORKDAY(Main[[#This Row],[Tech Start Date]],9),IF(Main[[#This Row],[Class]]="B", WORKDAY(Main[[#This Row],[Tech Start Date]],6),IF(Main[[#This Row],[Class]]="A",WORKDAY(Main[[#This Row],[Tech Start Date]],2),""))))</f>
        <v/>
      </c>
      <c r="N469" s="79" t="str">
        <f>IF(Main[[#This Row],[Tech Start Date]]&lt;1/1/1990,"",IF(Main[[#This Row],[Class]]="C",WORKDAY(Main[[#This Row],[Tech Start Date]],19),IF(Main[[#This Row],[Class]]="B", WORKDAY(Main[[#This Row],[Tech Start Date]],12),IF(Main[[#This Row],[Class]]="A",WORKDAY(Main[[#This Row],[Tech Start Date]],4),""))))</f>
        <v/>
      </c>
      <c r="O469" s="79" t="str">
        <f>IF(Main[[#This Row],[Tech Start Date]]&lt;1/1/1990,"",IF(Main[[#This Row],[Class]]="C",WORKDAY(Main[[#This Row],[Tech Start Date]],23),IF(Main[[#This Row],[Class]]="B", WORKDAY(Main[[#This Row],[Tech Start Date]],15),IF(Main[[#This Row],[Class]]="A",WORKDAY(Main[[#This Row],[Tech Start Date]],5),""))))</f>
        <v/>
      </c>
      <c r="P469" s="79" t="str">
        <f>IF(Main[[#This Row],[Tech Start Date]]&lt;1/1/1990,"",IF(Main[[#This Row],[Class]]="C",WORKDAY(Main[[#This Row],[Tech Start Date]],28),IF(Main[[#This Row],[Class]]="B", WORKDAY(Main[[#This Row],[Tech Start Date]],19),IF(Main[[#This Row],[Class]]="A",WORKDAY(Main[[#This Row],[Tech Start Date]],9),""))))</f>
        <v/>
      </c>
      <c r="Q469" s="87"/>
      <c r="R469" s="114"/>
      <c r="S469" s="99" t="s">
        <v>11</v>
      </c>
      <c r="T469" s="80" t="s">
        <v>4</v>
      </c>
      <c r="U469" s="99" t="s">
        <v>12</v>
      </c>
      <c r="V469" s="99" t="s">
        <v>1911</v>
      </c>
      <c r="W469" s="99" t="s">
        <v>1915</v>
      </c>
      <c r="X469" s="99" t="s">
        <v>937</v>
      </c>
      <c r="Y469" s="78" t="s">
        <v>2962</v>
      </c>
      <c r="Z469" s="78" t="s">
        <v>4</v>
      </c>
      <c r="AA469" s="99" t="s">
        <v>937</v>
      </c>
      <c r="AB469" s="132"/>
      <c r="AC469" s="132"/>
      <c r="AD469" s="132"/>
      <c r="AE469" s="63"/>
      <c r="AF469" s="63"/>
      <c r="AG469" s="63"/>
    </row>
    <row r="470" spans="1:33" ht="17.2" customHeight="1">
      <c r="A470" s="64" t="str">
        <f>IF(priority(Main[[#This Row],[Comments]])&lt;&gt;0, priority(Main[[#This Row],[Comments]]),"")</f>
        <v/>
      </c>
      <c r="B470" s="60" t="s">
        <v>1301</v>
      </c>
      <c r="C470" s="72" t="s">
        <v>4</v>
      </c>
      <c r="D470" s="59" t="s">
        <v>97</v>
      </c>
      <c r="E470" s="85"/>
      <c r="F470" s="85"/>
      <c r="G470" s="64" t="str">
        <f>IF(stdProdLT(Main[[#This Row],[Comments]])=0.1,"N/A",IF(stdProdLT(Main[[#This Row],[Comments]])=0,"",TRIM(stdProdLT(Main[[#This Row],[Comments]]))))</f>
        <v/>
      </c>
      <c r="H470" s="94" t="str">
        <f>IF(OR(Main[[#This Row],[Std. Prod. Lead Time]]="N/A",Main[[#This Row],[Std. Prod. Lead Time]]=""), "",IF(AND(Main[[#This Row],[In Stock Date]]&lt;&gt;"",Main[[#This Row],[Revised Due Date]]&lt;&gt;"",Main[[#This Row],[In Stock Date]]&lt;&gt;""),Main[[#This Row],[In Stock Date]]-Main[[#This Row],[Revised Due Date]],""))</f>
        <v/>
      </c>
      <c r="I470" s="101" t="s">
        <v>4</v>
      </c>
      <c r="J470" s="95" t="s">
        <v>4</v>
      </c>
      <c r="K470" s="95" t="s">
        <v>4</v>
      </c>
      <c r="L470" s="85"/>
      <c r="M470" s="73" t="str">
        <f>IF(Main[[#This Row],[Tech Start Date]]&lt;1/1/1990,"",IF(Main[[#This Row],[Class]]="C",WORKDAY(Main[[#This Row],[Tech Start Date]],9),IF(Main[[#This Row],[Class]]="B", WORKDAY(Main[[#This Row],[Tech Start Date]],6),IF(Main[[#This Row],[Class]]="A",WORKDAY(Main[[#This Row],[Tech Start Date]],2),""))))</f>
        <v/>
      </c>
      <c r="N470" s="73" t="str">
        <f>IF(Main[[#This Row],[Tech Start Date]]&lt;1/1/1990,"",IF(Main[[#This Row],[Class]]="C",WORKDAY(Main[[#This Row],[Tech Start Date]],19),IF(Main[[#This Row],[Class]]="B", WORKDAY(Main[[#This Row],[Tech Start Date]],12),IF(Main[[#This Row],[Class]]="A",WORKDAY(Main[[#This Row],[Tech Start Date]],4),""))))</f>
        <v/>
      </c>
      <c r="O470" s="73" t="str">
        <f>IF(Main[[#This Row],[Tech Start Date]]&lt;1/1/1990,"",IF(Main[[#This Row],[Class]]="C",WORKDAY(Main[[#This Row],[Tech Start Date]],23),IF(Main[[#This Row],[Class]]="B", WORKDAY(Main[[#This Row],[Tech Start Date]],15),IF(Main[[#This Row],[Class]]="A",WORKDAY(Main[[#This Row],[Tech Start Date]],5),""))))</f>
        <v/>
      </c>
      <c r="P470" s="73" t="str">
        <f>IF(Main[[#This Row],[Tech Start Date]]&lt;1/1/1990,"",IF(Main[[#This Row],[Class]]="C",WORKDAY(Main[[#This Row],[Tech Start Date]],28),IF(Main[[#This Row],[Class]]="B", WORKDAY(Main[[#This Row],[Tech Start Date]],19),IF(Main[[#This Row],[Class]]="A",WORKDAY(Main[[#This Row],[Tech Start Date]],9),""))))</f>
        <v/>
      </c>
      <c r="Q470" s="85">
        <v>40858</v>
      </c>
      <c r="R470" s="112"/>
      <c r="S470" s="95" t="s">
        <v>17</v>
      </c>
      <c r="T470" s="74" t="s">
        <v>4</v>
      </c>
      <c r="U470" s="95" t="s">
        <v>14</v>
      </c>
      <c r="V470" s="95" t="s">
        <v>1911</v>
      </c>
      <c r="W470" s="95" t="s">
        <v>1916</v>
      </c>
      <c r="X470" s="95" t="s">
        <v>50</v>
      </c>
      <c r="Y470" s="72" t="s">
        <v>2937</v>
      </c>
      <c r="Z470" s="72" t="s">
        <v>4</v>
      </c>
      <c r="AA470" s="95" t="s">
        <v>2808</v>
      </c>
      <c r="AB470" s="132"/>
      <c r="AC470" s="132"/>
      <c r="AD470" s="132"/>
      <c r="AE470" s="63"/>
      <c r="AF470" s="63"/>
      <c r="AG470" s="63"/>
    </row>
    <row r="471" spans="1:33" ht="17.2" customHeight="1">
      <c r="A471" s="64" t="str">
        <f>IF(priority(Main[[#This Row],[Comments]])&lt;&gt;0, priority(Main[[#This Row],[Comments]]),"")</f>
        <v/>
      </c>
      <c r="B471" s="60" t="s">
        <v>1302</v>
      </c>
      <c r="C471" s="72" t="s">
        <v>95</v>
      </c>
      <c r="D471" s="59" t="s">
        <v>375</v>
      </c>
      <c r="E471" s="85"/>
      <c r="F471" s="85">
        <v>40195</v>
      </c>
      <c r="G471" s="64" t="str">
        <f>IF(stdProdLT(Main[[#This Row],[Comments]])=0.1,"N/A",IF(stdProdLT(Main[[#This Row],[Comments]])=0,"",TRIM(stdProdLT(Main[[#This Row],[Comments]]))))</f>
        <v/>
      </c>
      <c r="H471" s="94" t="str">
        <f>IF(OR(Main[[#This Row],[Std. Prod. Lead Time]]="N/A",Main[[#This Row],[Std. Prod. Lead Time]]=""), "",IF(AND(Main[[#This Row],[In Stock Date]]&lt;&gt;"",Main[[#This Row],[Revised Due Date]]&lt;&gt;"",Main[[#This Row],[In Stock Date]]&lt;&gt;""),Main[[#This Row],[In Stock Date]]-Main[[#This Row],[Revised Due Date]],""))</f>
        <v/>
      </c>
      <c r="I471" s="101" t="s">
        <v>4</v>
      </c>
      <c r="J471" s="95" t="s">
        <v>4</v>
      </c>
      <c r="K471" s="95" t="s">
        <v>4</v>
      </c>
      <c r="L471" s="85"/>
      <c r="M471" s="73" t="str">
        <f>IF(Main[[#This Row],[Tech Start Date]]&lt;1/1/1990,"",IF(Main[[#This Row],[Class]]="C",WORKDAY(Main[[#This Row],[Tech Start Date]],9),IF(Main[[#This Row],[Class]]="B", WORKDAY(Main[[#This Row],[Tech Start Date]],6),IF(Main[[#This Row],[Class]]="A",WORKDAY(Main[[#This Row],[Tech Start Date]],2),""))))</f>
        <v/>
      </c>
      <c r="N471" s="73" t="str">
        <f>IF(Main[[#This Row],[Tech Start Date]]&lt;1/1/1990,"",IF(Main[[#This Row],[Class]]="C",WORKDAY(Main[[#This Row],[Tech Start Date]],19),IF(Main[[#This Row],[Class]]="B", WORKDAY(Main[[#This Row],[Tech Start Date]],12),IF(Main[[#This Row],[Class]]="A",WORKDAY(Main[[#This Row],[Tech Start Date]],4),""))))</f>
        <v/>
      </c>
      <c r="O471" s="73" t="str">
        <f>IF(Main[[#This Row],[Tech Start Date]]&lt;1/1/1990,"",IF(Main[[#This Row],[Class]]="C",WORKDAY(Main[[#This Row],[Tech Start Date]],23),IF(Main[[#This Row],[Class]]="B", WORKDAY(Main[[#This Row],[Tech Start Date]],15),IF(Main[[#This Row],[Class]]="A",WORKDAY(Main[[#This Row],[Tech Start Date]],5),""))))</f>
        <v/>
      </c>
      <c r="P471" s="73" t="str">
        <f>IF(Main[[#This Row],[Tech Start Date]]&lt;1/1/1990,"",IF(Main[[#This Row],[Class]]="C",WORKDAY(Main[[#This Row],[Tech Start Date]],28),IF(Main[[#This Row],[Class]]="B", WORKDAY(Main[[#This Row],[Tech Start Date]],19),IF(Main[[#This Row],[Class]]="A",WORKDAY(Main[[#This Row],[Tech Start Date]],9),""))))</f>
        <v/>
      </c>
      <c r="Q471" s="85">
        <v>40070</v>
      </c>
      <c r="R471" s="112"/>
      <c r="S471" s="95" t="s">
        <v>11</v>
      </c>
      <c r="T471" s="74" t="s">
        <v>4</v>
      </c>
      <c r="U471" s="95" t="s">
        <v>14</v>
      </c>
      <c r="V471" s="95" t="s">
        <v>1914</v>
      </c>
      <c r="W471" s="95" t="s">
        <v>1917</v>
      </c>
      <c r="X471" s="95" t="s">
        <v>2856</v>
      </c>
      <c r="Y471" s="72" t="s">
        <v>4</v>
      </c>
      <c r="Z471" s="72" t="s">
        <v>4</v>
      </c>
      <c r="AA471" s="95" t="s">
        <v>3367</v>
      </c>
      <c r="AB471" s="132"/>
      <c r="AC471" s="132"/>
      <c r="AD471" s="132"/>
      <c r="AE471" s="63"/>
      <c r="AF471" s="63"/>
      <c r="AG471" s="63"/>
    </row>
    <row r="472" spans="1:33" ht="17.2" customHeight="1">
      <c r="A472" s="64" t="str">
        <f>IF(priority(Main[[#This Row],[Comments]])&lt;&gt;0, priority(Main[[#This Row],[Comments]]),"")</f>
        <v/>
      </c>
      <c r="B472" s="60" t="s">
        <v>1824</v>
      </c>
      <c r="C472" s="72" t="s">
        <v>4</v>
      </c>
      <c r="D472" s="59" t="s">
        <v>878</v>
      </c>
      <c r="E472" s="85">
        <v>40122.528101851851</v>
      </c>
      <c r="F472" s="85"/>
      <c r="G472" s="64" t="str">
        <f>IF(stdProdLT(Main[[#This Row],[Comments]])=0.1,"N/A",IF(stdProdLT(Main[[#This Row],[Comments]])=0,"",TRIM(stdProdLT(Main[[#This Row],[Comments]]))))</f>
        <v/>
      </c>
      <c r="H472" s="94" t="str">
        <f>IF(OR(Main[[#This Row],[Std. Prod. Lead Time]]="N/A",Main[[#This Row],[Std. Prod. Lead Time]]=""), "",IF(AND(Main[[#This Row],[In Stock Date]]&lt;&gt;"",Main[[#This Row],[Revised Due Date]]&lt;&gt;"",Main[[#This Row],[In Stock Date]]&lt;&gt;""),Main[[#This Row],[In Stock Date]]-Main[[#This Row],[Revised Due Date]],""))</f>
        <v/>
      </c>
      <c r="I472" s="101" t="s">
        <v>4</v>
      </c>
      <c r="J472" s="95" t="s">
        <v>4</v>
      </c>
      <c r="K472" s="95" t="s">
        <v>4</v>
      </c>
      <c r="L472" s="85"/>
      <c r="M472" s="73" t="str">
        <f>IF(Main[[#This Row],[Tech Start Date]]&lt;1/1/1990,"",IF(Main[[#This Row],[Class]]="C",WORKDAY(Main[[#This Row],[Tech Start Date]],9),IF(Main[[#This Row],[Class]]="B", WORKDAY(Main[[#This Row],[Tech Start Date]],6),IF(Main[[#This Row],[Class]]="A",WORKDAY(Main[[#This Row],[Tech Start Date]],2),""))))</f>
        <v/>
      </c>
      <c r="N472" s="73" t="str">
        <f>IF(Main[[#This Row],[Tech Start Date]]&lt;1/1/1990,"",IF(Main[[#This Row],[Class]]="C",WORKDAY(Main[[#This Row],[Tech Start Date]],19),IF(Main[[#This Row],[Class]]="B", WORKDAY(Main[[#This Row],[Tech Start Date]],12),IF(Main[[#This Row],[Class]]="A",WORKDAY(Main[[#This Row],[Tech Start Date]],4),""))))</f>
        <v/>
      </c>
      <c r="O472" s="73" t="str">
        <f>IF(Main[[#This Row],[Tech Start Date]]&lt;1/1/1990,"",IF(Main[[#This Row],[Class]]="C",WORKDAY(Main[[#This Row],[Tech Start Date]],23),IF(Main[[#This Row],[Class]]="B", WORKDAY(Main[[#This Row],[Tech Start Date]],15),IF(Main[[#This Row],[Class]]="A",WORKDAY(Main[[#This Row],[Tech Start Date]],5),""))))</f>
        <v/>
      </c>
      <c r="P472" s="73" t="str">
        <f>IF(Main[[#This Row],[Tech Start Date]]&lt;1/1/1990,"",IF(Main[[#This Row],[Class]]="C",WORKDAY(Main[[#This Row],[Tech Start Date]],28),IF(Main[[#This Row],[Class]]="B", WORKDAY(Main[[#This Row],[Tech Start Date]],19),IF(Main[[#This Row],[Class]]="A",WORKDAY(Main[[#This Row],[Tech Start Date]],9),""))))</f>
        <v/>
      </c>
      <c r="Q472" s="85"/>
      <c r="R472" s="112">
        <v>40368</v>
      </c>
      <c r="S472" s="95" t="s">
        <v>17</v>
      </c>
      <c r="T472" s="74" t="s">
        <v>4</v>
      </c>
      <c r="U472" s="95" t="s">
        <v>29</v>
      </c>
      <c r="V472" s="95" t="s">
        <v>1912</v>
      </c>
      <c r="W472" s="95" t="s">
        <v>1916</v>
      </c>
      <c r="X472" s="95" t="s">
        <v>2842</v>
      </c>
      <c r="Y472" s="72" t="s">
        <v>2984</v>
      </c>
      <c r="Z472" s="72" t="s">
        <v>4</v>
      </c>
      <c r="AA472" s="95" t="s">
        <v>2842</v>
      </c>
      <c r="AB472" s="132"/>
      <c r="AC472" s="132"/>
      <c r="AD472" s="132"/>
      <c r="AE472" s="63"/>
      <c r="AF472" s="63"/>
      <c r="AG472" s="63"/>
    </row>
    <row r="473" spans="1:33" ht="17.2" customHeight="1">
      <c r="A473" s="64" t="str">
        <f>IF(priority(Main[[#This Row],[Comments]])&lt;&gt;0, priority(Main[[#This Row],[Comments]]),"")</f>
        <v/>
      </c>
      <c r="B473" s="60" t="s">
        <v>1850</v>
      </c>
      <c r="C473" s="72" t="s">
        <v>67</v>
      </c>
      <c r="D473" s="59" t="s">
        <v>908</v>
      </c>
      <c r="E473" s="85">
        <v>39981.49927083333</v>
      </c>
      <c r="F473" s="85"/>
      <c r="G473" s="64" t="str">
        <f>IF(stdProdLT(Main[[#This Row],[Comments]])=0.1,"N/A",IF(stdProdLT(Main[[#This Row],[Comments]])=0,"",TRIM(stdProdLT(Main[[#This Row],[Comments]]))))</f>
        <v/>
      </c>
      <c r="H473" s="94" t="str">
        <f>IF(OR(Main[[#This Row],[Std. Prod. Lead Time]]="N/A",Main[[#This Row],[Std. Prod. Lead Time]]=""), "",IF(AND(Main[[#This Row],[In Stock Date]]&lt;&gt;"",Main[[#This Row],[Revised Due Date]]&lt;&gt;"",Main[[#This Row],[In Stock Date]]&lt;&gt;""),Main[[#This Row],[In Stock Date]]-Main[[#This Row],[Revised Due Date]],""))</f>
        <v/>
      </c>
      <c r="I473" s="101" t="s">
        <v>974</v>
      </c>
      <c r="J473" s="95" t="s">
        <v>4</v>
      </c>
      <c r="K473" s="95" t="s">
        <v>1923</v>
      </c>
      <c r="L473" s="85"/>
      <c r="M473" s="73" t="str">
        <f>IF(Main[[#This Row],[Tech Start Date]]&lt;1/1/1990,"",IF(Main[[#This Row],[Class]]="C",WORKDAY(Main[[#This Row],[Tech Start Date]],9),IF(Main[[#This Row],[Class]]="B", WORKDAY(Main[[#This Row],[Tech Start Date]],6),IF(Main[[#This Row],[Class]]="A",WORKDAY(Main[[#This Row],[Tech Start Date]],2),""))))</f>
        <v/>
      </c>
      <c r="N473" s="73" t="str">
        <f>IF(Main[[#This Row],[Tech Start Date]]&lt;1/1/1990,"",IF(Main[[#This Row],[Class]]="C",WORKDAY(Main[[#This Row],[Tech Start Date]],19),IF(Main[[#This Row],[Class]]="B", WORKDAY(Main[[#This Row],[Tech Start Date]],12),IF(Main[[#This Row],[Class]]="A",WORKDAY(Main[[#This Row],[Tech Start Date]],4),""))))</f>
        <v/>
      </c>
      <c r="O473" s="73" t="str">
        <f>IF(Main[[#This Row],[Tech Start Date]]&lt;1/1/1990,"",IF(Main[[#This Row],[Class]]="C",WORKDAY(Main[[#This Row],[Tech Start Date]],23),IF(Main[[#This Row],[Class]]="B", WORKDAY(Main[[#This Row],[Tech Start Date]],15),IF(Main[[#This Row],[Class]]="A",WORKDAY(Main[[#This Row],[Tech Start Date]],5),""))))</f>
        <v/>
      </c>
      <c r="P473" s="73" t="str">
        <f>IF(Main[[#This Row],[Tech Start Date]]&lt;1/1/1990,"",IF(Main[[#This Row],[Class]]="C",WORKDAY(Main[[#This Row],[Tech Start Date]],28),IF(Main[[#This Row],[Class]]="B", WORKDAY(Main[[#This Row],[Tech Start Date]],19),IF(Main[[#This Row],[Class]]="A",WORKDAY(Main[[#This Row],[Tech Start Date]],9),""))))</f>
        <v/>
      </c>
      <c r="Q473" s="85">
        <v>40057</v>
      </c>
      <c r="R473" s="112">
        <v>40908</v>
      </c>
      <c r="S473" s="95" t="s">
        <v>17</v>
      </c>
      <c r="T473" s="74" t="s">
        <v>4</v>
      </c>
      <c r="U473" s="95" t="s">
        <v>29</v>
      </c>
      <c r="V473" s="95" t="s">
        <v>1914</v>
      </c>
      <c r="W473" s="95" t="s">
        <v>1916</v>
      </c>
      <c r="X473" s="95" t="s">
        <v>2800</v>
      </c>
      <c r="Y473" s="72" t="s">
        <v>3006</v>
      </c>
      <c r="Z473" s="72" t="s">
        <v>415</v>
      </c>
      <c r="AA473" s="95" t="s">
        <v>3370</v>
      </c>
      <c r="AB473" s="132"/>
      <c r="AC473" s="132"/>
      <c r="AD473" s="132"/>
      <c r="AE473" s="63"/>
      <c r="AF473" s="63"/>
      <c r="AG473" s="63"/>
    </row>
    <row r="474" spans="1:33" ht="17.2" customHeight="1">
      <c r="A474" s="64" t="str">
        <f>IF(priority(Main[[#This Row],[Comments]])&lt;&gt;0, priority(Main[[#This Row],[Comments]]),"")</f>
        <v/>
      </c>
      <c r="B474" s="60" t="s">
        <v>2073</v>
      </c>
      <c r="C474" s="72" t="s">
        <v>951</v>
      </c>
      <c r="D474" s="59" t="s">
        <v>2074</v>
      </c>
      <c r="E474" s="85"/>
      <c r="F474" s="85">
        <v>40871</v>
      </c>
      <c r="G474" s="64" t="str">
        <f>IF(stdProdLT(Main[[#This Row],[Comments]])=0.1,"N/A",IF(stdProdLT(Main[[#This Row],[Comments]])=0,"",TRIM(stdProdLT(Main[[#This Row],[Comments]]))))</f>
        <v/>
      </c>
      <c r="H474" s="94" t="str">
        <f>IF(OR(Main[[#This Row],[Std. Prod. Lead Time]]="N/A",Main[[#This Row],[Std. Prod. Lead Time]]=""), "",IF(AND(Main[[#This Row],[In Stock Date]]&lt;&gt;"",Main[[#This Row],[Revised Due Date]]&lt;&gt;"",Main[[#This Row],[In Stock Date]]&lt;&gt;""),Main[[#This Row],[In Stock Date]]-Main[[#This Row],[Revised Due Date]],""))</f>
        <v/>
      </c>
      <c r="I474" s="101" t="s">
        <v>4</v>
      </c>
      <c r="J474" s="95" t="s">
        <v>4</v>
      </c>
      <c r="K474" s="95" t="s">
        <v>4</v>
      </c>
      <c r="L474" s="85"/>
      <c r="M474" s="73" t="str">
        <f>IF(Main[[#This Row],[Tech Start Date]]&lt;1/1/1990,"",IF(Main[[#This Row],[Class]]="C",WORKDAY(Main[[#This Row],[Tech Start Date]],9),IF(Main[[#This Row],[Class]]="B", WORKDAY(Main[[#This Row],[Tech Start Date]],6),IF(Main[[#This Row],[Class]]="A",WORKDAY(Main[[#This Row],[Tech Start Date]],2),""))))</f>
        <v/>
      </c>
      <c r="N474" s="73" t="str">
        <f>IF(Main[[#This Row],[Tech Start Date]]&lt;1/1/1990,"",IF(Main[[#This Row],[Class]]="C",WORKDAY(Main[[#This Row],[Tech Start Date]],19),IF(Main[[#This Row],[Class]]="B", WORKDAY(Main[[#This Row],[Tech Start Date]],12),IF(Main[[#This Row],[Class]]="A",WORKDAY(Main[[#This Row],[Tech Start Date]],4),""))))</f>
        <v/>
      </c>
      <c r="O474" s="73" t="str">
        <f>IF(Main[[#This Row],[Tech Start Date]]&lt;1/1/1990,"",IF(Main[[#This Row],[Class]]="C",WORKDAY(Main[[#This Row],[Tech Start Date]],23),IF(Main[[#This Row],[Class]]="B", WORKDAY(Main[[#This Row],[Tech Start Date]],15),IF(Main[[#This Row],[Class]]="A",WORKDAY(Main[[#This Row],[Tech Start Date]],5),""))))</f>
        <v/>
      </c>
      <c r="P474" s="73" t="str">
        <f>IF(Main[[#This Row],[Tech Start Date]]&lt;1/1/1990,"",IF(Main[[#This Row],[Class]]="C",WORKDAY(Main[[#This Row],[Tech Start Date]],28),IF(Main[[#This Row],[Class]]="B", WORKDAY(Main[[#This Row],[Tech Start Date]],19),IF(Main[[#This Row],[Class]]="A",WORKDAY(Main[[#This Row],[Tech Start Date]],9),""))))</f>
        <v/>
      </c>
      <c r="Q474" s="85"/>
      <c r="R474" s="112"/>
      <c r="S474" s="95" t="s">
        <v>11</v>
      </c>
      <c r="T474" s="74" t="s">
        <v>4</v>
      </c>
      <c r="U474" s="95" t="s">
        <v>14</v>
      </c>
      <c r="V474" s="95" t="s">
        <v>1914</v>
      </c>
      <c r="W474" s="95" t="s">
        <v>1919</v>
      </c>
      <c r="X474" s="95" t="s">
        <v>50</v>
      </c>
      <c r="Y474" s="72" t="s">
        <v>2939</v>
      </c>
      <c r="Z474" s="72" t="s">
        <v>4</v>
      </c>
      <c r="AA474" s="95" t="s">
        <v>50</v>
      </c>
      <c r="AB474" s="132"/>
      <c r="AC474" s="132"/>
      <c r="AD474" s="132"/>
      <c r="AE474" s="63"/>
      <c r="AF474" s="63"/>
      <c r="AG474" s="63"/>
    </row>
    <row r="475" spans="1:33" ht="17.2" customHeight="1">
      <c r="A475" s="64" t="str">
        <f>IF(priority(Main[[#This Row],[Comments]])&lt;&gt;0, priority(Main[[#This Row],[Comments]]),"")</f>
        <v/>
      </c>
      <c r="B475" s="60" t="s">
        <v>1303</v>
      </c>
      <c r="C475" s="72" t="s">
        <v>376</v>
      </c>
      <c r="D475" s="59" t="s">
        <v>377</v>
      </c>
      <c r="E475" s="85">
        <v>39952.325474537036</v>
      </c>
      <c r="F475" s="85"/>
      <c r="G475" s="64" t="str">
        <f>IF(stdProdLT(Main[[#This Row],[Comments]])=0.1,"N/A",IF(stdProdLT(Main[[#This Row],[Comments]])=0,"",TRIM(stdProdLT(Main[[#This Row],[Comments]]))))</f>
        <v/>
      </c>
      <c r="H475" s="94" t="str">
        <f>IF(OR(Main[[#This Row],[Std. Prod. Lead Time]]="N/A",Main[[#This Row],[Std. Prod. Lead Time]]=""), "",IF(AND(Main[[#This Row],[In Stock Date]]&lt;&gt;"",Main[[#This Row],[Revised Due Date]]&lt;&gt;"",Main[[#This Row],[In Stock Date]]&lt;&gt;""),Main[[#This Row],[In Stock Date]]-Main[[#This Row],[Revised Due Date]],""))</f>
        <v/>
      </c>
      <c r="I475" s="101" t="s">
        <v>4</v>
      </c>
      <c r="J475" s="95" t="s">
        <v>4</v>
      </c>
      <c r="K475" s="95" t="s">
        <v>4</v>
      </c>
      <c r="L475" s="85"/>
      <c r="M475" s="73" t="str">
        <f>IF(Main[[#This Row],[Tech Start Date]]&lt;1/1/1990,"",IF(Main[[#This Row],[Class]]="C",WORKDAY(Main[[#This Row],[Tech Start Date]],9),IF(Main[[#This Row],[Class]]="B", WORKDAY(Main[[#This Row],[Tech Start Date]],6),IF(Main[[#This Row],[Class]]="A",WORKDAY(Main[[#This Row],[Tech Start Date]],2),""))))</f>
        <v/>
      </c>
      <c r="N475" s="73" t="str">
        <f>IF(Main[[#This Row],[Tech Start Date]]&lt;1/1/1990,"",IF(Main[[#This Row],[Class]]="C",WORKDAY(Main[[#This Row],[Tech Start Date]],19),IF(Main[[#This Row],[Class]]="B", WORKDAY(Main[[#This Row],[Tech Start Date]],12),IF(Main[[#This Row],[Class]]="A",WORKDAY(Main[[#This Row],[Tech Start Date]],4),""))))</f>
        <v/>
      </c>
      <c r="O475" s="73" t="str">
        <f>IF(Main[[#This Row],[Tech Start Date]]&lt;1/1/1990,"",IF(Main[[#This Row],[Class]]="C",WORKDAY(Main[[#This Row],[Tech Start Date]],23),IF(Main[[#This Row],[Class]]="B", WORKDAY(Main[[#This Row],[Tech Start Date]],15),IF(Main[[#This Row],[Class]]="A",WORKDAY(Main[[#This Row],[Tech Start Date]],5),""))))</f>
        <v/>
      </c>
      <c r="P475" s="73" t="str">
        <f>IF(Main[[#This Row],[Tech Start Date]]&lt;1/1/1990,"",IF(Main[[#This Row],[Class]]="C",WORKDAY(Main[[#This Row],[Tech Start Date]],28),IF(Main[[#This Row],[Class]]="B", WORKDAY(Main[[#This Row],[Tech Start Date]],19),IF(Main[[#This Row],[Class]]="A",WORKDAY(Main[[#This Row],[Tech Start Date]],9),""))))</f>
        <v/>
      </c>
      <c r="Q475" s="85"/>
      <c r="R475" s="112"/>
      <c r="S475" s="95" t="s">
        <v>17</v>
      </c>
      <c r="T475" s="74" t="s">
        <v>4</v>
      </c>
      <c r="U475" s="95" t="s">
        <v>7</v>
      </c>
      <c r="V475" s="95" t="s">
        <v>1914</v>
      </c>
      <c r="W475" s="95" t="s">
        <v>4</v>
      </c>
      <c r="X475" s="95" t="s">
        <v>2860</v>
      </c>
      <c r="Y475" s="72" t="s">
        <v>4</v>
      </c>
      <c r="Z475" s="72" t="s">
        <v>4</v>
      </c>
      <c r="AA475" s="95" t="s">
        <v>2860</v>
      </c>
      <c r="AB475" s="132"/>
      <c r="AC475" s="132"/>
      <c r="AD475" s="132"/>
      <c r="AE475" s="63"/>
      <c r="AF475" s="63"/>
      <c r="AG475" s="63"/>
    </row>
    <row r="476" spans="1:33" ht="17.2" customHeight="1">
      <c r="A476" s="64" t="str">
        <f>IF(priority(Main[[#This Row],[Comments]])&lt;&gt;0, priority(Main[[#This Row],[Comments]]),"")</f>
        <v/>
      </c>
      <c r="B476" s="60" t="s">
        <v>1304</v>
      </c>
      <c r="C476" s="72" t="s">
        <v>378</v>
      </c>
      <c r="D476" s="59" t="s">
        <v>379</v>
      </c>
      <c r="E476" s="85"/>
      <c r="F476" s="85">
        <v>40228</v>
      </c>
      <c r="G476" s="64" t="str">
        <f>IF(stdProdLT(Main[[#This Row],[Comments]])=0.1,"N/A",IF(stdProdLT(Main[[#This Row],[Comments]])=0,"",TRIM(stdProdLT(Main[[#This Row],[Comments]]))))</f>
        <v/>
      </c>
      <c r="H476" s="94" t="str">
        <f>IF(OR(Main[[#This Row],[Std. Prod. Lead Time]]="N/A",Main[[#This Row],[Std. Prod. Lead Time]]=""), "",IF(AND(Main[[#This Row],[In Stock Date]]&lt;&gt;"",Main[[#This Row],[Revised Due Date]]&lt;&gt;"",Main[[#This Row],[In Stock Date]]&lt;&gt;""),Main[[#This Row],[In Stock Date]]-Main[[#This Row],[Revised Due Date]],""))</f>
        <v/>
      </c>
      <c r="I476" s="101" t="s">
        <v>4</v>
      </c>
      <c r="J476" s="95" t="s">
        <v>4</v>
      </c>
      <c r="K476" s="96" t="s">
        <v>4</v>
      </c>
      <c r="L476" s="85"/>
      <c r="M476" s="73" t="str">
        <f>IF(Main[[#This Row],[Tech Start Date]]&lt;1/1/1990,"",IF(Main[[#This Row],[Class]]="C",WORKDAY(Main[[#This Row],[Tech Start Date]],9),IF(Main[[#This Row],[Class]]="B", WORKDAY(Main[[#This Row],[Tech Start Date]],6),IF(Main[[#This Row],[Class]]="A",WORKDAY(Main[[#This Row],[Tech Start Date]],2),""))))</f>
        <v/>
      </c>
      <c r="N476" s="73" t="str">
        <f>IF(Main[[#This Row],[Tech Start Date]]&lt;1/1/1990,"",IF(Main[[#This Row],[Class]]="C",WORKDAY(Main[[#This Row],[Tech Start Date]],19),IF(Main[[#This Row],[Class]]="B", WORKDAY(Main[[#This Row],[Tech Start Date]],12),IF(Main[[#This Row],[Class]]="A",WORKDAY(Main[[#This Row],[Tech Start Date]],4),""))))</f>
        <v/>
      </c>
      <c r="O476" s="73" t="str">
        <f>IF(Main[[#This Row],[Tech Start Date]]&lt;1/1/1990,"",IF(Main[[#This Row],[Class]]="C",WORKDAY(Main[[#This Row],[Tech Start Date]],23),IF(Main[[#This Row],[Class]]="B", WORKDAY(Main[[#This Row],[Tech Start Date]],15),IF(Main[[#This Row],[Class]]="A",WORKDAY(Main[[#This Row],[Tech Start Date]],5),""))))</f>
        <v/>
      </c>
      <c r="P476" s="73" t="str">
        <f>IF(Main[[#This Row],[Tech Start Date]]&lt;1/1/1990,"",IF(Main[[#This Row],[Class]]="C",WORKDAY(Main[[#This Row],[Tech Start Date]],28),IF(Main[[#This Row],[Class]]="B", WORKDAY(Main[[#This Row],[Tech Start Date]],19),IF(Main[[#This Row],[Class]]="A",WORKDAY(Main[[#This Row],[Tech Start Date]],9),""))))</f>
        <v/>
      </c>
      <c r="Q476" s="85">
        <v>40153</v>
      </c>
      <c r="R476" s="112"/>
      <c r="S476" s="95" t="s">
        <v>11</v>
      </c>
      <c r="T476" s="74" t="s">
        <v>4</v>
      </c>
      <c r="U476" s="95" t="s">
        <v>14</v>
      </c>
      <c r="V476" s="95" t="s">
        <v>1914</v>
      </c>
      <c r="W476" s="95" t="s">
        <v>1919</v>
      </c>
      <c r="X476" s="95" t="s">
        <v>2843</v>
      </c>
      <c r="Y476" s="72" t="s">
        <v>4</v>
      </c>
      <c r="Z476" s="72" t="s">
        <v>4</v>
      </c>
      <c r="AA476" s="95" t="s">
        <v>2843</v>
      </c>
      <c r="AB476" s="132"/>
      <c r="AC476" s="132"/>
      <c r="AD476" s="132"/>
      <c r="AE476" s="63"/>
      <c r="AF476" s="63"/>
      <c r="AG476" s="63"/>
    </row>
    <row r="477" spans="1:33" ht="17.2" customHeight="1">
      <c r="A477" s="64" t="str">
        <f>IF(priority(Main[[#This Row],[Comments]])&lt;&gt;0, priority(Main[[#This Row],[Comments]]),"")</f>
        <v/>
      </c>
      <c r="B477" s="60" t="s">
        <v>1306</v>
      </c>
      <c r="C477" s="72" t="s">
        <v>380</v>
      </c>
      <c r="D477" s="59" t="s">
        <v>381</v>
      </c>
      <c r="E477" s="85"/>
      <c r="F477" s="85"/>
      <c r="G477" s="64" t="str">
        <f>IF(stdProdLT(Main[[#This Row],[Comments]])=0.1,"N/A",IF(stdProdLT(Main[[#This Row],[Comments]])=0,"",TRIM(stdProdLT(Main[[#This Row],[Comments]]))))</f>
        <v/>
      </c>
      <c r="H477" s="94" t="str">
        <f>IF(OR(Main[[#This Row],[Std. Prod. Lead Time]]="N/A",Main[[#This Row],[Std. Prod. Lead Time]]=""), "",IF(AND(Main[[#This Row],[In Stock Date]]&lt;&gt;"",Main[[#This Row],[Revised Due Date]]&lt;&gt;"",Main[[#This Row],[In Stock Date]]&lt;&gt;""),Main[[#This Row],[In Stock Date]]-Main[[#This Row],[Revised Due Date]],""))</f>
        <v/>
      </c>
      <c r="I477" s="101" t="s">
        <v>4</v>
      </c>
      <c r="J477" s="95" t="s">
        <v>4</v>
      </c>
      <c r="K477" s="95" t="s">
        <v>4</v>
      </c>
      <c r="L477" s="85"/>
      <c r="M477" s="73" t="str">
        <f>IF(Main[[#This Row],[Tech Start Date]]&lt;1/1/1990,"",IF(Main[[#This Row],[Class]]="C",WORKDAY(Main[[#This Row],[Tech Start Date]],9),IF(Main[[#This Row],[Class]]="B", WORKDAY(Main[[#This Row],[Tech Start Date]],6),IF(Main[[#This Row],[Class]]="A",WORKDAY(Main[[#This Row],[Tech Start Date]],2),""))))</f>
        <v/>
      </c>
      <c r="N477" s="73" t="str">
        <f>IF(Main[[#This Row],[Tech Start Date]]&lt;1/1/1990,"",IF(Main[[#This Row],[Class]]="C",WORKDAY(Main[[#This Row],[Tech Start Date]],19),IF(Main[[#This Row],[Class]]="B", WORKDAY(Main[[#This Row],[Tech Start Date]],12),IF(Main[[#This Row],[Class]]="A",WORKDAY(Main[[#This Row],[Tech Start Date]],4),""))))</f>
        <v/>
      </c>
      <c r="O477" s="73" t="str">
        <f>IF(Main[[#This Row],[Tech Start Date]]&lt;1/1/1990,"",IF(Main[[#This Row],[Class]]="C",WORKDAY(Main[[#This Row],[Tech Start Date]],23),IF(Main[[#This Row],[Class]]="B", WORKDAY(Main[[#This Row],[Tech Start Date]],15),IF(Main[[#This Row],[Class]]="A",WORKDAY(Main[[#This Row],[Tech Start Date]],5),""))))</f>
        <v/>
      </c>
      <c r="P477" s="73" t="str">
        <f>IF(Main[[#This Row],[Tech Start Date]]&lt;1/1/1990,"",IF(Main[[#This Row],[Class]]="C",WORKDAY(Main[[#This Row],[Tech Start Date]],28),IF(Main[[#This Row],[Class]]="B", WORKDAY(Main[[#This Row],[Tech Start Date]],19),IF(Main[[#This Row],[Class]]="A",WORKDAY(Main[[#This Row],[Tech Start Date]],9),""))))</f>
        <v/>
      </c>
      <c r="Q477" s="85"/>
      <c r="R477" s="112"/>
      <c r="S477" s="95" t="s">
        <v>11</v>
      </c>
      <c r="T477" s="74" t="s">
        <v>4</v>
      </c>
      <c r="U477" s="95" t="s">
        <v>14</v>
      </c>
      <c r="V477" s="95" t="s">
        <v>1912</v>
      </c>
      <c r="W477" s="95" t="s">
        <v>1919</v>
      </c>
      <c r="X477" s="95" t="s">
        <v>2807</v>
      </c>
      <c r="Y477" s="72" t="s">
        <v>2926</v>
      </c>
      <c r="Z477" s="72" t="s">
        <v>4</v>
      </c>
      <c r="AA477" s="95" t="s">
        <v>2807</v>
      </c>
      <c r="AB477" s="132"/>
      <c r="AC477" s="132"/>
      <c r="AD477" s="132"/>
      <c r="AE477" s="63"/>
      <c r="AF477" s="63"/>
      <c r="AG477" s="63"/>
    </row>
    <row r="478" spans="1:33" ht="17.2" customHeight="1">
      <c r="A478" s="64" t="str">
        <f>IF(priority(Main[[#This Row],[Comments]])&lt;&gt;0, priority(Main[[#This Row],[Comments]]),"")</f>
        <v/>
      </c>
      <c r="B478" s="60" t="s">
        <v>1307</v>
      </c>
      <c r="C478" s="72" t="s">
        <v>382</v>
      </c>
      <c r="D478" s="59" t="s">
        <v>383</v>
      </c>
      <c r="E478" s="85"/>
      <c r="F478" s="85"/>
      <c r="G478" s="64" t="str">
        <f>IF(stdProdLT(Main[[#This Row],[Comments]])=0.1,"N/A",IF(stdProdLT(Main[[#This Row],[Comments]])=0,"",TRIM(stdProdLT(Main[[#This Row],[Comments]]))))</f>
        <v/>
      </c>
      <c r="H478" s="94" t="str">
        <f>IF(OR(Main[[#This Row],[Std. Prod. Lead Time]]="N/A",Main[[#This Row],[Std. Prod. Lead Time]]=""), "",IF(AND(Main[[#This Row],[In Stock Date]]&lt;&gt;"",Main[[#This Row],[Revised Due Date]]&lt;&gt;"",Main[[#This Row],[In Stock Date]]&lt;&gt;""),Main[[#This Row],[In Stock Date]]-Main[[#This Row],[Revised Due Date]],""))</f>
        <v/>
      </c>
      <c r="I478" s="101" t="s">
        <v>4</v>
      </c>
      <c r="J478" s="95" t="s">
        <v>4</v>
      </c>
      <c r="K478" s="95" t="s">
        <v>4</v>
      </c>
      <c r="L478" s="85"/>
      <c r="M478" s="73" t="str">
        <f>IF(Main[[#This Row],[Tech Start Date]]&lt;1/1/1990,"",IF(Main[[#This Row],[Class]]="C",WORKDAY(Main[[#This Row],[Tech Start Date]],9),IF(Main[[#This Row],[Class]]="B", WORKDAY(Main[[#This Row],[Tech Start Date]],6),IF(Main[[#This Row],[Class]]="A",WORKDAY(Main[[#This Row],[Tech Start Date]],2),""))))</f>
        <v/>
      </c>
      <c r="N478" s="73" t="str">
        <f>IF(Main[[#This Row],[Tech Start Date]]&lt;1/1/1990,"",IF(Main[[#This Row],[Class]]="C",WORKDAY(Main[[#This Row],[Tech Start Date]],19),IF(Main[[#This Row],[Class]]="B", WORKDAY(Main[[#This Row],[Tech Start Date]],12),IF(Main[[#This Row],[Class]]="A",WORKDAY(Main[[#This Row],[Tech Start Date]],4),""))))</f>
        <v/>
      </c>
      <c r="O478" s="73" t="str">
        <f>IF(Main[[#This Row],[Tech Start Date]]&lt;1/1/1990,"",IF(Main[[#This Row],[Class]]="C",WORKDAY(Main[[#This Row],[Tech Start Date]],23),IF(Main[[#This Row],[Class]]="B", WORKDAY(Main[[#This Row],[Tech Start Date]],15),IF(Main[[#This Row],[Class]]="A",WORKDAY(Main[[#This Row],[Tech Start Date]],5),""))))</f>
        <v/>
      </c>
      <c r="P478" s="73" t="str">
        <f>IF(Main[[#This Row],[Tech Start Date]]&lt;1/1/1990,"",IF(Main[[#This Row],[Class]]="C",WORKDAY(Main[[#This Row],[Tech Start Date]],28),IF(Main[[#This Row],[Class]]="B", WORKDAY(Main[[#This Row],[Tech Start Date]],19),IF(Main[[#This Row],[Class]]="A",WORKDAY(Main[[#This Row],[Tech Start Date]],9),""))))</f>
        <v/>
      </c>
      <c r="Q478" s="85"/>
      <c r="R478" s="112"/>
      <c r="S478" s="95" t="s">
        <v>11</v>
      </c>
      <c r="T478" s="74" t="s">
        <v>4</v>
      </c>
      <c r="U478" s="95" t="s">
        <v>14</v>
      </c>
      <c r="V478" s="95" t="s">
        <v>1912</v>
      </c>
      <c r="W478" s="95" t="s">
        <v>1919</v>
      </c>
      <c r="X478" s="95" t="s">
        <v>2807</v>
      </c>
      <c r="Y478" s="72" t="s">
        <v>2926</v>
      </c>
      <c r="Z478" s="72" t="s">
        <v>4</v>
      </c>
      <c r="AA478" s="95" t="s">
        <v>2807</v>
      </c>
      <c r="AB478" s="132"/>
      <c r="AC478" s="132"/>
      <c r="AD478" s="132"/>
      <c r="AE478" s="63"/>
      <c r="AF478" s="63"/>
      <c r="AG478" s="63"/>
    </row>
    <row r="479" spans="1:33" ht="17.2" customHeight="1">
      <c r="A479" s="64" t="str">
        <f>IF(priority(Main[[#This Row],[Comments]])&lt;&gt;0, priority(Main[[#This Row],[Comments]]),"")</f>
        <v/>
      </c>
      <c r="B479" s="60" t="s">
        <v>1329</v>
      </c>
      <c r="C479" s="72" t="s">
        <v>93</v>
      </c>
      <c r="D479" s="59" t="s">
        <v>384</v>
      </c>
      <c r="E479" s="85"/>
      <c r="F479" s="85">
        <v>40299</v>
      </c>
      <c r="G479" s="64" t="str">
        <f>IF(stdProdLT(Main[[#This Row],[Comments]])=0.1,"N/A",IF(stdProdLT(Main[[#This Row],[Comments]])=0,"",TRIM(stdProdLT(Main[[#This Row],[Comments]]))))</f>
        <v/>
      </c>
      <c r="H479" s="94" t="str">
        <f>IF(OR(Main[[#This Row],[Std. Prod. Lead Time]]="N/A",Main[[#This Row],[Std. Prod. Lead Time]]=""), "",IF(AND(Main[[#This Row],[In Stock Date]]&lt;&gt;"",Main[[#This Row],[Revised Due Date]]&lt;&gt;"",Main[[#This Row],[In Stock Date]]&lt;&gt;""),Main[[#This Row],[In Stock Date]]-Main[[#This Row],[Revised Due Date]],""))</f>
        <v/>
      </c>
      <c r="I479" s="101" t="s">
        <v>4</v>
      </c>
      <c r="J479" s="95" t="s">
        <v>4</v>
      </c>
      <c r="K479" s="95" t="s">
        <v>4</v>
      </c>
      <c r="L479" s="85"/>
      <c r="M479" s="73" t="str">
        <f>IF(Main[[#This Row],[Tech Start Date]]&lt;1/1/1990,"",IF(Main[[#This Row],[Class]]="C",WORKDAY(Main[[#This Row],[Tech Start Date]],9),IF(Main[[#This Row],[Class]]="B", WORKDAY(Main[[#This Row],[Tech Start Date]],6),IF(Main[[#This Row],[Class]]="A",WORKDAY(Main[[#This Row],[Tech Start Date]],2),""))))</f>
        <v/>
      </c>
      <c r="N479" s="73" t="str">
        <f>IF(Main[[#This Row],[Tech Start Date]]&lt;1/1/1990,"",IF(Main[[#This Row],[Class]]="C",WORKDAY(Main[[#This Row],[Tech Start Date]],19),IF(Main[[#This Row],[Class]]="B", WORKDAY(Main[[#This Row],[Tech Start Date]],12),IF(Main[[#This Row],[Class]]="A",WORKDAY(Main[[#This Row],[Tech Start Date]],4),""))))</f>
        <v/>
      </c>
      <c r="O479" s="73" t="str">
        <f>IF(Main[[#This Row],[Tech Start Date]]&lt;1/1/1990,"",IF(Main[[#This Row],[Class]]="C",WORKDAY(Main[[#This Row],[Tech Start Date]],23),IF(Main[[#This Row],[Class]]="B", WORKDAY(Main[[#This Row],[Tech Start Date]],15),IF(Main[[#This Row],[Class]]="A",WORKDAY(Main[[#This Row],[Tech Start Date]],5),""))))</f>
        <v/>
      </c>
      <c r="P479" s="73" t="str">
        <f>IF(Main[[#This Row],[Tech Start Date]]&lt;1/1/1990,"",IF(Main[[#This Row],[Class]]="C",WORKDAY(Main[[#This Row],[Tech Start Date]],28),IF(Main[[#This Row],[Class]]="B", WORKDAY(Main[[#This Row],[Tech Start Date]],19),IF(Main[[#This Row],[Class]]="A",WORKDAY(Main[[#This Row],[Tech Start Date]],9),""))))</f>
        <v/>
      </c>
      <c r="Q479" s="85">
        <v>40209</v>
      </c>
      <c r="R479" s="112"/>
      <c r="S479" s="95" t="s">
        <v>11</v>
      </c>
      <c r="T479" s="74" t="s">
        <v>4</v>
      </c>
      <c r="U479" s="95" t="s">
        <v>14</v>
      </c>
      <c r="V479" s="95" t="s">
        <v>1911</v>
      </c>
      <c r="W479" s="95" t="s">
        <v>1922</v>
      </c>
      <c r="X479" s="95" t="s">
        <v>2825</v>
      </c>
      <c r="Y479" s="72" t="s">
        <v>4</v>
      </c>
      <c r="Z479" s="72" t="s">
        <v>4</v>
      </c>
      <c r="AA479" s="95" t="s">
        <v>2825</v>
      </c>
      <c r="AB479" s="132"/>
      <c r="AC479" s="132"/>
      <c r="AD479" s="132"/>
      <c r="AE479" s="63"/>
      <c r="AF479" s="63"/>
      <c r="AG479" s="63"/>
    </row>
    <row r="480" spans="1:33" ht="17.2" customHeight="1">
      <c r="A480" s="64" t="str">
        <f>IF(priority(Main[[#This Row],[Comments]])&lt;&gt;0, priority(Main[[#This Row],[Comments]]),"")</f>
        <v/>
      </c>
      <c r="B480" s="60" t="s">
        <v>2077</v>
      </c>
      <c r="C480" s="72" t="s">
        <v>4</v>
      </c>
      <c r="D480" s="59" t="s">
        <v>2078</v>
      </c>
      <c r="E480" s="85">
        <v>40763.356041666666</v>
      </c>
      <c r="F480" s="85"/>
      <c r="G480" s="64" t="str">
        <f>IF(stdProdLT(Main[[#This Row],[Comments]])=0.1,"N/A",IF(stdProdLT(Main[[#This Row],[Comments]])=0,"",TRIM(stdProdLT(Main[[#This Row],[Comments]]))))</f>
        <v/>
      </c>
      <c r="H480" s="94" t="str">
        <f>IF(OR(Main[[#This Row],[Std. Prod. Lead Time]]="N/A",Main[[#This Row],[Std. Prod. Lead Time]]=""), "",IF(AND(Main[[#This Row],[In Stock Date]]&lt;&gt;"",Main[[#This Row],[Revised Due Date]]&lt;&gt;"",Main[[#This Row],[In Stock Date]]&lt;&gt;""),Main[[#This Row],[In Stock Date]]-Main[[#This Row],[Revised Due Date]],""))</f>
        <v/>
      </c>
      <c r="I480" s="101" t="s">
        <v>912</v>
      </c>
      <c r="J480" s="95" t="s">
        <v>52</v>
      </c>
      <c r="K480" s="95" t="s">
        <v>4</v>
      </c>
      <c r="L480" s="85"/>
      <c r="M480" s="73" t="str">
        <f>IF(Main[[#This Row],[Tech Start Date]]&lt;1/1/1990,"",IF(Main[[#This Row],[Class]]="C",WORKDAY(Main[[#This Row],[Tech Start Date]],9),IF(Main[[#This Row],[Class]]="B", WORKDAY(Main[[#This Row],[Tech Start Date]],6),IF(Main[[#This Row],[Class]]="A",WORKDAY(Main[[#This Row],[Tech Start Date]],2),""))))</f>
        <v/>
      </c>
      <c r="N480" s="73" t="str">
        <f>IF(Main[[#This Row],[Tech Start Date]]&lt;1/1/1990,"",IF(Main[[#This Row],[Class]]="C",WORKDAY(Main[[#This Row],[Tech Start Date]],19),IF(Main[[#This Row],[Class]]="B", WORKDAY(Main[[#This Row],[Tech Start Date]],12),IF(Main[[#This Row],[Class]]="A",WORKDAY(Main[[#This Row],[Tech Start Date]],4),""))))</f>
        <v/>
      </c>
      <c r="O480" s="73" t="str">
        <f>IF(Main[[#This Row],[Tech Start Date]]&lt;1/1/1990,"",IF(Main[[#This Row],[Class]]="C",WORKDAY(Main[[#This Row],[Tech Start Date]],23),IF(Main[[#This Row],[Class]]="B", WORKDAY(Main[[#This Row],[Tech Start Date]],15),IF(Main[[#This Row],[Class]]="A",WORKDAY(Main[[#This Row],[Tech Start Date]],5),""))))</f>
        <v/>
      </c>
      <c r="P480" s="73" t="str">
        <f>IF(Main[[#This Row],[Tech Start Date]]&lt;1/1/1990,"",IF(Main[[#This Row],[Class]]="C",WORKDAY(Main[[#This Row],[Tech Start Date]],28),IF(Main[[#This Row],[Class]]="B", WORKDAY(Main[[#This Row],[Tech Start Date]],19),IF(Main[[#This Row],[Class]]="A",WORKDAY(Main[[#This Row],[Tech Start Date]],9),""))))</f>
        <v/>
      </c>
      <c r="Q480" s="85">
        <v>40787</v>
      </c>
      <c r="R480" s="112"/>
      <c r="S480" s="95" t="s">
        <v>6</v>
      </c>
      <c r="T480" s="74" t="s">
        <v>4</v>
      </c>
      <c r="U480" s="95" t="s">
        <v>29</v>
      </c>
      <c r="V480" s="95" t="s">
        <v>1911</v>
      </c>
      <c r="W480" s="95" t="s">
        <v>4</v>
      </c>
      <c r="X480" s="95" t="s">
        <v>2802</v>
      </c>
      <c r="Y480" s="72" t="s">
        <v>2916</v>
      </c>
      <c r="Z480" s="72" t="s">
        <v>129</v>
      </c>
      <c r="AA480" s="95" t="s">
        <v>2802</v>
      </c>
      <c r="AB480" s="132"/>
      <c r="AC480" s="132"/>
      <c r="AD480" s="132"/>
      <c r="AE480" s="63"/>
      <c r="AF480" s="63"/>
      <c r="AG480" s="63"/>
    </row>
    <row r="481" spans="1:33" ht="17.2" customHeight="1">
      <c r="A481" s="64" t="str">
        <f>IF(priority(Main[[#This Row],[Comments]])&lt;&gt;0, priority(Main[[#This Row],[Comments]]),"")</f>
        <v/>
      </c>
      <c r="B481" s="60" t="s">
        <v>1661</v>
      </c>
      <c r="C481" s="72" t="s">
        <v>4</v>
      </c>
      <c r="D481" s="59" t="s">
        <v>725</v>
      </c>
      <c r="E481" s="85"/>
      <c r="F481" s="85"/>
      <c r="G481" s="64" t="str">
        <f>IF(stdProdLT(Main[[#This Row],[Comments]])=0.1,"N/A",IF(stdProdLT(Main[[#This Row],[Comments]])=0,"",TRIM(stdProdLT(Main[[#This Row],[Comments]]))))</f>
        <v/>
      </c>
      <c r="H481" s="94" t="str">
        <f>IF(OR(Main[[#This Row],[Std. Prod. Lead Time]]="N/A",Main[[#This Row],[Std. Prod. Lead Time]]=""), "",IF(AND(Main[[#This Row],[In Stock Date]]&lt;&gt;"",Main[[#This Row],[Revised Due Date]]&lt;&gt;"",Main[[#This Row],[In Stock Date]]&lt;&gt;""),Main[[#This Row],[In Stock Date]]-Main[[#This Row],[Revised Due Date]],""))</f>
        <v/>
      </c>
      <c r="I481" s="101" t="s">
        <v>894</v>
      </c>
      <c r="J481" s="95" t="s">
        <v>52</v>
      </c>
      <c r="K481" s="95" t="s">
        <v>1920</v>
      </c>
      <c r="L481" s="85"/>
      <c r="M481" s="73" t="str">
        <f>IF(Main[[#This Row],[Tech Start Date]]&lt;1/1/1990,"",IF(Main[[#This Row],[Class]]="C",WORKDAY(Main[[#This Row],[Tech Start Date]],9),IF(Main[[#This Row],[Class]]="B", WORKDAY(Main[[#This Row],[Tech Start Date]],6),IF(Main[[#This Row],[Class]]="A",WORKDAY(Main[[#This Row],[Tech Start Date]],2),""))))</f>
        <v/>
      </c>
      <c r="N481" s="73" t="str">
        <f>IF(Main[[#This Row],[Tech Start Date]]&lt;1/1/1990,"",IF(Main[[#This Row],[Class]]="C",WORKDAY(Main[[#This Row],[Tech Start Date]],19),IF(Main[[#This Row],[Class]]="B", WORKDAY(Main[[#This Row],[Tech Start Date]],12),IF(Main[[#This Row],[Class]]="A",WORKDAY(Main[[#This Row],[Tech Start Date]],4),""))))</f>
        <v/>
      </c>
      <c r="O481" s="73" t="str">
        <f>IF(Main[[#This Row],[Tech Start Date]]&lt;1/1/1990,"",IF(Main[[#This Row],[Class]]="C",WORKDAY(Main[[#This Row],[Tech Start Date]],23),IF(Main[[#This Row],[Class]]="B", WORKDAY(Main[[#This Row],[Tech Start Date]],15),IF(Main[[#This Row],[Class]]="A",WORKDAY(Main[[#This Row],[Tech Start Date]],5),""))))</f>
        <v/>
      </c>
      <c r="P481" s="73" t="str">
        <f>IF(Main[[#This Row],[Tech Start Date]]&lt;1/1/1990,"",IF(Main[[#This Row],[Class]]="C",WORKDAY(Main[[#This Row],[Tech Start Date]],28),IF(Main[[#This Row],[Class]]="B", WORKDAY(Main[[#This Row],[Tech Start Date]],19),IF(Main[[#This Row],[Class]]="A",WORKDAY(Main[[#This Row],[Tech Start Date]],9),""))))</f>
        <v/>
      </c>
      <c r="Q481" s="85">
        <v>40581</v>
      </c>
      <c r="R481" s="112"/>
      <c r="S481" s="95" t="s">
        <v>6</v>
      </c>
      <c r="T481" s="74" t="s">
        <v>4</v>
      </c>
      <c r="U481" s="95" t="s">
        <v>14</v>
      </c>
      <c r="V481" s="95" t="s">
        <v>1914</v>
      </c>
      <c r="W481" s="95" t="s">
        <v>1915</v>
      </c>
      <c r="X481" s="95" t="s">
        <v>2799</v>
      </c>
      <c r="Y481" s="72" t="s">
        <v>2910</v>
      </c>
      <c r="Z481" s="72" t="s">
        <v>44</v>
      </c>
      <c r="AA481" s="95" t="s">
        <v>2799</v>
      </c>
      <c r="AB481" s="132"/>
      <c r="AC481" s="132"/>
      <c r="AD481" s="132"/>
      <c r="AE481" s="63"/>
      <c r="AF481" s="63"/>
      <c r="AG481" s="63"/>
    </row>
    <row r="482" spans="1:33" ht="17.2" customHeight="1">
      <c r="A482" s="64" t="str">
        <f>IF(priority(Main[[#This Row],[Comments]])&lt;&gt;0, priority(Main[[#This Row],[Comments]]),"")</f>
        <v/>
      </c>
      <c r="B482" s="60" t="s">
        <v>1330</v>
      </c>
      <c r="C482" s="72" t="s">
        <v>31</v>
      </c>
      <c r="D482" s="59" t="s">
        <v>385</v>
      </c>
      <c r="E482" s="85"/>
      <c r="F482" s="85"/>
      <c r="G482" s="64" t="str">
        <f>IF(stdProdLT(Main[[#This Row],[Comments]])=0.1,"N/A",IF(stdProdLT(Main[[#This Row],[Comments]])=0,"",TRIM(stdProdLT(Main[[#This Row],[Comments]]))))</f>
        <v/>
      </c>
      <c r="H482" s="94" t="str">
        <f>IF(OR(Main[[#This Row],[Std. Prod. Lead Time]]="N/A",Main[[#This Row],[Std. Prod. Lead Time]]=""), "",IF(AND(Main[[#This Row],[In Stock Date]]&lt;&gt;"",Main[[#This Row],[Revised Due Date]]&lt;&gt;"",Main[[#This Row],[In Stock Date]]&lt;&gt;""),Main[[#This Row],[In Stock Date]]-Main[[#This Row],[Revised Due Date]],""))</f>
        <v/>
      </c>
      <c r="I482" s="101" t="s">
        <v>4</v>
      </c>
      <c r="J482" s="95" t="s">
        <v>4</v>
      </c>
      <c r="K482" s="96" t="s">
        <v>4</v>
      </c>
      <c r="L482" s="85"/>
      <c r="M482" s="73" t="str">
        <f>IF(Main[[#This Row],[Tech Start Date]]&lt;1/1/1990,"",IF(Main[[#This Row],[Class]]="C",WORKDAY(Main[[#This Row],[Tech Start Date]],9),IF(Main[[#This Row],[Class]]="B", WORKDAY(Main[[#This Row],[Tech Start Date]],6),IF(Main[[#This Row],[Class]]="A",WORKDAY(Main[[#This Row],[Tech Start Date]],2),""))))</f>
        <v/>
      </c>
      <c r="N482" s="73" t="str">
        <f>IF(Main[[#This Row],[Tech Start Date]]&lt;1/1/1990,"",IF(Main[[#This Row],[Class]]="C",WORKDAY(Main[[#This Row],[Tech Start Date]],19),IF(Main[[#This Row],[Class]]="B", WORKDAY(Main[[#This Row],[Tech Start Date]],12),IF(Main[[#This Row],[Class]]="A",WORKDAY(Main[[#This Row],[Tech Start Date]],4),""))))</f>
        <v/>
      </c>
      <c r="O482" s="73" t="str">
        <f>IF(Main[[#This Row],[Tech Start Date]]&lt;1/1/1990,"",IF(Main[[#This Row],[Class]]="C",WORKDAY(Main[[#This Row],[Tech Start Date]],23),IF(Main[[#This Row],[Class]]="B", WORKDAY(Main[[#This Row],[Tech Start Date]],15),IF(Main[[#This Row],[Class]]="A",WORKDAY(Main[[#This Row],[Tech Start Date]],5),""))))</f>
        <v/>
      </c>
      <c r="P482" s="73" t="str">
        <f>IF(Main[[#This Row],[Tech Start Date]]&lt;1/1/1990,"",IF(Main[[#This Row],[Class]]="C",WORKDAY(Main[[#This Row],[Tech Start Date]],28),IF(Main[[#This Row],[Class]]="B", WORKDAY(Main[[#This Row],[Tech Start Date]],19),IF(Main[[#This Row],[Class]]="A",WORKDAY(Main[[#This Row],[Tech Start Date]],9),""))))</f>
        <v/>
      </c>
      <c r="Q482" s="85">
        <v>40318</v>
      </c>
      <c r="R482" s="112"/>
      <c r="S482" s="95" t="s">
        <v>11</v>
      </c>
      <c r="T482" s="74" t="s">
        <v>4</v>
      </c>
      <c r="U482" s="95" t="s">
        <v>14</v>
      </c>
      <c r="V482" s="95" t="s">
        <v>1914</v>
      </c>
      <c r="W482" s="95" t="s">
        <v>1913</v>
      </c>
      <c r="X482" s="95" t="s">
        <v>2810</v>
      </c>
      <c r="Y482" s="72" t="s">
        <v>4</v>
      </c>
      <c r="Z482" s="72" t="s">
        <v>4</v>
      </c>
      <c r="AA482" s="95" t="s">
        <v>2810</v>
      </c>
      <c r="AB482" s="132"/>
      <c r="AC482" s="132"/>
      <c r="AD482" s="132"/>
      <c r="AE482" s="63"/>
      <c r="AF482" s="63"/>
      <c r="AG482" s="63"/>
    </row>
    <row r="483" spans="1:33" ht="17.2" customHeight="1">
      <c r="A483" s="64" t="str">
        <f>IF(priority(Main[[#This Row],[Comments]])&lt;&gt;0, priority(Main[[#This Row],[Comments]]),"")</f>
        <v/>
      </c>
      <c r="B483" s="60" t="s">
        <v>1331</v>
      </c>
      <c r="C483" s="72" t="s">
        <v>31</v>
      </c>
      <c r="D483" s="59" t="s">
        <v>386</v>
      </c>
      <c r="E483" s="85"/>
      <c r="F483" s="85"/>
      <c r="G483" s="64" t="str">
        <f>IF(stdProdLT(Main[[#This Row],[Comments]])=0.1,"N/A",IF(stdProdLT(Main[[#This Row],[Comments]])=0,"",TRIM(stdProdLT(Main[[#This Row],[Comments]]))))</f>
        <v/>
      </c>
      <c r="H483" s="94" t="str">
        <f>IF(OR(Main[[#This Row],[Std. Prod. Lead Time]]="N/A",Main[[#This Row],[Std. Prod. Lead Time]]=""), "",IF(AND(Main[[#This Row],[In Stock Date]]&lt;&gt;"",Main[[#This Row],[Revised Due Date]]&lt;&gt;"",Main[[#This Row],[In Stock Date]]&lt;&gt;""),Main[[#This Row],[In Stock Date]]-Main[[#This Row],[Revised Due Date]],""))</f>
        <v/>
      </c>
      <c r="I483" s="101" t="s">
        <v>4</v>
      </c>
      <c r="J483" s="95" t="s">
        <v>4</v>
      </c>
      <c r="K483" s="95" t="s">
        <v>4</v>
      </c>
      <c r="L483" s="85"/>
      <c r="M483" s="73" t="str">
        <f>IF(Main[[#This Row],[Tech Start Date]]&lt;1/1/1990,"",IF(Main[[#This Row],[Class]]="C",WORKDAY(Main[[#This Row],[Tech Start Date]],9),IF(Main[[#This Row],[Class]]="B", WORKDAY(Main[[#This Row],[Tech Start Date]],6),IF(Main[[#This Row],[Class]]="A",WORKDAY(Main[[#This Row],[Tech Start Date]],2),""))))</f>
        <v/>
      </c>
      <c r="N483" s="73" t="str">
        <f>IF(Main[[#This Row],[Tech Start Date]]&lt;1/1/1990,"",IF(Main[[#This Row],[Class]]="C",WORKDAY(Main[[#This Row],[Tech Start Date]],19),IF(Main[[#This Row],[Class]]="B", WORKDAY(Main[[#This Row],[Tech Start Date]],12),IF(Main[[#This Row],[Class]]="A",WORKDAY(Main[[#This Row],[Tech Start Date]],4),""))))</f>
        <v/>
      </c>
      <c r="O483" s="73" t="str">
        <f>IF(Main[[#This Row],[Tech Start Date]]&lt;1/1/1990,"",IF(Main[[#This Row],[Class]]="C",WORKDAY(Main[[#This Row],[Tech Start Date]],23),IF(Main[[#This Row],[Class]]="B", WORKDAY(Main[[#This Row],[Tech Start Date]],15),IF(Main[[#This Row],[Class]]="A",WORKDAY(Main[[#This Row],[Tech Start Date]],5),""))))</f>
        <v/>
      </c>
      <c r="P483" s="73" t="str">
        <f>IF(Main[[#This Row],[Tech Start Date]]&lt;1/1/1990,"",IF(Main[[#This Row],[Class]]="C",WORKDAY(Main[[#This Row],[Tech Start Date]],28),IF(Main[[#This Row],[Class]]="B", WORKDAY(Main[[#This Row],[Tech Start Date]],19),IF(Main[[#This Row],[Class]]="A",WORKDAY(Main[[#This Row],[Tech Start Date]],9),""))))</f>
        <v/>
      </c>
      <c r="Q483" s="85">
        <v>40318</v>
      </c>
      <c r="R483" s="112"/>
      <c r="S483" s="95" t="s">
        <v>11</v>
      </c>
      <c r="T483" s="74" t="s">
        <v>4</v>
      </c>
      <c r="U483" s="95" t="s">
        <v>14</v>
      </c>
      <c r="V483" s="95" t="s">
        <v>1921</v>
      </c>
      <c r="W483" s="95" t="s">
        <v>1922</v>
      </c>
      <c r="X483" s="95" t="s">
        <v>2810</v>
      </c>
      <c r="Y483" s="72" t="s">
        <v>4</v>
      </c>
      <c r="Z483" s="72" t="s">
        <v>4</v>
      </c>
      <c r="AA483" s="95" t="s">
        <v>2810</v>
      </c>
      <c r="AB483" s="132"/>
      <c r="AC483" s="132"/>
      <c r="AD483" s="132"/>
      <c r="AE483" s="63"/>
      <c r="AF483" s="63"/>
      <c r="AG483" s="63"/>
    </row>
    <row r="484" spans="1:33" ht="17.2" customHeight="1">
      <c r="A484" s="64" t="str">
        <f>IF(priority(Main[[#This Row],[Comments]])&lt;&gt;0, priority(Main[[#This Row],[Comments]]),"")</f>
        <v/>
      </c>
      <c r="B484" s="60" t="s">
        <v>2363</v>
      </c>
      <c r="C484" s="72" t="s">
        <v>4</v>
      </c>
      <c r="D484" s="59" t="s">
        <v>2364</v>
      </c>
      <c r="E484" s="85"/>
      <c r="F484" s="85"/>
      <c r="G484" s="64" t="str">
        <f>IF(stdProdLT(Main[[#This Row],[Comments]])=0.1,"N/A",IF(stdProdLT(Main[[#This Row],[Comments]])=0,"",TRIM(stdProdLT(Main[[#This Row],[Comments]]))))</f>
        <v/>
      </c>
      <c r="H484" s="94" t="str">
        <f>IF(OR(Main[[#This Row],[Std. Prod. Lead Time]]="N/A",Main[[#This Row],[Std. Prod. Lead Time]]=""), "",IF(AND(Main[[#This Row],[In Stock Date]]&lt;&gt;"",Main[[#This Row],[Revised Due Date]]&lt;&gt;"",Main[[#This Row],[In Stock Date]]&lt;&gt;""),Main[[#This Row],[In Stock Date]]-Main[[#This Row],[Revised Due Date]],""))</f>
        <v/>
      </c>
      <c r="I484" s="101" t="s">
        <v>4</v>
      </c>
      <c r="J484" s="95" t="s">
        <v>4</v>
      </c>
      <c r="K484" s="95" t="s">
        <v>4</v>
      </c>
      <c r="L484" s="85"/>
      <c r="M484" s="73" t="str">
        <f>IF(Main[[#This Row],[Tech Start Date]]&lt;1/1/1990,"",IF(Main[[#This Row],[Class]]="C",WORKDAY(Main[[#This Row],[Tech Start Date]],9),IF(Main[[#This Row],[Class]]="B", WORKDAY(Main[[#This Row],[Tech Start Date]],6),IF(Main[[#This Row],[Class]]="A",WORKDAY(Main[[#This Row],[Tech Start Date]],2),""))))</f>
        <v/>
      </c>
      <c r="N484" s="73" t="str">
        <f>IF(Main[[#This Row],[Tech Start Date]]&lt;1/1/1990,"",IF(Main[[#This Row],[Class]]="C",WORKDAY(Main[[#This Row],[Tech Start Date]],19),IF(Main[[#This Row],[Class]]="B", WORKDAY(Main[[#This Row],[Tech Start Date]],12),IF(Main[[#This Row],[Class]]="A",WORKDAY(Main[[#This Row],[Tech Start Date]],4),""))))</f>
        <v/>
      </c>
      <c r="O484" s="73" t="str">
        <f>IF(Main[[#This Row],[Tech Start Date]]&lt;1/1/1990,"",IF(Main[[#This Row],[Class]]="C",WORKDAY(Main[[#This Row],[Tech Start Date]],23),IF(Main[[#This Row],[Class]]="B", WORKDAY(Main[[#This Row],[Tech Start Date]],15),IF(Main[[#This Row],[Class]]="A",WORKDAY(Main[[#This Row],[Tech Start Date]],5),""))))</f>
        <v/>
      </c>
      <c r="P484" s="73" t="str">
        <f>IF(Main[[#This Row],[Tech Start Date]]&lt;1/1/1990,"",IF(Main[[#This Row],[Class]]="C",WORKDAY(Main[[#This Row],[Tech Start Date]],28),IF(Main[[#This Row],[Class]]="B", WORKDAY(Main[[#This Row],[Tech Start Date]],19),IF(Main[[#This Row],[Class]]="A",WORKDAY(Main[[#This Row],[Tech Start Date]],9),""))))</f>
        <v/>
      </c>
      <c r="Q484" s="85"/>
      <c r="R484" s="112"/>
      <c r="S484" s="95" t="s">
        <v>11</v>
      </c>
      <c r="T484" s="74" t="s">
        <v>4</v>
      </c>
      <c r="U484" s="95" t="s">
        <v>14</v>
      </c>
      <c r="V484" s="95" t="s">
        <v>1912</v>
      </c>
      <c r="W484" s="95" t="s">
        <v>4</v>
      </c>
      <c r="X484" s="95" t="s">
        <v>2243</v>
      </c>
      <c r="Y484" s="72" t="s">
        <v>4</v>
      </c>
      <c r="Z484" s="72" t="s">
        <v>4</v>
      </c>
      <c r="AA484" s="95" t="s">
        <v>4</v>
      </c>
      <c r="AB484" s="132"/>
      <c r="AC484" s="132"/>
      <c r="AD484" s="132"/>
      <c r="AE484" s="63"/>
      <c r="AF484" s="63"/>
      <c r="AG484" s="63"/>
    </row>
    <row r="485" spans="1:33" ht="17.2" customHeight="1">
      <c r="A485" s="64" t="str">
        <f>IF(priority(Main[[#This Row],[Comments]])&lt;&gt;0, priority(Main[[#This Row],[Comments]]),"")</f>
        <v/>
      </c>
      <c r="B485" s="60" t="s">
        <v>1332</v>
      </c>
      <c r="C485" s="72" t="s">
        <v>31</v>
      </c>
      <c r="D485" s="59" t="s">
        <v>387</v>
      </c>
      <c r="E485" s="85"/>
      <c r="F485" s="85"/>
      <c r="G485" s="64" t="str">
        <f>IF(stdProdLT(Main[[#This Row],[Comments]])=0.1,"N/A",IF(stdProdLT(Main[[#This Row],[Comments]])=0,"",TRIM(stdProdLT(Main[[#This Row],[Comments]]))))</f>
        <v/>
      </c>
      <c r="H485" s="94" t="str">
        <f>IF(OR(Main[[#This Row],[Std. Prod. Lead Time]]="N/A",Main[[#This Row],[Std. Prod. Lead Time]]=""), "",IF(AND(Main[[#This Row],[In Stock Date]]&lt;&gt;"",Main[[#This Row],[Revised Due Date]]&lt;&gt;"",Main[[#This Row],[In Stock Date]]&lt;&gt;""),Main[[#This Row],[In Stock Date]]-Main[[#This Row],[Revised Due Date]],""))</f>
        <v/>
      </c>
      <c r="I485" s="101" t="s">
        <v>4</v>
      </c>
      <c r="J485" s="95" t="s">
        <v>4</v>
      </c>
      <c r="K485" s="95" t="s">
        <v>4</v>
      </c>
      <c r="L485" s="85"/>
      <c r="M485" s="73" t="str">
        <f>IF(Main[[#This Row],[Tech Start Date]]&lt;1/1/1990,"",IF(Main[[#This Row],[Class]]="C",WORKDAY(Main[[#This Row],[Tech Start Date]],9),IF(Main[[#This Row],[Class]]="B", WORKDAY(Main[[#This Row],[Tech Start Date]],6),IF(Main[[#This Row],[Class]]="A",WORKDAY(Main[[#This Row],[Tech Start Date]],2),""))))</f>
        <v/>
      </c>
      <c r="N485" s="73" t="str">
        <f>IF(Main[[#This Row],[Tech Start Date]]&lt;1/1/1990,"",IF(Main[[#This Row],[Class]]="C",WORKDAY(Main[[#This Row],[Tech Start Date]],19),IF(Main[[#This Row],[Class]]="B", WORKDAY(Main[[#This Row],[Tech Start Date]],12),IF(Main[[#This Row],[Class]]="A",WORKDAY(Main[[#This Row],[Tech Start Date]],4),""))))</f>
        <v/>
      </c>
      <c r="O485" s="73" t="str">
        <f>IF(Main[[#This Row],[Tech Start Date]]&lt;1/1/1990,"",IF(Main[[#This Row],[Class]]="C",WORKDAY(Main[[#This Row],[Tech Start Date]],23),IF(Main[[#This Row],[Class]]="B", WORKDAY(Main[[#This Row],[Tech Start Date]],15),IF(Main[[#This Row],[Class]]="A",WORKDAY(Main[[#This Row],[Tech Start Date]],5),""))))</f>
        <v/>
      </c>
      <c r="P485" s="73" t="str">
        <f>IF(Main[[#This Row],[Tech Start Date]]&lt;1/1/1990,"",IF(Main[[#This Row],[Class]]="C",WORKDAY(Main[[#This Row],[Tech Start Date]],28),IF(Main[[#This Row],[Class]]="B", WORKDAY(Main[[#This Row],[Tech Start Date]],19),IF(Main[[#This Row],[Class]]="A",WORKDAY(Main[[#This Row],[Tech Start Date]],9),""))))</f>
        <v/>
      </c>
      <c r="Q485" s="85">
        <v>40318</v>
      </c>
      <c r="R485" s="112"/>
      <c r="S485" s="95" t="s">
        <v>11</v>
      </c>
      <c r="T485" s="74" t="s">
        <v>4</v>
      </c>
      <c r="U485" s="95" t="s">
        <v>14</v>
      </c>
      <c r="V485" s="95" t="s">
        <v>1921</v>
      </c>
      <c r="W485" s="95" t="s">
        <v>1913</v>
      </c>
      <c r="X485" s="95" t="s">
        <v>2810</v>
      </c>
      <c r="Y485" s="72" t="s">
        <v>4</v>
      </c>
      <c r="Z485" s="72" t="s">
        <v>4</v>
      </c>
      <c r="AA485" s="95" t="s">
        <v>2810</v>
      </c>
      <c r="AB485" s="132"/>
      <c r="AC485" s="132"/>
      <c r="AD485" s="132"/>
      <c r="AE485" s="63"/>
      <c r="AF485" s="63"/>
      <c r="AG485" s="63"/>
    </row>
    <row r="486" spans="1:33" ht="17.2" customHeight="1">
      <c r="A486" s="64" t="str">
        <f>IF(priority(Main[[#This Row],[Comments]])&lt;&gt;0, priority(Main[[#This Row],[Comments]]),"")</f>
        <v/>
      </c>
      <c r="B486" s="60" t="s">
        <v>1333</v>
      </c>
      <c r="C486" s="72" t="s">
        <v>31</v>
      </c>
      <c r="D486" s="59" t="s">
        <v>388</v>
      </c>
      <c r="E486" s="85"/>
      <c r="F486" s="85">
        <v>40288</v>
      </c>
      <c r="G486" s="64" t="str">
        <f>IF(stdProdLT(Main[[#This Row],[Comments]])=0.1,"N/A",IF(stdProdLT(Main[[#This Row],[Comments]])=0,"",TRIM(stdProdLT(Main[[#This Row],[Comments]]))))</f>
        <v/>
      </c>
      <c r="H486" s="94" t="str">
        <f>IF(OR(Main[[#This Row],[Std. Prod. Lead Time]]="N/A",Main[[#This Row],[Std. Prod. Lead Time]]=""), "",IF(AND(Main[[#This Row],[In Stock Date]]&lt;&gt;"",Main[[#This Row],[Revised Due Date]]&lt;&gt;"",Main[[#This Row],[In Stock Date]]&lt;&gt;""),Main[[#This Row],[In Stock Date]]-Main[[#This Row],[Revised Due Date]],""))</f>
        <v/>
      </c>
      <c r="I486" s="101" t="s">
        <v>4</v>
      </c>
      <c r="J486" s="95" t="s">
        <v>4</v>
      </c>
      <c r="K486" s="95" t="s">
        <v>4</v>
      </c>
      <c r="L486" s="85"/>
      <c r="M486" s="73" t="str">
        <f>IF(Main[[#This Row],[Tech Start Date]]&lt;1/1/1990,"",IF(Main[[#This Row],[Class]]="C",WORKDAY(Main[[#This Row],[Tech Start Date]],9),IF(Main[[#This Row],[Class]]="B", WORKDAY(Main[[#This Row],[Tech Start Date]],6),IF(Main[[#This Row],[Class]]="A",WORKDAY(Main[[#This Row],[Tech Start Date]],2),""))))</f>
        <v/>
      </c>
      <c r="N486" s="73" t="str">
        <f>IF(Main[[#This Row],[Tech Start Date]]&lt;1/1/1990,"",IF(Main[[#This Row],[Class]]="C",WORKDAY(Main[[#This Row],[Tech Start Date]],19),IF(Main[[#This Row],[Class]]="B", WORKDAY(Main[[#This Row],[Tech Start Date]],12),IF(Main[[#This Row],[Class]]="A",WORKDAY(Main[[#This Row],[Tech Start Date]],4),""))))</f>
        <v/>
      </c>
      <c r="O486" s="73" t="str">
        <f>IF(Main[[#This Row],[Tech Start Date]]&lt;1/1/1990,"",IF(Main[[#This Row],[Class]]="C",WORKDAY(Main[[#This Row],[Tech Start Date]],23),IF(Main[[#This Row],[Class]]="B", WORKDAY(Main[[#This Row],[Tech Start Date]],15),IF(Main[[#This Row],[Class]]="A",WORKDAY(Main[[#This Row],[Tech Start Date]],5),""))))</f>
        <v/>
      </c>
      <c r="P486" s="73" t="str">
        <f>IF(Main[[#This Row],[Tech Start Date]]&lt;1/1/1990,"",IF(Main[[#This Row],[Class]]="C",WORKDAY(Main[[#This Row],[Tech Start Date]],28),IF(Main[[#This Row],[Class]]="B", WORKDAY(Main[[#This Row],[Tech Start Date]],19),IF(Main[[#This Row],[Class]]="A",WORKDAY(Main[[#This Row],[Tech Start Date]],9),""))))</f>
        <v/>
      </c>
      <c r="Q486" s="85">
        <v>40106</v>
      </c>
      <c r="R486" s="112"/>
      <c r="S486" s="95" t="s">
        <v>11</v>
      </c>
      <c r="T486" s="74" t="s">
        <v>4</v>
      </c>
      <c r="U486" s="95" t="s">
        <v>14</v>
      </c>
      <c r="V486" s="95" t="s">
        <v>1914</v>
      </c>
      <c r="W486" s="95" t="s">
        <v>1922</v>
      </c>
      <c r="X486" s="95" t="s">
        <v>2810</v>
      </c>
      <c r="Y486" s="72" t="s">
        <v>4</v>
      </c>
      <c r="Z486" s="72" t="s">
        <v>4</v>
      </c>
      <c r="AA486" s="95" t="s">
        <v>2810</v>
      </c>
      <c r="AB486" s="132"/>
      <c r="AC486" s="132"/>
      <c r="AD486" s="132"/>
      <c r="AE486" s="63"/>
      <c r="AF486" s="63"/>
      <c r="AG486" s="63"/>
    </row>
    <row r="487" spans="1:33" ht="17.2" customHeight="1">
      <c r="A487" s="64" t="str">
        <f>IF(priority(Main[[#This Row],[Comments]])&lt;&gt;0, priority(Main[[#This Row],[Comments]]),"")</f>
        <v/>
      </c>
      <c r="B487" s="60" t="s">
        <v>1899</v>
      </c>
      <c r="C487" s="72" t="s">
        <v>277</v>
      </c>
      <c r="D487" s="59" t="s">
        <v>953</v>
      </c>
      <c r="E487" s="85"/>
      <c r="F487" s="85">
        <v>40543</v>
      </c>
      <c r="G487" s="64" t="str">
        <f>IF(stdProdLT(Main[[#This Row],[Comments]])=0.1,"N/A",IF(stdProdLT(Main[[#This Row],[Comments]])=0,"",TRIM(stdProdLT(Main[[#This Row],[Comments]]))))</f>
        <v/>
      </c>
      <c r="H487" s="94" t="str">
        <f>IF(OR(Main[[#This Row],[Std. Prod. Lead Time]]="N/A",Main[[#This Row],[Std. Prod. Lead Time]]=""), "",IF(AND(Main[[#This Row],[In Stock Date]]&lt;&gt;"",Main[[#This Row],[Revised Due Date]]&lt;&gt;"",Main[[#This Row],[In Stock Date]]&lt;&gt;""),Main[[#This Row],[In Stock Date]]-Main[[#This Row],[Revised Due Date]],""))</f>
        <v/>
      </c>
      <c r="I487" s="101" t="s">
        <v>163</v>
      </c>
      <c r="J487" s="95" t="s">
        <v>4</v>
      </c>
      <c r="K487" s="95" t="s">
        <v>1923</v>
      </c>
      <c r="L487" s="85"/>
      <c r="M487" s="73" t="str">
        <f>IF(Main[[#This Row],[Tech Start Date]]&lt;1/1/1990,"",IF(Main[[#This Row],[Class]]="C",WORKDAY(Main[[#This Row],[Tech Start Date]],9),IF(Main[[#This Row],[Class]]="B", WORKDAY(Main[[#This Row],[Tech Start Date]],6),IF(Main[[#This Row],[Class]]="A",WORKDAY(Main[[#This Row],[Tech Start Date]],2),""))))</f>
        <v/>
      </c>
      <c r="N487" s="73" t="str">
        <f>IF(Main[[#This Row],[Tech Start Date]]&lt;1/1/1990,"",IF(Main[[#This Row],[Class]]="C",WORKDAY(Main[[#This Row],[Tech Start Date]],19),IF(Main[[#This Row],[Class]]="B", WORKDAY(Main[[#This Row],[Tech Start Date]],12),IF(Main[[#This Row],[Class]]="A",WORKDAY(Main[[#This Row],[Tech Start Date]],4),""))))</f>
        <v/>
      </c>
      <c r="O487" s="73" t="str">
        <f>IF(Main[[#This Row],[Tech Start Date]]&lt;1/1/1990,"",IF(Main[[#This Row],[Class]]="C",WORKDAY(Main[[#This Row],[Tech Start Date]],23),IF(Main[[#This Row],[Class]]="B", WORKDAY(Main[[#This Row],[Tech Start Date]],15),IF(Main[[#This Row],[Class]]="A",WORKDAY(Main[[#This Row],[Tech Start Date]],5),""))))</f>
        <v/>
      </c>
      <c r="P487" s="73" t="str">
        <f>IF(Main[[#This Row],[Tech Start Date]]&lt;1/1/1990,"",IF(Main[[#This Row],[Class]]="C",WORKDAY(Main[[#This Row],[Tech Start Date]],28),IF(Main[[#This Row],[Class]]="B", WORKDAY(Main[[#This Row],[Tech Start Date]],19),IF(Main[[#This Row],[Class]]="A",WORKDAY(Main[[#This Row],[Tech Start Date]],9),""))))</f>
        <v/>
      </c>
      <c r="Q487" s="85">
        <v>40543</v>
      </c>
      <c r="R487" s="112">
        <v>40743</v>
      </c>
      <c r="S487" s="95" t="s">
        <v>17</v>
      </c>
      <c r="T487" s="74" t="s">
        <v>4</v>
      </c>
      <c r="U487" s="95" t="s">
        <v>14</v>
      </c>
      <c r="V487" s="95" t="s">
        <v>1914</v>
      </c>
      <c r="W487" s="95" t="s">
        <v>1913</v>
      </c>
      <c r="X487" s="95" t="s">
        <v>65</v>
      </c>
      <c r="Y487" s="72" t="s">
        <v>4</v>
      </c>
      <c r="Z487" s="72" t="s">
        <v>415</v>
      </c>
      <c r="AA487" s="95" t="s">
        <v>65</v>
      </c>
      <c r="AB487" s="132"/>
      <c r="AC487" s="132"/>
      <c r="AD487" s="132"/>
      <c r="AE487" s="63"/>
      <c r="AF487" s="63"/>
      <c r="AG487" s="63"/>
    </row>
    <row r="488" spans="1:33" ht="17.2" customHeight="1">
      <c r="A488" s="64" t="str">
        <f>IF(priority(Main[[#This Row],[Comments]])&lt;&gt;0, priority(Main[[#This Row],[Comments]]),"")</f>
        <v/>
      </c>
      <c r="B488" s="60" t="s">
        <v>1308</v>
      </c>
      <c r="C488" s="72" t="s">
        <v>4</v>
      </c>
      <c r="D488" s="59" t="s">
        <v>389</v>
      </c>
      <c r="E488" s="85"/>
      <c r="F488" s="85"/>
      <c r="G488" s="64" t="str">
        <f>IF(stdProdLT(Main[[#This Row],[Comments]])=0.1,"N/A",IF(stdProdLT(Main[[#This Row],[Comments]])=0,"",TRIM(stdProdLT(Main[[#This Row],[Comments]]))))</f>
        <v/>
      </c>
      <c r="H488" s="94" t="str">
        <f>IF(OR(Main[[#This Row],[Std. Prod. Lead Time]]="N/A",Main[[#This Row],[Std. Prod. Lead Time]]=""), "",IF(AND(Main[[#This Row],[In Stock Date]]&lt;&gt;"",Main[[#This Row],[Revised Due Date]]&lt;&gt;"",Main[[#This Row],[In Stock Date]]&lt;&gt;""),Main[[#This Row],[In Stock Date]]-Main[[#This Row],[Revised Due Date]],""))</f>
        <v/>
      </c>
      <c r="I488" s="101" t="s">
        <v>4</v>
      </c>
      <c r="J488" s="95" t="s">
        <v>4</v>
      </c>
      <c r="K488" s="96" t="s">
        <v>4</v>
      </c>
      <c r="L488" s="85"/>
      <c r="M488" s="73" t="str">
        <f>IF(Main[[#This Row],[Tech Start Date]]&lt;1/1/1990,"",IF(Main[[#This Row],[Class]]="C",WORKDAY(Main[[#This Row],[Tech Start Date]],9),IF(Main[[#This Row],[Class]]="B", WORKDAY(Main[[#This Row],[Tech Start Date]],6),IF(Main[[#This Row],[Class]]="A",WORKDAY(Main[[#This Row],[Tech Start Date]],2),""))))</f>
        <v/>
      </c>
      <c r="N488" s="73" t="str">
        <f>IF(Main[[#This Row],[Tech Start Date]]&lt;1/1/1990,"",IF(Main[[#This Row],[Class]]="C",WORKDAY(Main[[#This Row],[Tech Start Date]],19),IF(Main[[#This Row],[Class]]="B", WORKDAY(Main[[#This Row],[Tech Start Date]],12),IF(Main[[#This Row],[Class]]="A",WORKDAY(Main[[#This Row],[Tech Start Date]],4),""))))</f>
        <v/>
      </c>
      <c r="O488" s="73" t="str">
        <f>IF(Main[[#This Row],[Tech Start Date]]&lt;1/1/1990,"",IF(Main[[#This Row],[Class]]="C",WORKDAY(Main[[#This Row],[Tech Start Date]],23),IF(Main[[#This Row],[Class]]="B", WORKDAY(Main[[#This Row],[Tech Start Date]],15),IF(Main[[#This Row],[Class]]="A",WORKDAY(Main[[#This Row],[Tech Start Date]],5),""))))</f>
        <v/>
      </c>
      <c r="P488" s="73" t="str">
        <f>IF(Main[[#This Row],[Tech Start Date]]&lt;1/1/1990,"",IF(Main[[#This Row],[Class]]="C",WORKDAY(Main[[#This Row],[Tech Start Date]],28),IF(Main[[#This Row],[Class]]="B", WORKDAY(Main[[#This Row],[Tech Start Date]],19),IF(Main[[#This Row],[Class]]="A",WORKDAY(Main[[#This Row],[Tech Start Date]],9),""))))</f>
        <v/>
      </c>
      <c r="Q488" s="85"/>
      <c r="R488" s="112"/>
      <c r="S488" s="95" t="s">
        <v>4</v>
      </c>
      <c r="T488" s="74" t="s">
        <v>4</v>
      </c>
      <c r="U488" s="95" t="s">
        <v>14</v>
      </c>
      <c r="V488" s="95" t="s">
        <v>1912</v>
      </c>
      <c r="W488" s="95" t="s">
        <v>4</v>
      </c>
      <c r="X488" s="95" t="s">
        <v>922</v>
      </c>
      <c r="Y488" s="72" t="s">
        <v>4</v>
      </c>
      <c r="Z488" s="72" t="s">
        <v>4</v>
      </c>
      <c r="AA488" s="95" t="s">
        <v>4</v>
      </c>
      <c r="AB488" s="132"/>
      <c r="AC488" s="132"/>
      <c r="AD488" s="132"/>
      <c r="AE488" s="63"/>
      <c r="AF488" s="63"/>
      <c r="AG488" s="63"/>
    </row>
    <row r="489" spans="1:33" ht="17.2" customHeight="1">
      <c r="A489" s="64" t="str">
        <f>IF(priority(Main[[#This Row],[Comments]])&lt;&gt;0, priority(Main[[#This Row],[Comments]]),"")</f>
        <v/>
      </c>
      <c r="B489" s="60" t="s">
        <v>1393</v>
      </c>
      <c r="C489" s="72" t="s">
        <v>93</v>
      </c>
      <c r="D489" s="59" t="s">
        <v>420</v>
      </c>
      <c r="E489" s="85"/>
      <c r="F489" s="85">
        <v>40269</v>
      </c>
      <c r="G489" s="64" t="str">
        <f>IF(stdProdLT(Main[[#This Row],[Comments]])=0.1,"N/A",IF(stdProdLT(Main[[#This Row],[Comments]])=0,"",TRIM(stdProdLT(Main[[#This Row],[Comments]]))))</f>
        <v/>
      </c>
      <c r="H489" s="94" t="str">
        <f>IF(OR(Main[[#This Row],[Std. Prod. Lead Time]]="N/A",Main[[#This Row],[Std. Prod. Lead Time]]=""), "",IF(AND(Main[[#This Row],[In Stock Date]]&lt;&gt;"",Main[[#This Row],[Revised Due Date]]&lt;&gt;"",Main[[#This Row],[In Stock Date]]&lt;&gt;""),Main[[#This Row],[In Stock Date]]-Main[[#This Row],[Revised Due Date]],""))</f>
        <v/>
      </c>
      <c r="I489" s="101" t="s">
        <v>4</v>
      </c>
      <c r="J489" s="95" t="s">
        <v>4</v>
      </c>
      <c r="K489" s="95" t="s">
        <v>4</v>
      </c>
      <c r="L489" s="85"/>
      <c r="M489" s="73" t="str">
        <f>IF(Main[[#This Row],[Tech Start Date]]&lt;1/1/1990,"",IF(Main[[#This Row],[Class]]="C",WORKDAY(Main[[#This Row],[Tech Start Date]],9),IF(Main[[#This Row],[Class]]="B", WORKDAY(Main[[#This Row],[Tech Start Date]],6),IF(Main[[#This Row],[Class]]="A",WORKDAY(Main[[#This Row],[Tech Start Date]],2),""))))</f>
        <v/>
      </c>
      <c r="N489" s="73" t="str">
        <f>IF(Main[[#This Row],[Tech Start Date]]&lt;1/1/1990,"",IF(Main[[#This Row],[Class]]="C",WORKDAY(Main[[#This Row],[Tech Start Date]],19),IF(Main[[#This Row],[Class]]="B", WORKDAY(Main[[#This Row],[Tech Start Date]],12),IF(Main[[#This Row],[Class]]="A",WORKDAY(Main[[#This Row],[Tech Start Date]],4),""))))</f>
        <v/>
      </c>
      <c r="O489" s="73" t="str">
        <f>IF(Main[[#This Row],[Tech Start Date]]&lt;1/1/1990,"",IF(Main[[#This Row],[Class]]="C",WORKDAY(Main[[#This Row],[Tech Start Date]],23),IF(Main[[#This Row],[Class]]="B", WORKDAY(Main[[#This Row],[Tech Start Date]],15),IF(Main[[#This Row],[Class]]="A",WORKDAY(Main[[#This Row],[Tech Start Date]],5),""))))</f>
        <v/>
      </c>
      <c r="P489" s="73" t="str">
        <f>IF(Main[[#This Row],[Tech Start Date]]&lt;1/1/1990,"",IF(Main[[#This Row],[Class]]="C",WORKDAY(Main[[#This Row],[Tech Start Date]],28),IF(Main[[#This Row],[Class]]="B", WORKDAY(Main[[#This Row],[Tech Start Date]],19),IF(Main[[#This Row],[Class]]="A",WORKDAY(Main[[#This Row],[Tech Start Date]],9),""))))</f>
        <v/>
      </c>
      <c r="Q489" s="85">
        <v>40185</v>
      </c>
      <c r="R489" s="112"/>
      <c r="S489" s="95" t="s">
        <v>11</v>
      </c>
      <c r="T489" s="74" t="s">
        <v>4</v>
      </c>
      <c r="U489" s="95" t="s">
        <v>12</v>
      </c>
      <c r="V489" s="95" t="s">
        <v>1921</v>
      </c>
      <c r="W489" s="95" t="s">
        <v>1922</v>
      </c>
      <c r="X489" s="95" t="s">
        <v>2825</v>
      </c>
      <c r="Y489" s="72" t="s">
        <v>4</v>
      </c>
      <c r="Z489" s="72" t="s">
        <v>4</v>
      </c>
      <c r="AA489" s="95" t="s">
        <v>2825</v>
      </c>
      <c r="AB489" s="132"/>
      <c r="AC489" s="132"/>
      <c r="AD489" s="132"/>
      <c r="AE489" s="63"/>
      <c r="AF489" s="63"/>
      <c r="AG489" s="63"/>
    </row>
    <row r="490" spans="1:33" ht="17.2" customHeight="1">
      <c r="A490" s="64" t="str">
        <f>IF(priority(Main[[#This Row],[Comments]])&lt;&gt;0, priority(Main[[#This Row],[Comments]]),"")</f>
        <v/>
      </c>
      <c r="B490" s="60" t="s">
        <v>1394</v>
      </c>
      <c r="C490" s="72" t="s">
        <v>169</v>
      </c>
      <c r="D490" s="59" t="s">
        <v>421</v>
      </c>
      <c r="E490" s="85"/>
      <c r="F490" s="85">
        <v>40237</v>
      </c>
      <c r="G490" s="64" t="str">
        <f>IF(stdProdLT(Main[[#This Row],[Comments]])=0.1,"N/A",IF(stdProdLT(Main[[#This Row],[Comments]])=0,"",TRIM(stdProdLT(Main[[#This Row],[Comments]]))))</f>
        <v/>
      </c>
      <c r="H490" s="94" t="str">
        <f>IF(OR(Main[[#This Row],[Std. Prod. Lead Time]]="N/A",Main[[#This Row],[Std. Prod. Lead Time]]=""), "",IF(AND(Main[[#This Row],[In Stock Date]]&lt;&gt;"",Main[[#This Row],[Revised Due Date]]&lt;&gt;"",Main[[#This Row],[In Stock Date]]&lt;&gt;""),Main[[#This Row],[In Stock Date]]-Main[[#This Row],[Revised Due Date]],""))</f>
        <v/>
      </c>
      <c r="I490" s="101" t="s">
        <v>4</v>
      </c>
      <c r="J490" s="95" t="s">
        <v>4</v>
      </c>
      <c r="K490" s="95" t="s">
        <v>4</v>
      </c>
      <c r="L490" s="85"/>
      <c r="M490" s="73" t="str">
        <f>IF(Main[[#This Row],[Tech Start Date]]&lt;1/1/1990,"",IF(Main[[#This Row],[Class]]="C",WORKDAY(Main[[#This Row],[Tech Start Date]],9),IF(Main[[#This Row],[Class]]="B", WORKDAY(Main[[#This Row],[Tech Start Date]],6),IF(Main[[#This Row],[Class]]="A",WORKDAY(Main[[#This Row],[Tech Start Date]],2),""))))</f>
        <v/>
      </c>
      <c r="N490" s="73" t="str">
        <f>IF(Main[[#This Row],[Tech Start Date]]&lt;1/1/1990,"",IF(Main[[#This Row],[Class]]="C",WORKDAY(Main[[#This Row],[Tech Start Date]],19),IF(Main[[#This Row],[Class]]="B", WORKDAY(Main[[#This Row],[Tech Start Date]],12),IF(Main[[#This Row],[Class]]="A",WORKDAY(Main[[#This Row],[Tech Start Date]],4),""))))</f>
        <v/>
      </c>
      <c r="O490" s="73" t="str">
        <f>IF(Main[[#This Row],[Tech Start Date]]&lt;1/1/1990,"",IF(Main[[#This Row],[Class]]="C",WORKDAY(Main[[#This Row],[Tech Start Date]],23),IF(Main[[#This Row],[Class]]="B", WORKDAY(Main[[#This Row],[Tech Start Date]],15),IF(Main[[#This Row],[Class]]="A",WORKDAY(Main[[#This Row],[Tech Start Date]],5),""))))</f>
        <v/>
      </c>
      <c r="P490" s="73" t="str">
        <f>IF(Main[[#This Row],[Tech Start Date]]&lt;1/1/1990,"",IF(Main[[#This Row],[Class]]="C",WORKDAY(Main[[#This Row],[Tech Start Date]],28),IF(Main[[#This Row],[Class]]="B", WORKDAY(Main[[#This Row],[Tech Start Date]],19),IF(Main[[#This Row],[Class]]="A",WORKDAY(Main[[#This Row],[Tech Start Date]],9),""))))</f>
        <v/>
      </c>
      <c r="Q490" s="85">
        <v>40132</v>
      </c>
      <c r="R490" s="112"/>
      <c r="S490" s="95" t="s">
        <v>11</v>
      </c>
      <c r="T490" s="74" t="s">
        <v>4</v>
      </c>
      <c r="U490" s="95" t="s">
        <v>14</v>
      </c>
      <c r="V490" s="95" t="s">
        <v>1911</v>
      </c>
      <c r="W490" s="95" t="s">
        <v>1916</v>
      </c>
      <c r="X490" s="95" t="s">
        <v>2838</v>
      </c>
      <c r="Y490" s="72" t="s">
        <v>4</v>
      </c>
      <c r="Z490" s="72" t="s">
        <v>4</v>
      </c>
      <c r="AA490" s="95" t="s">
        <v>2838</v>
      </c>
      <c r="AB490" s="132"/>
      <c r="AC490" s="132"/>
      <c r="AD490" s="132"/>
      <c r="AE490" s="63"/>
      <c r="AF490" s="63"/>
      <c r="AG490" s="63"/>
    </row>
    <row r="491" spans="1:33" ht="17.2" customHeight="1">
      <c r="A491" s="64" t="str">
        <f>IF(priority(Main[[#This Row],[Comments]])&lt;&gt;0, priority(Main[[#This Row],[Comments]]),"")</f>
        <v/>
      </c>
      <c r="B491" s="60" t="s">
        <v>1395</v>
      </c>
      <c r="C491" s="72" t="s">
        <v>93</v>
      </c>
      <c r="D491" s="59" t="s">
        <v>422</v>
      </c>
      <c r="E491" s="85"/>
      <c r="F491" s="85">
        <v>40144</v>
      </c>
      <c r="G491" s="64" t="str">
        <f>IF(stdProdLT(Main[[#This Row],[Comments]])=0.1,"N/A",IF(stdProdLT(Main[[#This Row],[Comments]])=0,"",TRIM(stdProdLT(Main[[#This Row],[Comments]]))))</f>
        <v/>
      </c>
      <c r="H491" s="94" t="str">
        <f>IF(OR(Main[[#This Row],[Std. Prod. Lead Time]]="N/A",Main[[#This Row],[Std. Prod. Lead Time]]=""), "",IF(AND(Main[[#This Row],[In Stock Date]]&lt;&gt;"",Main[[#This Row],[Revised Due Date]]&lt;&gt;"",Main[[#This Row],[In Stock Date]]&lt;&gt;""),Main[[#This Row],[In Stock Date]]-Main[[#This Row],[Revised Due Date]],""))</f>
        <v/>
      </c>
      <c r="I491" s="101" t="s">
        <v>4</v>
      </c>
      <c r="J491" s="95" t="s">
        <v>4</v>
      </c>
      <c r="K491" s="95" t="s">
        <v>4</v>
      </c>
      <c r="L491" s="85"/>
      <c r="M491" s="73" t="str">
        <f>IF(Main[[#This Row],[Tech Start Date]]&lt;1/1/1990,"",IF(Main[[#This Row],[Class]]="C",WORKDAY(Main[[#This Row],[Tech Start Date]],9),IF(Main[[#This Row],[Class]]="B", WORKDAY(Main[[#This Row],[Tech Start Date]],6),IF(Main[[#This Row],[Class]]="A",WORKDAY(Main[[#This Row],[Tech Start Date]],2),""))))</f>
        <v/>
      </c>
      <c r="N491" s="73" t="str">
        <f>IF(Main[[#This Row],[Tech Start Date]]&lt;1/1/1990,"",IF(Main[[#This Row],[Class]]="C",WORKDAY(Main[[#This Row],[Tech Start Date]],19),IF(Main[[#This Row],[Class]]="B", WORKDAY(Main[[#This Row],[Tech Start Date]],12),IF(Main[[#This Row],[Class]]="A",WORKDAY(Main[[#This Row],[Tech Start Date]],4),""))))</f>
        <v/>
      </c>
      <c r="O491" s="73" t="str">
        <f>IF(Main[[#This Row],[Tech Start Date]]&lt;1/1/1990,"",IF(Main[[#This Row],[Class]]="C",WORKDAY(Main[[#This Row],[Tech Start Date]],23),IF(Main[[#This Row],[Class]]="B", WORKDAY(Main[[#This Row],[Tech Start Date]],15),IF(Main[[#This Row],[Class]]="A",WORKDAY(Main[[#This Row],[Tech Start Date]],5),""))))</f>
        <v/>
      </c>
      <c r="P491" s="73" t="str">
        <f>IF(Main[[#This Row],[Tech Start Date]]&lt;1/1/1990,"",IF(Main[[#This Row],[Class]]="C",WORKDAY(Main[[#This Row],[Tech Start Date]],28),IF(Main[[#This Row],[Class]]="B", WORKDAY(Main[[#This Row],[Tech Start Date]],19),IF(Main[[#This Row],[Class]]="A",WORKDAY(Main[[#This Row],[Tech Start Date]],9),""))))</f>
        <v/>
      </c>
      <c r="Q491" s="85">
        <v>40144</v>
      </c>
      <c r="R491" s="112"/>
      <c r="S491" s="95" t="s">
        <v>11</v>
      </c>
      <c r="T491" s="74" t="s">
        <v>4</v>
      </c>
      <c r="U491" s="95" t="s">
        <v>14</v>
      </c>
      <c r="V491" s="95" t="s">
        <v>1914</v>
      </c>
      <c r="W491" s="95" t="s">
        <v>1922</v>
      </c>
      <c r="X491" s="95" t="s">
        <v>2836</v>
      </c>
      <c r="Y491" s="72" t="s">
        <v>4</v>
      </c>
      <c r="Z491" s="72" t="s">
        <v>4</v>
      </c>
      <c r="AA491" s="95" t="s">
        <v>2836</v>
      </c>
      <c r="AB491" s="132"/>
      <c r="AC491" s="132"/>
      <c r="AD491" s="132"/>
      <c r="AE491" s="63"/>
      <c r="AF491" s="63"/>
      <c r="AG491" s="63"/>
    </row>
    <row r="492" spans="1:33" ht="17.2" customHeight="1">
      <c r="A492" s="64" t="str">
        <f>IF(priority(Main[[#This Row],[Comments]])&lt;&gt;0, priority(Main[[#This Row],[Comments]]),"")</f>
        <v/>
      </c>
      <c r="B492" s="60" t="s">
        <v>1338</v>
      </c>
      <c r="C492" s="72" t="s">
        <v>93</v>
      </c>
      <c r="D492" s="59" t="s">
        <v>423</v>
      </c>
      <c r="E492" s="85"/>
      <c r="F492" s="85">
        <v>40162</v>
      </c>
      <c r="G492" s="64" t="str">
        <f>IF(stdProdLT(Main[[#This Row],[Comments]])=0.1,"N/A",IF(stdProdLT(Main[[#This Row],[Comments]])=0,"",TRIM(stdProdLT(Main[[#This Row],[Comments]]))))</f>
        <v/>
      </c>
      <c r="H492" s="94" t="str">
        <f>IF(OR(Main[[#This Row],[Std. Prod. Lead Time]]="N/A",Main[[#This Row],[Std. Prod. Lead Time]]=""), "",IF(AND(Main[[#This Row],[In Stock Date]]&lt;&gt;"",Main[[#This Row],[Revised Due Date]]&lt;&gt;"",Main[[#This Row],[In Stock Date]]&lt;&gt;""),Main[[#This Row],[In Stock Date]]-Main[[#This Row],[Revised Due Date]],""))</f>
        <v/>
      </c>
      <c r="I492" s="101" t="s">
        <v>4</v>
      </c>
      <c r="J492" s="95" t="s">
        <v>4</v>
      </c>
      <c r="K492" s="95" t="s">
        <v>4</v>
      </c>
      <c r="L492" s="85"/>
      <c r="M492" s="73" t="str">
        <f>IF(Main[[#This Row],[Tech Start Date]]&lt;1/1/1990,"",IF(Main[[#This Row],[Class]]="C",WORKDAY(Main[[#This Row],[Tech Start Date]],9),IF(Main[[#This Row],[Class]]="B", WORKDAY(Main[[#This Row],[Tech Start Date]],6),IF(Main[[#This Row],[Class]]="A",WORKDAY(Main[[#This Row],[Tech Start Date]],2),""))))</f>
        <v/>
      </c>
      <c r="N492" s="73" t="str">
        <f>IF(Main[[#This Row],[Tech Start Date]]&lt;1/1/1990,"",IF(Main[[#This Row],[Class]]="C",WORKDAY(Main[[#This Row],[Tech Start Date]],19),IF(Main[[#This Row],[Class]]="B", WORKDAY(Main[[#This Row],[Tech Start Date]],12),IF(Main[[#This Row],[Class]]="A",WORKDAY(Main[[#This Row],[Tech Start Date]],4),""))))</f>
        <v/>
      </c>
      <c r="O492" s="73" t="str">
        <f>IF(Main[[#This Row],[Tech Start Date]]&lt;1/1/1990,"",IF(Main[[#This Row],[Class]]="C",WORKDAY(Main[[#This Row],[Tech Start Date]],23),IF(Main[[#This Row],[Class]]="B", WORKDAY(Main[[#This Row],[Tech Start Date]],15),IF(Main[[#This Row],[Class]]="A",WORKDAY(Main[[#This Row],[Tech Start Date]],5),""))))</f>
        <v/>
      </c>
      <c r="P492" s="73" t="str">
        <f>IF(Main[[#This Row],[Tech Start Date]]&lt;1/1/1990,"",IF(Main[[#This Row],[Class]]="C",WORKDAY(Main[[#This Row],[Tech Start Date]],28),IF(Main[[#This Row],[Class]]="B", WORKDAY(Main[[#This Row],[Tech Start Date]],19),IF(Main[[#This Row],[Class]]="A",WORKDAY(Main[[#This Row],[Tech Start Date]],9),""))))</f>
        <v/>
      </c>
      <c r="Q492" s="85">
        <v>40127</v>
      </c>
      <c r="R492" s="112"/>
      <c r="S492" s="95" t="s">
        <v>11</v>
      </c>
      <c r="T492" s="74" t="s">
        <v>4</v>
      </c>
      <c r="U492" s="95" t="s">
        <v>14</v>
      </c>
      <c r="V492" s="95" t="s">
        <v>1921</v>
      </c>
      <c r="W492" s="95" t="s">
        <v>1922</v>
      </c>
      <c r="X492" s="95" t="s">
        <v>2825</v>
      </c>
      <c r="Y492" s="72" t="s">
        <v>4</v>
      </c>
      <c r="Z492" s="72" t="s">
        <v>4</v>
      </c>
      <c r="AA492" s="95" t="s">
        <v>2825</v>
      </c>
      <c r="AB492" s="132"/>
      <c r="AC492" s="132"/>
      <c r="AD492" s="132"/>
      <c r="AE492" s="63"/>
      <c r="AF492" s="63"/>
      <c r="AG492" s="63"/>
    </row>
    <row r="493" spans="1:33" ht="17.2" customHeight="1">
      <c r="A493" s="64" t="str">
        <f>IF(priority(Main[[#This Row],[Comments]])&lt;&gt;0, priority(Main[[#This Row],[Comments]]),"")</f>
        <v/>
      </c>
      <c r="B493" s="60" t="s">
        <v>1339</v>
      </c>
      <c r="C493" s="72" t="s">
        <v>424</v>
      </c>
      <c r="D493" s="59" t="s">
        <v>425</v>
      </c>
      <c r="E493" s="85"/>
      <c r="F493" s="85">
        <v>40179</v>
      </c>
      <c r="G493" s="64" t="str">
        <f>IF(stdProdLT(Main[[#This Row],[Comments]])=0.1,"N/A",IF(stdProdLT(Main[[#This Row],[Comments]])=0,"",TRIM(stdProdLT(Main[[#This Row],[Comments]]))))</f>
        <v/>
      </c>
      <c r="H493" s="94" t="str">
        <f>IF(OR(Main[[#This Row],[Std. Prod. Lead Time]]="N/A",Main[[#This Row],[Std. Prod. Lead Time]]=""), "",IF(AND(Main[[#This Row],[In Stock Date]]&lt;&gt;"",Main[[#This Row],[Revised Due Date]]&lt;&gt;"",Main[[#This Row],[In Stock Date]]&lt;&gt;""),Main[[#This Row],[In Stock Date]]-Main[[#This Row],[Revised Due Date]],""))</f>
        <v/>
      </c>
      <c r="I493" s="101" t="s">
        <v>4</v>
      </c>
      <c r="J493" s="95" t="s">
        <v>4</v>
      </c>
      <c r="K493" s="95" t="s">
        <v>4</v>
      </c>
      <c r="L493" s="85"/>
      <c r="M493" s="73" t="str">
        <f>IF(Main[[#This Row],[Tech Start Date]]&lt;1/1/1990,"",IF(Main[[#This Row],[Class]]="C",WORKDAY(Main[[#This Row],[Tech Start Date]],9),IF(Main[[#This Row],[Class]]="B", WORKDAY(Main[[#This Row],[Tech Start Date]],6),IF(Main[[#This Row],[Class]]="A",WORKDAY(Main[[#This Row],[Tech Start Date]],2),""))))</f>
        <v/>
      </c>
      <c r="N493" s="73" t="str">
        <f>IF(Main[[#This Row],[Tech Start Date]]&lt;1/1/1990,"",IF(Main[[#This Row],[Class]]="C",WORKDAY(Main[[#This Row],[Tech Start Date]],19),IF(Main[[#This Row],[Class]]="B", WORKDAY(Main[[#This Row],[Tech Start Date]],12),IF(Main[[#This Row],[Class]]="A",WORKDAY(Main[[#This Row],[Tech Start Date]],4),""))))</f>
        <v/>
      </c>
      <c r="O493" s="73" t="str">
        <f>IF(Main[[#This Row],[Tech Start Date]]&lt;1/1/1990,"",IF(Main[[#This Row],[Class]]="C",WORKDAY(Main[[#This Row],[Tech Start Date]],23),IF(Main[[#This Row],[Class]]="B", WORKDAY(Main[[#This Row],[Tech Start Date]],15),IF(Main[[#This Row],[Class]]="A",WORKDAY(Main[[#This Row],[Tech Start Date]],5),""))))</f>
        <v/>
      </c>
      <c r="P493" s="73" t="str">
        <f>IF(Main[[#This Row],[Tech Start Date]]&lt;1/1/1990,"",IF(Main[[#This Row],[Class]]="C",WORKDAY(Main[[#This Row],[Tech Start Date]],28),IF(Main[[#This Row],[Class]]="B", WORKDAY(Main[[#This Row],[Tech Start Date]],19),IF(Main[[#This Row],[Class]]="A",WORKDAY(Main[[#This Row],[Tech Start Date]],9),""))))</f>
        <v/>
      </c>
      <c r="Q493" s="85">
        <v>40179</v>
      </c>
      <c r="R493" s="112"/>
      <c r="S493" s="95" t="s">
        <v>11</v>
      </c>
      <c r="T493" s="74" t="s">
        <v>4</v>
      </c>
      <c r="U493" s="95" t="s">
        <v>14</v>
      </c>
      <c r="V493" s="95" t="s">
        <v>1911</v>
      </c>
      <c r="W493" s="95" t="s">
        <v>1916</v>
      </c>
      <c r="X493" s="95" t="s">
        <v>2834</v>
      </c>
      <c r="Y493" s="72" t="s">
        <v>4</v>
      </c>
      <c r="Z493" s="72" t="s">
        <v>4</v>
      </c>
      <c r="AA493" s="95" t="s">
        <v>2834</v>
      </c>
      <c r="AB493" s="132"/>
      <c r="AC493" s="132"/>
      <c r="AD493" s="132"/>
      <c r="AE493" s="63"/>
      <c r="AF493" s="63"/>
      <c r="AG493" s="63"/>
    </row>
    <row r="494" spans="1:33" ht="17.2" customHeight="1">
      <c r="A494" s="64" t="str">
        <f>IF(priority(Main[[#This Row],[Comments]])&lt;&gt;0, priority(Main[[#This Row],[Comments]]),"")</f>
        <v/>
      </c>
      <c r="B494" s="60" t="s">
        <v>1340</v>
      </c>
      <c r="C494" s="72" t="s">
        <v>197</v>
      </c>
      <c r="D494" s="59" t="s">
        <v>426</v>
      </c>
      <c r="E494" s="85"/>
      <c r="F494" s="85"/>
      <c r="G494" s="64" t="str">
        <f>IF(stdProdLT(Main[[#This Row],[Comments]])=0.1,"N/A",IF(stdProdLT(Main[[#This Row],[Comments]])=0,"",TRIM(stdProdLT(Main[[#This Row],[Comments]]))))</f>
        <v/>
      </c>
      <c r="H494" s="94" t="str">
        <f>IF(OR(Main[[#This Row],[Std. Prod. Lead Time]]="N/A",Main[[#This Row],[Std. Prod. Lead Time]]=""), "",IF(AND(Main[[#This Row],[In Stock Date]]&lt;&gt;"",Main[[#This Row],[Revised Due Date]]&lt;&gt;"",Main[[#This Row],[In Stock Date]]&lt;&gt;""),Main[[#This Row],[In Stock Date]]-Main[[#This Row],[Revised Due Date]],""))</f>
        <v/>
      </c>
      <c r="I494" s="101" t="s">
        <v>4</v>
      </c>
      <c r="J494" s="95" t="s">
        <v>4</v>
      </c>
      <c r="K494" s="95" t="s">
        <v>4</v>
      </c>
      <c r="L494" s="85"/>
      <c r="M494" s="73" t="str">
        <f>IF(Main[[#This Row],[Tech Start Date]]&lt;1/1/1990,"",IF(Main[[#This Row],[Class]]="C",WORKDAY(Main[[#This Row],[Tech Start Date]],9),IF(Main[[#This Row],[Class]]="B", WORKDAY(Main[[#This Row],[Tech Start Date]],6),IF(Main[[#This Row],[Class]]="A",WORKDAY(Main[[#This Row],[Tech Start Date]],2),""))))</f>
        <v/>
      </c>
      <c r="N494" s="73" t="str">
        <f>IF(Main[[#This Row],[Tech Start Date]]&lt;1/1/1990,"",IF(Main[[#This Row],[Class]]="C",WORKDAY(Main[[#This Row],[Tech Start Date]],19),IF(Main[[#This Row],[Class]]="B", WORKDAY(Main[[#This Row],[Tech Start Date]],12),IF(Main[[#This Row],[Class]]="A",WORKDAY(Main[[#This Row],[Tech Start Date]],4),""))))</f>
        <v/>
      </c>
      <c r="O494" s="73" t="str">
        <f>IF(Main[[#This Row],[Tech Start Date]]&lt;1/1/1990,"",IF(Main[[#This Row],[Class]]="C",WORKDAY(Main[[#This Row],[Tech Start Date]],23),IF(Main[[#This Row],[Class]]="B", WORKDAY(Main[[#This Row],[Tech Start Date]],15),IF(Main[[#This Row],[Class]]="A",WORKDAY(Main[[#This Row],[Tech Start Date]],5),""))))</f>
        <v/>
      </c>
      <c r="P494" s="73" t="str">
        <f>IF(Main[[#This Row],[Tech Start Date]]&lt;1/1/1990,"",IF(Main[[#This Row],[Class]]="C",WORKDAY(Main[[#This Row],[Tech Start Date]],28),IF(Main[[#This Row],[Class]]="B", WORKDAY(Main[[#This Row],[Tech Start Date]],19),IF(Main[[#This Row],[Class]]="A",WORKDAY(Main[[#This Row],[Tech Start Date]],9),""))))</f>
        <v/>
      </c>
      <c r="Q494" s="85">
        <v>40165</v>
      </c>
      <c r="R494" s="112"/>
      <c r="S494" s="95" t="s">
        <v>11</v>
      </c>
      <c r="T494" s="74" t="s">
        <v>4</v>
      </c>
      <c r="U494" s="95" t="s">
        <v>14</v>
      </c>
      <c r="V494" s="95" t="s">
        <v>1921</v>
      </c>
      <c r="W494" s="95" t="s">
        <v>1917</v>
      </c>
      <c r="X494" s="95" t="s">
        <v>883</v>
      </c>
      <c r="Y494" s="72" t="s">
        <v>2941</v>
      </c>
      <c r="Z494" s="72" t="s">
        <v>4</v>
      </c>
      <c r="AA494" s="95" t="s">
        <v>883</v>
      </c>
      <c r="AB494" s="132"/>
      <c r="AC494" s="132"/>
      <c r="AD494" s="132"/>
      <c r="AE494" s="63"/>
      <c r="AF494" s="63"/>
      <c r="AG494" s="63"/>
    </row>
    <row r="495" spans="1:33" ht="17.2" customHeight="1">
      <c r="A495" s="64" t="str">
        <f>IF(priority(Main[[#This Row],[Comments]])&lt;&gt;0, priority(Main[[#This Row],[Comments]]),"")</f>
        <v/>
      </c>
      <c r="B495" s="60" t="s">
        <v>1341</v>
      </c>
      <c r="C495" s="72" t="s">
        <v>4</v>
      </c>
      <c r="D495" s="59" t="s">
        <v>427</v>
      </c>
      <c r="E495" s="85"/>
      <c r="F495" s="85"/>
      <c r="G495" s="64" t="str">
        <f>IF(stdProdLT(Main[[#This Row],[Comments]])=0.1,"N/A",IF(stdProdLT(Main[[#This Row],[Comments]])=0,"",TRIM(stdProdLT(Main[[#This Row],[Comments]]))))</f>
        <v/>
      </c>
      <c r="H495" s="94" t="str">
        <f>IF(OR(Main[[#This Row],[Std. Prod. Lead Time]]="N/A",Main[[#This Row],[Std. Prod. Lead Time]]=""), "",IF(AND(Main[[#This Row],[In Stock Date]]&lt;&gt;"",Main[[#This Row],[Revised Due Date]]&lt;&gt;"",Main[[#This Row],[In Stock Date]]&lt;&gt;""),Main[[#This Row],[In Stock Date]]-Main[[#This Row],[Revised Due Date]],""))</f>
        <v/>
      </c>
      <c r="I495" s="101" t="s">
        <v>4</v>
      </c>
      <c r="J495" s="95" t="s">
        <v>4</v>
      </c>
      <c r="K495" s="95" t="s">
        <v>4</v>
      </c>
      <c r="L495" s="85"/>
      <c r="M495" s="73" t="str">
        <f>IF(Main[[#This Row],[Tech Start Date]]&lt;1/1/1990,"",IF(Main[[#This Row],[Class]]="C",WORKDAY(Main[[#This Row],[Tech Start Date]],9),IF(Main[[#This Row],[Class]]="B", WORKDAY(Main[[#This Row],[Tech Start Date]],6),IF(Main[[#This Row],[Class]]="A",WORKDAY(Main[[#This Row],[Tech Start Date]],2),""))))</f>
        <v/>
      </c>
      <c r="N495" s="73" t="str">
        <f>IF(Main[[#This Row],[Tech Start Date]]&lt;1/1/1990,"",IF(Main[[#This Row],[Class]]="C",WORKDAY(Main[[#This Row],[Tech Start Date]],19),IF(Main[[#This Row],[Class]]="B", WORKDAY(Main[[#This Row],[Tech Start Date]],12),IF(Main[[#This Row],[Class]]="A",WORKDAY(Main[[#This Row],[Tech Start Date]],4),""))))</f>
        <v/>
      </c>
      <c r="O495" s="73" t="str">
        <f>IF(Main[[#This Row],[Tech Start Date]]&lt;1/1/1990,"",IF(Main[[#This Row],[Class]]="C",WORKDAY(Main[[#This Row],[Tech Start Date]],23),IF(Main[[#This Row],[Class]]="B", WORKDAY(Main[[#This Row],[Tech Start Date]],15),IF(Main[[#This Row],[Class]]="A",WORKDAY(Main[[#This Row],[Tech Start Date]],5),""))))</f>
        <v/>
      </c>
      <c r="P495" s="73" t="str">
        <f>IF(Main[[#This Row],[Tech Start Date]]&lt;1/1/1990,"",IF(Main[[#This Row],[Class]]="C",WORKDAY(Main[[#This Row],[Tech Start Date]],28),IF(Main[[#This Row],[Class]]="B", WORKDAY(Main[[#This Row],[Tech Start Date]],19),IF(Main[[#This Row],[Class]]="A",WORKDAY(Main[[#This Row],[Tech Start Date]],9),""))))</f>
        <v/>
      </c>
      <c r="Q495" s="85"/>
      <c r="R495" s="112"/>
      <c r="S495" s="95" t="s">
        <v>6</v>
      </c>
      <c r="T495" s="74" t="s">
        <v>4</v>
      </c>
      <c r="U495" s="95" t="s">
        <v>12</v>
      </c>
      <c r="V495" s="95" t="s">
        <v>1911</v>
      </c>
      <c r="W495" s="95" t="s">
        <v>4</v>
      </c>
      <c r="X495" s="95" t="s">
        <v>912</v>
      </c>
      <c r="Y495" s="72" t="s">
        <v>4</v>
      </c>
      <c r="Z495" s="72" t="s">
        <v>4</v>
      </c>
      <c r="AA495" s="95" t="s">
        <v>4</v>
      </c>
      <c r="AB495" s="132"/>
      <c r="AC495" s="132"/>
      <c r="AD495" s="132"/>
      <c r="AE495" s="63"/>
      <c r="AF495" s="63"/>
      <c r="AG495" s="63"/>
    </row>
    <row r="496" spans="1:33" ht="17.2" customHeight="1">
      <c r="A496" s="64" t="str">
        <f>IF(priority(Main[[#This Row],[Comments]])&lt;&gt;0, priority(Main[[#This Row],[Comments]]),"")</f>
        <v/>
      </c>
      <c r="B496" s="60" t="s">
        <v>1342</v>
      </c>
      <c r="C496" s="72" t="s">
        <v>4</v>
      </c>
      <c r="D496" s="59" t="s">
        <v>428</v>
      </c>
      <c r="E496" s="85">
        <v>40367.39403935185</v>
      </c>
      <c r="F496" s="85"/>
      <c r="G496" s="64" t="str">
        <f>IF(stdProdLT(Main[[#This Row],[Comments]])=0.1,"N/A",IF(stdProdLT(Main[[#This Row],[Comments]])=0,"",TRIM(stdProdLT(Main[[#This Row],[Comments]]))))</f>
        <v/>
      </c>
      <c r="H496" s="94" t="str">
        <f>IF(OR(Main[[#This Row],[Std. Prod. Lead Time]]="N/A",Main[[#This Row],[Std. Prod. Lead Time]]=""), "",IF(AND(Main[[#This Row],[In Stock Date]]&lt;&gt;"",Main[[#This Row],[Revised Due Date]]&lt;&gt;"",Main[[#This Row],[In Stock Date]]&lt;&gt;""),Main[[#This Row],[In Stock Date]]-Main[[#This Row],[Revised Due Date]],""))</f>
        <v/>
      </c>
      <c r="I496" s="101" t="s">
        <v>126</v>
      </c>
      <c r="J496" s="95" t="s">
        <v>28</v>
      </c>
      <c r="K496" s="95" t="s">
        <v>1920</v>
      </c>
      <c r="L496" s="85"/>
      <c r="M496" s="73" t="str">
        <f>IF(Main[[#This Row],[Tech Start Date]]&lt;1/1/1990,"",IF(Main[[#This Row],[Class]]="C",WORKDAY(Main[[#This Row],[Tech Start Date]],9),IF(Main[[#This Row],[Class]]="B", WORKDAY(Main[[#This Row],[Tech Start Date]],6),IF(Main[[#This Row],[Class]]="A",WORKDAY(Main[[#This Row],[Tech Start Date]],2),""))))</f>
        <v/>
      </c>
      <c r="N496" s="73" t="str">
        <f>IF(Main[[#This Row],[Tech Start Date]]&lt;1/1/1990,"",IF(Main[[#This Row],[Class]]="C",WORKDAY(Main[[#This Row],[Tech Start Date]],19),IF(Main[[#This Row],[Class]]="B", WORKDAY(Main[[#This Row],[Tech Start Date]],12),IF(Main[[#This Row],[Class]]="A",WORKDAY(Main[[#This Row],[Tech Start Date]],4),""))))</f>
        <v/>
      </c>
      <c r="O496" s="73" t="str">
        <f>IF(Main[[#This Row],[Tech Start Date]]&lt;1/1/1990,"",IF(Main[[#This Row],[Class]]="C",WORKDAY(Main[[#This Row],[Tech Start Date]],23),IF(Main[[#This Row],[Class]]="B", WORKDAY(Main[[#This Row],[Tech Start Date]],15),IF(Main[[#This Row],[Class]]="A",WORKDAY(Main[[#This Row],[Tech Start Date]],5),""))))</f>
        <v/>
      </c>
      <c r="P496" s="73" t="str">
        <f>IF(Main[[#This Row],[Tech Start Date]]&lt;1/1/1990,"",IF(Main[[#This Row],[Class]]="C",WORKDAY(Main[[#This Row],[Tech Start Date]],28),IF(Main[[#This Row],[Class]]="B", WORKDAY(Main[[#This Row],[Tech Start Date]],19),IF(Main[[#This Row],[Class]]="A",WORKDAY(Main[[#This Row],[Tech Start Date]],9),""))))</f>
        <v/>
      </c>
      <c r="Q496" s="85">
        <v>40405</v>
      </c>
      <c r="R496" s="112"/>
      <c r="S496" s="95" t="s">
        <v>6</v>
      </c>
      <c r="T496" s="74" t="s">
        <v>4</v>
      </c>
      <c r="U496" s="95" t="s">
        <v>29</v>
      </c>
      <c r="V496" s="95" t="s">
        <v>1911</v>
      </c>
      <c r="W496" s="95" t="s">
        <v>1919</v>
      </c>
      <c r="X496" s="95" t="s">
        <v>2046</v>
      </c>
      <c r="Y496" s="72" t="s">
        <v>2950</v>
      </c>
      <c r="Z496" s="72" t="s">
        <v>129</v>
      </c>
      <c r="AA496" s="95" t="s">
        <v>2046</v>
      </c>
      <c r="AB496" s="132"/>
      <c r="AC496" s="132"/>
      <c r="AD496" s="132"/>
      <c r="AE496" s="63"/>
      <c r="AF496" s="63"/>
      <c r="AG496" s="63"/>
    </row>
    <row r="497" spans="1:33" ht="17.2" customHeight="1">
      <c r="A497" s="64" t="str">
        <f>IF(priority(Main[[#This Row],[Comments]])&lt;&gt;0, priority(Main[[#This Row],[Comments]]),"")</f>
        <v/>
      </c>
      <c r="B497" s="60" t="s">
        <v>1811</v>
      </c>
      <c r="C497" s="72" t="s">
        <v>95</v>
      </c>
      <c r="D497" s="59" t="s">
        <v>864</v>
      </c>
      <c r="E497" s="85"/>
      <c r="F497" s="85"/>
      <c r="G497" s="64" t="str">
        <f>IF(stdProdLT(Main[[#This Row],[Comments]])=0.1,"N/A",IF(stdProdLT(Main[[#This Row],[Comments]])=0,"",TRIM(stdProdLT(Main[[#This Row],[Comments]]))))</f>
        <v/>
      </c>
      <c r="H497" s="94" t="str">
        <f>IF(OR(Main[[#This Row],[Std. Prod. Lead Time]]="N/A",Main[[#This Row],[Std. Prod. Lead Time]]=""), "",IF(AND(Main[[#This Row],[In Stock Date]]&lt;&gt;"",Main[[#This Row],[Revised Due Date]]&lt;&gt;"",Main[[#This Row],[In Stock Date]]&lt;&gt;""),Main[[#This Row],[In Stock Date]]-Main[[#This Row],[Revised Due Date]],""))</f>
        <v/>
      </c>
      <c r="I497" s="101" t="s">
        <v>4</v>
      </c>
      <c r="J497" s="95" t="s">
        <v>4</v>
      </c>
      <c r="K497" s="95" t="s">
        <v>4</v>
      </c>
      <c r="L497" s="85"/>
      <c r="M497" s="73" t="str">
        <f>IF(Main[[#This Row],[Tech Start Date]]&lt;1/1/1990,"",IF(Main[[#This Row],[Class]]="C",WORKDAY(Main[[#This Row],[Tech Start Date]],9),IF(Main[[#This Row],[Class]]="B", WORKDAY(Main[[#This Row],[Tech Start Date]],6),IF(Main[[#This Row],[Class]]="A",WORKDAY(Main[[#This Row],[Tech Start Date]],2),""))))</f>
        <v/>
      </c>
      <c r="N497" s="73" t="str">
        <f>IF(Main[[#This Row],[Tech Start Date]]&lt;1/1/1990,"",IF(Main[[#This Row],[Class]]="C",WORKDAY(Main[[#This Row],[Tech Start Date]],19),IF(Main[[#This Row],[Class]]="B", WORKDAY(Main[[#This Row],[Tech Start Date]],12),IF(Main[[#This Row],[Class]]="A",WORKDAY(Main[[#This Row],[Tech Start Date]],4),""))))</f>
        <v/>
      </c>
      <c r="O497" s="73" t="str">
        <f>IF(Main[[#This Row],[Tech Start Date]]&lt;1/1/1990,"",IF(Main[[#This Row],[Class]]="C",WORKDAY(Main[[#This Row],[Tech Start Date]],23),IF(Main[[#This Row],[Class]]="B", WORKDAY(Main[[#This Row],[Tech Start Date]],15),IF(Main[[#This Row],[Class]]="A",WORKDAY(Main[[#This Row],[Tech Start Date]],5),""))))</f>
        <v/>
      </c>
      <c r="P497" s="73" t="str">
        <f>IF(Main[[#This Row],[Tech Start Date]]&lt;1/1/1990,"",IF(Main[[#This Row],[Class]]="C",WORKDAY(Main[[#This Row],[Tech Start Date]],28),IF(Main[[#This Row],[Class]]="B", WORKDAY(Main[[#This Row],[Tech Start Date]],19),IF(Main[[#This Row],[Class]]="A",WORKDAY(Main[[#This Row],[Tech Start Date]],9),""))))</f>
        <v/>
      </c>
      <c r="Q497" s="85">
        <v>40206</v>
      </c>
      <c r="R497" s="112">
        <v>40284</v>
      </c>
      <c r="S497" s="95" t="s">
        <v>11</v>
      </c>
      <c r="T497" s="74" t="s">
        <v>4</v>
      </c>
      <c r="U497" s="95" t="s">
        <v>14</v>
      </c>
      <c r="V497" s="95" t="s">
        <v>1912</v>
      </c>
      <c r="W497" s="95" t="s">
        <v>1913</v>
      </c>
      <c r="X497" s="95" t="s">
        <v>2817</v>
      </c>
      <c r="Y497" s="72" t="s">
        <v>3013</v>
      </c>
      <c r="Z497" s="72" t="s">
        <v>4</v>
      </c>
      <c r="AA497" s="95" t="s">
        <v>3373</v>
      </c>
      <c r="AB497" s="132"/>
      <c r="AC497" s="132"/>
      <c r="AD497" s="132"/>
      <c r="AE497" s="63"/>
      <c r="AF497" s="63"/>
      <c r="AG497" s="63"/>
    </row>
    <row r="498" spans="1:33" ht="17.2" customHeight="1">
      <c r="A498" s="64" t="str">
        <f>IF(priority(Main[[#This Row],[Comments]])&lt;&gt;0, priority(Main[[#This Row],[Comments]]),"")</f>
        <v/>
      </c>
      <c r="B498" s="60" t="s">
        <v>1603</v>
      </c>
      <c r="C498" s="72" t="s">
        <v>4</v>
      </c>
      <c r="D498" s="59" t="s">
        <v>678</v>
      </c>
      <c r="E498" s="85">
        <v>40619.658206018517</v>
      </c>
      <c r="F498" s="85"/>
      <c r="G498" s="64" t="str">
        <f>IF(stdProdLT(Main[[#This Row],[Comments]])=0.1,"N/A",IF(stdProdLT(Main[[#This Row],[Comments]])=0,"",TRIM(stdProdLT(Main[[#This Row],[Comments]]))))</f>
        <v/>
      </c>
      <c r="H498" s="94" t="str">
        <f>IF(OR(Main[[#This Row],[Std. Prod. Lead Time]]="N/A",Main[[#This Row],[Std. Prod. Lead Time]]=""), "",IF(AND(Main[[#This Row],[In Stock Date]]&lt;&gt;"",Main[[#This Row],[Revised Due Date]]&lt;&gt;"",Main[[#This Row],[In Stock Date]]&lt;&gt;""),Main[[#This Row],[In Stock Date]]-Main[[#This Row],[Revised Due Date]],""))</f>
        <v/>
      </c>
      <c r="I498" s="101" t="s">
        <v>922</v>
      </c>
      <c r="J498" s="95" t="s">
        <v>28</v>
      </c>
      <c r="K498" s="96" t="s">
        <v>1920</v>
      </c>
      <c r="L498" s="85"/>
      <c r="M498" s="73" t="str">
        <f>IF(Main[[#This Row],[Tech Start Date]]&lt;1/1/1990,"",IF(Main[[#This Row],[Class]]="C",WORKDAY(Main[[#This Row],[Tech Start Date]],9),IF(Main[[#This Row],[Class]]="B", WORKDAY(Main[[#This Row],[Tech Start Date]],6),IF(Main[[#This Row],[Class]]="A",WORKDAY(Main[[#This Row],[Tech Start Date]],2),""))))</f>
        <v/>
      </c>
      <c r="N498" s="73" t="str">
        <f>IF(Main[[#This Row],[Tech Start Date]]&lt;1/1/1990,"",IF(Main[[#This Row],[Class]]="C",WORKDAY(Main[[#This Row],[Tech Start Date]],19),IF(Main[[#This Row],[Class]]="B", WORKDAY(Main[[#This Row],[Tech Start Date]],12),IF(Main[[#This Row],[Class]]="A",WORKDAY(Main[[#This Row],[Tech Start Date]],4),""))))</f>
        <v/>
      </c>
      <c r="O498" s="73" t="str">
        <f>IF(Main[[#This Row],[Tech Start Date]]&lt;1/1/1990,"",IF(Main[[#This Row],[Class]]="C",WORKDAY(Main[[#This Row],[Tech Start Date]],23),IF(Main[[#This Row],[Class]]="B", WORKDAY(Main[[#This Row],[Tech Start Date]],15),IF(Main[[#This Row],[Class]]="A",WORKDAY(Main[[#This Row],[Tech Start Date]],5),""))))</f>
        <v/>
      </c>
      <c r="P498" s="73" t="str">
        <f>IF(Main[[#This Row],[Tech Start Date]]&lt;1/1/1990,"",IF(Main[[#This Row],[Class]]="C",WORKDAY(Main[[#This Row],[Tech Start Date]],28),IF(Main[[#This Row],[Class]]="B", WORKDAY(Main[[#This Row],[Tech Start Date]],19),IF(Main[[#This Row],[Class]]="A",WORKDAY(Main[[#This Row],[Tech Start Date]],9),""))))</f>
        <v/>
      </c>
      <c r="Q498" s="85"/>
      <c r="R498" s="112"/>
      <c r="S498" s="95" t="s">
        <v>6</v>
      </c>
      <c r="T498" s="74" t="s">
        <v>4</v>
      </c>
      <c r="U498" s="95" t="s">
        <v>29</v>
      </c>
      <c r="V498" s="95" t="s">
        <v>1926</v>
      </c>
      <c r="W498" s="95" t="s">
        <v>1913</v>
      </c>
      <c r="X498" s="95" t="s">
        <v>922</v>
      </c>
      <c r="Y498" s="72" t="s">
        <v>2960</v>
      </c>
      <c r="Z498" s="72" t="s">
        <v>2205</v>
      </c>
      <c r="AA498" s="95" t="s">
        <v>922</v>
      </c>
      <c r="AB498" s="132"/>
      <c r="AC498" s="132"/>
      <c r="AD498" s="132"/>
      <c r="AE498" s="63"/>
      <c r="AF498" s="63"/>
      <c r="AG498" s="63"/>
    </row>
    <row r="499" spans="1:33" ht="17.2" customHeight="1">
      <c r="A499" s="64" t="str">
        <f>IF(priority(Main[[#This Row],[Comments]])&lt;&gt;0, priority(Main[[#This Row],[Comments]]),"")</f>
        <v/>
      </c>
      <c r="B499" s="60" t="s">
        <v>1344</v>
      </c>
      <c r="C499" s="72" t="s">
        <v>4</v>
      </c>
      <c r="D499" s="59" t="s">
        <v>430</v>
      </c>
      <c r="E499" s="85">
        <v>40585.693101851852</v>
      </c>
      <c r="F499" s="85"/>
      <c r="G499" s="64" t="str">
        <f>IF(stdProdLT(Main[[#This Row],[Comments]])=0.1,"N/A",IF(stdProdLT(Main[[#This Row],[Comments]])=0,"",TRIM(stdProdLT(Main[[#This Row],[Comments]]))))</f>
        <v/>
      </c>
      <c r="H499" s="94" t="str">
        <f>IF(OR(Main[[#This Row],[Std. Prod. Lead Time]]="N/A",Main[[#This Row],[Std. Prod. Lead Time]]=""), "",IF(AND(Main[[#This Row],[In Stock Date]]&lt;&gt;"",Main[[#This Row],[Revised Due Date]]&lt;&gt;"",Main[[#This Row],[In Stock Date]]&lt;&gt;""),Main[[#This Row],[In Stock Date]]-Main[[#This Row],[Revised Due Date]],""))</f>
        <v/>
      </c>
      <c r="I499" s="101" t="s">
        <v>431</v>
      </c>
      <c r="J499" s="95" t="s">
        <v>21</v>
      </c>
      <c r="K499" s="95" t="s">
        <v>4</v>
      </c>
      <c r="L499" s="85"/>
      <c r="M499" s="73" t="str">
        <f>IF(Main[[#This Row],[Tech Start Date]]&lt;1/1/1990,"",IF(Main[[#This Row],[Class]]="C",WORKDAY(Main[[#This Row],[Tech Start Date]],9),IF(Main[[#This Row],[Class]]="B", WORKDAY(Main[[#This Row],[Tech Start Date]],6),IF(Main[[#This Row],[Class]]="A",WORKDAY(Main[[#This Row],[Tech Start Date]],2),""))))</f>
        <v/>
      </c>
      <c r="N499" s="73" t="str">
        <f>IF(Main[[#This Row],[Tech Start Date]]&lt;1/1/1990,"",IF(Main[[#This Row],[Class]]="C",WORKDAY(Main[[#This Row],[Tech Start Date]],19),IF(Main[[#This Row],[Class]]="B", WORKDAY(Main[[#This Row],[Tech Start Date]],12),IF(Main[[#This Row],[Class]]="A",WORKDAY(Main[[#This Row],[Tech Start Date]],4),""))))</f>
        <v/>
      </c>
      <c r="O499" s="73" t="str">
        <f>IF(Main[[#This Row],[Tech Start Date]]&lt;1/1/1990,"",IF(Main[[#This Row],[Class]]="C",WORKDAY(Main[[#This Row],[Tech Start Date]],23),IF(Main[[#This Row],[Class]]="B", WORKDAY(Main[[#This Row],[Tech Start Date]],15),IF(Main[[#This Row],[Class]]="A",WORKDAY(Main[[#This Row],[Tech Start Date]],5),""))))</f>
        <v/>
      </c>
      <c r="P499" s="73" t="str">
        <f>IF(Main[[#This Row],[Tech Start Date]]&lt;1/1/1990,"",IF(Main[[#This Row],[Class]]="C",WORKDAY(Main[[#This Row],[Tech Start Date]],28),IF(Main[[#This Row],[Class]]="B", WORKDAY(Main[[#This Row],[Tech Start Date]],19),IF(Main[[#This Row],[Class]]="A",WORKDAY(Main[[#This Row],[Tech Start Date]],9),""))))</f>
        <v/>
      </c>
      <c r="Q499" s="85">
        <v>40602</v>
      </c>
      <c r="R499" s="112"/>
      <c r="S499" s="95" t="s">
        <v>6</v>
      </c>
      <c r="T499" s="74" t="s">
        <v>4</v>
      </c>
      <c r="U499" s="95" t="s">
        <v>29</v>
      </c>
      <c r="V499" s="95" t="s">
        <v>1914</v>
      </c>
      <c r="W499" s="95" t="s">
        <v>1915</v>
      </c>
      <c r="X499" s="95" t="s">
        <v>30</v>
      </c>
      <c r="Y499" s="72" t="s">
        <v>2935</v>
      </c>
      <c r="Z499" s="72" t="s">
        <v>415</v>
      </c>
      <c r="AA499" s="95" t="s">
        <v>30</v>
      </c>
      <c r="AB499" s="132"/>
      <c r="AC499" s="132"/>
      <c r="AD499" s="132"/>
      <c r="AE499" s="63"/>
      <c r="AF499" s="63"/>
      <c r="AG499" s="63"/>
    </row>
    <row r="500" spans="1:33" ht="17.2" customHeight="1">
      <c r="A500" s="64" t="str">
        <f>IF(priority(Main[[#This Row],[Comments]])&lt;&gt;0, priority(Main[[#This Row],[Comments]]),"")</f>
        <v/>
      </c>
      <c r="B500" s="60" t="s">
        <v>1345</v>
      </c>
      <c r="C500" s="72" t="s">
        <v>4</v>
      </c>
      <c r="D500" s="59" t="s">
        <v>432</v>
      </c>
      <c r="E500" s="85"/>
      <c r="F500" s="85"/>
      <c r="G500" s="64" t="str">
        <f>IF(stdProdLT(Main[[#This Row],[Comments]])=0.1,"N/A",IF(stdProdLT(Main[[#This Row],[Comments]])=0,"",TRIM(stdProdLT(Main[[#This Row],[Comments]]))))</f>
        <v/>
      </c>
      <c r="H500" s="94" t="str">
        <f>IF(OR(Main[[#This Row],[Std. Prod. Lead Time]]="N/A",Main[[#This Row],[Std. Prod. Lead Time]]=""), "",IF(AND(Main[[#This Row],[In Stock Date]]&lt;&gt;"",Main[[#This Row],[Revised Due Date]]&lt;&gt;"",Main[[#This Row],[In Stock Date]]&lt;&gt;""),Main[[#This Row],[In Stock Date]]-Main[[#This Row],[Revised Due Date]],""))</f>
        <v/>
      </c>
      <c r="I500" s="101" t="s">
        <v>4</v>
      </c>
      <c r="J500" s="95" t="s">
        <v>4</v>
      </c>
      <c r="K500" s="96" t="s">
        <v>4</v>
      </c>
      <c r="L500" s="85"/>
      <c r="M500" s="73" t="str">
        <f>IF(Main[[#This Row],[Tech Start Date]]&lt;1/1/1990,"",IF(Main[[#This Row],[Class]]="C",WORKDAY(Main[[#This Row],[Tech Start Date]],9),IF(Main[[#This Row],[Class]]="B", WORKDAY(Main[[#This Row],[Tech Start Date]],6),IF(Main[[#This Row],[Class]]="A",WORKDAY(Main[[#This Row],[Tech Start Date]],2),""))))</f>
        <v/>
      </c>
      <c r="N500" s="73" t="str">
        <f>IF(Main[[#This Row],[Tech Start Date]]&lt;1/1/1990,"",IF(Main[[#This Row],[Class]]="C",WORKDAY(Main[[#This Row],[Tech Start Date]],19),IF(Main[[#This Row],[Class]]="B", WORKDAY(Main[[#This Row],[Tech Start Date]],12),IF(Main[[#This Row],[Class]]="A",WORKDAY(Main[[#This Row],[Tech Start Date]],4),""))))</f>
        <v/>
      </c>
      <c r="O500" s="73" t="str">
        <f>IF(Main[[#This Row],[Tech Start Date]]&lt;1/1/1990,"",IF(Main[[#This Row],[Class]]="C",WORKDAY(Main[[#This Row],[Tech Start Date]],23),IF(Main[[#This Row],[Class]]="B", WORKDAY(Main[[#This Row],[Tech Start Date]],15),IF(Main[[#This Row],[Class]]="A",WORKDAY(Main[[#This Row],[Tech Start Date]],5),""))))</f>
        <v/>
      </c>
      <c r="P500" s="73" t="str">
        <f>IF(Main[[#This Row],[Tech Start Date]]&lt;1/1/1990,"",IF(Main[[#This Row],[Class]]="C",WORKDAY(Main[[#This Row],[Tech Start Date]],28),IF(Main[[#This Row],[Class]]="B", WORKDAY(Main[[#This Row],[Tech Start Date]],19),IF(Main[[#This Row],[Class]]="A",WORKDAY(Main[[#This Row],[Tech Start Date]],9),""))))</f>
        <v/>
      </c>
      <c r="Q500" s="85"/>
      <c r="R500" s="112"/>
      <c r="S500" s="95" t="s">
        <v>4</v>
      </c>
      <c r="T500" s="74" t="s">
        <v>4</v>
      </c>
      <c r="U500" s="95" t="s">
        <v>14</v>
      </c>
      <c r="V500" s="95" t="s">
        <v>1911</v>
      </c>
      <c r="W500" s="95" t="s">
        <v>1925</v>
      </c>
      <c r="X500" s="95" t="s">
        <v>922</v>
      </c>
      <c r="Y500" s="72" t="s">
        <v>4</v>
      </c>
      <c r="Z500" s="72" t="s">
        <v>4</v>
      </c>
      <c r="AA500" s="95" t="s">
        <v>4</v>
      </c>
      <c r="AB500" s="132"/>
      <c r="AC500" s="132"/>
      <c r="AD500" s="132"/>
      <c r="AE500" s="63"/>
      <c r="AF500" s="63"/>
      <c r="AG500" s="63"/>
    </row>
    <row r="501" spans="1:33" ht="17.2" customHeight="1">
      <c r="A501" s="64" t="str">
        <f>IF(priority(Main[[#This Row],[Comments]])&lt;&gt;0, priority(Main[[#This Row],[Comments]]),"")</f>
        <v/>
      </c>
      <c r="B501" s="60" t="s">
        <v>1347</v>
      </c>
      <c r="C501" s="72" t="s">
        <v>31</v>
      </c>
      <c r="D501" s="59" t="s">
        <v>435</v>
      </c>
      <c r="E501" s="85"/>
      <c r="F501" s="85"/>
      <c r="G501" s="64" t="str">
        <f>IF(stdProdLT(Main[[#This Row],[Comments]])=0.1,"N/A",IF(stdProdLT(Main[[#This Row],[Comments]])=0,"",TRIM(stdProdLT(Main[[#This Row],[Comments]]))))</f>
        <v/>
      </c>
      <c r="H501" s="94" t="str">
        <f>IF(OR(Main[[#This Row],[Std. Prod. Lead Time]]="N/A",Main[[#This Row],[Std. Prod. Lead Time]]=""), "",IF(AND(Main[[#This Row],[In Stock Date]]&lt;&gt;"",Main[[#This Row],[Revised Due Date]]&lt;&gt;"",Main[[#This Row],[In Stock Date]]&lt;&gt;""),Main[[#This Row],[In Stock Date]]-Main[[#This Row],[Revised Due Date]],""))</f>
        <v/>
      </c>
      <c r="I501" s="101" t="s">
        <v>4</v>
      </c>
      <c r="J501" s="95" t="s">
        <v>4</v>
      </c>
      <c r="K501" s="95" t="s">
        <v>4</v>
      </c>
      <c r="L501" s="85"/>
      <c r="M501" s="73" t="str">
        <f>IF(Main[[#This Row],[Tech Start Date]]&lt;1/1/1990,"",IF(Main[[#This Row],[Class]]="C",WORKDAY(Main[[#This Row],[Tech Start Date]],9),IF(Main[[#This Row],[Class]]="B", WORKDAY(Main[[#This Row],[Tech Start Date]],6),IF(Main[[#This Row],[Class]]="A",WORKDAY(Main[[#This Row],[Tech Start Date]],2),""))))</f>
        <v/>
      </c>
      <c r="N501" s="73" t="str">
        <f>IF(Main[[#This Row],[Tech Start Date]]&lt;1/1/1990,"",IF(Main[[#This Row],[Class]]="C",WORKDAY(Main[[#This Row],[Tech Start Date]],19),IF(Main[[#This Row],[Class]]="B", WORKDAY(Main[[#This Row],[Tech Start Date]],12),IF(Main[[#This Row],[Class]]="A",WORKDAY(Main[[#This Row],[Tech Start Date]],4),""))))</f>
        <v/>
      </c>
      <c r="O501" s="73" t="str">
        <f>IF(Main[[#This Row],[Tech Start Date]]&lt;1/1/1990,"",IF(Main[[#This Row],[Class]]="C",WORKDAY(Main[[#This Row],[Tech Start Date]],23),IF(Main[[#This Row],[Class]]="B", WORKDAY(Main[[#This Row],[Tech Start Date]],15),IF(Main[[#This Row],[Class]]="A",WORKDAY(Main[[#This Row],[Tech Start Date]],5),""))))</f>
        <v/>
      </c>
      <c r="P501" s="73" t="str">
        <f>IF(Main[[#This Row],[Tech Start Date]]&lt;1/1/1990,"",IF(Main[[#This Row],[Class]]="C",WORKDAY(Main[[#This Row],[Tech Start Date]],28),IF(Main[[#This Row],[Class]]="B", WORKDAY(Main[[#This Row],[Tech Start Date]],19),IF(Main[[#This Row],[Class]]="A",WORKDAY(Main[[#This Row],[Tech Start Date]],9),""))))</f>
        <v/>
      </c>
      <c r="Q501" s="85">
        <v>40318</v>
      </c>
      <c r="R501" s="112"/>
      <c r="S501" s="95" t="s">
        <v>11</v>
      </c>
      <c r="T501" s="74" t="s">
        <v>4</v>
      </c>
      <c r="U501" s="95" t="s">
        <v>14</v>
      </c>
      <c r="V501" s="95" t="s">
        <v>1914</v>
      </c>
      <c r="W501" s="95" t="s">
        <v>1913</v>
      </c>
      <c r="X501" s="95" t="s">
        <v>2810</v>
      </c>
      <c r="Y501" s="72" t="s">
        <v>4</v>
      </c>
      <c r="Z501" s="72" t="s">
        <v>4</v>
      </c>
      <c r="AA501" s="95" t="s">
        <v>2810</v>
      </c>
      <c r="AB501" s="132"/>
      <c r="AC501" s="132"/>
      <c r="AD501" s="132"/>
      <c r="AE501" s="63"/>
      <c r="AF501" s="63"/>
      <c r="AG501" s="63"/>
    </row>
    <row r="502" spans="1:33" ht="17.2" customHeight="1">
      <c r="A502" s="64" t="str">
        <f>IF(priority(Main[[#This Row],[Comments]])&lt;&gt;0, priority(Main[[#This Row],[Comments]]),"")</f>
        <v/>
      </c>
      <c r="B502" s="60" t="s">
        <v>1348</v>
      </c>
      <c r="C502" s="72" t="s">
        <v>436</v>
      </c>
      <c r="D502" s="59" t="s">
        <v>437</v>
      </c>
      <c r="E502" s="85"/>
      <c r="F502" s="85">
        <v>40056</v>
      </c>
      <c r="G502" s="64" t="str">
        <f>IF(stdProdLT(Main[[#This Row],[Comments]])=0.1,"N/A",IF(stdProdLT(Main[[#This Row],[Comments]])=0,"",TRIM(stdProdLT(Main[[#This Row],[Comments]]))))</f>
        <v/>
      </c>
      <c r="H502" s="94" t="str">
        <f>IF(OR(Main[[#This Row],[Std. Prod. Lead Time]]="N/A",Main[[#This Row],[Std. Prod. Lead Time]]=""), "",IF(AND(Main[[#This Row],[In Stock Date]]&lt;&gt;"",Main[[#This Row],[Revised Due Date]]&lt;&gt;"",Main[[#This Row],[In Stock Date]]&lt;&gt;""),Main[[#This Row],[In Stock Date]]-Main[[#This Row],[Revised Due Date]],""))</f>
        <v/>
      </c>
      <c r="I502" s="101" t="s">
        <v>4</v>
      </c>
      <c r="J502" s="95" t="s">
        <v>4</v>
      </c>
      <c r="K502" s="95" t="s">
        <v>4</v>
      </c>
      <c r="L502" s="85"/>
      <c r="M502" s="73" t="str">
        <f>IF(Main[[#This Row],[Tech Start Date]]&lt;1/1/1990,"",IF(Main[[#This Row],[Class]]="C",WORKDAY(Main[[#This Row],[Tech Start Date]],9),IF(Main[[#This Row],[Class]]="B", WORKDAY(Main[[#This Row],[Tech Start Date]],6),IF(Main[[#This Row],[Class]]="A",WORKDAY(Main[[#This Row],[Tech Start Date]],2),""))))</f>
        <v/>
      </c>
      <c r="N502" s="73" t="str">
        <f>IF(Main[[#This Row],[Tech Start Date]]&lt;1/1/1990,"",IF(Main[[#This Row],[Class]]="C",WORKDAY(Main[[#This Row],[Tech Start Date]],19),IF(Main[[#This Row],[Class]]="B", WORKDAY(Main[[#This Row],[Tech Start Date]],12),IF(Main[[#This Row],[Class]]="A",WORKDAY(Main[[#This Row],[Tech Start Date]],4),""))))</f>
        <v/>
      </c>
      <c r="O502" s="73" t="str">
        <f>IF(Main[[#This Row],[Tech Start Date]]&lt;1/1/1990,"",IF(Main[[#This Row],[Class]]="C",WORKDAY(Main[[#This Row],[Tech Start Date]],23),IF(Main[[#This Row],[Class]]="B", WORKDAY(Main[[#This Row],[Tech Start Date]],15),IF(Main[[#This Row],[Class]]="A",WORKDAY(Main[[#This Row],[Tech Start Date]],5),""))))</f>
        <v/>
      </c>
      <c r="P502" s="73" t="str">
        <f>IF(Main[[#This Row],[Tech Start Date]]&lt;1/1/1990,"",IF(Main[[#This Row],[Class]]="C",WORKDAY(Main[[#This Row],[Tech Start Date]],28),IF(Main[[#This Row],[Class]]="B", WORKDAY(Main[[#This Row],[Tech Start Date]],19),IF(Main[[#This Row],[Class]]="A",WORKDAY(Main[[#This Row],[Tech Start Date]],9),""))))</f>
        <v/>
      </c>
      <c r="Q502" s="85"/>
      <c r="R502" s="112"/>
      <c r="S502" s="95" t="s">
        <v>11</v>
      </c>
      <c r="T502" s="74" t="s">
        <v>4</v>
      </c>
      <c r="U502" s="95" t="s">
        <v>14</v>
      </c>
      <c r="V502" s="95" t="s">
        <v>1911</v>
      </c>
      <c r="W502" s="95" t="s">
        <v>1919</v>
      </c>
      <c r="X502" s="95" t="s">
        <v>2833</v>
      </c>
      <c r="Y502" s="72" t="s">
        <v>2969</v>
      </c>
      <c r="Z502" s="72" t="s">
        <v>4</v>
      </c>
      <c r="AA502" s="95" t="s">
        <v>2833</v>
      </c>
      <c r="AB502" s="132"/>
      <c r="AC502" s="132"/>
      <c r="AD502" s="132"/>
      <c r="AE502" s="63"/>
      <c r="AF502" s="63"/>
      <c r="AG502" s="63"/>
    </row>
    <row r="503" spans="1:33" ht="17.2" customHeight="1">
      <c r="A503" s="64" t="str">
        <f>IF(priority(Main[[#This Row],[Comments]])&lt;&gt;0, priority(Main[[#This Row],[Comments]]),"")</f>
        <v/>
      </c>
      <c r="B503" s="60" t="s">
        <v>1349</v>
      </c>
      <c r="C503" s="72" t="s">
        <v>31</v>
      </c>
      <c r="D503" s="59" t="s">
        <v>438</v>
      </c>
      <c r="E503" s="85"/>
      <c r="F503" s="85"/>
      <c r="G503" s="64" t="str">
        <f>IF(stdProdLT(Main[[#This Row],[Comments]])=0.1,"N/A",IF(stdProdLT(Main[[#This Row],[Comments]])=0,"",TRIM(stdProdLT(Main[[#This Row],[Comments]]))))</f>
        <v/>
      </c>
      <c r="H503" s="94" t="str">
        <f>IF(OR(Main[[#This Row],[Std. Prod. Lead Time]]="N/A",Main[[#This Row],[Std. Prod. Lead Time]]=""), "",IF(AND(Main[[#This Row],[In Stock Date]]&lt;&gt;"",Main[[#This Row],[Revised Due Date]]&lt;&gt;"",Main[[#This Row],[In Stock Date]]&lt;&gt;""),Main[[#This Row],[In Stock Date]]-Main[[#This Row],[Revised Due Date]],""))</f>
        <v/>
      </c>
      <c r="I503" s="101" t="s">
        <v>4</v>
      </c>
      <c r="J503" s="95" t="s">
        <v>4</v>
      </c>
      <c r="K503" s="95" t="s">
        <v>4</v>
      </c>
      <c r="L503" s="85"/>
      <c r="M503" s="73" t="str">
        <f>IF(Main[[#This Row],[Tech Start Date]]&lt;1/1/1990,"",IF(Main[[#This Row],[Class]]="C",WORKDAY(Main[[#This Row],[Tech Start Date]],9),IF(Main[[#This Row],[Class]]="B", WORKDAY(Main[[#This Row],[Tech Start Date]],6),IF(Main[[#This Row],[Class]]="A",WORKDAY(Main[[#This Row],[Tech Start Date]],2),""))))</f>
        <v/>
      </c>
      <c r="N503" s="73" t="str">
        <f>IF(Main[[#This Row],[Tech Start Date]]&lt;1/1/1990,"",IF(Main[[#This Row],[Class]]="C",WORKDAY(Main[[#This Row],[Tech Start Date]],19),IF(Main[[#This Row],[Class]]="B", WORKDAY(Main[[#This Row],[Tech Start Date]],12),IF(Main[[#This Row],[Class]]="A",WORKDAY(Main[[#This Row],[Tech Start Date]],4),""))))</f>
        <v/>
      </c>
      <c r="O503" s="73" t="str">
        <f>IF(Main[[#This Row],[Tech Start Date]]&lt;1/1/1990,"",IF(Main[[#This Row],[Class]]="C",WORKDAY(Main[[#This Row],[Tech Start Date]],23),IF(Main[[#This Row],[Class]]="B", WORKDAY(Main[[#This Row],[Tech Start Date]],15),IF(Main[[#This Row],[Class]]="A",WORKDAY(Main[[#This Row],[Tech Start Date]],5),""))))</f>
        <v/>
      </c>
      <c r="P503" s="73" t="str">
        <f>IF(Main[[#This Row],[Tech Start Date]]&lt;1/1/1990,"",IF(Main[[#This Row],[Class]]="C",WORKDAY(Main[[#This Row],[Tech Start Date]],28),IF(Main[[#This Row],[Class]]="B", WORKDAY(Main[[#This Row],[Tech Start Date]],19),IF(Main[[#This Row],[Class]]="A",WORKDAY(Main[[#This Row],[Tech Start Date]],9),""))))</f>
        <v/>
      </c>
      <c r="Q503" s="85">
        <v>40318</v>
      </c>
      <c r="R503" s="112"/>
      <c r="S503" s="95" t="s">
        <v>11</v>
      </c>
      <c r="T503" s="74" t="s">
        <v>4</v>
      </c>
      <c r="U503" s="95" t="s">
        <v>14</v>
      </c>
      <c r="V503" s="95" t="s">
        <v>1914</v>
      </c>
      <c r="W503" s="95" t="s">
        <v>1922</v>
      </c>
      <c r="X503" s="95" t="s">
        <v>2810</v>
      </c>
      <c r="Y503" s="72" t="s">
        <v>4</v>
      </c>
      <c r="Z503" s="72" t="s">
        <v>4</v>
      </c>
      <c r="AA503" s="95" t="s">
        <v>2810</v>
      </c>
      <c r="AB503" s="132"/>
      <c r="AC503" s="132"/>
      <c r="AD503" s="132"/>
      <c r="AE503" s="63"/>
      <c r="AF503" s="63"/>
      <c r="AG503" s="63"/>
    </row>
    <row r="504" spans="1:33" ht="17.2" customHeight="1">
      <c r="A504" s="64" t="str">
        <f>IF(priority(Main[[#This Row],[Comments]])&lt;&gt;0, priority(Main[[#This Row],[Comments]]),"")</f>
        <v/>
      </c>
      <c r="B504" s="60" t="s">
        <v>1350</v>
      </c>
      <c r="C504" s="72" t="s">
        <v>31</v>
      </c>
      <c r="D504" s="59" t="s">
        <v>439</v>
      </c>
      <c r="E504" s="85"/>
      <c r="F504" s="85"/>
      <c r="G504" s="64" t="str">
        <f>IF(stdProdLT(Main[[#This Row],[Comments]])=0.1,"N/A",IF(stdProdLT(Main[[#This Row],[Comments]])=0,"",TRIM(stdProdLT(Main[[#This Row],[Comments]]))))</f>
        <v/>
      </c>
      <c r="H504" s="94" t="str">
        <f>IF(OR(Main[[#This Row],[Std. Prod. Lead Time]]="N/A",Main[[#This Row],[Std. Prod. Lead Time]]=""), "",IF(AND(Main[[#This Row],[In Stock Date]]&lt;&gt;"",Main[[#This Row],[Revised Due Date]]&lt;&gt;"",Main[[#This Row],[In Stock Date]]&lt;&gt;""),Main[[#This Row],[In Stock Date]]-Main[[#This Row],[Revised Due Date]],""))</f>
        <v/>
      </c>
      <c r="I504" s="101" t="s">
        <v>4</v>
      </c>
      <c r="J504" s="95" t="s">
        <v>4</v>
      </c>
      <c r="K504" s="95" t="s">
        <v>4</v>
      </c>
      <c r="L504" s="85"/>
      <c r="M504" s="73" t="str">
        <f>IF(Main[[#This Row],[Tech Start Date]]&lt;1/1/1990,"",IF(Main[[#This Row],[Class]]="C",WORKDAY(Main[[#This Row],[Tech Start Date]],9),IF(Main[[#This Row],[Class]]="B", WORKDAY(Main[[#This Row],[Tech Start Date]],6),IF(Main[[#This Row],[Class]]="A",WORKDAY(Main[[#This Row],[Tech Start Date]],2),""))))</f>
        <v/>
      </c>
      <c r="N504" s="73" t="str">
        <f>IF(Main[[#This Row],[Tech Start Date]]&lt;1/1/1990,"",IF(Main[[#This Row],[Class]]="C",WORKDAY(Main[[#This Row],[Tech Start Date]],19),IF(Main[[#This Row],[Class]]="B", WORKDAY(Main[[#This Row],[Tech Start Date]],12),IF(Main[[#This Row],[Class]]="A",WORKDAY(Main[[#This Row],[Tech Start Date]],4),""))))</f>
        <v/>
      </c>
      <c r="O504" s="73" t="str">
        <f>IF(Main[[#This Row],[Tech Start Date]]&lt;1/1/1990,"",IF(Main[[#This Row],[Class]]="C",WORKDAY(Main[[#This Row],[Tech Start Date]],23),IF(Main[[#This Row],[Class]]="B", WORKDAY(Main[[#This Row],[Tech Start Date]],15),IF(Main[[#This Row],[Class]]="A",WORKDAY(Main[[#This Row],[Tech Start Date]],5),""))))</f>
        <v/>
      </c>
      <c r="P504" s="73" t="str">
        <f>IF(Main[[#This Row],[Tech Start Date]]&lt;1/1/1990,"",IF(Main[[#This Row],[Class]]="C",WORKDAY(Main[[#This Row],[Tech Start Date]],28),IF(Main[[#This Row],[Class]]="B", WORKDAY(Main[[#This Row],[Tech Start Date]],19),IF(Main[[#This Row],[Class]]="A",WORKDAY(Main[[#This Row],[Tech Start Date]],9),""))))</f>
        <v/>
      </c>
      <c r="Q504" s="85">
        <v>40318</v>
      </c>
      <c r="R504" s="112"/>
      <c r="S504" s="95" t="s">
        <v>11</v>
      </c>
      <c r="T504" s="74" t="s">
        <v>4</v>
      </c>
      <c r="U504" s="95" t="s">
        <v>14</v>
      </c>
      <c r="V504" s="95" t="s">
        <v>1914</v>
      </c>
      <c r="W504" s="95" t="s">
        <v>1913</v>
      </c>
      <c r="X504" s="95" t="s">
        <v>2810</v>
      </c>
      <c r="Y504" s="72" t="s">
        <v>4</v>
      </c>
      <c r="Z504" s="72" t="s">
        <v>4</v>
      </c>
      <c r="AA504" s="95" t="s">
        <v>2810</v>
      </c>
      <c r="AB504" s="132"/>
      <c r="AC504" s="132"/>
      <c r="AD504" s="132"/>
      <c r="AE504" s="63"/>
      <c r="AF504" s="63"/>
      <c r="AG504" s="63"/>
    </row>
    <row r="505" spans="1:33" ht="17.2" customHeight="1">
      <c r="A505" s="64" t="str">
        <f>IF(priority(Main[[#This Row],[Comments]])&lt;&gt;0, priority(Main[[#This Row],[Comments]]),"")</f>
        <v/>
      </c>
      <c r="B505" s="60" t="s">
        <v>1352</v>
      </c>
      <c r="C505" s="72" t="s">
        <v>4</v>
      </c>
      <c r="D505" s="59" t="s">
        <v>441</v>
      </c>
      <c r="E505" s="85">
        <v>40371.342870370368</v>
      </c>
      <c r="F505" s="85"/>
      <c r="G505" s="64" t="str">
        <f>IF(stdProdLT(Main[[#This Row],[Comments]])=0.1,"N/A",IF(stdProdLT(Main[[#This Row],[Comments]])=0,"",TRIM(stdProdLT(Main[[#This Row],[Comments]]))))</f>
        <v/>
      </c>
      <c r="H505" s="94" t="str">
        <f>IF(OR(Main[[#This Row],[Std. Prod. Lead Time]]="N/A",Main[[#This Row],[Std. Prod. Lead Time]]=""), "",IF(AND(Main[[#This Row],[In Stock Date]]&lt;&gt;"",Main[[#This Row],[Revised Due Date]]&lt;&gt;"",Main[[#This Row],[In Stock Date]]&lt;&gt;""),Main[[#This Row],[In Stock Date]]-Main[[#This Row],[Revised Due Date]],""))</f>
        <v/>
      </c>
      <c r="I505" s="101" t="s">
        <v>4</v>
      </c>
      <c r="J505" s="95" t="s">
        <v>4</v>
      </c>
      <c r="K505" s="95" t="s">
        <v>4</v>
      </c>
      <c r="L505" s="85"/>
      <c r="M505" s="73" t="str">
        <f>IF(Main[[#This Row],[Tech Start Date]]&lt;1/1/1990,"",IF(Main[[#This Row],[Class]]="C",WORKDAY(Main[[#This Row],[Tech Start Date]],9),IF(Main[[#This Row],[Class]]="B", WORKDAY(Main[[#This Row],[Tech Start Date]],6),IF(Main[[#This Row],[Class]]="A",WORKDAY(Main[[#This Row],[Tech Start Date]],2),""))))</f>
        <v/>
      </c>
      <c r="N505" s="73" t="str">
        <f>IF(Main[[#This Row],[Tech Start Date]]&lt;1/1/1990,"",IF(Main[[#This Row],[Class]]="C",WORKDAY(Main[[#This Row],[Tech Start Date]],19),IF(Main[[#This Row],[Class]]="B", WORKDAY(Main[[#This Row],[Tech Start Date]],12),IF(Main[[#This Row],[Class]]="A",WORKDAY(Main[[#This Row],[Tech Start Date]],4),""))))</f>
        <v/>
      </c>
      <c r="O505" s="73" t="str">
        <f>IF(Main[[#This Row],[Tech Start Date]]&lt;1/1/1990,"",IF(Main[[#This Row],[Class]]="C",WORKDAY(Main[[#This Row],[Tech Start Date]],23),IF(Main[[#This Row],[Class]]="B", WORKDAY(Main[[#This Row],[Tech Start Date]],15),IF(Main[[#This Row],[Class]]="A",WORKDAY(Main[[#This Row],[Tech Start Date]],5),""))))</f>
        <v/>
      </c>
      <c r="P505" s="73" t="str">
        <f>IF(Main[[#This Row],[Tech Start Date]]&lt;1/1/1990,"",IF(Main[[#This Row],[Class]]="C",WORKDAY(Main[[#This Row],[Tech Start Date]],28),IF(Main[[#This Row],[Class]]="B", WORKDAY(Main[[#This Row],[Tech Start Date]],19),IF(Main[[#This Row],[Class]]="A",WORKDAY(Main[[#This Row],[Tech Start Date]],9),""))))</f>
        <v/>
      </c>
      <c r="Q505" s="85">
        <v>40385</v>
      </c>
      <c r="R505" s="112"/>
      <c r="S505" s="95" t="s">
        <v>6</v>
      </c>
      <c r="T505" s="74" t="s">
        <v>4</v>
      </c>
      <c r="U505" s="95" t="s">
        <v>7</v>
      </c>
      <c r="V505" s="95" t="s">
        <v>1911</v>
      </c>
      <c r="W505" s="95" t="s">
        <v>1913</v>
      </c>
      <c r="X505" s="95" t="s">
        <v>102</v>
      </c>
      <c r="Y505" s="72" t="s">
        <v>3010</v>
      </c>
      <c r="Z505" s="72" t="s">
        <v>4</v>
      </c>
      <c r="AA505" s="95" t="s">
        <v>3357</v>
      </c>
      <c r="AB505" s="132"/>
      <c r="AC505" s="132"/>
      <c r="AD505" s="132"/>
      <c r="AE505" s="63"/>
      <c r="AF505" s="63"/>
      <c r="AG505" s="63"/>
    </row>
    <row r="506" spans="1:33" ht="17.2" customHeight="1">
      <c r="A506" s="64" t="str">
        <f>IF(priority(Main[[#This Row],[Comments]])&lt;&gt;0, priority(Main[[#This Row],[Comments]]),"")</f>
        <v/>
      </c>
      <c r="B506" s="60" t="s">
        <v>1353</v>
      </c>
      <c r="C506" s="72" t="s">
        <v>4</v>
      </c>
      <c r="D506" s="59" t="s">
        <v>442</v>
      </c>
      <c r="E506" s="85">
        <v>40679.250891203701</v>
      </c>
      <c r="F506" s="85"/>
      <c r="G506" s="64" t="str">
        <f>IF(stdProdLT(Main[[#This Row],[Comments]])=0.1,"N/A",IF(stdProdLT(Main[[#This Row],[Comments]])=0,"",TRIM(stdProdLT(Main[[#This Row],[Comments]]))))</f>
        <v/>
      </c>
      <c r="H506" s="94" t="str">
        <f>IF(OR(Main[[#This Row],[Std. Prod. Lead Time]]="N/A",Main[[#This Row],[Std. Prod. Lead Time]]=""), "",IF(AND(Main[[#This Row],[In Stock Date]]&lt;&gt;"",Main[[#This Row],[Revised Due Date]]&lt;&gt;"",Main[[#This Row],[In Stock Date]]&lt;&gt;""),Main[[#This Row],[In Stock Date]]-Main[[#This Row],[Revised Due Date]],""))</f>
        <v/>
      </c>
      <c r="I506" s="101" t="s">
        <v>4</v>
      </c>
      <c r="J506" s="95" t="s">
        <v>4</v>
      </c>
      <c r="K506" s="95" t="s">
        <v>4</v>
      </c>
      <c r="L506" s="85"/>
      <c r="M506" s="73" t="str">
        <f>IF(Main[[#This Row],[Tech Start Date]]&lt;1/1/1990,"",IF(Main[[#This Row],[Class]]="C",WORKDAY(Main[[#This Row],[Tech Start Date]],9),IF(Main[[#This Row],[Class]]="B", WORKDAY(Main[[#This Row],[Tech Start Date]],6),IF(Main[[#This Row],[Class]]="A",WORKDAY(Main[[#This Row],[Tech Start Date]],2),""))))</f>
        <v/>
      </c>
      <c r="N506" s="73" t="str">
        <f>IF(Main[[#This Row],[Tech Start Date]]&lt;1/1/1990,"",IF(Main[[#This Row],[Class]]="C",WORKDAY(Main[[#This Row],[Tech Start Date]],19),IF(Main[[#This Row],[Class]]="B", WORKDAY(Main[[#This Row],[Tech Start Date]],12),IF(Main[[#This Row],[Class]]="A",WORKDAY(Main[[#This Row],[Tech Start Date]],4),""))))</f>
        <v/>
      </c>
      <c r="O506" s="73" t="str">
        <f>IF(Main[[#This Row],[Tech Start Date]]&lt;1/1/1990,"",IF(Main[[#This Row],[Class]]="C",WORKDAY(Main[[#This Row],[Tech Start Date]],23),IF(Main[[#This Row],[Class]]="B", WORKDAY(Main[[#This Row],[Tech Start Date]],15),IF(Main[[#This Row],[Class]]="A",WORKDAY(Main[[#This Row],[Tech Start Date]],5),""))))</f>
        <v/>
      </c>
      <c r="P506" s="73" t="str">
        <f>IF(Main[[#This Row],[Tech Start Date]]&lt;1/1/1990,"",IF(Main[[#This Row],[Class]]="C",WORKDAY(Main[[#This Row],[Tech Start Date]],28),IF(Main[[#This Row],[Class]]="B", WORKDAY(Main[[#This Row],[Tech Start Date]],19),IF(Main[[#This Row],[Class]]="A",WORKDAY(Main[[#This Row],[Tech Start Date]],9),""))))</f>
        <v/>
      </c>
      <c r="Q506" s="85">
        <v>40724</v>
      </c>
      <c r="R506" s="112"/>
      <c r="S506" s="95" t="s">
        <v>6</v>
      </c>
      <c r="T506" s="74" t="s">
        <v>4</v>
      </c>
      <c r="U506" s="95" t="s">
        <v>7</v>
      </c>
      <c r="V506" s="95" t="s">
        <v>1911</v>
      </c>
      <c r="W506" s="95" t="s">
        <v>4</v>
      </c>
      <c r="X506" s="95" t="s">
        <v>2802</v>
      </c>
      <c r="Y506" s="72" t="s">
        <v>2916</v>
      </c>
      <c r="Z506" s="72" t="s">
        <v>4</v>
      </c>
      <c r="AA506" s="95" t="s">
        <v>2802</v>
      </c>
      <c r="AB506" s="132"/>
      <c r="AC506" s="132"/>
      <c r="AD506" s="132"/>
      <c r="AE506" s="63"/>
      <c r="AF506" s="63"/>
      <c r="AG506" s="63"/>
    </row>
    <row r="507" spans="1:33" ht="17.2" customHeight="1">
      <c r="A507" s="64" t="str">
        <f>IF(priority(Main[[#This Row],[Comments]])&lt;&gt;0, priority(Main[[#This Row],[Comments]]),"")</f>
        <v/>
      </c>
      <c r="B507" s="60" t="s">
        <v>1354</v>
      </c>
      <c r="C507" s="72" t="s">
        <v>4</v>
      </c>
      <c r="D507" s="59" t="s">
        <v>443</v>
      </c>
      <c r="E507" s="85"/>
      <c r="F507" s="85"/>
      <c r="G507" s="64" t="str">
        <f>IF(stdProdLT(Main[[#This Row],[Comments]])=0.1,"N/A",IF(stdProdLT(Main[[#This Row],[Comments]])=0,"",TRIM(stdProdLT(Main[[#This Row],[Comments]]))))</f>
        <v/>
      </c>
      <c r="H507" s="94" t="str">
        <f>IF(OR(Main[[#This Row],[Std. Prod. Lead Time]]="N/A",Main[[#This Row],[Std. Prod. Lead Time]]=""), "",IF(AND(Main[[#This Row],[In Stock Date]]&lt;&gt;"",Main[[#This Row],[Revised Due Date]]&lt;&gt;"",Main[[#This Row],[In Stock Date]]&lt;&gt;""),Main[[#This Row],[In Stock Date]]-Main[[#This Row],[Revised Due Date]],""))</f>
        <v/>
      </c>
      <c r="I507" s="101" t="s">
        <v>4</v>
      </c>
      <c r="J507" s="95" t="s">
        <v>4</v>
      </c>
      <c r="K507" s="95" t="s">
        <v>4</v>
      </c>
      <c r="L507" s="85"/>
      <c r="M507" s="73" t="str">
        <f>IF(Main[[#This Row],[Tech Start Date]]&lt;1/1/1990,"",IF(Main[[#This Row],[Class]]="C",WORKDAY(Main[[#This Row],[Tech Start Date]],9),IF(Main[[#This Row],[Class]]="B", WORKDAY(Main[[#This Row],[Tech Start Date]],6),IF(Main[[#This Row],[Class]]="A",WORKDAY(Main[[#This Row],[Tech Start Date]],2),""))))</f>
        <v/>
      </c>
      <c r="N507" s="73" t="str">
        <f>IF(Main[[#This Row],[Tech Start Date]]&lt;1/1/1990,"",IF(Main[[#This Row],[Class]]="C",WORKDAY(Main[[#This Row],[Tech Start Date]],19),IF(Main[[#This Row],[Class]]="B", WORKDAY(Main[[#This Row],[Tech Start Date]],12),IF(Main[[#This Row],[Class]]="A",WORKDAY(Main[[#This Row],[Tech Start Date]],4),""))))</f>
        <v/>
      </c>
      <c r="O507" s="73" t="str">
        <f>IF(Main[[#This Row],[Tech Start Date]]&lt;1/1/1990,"",IF(Main[[#This Row],[Class]]="C",WORKDAY(Main[[#This Row],[Tech Start Date]],23),IF(Main[[#This Row],[Class]]="B", WORKDAY(Main[[#This Row],[Tech Start Date]],15),IF(Main[[#This Row],[Class]]="A",WORKDAY(Main[[#This Row],[Tech Start Date]],5),""))))</f>
        <v/>
      </c>
      <c r="P507" s="73" t="str">
        <f>IF(Main[[#This Row],[Tech Start Date]]&lt;1/1/1990,"",IF(Main[[#This Row],[Class]]="C",WORKDAY(Main[[#This Row],[Tech Start Date]],28),IF(Main[[#This Row],[Class]]="B", WORKDAY(Main[[#This Row],[Tech Start Date]],19),IF(Main[[#This Row],[Class]]="A",WORKDAY(Main[[#This Row],[Tech Start Date]],9),""))))</f>
        <v/>
      </c>
      <c r="Q507" s="85"/>
      <c r="R507" s="112"/>
      <c r="S507" s="95" t="s">
        <v>11</v>
      </c>
      <c r="T507" s="74" t="s">
        <v>4</v>
      </c>
      <c r="U507" s="95" t="s">
        <v>14</v>
      </c>
      <c r="V507" s="95" t="s">
        <v>1921</v>
      </c>
      <c r="W507" s="95" t="s">
        <v>1917</v>
      </c>
      <c r="X507" s="95" t="s">
        <v>2848</v>
      </c>
      <c r="Y507" s="72" t="s">
        <v>3014</v>
      </c>
      <c r="Z507" s="72" t="s">
        <v>4</v>
      </c>
      <c r="AA507" s="95" t="s">
        <v>2848</v>
      </c>
      <c r="AB507" s="132"/>
      <c r="AC507" s="132"/>
      <c r="AD507" s="132"/>
      <c r="AE507" s="63"/>
      <c r="AF507" s="63"/>
      <c r="AG507" s="63"/>
    </row>
    <row r="508" spans="1:33" ht="17.2" customHeight="1">
      <c r="A508" s="64" t="str">
        <f>IF(priority(Main[[#This Row],[Comments]])&lt;&gt;0, priority(Main[[#This Row],[Comments]]),"")</f>
        <v/>
      </c>
      <c r="B508" s="60" t="s">
        <v>1355</v>
      </c>
      <c r="C508" s="72" t="s">
        <v>436</v>
      </c>
      <c r="D508" s="59" t="s">
        <v>444</v>
      </c>
      <c r="E508" s="85"/>
      <c r="F508" s="85"/>
      <c r="G508" s="64" t="str">
        <f>IF(stdProdLT(Main[[#This Row],[Comments]])=0.1,"N/A",IF(stdProdLT(Main[[#This Row],[Comments]])=0,"",TRIM(stdProdLT(Main[[#This Row],[Comments]]))))</f>
        <v/>
      </c>
      <c r="H508" s="94" t="str">
        <f>IF(OR(Main[[#This Row],[Std. Prod. Lead Time]]="N/A",Main[[#This Row],[Std. Prod. Lead Time]]=""), "",IF(AND(Main[[#This Row],[In Stock Date]]&lt;&gt;"",Main[[#This Row],[Revised Due Date]]&lt;&gt;"",Main[[#This Row],[In Stock Date]]&lt;&gt;""),Main[[#This Row],[In Stock Date]]-Main[[#This Row],[Revised Due Date]],""))</f>
        <v/>
      </c>
      <c r="I508" s="101" t="s">
        <v>4</v>
      </c>
      <c r="J508" s="95" t="s">
        <v>4</v>
      </c>
      <c r="K508" s="95" t="s">
        <v>4</v>
      </c>
      <c r="L508" s="85"/>
      <c r="M508" s="73" t="str">
        <f>IF(Main[[#This Row],[Tech Start Date]]&lt;1/1/1990,"",IF(Main[[#This Row],[Class]]="C",WORKDAY(Main[[#This Row],[Tech Start Date]],9),IF(Main[[#This Row],[Class]]="B", WORKDAY(Main[[#This Row],[Tech Start Date]],6),IF(Main[[#This Row],[Class]]="A",WORKDAY(Main[[#This Row],[Tech Start Date]],2),""))))</f>
        <v/>
      </c>
      <c r="N508" s="73" t="str">
        <f>IF(Main[[#This Row],[Tech Start Date]]&lt;1/1/1990,"",IF(Main[[#This Row],[Class]]="C",WORKDAY(Main[[#This Row],[Tech Start Date]],19),IF(Main[[#This Row],[Class]]="B", WORKDAY(Main[[#This Row],[Tech Start Date]],12),IF(Main[[#This Row],[Class]]="A",WORKDAY(Main[[#This Row],[Tech Start Date]],4),""))))</f>
        <v/>
      </c>
      <c r="O508" s="73" t="str">
        <f>IF(Main[[#This Row],[Tech Start Date]]&lt;1/1/1990,"",IF(Main[[#This Row],[Class]]="C",WORKDAY(Main[[#This Row],[Tech Start Date]],23),IF(Main[[#This Row],[Class]]="B", WORKDAY(Main[[#This Row],[Tech Start Date]],15),IF(Main[[#This Row],[Class]]="A",WORKDAY(Main[[#This Row],[Tech Start Date]],5),""))))</f>
        <v/>
      </c>
      <c r="P508" s="73" t="str">
        <f>IF(Main[[#This Row],[Tech Start Date]]&lt;1/1/1990,"",IF(Main[[#This Row],[Class]]="C",WORKDAY(Main[[#This Row],[Tech Start Date]],28),IF(Main[[#This Row],[Class]]="B", WORKDAY(Main[[#This Row],[Tech Start Date]],19),IF(Main[[#This Row],[Class]]="A",WORKDAY(Main[[#This Row],[Tech Start Date]],9),""))))</f>
        <v/>
      </c>
      <c r="Q508" s="85"/>
      <c r="R508" s="112"/>
      <c r="S508" s="95" t="s">
        <v>11</v>
      </c>
      <c r="T508" s="74" t="s">
        <v>4</v>
      </c>
      <c r="U508" s="95" t="s">
        <v>14</v>
      </c>
      <c r="V508" s="95" t="s">
        <v>1912</v>
      </c>
      <c r="W508" s="95" t="s">
        <v>1919</v>
      </c>
      <c r="X508" s="95" t="s">
        <v>2807</v>
      </c>
      <c r="Y508" s="72" t="s">
        <v>2926</v>
      </c>
      <c r="Z508" s="72" t="s">
        <v>4</v>
      </c>
      <c r="AA508" s="95" t="s">
        <v>2807</v>
      </c>
      <c r="AB508" s="132"/>
      <c r="AC508" s="132"/>
      <c r="AD508" s="132"/>
      <c r="AE508" s="63"/>
      <c r="AF508" s="63"/>
      <c r="AG508" s="63"/>
    </row>
    <row r="509" spans="1:33" ht="17.2" customHeight="1">
      <c r="A509" s="64" t="str">
        <f>IF(priority(Main[[#This Row],[Comments]])&lt;&gt;0, priority(Main[[#This Row],[Comments]]),"")</f>
        <v/>
      </c>
      <c r="B509" s="60" t="s">
        <v>1356</v>
      </c>
      <c r="C509" s="72" t="s">
        <v>47</v>
      </c>
      <c r="D509" s="59" t="s">
        <v>445</v>
      </c>
      <c r="E509" s="85"/>
      <c r="F509" s="85"/>
      <c r="G509" s="64" t="str">
        <f>IF(stdProdLT(Main[[#This Row],[Comments]])=0.1,"N/A",IF(stdProdLT(Main[[#This Row],[Comments]])=0,"",TRIM(stdProdLT(Main[[#This Row],[Comments]]))))</f>
        <v/>
      </c>
      <c r="H509" s="94" t="str">
        <f>IF(OR(Main[[#This Row],[Std. Prod. Lead Time]]="N/A",Main[[#This Row],[Std. Prod. Lead Time]]=""), "",IF(AND(Main[[#This Row],[In Stock Date]]&lt;&gt;"",Main[[#This Row],[Revised Due Date]]&lt;&gt;"",Main[[#This Row],[In Stock Date]]&lt;&gt;""),Main[[#This Row],[In Stock Date]]-Main[[#This Row],[Revised Due Date]],""))</f>
        <v/>
      </c>
      <c r="I509" s="101" t="s">
        <v>4</v>
      </c>
      <c r="J509" s="95" t="s">
        <v>4</v>
      </c>
      <c r="K509" s="95" t="s">
        <v>4</v>
      </c>
      <c r="L509" s="85"/>
      <c r="M509" s="73" t="str">
        <f>IF(Main[[#This Row],[Tech Start Date]]&lt;1/1/1990,"",IF(Main[[#This Row],[Class]]="C",WORKDAY(Main[[#This Row],[Tech Start Date]],9),IF(Main[[#This Row],[Class]]="B", WORKDAY(Main[[#This Row],[Tech Start Date]],6),IF(Main[[#This Row],[Class]]="A",WORKDAY(Main[[#This Row],[Tech Start Date]],2),""))))</f>
        <v/>
      </c>
      <c r="N509" s="73" t="str">
        <f>IF(Main[[#This Row],[Tech Start Date]]&lt;1/1/1990,"",IF(Main[[#This Row],[Class]]="C",WORKDAY(Main[[#This Row],[Tech Start Date]],19),IF(Main[[#This Row],[Class]]="B", WORKDAY(Main[[#This Row],[Tech Start Date]],12),IF(Main[[#This Row],[Class]]="A",WORKDAY(Main[[#This Row],[Tech Start Date]],4),""))))</f>
        <v/>
      </c>
      <c r="O509" s="73" t="str">
        <f>IF(Main[[#This Row],[Tech Start Date]]&lt;1/1/1990,"",IF(Main[[#This Row],[Class]]="C",WORKDAY(Main[[#This Row],[Tech Start Date]],23),IF(Main[[#This Row],[Class]]="B", WORKDAY(Main[[#This Row],[Tech Start Date]],15),IF(Main[[#This Row],[Class]]="A",WORKDAY(Main[[#This Row],[Tech Start Date]],5),""))))</f>
        <v/>
      </c>
      <c r="P509" s="73" t="str">
        <f>IF(Main[[#This Row],[Tech Start Date]]&lt;1/1/1990,"",IF(Main[[#This Row],[Class]]="C",WORKDAY(Main[[#This Row],[Tech Start Date]],28),IF(Main[[#This Row],[Class]]="B", WORKDAY(Main[[#This Row],[Tech Start Date]],19),IF(Main[[#This Row],[Class]]="A",WORKDAY(Main[[#This Row],[Tech Start Date]],9),""))))</f>
        <v/>
      </c>
      <c r="Q509" s="85"/>
      <c r="R509" s="112"/>
      <c r="S509" s="95" t="s">
        <v>49</v>
      </c>
      <c r="T509" s="74" t="s">
        <v>4</v>
      </c>
      <c r="U509" s="95" t="s">
        <v>14</v>
      </c>
      <c r="V509" s="95" t="s">
        <v>1914</v>
      </c>
      <c r="W509" s="95" t="s">
        <v>1915</v>
      </c>
      <c r="X509" s="95" t="s">
        <v>306</v>
      </c>
      <c r="Y509" s="72" t="s">
        <v>2919</v>
      </c>
      <c r="Z509" s="72" t="s">
        <v>4</v>
      </c>
      <c r="AA509" s="95" t="s">
        <v>3337</v>
      </c>
      <c r="AB509" s="132"/>
      <c r="AC509" s="132"/>
      <c r="AD509" s="132"/>
      <c r="AE509" s="63"/>
      <c r="AF509" s="63"/>
      <c r="AG509" s="63"/>
    </row>
    <row r="510" spans="1:33" ht="17.2" customHeight="1">
      <c r="A510" s="64" t="str">
        <f>IF(priority(Main[[#This Row],[Comments]])&lt;&gt;0, priority(Main[[#This Row],[Comments]]),"")</f>
        <v/>
      </c>
      <c r="B510" s="60" t="s">
        <v>1357</v>
      </c>
      <c r="C510" s="72" t="s">
        <v>47</v>
      </c>
      <c r="D510" s="59" t="s">
        <v>446</v>
      </c>
      <c r="E510" s="85">
        <v>40323.347812499997</v>
      </c>
      <c r="F510" s="85"/>
      <c r="G510" s="64" t="str">
        <f>IF(stdProdLT(Main[[#This Row],[Comments]])=0.1,"N/A",IF(stdProdLT(Main[[#This Row],[Comments]])=0,"",TRIM(stdProdLT(Main[[#This Row],[Comments]]))))</f>
        <v/>
      </c>
      <c r="H510" s="94" t="str">
        <f>IF(OR(Main[[#This Row],[Std. Prod. Lead Time]]="N/A",Main[[#This Row],[Std. Prod. Lead Time]]=""), "",IF(AND(Main[[#This Row],[In Stock Date]]&lt;&gt;"",Main[[#This Row],[Revised Due Date]]&lt;&gt;"",Main[[#This Row],[In Stock Date]]&lt;&gt;""),Main[[#This Row],[In Stock Date]]-Main[[#This Row],[Revised Due Date]],""))</f>
        <v/>
      </c>
      <c r="I510" s="101" t="s">
        <v>129</v>
      </c>
      <c r="J510" s="95" t="s">
        <v>4</v>
      </c>
      <c r="K510" s="95" t="s">
        <v>4</v>
      </c>
      <c r="L510" s="85"/>
      <c r="M510" s="73" t="str">
        <f>IF(Main[[#This Row],[Tech Start Date]]&lt;1/1/1990,"",IF(Main[[#This Row],[Class]]="C",WORKDAY(Main[[#This Row],[Tech Start Date]],9),IF(Main[[#This Row],[Class]]="B", WORKDAY(Main[[#This Row],[Tech Start Date]],6),IF(Main[[#This Row],[Class]]="A",WORKDAY(Main[[#This Row],[Tech Start Date]],2),""))))</f>
        <v/>
      </c>
      <c r="N510" s="73" t="str">
        <f>IF(Main[[#This Row],[Tech Start Date]]&lt;1/1/1990,"",IF(Main[[#This Row],[Class]]="C",WORKDAY(Main[[#This Row],[Tech Start Date]],19),IF(Main[[#This Row],[Class]]="B", WORKDAY(Main[[#This Row],[Tech Start Date]],12),IF(Main[[#This Row],[Class]]="A",WORKDAY(Main[[#This Row],[Tech Start Date]],4),""))))</f>
        <v/>
      </c>
      <c r="O510" s="73" t="str">
        <f>IF(Main[[#This Row],[Tech Start Date]]&lt;1/1/1990,"",IF(Main[[#This Row],[Class]]="C",WORKDAY(Main[[#This Row],[Tech Start Date]],23),IF(Main[[#This Row],[Class]]="B", WORKDAY(Main[[#This Row],[Tech Start Date]],15),IF(Main[[#This Row],[Class]]="A",WORKDAY(Main[[#This Row],[Tech Start Date]],5),""))))</f>
        <v/>
      </c>
      <c r="P510" s="73" t="str">
        <f>IF(Main[[#This Row],[Tech Start Date]]&lt;1/1/1990,"",IF(Main[[#This Row],[Class]]="C",WORKDAY(Main[[#This Row],[Tech Start Date]],28),IF(Main[[#This Row],[Class]]="B", WORKDAY(Main[[#This Row],[Tech Start Date]],19),IF(Main[[#This Row],[Class]]="A",WORKDAY(Main[[#This Row],[Tech Start Date]],9),""))))</f>
        <v/>
      </c>
      <c r="Q510" s="85">
        <v>40340</v>
      </c>
      <c r="R510" s="112"/>
      <c r="S510" s="95" t="s">
        <v>6</v>
      </c>
      <c r="T510" s="74" t="s">
        <v>4</v>
      </c>
      <c r="U510" s="95" t="s">
        <v>29</v>
      </c>
      <c r="V510" s="95" t="s">
        <v>1911</v>
      </c>
      <c r="W510" s="95" t="s">
        <v>1915</v>
      </c>
      <c r="X510" s="95" t="s">
        <v>306</v>
      </c>
      <c r="Y510" s="72" t="s">
        <v>4</v>
      </c>
      <c r="Z510" s="72" t="s">
        <v>129</v>
      </c>
      <c r="AA510" s="95" t="s">
        <v>3371</v>
      </c>
      <c r="AB510" s="132"/>
      <c r="AC510" s="132"/>
      <c r="AD510" s="132"/>
      <c r="AE510" s="63"/>
      <c r="AF510" s="63"/>
      <c r="AG510" s="63"/>
    </row>
    <row r="511" spans="1:33" ht="17.2" customHeight="1">
      <c r="A511" s="64" t="str">
        <f>IF(priority(Main[[#This Row],[Comments]])&lt;&gt;0, priority(Main[[#This Row],[Comments]]),"")</f>
        <v/>
      </c>
      <c r="B511" s="60" t="s">
        <v>1358</v>
      </c>
      <c r="C511" s="72" t="s">
        <v>31</v>
      </c>
      <c r="D511" s="59" t="s">
        <v>447</v>
      </c>
      <c r="E511" s="85"/>
      <c r="F511" s="85"/>
      <c r="G511" s="64" t="str">
        <f>IF(stdProdLT(Main[[#This Row],[Comments]])=0.1,"N/A",IF(stdProdLT(Main[[#This Row],[Comments]])=0,"",TRIM(stdProdLT(Main[[#This Row],[Comments]]))))</f>
        <v/>
      </c>
      <c r="H511" s="94" t="str">
        <f>IF(OR(Main[[#This Row],[Std. Prod. Lead Time]]="N/A",Main[[#This Row],[Std. Prod. Lead Time]]=""), "",IF(AND(Main[[#This Row],[In Stock Date]]&lt;&gt;"",Main[[#This Row],[Revised Due Date]]&lt;&gt;"",Main[[#This Row],[In Stock Date]]&lt;&gt;""),Main[[#This Row],[In Stock Date]]-Main[[#This Row],[Revised Due Date]],""))</f>
        <v/>
      </c>
      <c r="I511" s="101" t="s">
        <v>4</v>
      </c>
      <c r="J511" s="95" t="s">
        <v>4</v>
      </c>
      <c r="K511" s="95" t="s">
        <v>4</v>
      </c>
      <c r="L511" s="85"/>
      <c r="M511" s="73" t="str">
        <f>IF(Main[[#This Row],[Tech Start Date]]&lt;1/1/1990,"",IF(Main[[#This Row],[Class]]="C",WORKDAY(Main[[#This Row],[Tech Start Date]],9),IF(Main[[#This Row],[Class]]="B", WORKDAY(Main[[#This Row],[Tech Start Date]],6),IF(Main[[#This Row],[Class]]="A",WORKDAY(Main[[#This Row],[Tech Start Date]],2),""))))</f>
        <v/>
      </c>
      <c r="N511" s="73" t="str">
        <f>IF(Main[[#This Row],[Tech Start Date]]&lt;1/1/1990,"",IF(Main[[#This Row],[Class]]="C",WORKDAY(Main[[#This Row],[Tech Start Date]],19),IF(Main[[#This Row],[Class]]="B", WORKDAY(Main[[#This Row],[Tech Start Date]],12),IF(Main[[#This Row],[Class]]="A",WORKDAY(Main[[#This Row],[Tech Start Date]],4),""))))</f>
        <v/>
      </c>
      <c r="O511" s="73" t="str">
        <f>IF(Main[[#This Row],[Tech Start Date]]&lt;1/1/1990,"",IF(Main[[#This Row],[Class]]="C",WORKDAY(Main[[#This Row],[Tech Start Date]],23),IF(Main[[#This Row],[Class]]="B", WORKDAY(Main[[#This Row],[Tech Start Date]],15),IF(Main[[#This Row],[Class]]="A",WORKDAY(Main[[#This Row],[Tech Start Date]],5),""))))</f>
        <v/>
      </c>
      <c r="P511" s="73" t="str">
        <f>IF(Main[[#This Row],[Tech Start Date]]&lt;1/1/1990,"",IF(Main[[#This Row],[Class]]="C",WORKDAY(Main[[#This Row],[Tech Start Date]],28),IF(Main[[#This Row],[Class]]="B", WORKDAY(Main[[#This Row],[Tech Start Date]],19),IF(Main[[#This Row],[Class]]="A",WORKDAY(Main[[#This Row],[Tech Start Date]],9),""))))</f>
        <v/>
      </c>
      <c r="Q511" s="85">
        <v>40318</v>
      </c>
      <c r="R511" s="112"/>
      <c r="S511" s="95" t="s">
        <v>11</v>
      </c>
      <c r="T511" s="74" t="s">
        <v>4</v>
      </c>
      <c r="U511" s="95" t="s">
        <v>14</v>
      </c>
      <c r="V511" s="95" t="s">
        <v>1914</v>
      </c>
      <c r="W511" s="95" t="s">
        <v>1922</v>
      </c>
      <c r="X511" s="95" t="s">
        <v>2810</v>
      </c>
      <c r="Y511" s="72" t="s">
        <v>4</v>
      </c>
      <c r="Z511" s="72" t="s">
        <v>4</v>
      </c>
      <c r="AA511" s="95" t="s">
        <v>2810</v>
      </c>
      <c r="AB511" s="132"/>
      <c r="AC511" s="132"/>
      <c r="AD511" s="132"/>
      <c r="AE511" s="63"/>
      <c r="AF511" s="63"/>
      <c r="AG511" s="63"/>
    </row>
    <row r="512" spans="1:33" ht="17.2" customHeight="1">
      <c r="A512" s="64" t="str">
        <f>IF(priority(Main[[#This Row],[Comments]])&lt;&gt;0, priority(Main[[#This Row],[Comments]]),"")</f>
        <v/>
      </c>
      <c r="B512" s="60" t="s">
        <v>1359</v>
      </c>
      <c r="C512" s="72" t="s">
        <v>31</v>
      </c>
      <c r="D512" s="59" t="s">
        <v>448</v>
      </c>
      <c r="E512" s="85"/>
      <c r="F512" s="85"/>
      <c r="G512" s="64" t="str">
        <f>IF(stdProdLT(Main[[#This Row],[Comments]])=0.1,"N/A",IF(stdProdLT(Main[[#This Row],[Comments]])=0,"",TRIM(stdProdLT(Main[[#This Row],[Comments]]))))</f>
        <v/>
      </c>
      <c r="H512" s="94" t="str">
        <f>IF(OR(Main[[#This Row],[Std. Prod. Lead Time]]="N/A",Main[[#This Row],[Std. Prod. Lead Time]]=""), "",IF(AND(Main[[#This Row],[In Stock Date]]&lt;&gt;"",Main[[#This Row],[Revised Due Date]]&lt;&gt;"",Main[[#This Row],[In Stock Date]]&lt;&gt;""),Main[[#This Row],[In Stock Date]]-Main[[#This Row],[Revised Due Date]],""))</f>
        <v/>
      </c>
      <c r="I512" s="101" t="s">
        <v>4</v>
      </c>
      <c r="J512" s="95" t="s">
        <v>4</v>
      </c>
      <c r="K512" s="95" t="s">
        <v>4</v>
      </c>
      <c r="L512" s="85"/>
      <c r="M512" s="73" t="str">
        <f>IF(Main[[#This Row],[Tech Start Date]]&lt;1/1/1990,"",IF(Main[[#This Row],[Class]]="C",WORKDAY(Main[[#This Row],[Tech Start Date]],9),IF(Main[[#This Row],[Class]]="B", WORKDAY(Main[[#This Row],[Tech Start Date]],6),IF(Main[[#This Row],[Class]]="A",WORKDAY(Main[[#This Row],[Tech Start Date]],2),""))))</f>
        <v/>
      </c>
      <c r="N512" s="73" t="str">
        <f>IF(Main[[#This Row],[Tech Start Date]]&lt;1/1/1990,"",IF(Main[[#This Row],[Class]]="C",WORKDAY(Main[[#This Row],[Tech Start Date]],19),IF(Main[[#This Row],[Class]]="B", WORKDAY(Main[[#This Row],[Tech Start Date]],12),IF(Main[[#This Row],[Class]]="A",WORKDAY(Main[[#This Row],[Tech Start Date]],4),""))))</f>
        <v/>
      </c>
      <c r="O512" s="73" t="str">
        <f>IF(Main[[#This Row],[Tech Start Date]]&lt;1/1/1990,"",IF(Main[[#This Row],[Class]]="C",WORKDAY(Main[[#This Row],[Tech Start Date]],23),IF(Main[[#This Row],[Class]]="B", WORKDAY(Main[[#This Row],[Tech Start Date]],15),IF(Main[[#This Row],[Class]]="A",WORKDAY(Main[[#This Row],[Tech Start Date]],5),""))))</f>
        <v/>
      </c>
      <c r="P512" s="73" t="str">
        <f>IF(Main[[#This Row],[Tech Start Date]]&lt;1/1/1990,"",IF(Main[[#This Row],[Class]]="C",WORKDAY(Main[[#This Row],[Tech Start Date]],28),IF(Main[[#This Row],[Class]]="B", WORKDAY(Main[[#This Row],[Tech Start Date]],19),IF(Main[[#This Row],[Class]]="A",WORKDAY(Main[[#This Row],[Tech Start Date]],9),""))))</f>
        <v/>
      </c>
      <c r="Q512" s="85">
        <v>40318</v>
      </c>
      <c r="R512" s="112"/>
      <c r="S512" s="95" t="s">
        <v>11</v>
      </c>
      <c r="T512" s="74" t="s">
        <v>4</v>
      </c>
      <c r="U512" s="95" t="s">
        <v>14</v>
      </c>
      <c r="V512" s="95" t="s">
        <v>1914</v>
      </c>
      <c r="W512" s="95" t="s">
        <v>1922</v>
      </c>
      <c r="X512" s="95" t="s">
        <v>2810</v>
      </c>
      <c r="Y512" s="72" t="s">
        <v>4</v>
      </c>
      <c r="Z512" s="72" t="s">
        <v>4</v>
      </c>
      <c r="AA512" s="95" t="s">
        <v>2810</v>
      </c>
      <c r="AB512" s="132"/>
      <c r="AC512" s="132"/>
      <c r="AD512" s="132"/>
      <c r="AE512" s="63"/>
      <c r="AF512" s="63"/>
      <c r="AG512" s="63"/>
    </row>
    <row r="513" spans="1:33" ht="17.2" customHeight="1">
      <c r="A513" s="64" t="str">
        <f>IF(priority(Main[[#This Row],[Comments]])&lt;&gt;0, priority(Main[[#This Row],[Comments]]),"")</f>
        <v/>
      </c>
      <c r="B513" s="60" t="s">
        <v>1360</v>
      </c>
      <c r="C513" s="72" t="s">
        <v>275</v>
      </c>
      <c r="D513" s="59" t="s">
        <v>449</v>
      </c>
      <c r="E513" s="85"/>
      <c r="F513" s="85">
        <v>40444</v>
      </c>
      <c r="G513" s="64" t="str">
        <f>IF(stdProdLT(Main[[#This Row],[Comments]])=0.1,"N/A",IF(stdProdLT(Main[[#This Row],[Comments]])=0,"",TRIM(stdProdLT(Main[[#This Row],[Comments]]))))</f>
        <v/>
      </c>
      <c r="H513" s="94" t="str">
        <f>IF(OR(Main[[#This Row],[Std. Prod. Lead Time]]="N/A",Main[[#This Row],[Std. Prod. Lead Time]]=""), "",IF(AND(Main[[#This Row],[In Stock Date]]&lt;&gt;"",Main[[#This Row],[Revised Due Date]]&lt;&gt;"",Main[[#This Row],[In Stock Date]]&lt;&gt;""),Main[[#This Row],[In Stock Date]]-Main[[#This Row],[Revised Due Date]],""))</f>
        <v/>
      </c>
      <c r="I513" s="101" t="s">
        <v>4</v>
      </c>
      <c r="J513" s="95" t="s">
        <v>4</v>
      </c>
      <c r="K513" s="95" t="s">
        <v>4</v>
      </c>
      <c r="L513" s="85"/>
      <c r="M513" s="73" t="str">
        <f>IF(Main[[#This Row],[Tech Start Date]]&lt;1/1/1990,"",IF(Main[[#This Row],[Class]]="C",WORKDAY(Main[[#This Row],[Tech Start Date]],9),IF(Main[[#This Row],[Class]]="B", WORKDAY(Main[[#This Row],[Tech Start Date]],6),IF(Main[[#This Row],[Class]]="A",WORKDAY(Main[[#This Row],[Tech Start Date]],2),""))))</f>
        <v/>
      </c>
      <c r="N513" s="73" t="str">
        <f>IF(Main[[#This Row],[Tech Start Date]]&lt;1/1/1990,"",IF(Main[[#This Row],[Class]]="C",WORKDAY(Main[[#This Row],[Tech Start Date]],19),IF(Main[[#This Row],[Class]]="B", WORKDAY(Main[[#This Row],[Tech Start Date]],12),IF(Main[[#This Row],[Class]]="A",WORKDAY(Main[[#This Row],[Tech Start Date]],4),""))))</f>
        <v/>
      </c>
      <c r="O513" s="73" t="str">
        <f>IF(Main[[#This Row],[Tech Start Date]]&lt;1/1/1990,"",IF(Main[[#This Row],[Class]]="C",WORKDAY(Main[[#This Row],[Tech Start Date]],23),IF(Main[[#This Row],[Class]]="B", WORKDAY(Main[[#This Row],[Tech Start Date]],15),IF(Main[[#This Row],[Class]]="A",WORKDAY(Main[[#This Row],[Tech Start Date]],5),""))))</f>
        <v/>
      </c>
      <c r="P513" s="73" t="str">
        <f>IF(Main[[#This Row],[Tech Start Date]]&lt;1/1/1990,"",IF(Main[[#This Row],[Class]]="C",WORKDAY(Main[[#This Row],[Tech Start Date]],28),IF(Main[[#This Row],[Class]]="B", WORKDAY(Main[[#This Row],[Tech Start Date]],19),IF(Main[[#This Row],[Class]]="A",WORKDAY(Main[[#This Row],[Tech Start Date]],9),""))))</f>
        <v/>
      </c>
      <c r="Q513" s="85">
        <v>40262</v>
      </c>
      <c r="R513" s="112"/>
      <c r="S513" s="95" t="s">
        <v>17</v>
      </c>
      <c r="T513" s="74" t="s">
        <v>4</v>
      </c>
      <c r="U513" s="95" t="s">
        <v>14</v>
      </c>
      <c r="V513" s="95" t="s">
        <v>1914</v>
      </c>
      <c r="W513" s="95" t="s">
        <v>1916</v>
      </c>
      <c r="X513" s="95" t="s">
        <v>306</v>
      </c>
      <c r="Y513" s="72" t="s">
        <v>4</v>
      </c>
      <c r="Z513" s="72" t="s">
        <v>4</v>
      </c>
      <c r="AA513" s="95" t="s">
        <v>65</v>
      </c>
      <c r="AB513" s="132"/>
      <c r="AC513" s="132"/>
      <c r="AD513" s="132"/>
      <c r="AE513" s="63"/>
      <c r="AF513" s="63"/>
      <c r="AG513" s="63"/>
    </row>
    <row r="514" spans="1:33" ht="17.2" customHeight="1">
      <c r="A514" s="64" t="str">
        <f>IF(priority(Main[[#This Row],[Comments]])&lt;&gt;0, priority(Main[[#This Row],[Comments]]),"")</f>
        <v/>
      </c>
      <c r="B514" s="60" t="s">
        <v>1361</v>
      </c>
      <c r="C514" s="72" t="s">
        <v>67</v>
      </c>
      <c r="D514" s="59" t="s">
        <v>450</v>
      </c>
      <c r="E514" s="85"/>
      <c r="F514" s="85"/>
      <c r="G514" s="64" t="str">
        <f>IF(stdProdLT(Main[[#This Row],[Comments]])=0.1,"N/A",IF(stdProdLT(Main[[#This Row],[Comments]])=0,"",TRIM(stdProdLT(Main[[#This Row],[Comments]]))))</f>
        <v/>
      </c>
      <c r="H514" s="94" t="str">
        <f>IF(OR(Main[[#This Row],[Std. Prod. Lead Time]]="N/A",Main[[#This Row],[Std. Prod. Lead Time]]=""), "",IF(AND(Main[[#This Row],[In Stock Date]]&lt;&gt;"",Main[[#This Row],[Revised Due Date]]&lt;&gt;"",Main[[#This Row],[In Stock Date]]&lt;&gt;""),Main[[#This Row],[In Stock Date]]-Main[[#This Row],[Revised Due Date]],""))</f>
        <v/>
      </c>
      <c r="I514" s="101" t="s">
        <v>4</v>
      </c>
      <c r="J514" s="95" t="s">
        <v>4</v>
      </c>
      <c r="K514" s="95" t="s">
        <v>4</v>
      </c>
      <c r="L514" s="85"/>
      <c r="M514" s="73" t="str">
        <f>IF(Main[[#This Row],[Tech Start Date]]&lt;1/1/1990,"",IF(Main[[#This Row],[Class]]="C",WORKDAY(Main[[#This Row],[Tech Start Date]],9),IF(Main[[#This Row],[Class]]="B", WORKDAY(Main[[#This Row],[Tech Start Date]],6),IF(Main[[#This Row],[Class]]="A",WORKDAY(Main[[#This Row],[Tech Start Date]],2),""))))</f>
        <v/>
      </c>
      <c r="N514" s="73" t="str">
        <f>IF(Main[[#This Row],[Tech Start Date]]&lt;1/1/1990,"",IF(Main[[#This Row],[Class]]="C",WORKDAY(Main[[#This Row],[Tech Start Date]],19),IF(Main[[#This Row],[Class]]="B", WORKDAY(Main[[#This Row],[Tech Start Date]],12),IF(Main[[#This Row],[Class]]="A",WORKDAY(Main[[#This Row],[Tech Start Date]],4),""))))</f>
        <v/>
      </c>
      <c r="O514" s="73" t="str">
        <f>IF(Main[[#This Row],[Tech Start Date]]&lt;1/1/1990,"",IF(Main[[#This Row],[Class]]="C",WORKDAY(Main[[#This Row],[Tech Start Date]],23),IF(Main[[#This Row],[Class]]="B", WORKDAY(Main[[#This Row],[Tech Start Date]],15),IF(Main[[#This Row],[Class]]="A",WORKDAY(Main[[#This Row],[Tech Start Date]],5),""))))</f>
        <v/>
      </c>
      <c r="P514" s="73" t="str">
        <f>IF(Main[[#This Row],[Tech Start Date]]&lt;1/1/1990,"",IF(Main[[#This Row],[Class]]="C",WORKDAY(Main[[#This Row],[Tech Start Date]],28),IF(Main[[#This Row],[Class]]="B", WORKDAY(Main[[#This Row],[Tech Start Date]],19),IF(Main[[#This Row],[Class]]="A",WORKDAY(Main[[#This Row],[Tech Start Date]],9),""))))</f>
        <v/>
      </c>
      <c r="Q514" s="85"/>
      <c r="R514" s="112"/>
      <c r="S514" s="95" t="s">
        <v>11</v>
      </c>
      <c r="T514" s="74" t="s">
        <v>4</v>
      </c>
      <c r="U514" s="95" t="s">
        <v>12</v>
      </c>
      <c r="V514" s="95" t="s">
        <v>1912</v>
      </c>
      <c r="W514" s="95" t="s">
        <v>1919</v>
      </c>
      <c r="X514" s="95" t="s">
        <v>2842</v>
      </c>
      <c r="Y514" s="72" t="s">
        <v>2984</v>
      </c>
      <c r="Z514" s="72" t="s">
        <v>4</v>
      </c>
      <c r="AA514" s="95" t="s">
        <v>2842</v>
      </c>
      <c r="AB514" s="132"/>
      <c r="AC514" s="132"/>
      <c r="AD514" s="132"/>
      <c r="AE514" s="63"/>
      <c r="AF514" s="63"/>
      <c r="AG514" s="63"/>
    </row>
    <row r="515" spans="1:33" ht="17.2" customHeight="1">
      <c r="A515" s="64" t="str">
        <f>IF(priority(Main[[#This Row],[Comments]])&lt;&gt;0, priority(Main[[#This Row],[Comments]]),"")</f>
        <v/>
      </c>
      <c r="B515" s="60" t="s">
        <v>1362</v>
      </c>
      <c r="C515" s="72" t="s">
        <v>83</v>
      </c>
      <c r="D515" s="59" t="s">
        <v>451</v>
      </c>
      <c r="E515" s="85"/>
      <c r="F515" s="85"/>
      <c r="G515" s="64" t="str">
        <f>IF(stdProdLT(Main[[#This Row],[Comments]])=0.1,"N/A",IF(stdProdLT(Main[[#This Row],[Comments]])=0,"",TRIM(stdProdLT(Main[[#This Row],[Comments]]))))</f>
        <v/>
      </c>
      <c r="H515" s="94" t="str">
        <f>IF(OR(Main[[#This Row],[Std. Prod. Lead Time]]="N/A",Main[[#This Row],[Std. Prod. Lead Time]]=""), "",IF(AND(Main[[#This Row],[In Stock Date]]&lt;&gt;"",Main[[#This Row],[Revised Due Date]]&lt;&gt;"",Main[[#This Row],[In Stock Date]]&lt;&gt;""),Main[[#This Row],[In Stock Date]]-Main[[#This Row],[Revised Due Date]],""))</f>
        <v/>
      </c>
      <c r="I515" s="101" t="s">
        <v>4</v>
      </c>
      <c r="J515" s="95" t="s">
        <v>4</v>
      </c>
      <c r="K515" s="95" t="s">
        <v>4</v>
      </c>
      <c r="L515" s="85"/>
      <c r="M515" s="73" t="str">
        <f>IF(Main[[#This Row],[Tech Start Date]]&lt;1/1/1990,"",IF(Main[[#This Row],[Class]]="C",WORKDAY(Main[[#This Row],[Tech Start Date]],9),IF(Main[[#This Row],[Class]]="B", WORKDAY(Main[[#This Row],[Tech Start Date]],6),IF(Main[[#This Row],[Class]]="A",WORKDAY(Main[[#This Row],[Tech Start Date]],2),""))))</f>
        <v/>
      </c>
      <c r="N515" s="73" t="str">
        <f>IF(Main[[#This Row],[Tech Start Date]]&lt;1/1/1990,"",IF(Main[[#This Row],[Class]]="C",WORKDAY(Main[[#This Row],[Tech Start Date]],19),IF(Main[[#This Row],[Class]]="B", WORKDAY(Main[[#This Row],[Tech Start Date]],12),IF(Main[[#This Row],[Class]]="A",WORKDAY(Main[[#This Row],[Tech Start Date]],4),""))))</f>
        <v/>
      </c>
      <c r="O515" s="73" t="str">
        <f>IF(Main[[#This Row],[Tech Start Date]]&lt;1/1/1990,"",IF(Main[[#This Row],[Class]]="C",WORKDAY(Main[[#This Row],[Tech Start Date]],23),IF(Main[[#This Row],[Class]]="B", WORKDAY(Main[[#This Row],[Tech Start Date]],15),IF(Main[[#This Row],[Class]]="A",WORKDAY(Main[[#This Row],[Tech Start Date]],5),""))))</f>
        <v/>
      </c>
      <c r="P515" s="73" t="str">
        <f>IF(Main[[#This Row],[Tech Start Date]]&lt;1/1/1990,"",IF(Main[[#This Row],[Class]]="C",WORKDAY(Main[[#This Row],[Tech Start Date]],28),IF(Main[[#This Row],[Class]]="B", WORKDAY(Main[[#This Row],[Tech Start Date]],19),IF(Main[[#This Row],[Class]]="A",WORKDAY(Main[[#This Row],[Tech Start Date]],9),""))))</f>
        <v/>
      </c>
      <c r="Q515" s="85">
        <v>40252</v>
      </c>
      <c r="R515" s="112"/>
      <c r="S515" s="95" t="s">
        <v>11</v>
      </c>
      <c r="T515" s="74" t="s">
        <v>4</v>
      </c>
      <c r="U515" s="95" t="s">
        <v>14</v>
      </c>
      <c r="V515" s="95" t="s">
        <v>1911</v>
      </c>
      <c r="W515" s="95" t="s">
        <v>1922</v>
      </c>
      <c r="X515" s="95" t="s">
        <v>2797</v>
      </c>
      <c r="Y515" s="72" t="s">
        <v>4</v>
      </c>
      <c r="Z515" s="72" t="s">
        <v>4</v>
      </c>
      <c r="AA515" s="95" t="s">
        <v>2797</v>
      </c>
      <c r="AB515" s="132"/>
      <c r="AC515" s="132"/>
      <c r="AD515" s="132"/>
      <c r="AE515" s="63"/>
      <c r="AF515" s="63"/>
      <c r="AG515" s="63"/>
    </row>
    <row r="516" spans="1:33" ht="17.2" customHeight="1">
      <c r="A516" s="64" t="str">
        <f>IF(priority(Main[[#This Row],[Comments]])&lt;&gt;0, priority(Main[[#This Row],[Comments]]),"")</f>
        <v/>
      </c>
      <c r="B516" s="60" t="s">
        <v>1363</v>
      </c>
      <c r="C516" s="72" t="s">
        <v>42</v>
      </c>
      <c r="D516" s="59" t="s">
        <v>452</v>
      </c>
      <c r="E516" s="85">
        <v>39932.393530092595</v>
      </c>
      <c r="F516" s="85"/>
      <c r="G516" s="64" t="str">
        <f>IF(stdProdLT(Main[[#This Row],[Comments]])=0.1,"N/A",IF(stdProdLT(Main[[#This Row],[Comments]])=0,"",TRIM(stdProdLT(Main[[#This Row],[Comments]]))))</f>
        <v/>
      </c>
      <c r="H516" s="94" t="str">
        <f>IF(OR(Main[[#This Row],[Std. Prod. Lead Time]]="N/A",Main[[#This Row],[Std. Prod. Lead Time]]=""), "",IF(AND(Main[[#This Row],[In Stock Date]]&lt;&gt;"",Main[[#This Row],[Revised Due Date]]&lt;&gt;"",Main[[#This Row],[In Stock Date]]&lt;&gt;""),Main[[#This Row],[In Stock Date]]-Main[[#This Row],[Revised Due Date]],""))</f>
        <v/>
      </c>
      <c r="I516" s="101" t="s">
        <v>4</v>
      </c>
      <c r="J516" s="95" t="s">
        <v>4</v>
      </c>
      <c r="K516" s="95" t="s">
        <v>4</v>
      </c>
      <c r="L516" s="85"/>
      <c r="M516" s="73" t="str">
        <f>IF(Main[[#This Row],[Tech Start Date]]&lt;1/1/1990,"",IF(Main[[#This Row],[Class]]="C",WORKDAY(Main[[#This Row],[Tech Start Date]],9),IF(Main[[#This Row],[Class]]="B", WORKDAY(Main[[#This Row],[Tech Start Date]],6),IF(Main[[#This Row],[Class]]="A",WORKDAY(Main[[#This Row],[Tech Start Date]],2),""))))</f>
        <v/>
      </c>
      <c r="N516" s="73" t="str">
        <f>IF(Main[[#This Row],[Tech Start Date]]&lt;1/1/1990,"",IF(Main[[#This Row],[Class]]="C",WORKDAY(Main[[#This Row],[Tech Start Date]],19),IF(Main[[#This Row],[Class]]="B", WORKDAY(Main[[#This Row],[Tech Start Date]],12),IF(Main[[#This Row],[Class]]="A",WORKDAY(Main[[#This Row],[Tech Start Date]],4),""))))</f>
        <v/>
      </c>
      <c r="O516" s="73" t="str">
        <f>IF(Main[[#This Row],[Tech Start Date]]&lt;1/1/1990,"",IF(Main[[#This Row],[Class]]="C",WORKDAY(Main[[#This Row],[Tech Start Date]],23),IF(Main[[#This Row],[Class]]="B", WORKDAY(Main[[#This Row],[Tech Start Date]],15),IF(Main[[#This Row],[Class]]="A",WORKDAY(Main[[#This Row],[Tech Start Date]],5),""))))</f>
        <v/>
      </c>
      <c r="P516" s="73" t="str">
        <f>IF(Main[[#This Row],[Tech Start Date]]&lt;1/1/1990,"",IF(Main[[#This Row],[Class]]="C",WORKDAY(Main[[#This Row],[Tech Start Date]],28),IF(Main[[#This Row],[Class]]="B", WORKDAY(Main[[#This Row],[Tech Start Date]],19),IF(Main[[#This Row],[Class]]="A",WORKDAY(Main[[#This Row],[Tech Start Date]],9),""))))</f>
        <v/>
      </c>
      <c r="Q516" s="85"/>
      <c r="R516" s="112"/>
      <c r="S516" s="95" t="s">
        <v>17</v>
      </c>
      <c r="T516" s="74" t="s">
        <v>4</v>
      </c>
      <c r="U516" s="95" t="s">
        <v>7</v>
      </c>
      <c r="V516" s="95" t="s">
        <v>1914</v>
      </c>
      <c r="W516" s="95" t="s">
        <v>4</v>
      </c>
      <c r="X516" s="95" t="s">
        <v>399</v>
      </c>
      <c r="Y516" s="72" t="s">
        <v>4</v>
      </c>
      <c r="Z516" s="72" t="s">
        <v>4</v>
      </c>
      <c r="AA516" s="95" t="s">
        <v>4</v>
      </c>
      <c r="AB516" s="132"/>
      <c r="AC516" s="132"/>
      <c r="AD516" s="132"/>
      <c r="AE516" s="63"/>
      <c r="AF516" s="63"/>
      <c r="AG516" s="63"/>
    </row>
    <row r="517" spans="1:33" ht="17.2" customHeight="1">
      <c r="A517" s="64" t="str">
        <f>IF(priority(Main[[#This Row],[Comments]])&lt;&gt;0, priority(Main[[#This Row],[Comments]]),"")</f>
        <v/>
      </c>
      <c r="B517" s="60" t="s">
        <v>1364</v>
      </c>
      <c r="C517" s="72" t="s">
        <v>453</v>
      </c>
      <c r="D517" s="59" t="s">
        <v>454</v>
      </c>
      <c r="E517" s="85"/>
      <c r="F517" s="85"/>
      <c r="G517" s="64" t="str">
        <f>IF(stdProdLT(Main[[#This Row],[Comments]])=0.1,"N/A",IF(stdProdLT(Main[[#This Row],[Comments]])=0,"",TRIM(stdProdLT(Main[[#This Row],[Comments]]))))</f>
        <v/>
      </c>
      <c r="H517" s="94" t="str">
        <f>IF(OR(Main[[#This Row],[Std. Prod. Lead Time]]="N/A",Main[[#This Row],[Std. Prod. Lead Time]]=""), "",IF(AND(Main[[#This Row],[In Stock Date]]&lt;&gt;"",Main[[#This Row],[Revised Due Date]]&lt;&gt;"",Main[[#This Row],[In Stock Date]]&lt;&gt;""),Main[[#This Row],[In Stock Date]]-Main[[#This Row],[Revised Due Date]],""))</f>
        <v/>
      </c>
      <c r="I517" s="101" t="s">
        <v>4</v>
      </c>
      <c r="J517" s="95" t="s">
        <v>4</v>
      </c>
      <c r="K517" s="95" t="s">
        <v>4</v>
      </c>
      <c r="L517" s="85"/>
      <c r="M517" s="73" t="str">
        <f>IF(Main[[#This Row],[Tech Start Date]]&lt;1/1/1990,"",IF(Main[[#This Row],[Class]]="C",WORKDAY(Main[[#This Row],[Tech Start Date]],9),IF(Main[[#This Row],[Class]]="B", WORKDAY(Main[[#This Row],[Tech Start Date]],6),IF(Main[[#This Row],[Class]]="A",WORKDAY(Main[[#This Row],[Tech Start Date]],2),""))))</f>
        <v/>
      </c>
      <c r="N517" s="73" t="str">
        <f>IF(Main[[#This Row],[Tech Start Date]]&lt;1/1/1990,"",IF(Main[[#This Row],[Class]]="C",WORKDAY(Main[[#This Row],[Tech Start Date]],19),IF(Main[[#This Row],[Class]]="B", WORKDAY(Main[[#This Row],[Tech Start Date]],12),IF(Main[[#This Row],[Class]]="A",WORKDAY(Main[[#This Row],[Tech Start Date]],4),""))))</f>
        <v/>
      </c>
      <c r="O517" s="73" t="str">
        <f>IF(Main[[#This Row],[Tech Start Date]]&lt;1/1/1990,"",IF(Main[[#This Row],[Class]]="C",WORKDAY(Main[[#This Row],[Tech Start Date]],23),IF(Main[[#This Row],[Class]]="B", WORKDAY(Main[[#This Row],[Tech Start Date]],15),IF(Main[[#This Row],[Class]]="A",WORKDAY(Main[[#This Row],[Tech Start Date]],5),""))))</f>
        <v/>
      </c>
      <c r="P517" s="73" t="str">
        <f>IF(Main[[#This Row],[Tech Start Date]]&lt;1/1/1990,"",IF(Main[[#This Row],[Class]]="C",WORKDAY(Main[[#This Row],[Tech Start Date]],28),IF(Main[[#This Row],[Class]]="B", WORKDAY(Main[[#This Row],[Tech Start Date]],19),IF(Main[[#This Row],[Class]]="A",WORKDAY(Main[[#This Row],[Tech Start Date]],9),""))))</f>
        <v/>
      </c>
      <c r="Q517" s="85"/>
      <c r="R517" s="112"/>
      <c r="S517" s="95" t="s">
        <v>11</v>
      </c>
      <c r="T517" s="74" t="s">
        <v>4</v>
      </c>
      <c r="U517" s="95" t="s">
        <v>14</v>
      </c>
      <c r="V517" s="95" t="s">
        <v>1912</v>
      </c>
      <c r="W517" s="95" t="s">
        <v>1919</v>
      </c>
      <c r="X517" s="95" t="s">
        <v>399</v>
      </c>
      <c r="Y517" s="72" t="s">
        <v>4</v>
      </c>
      <c r="Z517" s="72" t="s">
        <v>4</v>
      </c>
      <c r="AA517" s="95" t="s">
        <v>4</v>
      </c>
      <c r="AB517" s="132"/>
      <c r="AC517" s="132"/>
      <c r="AD517" s="132"/>
      <c r="AE517" s="63"/>
      <c r="AF517" s="63"/>
      <c r="AG517" s="63"/>
    </row>
    <row r="518" spans="1:33" ht="17.2" customHeight="1">
      <c r="A518" s="64" t="str">
        <f>IF(priority(Main[[#This Row],[Comments]])&lt;&gt;0, priority(Main[[#This Row],[Comments]]),"")</f>
        <v/>
      </c>
      <c r="B518" s="60" t="s">
        <v>1365</v>
      </c>
      <c r="C518" s="72" t="s">
        <v>455</v>
      </c>
      <c r="D518" s="59" t="s">
        <v>456</v>
      </c>
      <c r="E518" s="85"/>
      <c r="F518" s="85"/>
      <c r="G518" s="64" t="str">
        <f>IF(stdProdLT(Main[[#This Row],[Comments]])=0.1,"N/A",IF(stdProdLT(Main[[#This Row],[Comments]])=0,"",TRIM(stdProdLT(Main[[#This Row],[Comments]]))))</f>
        <v/>
      </c>
      <c r="H518" s="94" t="str">
        <f>IF(OR(Main[[#This Row],[Std. Prod. Lead Time]]="N/A",Main[[#This Row],[Std. Prod. Lead Time]]=""), "",IF(AND(Main[[#This Row],[In Stock Date]]&lt;&gt;"",Main[[#This Row],[Revised Due Date]]&lt;&gt;"",Main[[#This Row],[In Stock Date]]&lt;&gt;""),Main[[#This Row],[In Stock Date]]-Main[[#This Row],[Revised Due Date]],""))</f>
        <v/>
      </c>
      <c r="I518" s="101" t="s">
        <v>4</v>
      </c>
      <c r="J518" s="95" t="s">
        <v>4</v>
      </c>
      <c r="K518" s="95" t="s">
        <v>4</v>
      </c>
      <c r="L518" s="85"/>
      <c r="M518" s="73" t="str">
        <f>IF(Main[[#This Row],[Tech Start Date]]&lt;1/1/1990,"",IF(Main[[#This Row],[Class]]="C",WORKDAY(Main[[#This Row],[Tech Start Date]],9),IF(Main[[#This Row],[Class]]="B", WORKDAY(Main[[#This Row],[Tech Start Date]],6),IF(Main[[#This Row],[Class]]="A",WORKDAY(Main[[#This Row],[Tech Start Date]],2),""))))</f>
        <v/>
      </c>
      <c r="N518" s="73" t="str">
        <f>IF(Main[[#This Row],[Tech Start Date]]&lt;1/1/1990,"",IF(Main[[#This Row],[Class]]="C",WORKDAY(Main[[#This Row],[Tech Start Date]],19),IF(Main[[#This Row],[Class]]="B", WORKDAY(Main[[#This Row],[Tech Start Date]],12),IF(Main[[#This Row],[Class]]="A",WORKDAY(Main[[#This Row],[Tech Start Date]],4),""))))</f>
        <v/>
      </c>
      <c r="O518" s="73" t="str">
        <f>IF(Main[[#This Row],[Tech Start Date]]&lt;1/1/1990,"",IF(Main[[#This Row],[Class]]="C",WORKDAY(Main[[#This Row],[Tech Start Date]],23),IF(Main[[#This Row],[Class]]="B", WORKDAY(Main[[#This Row],[Tech Start Date]],15),IF(Main[[#This Row],[Class]]="A",WORKDAY(Main[[#This Row],[Tech Start Date]],5),""))))</f>
        <v/>
      </c>
      <c r="P518" s="73" t="str">
        <f>IF(Main[[#This Row],[Tech Start Date]]&lt;1/1/1990,"",IF(Main[[#This Row],[Class]]="C",WORKDAY(Main[[#This Row],[Tech Start Date]],28),IF(Main[[#This Row],[Class]]="B", WORKDAY(Main[[#This Row],[Tech Start Date]],19),IF(Main[[#This Row],[Class]]="A",WORKDAY(Main[[#This Row],[Tech Start Date]],9),""))))</f>
        <v/>
      </c>
      <c r="Q518" s="85"/>
      <c r="R518" s="112"/>
      <c r="S518" s="95" t="s">
        <v>11</v>
      </c>
      <c r="T518" s="74" t="s">
        <v>4</v>
      </c>
      <c r="U518" s="95" t="s">
        <v>14</v>
      </c>
      <c r="V518" s="95" t="s">
        <v>1912</v>
      </c>
      <c r="W518" s="95" t="s">
        <v>1919</v>
      </c>
      <c r="X518" s="95" t="s">
        <v>399</v>
      </c>
      <c r="Y518" s="72" t="s">
        <v>4</v>
      </c>
      <c r="Z518" s="72" t="s">
        <v>4</v>
      </c>
      <c r="AA518" s="95" t="s">
        <v>3372</v>
      </c>
      <c r="AB518" s="132"/>
      <c r="AC518" s="132"/>
      <c r="AD518" s="132"/>
      <c r="AE518" s="63"/>
      <c r="AF518" s="63"/>
      <c r="AG518" s="63"/>
    </row>
    <row r="519" spans="1:33" ht="17.2" customHeight="1">
      <c r="A519" s="64" t="str">
        <f>IF(priority(Main[[#This Row],[Comments]])&lt;&gt;0, priority(Main[[#This Row],[Comments]]),"")</f>
        <v/>
      </c>
      <c r="B519" s="60" t="s">
        <v>1366</v>
      </c>
      <c r="C519" s="72" t="s">
        <v>457</v>
      </c>
      <c r="D519" s="59" t="s">
        <v>458</v>
      </c>
      <c r="E519" s="85"/>
      <c r="F519" s="85">
        <v>40214</v>
      </c>
      <c r="G519" s="64" t="str">
        <f>IF(stdProdLT(Main[[#This Row],[Comments]])=0.1,"N/A",IF(stdProdLT(Main[[#This Row],[Comments]])=0,"",TRIM(stdProdLT(Main[[#This Row],[Comments]]))))</f>
        <v/>
      </c>
      <c r="H519" s="94" t="str">
        <f>IF(OR(Main[[#This Row],[Std. Prod. Lead Time]]="N/A",Main[[#This Row],[Std. Prod. Lead Time]]=""), "",IF(AND(Main[[#This Row],[In Stock Date]]&lt;&gt;"",Main[[#This Row],[Revised Due Date]]&lt;&gt;"",Main[[#This Row],[In Stock Date]]&lt;&gt;""),Main[[#This Row],[In Stock Date]]-Main[[#This Row],[Revised Due Date]],""))</f>
        <v/>
      </c>
      <c r="I519" s="101" t="s">
        <v>4</v>
      </c>
      <c r="J519" s="95" t="s">
        <v>4</v>
      </c>
      <c r="K519" s="95" t="s">
        <v>4</v>
      </c>
      <c r="L519" s="85"/>
      <c r="M519" s="73" t="str">
        <f>IF(Main[[#This Row],[Tech Start Date]]&lt;1/1/1990,"",IF(Main[[#This Row],[Class]]="C",WORKDAY(Main[[#This Row],[Tech Start Date]],9),IF(Main[[#This Row],[Class]]="B", WORKDAY(Main[[#This Row],[Tech Start Date]],6),IF(Main[[#This Row],[Class]]="A",WORKDAY(Main[[#This Row],[Tech Start Date]],2),""))))</f>
        <v/>
      </c>
      <c r="N519" s="73" t="str">
        <f>IF(Main[[#This Row],[Tech Start Date]]&lt;1/1/1990,"",IF(Main[[#This Row],[Class]]="C",WORKDAY(Main[[#This Row],[Tech Start Date]],19),IF(Main[[#This Row],[Class]]="B", WORKDAY(Main[[#This Row],[Tech Start Date]],12),IF(Main[[#This Row],[Class]]="A",WORKDAY(Main[[#This Row],[Tech Start Date]],4),""))))</f>
        <v/>
      </c>
      <c r="O519" s="73" t="str">
        <f>IF(Main[[#This Row],[Tech Start Date]]&lt;1/1/1990,"",IF(Main[[#This Row],[Class]]="C",WORKDAY(Main[[#This Row],[Tech Start Date]],23),IF(Main[[#This Row],[Class]]="B", WORKDAY(Main[[#This Row],[Tech Start Date]],15),IF(Main[[#This Row],[Class]]="A",WORKDAY(Main[[#This Row],[Tech Start Date]],5),""))))</f>
        <v/>
      </c>
      <c r="P519" s="73" t="str">
        <f>IF(Main[[#This Row],[Tech Start Date]]&lt;1/1/1990,"",IF(Main[[#This Row],[Class]]="C",WORKDAY(Main[[#This Row],[Tech Start Date]],28),IF(Main[[#This Row],[Class]]="B", WORKDAY(Main[[#This Row],[Tech Start Date]],19),IF(Main[[#This Row],[Class]]="A",WORKDAY(Main[[#This Row],[Tech Start Date]],9),""))))</f>
        <v/>
      </c>
      <c r="Q519" s="85">
        <v>40149</v>
      </c>
      <c r="R519" s="112"/>
      <c r="S519" s="95" t="s">
        <v>11</v>
      </c>
      <c r="T519" s="74" t="s">
        <v>4</v>
      </c>
      <c r="U519" s="95" t="s">
        <v>14</v>
      </c>
      <c r="V519" s="95" t="s">
        <v>1914</v>
      </c>
      <c r="W519" s="95" t="s">
        <v>1917</v>
      </c>
      <c r="X519" s="95" t="s">
        <v>2843</v>
      </c>
      <c r="Y519" s="72" t="s">
        <v>4</v>
      </c>
      <c r="Z519" s="72" t="s">
        <v>4</v>
      </c>
      <c r="AA519" s="95" t="s">
        <v>2843</v>
      </c>
      <c r="AB519" s="132"/>
      <c r="AC519" s="132"/>
      <c r="AD519" s="132"/>
      <c r="AE519" s="63"/>
      <c r="AF519" s="63"/>
      <c r="AG519" s="63"/>
    </row>
    <row r="520" spans="1:33" ht="17.2" customHeight="1">
      <c r="A520" s="64" t="str">
        <f>IF(priority(Main[[#This Row],[Comments]])&lt;&gt;0, priority(Main[[#This Row],[Comments]]),"")</f>
        <v/>
      </c>
      <c r="B520" s="60" t="s">
        <v>1367</v>
      </c>
      <c r="C520" s="72" t="s">
        <v>93</v>
      </c>
      <c r="D520" s="59" t="s">
        <v>459</v>
      </c>
      <c r="E520" s="85"/>
      <c r="F520" s="85">
        <v>40210</v>
      </c>
      <c r="G520" s="64" t="str">
        <f>IF(stdProdLT(Main[[#This Row],[Comments]])=0.1,"N/A",IF(stdProdLT(Main[[#This Row],[Comments]])=0,"",TRIM(stdProdLT(Main[[#This Row],[Comments]]))))</f>
        <v/>
      </c>
      <c r="H520" s="94" t="str">
        <f>IF(OR(Main[[#This Row],[Std. Prod. Lead Time]]="N/A",Main[[#This Row],[Std. Prod. Lead Time]]=""), "",IF(AND(Main[[#This Row],[In Stock Date]]&lt;&gt;"",Main[[#This Row],[Revised Due Date]]&lt;&gt;"",Main[[#This Row],[In Stock Date]]&lt;&gt;""),Main[[#This Row],[In Stock Date]]-Main[[#This Row],[Revised Due Date]],""))</f>
        <v/>
      </c>
      <c r="I520" s="101" t="s">
        <v>4</v>
      </c>
      <c r="J520" s="95" t="s">
        <v>4</v>
      </c>
      <c r="K520" s="96" t="s">
        <v>4</v>
      </c>
      <c r="L520" s="85"/>
      <c r="M520" s="73" t="str">
        <f>IF(Main[[#This Row],[Tech Start Date]]&lt;1/1/1990,"",IF(Main[[#This Row],[Class]]="C",WORKDAY(Main[[#This Row],[Tech Start Date]],9),IF(Main[[#This Row],[Class]]="B", WORKDAY(Main[[#This Row],[Tech Start Date]],6),IF(Main[[#This Row],[Class]]="A",WORKDAY(Main[[#This Row],[Tech Start Date]],2),""))))</f>
        <v/>
      </c>
      <c r="N520" s="73" t="str">
        <f>IF(Main[[#This Row],[Tech Start Date]]&lt;1/1/1990,"",IF(Main[[#This Row],[Class]]="C",WORKDAY(Main[[#This Row],[Tech Start Date]],19),IF(Main[[#This Row],[Class]]="B", WORKDAY(Main[[#This Row],[Tech Start Date]],12),IF(Main[[#This Row],[Class]]="A",WORKDAY(Main[[#This Row],[Tech Start Date]],4),""))))</f>
        <v/>
      </c>
      <c r="O520" s="73" t="str">
        <f>IF(Main[[#This Row],[Tech Start Date]]&lt;1/1/1990,"",IF(Main[[#This Row],[Class]]="C",WORKDAY(Main[[#This Row],[Tech Start Date]],23),IF(Main[[#This Row],[Class]]="B", WORKDAY(Main[[#This Row],[Tech Start Date]],15),IF(Main[[#This Row],[Class]]="A",WORKDAY(Main[[#This Row],[Tech Start Date]],5),""))))</f>
        <v/>
      </c>
      <c r="P520" s="73" t="str">
        <f>IF(Main[[#This Row],[Tech Start Date]]&lt;1/1/1990,"",IF(Main[[#This Row],[Class]]="C",WORKDAY(Main[[#This Row],[Tech Start Date]],28),IF(Main[[#This Row],[Class]]="B", WORKDAY(Main[[#This Row],[Tech Start Date]],19),IF(Main[[#This Row],[Class]]="A",WORKDAY(Main[[#This Row],[Tech Start Date]],9),""))))</f>
        <v/>
      </c>
      <c r="Q520" s="85">
        <v>40195</v>
      </c>
      <c r="R520" s="112"/>
      <c r="S520" s="95" t="s">
        <v>11</v>
      </c>
      <c r="T520" s="74" t="s">
        <v>4</v>
      </c>
      <c r="U520" s="95" t="s">
        <v>12</v>
      </c>
      <c r="V520" s="95" t="s">
        <v>1921</v>
      </c>
      <c r="W520" s="95" t="s">
        <v>1922</v>
      </c>
      <c r="X520" s="95" t="s">
        <v>2825</v>
      </c>
      <c r="Y520" s="72" t="s">
        <v>4</v>
      </c>
      <c r="Z520" s="72" t="s">
        <v>4</v>
      </c>
      <c r="AA520" s="95" t="s">
        <v>2825</v>
      </c>
      <c r="AB520" s="132"/>
      <c r="AC520" s="132"/>
      <c r="AD520" s="132"/>
      <c r="AE520" s="63"/>
      <c r="AF520" s="63"/>
      <c r="AG520" s="63"/>
    </row>
    <row r="521" spans="1:33" ht="17.2" customHeight="1">
      <c r="A521" s="64" t="str">
        <f>IF(priority(Main[[#This Row],[Comments]])&lt;&gt;0, priority(Main[[#This Row],[Comments]]),"")</f>
        <v/>
      </c>
      <c r="B521" s="60" t="s">
        <v>1368</v>
      </c>
      <c r="C521" s="72" t="s">
        <v>457</v>
      </c>
      <c r="D521" s="59" t="s">
        <v>460</v>
      </c>
      <c r="E521" s="85"/>
      <c r="F521" s="85">
        <v>40214</v>
      </c>
      <c r="G521" s="64" t="str">
        <f>IF(stdProdLT(Main[[#This Row],[Comments]])=0.1,"N/A",IF(stdProdLT(Main[[#This Row],[Comments]])=0,"",TRIM(stdProdLT(Main[[#This Row],[Comments]]))))</f>
        <v/>
      </c>
      <c r="H521" s="94" t="str">
        <f>IF(OR(Main[[#This Row],[Std. Prod. Lead Time]]="N/A",Main[[#This Row],[Std. Prod. Lead Time]]=""), "",IF(AND(Main[[#This Row],[In Stock Date]]&lt;&gt;"",Main[[#This Row],[Revised Due Date]]&lt;&gt;"",Main[[#This Row],[In Stock Date]]&lt;&gt;""),Main[[#This Row],[In Stock Date]]-Main[[#This Row],[Revised Due Date]],""))</f>
        <v/>
      </c>
      <c r="I521" s="101" t="s">
        <v>4</v>
      </c>
      <c r="J521" s="95" t="s">
        <v>4</v>
      </c>
      <c r="K521" s="95" t="s">
        <v>4</v>
      </c>
      <c r="L521" s="85"/>
      <c r="M521" s="73" t="str">
        <f>IF(Main[[#This Row],[Tech Start Date]]&lt;1/1/1990,"",IF(Main[[#This Row],[Class]]="C",WORKDAY(Main[[#This Row],[Tech Start Date]],9),IF(Main[[#This Row],[Class]]="B", WORKDAY(Main[[#This Row],[Tech Start Date]],6),IF(Main[[#This Row],[Class]]="A",WORKDAY(Main[[#This Row],[Tech Start Date]],2),""))))</f>
        <v/>
      </c>
      <c r="N521" s="73" t="str">
        <f>IF(Main[[#This Row],[Tech Start Date]]&lt;1/1/1990,"",IF(Main[[#This Row],[Class]]="C",WORKDAY(Main[[#This Row],[Tech Start Date]],19),IF(Main[[#This Row],[Class]]="B", WORKDAY(Main[[#This Row],[Tech Start Date]],12),IF(Main[[#This Row],[Class]]="A",WORKDAY(Main[[#This Row],[Tech Start Date]],4),""))))</f>
        <v/>
      </c>
      <c r="O521" s="73" t="str">
        <f>IF(Main[[#This Row],[Tech Start Date]]&lt;1/1/1990,"",IF(Main[[#This Row],[Class]]="C",WORKDAY(Main[[#This Row],[Tech Start Date]],23),IF(Main[[#This Row],[Class]]="B", WORKDAY(Main[[#This Row],[Tech Start Date]],15),IF(Main[[#This Row],[Class]]="A",WORKDAY(Main[[#This Row],[Tech Start Date]],5),""))))</f>
        <v/>
      </c>
      <c r="P521" s="73" t="str">
        <f>IF(Main[[#This Row],[Tech Start Date]]&lt;1/1/1990,"",IF(Main[[#This Row],[Class]]="C",WORKDAY(Main[[#This Row],[Tech Start Date]],28),IF(Main[[#This Row],[Class]]="B", WORKDAY(Main[[#This Row],[Tech Start Date]],19),IF(Main[[#This Row],[Class]]="A",WORKDAY(Main[[#This Row],[Tech Start Date]],9),""))))</f>
        <v/>
      </c>
      <c r="Q521" s="85">
        <v>40149</v>
      </c>
      <c r="R521" s="112"/>
      <c r="S521" s="95" t="s">
        <v>11</v>
      </c>
      <c r="T521" s="74" t="s">
        <v>4</v>
      </c>
      <c r="U521" s="95" t="s">
        <v>14</v>
      </c>
      <c r="V521" s="95" t="s">
        <v>1914</v>
      </c>
      <c r="W521" s="95" t="s">
        <v>1917</v>
      </c>
      <c r="X521" s="95" t="s">
        <v>2843</v>
      </c>
      <c r="Y521" s="72" t="s">
        <v>4</v>
      </c>
      <c r="Z521" s="72" t="s">
        <v>4</v>
      </c>
      <c r="AA521" s="95" t="s">
        <v>2843</v>
      </c>
      <c r="AB521" s="132"/>
      <c r="AC521" s="132"/>
      <c r="AD521" s="132"/>
      <c r="AE521" s="63"/>
      <c r="AF521" s="63"/>
      <c r="AG521" s="63"/>
    </row>
    <row r="522" spans="1:33" ht="17.2" customHeight="1">
      <c r="A522" s="65" t="str">
        <f>IF(priority(Main[[#This Row],[Comments]])&lt;&gt;0, priority(Main[[#This Row],[Comments]]),"")</f>
        <v/>
      </c>
      <c r="B522" s="60" t="s">
        <v>1369</v>
      </c>
      <c r="C522" s="78" t="s">
        <v>31</v>
      </c>
      <c r="D522" s="137" t="s">
        <v>461</v>
      </c>
      <c r="E522" s="87"/>
      <c r="F522" s="87"/>
      <c r="G522" s="65" t="str">
        <f>IF(stdProdLT(Main[[#This Row],[Comments]])=0.1,"N/A",IF(stdProdLT(Main[[#This Row],[Comments]])=0,"",TRIM(stdProdLT(Main[[#This Row],[Comments]]))))</f>
        <v/>
      </c>
      <c r="H522" s="98" t="str">
        <f>IF(OR(Main[[#This Row],[Std. Prod. Lead Time]]="N/A",Main[[#This Row],[Std. Prod. Lead Time]]=""), "",IF(AND(Main[[#This Row],[In Stock Date]]&lt;&gt;"",Main[[#This Row],[Revised Due Date]]&lt;&gt;"",Main[[#This Row],[In Stock Date]]&lt;&gt;""),Main[[#This Row],[In Stock Date]]-Main[[#This Row],[Revised Due Date]],""))</f>
        <v/>
      </c>
      <c r="I522" s="103" t="s">
        <v>4</v>
      </c>
      <c r="J522" s="99" t="s">
        <v>4</v>
      </c>
      <c r="K522" s="99" t="s">
        <v>4</v>
      </c>
      <c r="L522" s="87"/>
      <c r="M522" s="79" t="str">
        <f>IF(Main[[#This Row],[Tech Start Date]]&lt;1/1/1990,"",IF(Main[[#This Row],[Class]]="C",WORKDAY(Main[[#This Row],[Tech Start Date]],9),IF(Main[[#This Row],[Class]]="B", WORKDAY(Main[[#This Row],[Tech Start Date]],6),IF(Main[[#This Row],[Class]]="A",WORKDAY(Main[[#This Row],[Tech Start Date]],2),""))))</f>
        <v/>
      </c>
      <c r="N522" s="79" t="str">
        <f>IF(Main[[#This Row],[Tech Start Date]]&lt;1/1/1990,"",IF(Main[[#This Row],[Class]]="C",WORKDAY(Main[[#This Row],[Tech Start Date]],19),IF(Main[[#This Row],[Class]]="B", WORKDAY(Main[[#This Row],[Tech Start Date]],12),IF(Main[[#This Row],[Class]]="A",WORKDAY(Main[[#This Row],[Tech Start Date]],4),""))))</f>
        <v/>
      </c>
      <c r="O522" s="79" t="str">
        <f>IF(Main[[#This Row],[Tech Start Date]]&lt;1/1/1990,"",IF(Main[[#This Row],[Class]]="C",WORKDAY(Main[[#This Row],[Tech Start Date]],23),IF(Main[[#This Row],[Class]]="B", WORKDAY(Main[[#This Row],[Tech Start Date]],15),IF(Main[[#This Row],[Class]]="A",WORKDAY(Main[[#This Row],[Tech Start Date]],5),""))))</f>
        <v/>
      </c>
      <c r="P522" s="79" t="str">
        <f>IF(Main[[#This Row],[Tech Start Date]]&lt;1/1/1990,"",IF(Main[[#This Row],[Class]]="C",WORKDAY(Main[[#This Row],[Tech Start Date]],28),IF(Main[[#This Row],[Class]]="B", WORKDAY(Main[[#This Row],[Tech Start Date]],19),IF(Main[[#This Row],[Class]]="A",WORKDAY(Main[[#This Row],[Tech Start Date]],9),""))))</f>
        <v/>
      </c>
      <c r="Q522" s="87">
        <v>40318</v>
      </c>
      <c r="R522" s="114"/>
      <c r="S522" s="99" t="s">
        <v>11</v>
      </c>
      <c r="T522" s="80" t="s">
        <v>4</v>
      </c>
      <c r="U522" s="99" t="s">
        <v>14</v>
      </c>
      <c r="V522" s="99" t="s">
        <v>1914</v>
      </c>
      <c r="W522" s="99" t="s">
        <v>1913</v>
      </c>
      <c r="X522" s="99" t="s">
        <v>2810</v>
      </c>
      <c r="Y522" s="78" t="s">
        <v>4</v>
      </c>
      <c r="Z522" s="78" t="s">
        <v>4</v>
      </c>
      <c r="AA522" s="99" t="s">
        <v>2810</v>
      </c>
      <c r="AB522" s="132"/>
      <c r="AC522" s="132"/>
      <c r="AD522" s="132"/>
      <c r="AE522" s="63"/>
      <c r="AF522" s="63"/>
      <c r="AG522" s="63"/>
    </row>
    <row r="523" spans="1:33" ht="17.2" customHeight="1">
      <c r="A523" s="64" t="str">
        <f>IF(priority(Main[[#This Row],[Comments]])&lt;&gt;0, priority(Main[[#This Row],[Comments]]),"")</f>
        <v/>
      </c>
      <c r="B523" s="60" t="s">
        <v>1370</v>
      </c>
      <c r="C523" s="72" t="s">
        <v>31</v>
      </c>
      <c r="D523" s="59" t="s">
        <v>462</v>
      </c>
      <c r="E523" s="85">
        <v>40494.184537037036</v>
      </c>
      <c r="F523" s="85">
        <v>40546</v>
      </c>
      <c r="G523" s="64" t="str">
        <f>IF(stdProdLT(Main[[#This Row],[Comments]])=0.1,"N/A",IF(stdProdLT(Main[[#This Row],[Comments]])=0,"",TRIM(stdProdLT(Main[[#This Row],[Comments]]))))</f>
        <v/>
      </c>
      <c r="H523" s="94" t="str">
        <f>IF(OR(Main[[#This Row],[Std. Prod. Lead Time]]="N/A",Main[[#This Row],[Std. Prod. Lead Time]]=""), "",IF(AND(Main[[#This Row],[In Stock Date]]&lt;&gt;"",Main[[#This Row],[Revised Due Date]]&lt;&gt;"",Main[[#This Row],[In Stock Date]]&lt;&gt;""),Main[[#This Row],[In Stock Date]]-Main[[#This Row],[Revised Due Date]],""))</f>
        <v/>
      </c>
      <c r="I523" s="101" t="s">
        <v>4</v>
      </c>
      <c r="J523" s="95" t="s">
        <v>4</v>
      </c>
      <c r="K523" s="95" t="s">
        <v>4</v>
      </c>
      <c r="L523" s="85"/>
      <c r="M523" s="73" t="str">
        <f>IF(Main[[#This Row],[Tech Start Date]]&lt;1/1/1990,"",IF(Main[[#This Row],[Class]]="C",WORKDAY(Main[[#This Row],[Tech Start Date]],9),IF(Main[[#This Row],[Class]]="B", WORKDAY(Main[[#This Row],[Tech Start Date]],6),IF(Main[[#This Row],[Class]]="A",WORKDAY(Main[[#This Row],[Tech Start Date]],2),""))))</f>
        <v/>
      </c>
      <c r="N523" s="73" t="str">
        <f>IF(Main[[#This Row],[Tech Start Date]]&lt;1/1/1990,"",IF(Main[[#This Row],[Class]]="C",WORKDAY(Main[[#This Row],[Tech Start Date]],19),IF(Main[[#This Row],[Class]]="B", WORKDAY(Main[[#This Row],[Tech Start Date]],12),IF(Main[[#This Row],[Class]]="A",WORKDAY(Main[[#This Row],[Tech Start Date]],4),""))))</f>
        <v/>
      </c>
      <c r="O523" s="73" t="str">
        <f>IF(Main[[#This Row],[Tech Start Date]]&lt;1/1/1990,"",IF(Main[[#This Row],[Class]]="C",WORKDAY(Main[[#This Row],[Tech Start Date]],23),IF(Main[[#This Row],[Class]]="B", WORKDAY(Main[[#This Row],[Tech Start Date]],15),IF(Main[[#This Row],[Class]]="A",WORKDAY(Main[[#This Row],[Tech Start Date]],5),""))))</f>
        <v/>
      </c>
      <c r="P523" s="73" t="str">
        <f>IF(Main[[#This Row],[Tech Start Date]]&lt;1/1/1990,"",IF(Main[[#This Row],[Class]]="C",WORKDAY(Main[[#This Row],[Tech Start Date]],28),IF(Main[[#This Row],[Class]]="B", WORKDAY(Main[[#This Row],[Tech Start Date]],19),IF(Main[[#This Row],[Class]]="A",WORKDAY(Main[[#This Row],[Tech Start Date]],9),""))))</f>
        <v/>
      </c>
      <c r="Q523" s="85">
        <v>40527</v>
      </c>
      <c r="R523" s="112"/>
      <c r="S523" s="95" t="s">
        <v>17</v>
      </c>
      <c r="T523" s="74" t="s">
        <v>4</v>
      </c>
      <c r="U523" s="95" t="s">
        <v>7</v>
      </c>
      <c r="V523" s="95" t="s">
        <v>1914</v>
      </c>
      <c r="W523" s="95" t="s">
        <v>4</v>
      </c>
      <c r="X523" s="95" t="s">
        <v>2836</v>
      </c>
      <c r="Y523" s="72" t="s">
        <v>2975</v>
      </c>
      <c r="Z523" s="72" t="s">
        <v>4</v>
      </c>
      <c r="AA523" s="95" t="s">
        <v>2836</v>
      </c>
      <c r="AB523" s="132"/>
      <c r="AC523" s="132"/>
      <c r="AD523" s="132"/>
      <c r="AE523" s="63"/>
      <c r="AF523" s="63"/>
      <c r="AG523" s="63"/>
    </row>
    <row r="524" spans="1:33" ht="17.2" customHeight="1">
      <c r="A524" s="64" t="str">
        <f>IF(priority(Main[[#This Row],[Comments]])&lt;&gt;0, priority(Main[[#This Row],[Comments]]),"")</f>
        <v/>
      </c>
      <c r="B524" s="60" t="s">
        <v>1371</v>
      </c>
      <c r="C524" s="72" t="s">
        <v>4</v>
      </c>
      <c r="D524" s="59" t="s">
        <v>463</v>
      </c>
      <c r="E524" s="85"/>
      <c r="F524" s="85">
        <v>40374</v>
      </c>
      <c r="G524" s="64" t="str">
        <f>IF(stdProdLT(Main[[#This Row],[Comments]])=0.1,"N/A",IF(stdProdLT(Main[[#This Row],[Comments]])=0,"",TRIM(stdProdLT(Main[[#This Row],[Comments]]))))</f>
        <v/>
      </c>
      <c r="H524" s="94" t="str">
        <f>IF(OR(Main[[#This Row],[Std. Prod. Lead Time]]="N/A",Main[[#This Row],[Std. Prod. Lead Time]]=""), "",IF(AND(Main[[#This Row],[In Stock Date]]&lt;&gt;"",Main[[#This Row],[Revised Due Date]]&lt;&gt;"",Main[[#This Row],[In Stock Date]]&lt;&gt;""),Main[[#This Row],[In Stock Date]]-Main[[#This Row],[Revised Due Date]],""))</f>
        <v/>
      </c>
      <c r="I524" s="101" t="s">
        <v>4</v>
      </c>
      <c r="J524" s="95" t="s">
        <v>4</v>
      </c>
      <c r="K524" s="95" t="s">
        <v>4</v>
      </c>
      <c r="L524" s="85"/>
      <c r="M524" s="73" t="str">
        <f>IF(Main[[#This Row],[Tech Start Date]]&lt;1/1/1990,"",IF(Main[[#This Row],[Class]]="C",WORKDAY(Main[[#This Row],[Tech Start Date]],9),IF(Main[[#This Row],[Class]]="B", WORKDAY(Main[[#This Row],[Tech Start Date]],6),IF(Main[[#This Row],[Class]]="A",WORKDAY(Main[[#This Row],[Tech Start Date]],2),""))))</f>
        <v/>
      </c>
      <c r="N524" s="73" t="str">
        <f>IF(Main[[#This Row],[Tech Start Date]]&lt;1/1/1990,"",IF(Main[[#This Row],[Class]]="C",WORKDAY(Main[[#This Row],[Tech Start Date]],19),IF(Main[[#This Row],[Class]]="B", WORKDAY(Main[[#This Row],[Tech Start Date]],12),IF(Main[[#This Row],[Class]]="A",WORKDAY(Main[[#This Row],[Tech Start Date]],4),""))))</f>
        <v/>
      </c>
      <c r="O524" s="73" t="str">
        <f>IF(Main[[#This Row],[Tech Start Date]]&lt;1/1/1990,"",IF(Main[[#This Row],[Class]]="C",WORKDAY(Main[[#This Row],[Tech Start Date]],23),IF(Main[[#This Row],[Class]]="B", WORKDAY(Main[[#This Row],[Tech Start Date]],15),IF(Main[[#This Row],[Class]]="A",WORKDAY(Main[[#This Row],[Tech Start Date]],5),""))))</f>
        <v/>
      </c>
      <c r="P524" s="73" t="str">
        <f>IF(Main[[#This Row],[Tech Start Date]]&lt;1/1/1990,"",IF(Main[[#This Row],[Class]]="C",WORKDAY(Main[[#This Row],[Tech Start Date]],28),IF(Main[[#This Row],[Class]]="B", WORKDAY(Main[[#This Row],[Tech Start Date]],19),IF(Main[[#This Row],[Class]]="A",WORKDAY(Main[[#This Row],[Tech Start Date]],9),""))))</f>
        <v/>
      </c>
      <c r="Q524" s="85">
        <v>40297</v>
      </c>
      <c r="R524" s="112"/>
      <c r="S524" s="95" t="s">
        <v>11</v>
      </c>
      <c r="T524" s="74" t="s">
        <v>4</v>
      </c>
      <c r="U524" s="95" t="s">
        <v>12</v>
      </c>
      <c r="V524" s="95" t="s">
        <v>1911</v>
      </c>
      <c r="W524" s="95" t="s">
        <v>1919</v>
      </c>
      <c r="X524" s="95" t="s">
        <v>2804</v>
      </c>
      <c r="Y524" s="72" t="s">
        <v>2921</v>
      </c>
      <c r="Z524" s="72" t="s">
        <v>4</v>
      </c>
      <c r="AA524" s="95" t="s">
        <v>2804</v>
      </c>
      <c r="AB524" s="132"/>
      <c r="AC524" s="132"/>
      <c r="AD524" s="132"/>
      <c r="AE524" s="63"/>
      <c r="AF524" s="63"/>
      <c r="AG524" s="63"/>
    </row>
    <row r="525" spans="1:33" ht="17.2" customHeight="1">
      <c r="A525" s="64" t="str">
        <f>IF(priority(Main[[#This Row],[Comments]])&lt;&gt;0, priority(Main[[#This Row],[Comments]]),"")</f>
        <v/>
      </c>
      <c r="B525" s="60" t="s">
        <v>1372</v>
      </c>
      <c r="C525" s="72" t="s">
        <v>31</v>
      </c>
      <c r="D525" s="59" t="s">
        <v>464</v>
      </c>
      <c r="E525" s="85"/>
      <c r="F525" s="85">
        <v>40568</v>
      </c>
      <c r="G525" s="64" t="str">
        <f>IF(stdProdLT(Main[[#This Row],[Comments]])=0.1,"N/A",IF(stdProdLT(Main[[#This Row],[Comments]])=0,"",TRIM(stdProdLT(Main[[#This Row],[Comments]]))))</f>
        <v/>
      </c>
      <c r="H525" s="94" t="str">
        <f>IF(OR(Main[[#This Row],[Std. Prod. Lead Time]]="N/A",Main[[#This Row],[Std. Prod. Lead Time]]=""), "",IF(AND(Main[[#This Row],[In Stock Date]]&lt;&gt;"",Main[[#This Row],[Revised Due Date]]&lt;&gt;"",Main[[#This Row],[In Stock Date]]&lt;&gt;""),Main[[#This Row],[In Stock Date]]-Main[[#This Row],[Revised Due Date]],""))</f>
        <v/>
      </c>
      <c r="I525" s="101" t="s">
        <v>4</v>
      </c>
      <c r="J525" s="95" t="s">
        <v>51</v>
      </c>
      <c r="K525" s="95" t="s">
        <v>4</v>
      </c>
      <c r="L525" s="85"/>
      <c r="M525" s="73" t="str">
        <f>IF(Main[[#This Row],[Tech Start Date]]&lt;1/1/1990,"",IF(Main[[#This Row],[Class]]="C",WORKDAY(Main[[#This Row],[Tech Start Date]],9),IF(Main[[#This Row],[Class]]="B", WORKDAY(Main[[#This Row],[Tech Start Date]],6),IF(Main[[#This Row],[Class]]="A",WORKDAY(Main[[#This Row],[Tech Start Date]],2),""))))</f>
        <v/>
      </c>
      <c r="N525" s="73" t="str">
        <f>IF(Main[[#This Row],[Tech Start Date]]&lt;1/1/1990,"",IF(Main[[#This Row],[Class]]="C",WORKDAY(Main[[#This Row],[Tech Start Date]],19),IF(Main[[#This Row],[Class]]="B", WORKDAY(Main[[#This Row],[Tech Start Date]],12),IF(Main[[#This Row],[Class]]="A",WORKDAY(Main[[#This Row],[Tech Start Date]],4),""))))</f>
        <v/>
      </c>
      <c r="O525" s="73" t="str">
        <f>IF(Main[[#This Row],[Tech Start Date]]&lt;1/1/1990,"",IF(Main[[#This Row],[Class]]="C",WORKDAY(Main[[#This Row],[Tech Start Date]],23),IF(Main[[#This Row],[Class]]="B", WORKDAY(Main[[#This Row],[Tech Start Date]],15),IF(Main[[#This Row],[Class]]="A",WORKDAY(Main[[#This Row],[Tech Start Date]],5),""))))</f>
        <v/>
      </c>
      <c r="P525" s="73" t="str">
        <f>IF(Main[[#This Row],[Tech Start Date]]&lt;1/1/1990,"",IF(Main[[#This Row],[Class]]="C",WORKDAY(Main[[#This Row],[Tech Start Date]],28),IF(Main[[#This Row],[Class]]="B", WORKDAY(Main[[#This Row],[Tech Start Date]],19),IF(Main[[#This Row],[Class]]="A",WORKDAY(Main[[#This Row],[Tech Start Date]],9),""))))</f>
        <v/>
      </c>
      <c r="Q525" s="85">
        <v>40396</v>
      </c>
      <c r="R525" s="112"/>
      <c r="S525" s="95" t="s">
        <v>11</v>
      </c>
      <c r="T525" s="74" t="s">
        <v>4</v>
      </c>
      <c r="U525" s="95" t="s">
        <v>14</v>
      </c>
      <c r="V525" s="95" t="s">
        <v>1921</v>
      </c>
      <c r="W525" s="95" t="s">
        <v>1917</v>
      </c>
      <c r="X525" s="95" t="s">
        <v>2864</v>
      </c>
      <c r="Y525" s="72" t="s">
        <v>3015</v>
      </c>
      <c r="Z525" s="72" t="s">
        <v>883</v>
      </c>
      <c r="AA525" s="95" t="s">
        <v>2864</v>
      </c>
      <c r="AB525" s="132"/>
      <c r="AC525" s="132"/>
      <c r="AD525" s="132"/>
      <c r="AE525" s="63"/>
      <c r="AF525" s="63"/>
      <c r="AG525" s="63"/>
    </row>
    <row r="526" spans="1:33" ht="17.2" customHeight="1">
      <c r="A526" s="64" t="str">
        <f>IF(priority(Main[[#This Row],[Comments]])&lt;&gt;0, priority(Main[[#This Row],[Comments]]),"")</f>
        <v/>
      </c>
      <c r="B526" s="60" t="s">
        <v>1373</v>
      </c>
      <c r="C526" s="72" t="s">
        <v>465</v>
      </c>
      <c r="D526" s="59" t="s">
        <v>466</v>
      </c>
      <c r="E526" s="85"/>
      <c r="F526" s="85">
        <v>40179</v>
      </c>
      <c r="G526" s="64" t="str">
        <f>IF(stdProdLT(Main[[#This Row],[Comments]])=0.1,"N/A",IF(stdProdLT(Main[[#This Row],[Comments]])=0,"",TRIM(stdProdLT(Main[[#This Row],[Comments]]))))</f>
        <v/>
      </c>
      <c r="H526" s="94" t="str">
        <f>IF(OR(Main[[#This Row],[Std. Prod. Lead Time]]="N/A",Main[[#This Row],[Std. Prod. Lead Time]]=""), "",IF(AND(Main[[#This Row],[In Stock Date]]&lt;&gt;"",Main[[#This Row],[Revised Due Date]]&lt;&gt;"",Main[[#This Row],[In Stock Date]]&lt;&gt;""),Main[[#This Row],[In Stock Date]]-Main[[#This Row],[Revised Due Date]],""))</f>
        <v/>
      </c>
      <c r="I526" s="101" t="s">
        <v>4</v>
      </c>
      <c r="J526" s="95" t="s">
        <v>4</v>
      </c>
      <c r="K526" s="95" t="s">
        <v>4</v>
      </c>
      <c r="L526" s="85"/>
      <c r="M526" s="73" t="str">
        <f>IF(Main[[#This Row],[Tech Start Date]]&lt;1/1/1990,"",IF(Main[[#This Row],[Class]]="C",WORKDAY(Main[[#This Row],[Tech Start Date]],9),IF(Main[[#This Row],[Class]]="B", WORKDAY(Main[[#This Row],[Tech Start Date]],6),IF(Main[[#This Row],[Class]]="A",WORKDAY(Main[[#This Row],[Tech Start Date]],2),""))))</f>
        <v/>
      </c>
      <c r="N526" s="73" t="str">
        <f>IF(Main[[#This Row],[Tech Start Date]]&lt;1/1/1990,"",IF(Main[[#This Row],[Class]]="C",WORKDAY(Main[[#This Row],[Tech Start Date]],19),IF(Main[[#This Row],[Class]]="B", WORKDAY(Main[[#This Row],[Tech Start Date]],12),IF(Main[[#This Row],[Class]]="A",WORKDAY(Main[[#This Row],[Tech Start Date]],4),""))))</f>
        <v/>
      </c>
      <c r="O526" s="73" t="str">
        <f>IF(Main[[#This Row],[Tech Start Date]]&lt;1/1/1990,"",IF(Main[[#This Row],[Class]]="C",WORKDAY(Main[[#This Row],[Tech Start Date]],23),IF(Main[[#This Row],[Class]]="B", WORKDAY(Main[[#This Row],[Tech Start Date]],15),IF(Main[[#This Row],[Class]]="A",WORKDAY(Main[[#This Row],[Tech Start Date]],5),""))))</f>
        <v/>
      </c>
      <c r="P526" s="73" t="str">
        <f>IF(Main[[#This Row],[Tech Start Date]]&lt;1/1/1990,"",IF(Main[[#This Row],[Class]]="C",WORKDAY(Main[[#This Row],[Tech Start Date]],28),IF(Main[[#This Row],[Class]]="B", WORKDAY(Main[[#This Row],[Tech Start Date]],19),IF(Main[[#This Row],[Class]]="A",WORKDAY(Main[[#This Row],[Tech Start Date]],9),""))))</f>
        <v/>
      </c>
      <c r="Q526" s="85">
        <v>40154</v>
      </c>
      <c r="R526" s="112"/>
      <c r="S526" s="95" t="s">
        <v>11</v>
      </c>
      <c r="T526" s="74" t="s">
        <v>4</v>
      </c>
      <c r="U526" s="95" t="s">
        <v>14</v>
      </c>
      <c r="V526" s="95" t="s">
        <v>1914</v>
      </c>
      <c r="W526" s="95" t="s">
        <v>1917</v>
      </c>
      <c r="X526" s="95" t="s">
        <v>2843</v>
      </c>
      <c r="Y526" s="72" t="s">
        <v>4</v>
      </c>
      <c r="Z526" s="72" t="s">
        <v>4</v>
      </c>
      <c r="AA526" s="95" t="s">
        <v>2843</v>
      </c>
      <c r="AB526" s="132"/>
      <c r="AC526" s="132"/>
      <c r="AD526" s="132"/>
      <c r="AE526" s="63"/>
      <c r="AF526" s="63"/>
      <c r="AG526" s="63"/>
    </row>
    <row r="527" spans="1:33" ht="17.2" customHeight="1">
      <c r="A527" s="64" t="str">
        <f>IF(priority(Main[[#This Row],[Comments]])&lt;&gt;0, priority(Main[[#This Row],[Comments]]),"")</f>
        <v/>
      </c>
      <c r="B527" s="60" t="s">
        <v>1374</v>
      </c>
      <c r="C527" s="72" t="s">
        <v>4</v>
      </c>
      <c r="D527" s="59" t="s">
        <v>467</v>
      </c>
      <c r="E527" s="85">
        <v>40701.70579861111</v>
      </c>
      <c r="F527" s="85"/>
      <c r="G527" s="64" t="str">
        <f>IF(stdProdLT(Main[[#This Row],[Comments]])=0.1,"N/A",IF(stdProdLT(Main[[#This Row],[Comments]])=0,"",TRIM(stdProdLT(Main[[#This Row],[Comments]]))))</f>
        <v/>
      </c>
      <c r="H527" s="94" t="str">
        <f>IF(OR(Main[[#This Row],[Std. Prod. Lead Time]]="N/A",Main[[#This Row],[Std. Prod. Lead Time]]=""), "",IF(AND(Main[[#This Row],[In Stock Date]]&lt;&gt;"",Main[[#This Row],[Revised Due Date]]&lt;&gt;"",Main[[#This Row],[In Stock Date]]&lt;&gt;""),Main[[#This Row],[In Stock Date]]-Main[[#This Row],[Revised Due Date]],""))</f>
        <v/>
      </c>
      <c r="I527" s="101" t="s">
        <v>4</v>
      </c>
      <c r="J527" s="95" t="s">
        <v>4</v>
      </c>
      <c r="K527" s="95" t="s">
        <v>4</v>
      </c>
      <c r="L527" s="85"/>
      <c r="M527" s="73" t="str">
        <f>IF(Main[[#This Row],[Tech Start Date]]&lt;1/1/1990,"",IF(Main[[#This Row],[Class]]="C",WORKDAY(Main[[#This Row],[Tech Start Date]],9),IF(Main[[#This Row],[Class]]="B", WORKDAY(Main[[#This Row],[Tech Start Date]],6),IF(Main[[#This Row],[Class]]="A",WORKDAY(Main[[#This Row],[Tech Start Date]],2),""))))</f>
        <v/>
      </c>
      <c r="N527" s="73" t="str">
        <f>IF(Main[[#This Row],[Tech Start Date]]&lt;1/1/1990,"",IF(Main[[#This Row],[Class]]="C",WORKDAY(Main[[#This Row],[Tech Start Date]],19),IF(Main[[#This Row],[Class]]="B", WORKDAY(Main[[#This Row],[Tech Start Date]],12),IF(Main[[#This Row],[Class]]="A",WORKDAY(Main[[#This Row],[Tech Start Date]],4),""))))</f>
        <v/>
      </c>
      <c r="O527" s="73" t="str">
        <f>IF(Main[[#This Row],[Tech Start Date]]&lt;1/1/1990,"",IF(Main[[#This Row],[Class]]="C",WORKDAY(Main[[#This Row],[Tech Start Date]],23),IF(Main[[#This Row],[Class]]="B", WORKDAY(Main[[#This Row],[Tech Start Date]],15),IF(Main[[#This Row],[Class]]="A",WORKDAY(Main[[#This Row],[Tech Start Date]],5),""))))</f>
        <v/>
      </c>
      <c r="P527" s="73" t="str">
        <f>IF(Main[[#This Row],[Tech Start Date]]&lt;1/1/1990,"",IF(Main[[#This Row],[Class]]="C",WORKDAY(Main[[#This Row],[Tech Start Date]],28),IF(Main[[#This Row],[Class]]="B", WORKDAY(Main[[#This Row],[Tech Start Date]],19),IF(Main[[#This Row],[Class]]="A",WORKDAY(Main[[#This Row],[Tech Start Date]],9),""))))</f>
        <v/>
      </c>
      <c r="Q527" s="85">
        <v>40732</v>
      </c>
      <c r="R527" s="112"/>
      <c r="S527" s="95" t="s">
        <v>6</v>
      </c>
      <c r="T527" s="74" t="s">
        <v>4</v>
      </c>
      <c r="U527" s="95" t="s">
        <v>7</v>
      </c>
      <c r="V527" s="95" t="s">
        <v>1911</v>
      </c>
      <c r="W527" s="95" t="s">
        <v>4</v>
      </c>
      <c r="X527" s="95" t="s">
        <v>2799</v>
      </c>
      <c r="Y527" s="72" t="s">
        <v>2910</v>
      </c>
      <c r="Z527" s="72" t="s">
        <v>4</v>
      </c>
      <c r="AA527" s="95" t="s">
        <v>2799</v>
      </c>
      <c r="AB527" s="132"/>
      <c r="AC527" s="132"/>
      <c r="AD527" s="132"/>
      <c r="AE527" s="63"/>
      <c r="AF527" s="63"/>
      <c r="AG527" s="63"/>
    </row>
    <row r="528" spans="1:33" ht="17.2" customHeight="1">
      <c r="A528" s="64" t="str">
        <f>IF(priority(Main[[#This Row],[Comments]])&lt;&gt;0, priority(Main[[#This Row],[Comments]]),"")</f>
        <v/>
      </c>
      <c r="B528" s="60" t="s">
        <v>1778</v>
      </c>
      <c r="C528" s="72" t="s">
        <v>4</v>
      </c>
      <c r="D528" s="59" t="s">
        <v>848</v>
      </c>
      <c r="E528" s="85">
        <v>40611.493495370371</v>
      </c>
      <c r="F528" s="85"/>
      <c r="G528" s="64" t="str">
        <f>IF(stdProdLT(Main[[#This Row],[Comments]])=0.1,"N/A",IF(stdProdLT(Main[[#This Row],[Comments]])=0,"",TRIM(stdProdLT(Main[[#This Row],[Comments]]))))</f>
        <v/>
      </c>
      <c r="H528" s="94" t="str">
        <f>IF(OR(Main[[#This Row],[Std. Prod. Lead Time]]="N/A",Main[[#This Row],[Std. Prod. Lead Time]]=""), "",IF(AND(Main[[#This Row],[In Stock Date]]&lt;&gt;"",Main[[#This Row],[Revised Due Date]]&lt;&gt;"",Main[[#This Row],[In Stock Date]]&lt;&gt;""),Main[[#This Row],[In Stock Date]]-Main[[#This Row],[Revised Due Date]],""))</f>
        <v/>
      </c>
      <c r="I528" s="101" t="s">
        <v>4</v>
      </c>
      <c r="J528" s="95" t="s">
        <v>4</v>
      </c>
      <c r="K528" s="95" t="s">
        <v>4</v>
      </c>
      <c r="L528" s="85"/>
      <c r="M528" s="73" t="str">
        <f>IF(Main[[#This Row],[Tech Start Date]]&lt;1/1/1990,"",IF(Main[[#This Row],[Class]]="C",WORKDAY(Main[[#This Row],[Tech Start Date]],9),IF(Main[[#This Row],[Class]]="B", WORKDAY(Main[[#This Row],[Tech Start Date]],6),IF(Main[[#This Row],[Class]]="A",WORKDAY(Main[[#This Row],[Tech Start Date]],2),""))))</f>
        <v/>
      </c>
      <c r="N528" s="73" t="str">
        <f>IF(Main[[#This Row],[Tech Start Date]]&lt;1/1/1990,"",IF(Main[[#This Row],[Class]]="C",WORKDAY(Main[[#This Row],[Tech Start Date]],19),IF(Main[[#This Row],[Class]]="B", WORKDAY(Main[[#This Row],[Tech Start Date]],12),IF(Main[[#This Row],[Class]]="A",WORKDAY(Main[[#This Row],[Tech Start Date]],4),""))))</f>
        <v/>
      </c>
      <c r="O528" s="73" t="str">
        <f>IF(Main[[#This Row],[Tech Start Date]]&lt;1/1/1990,"",IF(Main[[#This Row],[Class]]="C",WORKDAY(Main[[#This Row],[Tech Start Date]],23),IF(Main[[#This Row],[Class]]="B", WORKDAY(Main[[#This Row],[Tech Start Date]],15),IF(Main[[#This Row],[Class]]="A",WORKDAY(Main[[#This Row],[Tech Start Date]],5),""))))</f>
        <v/>
      </c>
      <c r="P528" s="73" t="str">
        <f>IF(Main[[#This Row],[Tech Start Date]]&lt;1/1/1990,"",IF(Main[[#This Row],[Class]]="C",WORKDAY(Main[[#This Row],[Tech Start Date]],28),IF(Main[[#This Row],[Class]]="B", WORKDAY(Main[[#This Row],[Tech Start Date]],19),IF(Main[[#This Row],[Class]]="A",WORKDAY(Main[[#This Row],[Tech Start Date]],9),""))))</f>
        <v/>
      </c>
      <c r="Q528" s="85">
        <v>40725</v>
      </c>
      <c r="R528" s="112"/>
      <c r="S528" s="95" t="s">
        <v>17</v>
      </c>
      <c r="T528" s="74" t="s">
        <v>4</v>
      </c>
      <c r="U528" s="95" t="s">
        <v>7</v>
      </c>
      <c r="V528" s="95" t="s">
        <v>1914</v>
      </c>
      <c r="W528" s="95" t="s">
        <v>1916</v>
      </c>
      <c r="X528" s="95" t="s">
        <v>553</v>
      </c>
      <c r="Y528" s="72" t="s">
        <v>2930</v>
      </c>
      <c r="Z528" s="72" t="s">
        <v>4</v>
      </c>
      <c r="AA528" s="95" t="s">
        <v>553</v>
      </c>
      <c r="AB528" s="132"/>
      <c r="AC528" s="132"/>
      <c r="AD528" s="132"/>
      <c r="AE528" s="63"/>
      <c r="AF528" s="63"/>
      <c r="AG528" s="63"/>
    </row>
    <row r="529" spans="1:33" ht="17.2" customHeight="1">
      <c r="A529" s="64" t="str">
        <f>IF(priority(Main[[#This Row],[Comments]])&lt;&gt;0, priority(Main[[#This Row],[Comments]]),"")</f>
        <v/>
      </c>
      <c r="B529" s="60" t="s">
        <v>1775</v>
      </c>
      <c r="C529" s="72" t="s">
        <v>4</v>
      </c>
      <c r="D529" s="59" t="s">
        <v>845</v>
      </c>
      <c r="E529" s="85"/>
      <c r="F529" s="85"/>
      <c r="G529" s="64" t="str">
        <f>IF(stdProdLT(Main[[#This Row],[Comments]])=0.1,"N/A",IF(stdProdLT(Main[[#This Row],[Comments]])=0,"",TRIM(stdProdLT(Main[[#This Row],[Comments]]))))</f>
        <v/>
      </c>
      <c r="H529" s="94" t="str">
        <f>IF(OR(Main[[#This Row],[Std. Prod. Lead Time]]="N/A",Main[[#This Row],[Std. Prod. Lead Time]]=""), "",IF(AND(Main[[#This Row],[In Stock Date]]&lt;&gt;"",Main[[#This Row],[Revised Due Date]]&lt;&gt;"",Main[[#This Row],[In Stock Date]]&lt;&gt;""),Main[[#This Row],[In Stock Date]]-Main[[#This Row],[Revised Due Date]],""))</f>
        <v/>
      </c>
      <c r="I529" s="101" t="s">
        <v>2038</v>
      </c>
      <c r="J529" s="95" t="s">
        <v>28</v>
      </c>
      <c r="K529" s="95" t="s">
        <v>1920</v>
      </c>
      <c r="L529" s="85"/>
      <c r="M529" s="73" t="str">
        <f>IF(Main[[#This Row],[Tech Start Date]]&lt;1/1/1990,"",IF(Main[[#This Row],[Class]]="C",WORKDAY(Main[[#This Row],[Tech Start Date]],9),IF(Main[[#This Row],[Class]]="B", WORKDAY(Main[[#This Row],[Tech Start Date]],6),IF(Main[[#This Row],[Class]]="A",WORKDAY(Main[[#This Row],[Tech Start Date]],2),""))))</f>
        <v/>
      </c>
      <c r="N529" s="73" t="str">
        <f>IF(Main[[#This Row],[Tech Start Date]]&lt;1/1/1990,"",IF(Main[[#This Row],[Class]]="C",WORKDAY(Main[[#This Row],[Tech Start Date]],19),IF(Main[[#This Row],[Class]]="B", WORKDAY(Main[[#This Row],[Tech Start Date]],12),IF(Main[[#This Row],[Class]]="A",WORKDAY(Main[[#This Row],[Tech Start Date]],4),""))))</f>
        <v/>
      </c>
      <c r="O529" s="73" t="str">
        <f>IF(Main[[#This Row],[Tech Start Date]]&lt;1/1/1990,"",IF(Main[[#This Row],[Class]]="C",WORKDAY(Main[[#This Row],[Tech Start Date]],23),IF(Main[[#This Row],[Class]]="B", WORKDAY(Main[[#This Row],[Tech Start Date]],15),IF(Main[[#This Row],[Class]]="A",WORKDAY(Main[[#This Row],[Tech Start Date]],5),""))))</f>
        <v/>
      </c>
      <c r="P529" s="73" t="str">
        <f>IF(Main[[#This Row],[Tech Start Date]]&lt;1/1/1990,"",IF(Main[[#This Row],[Class]]="C",WORKDAY(Main[[#This Row],[Tech Start Date]],28),IF(Main[[#This Row],[Class]]="B", WORKDAY(Main[[#This Row],[Tech Start Date]],19),IF(Main[[#This Row],[Class]]="A",WORKDAY(Main[[#This Row],[Tech Start Date]],9),""))))</f>
        <v/>
      </c>
      <c r="Q529" s="85">
        <v>40694</v>
      </c>
      <c r="R529" s="112"/>
      <c r="S529" s="95" t="s">
        <v>6</v>
      </c>
      <c r="T529" s="74" t="s">
        <v>4</v>
      </c>
      <c r="U529" s="95" t="s">
        <v>14</v>
      </c>
      <c r="V529" s="95" t="s">
        <v>1914</v>
      </c>
      <c r="W529" s="95" t="s">
        <v>1915</v>
      </c>
      <c r="X529" s="95" t="s">
        <v>2799</v>
      </c>
      <c r="Y529" s="72" t="s">
        <v>2910</v>
      </c>
      <c r="Z529" s="72" t="s">
        <v>30</v>
      </c>
      <c r="AA529" s="95" t="s">
        <v>2799</v>
      </c>
      <c r="AB529" s="132"/>
      <c r="AC529" s="132"/>
      <c r="AD529" s="132"/>
      <c r="AE529" s="63"/>
      <c r="AF529" s="63"/>
      <c r="AG529" s="63"/>
    </row>
    <row r="530" spans="1:33" ht="17.2" customHeight="1">
      <c r="A530" s="64" t="str">
        <f>IF(priority(Main[[#This Row],[Comments]])&lt;&gt;0, priority(Main[[#This Row],[Comments]]),"")</f>
        <v/>
      </c>
      <c r="B530" s="60" t="s">
        <v>1375</v>
      </c>
      <c r="C530" s="72" t="s">
        <v>99</v>
      </c>
      <c r="D530" s="59" t="s">
        <v>100</v>
      </c>
      <c r="E530" s="85"/>
      <c r="F530" s="85"/>
      <c r="G530" s="64" t="str">
        <f>IF(stdProdLT(Main[[#This Row],[Comments]])=0.1,"N/A",IF(stdProdLT(Main[[#This Row],[Comments]])=0,"",TRIM(stdProdLT(Main[[#This Row],[Comments]]))))</f>
        <v/>
      </c>
      <c r="H530" s="94" t="str">
        <f>IF(OR(Main[[#This Row],[Std. Prod. Lead Time]]="N/A",Main[[#This Row],[Std. Prod. Lead Time]]=""), "",IF(AND(Main[[#This Row],[In Stock Date]]&lt;&gt;"",Main[[#This Row],[Revised Due Date]]&lt;&gt;"",Main[[#This Row],[In Stock Date]]&lt;&gt;""),Main[[#This Row],[In Stock Date]]-Main[[#This Row],[Revised Due Date]],""))</f>
        <v/>
      </c>
      <c r="I530" s="101" t="s">
        <v>4</v>
      </c>
      <c r="J530" s="95" t="s">
        <v>4</v>
      </c>
      <c r="K530" s="95" t="s">
        <v>4</v>
      </c>
      <c r="L530" s="85"/>
      <c r="M530" s="73" t="str">
        <f>IF(Main[[#This Row],[Tech Start Date]]&lt;1/1/1990,"",IF(Main[[#This Row],[Class]]="C",WORKDAY(Main[[#This Row],[Tech Start Date]],9),IF(Main[[#This Row],[Class]]="B", WORKDAY(Main[[#This Row],[Tech Start Date]],6),IF(Main[[#This Row],[Class]]="A",WORKDAY(Main[[#This Row],[Tech Start Date]],2),""))))</f>
        <v/>
      </c>
      <c r="N530" s="73" t="str">
        <f>IF(Main[[#This Row],[Tech Start Date]]&lt;1/1/1990,"",IF(Main[[#This Row],[Class]]="C",WORKDAY(Main[[#This Row],[Tech Start Date]],19),IF(Main[[#This Row],[Class]]="B", WORKDAY(Main[[#This Row],[Tech Start Date]],12),IF(Main[[#This Row],[Class]]="A",WORKDAY(Main[[#This Row],[Tech Start Date]],4),""))))</f>
        <v/>
      </c>
      <c r="O530" s="73" t="str">
        <f>IF(Main[[#This Row],[Tech Start Date]]&lt;1/1/1990,"",IF(Main[[#This Row],[Class]]="C",WORKDAY(Main[[#This Row],[Tech Start Date]],23),IF(Main[[#This Row],[Class]]="B", WORKDAY(Main[[#This Row],[Tech Start Date]],15),IF(Main[[#This Row],[Class]]="A",WORKDAY(Main[[#This Row],[Tech Start Date]],5),""))))</f>
        <v/>
      </c>
      <c r="P530" s="73" t="str">
        <f>IF(Main[[#This Row],[Tech Start Date]]&lt;1/1/1990,"",IF(Main[[#This Row],[Class]]="C",WORKDAY(Main[[#This Row],[Tech Start Date]],28),IF(Main[[#This Row],[Class]]="B", WORKDAY(Main[[#This Row],[Tech Start Date]],19),IF(Main[[#This Row],[Class]]="A",WORKDAY(Main[[#This Row],[Tech Start Date]],9),""))))</f>
        <v/>
      </c>
      <c r="Q530" s="85"/>
      <c r="R530" s="112"/>
      <c r="S530" s="95" t="s">
        <v>11</v>
      </c>
      <c r="T530" s="74" t="s">
        <v>4</v>
      </c>
      <c r="U530" s="95" t="s">
        <v>14</v>
      </c>
      <c r="V530" s="95" t="s">
        <v>1912</v>
      </c>
      <c r="W530" s="95" t="s">
        <v>1913</v>
      </c>
      <c r="X530" s="95" t="s">
        <v>2814</v>
      </c>
      <c r="Y530" s="72" t="s">
        <v>2938</v>
      </c>
      <c r="Z530" s="72" t="s">
        <v>4</v>
      </c>
      <c r="AA530" s="95" t="s">
        <v>3345</v>
      </c>
      <c r="AB530" s="132"/>
      <c r="AC530" s="132"/>
      <c r="AD530" s="132"/>
      <c r="AE530" s="63"/>
      <c r="AF530" s="63"/>
      <c r="AG530" s="63"/>
    </row>
    <row r="531" spans="1:33" ht="17.2" customHeight="1">
      <c r="A531" s="64" t="str">
        <f>IF(priority(Main[[#This Row],[Comments]])&lt;&gt;0, priority(Main[[#This Row],[Comments]]),"")</f>
        <v/>
      </c>
      <c r="B531" s="60" t="s">
        <v>1376</v>
      </c>
      <c r="C531" s="72" t="s">
        <v>4</v>
      </c>
      <c r="D531" s="59" t="s">
        <v>295</v>
      </c>
      <c r="E531" s="85"/>
      <c r="F531" s="85"/>
      <c r="G531" s="64" t="str">
        <f>IF(stdProdLT(Main[[#This Row],[Comments]])=0.1,"N/A",IF(stdProdLT(Main[[#This Row],[Comments]])=0,"",TRIM(stdProdLT(Main[[#This Row],[Comments]]))))</f>
        <v/>
      </c>
      <c r="H531" s="94" t="str">
        <f>IF(OR(Main[[#This Row],[Std. Prod. Lead Time]]="N/A",Main[[#This Row],[Std. Prod. Lead Time]]=""), "",IF(AND(Main[[#This Row],[In Stock Date]]&lt;&gt;"",Main[[#This Row],[Revised Due Date]]&lt;&gt;"",Main[[#This Row],[In Stock Date]]&lt;&gt;""),Main[[#This Row],[In Stock Date]]-Main[[#This Row],[Revised Due Date]],""))</f>
        <v/>
      </c>
      <c r="I531" s="101" t="s">
        <v>4</v>
      </c>
      <c r="J531" s="95" t="s">
        <v>4</v>
      </c>
      <c r="K531" s="95" t="s">
        <v>4</v>
      </c>
      <c r="L531" s="85"/>
      <c r="M531" s="73" t="str">
        <f>IF(Main[[#This Row],[Tech Start Date]]&lt;1/1/1990,"",IF(Main[[#This Row],[Class]]="C",WORKDAY(Main[[#This Row],[Tech Start Date]],9),IF(Main[[#This Row],[Class]]="B", WORKDAY(Main[[#This Row],[Tech Start Date]],6),IF(Main[[#This Row],[Class]]="A",WORKDAY(Main[[#This Row],[Tech Start Date]],2),""))))</f>
        <v/>
      </c>
      <c r="N531" s="73" t="str">
        <f>IF(Main[[#This Row],[Tech Start Date]]&lt;1/1/1990,"",IF(Main[[#This Row],[Class]]="C",WORKDAY(Main[[#This Row],[Tech Start Date]],19),IF(Main[[#This Row],[Class]]="B", WORKDAY(Main[[#This Row],[Tech Start Date]],12),IF(Main[[#This Row],[Class]]="A",WORKDAY(Main[[#This Row],[Tech Start Date]],4),""))))</f>
        <v/>
      </c>
      <c r="O531" s="73" t="str">
        <f>IF(Main[[#This Row],[Tech Start Date]]&lt;1/1/1990,"",IF(Main[[#This Row],[Class]]="C",WORKDAY(Main[[#This Row],[Tech Start Date]],23),IF(Main[[#This Row],[Class]]="B", WORKDAY(Main[[#This Row],[Tech Start Date]],15),IF(Main[[#This Row],[Class]]="A",WORKDAY(Main[[#This Row],[Tech Start Date]],5),""))))</f>
        <v/>
      </c>
      <c r="P531" s="73" t="str">
        <f>IF(Main[[#This Row],[Tech Start Date]]&lt;1/1/1990,"",IF(Main[[#This Row],[Class]]="C",WORKDAY(Main[[#This Row],[Tech Start Date]],28),IF(Main[[#This Row],[Class]]="B", WORKDAY(Main[[#This Row],[Tech Start Date]],19),IF(Main[[#This Row],[Class]]="A",WORKDAY(Main[[#This Row],[Tech Start Date]],9),""))))</f>
        <v/>
      </c>
      <c r="Q531" s="85">
        <v>40471</v>
      </c>
      <c r="R531" s="112"/>
      <c r="S531" s="95" t="s">
        <v>296</v>
      </c>
      <c r="T531" s="74" t="s">
        <v>4</v>
      </c>
      <c r="U531" s="95" t="s">
        <v>14</v>
      </c>
      <c r="V531" s="95" t="s">
        <v>1921</v>
      </c>
      <c r="W531" s="95" t="s">
        <v>1913</v>
      </c>
      <c r="X531" s="95" t="s">
        <v>2827</v>
      </c>
      <c r="Y531" s="72" t="s">
        <v>2956</v>
      </c>
      <c r="Z531" s="72" t="s">
        <v>4</v>
      </c>
      <c r="AA531" s="95" t="s">
        <v>2827</v>
      </c>
      <c r="AB531" s="132"/>
      <c r="AC531" s="132"/>
      <c r="AD531" s="132"/>
      <c r="AE531" s="63"/>
      <c r="AF531" s="63"/>
      <c r="AG531" s="63"/>
    </row>
    <row r="532" spans="1:33" ht="17.2" customHeight="1">
      <c r="A532" s="64" t="str">
        <f>IF(priority(Main[[#This Row],[Comments]])&lt;&gt;0, priority(Main[[#This Row],[Comments]]),"")</f>
        <v/>
      </c>
      <c r="B532" s="60" t="s">
        <v>1377</v>
      </c>
      <c r="C532" s="72" t="s">
        <v>4</v>
      </c>
      <c r="D532" s="59" t="s">
        <v>468</v>
      </c>
      <c r="E532" s="85">
        <v>40422.514918981484</v>
      </c>
      <c r="F532" s="85"/>
      <c r="G532" s="64" t="str">
        <f>IF(stdProdLT(Main[[#This Row],[Comments]])=0.1,"N/A",IF(stdProdLT(Main[[#This Row],[Comments]])=0,"",TRIM(stdProdLT(Main[[#This Row],[Comments]]))))</f>
        <v/>
      </c>
      <c r="H532" s="94" t="str">
        <f>IF(OR(Main[[#This Row],[Std. Prod. Lead Time]]="N/A",Main[[#This Row],[Std. Prod. Lead Time]]=""), "",IF(AND(Main[[#This Row],[In Stock Date]]&lt;&gt;"",Main[[#This Row],[Revised Due Date]]&lt;&gt;"",Main[[#This Row],[In Stock Date]]&lt;&gt;""),Main[[#This Row],[In Stock Date]]-Main[[#This Row],[Revised Due Date]],""))</f>
        <v/>
      </c>
      <c r="I532" s="101" t="s">
        <v>4</v>
      </c>
      <c r="J532" s="95" t="s">
        <v>28</v>
      </c>
      <c r="K532" s="95" t="s">
        <v>4</v>
      </c>
      <c r="L532" s="85"/>
      <c r="M532" s="73" t="str">
        <f>IF(Main[[#This Row],[Tech Start Date]]&lt;1/1/1990,"",IF(Main[[#This Row],[Class]]="C",WORKDAY(Main[[#This Row],[Tech Start Date]],9),IF(Main[[#This Row],[Class]]="B", WORKDAY(Main[[#This Row],[Tech Start Date]],6),IF(Main[[#This Row],[Class]]="A",WORKDAY(Main[[#This Row],[Tech Start Date]],2),""))))</f>
        <v/>
      </c>
      <c r="N532" s="73" t="str">
        <f>IF(Main[[#This Row],[Tech Start Date]]&lt;1/1/1990,"",IF(Main[[#This Row],[Class]]="C",WORKDAY(Main[[#This Row],[Tech Start Date]],19),IF(Main[[#This Row],[Class]]="B", WORKDAY(Main[[#This Row],[Tech Start Date]],12),IF(Main[[#This Row],[Class]]="A",WORKDAY(Main[[#This Row],[Tech Start Date]],4),""))))</f>
        <v/>
      </c>
      <c r="O532" s="73" t="str">
        <f>IF(Main[[#This Row],[Tech Start Date]]&lt;1/1/1990,"",IF(Main[[#This Row],[Class]]="C",WORKDAY(Main[[#This Row],[Tech Start Date]],23),IF(Main[[#This Row],[Class]]="B", WORKDAY(Main[[#This Row],[Tech Start Date]],15),IF(Main[[#This Row],[Class]]="A",WORKDAY(Main[[#This Row],[Tech Start Date]],5),""))))</f>
        <v/>
      </c>
      <c r="P532" s="73" t="str">
        <f>IF(Main[[#This Row],[Tech Start Date]]&lt;1/1/1990,"",IF(Main[[#This Row],[Class]]="C",WORKDAY(Main[[#This Row],[Tech Start Date]],28),IF(Main[[#This Row],[Class]]="B", WORKDAY(Main[[#This Row],[Tech Start Date]],19),IF(Main[[#This Row],[Class]]="A",WORKDAY(Main[[#This Row],[Tech Start Date]],9),""))))</f>
        <v/>
      </c>
      <c r="Q532" s="85">
        <v>40455</v>
      </c>
      <c r="R532" s="112"/>
      <c r="S532" s="95" t="s">
        <v>6</v>
      </c>
      <c r="T532" s="74" t="s">
        <v>4</v>
      </c>
      <c r="U532" s="95" t="s">
        <v>7</v>
      </c>
      <c r="V532" s="95" t="s">
        <v>1911</v>
      </c>
      <c r="W532" s="95" t="s">
        <v>1915</v>
      </c>
      <c r="X532" s="95" t="s">
        <v>2798</v>
      </c>
      <c r="Y532" s="72" t="s">
        <v>2908</v>
      </c>
      <c r="Z532" s="72" t="s">
        <v>129</v>
      </c>
      <c r="AA532" s="95" t="s">
        <v>2798</v>
      </c>
      <c r="AB532" s="132"/>
      <c r="AC532" s="132"/>
      <c r="AD532" s="132"/>
      <c r="AE532" s="63"/>
      <c r="AF532" s="63"/>
      <c r="AG532" s="63"/>
    </row>
    <row r="533" spans="1:33" ht="17.2" customHeight="1">
      <c r="A533" s="64" t="str">
        <f>IF(priority(Main[[#This Row],[Comments]])&lt;&gt;0, priority(Main[[#This Row],[Comments]]),"")</f>
        <v/>
      </c>
      <c r="B533" s="60" t="s">
        <v>1309</v>
      </c>
      <c r="C533" s="72" t="s">
        <v>390</v>
      </c>
      <c r="D533" s="59" t="s">
        <v>391</v>
      </c>
      <c r="E533" s="85"/>
      <c r="F533" s="85">
        <v>40512</v>
      </c>
      <c r="G533" s="64" t="str">
        <f>IF(stdProdLT(Main[[#This Row],[Comments]])=0.1,"N/A",IF(stdProdLT(Main[[#This Row],[Comments]])=0,"",TRIM(stdProdLT(Main[[#This Row],[Comments]]))))</f>
        <v/>
      </c>
      <c r="H533" s="94" t="str">
        <f>IF(OR(Main[[#This Row],[Std. Prod. Lead Time]]="N/A",Main[[#This Row],[Std. Prod. Lead Time]]=""), "",IF(AND(Main[[#This Row],[In Stock Date]]&lt;&gt;"",Main[[#This Row],[Revised Due Date]]&lt;&gt;"",Main[[#This Row],[In Stock Date]]&lt;&gt;""),Main[[#This Row],[In Stock Date]]-Main[[#This Row],[Revised Due Date]],""))</f>
        <v/>
      </c>
      <c r="I533" s="101" t="s">
        <v>4</v>
      </c>
      <c r="J533" s="95" t="s">
        <v>4</v>
      </c>
      <c r="K533" s="95" t="s">
        <v>4</v>
      </c>
      <c r="L533" s="85"/>
      <c r="M533" s="73" t="str">
        <f>IF(Main[[#This Row],[Tech Start Date]]&lt;1/1/1990,"",IF(Main[[#This Row],[Class]]="C",WORKDAY(Main[[#This Row],[Tech Start Date]],9),IF(Main[[#This Row],[Class]]="B", WORKDAY(Main[[#This Row],[Tech Start Date]],6),IF(Main[[#This Row],[Class]]="A",WORKDAY(Main[[#This Row],[Tech Start Date]],2),""))))</f>
        <v/>
      </c>
      <c r="N533" s="73" t="str">
        <f>IF(Main[[#This Row],[Tech Start Date]]&lt;1/1/1990,"",IF(Main[[#This Row],[Class]]="C",WORKDAY(Main[[#This Row],[Tech Start Date]],19),IF(Main[[#This Row],[Class]]="B", WORKDAY(Main[[#This Row],[Tech Start Date]],12),IF(Main[[#This Row],[Class]]="A",WORKDAY(Main[[#This Row],[Tech Start Date]],4),""))))</f>
        <v/>
      </c>
      <c r="O533" s="73" t="str">
        <f>IF(Main[[#This Row],[Tech Start Date]]&lt;1/1/1990,"",IF(Main[[#This Row],[Class]]="C",WORKDAY(Main[[#This Row],[Tech Start Date]],23),IF(Main[[#This Row],[Class]]="B", WORKDAY(Main[[#This Row],[Tech Start Date]],15),IF(Main[[#This Row],[Class]]="A",WORKDAY(Main[[#This Row],[Tech Start Date]],5),""))))</f>
        <v/>
      </c>
      <c r="P533" s="73" t="str">
        <f>IF(Main[[#This Row],[Tech Start Date]]&lt;1/1/1990,"",IF(Main[[#This Row],[Class]]="C",WORKDAY(Main[[#This Row],[Tech Start Date]],28),IF(Main[[#This Row],[Class]]="B", WORKDAY(Main[[#This Row],[Tech Start Date]],19),IF(Main[[#This Row],[Class]]="A",WORKDAY(Main[[#This Row],[Tech Start Date]],9),""))))</f>
        <v/>
      </c>
      <c r="Q533" s="85">
        <v>40316</v>
      </c>
      <c r="R533" s="112"/>
      <c r="S533" s="95" t="s">
        <v>11</v>
      </c>
      <c r="T533" s="74" t="s">
        <v>4</v>
      </c>
      <c r="U533" s="95" t="s">
        <v>14</v>
      </c>
      <c r="V533" s="95" t="s">
        <v>1911</v>
      </c>
      <c r="W533" s="95" t="s">
        <v>1917</v>
      </c>
      <c r="X533" s="95" t="s">
        <v>2832</v>
      </c>
      <c r="Y533" s="72" t="s">
        <v>4</v>
      </c>
      <c r="Z533" s="72" t="s">
        <v>4</v>
      </c>
      <c r="AA533" s="95" t="s">
        <v>2832</v>
      </c>
      <c r="AB533" s="132"/>
      <c r="AC533" s="132"/>
      <c r="AD533" s="132"/>
      <c r="AE533" s="63"/>
      <c r="AF533" s="63"/>
      <c r="AG533" s="63"/>
    </row>
    <row r="534" spans="1:33" ht="17.2" customHeight="1">
      <c r="A534" s="64" t="str">
        <f>IF(priority(Main[[#This Row],[Comments]])&lt;&gt;0, priority(Main[[#This Row],[Comments]]),"")</f>
        <v/>
      </c>
      <c r="B534" s="60" t="s">
        <v>1310</v>
      </c>
      <c r="C534" s="72" t="s">
        <v>213</v>
      </c>
      <c r="D534" s="59" t="s">
        <v>392</v>
      </c>
      <c r="E534" s="85"/>
      <c r="F534" s="85">
        <v>40390</v>
      </c>
      <c r="G534" s="64" t="str">
        <f>IF(stdProdLT(Main[[#This Row],[Comments]])=0.1,"N/A",IF(stdProdLT(Main[[#This Row],[Comments]])=0,"",TRIM(stdProdLT(Main[[#This Row],[Comments]]))))</f>
        <v/>
      </c>
      <c r="H534" s="94" t="str">
        <f>IF(OR(Main[[#This Row],[Std. Prod. Lead Time]]="N/A",Main[[#This Row],[Std. Prod. Lead Time]]=""), "",IF(AND(Main[[#This Row],[In Stock Date]]&lt;&gt;"",Main[[#This Row],[Revised Due Date]]&lt;&gt;"",Main[[#This Row],[In Stock Date]]&lt;&gt;""),Main[[#This Row],[In Stock Date]]-Main[[#This Row],[Revised Due Date]],""))</f>
        <v/>
      </c>
      <c r="I534" s="101" t="s">
        <v>4</v>
      </c>
      <c r="J534" s="95" t="s">
        <v>4</v>
      </c>
      <c r="K534" s="95" t="s">
        <v>4</v>
      </c>
      <c r="L534" s="85"/>
      <c r="M534" s="73" t="str">
        <f>IF(Main[[#This Row],[Tech Start Date]]&lt;1/1/1990,"",IF(Main[[#This Row],[Class]]="C",WORKDAY(Main[[#This Row],[Tech Start Date]],9),IF(Main[[#This Row],[Class]]="B", WORKDAY(Main[[#This Row],[Tech Start Date]],6),IF(Main[[#This Row],[Class]]="A",WORKDAY(Main[[#This Row],[Tech Start Date]],2),""))))</f>
        <v/>
      </c>
      <c r="N534" s="73" t="str">
        <f>IF(Main[[#This Row],[Tech Start Date]]&lt;1/1/1990,"",IF(Main[[#This Row],[Class]]="C",WORKDAY(Main[[#This Row],[Tech Start Date]],19),IF(Main[[#This Row],[Class]]="B", WORKDAY(Main[[#This Row],[Tech Start Date]],12),IF(Main[[#This Row],[Class]]="A",WORKDAY(Main[[#This Row],[Tech Start Date]],4),""))))</f>
        <v/>
      </c>
      <c r="O534" s="73" t="str">
        <f>IF(Main[[#This Row],[Tech Start Date]]&lt;1/1/1990,"",IF(Main[[#This Row],[Class]]="C",WORKDAY(Main[[#This Row],[Tech Start Date]],23),IF(Main[[#This Row],[Class]]="B", WORKDAY(Main[[#This Row],[Tech Start Date]],15),IF(Main[[#This Row],[Class]]="A",WORKDAY(Main[[#This Row],[Tech Start Date]],5),""))))</f>
        <v/>
      </c>
      <c r="P534" s="73" t="str">
        <f>IF(Main[[#This Row],[Tech Start Date]]&lt;1/1/1990,"",IF(Main[[#This Row],[Class]]="C",WORKDAY(Main[[#This Row],[Tech Start Date]],28),IF(Main[[#This Row],[Class]]="B", WORKDAY(Main[[#This Row],[Tech Start Date]],19),IF(Main[[#This Row],[Class]]="A",WORKDAY(Main[[#This Row],[Tech Start Date]],9),""))))</f>
        <v/>
      </c>
      <c r="Q534" s="85">
        <v>40278</v>
      </c>
      <c r="R534" s="112"/>
      <c r="S534" s="95" t="s">
        <v>11</v>
      </c>
      <c r="T534" s="74" t="s">
        <v>4</v>
      </c>
      <c r="U534" s="95" t="s">
        <v>14</v>
      </c>
      <c r="V534" s="95" t="s">
        <v>1914</v>
      </c>
      <c r="W534" s="95" t="s">
        <v>1916</v>
      </c>
      <c r="X534" s="95" t="s">
        <v>553</v>
      </c>
      <c r="Y534" s="72" t="s">
        <v>4</v>
      </c>
      <c r="Z534" s="72" t="s">
        <v>4</v>
      </c>
      <c r="AA534" s="95" t="s">
        <v>553</v>
      </c>
      <c r="AB534" s="132"/>
      <c r="AC534" s="132"/>
      <c r="AD534" s="132"/>
      <c r="AE534" s="63"/>
      <c r="AF534" s="63"/>
      <c r="AG534" s="63"/>
    </row>
    <row r="535" spans="1:33" ht="17.2" customHeight="1">
      <c r="A535" s="64" t="str">
        <f>IF(priority(Main[[#This Row],[Comments]])&lt;&gt;0, priority(Main[[#This Row],[Comments]]),"")</f>
        <v/>
      </c>
      <c r="B535" s="60" t="s">
        <v>1311</v>
      </c>
      <c r="C535" s="72" t="s">
        <v>275</v>
      </c>
      <c r="D535" s="59" t="s">
        <v>393</v>
      </c>
      <c r="E535" s="85"/>
      <c r="F535" s="85">
        <v>40186</v>
      </c>
      <c r="G535" s="64" t="str">
        <f>IF(stdProdLT(Main[[#This Row],[Comments]])=0.1,"N/A",IF(stdProdLT(Main[[#This Row],[Comments]])=0,"",TRIM(stdProdLT(Main[[#This Row],[Comments]]))))</f>
        <v/>
      </c>
      <c r="H535" s="94" t="str">
        <f>IF(OR(Main[[#This Row],[Std. Prod. Lead Time]]="N/A",Main[[#This Row],[Std. Prod. Lead Time]]=""), "",IF(AND(Main[[#This Row],[In Stock Date]]&lt;&gt;"",Main[[#This Row],[Revised Due Date]]&lt;&gt;"",Main[[#This Row],[In Stock Date]]&lt;&gt;""),Main[[#This Row],[In Stock Date]]-Main[[#This Row],[Revised Due Date]],""))</f>
        <v/>
      </c>
      <c r="I535" s="101" t="s">
        <v>4</v>
      </c>
      <c r="J535" s="95" t="s">
        <v>4</v>
      </c>
      <c r="K535" s="95" t="s">
        <v>4</v>
      </c>
      <c r="L535" s="85"/>
      <c r="M535" s="73" t="str">
        <f>IF(Main[[#This Row],[Tech Start Date]]&lt;1/1/1990,"",IF(Main[[#This Row],[Class]]="C",WORKDAY(Main[[#This Row],[Tech Start Date]],9),IF(Main[[#This Row],[Class]]="B", WORKDAY(Main[[#This Row],[Tech Start Date]],6),IF(Main[[#This Row],[Class]]="A",WORKDAY(Main[[#This Row],[Tech Start Date]],2),""))))</f>
        <v/>
      </c>
      <c r="N535" s="73" t="str">
        <f>IF(Main[[#This Row],[Tech Start Date]]&lt;1/1/1990,"",IF(Main[[#This Row],[Class]]="C",WORKDAY(Main[[#This Row],[Tech Start Date]],19),IF(Main[[#This Row],[Class]]="B", WORKDAY(Main[[#This Row],[Tech Start Date]],12),IF(Main[[#This Row],[Class]]="A",WORKDAY(Main[[#This Row],[Tech Start Date]],4),""))))</f>
        <v/>
      </c>
      <c r="O535" s="73" t="str">
        <f>IF(Main[[#This Row],[Tech Start Date]]&lt;1/1/1990,"",IF(Main[[#This Row],[Class]]="C",WORKDAY(Main[[#This Row],[Tech Start Date]],23),IF(Main[[#This Row],[Class]]="B", WORKDAY(Main[[#This Row],[Tech Start Date]],15),IF(Main[[#This Row],[Class]]="A",WORKDAY(Main[[#This Row],[Tech Start Date]],5),""))))</f>
        <v/>
      </c>
      <c r="P535" s="73" t="str">
        <f>IF(Main[[#This Row],[Tech Start Date]]&lt;1/1/1990,"",IF(Main[[#This Row],[Class]]="C",WORKDAY(Main[[#This Row],[Tech Start Date]],28),IF(Main[[#This Row],[Class]]="B", WORKDAY(Main[[#This Row],[Tech Start Date]],19),IF(Main[[#This Row],[Class]]="A",WORKDAY(Main[[#This Row],[Tech Start Date]],9),""))))</f>
        <v/>
      </c>
      <c r="Q535" s="85">
        <v>40186</v>
      </c>
      <c r="R535" s="112"/>
      <c r="S535" s="95" t="s">
        <v>11</v>
      </c>
      <c r="T535" s="74" t="s">
        <v>4</v>
      </c>
      <c r="U535" s="95" t="s">
        <v>14</v>
      </c>
      <c r="V535" s="95" t="s">
        <v>1914</v>
      </c>
      <c r="W535" s="95" t="s">
        <v>1919</v>
      </c>
      <c r="X535" s="95" t="s">
        <v>2822</v>
      </c>
      <c r="Y535" s="72" t="s">
        <v>4</v>
      </c>
      <c r="Z535" s="72" t="s">
        <v>4</v>
      </c>
      <c r="AA535" s="95" t="s">
        <v>2822</v>
      </c>
      <c r="AB535" s="132"/>
      <c r="AC535" s="132"/>
      <c r="AD535" s="132"/>
      <c r="AE535" s="63"/>
      <c r="AF535" s="63"/>
      <c r="AG535" s="63"/>
    </row>
    <row r="536" spans="1:33" ht="17.2" customHeight="1">
      <c r="A536" s="64" t="str">
        <f>IF(priority(Main[[#This Row],[Comments]])&lt;&gt;0, priority(Main[[#This Row],[Comments]]),"")</f>
        <v/>
      </c>
      <c r="B536" s="60" t="s">
        <v>1312</v>
      </c>
      <c r="C536" s="72" t="s">
        <v>394</v>
      </c>
      <c r="D536" s="59" t="s">
        <v>395</v>
      </c>
      <c r="E536" s="85"/>
      <c r="F536" s="85"/>
      <c r="G536" s="64" t="str">
        <f>IF(stdProdLT(Main[[#This Row],[Comments]])=0.1,"N/A",IF(stdProdLT(Main[[#This Row],[Comments]])=0,"",TRIM(stdProdLT(Main[[#This Row],[Comments]]))))</f>
        <v/>
      </c>
      <c r="H536" s="94" t="str">
        <f>IF(OR(Main[[#This Row],[Std. Prod. Lead Time]]="N/A",Main[[#This Row],[Std. Prod. Lead Time]]=""), "",IF(AND(Main[[#This Row],[In Stock Date]]&lt;&gt;"",Main[[#This Row],[Revised Due Date]]&lt;&gt;"",Main[[#This Row],[In Stock Date]]&lt;&gt;""),Main[[#This Row],[In Stock Date]]-Main[[#This Row],[Revised Due Date]],""))</f>
        <v/>
      </c>
      <c r="I536" s="101" t="s">
        <v>4</v>
      </c>
      <c r="J536" s="95" t="s">
        <v>4</v>
      </c>
      <c r="K536" s="95" t="s">
        <v>4</v>
      </c>
      <c r="L536" s="85"/>
      <c r="M536" s="73" t="str">
        <f>IF(Main[[#This Row],[Tech Start Date]]&lt;1/1/1990,"",IF(Main[[#This Row],[Class]]="C",WORKDAY(Main[[#This Row],[Tech Start Date]],9),IF(Main[[#This Row],[Class]]="B", WORKDAY(Main[[#This Row],[Tech Start Date]],6),IF(Main[[#This Row],[Class]]="A",WORKDAY(Main[[#This Row],[Tech Start Date]],2),""))))</f>
        <v/>
      </c>
      <c r="N536" s="73" t="str">
        <f>IF(Main[[#This Row],[Tech Start Date]]&lt;1/1/1990,"",IF(Main[[#This Row],[Class]]="C",WORKDAY(Main[[#This Row],[Tech Start Date]],19),IF(Main[[#This Row],[Class]]="B", WORKDAY(Main[[#This Row],[Tech Start Date]],12),IF(Main[[#This Row],[Class]]="A",WORKDAY(Main[[#This Row],[Tech Start Date]],4),""))))</f>
        <v/>
      </c>
      <c r="O536" s="73" t="str">
        <f>IF(Main[[#This Row],[Tech Start Date]]&lt;1/1/1990,"",IF(Main[[#This Row],[Class]]="C",WORKDAY(Main[[#This Row],[Tech Start Date]],23),IF(Main[[#This Row],[Class]]="B", WORKDAY(Main[[#This Row],[Tech Start Date]],15),IF(Main[[#This Row],[Class]]="A",WORKDAY(Main[[#This Row],[Tech Start Date]],5),""))))</f>
        <v/>
      </c>
      <c r="P536" s="73" t="str">
        <f>IF(Main[[#This Row],[Tech Start Date]]&lt;1/1/1990,"",IF(Main[[#This Row],[Class]]="C",WORKDAY(Main[[#This Row],[Tech Start Date]],28),IF(Main[[#This Row],[Class]]="B", WORKDAY(Main[[#This Row],[Tech Start Date]],19),IF(Main[[#This Row],[Class]]="A",WORKDAY(Main[[#This Row],[Tech Start Date]],9),""))))</f>
        <v/>
      </c>
      <c r="Q536" s="85"/>
      <c r="R536" s="112"/>
      <c r="S536" s="95" t="s">
        <v>11</v>
      </c>
      <c r="T536" s="74" t="s">
        <v>4</v>
      </c>
      <c r="U536" s="95" t="s">
        <v>14</v>
      </c>
      <c r="V536" s="95" t="s">
        <v>1912</v>
      </c>
      <c r="W536" s="95" t="s">
        <v>1919</v>
      </c>
      <c r="X536" s="95" t="s">
        <v>2833</v>
      </c>
      <c r="Y536" s="72" t="s">
        <v>2969</v>
      </c>
      <c r="Z536" s="72" t="s">
        <v>4</v>
      </c>
      <c r="AA536" s="95" t="s">
        <v>2833</v>
      </c>
      <c r="AB536" s="132"/>
      <c r="AC536" s="132"/>
      <c r="AD536" s="132"/>
      <c r="AE536" s="63"/>
      <c r="AF536" s="63"/>
      <c r="AG536" s="63"/>
    </row>
    <row r="537" spans="1:33" ht="17.2" customHeight="1">
      <c r="A537" s="64" t="str">
        <f>IF(priority(Main[[#This Row],[Comments]])&lt;&gt;0, priority(Main[[#This Row],[Comments]]),"")</f>
        <v/>
      </c>
      <c r="B537" s="60" t="s">
        <v>1314</v>
      </c>
      <c r="C537" s="72" t="s">
        <v>4</v>
      </c>
      <c r="D537" s="59" t="s">
        <v>396</v>
      </c>
      <c r="E537" s="85">
        <v>40319.627523148149</v>
      </c>
      <c r="F537" s="85"/>
      <c r="G537" s="64" t="str">
        <f>IF(stdProdLT(Main[[#This Row],[Comments]])=0.1,"N/A",IF(stdProdLT(Main[[#This Row],[Comments]])=0,"",TRIM(stdProdLT(Main[[#This Row],[Comments]]))))</f>
        <v/>
      </c>
      <c r="H537" s="94" t="str">
        <f>IF(OR(Main[[#This Row],[Std. Prod. Lead Time]]="N/A",Main[[#This Row],[Std. Prod. Lead Time]]=""), "",IF(AND(Main[[#This Row],[In Stock Date]]&lt;&gt;"",Main[[#This Row],[Revised Due Date]]&lt;&gt;"",Main[[#This Row],[In Stock Date]]&lt;&gt;""),Main[[#This Row],[In Stock Date]]-Main[[#This Row],[Revised Due Date]],""))</f>
        <v/>
      </c>
      <c r="I537" s="101" t="s">
        <v>129</v>
      </c>
      <c r="J537" s="95" t="s">
        <v>4</v>
      </c>
      <c r="K537" s="96" t="s">
        <v>4</v>
      </c>
      <c r="L537" s="85"/>
      <c r="M537" s="73" t="str">
        <f>IF(Main[[#This Row],[Tech Start Date]]&lt;1/1/1990,"",IF(Main[[#This Row],[Class]]="C",WORKDAY(Main[[#This Row],[Tech Start Date]],9),IF(Main[[#This Row],[Class]]="B", WORKDAY(Main[[#This Row],[Tech Start Date]],6),IF(Main[[#This Row],[Class]]="A",WORKDAY(Main[[#This Row],[Tech Start Date]],2),""))))</f>
        <v/>
      </c>
      <c r="N537" s="73" t="str">
        <f>IF(Main[[#This Row],[Tech Start Date]]&lt;1/1/1990,"",IF(Main[[#This Row],[Class]]="C",WORKDAY(Main[[#This Row],[Tech Start Date]],19),IF(Main[[#This Row],[Class]]="B", WORKDAY(Main[[#This Row],[Tech Start Date]],12),IF(Main[[#This Row],[Class]]="A",WORKDAY(Main[[#This Row],[Tech Start Date]],4),""))))</f>
        <v/>
      </c>
      <c r="O537" s="73" t="str">
        <f>IF(Main[[#This Row],[Tech Start Date]]&lt;1/1/1990,"",IF(Main[[#This Row],[Class]]="C",WORKDAY(Main[[#This Row],[Tech Start Date]],23),IF(Main[[#This Row],[Class]]="B", WORKDAY(Main[[#This Row],[Tech Start Date]],15),IF(Main[[#This Row],[Class]]="A",WORKDAY(Main[[#This Row],[Tech Start Date]],5),""))))</f>
        <v/>
      </c>
      <c r="P537" s="73" t="str">
        <f>IF(Main[[#This Row],[Tech Start Date]]&lt;1/1/1990,"",IF(Main[[#This Row],[Class]]="C",WORKDAY(Main[[#This Row],[Tech Start Date]],28),IF(Main[[#This Row],[Class]]="B", WORKDAY(Main[[#This Row],[Tech Start Date]],19),IF(Main[[#This Row],[Class]]="A",WORKDAY(Main[[#This Row],[Tech Start Date]],9),""))))</f>
        <v/>
      </c>
      <c r="Q537" s="85">
        <v>40337</v>
      </c>
      <c r="R537" s="112"/>
      <c r="S537" s="95" t="s">
        <v>6</v>
      </c>
      <c r="T537" s="74" t="s">
        <v>4</v>
      </c>
      <c r="U537" s="95" t="s">
        <v>7</v>
      </c>
      <c r="V537" s="95" t="s">
        <v>1911</v>
      </c>
      <c r="W537" s="95" t="s">
        <v>1915</v>
      </c>
      <c r="X537" s="95" t="s">
        <v>2801</v>
      </c>
      <c r="Y537" s="72" t="s">
        <v>2914</v>
      </c>
      <c r="Z537" s="72" t="s">
        <v>4</v>
      </c>
      <c r="AA537" s="95" t="s">
        <v>2801</v>
      </c>
      <c r="AB537" s="132"/>
      <c r="AC537" s="132"/>
      <c r="AD537" s="132"/>
      <c r="AE537" s="63"/>
      <c r="AF537" s="63"/>
      <c r="AG537" s="63"/>
    </row>
    <row r="538" spans="1:33" ht="17.2" customHeight="1">
      <c r="A538" s="64" t="str">
        <f>IF(priority(Main[[#This Row],[Comments]])&lt;&gt;0, priority(Main[[#This Row],[Comments]]),"")</f>
        <v/>
      </c>
      <c r="B538" s="60" t="s">
        <v>1315</v>
      </c>
      <c r="C538" s="72" t="s">
        <v>93</v>
      </c>
      <c r="D538" s="59" t="s">
        <v>397</v>
      </c>
      <c r="E538" s="85"/>
      <c r="F538" s="85">
        <v>40132</v>
      </c>
      <c r="G538" s="64" t="str">
        <f>IF(stdProdLT(Main[[#This Row],[Comments]])=0.1,"N/A",IF(stdProdLT(Main[[#This Row],[Comments]])=0,"",TRIM(stdProdLT(Main[[#This Row],[Comments]]))))</f>
        <v/>
      </c>
      <c r="H538" s="94" t="str">
        <f>IF(OR(Main[[#This Row],[Std. Prod. Lead Time]]="N/A",Main[[#This Row],[Std. Prod. Lead Time]]=""), "",IF(AND(Main[[#This Row],[In Stock Date]]&lt;&gt;"",Main[[#This Row],[Revised Due Date]]&lt;&gt;"",Main[[#This Row],[In Stock Date]]&lt;&gt;""),Main[[#This Row],[In Stock Date]]-Main[[#This Row],[Revised Due Date]],""))</f>
        <v/>
      </c>
      <c r="I538" s="101" t="s">
        <v>4</v>
      </c>
      <c r="J538" s="95" t="s">
        <v>4</v>
      </c>
      <c r="K538" s="95" t="s">
        <v>4</v>
      </c>
      <c r="L538" s="85"/>
      <c r="M538" s="73" t="str">
        <f>IF(Main[[#This Row],[Tech Start Date]]&lt;1/1/1990,"",IF(Main[[#This Row],[Class]]="C",WORKDAY(Main[[#This Row],[Tech Start Date]],9),IF(Main[[#This Row],[Class]]="B", WORKDAY(Main[[#This Row],[Tech Start Date]],6),IF(Main[[#This Row],[Class]]="A",WORKDAY(Main[[#This Row],[Tech Start Date]],2),""))))</f>
        <v/>
      </c>
      <c r="N538" s="73" t="str">
        <f>IF(Main[[#This Row],[Tech Start Date]]&lt;1/1/1990,"",IF(Main[[#This Row],[Class]]="C",WORKDAY(Main[[#This Row],[Tech Start Date]],19),IF(Main[[#This Row],[Class]]="B", WORKDAY(Main[[#This Row],[Tech Start Date]],12),IF(Main[[#This Row],[Class]]="A",WORKDAY(Main[[#This Row],[Tech Start Date]],4),""))))</f>
        <v/>
      </c>
      <c r="O538" s="73" t="str">
        <f>IF(Main[[#This Row],[Tech Start Date]]&lt;1/1/1990,"",IF(Main[[#This Row],[Class]]="C",WORKDAY(Main[[#This Row],[Tech Start Date]],23),IF(Main[[#This Row],[Class]]="B", WORKDAY(Main[[#This Row],[Tech Start Date]],15),IF(Main[[#This Row],[Class]]="A",WORKDAY(Main[[#This Row],[Tech Start Date]],5),""))))</f>
        <v/>
      </c>
      <c r="P538" s="73" t="str">
        <f>IF(Main[[#This Row],[Tech Start Date]]&lt;1/1/1990,"",IF(Main[[#This Row],[Class]]="C",WORKDAY(Main[[#This Row],[Tech Start Date]],28),IF(Main[[#This Row],[Class]]="B", WORKDAY(Main[[#This Row],[Tech Start Date]],19),IF(Main[[#This Row],[Class]]="A",WORKDAY(Main[[#This Row],[Tech Start Date]],9),""))))</f>
        <v/>
      </c>
      <c r="Q538" s="85">
        <v>40132</v>
      </c>
      <c r="R538" s="112"/>
      <c r="S538" s="95" t="s">
        <v>11</v>
      </c>
      <c r="T538" s="74" t="s">
        <v>4</v>
      </c>
      <c r="U538" s="95" t="s">
        <v>14</v>
      </c>
      <c r="V538" s="95" t="s">
        <v>1921</v>
      </c>
      <c r="W538" s="95" t="s">
        <v>1922</v>
      </c>
      <c r="X538" s="95" t="s">
        <v>2836</v>
      </c>
      <c r="Y538" s="72" t="s">
        <v>4</v>
      </c>
      <c r="Z538" s="72" t="s">
        <v>4</v>
      </c>
      <c r="AA538" s="95" t="s">
        <v>2836</v>
      </c>
      <c r="AB538" s="132"/>
      <c r="AC538" s="132"/>
      <c r="AD538" s="132"/>
      <c r="AE538" s="63"/>
      <c r="AF538" s="63"/>
      <c r="AG538" s="63"/>
    </row>
    <row r="539" spans="1:33" ht="17.2" customHeight="1">
      <c r="A539" s="64" t="str">
        <f>IF(priority(Main[[#This Row],[Comments]])&lt;&gt;0, priority(Main[[#This Row],[Comments]]),"")</f>
        <v/>
      </c>
      <c r="B539" s="60" t="s">
        <v>1316</v>
      </c>
      <c r="C539" s="72" t="s">
        <v>4</v>
      </c>
      <c r="D539" s="59" t="s">
        <v>398</v>
      </c>
      <c r="E539" s="85"/>
      <c r="F539" s="85">
        <v>40385</v>
      </c>
      <c r="G539" s="64" t="str">
        <f>IF(stdProdLT(Main[[#This Row],[Comments]])=0.1,"N/A",IF(stdProdLT(Main[[#This Row],[Comments]])=0,"",TRIM(stdProdLT(Main[[#This Row],[Comments]]))))</f>
        <v/>
      </c>
      <c r="H539" s="94" t="str">
        <f>IF(OR(Main[[#This Row],[Std. Prod. Lead Time]]="N/A",Main[[#This Row],[Std. Prod. Lead Time]]=""), "",IF(AND(Main[[#This Row],[In Stock Date]]&lt;&gt;"",Main[[#This Row],[Revised Due Date]]&lt;&gt;"",Main[[#This Row],[In Stock Date]]&lt;&gt;""),Main[[#This Row],[In Stock Date]]-Main[[#This Row],[Revised Due Date]],""))</f>
        <v/>
      </c>
      <c r="I539" s="101" t="s">
        <v>399</v>
      </c>
      <c r="J539" s="95" t="s">
        <v>4</v>
      </c>
      <c r="K539" s="95" t="s">
        <v>4</v>
      </c>
      <c r="L539" s="85"/>
      <c r="M539" s="73" t="str">
        <f>IF(Main[[#This Row],[Tech Start Date]]&lt;1/1/1990,"",IF(Main[[#This Row],[Class]]="C",WORKDAY(Main[[#This Row],[Tech Start Date]],9),IF(Main[[#This Row],[Class]]="B", WORKDAY(Main[[#This Row],[Tech Start Date]],6),IF(Main[[#This Row],[Class]]="A",WORKDAY(Main[[#This Row],[Tech Start Date]],2),""))))</f>
        <v/>
      </c>
      <c r="N539" s="73" t="str">
        <f>IF(Main[[#This Row],[Tech Start Date]]&lt;1/1/1990,"",IF(Main[[#This Row],[Class]]="C",WORKDAY(Main[[#This Row],[Tech Start Date]],19),IF(Main[[#This Row],[Class]]="B", WORKDAY(Main[[#This Row],[Tech Start Date]],12),IF(Main[[#This Row],[Class]]="A",WORKDAY(Main[[#This Row],[Tech Start Date]],4),""))))</f>
        <v/>
      </c>
      <c r="O539" s="73" t="str">
        <f>IF(Main[[#This Row],[Tech Start Date]]&lt;1/1/1990,"",IF(Main[[#This Row],[Class]]="C",WORKDAY(Main[[#This Row],[Tech Start Date]],23),IF(Main[[#This Row],[Class]]="B", WORKDAY(Main[[#This Row],[Tech Start Date]],15),IF(Main[[#This Row],[Class]]="A",WORKDAY(Main[[#This Row],[Tech Start Date]],5),""))))</f>
        <v/>
      </c>
      <c r="P539" s="73" t="str">
        <f>IF(Main[[#This Row],[Tech Start Date]]&lt;1/1/1990,"",IF(Main[[#This Row],[Class]]="C",WORKDAY(Main[[#This Row],[Tech Start Date]],28),IF(Main[[#This Row],[Class]]="B", WORKDAY(Main[[#This Row],[Tech Start Date]],19),IF(Main[[#This Row],[Class]]="A",WORKDAY(Main[[#This Row],[Tech Start Date]],9),""))))</f>
        <v/>
      </c>
      <c r="Q539" s="85">
        <v>40359</v>
      </c>
      <c r="R539" s="112"/>
      <c r="S539" s="95" t="s">
        <v>11</v>
      </c>
      <c r="T539" s="74" t="s">
        <v>4</v>
      </c>
      <c r="U539" s="95" t="s">
        <v>14</v>
      </c>
      <c r="V539" s="95" t="s">
        <v>1914</v>
      </c>
      <c r="W539" s="95" t="s">
        <v>1917</v>
      </c>
      <c r="X539" s="95" t="s">
        <v>2861</v>
      </c>
      <c r="Y539" s="72" t="s">
        <v>3008</v>
      </c>
      <c r="Z539" s="72" t="s">
        <v>306</v>
      </c>
      <c r="AA539" s="95" t="s">
        <v>2861</v>
      </c>
      <c r="AB539" s="132">
        <v>40357</v>
      </c>
      <c r="AC539" s="132">
        <v>40360</v>
      </c>
      <c r="AD539" s="132"/>
      <c r="AE539" s="63"/>
      <c r="AF539" s="63"/>
      <c r="AG539" s="63"/>
    </row>
    <row r="540" spans="1:33" ht="17.2" customHeight="1">
      <c r="A540" s="64" t="str">
        <f>IF(priority(Main[[#This Row],[Comments]])&lt;&gt;0, priority(Main[[#This Row],[Comments]]),"")</f>
        <v/>
      </c>
      <c r="B540" s="60" t="s">
        <v>1317</v>
      </c>
      <c r="C540" s="72" t="s">
        <v>31</v>
      </c>
      <c r="D540" s="59" t="s">
        <v>400</v>
      </c>
      <c r="E540" s="85"/>
      <c r="F540" s="85">
        <v>40203</v>
      </c>
      <c r="G540" s="64" t="str">
        <f>IF(stdProdLT(Main[[#This Row],[Comments]])=0.1,"N/A",IF(stdProdLT(Main[[#This Row],[Comments]])=0,"",TRIM(stdProdLT(Main[[#This Row],[Comments]]))))</f>
        <v/>
      </c>
      <c r="H540" s="94" t="str">
        <f>IF(OR(Main[[#This Row],[Std. Prod. Lead Time]]="N/A",Main[[#This Row],[Std. Prod. Lead Time]]=""), "",IF(AND(Main[[#This Row],[In Stock Date]]&lt;&gt;"",Main[[#This Row],[Revised Due Date]]&lt;&gt;"",Main[[#This Row],[In Stock Date]]&lt;&gt;""),Main[[#This Row],[In Stock Date]]-Main[[#This Row],[Revised Due Date]],""))</f>
        <v/>
      </c>
      <c r="I540" s="101" t="s">
        <v>4</v>
      </c>
      <c r="J540" s="95" t="s">
        <v>4</v>
      </c>
      <c r="K540" s="96" t="s">
        <v>4</v>
      </c>
      <c r="L540" s="85"/>
      <c r="M540" s="73" t="str">
        <f>IF(Main[[#This Row],[Tech Start Date]]&lt;1/1/1990,"",IF(Main[[#This Row],[Class]]="C",WORKDAY(Main[[#This Row],[Tech Start Date]],9),IF(Main[[#This Row],[Class]]="B", WORKDAY(Main[[#This Row],[Tech Start Date]],6),IF(Main[[#This Row],[Class]]="A",WORKDAY(Main[[#This Row],[Tech Start Date]],2),""))))</f>
        <v/>
      </c>
      <c r="N540" s="73" t="str">
        <f>IF(Main[[#This Row],[Tech Start Date]]&lt;1/1/1990,"",IF(Main[[#This Row],[Class]]="C",WORKDAY(Main[[#This Row],[Tech Start Date]],19),IF(Main[[#This Row],[Class]]="B", WORKDAY(Main[[#This Row],[Tech Start Date]],12),IF(Main[[#This Row],[Class]]="A",WORKDAY(Main[[#This Row],[Tech Start Date]],4),""))))</f>
        <v/>
      </c>
      <c r="O540" s="73" t="str">
        <f>IF(Main[[#This Row],[Tech Start Date]]&lt;1/1/1990,"",IF(Main[[#This Row],[Class]]="C",WORKDAY(Main[[#This Row],[Tech Start Date]],23),IF(Main[[#This Row],[Class]]="B", WORKDAY(Main[[#This Row],[Tech Start Date]],15),IF(Main[[#This Row],[Class]]="A",WORKDAY(Main[[#This Row],[Tech Start Date]],5),""))))</f>
        <v/>
      </c>
      <c r="P540" s="73" t="str">
        <f>IF(Main[[#This Row],[Tech Start Date]]&lt;1/1/1990,"",IF(Main[[#This Row],[Class]]="C",WORKDAY(Main[[#This Row],[Tech Start Date]],28),IF(Main[[#This Row],[Class]]="B", WORKDAY(Main[[#This Row],[Tech Start Date]],19),IF(Main[[#This Row],[Class]]="A",WORKDAY(Main[[#This Row],[Tech Start Date]],9),""))))</f>
        <v/>
      </c>
      <c r="Q540" s="85">
        <v>40063</v>
      </c>
      <c r="R540" s="112"/>
      <c r="S540" s="95" t="s">
        <v>11</v>
      </c>
      <c r="T540" s="74" t="s">
        <v>4</v>
      </c>
      <c r="U540" s="95" t="s">
        <v>14</v>
      </c>
      <c r="V540" s="95" t="s">
        <v>1921</v>
      </c>
      <c r="W540" s="95" t="s">
        <v>1917</v>
      </c>
      <c r="X540" s="95" t="s">
        <v>2851</v>
      </c>
      <c r="Y540" s="72" t="s">
        <v>4</v>
      </c>
      <c r="Z540" s="72" t="s">
        <v>4</v>
      </c>
      <c r="AA540" s="95" t="s">
        <v>2851</v>
      </c>
      <c r="AB540" s="132"/>
      <c r="AC540" s="132"/>
      <c r="AD540" s="132"/>
      <c r="AE540" s="63"/>
      <c r="AF540" s="63"/>
      <c r="AG540" s="63"/>
    </row>
    <row r="541" spans="1:33" ht="17.2" customHeight="1">
      <c r="A541" s="64" t="str">
        <f>IF(priority(Main[[#This Row],[Comments]])&lt;&gt;0, priority(Main[[#This Row],[Comments]]),"")</f>
        <v/>
      </c>
      <c r="B541" s="60" t="s">
        <v>1652</v>
      </c>
      <c r="C541" s="72" t="s">
        <v>4</v>
      </c>
      <c r="D541" s="59" t="s">
        <v>720</v>
      </c>
      <c r="E541" s="85"/>
      <c r="F541" s="85"/>
      <c r="G541" s="64" t="str">
        <f>IF(stdProdLT(Main[[#This Row],[Comments]])=0.1,"N/A",IF(stdProdLT(Main[[#This Row],[Comments]])=0,"",TRIM(stdProdLT(Main[[#This Row],[Comments]]))))</f>
        <v/>
      </c>
      <c r="H541" s="94" t="str">
        <f>IF(OR(Main[[#This Row],[Std. Prod. Lead Time]]="N/A",Main[[#This Row],[Std. Prod. Lead Time]]=""), "",IF(AND(Main[[#This Row],[In Stock Date]]&lt;&gt;"",Main[[#This Row],[Revised Due Date]]&lt;&gt;"",Main[[#This Row],[In Stock Date]]&lt;&gt;""),Main[[#This Row],[In Stock Date]]-Main[[#This Row],[Revised Due Date]],""))</f>
        <v/>
      </c>
      <c r="I541" s="101" t="s">
        <v>4</v>
      </c>
      <c r="J541" s="95" t="s">
        <v>4</v>
      </c>
      <c r="K541" s="95" t="s">
        <v>4</v>
      </c>
      <c r="L541" s="85"/>
      <c r="M541" s="73" t="str">
        <f>IF(Main[[#This Row],[Tech Start Date]]&lt;1/1/1990,"",IF(Main[[#This Row],[Class]]="C",WORKDAY(Main[[#This Row],[Tech Start Date]],9),IF(Main[[#This Row],[Class]]="B", WORKDAY(Main[[#This Row],[Tech Start Date]],6),IF(Main[[#This Row],[Class]]="A",WORKDAY(Main[[#This Row],[Tech Start Date]],2),""))))</f>
        <v/>
      </c>
      <c r="N541" s="73" t="str">
        <f>IF(Main[[#This Row],[Tech Start Date]]&lt;1/1/1990,"",IF(Main[[#This Row],[Class]]="C",WORKDAY(Main[[#This Row],[Tech Start Date]],19),IF(Main[[#This Row],[Class]]="B", WORKDAY(Main[[#This Row],[Tech Start Date]],12),IF(Main[[#This Row],[Class]]="A",WORKDAY(Main[[#This Row],[Tech Start Date]],4),""))))</f>
        <v/>
      </c>
      <c r="O541" s="73" t="str">
        <f>IF(Main[[#This Row],[Tech Start Date]]&lt;1/1/1990,"",IF(Main[[#This Row],[Class]]="C",WORKDAY(Main[[#This Row],[Tech Start Date]],23),IF(Main[[#This Row],[Class]]="B", WORKDAY(Main[[#This Row],[Tech Start Date]],15),IF(Main[[#This Row],[Class]]="A",WORKDAY(Main[[#This Row],[Tech Start Date]],5),""))))</f>
        <v/>
      </c>
      <c r="P541" s="73" t="str">
        <f>IF(Main[[#This Row],[Tech Start Date]]&lt;1/1/1990,"",IF(Main[[#This Row],[Class]]="C",WORKDAY(Main[[#This Row],[Tech Start Date]],28),IF(Main[[#This Row],[Class]]="B", WORKDAY(Main[[#This Row],[Tech Start Date]],19),IF(Main[[#This Row],[Class]]="A",WORKDAY(Main[[#This Row],[Tech Start Date]],9),""))))</f>
        <v/>
      </c>
      <c r="Q541" s="85">
        <v>40676</v>
      </c>
      <c r="R541" s="112"/>
      <c r="S541" s="95" t="s">
        <v>6</v>
      </c>
      <c r="T541" s="74" t="s">
        <v>4</v>
      </c>
      <c r="U541" s="95" t="s">
        <v>14</v>
      </c>
      <c r="V541" s="95" t="s">
        <v>1911</v>
      </c>
      <c r="W541" s="95" t="s">
        <v>1915</v>
      </c>
      <c r="X541" s="95" t="s">
        <v>2801</v>
      </c>
      <c r="Y541" s="72" t="s">
        <v>2914</v>
      </c>
      <c r="Z541" s="72" t="s">
        <v>4</v>
      </c>
      <c r="AA541" s="95" t="s">
        <v>2801</v>
      </c>
      <c r="AB541" s="132"/>
      <c r="AC541" s="132"/>
      <c r="AD541" s="132"/>
      <c r="AE541" s="63"/>
      <c r="AF541" s="63"/>
      <c r="AG541" s="63"/>
    </row>
    <row r="542" spans="1:33" ht="17.2" customHeight="1">
      <c r="A542" s="64" t="str">
        <f>IF(priority(Main[[#This Row],[Comments]])&lt;&gt;0, priority(Main[[#This Row],[Comments]]),"")</f>
        <v/>
      </c>
      <c r="B542" s="60" t="s">
        <v>1318</v>
      </c>
      <c r="C542" s="72" t="s">
        <v>47</v>
      </c>
      <c r="D542" s="59" t="s">
        <v>146</v>
      </c>
      <c r="E542" s="85"/>
      <c r="F542" s="85"/>
      <c r="G542" s="64" t="str">
        <f>IF(stdProdLT(Main[[#This Row],[Comments]])=0.1,"N/A",IF(stdProdLT(Main[[#This Row],[Comments]])=0,"",TRIM(stdProdLT(Main[[#This Row],[Comments]]))))</f>
        <v/>
      </c>
      <c r="H542" s="94" t="str">
        <f>IF(OR(Main[[#This Row],[Std. Prod. Lead Time]]="N/A",Main[[#This Row],[Std. Prod. Lead Time]]=""), "",IF(AND(Main[[#This Row],[In Stock Date]]&lt;&gt;"",Main[[#This Row],[Revised Due Date]]&lt;&gt;"",Main[[#This Row],[In Stock Date]]&lt;&gt;""),Main[[#This Row],[In Stock Date]]-Main[[#This Row],[Revised Due Date]],""))</f>
        <v/>
      </c>
      <c r="I542" s="101" t="s">
        <v>4</v>
      </c>
      <c r="J542" s="95" t="s">
        <v>4</v>
      </c>
      <c r="K542" s="95" t="s">
        <v>4</v>
      </c>
      <c r="L542" s="85"/>
      <c r="M542" s="73" t="str">
        <f>IF(Main[[#This Row],[Tech Start Date]]&lt;1/1/1990,"",IF(Main[[#This Row],[Class]]="C",WORKDAY(Main[[#This Row],[Tech Start Date]],9),IF(Main[[#This Row],[Class]]="B", WORKDAY(Main[[#This Row],[Tech Start Date]],6),IF(Main[[#This Row],[Class]]="A",WORKDAY(Main[[#This Row],[Tech Start Date]],2),""))))</f>
        <v/>
      </c>
      <c r="N542" s="73" t="str">
        <f>IF(Main[[#This Row],[Tech Start Date]]&lt;1/1/1990,"",IF(Main[[#This Row],[Class]]="C",WORKDAY(Main[[#This Row],[Tech Start Date]],19),IF(Main[[#This Row],[Class]]="B", WORKDAY(Main[[#This Row],[Tech Start Date]],12),IF(Main[[#This Row],[Class]]="A",WORKDAY(Main[[#This Row],[Tech Start Date]],4),""))))</f>
        <v/>
      </c>
      <c r="O542" s="73" t="str">
        <f>IF(Main[[#This Row],[Tech Start Date]]&lt;1/1/1990,"",IF(Main[[#This Row],[Class]]="C",WORKDAY(Main[[#This Row],[Tech Start Date]],23),IF(Main[[#This Row],[Class]]="B", WORKDAY(Main[[#This Row],[Tech Start Date]],15),IF(Main[[#This Row],[Class]]="A",WORKDAY(Main[[#This Row],[Tech Start Date]],5),""))))</f>
        <v/>
      </c>
      <c r="P542" s="73" t="str">
        <f>IF(Main[[#This Row],[Tech Start Date]]&lt;1/1/1990,"",IF(Main[[#This Row],[Class]]="C",WORKDAY(Main[[#This Row],[Tech Start Date]],28),IF(Main[[#This Row],[Class]]="B", WORKDAY(Main[[#This Row],[Tech Start Date]],19),IF(Main[[#This Row],[Class]]="A",WORKDAY(Main[[#This Row],[Tech Start Date]],9),""))))</f>
        <v/>
      </c>
      <c r="Q542" s="85"/>
      <c r="R542" s="112"/>
      <c r="S542" s="95" t="s">
        <v>4</v>
      </c>
      <c r="T542" s="74" t="s">
        <v>4</v>
      </c>
      <c r="U542" s="95" t="s">
        <v>14</v>
      </c>
      <c r="V542" s="95" t="s">
        <v>1912</v>
      </c>
      <c r="W542" s="95" t="s">
        <v>4</v>
      </c>
      <c r="X542" s="95" t="s">
        <v>306</v>
      </c>
      <c r="Y542" s="72" t="s">
        <v>2919</v>
      </c>
      <c r="Z542" s="72" t="s">
        <v>4</v>
      </c>
      <c r="AA542" s="95" t="s">
        <v>3337</v>
      </c>
      <c r="AB542" s="132"/>
      <c r="AC542" s="132"/>
      <c r="AD542" s="132"/>
      <c r="AE542" s="63"/>
      <c r="AF542" s="63"/>
      <c r="AG542" s="63"/>
    </row>
    <row r="543" spans="1:33" ht="17.2" customHeight="1">
      <c r="A543" s="64" t="str">
        <f>IF(priority(Main[[#This Row],[Comments]])&lt;&gt;0, priority(Main[[#This Row],[Comments]]),"")</f>
        <v/>
      </c>
      <c r="B543" s="60" t="s">
        <v>1319</v>
      </c>
      <c r="C543" s="72" t="s">
        <v>401</v>
      </c>
      <c r="D543" s="59" t="s">
        <v>402</v>
      </c>
      <c r="E543" s="85"/>
      <c r="F543" s="85">
        <v>40447</v>
      </c>
      <c r="G543" s="64" t="str">
        <f>IF(stdProdLT(Main[[#This Row],[Comments]])=0.1,"N/A",IF(stdProdLT(Main[[#This Row],[Comments]])=0,"",TRIM(stdProdLT(Main[[#This Row],[Comments]]))))</f>
        <v/>
      </c>
      <c r="H543" s="94" t="str">
        <f>IF(OR(Main[[#This Row],[Std. Prod. Lead Time]]="N/A",Main[[#This Row],[Std. Prod. Lead Time]]=""), "",IF(AND(Main[[#This Row],[In Stock Date]]&lt;&gt;"",Main[[#This Row],[Revised Due Date]]&lt;&gt;"",Main[[#This Row],[In Stock Date]]&lt;&gt;""),Main[[#This Row],[In Stock Date]]-Main[[#This Row],[Revised Due Date]],""))</f>
        <v/>
      </c>
      <c r="I543" s="101" t="s">
        <v>4</v>
      </c>
      <c r="J543" s="95" t="s">
        <v>4</v>
      </c>
      <c r="K543" s="95" t="s">
        <v>4</v>
      </c>
      <c r="L543" s="85"/>
      <c r="M543" s="73" t="str">
        <f>IF(Main[[#This Row],[Tech Start Date]]&lt;1/1/1990,"",IF(Main[[#This Row],[Class]]="C",WORKDAY(Main[[#This Row],[Tech Start Date]],9),IF(Main[[#This Row],[Class]]="B", WORKDAY(Main[[#This Row],[Tech Start Date]],6),IF(Main[[#This Row],[Class]]="A",WORKDAY(Main[[#This Row],[Tech Start Date]],2),""))))</f>
        <v/>
      </c>
      <c r="N543" s="73" t="str">
        <f>IF(Main[[#This Row],[Tech Start Date]]&lt;1/1/1990,"",IF(Main[[#This Row],[Class]]="C",WORKDAY(Main[[#This Row],[Tech Start Date]],19),IF(Main[[#This Row],[Class]]="B", WORKDAY(Main[[#This Row],[Tech Start Date]],12),IF(Main[[#This Row],[Class]]="A",WORKDAY(Main[[#This Row],[Tech Start Date]],4),""))))</f>
        <v/>
      </c>
      <c r="O543" s="73" t="str">
        <f>IF(Main[[#This Row],[Tech Start Date]]&lt;1/1/1990,"",IF(Main[[#This Row],[Class]]="C",WORKDAY(Main[[#This Row],[Tech Start Date]],23),IF(Main[[#This Row],[Class]]="B", WORKDAY(Main[[#This Row],[Tech Start Date]],15),IF(Main[[#This Row],[Class]]="A",WORKDAY(Main[[#This Row],[Tech Start Date]],5),""))))</f>
        <v/>
      </c>
      <c r="P543" s="73" t="str">
        <f>IF(Main[[#This Row],[Tech Start Date]]&lt;1/1/1990,"",IF(Main[[#This Row],[Class]]="C",WORKDAY(Main[[#This Row],[Tech Start Date]],28),IF(Main[[#This Row],[Class]]="B", WORKDAY(Main[[#This Row],[Tech Start Date]],19),IF(Main[[#This Row],[Class]]="A",WORKDAY(Main[[#This Row],[Tech Start Date]],9),""))))</f>
        <v/>
      </c>
      <c r="Q543" s="85">
        <v>40349</v>
      </c>
      <c r="R543" s="112"/>
      <c r="S543" s="95" t="s">
        <v>11</v>
      </c>
      <c r="T543" s="74" t="s">
        <v>4</v>
      </c>
      <c r="U543" s="95" t="s">
        <v>14</v>
      </c>
      <c r="V543" s="95" t="s">
        <v>1921</v>
      </c>
      <c r="W543" s="95" t="s">
        <v>1916</v>
      </c>
      <c r="X543" s="95" t="s">
        <v>2830</v>
      </c>
      <c r="Y543" s="72" t="s">
        <v>4</v>
      </c>
      <c r="Z543" s="72" t="s">
        <v>4</v>
      </c>
      <c r="AA543" s="95" t="s">
        <v>2830</v>
      </c>
      <c r="AB543" s="132"/>
      <c r="AC543" s="132"/>
      <c r="AD543" s="132"/>
      <c r="AE543" s="63"/>
      <c r="AF543" s="63"/>
      <c r="AG543" s="63"/>
    </row>
    <row r="544" spans="1:33" ht="17.2" customHeight="1">
      <c r="A544" s="64" t="str">
        <f>IF(priority(Main[[#This Row],[Comments]])&lt;&gt;0, priority(Main[[#This Row],[Comments]]),"")</f>
        <v/>
      </c>
      <c r="B544" s="60" t="s">
        <v>2080</v>
      </c>
      <c r="C544" s="72" t="s">
        <v>47</v>
      </c>
      <c r="D544" s="59" t="s">
        <v>876</v>
      </c>
      <c r="E544" s="85"/>
      <c r="F544" s="85"/>
      <c r="G544" s="64" t="str">
        <f>IF(stdProdLT(Main[[#This Row],[Comments]])=0.1,"N/A",IF(stdProdLT(Main[[#This Row],[Comments]])=0,"",TRIM(stdProdLT(Main[[#This Row],[Comments]]))))</f>
        <v/>
      </c>
      <c r="H544" s="94" t="str">
        <f>IF(OR(Main[[#This Row],[Std. Prod. Lead Time]]="N/A",Main[[#This Row],[Std. Prod. Lead Time]]=""), "",IF(AND(Main[[#This Row],[In Stock Date]]&lt;&gt;"",Main[[#This Row],[Revised Due Date]]&lt;&gt;"",Main[[#This Row],[In Stock Date]]&lt;&gt;""),Main[[#This Row],[In Stock Date]]-Main[[#This Row],[Revised Due Date]],""))</f>
        <v/>
      </c>
      <c r="I544" s="101" t="s">
        <v>4</v>
      </c>
      <c r="J544" s="95" t="s">
        <v>4</v>
      </c>
      <c r="K544" s="95" t="s">
        <v>4</v>
      </c>
      <c r="L544" s="85"/>
      <c r="M544" s="73" t="str">
        <f>IF(Main[[#This Row],[Tech Start Date]]&lt;1/1/1990,"",IF(Main[[#This Row],[Class]]="C",WORKDAY(Main[[#This Row],[Tech Start Date]],9),IF(Main[[#This Row],[Class]]="B", WORKDAY(Main[[#This Row],[Tech Start Date]],6),IF(Main[[#This Row],[Class]]="A",WORKDAY(Main[[#This Row],[Tech Start Date]],2),""))))</f>
        <v/>
      </c>
      <c r="N544" s="73" t="str">
        <f>IF(Main[[#This Row],[Tech Start Date]]&lt;1/1/1990,"",IF(Main[[#This Row],[Class]]="C",WORKDAY(Main[[#This Row],[Tech Start Date]],19),IF(Main[[#This Row],[Class]]="B", WORKDAY(Main[[#This Row],[Tech Start Date]],12),IF(Main[[#This Row],[Class]]="A",WORKDAY(Main[[#This Row],[Tech Start Date]],4),""))))</f>
        <v/>
      </c>
      <c r="O544" s="73" t="str">
        <f>IF(Main[[#This Row],[Tech Start Date]]&lt;1/1/1990,"",IF(Main[[#This Row],[Class]]="C",WORKDAY(Main[[#This Row],[Tech Start Date]],23),IF(Main[[#This Row],[Class]]="B", WORKDAY(Main[[#This Row],[Tech Start Date]],15),IF(Main[[#This Row],[Class]]="A",WORKDAY(Main[[#This Row],[Tech Start Date]],5),""))))</f>
        <v/>
      </c>
      <c r="P544" s="73" t="str">
        <f>IF(Main[[#This Row],[Tech Start Date]]&lt;1/1/1990,"",IF(Main[[#This Row],[Class]]="C",WORKDAY(Main[[#This Row],[Tech Start Date]],28),IF(Main[[#This Row],[Class]]="B", WORKDAY(Main[[#This Row],[Tech Start Date]],19),IF(Main[[#This Row],[Class]]="A",WORKDAY(Main[[#This Row],[Tech Start Date]],9),""))))</f>
        <v/>
      </c>
      <c r="Q544" s="85">
        <v>40267</v>
      </c>
      <c r="R544" s="112"/>
      <c r="S544" s="95" t="s">
        <v>17</v>
      </c>
      <c r="T544" s="74" t="s">
        <v>4</v>
      </c>
      <c r="U544" s="95" t="s">
        <v>14</v>
      </c>
      <c r="V544" s="95" t="s">
        <v>1911</v>
      </c>
      <c r="W544" s="95" t="s">
        <v>1915</v>
      </c>
      <c r="X544" s="95" t="s">
        <v>2862</v>
      </c>
      <c r="Y544" s="72" t="s">
        <v>2919</v>
      </c>
      <c r="Z544" s="72" t="s">
        <v>4</v>
      </c>
      <c r="AA544" s="95" t="s">
        <v>3337</v>
      </c>
      <c r="AB544" s="132"/>
      <c r="AC544" s="132"/>
      <c r="AD544" s="132"/>
      <c r="AE544" s="63"/>
      <c r="AF544" s="63"/>
      <c r="AG544" s="63"/>
    </row>
    <row r="545" spans="1:33" ht="17.2" customHeight="1">
      <c r="A545" s="64" t="str">
        <f>IF(priority(Main[[#This Row],[Comments]])&lt;&gt;0, priority(Main[[#This Row],[Comments]]),"")</f>
        <v/>
      </c>
      <c r="B545" s="60" t="s">
        <v>1320</v>
      </c>
      <c r="C545" s="72" t="s">
        <v>113</v>
      </c>
      <c r="D545" s="59" t="s">
        <v>403</v>
      </c>
      <c r="E545" s="85"/>
      <c r="F545" s="85"/>
      <c r="G545" s="64" t="str">
        <f>IF(stdProdLT(Main[[#This Row],[Comments]])=0.1,"N/A",IF(stdProdLT(Main[[#This Row],[Comments]])=0,"",TRIM(stdProdLT(Main[[#This Row],[Comments]]))))</f>
        <v/>
      </c>
      <c r="H545" s="94" t="str">
        <f>IF(OR(Main[[#This Row],[Std. Prod. Lead Time]]="N/A",Main[[#This Row],[Std. Prod. Lead Time]]=""), "",IF(AND(Main[[#This Row],[In Stock Date]]&lt;&gt;"",Main[[#This Row],[Revised Due Date]]&lt;&gt;"",Main[[#This Row],[In Stock Date]]&lt;&gt;""),Main[[#This Row],[In Stock Date]]-Main[[#This Row],[Revised Due Date]],""))</f>
        <v/>
      </c>
      <c r="I545" s="101" t="s">
        <v>4</v>
      </c>
      <c r="J545" s="95" t="s">
        <v>4</v>
      </c>
      <c r="K545" s="95" t="s">
        <v>4</v>
      </c>
      <c r="L545" s="85"/>
      <c r="M545" s="73" t="str">
        <f>IF(Main[[#This Row],[Tech Start Date]]&lt;1/1/1990,"",IF(Main[[#This Row],[Class]]="C",WORKDAY(Main[[#This Row],[Tech Start Date]],9),IF(Main[[#This Row],[Class]]="B", WORKDAY(Main[[#This Row],[Tech Start Date]],6),IF(Main[[#This Row],[Class]]="A",WORKDAY(Main[[#This Row],[Tech Start Date]],2),""))))</f>
        <v/>
      </c>
      <c r="N545" s="73" t="str">
        <f>IF(Main[[#This Row],[Tech Start Date]]&lt;1/1/1990,"",IF(Main[[#This Row],[Class]]="C",WORKDAY(Main[[#This Row],[Tech Start Date]],19),IF(Main[[#This Row],[Class]]="B", WORKDAY(Main[[#This Row],[Tech Start Date]],12),IF(Main[[#This Row],[Class]]="A",WORKDAY(Main[[#This Row],[Tech Start Date]],4),""))))</f>
        <v/>
      </c>
      <c r="O545" s="73" t="str">
        <f>IF(Main[[#This Row],[Tech Start Date]]&lt;1/1/1990,"",IF(Main[[#This Row],[Class]]="C",WORKDAY(Main[[#This Row],[Tech Start Date]],23),IF(Main[[#This Row],[Class]]="B", WORKDAY(Main[[#This Row],[Tech Start Date]],15),IF(Main[[#This Row],[Class]]="A",WORKDAY(Main[[#This Row],[Tech Start Date]],5),""))))</f>
        <v/>
      </c>
      <c r="P545" s="73" t="str">
        <f>IF(Main[[#This Row],[Tech Start Date]]&lt;1/1/1990,"",IF(Main[[#This Row],[Class]]="C",WORKDAY(Main[[#This Row],[Tech Start Date]],28),IF(Main[[#This Row],[Class]]="B", WORKDAY(Main[[#This Row],[Tech Start Date]],19),IF(Main[[#This Row],[Class]]="A",WORKDAY(Main[[#This Row],[Tech Start Date]],9),""))))</f>
        <v/>
      </c>
      <c r="Q545" s="85"/>
      <c r="R545" s="112"/>
      <c r="S545" s="95" t="s">
        <v>11</v>
      </c>
      <c r="T545" s="74" t="s">
        <v>4</v>
      </c>
      <c r="U545" s="95" t="s">
        <v>14</v>
      </c>
      <c r="V545" s="95" t="s">
        <v>1914</v>
      </c>
      <c r="W545" s="95" t="s">
        <v>1919</v>
      </c>
      <c r="X545" s="95" t="s">
        <v>2824</v>
      </c>
      <c r="Y545" s="72" t="s">
        <v>2955</v>
      </c>
      <c r="Z545" s="72" t="s">
        <v>4</v>
      </c>
      <c r="AA545" s="95" t="s">
        <v>2824</v>
      </c>
      <c r="AB545" s="132"/>
      <c r="AC545" s="132"/>
      <c r="AD545" s="132"/>
      <c r="AE545" s="63"/>
      <c r="AF545" s="63"/>
      <c r="AG545" s="63"/>
    </row>
    <row r="546" spans="1:33" ht="17.2" customHeight="1">
      <c r="A546" s="64" t="str">
        <f>IF(priority(Main[[#This Row],[Comments]])&lt;&gt;0, priority(Main[[#This Row],[Comments]]),"")</f>
        <v/>
      </c>
      <c r="B546" s="60" t="s">
        <v>1322</v>
      </c>
      <c r="C546" s="72" t="s">
        <v>4</v>
      </c>
      <c r="D546" s="59" t="s">
        <v>404</v>
      </c>
      <c r="E546" s="85">
        <v>40387.702291666668</v>
      </c>
      <c r="F546" s="85"/>
      <c r="G546" s="64" t="str">
        <f>IF(stdProdLT(Main[[#This Row],[Comments]])=0.1,"N/A",IF(stdProdLT(Main[[#This Row],[Comments]])=0,"",TRIM(stdProdLT(Main[[#This Row],[Comments]]))))</f>
        <v/>
      </c>
      <c r="H546" s="94" t="str">
        <f>IF(OR(Main[[#This Row],[Std. Prod. Lead Time]]="N/A",Main[[#This Row],[Std. Prod. Lead Time]]=""), "",IF(AND(Main[[#This Row],[In Stock Date]]&lt;&gt;"",Main[[#This Row],[Revised Due Date]]&lt;&gt;"",Main[[#This Row],[In Stock Date]]&lt;&gt;""),Main[[#This Row],[In Stock Date]]-Main[[#This Row],[Revised Due Date]],""))</f>
        <v/>
      </c>
      <c r="I546" s="101" t="s">
        <v>4</v>
      </c>
      <c r="J546" s="95" t="s">
        <v>28</v>
      </c>
      <c r="K546" s="96" t="s">
        <v>4</v>
      </c>
      <c r="L546" s="85"/>
      <c r="M546" s="73" t="str">
        <f>IF(Main[[#This Row],[Tech Start Date]]&lt;1/1/1990,"",IF(Main[[#This Row],[Class]]="C",WORKDAY(Main[[#This Row],[Tech Start Date]],9),IF(Main[[#This Row],[Class]]="B", WORKDAY(Main[[#This Row],[Tech Start Date]],6),IF(Main[[#This Row],[Class]]="A",WORKDAY(Main[[#This Row],[Tech Start Date]],2),""))))</f>
        <v/>
      </c>
      <c r="N546" s="73" t="str">
        <f>IF(Main[[#This Row],[Tech Start Date]]&lt;1/1/1990,"",IF(Main[[#This Row],[Class]]="C",WORKDAY(Main[[#This Row],[Tech Start Date]],19),IF(Main[[#This Row],[Class]]="B", WORKDAY(Main[[#This Row],[Tech Start Date]],12),IF(Main[[#This Row],[Class]]="A",WORKDAY(Main[[#This Row],[Tech Start Date]],4),""))))</f>
        <v/>
      </c>
      <c r="O546" s="73" t="str">
        <f>IF(Main[[#This Row],[Tech Start Date]]&lt;1/1/1990,"",IF(Main[[#This Row],[Class]]="C",WORKDAY(Main[[#This Row],[Tech Start Date]],23),IF(Main[[#This Row],[Class]]="B", WORKDAY(Main[[#This Row],[Tech Start Date]],15),IF(Main[[#This Row],[Class]]="A",WORKDAY(Main[[#This Row],[Tech Start Date]],5),""))))</f>
        <v/>
      </c>
      <c r="P546" s="73" t="str">
        <f>IF(Main[[#This Row],[Tech Start Date]]&lt;1/1/1990,"",IF(Main[[#This Row],[Class]]="C",WORKDAY(Main[[#This Row],[Tech Start Date]],28),IF(Main[[#This Row],[Class]]="B", WORKDAY(Main[[#This Row],[Tech Start Date]],19),IF(Main[[#This Row],[Class]]="A",WORKDAY(Main[[#This Row],[Tech Start Date]],9),""))))</f>
        <v/>
      </c>
      <c r="Q546" s="85">
        <v>40400</v>
      </c>
      <c r="R546" s="112"/>
      <c r="S546" s="95" t="s">
        <v>6</v>
      </c>
      <c r="T546" s="74" t="s">
        <v>4</v>
      </c>
      <c r="U546" s="95" t="s">
        <v>7</v>
      </c>
      <c r="V546" s="95" t="s">
        <v>1911</v>
      </c>
      <c r="W546" s="95" t="s">
        <v>1913</v>
      </c>
      <c r="X546" s="95" t="s">
        <v>102</v>
      </c>
      <c r="Y546" s="72" t="s">
        <v>3010</v>
      </c>
      <c r="Z546" s="72" t="s">
        <v>129</v>
      </c>
      <c r="AA546" s="95" t="s">
        <v>3357</v>
      </c>
      <c r="AB546" s="132"/>
      <c r="AC546" s="132"/>
      <c r="AD546" s="132"/>
      <c r="AE546" s="63"/>
      <c r="AF546" s="63"/>
      <c r="AG546" s="63"/>
    </row>
    <row r="547" spans="1:33" ht="17.2" customHeight="1">
      <c r="A547" s="64" t="str">
        <f>IF(priority(Main[[#This Row],[Comments]])&lt;&gt;0, priority(Main[[#This Row],[Comments]]),"")</f>
        <v/>
      </c>
      <c r="B547" s="60" t="s">
        <v>1192</v>
      </c>
      <c r="C547" s="72" t="s">
        <v>4</v>
      </c>
      <c r="D547" s="59" t="s">
        <v>252</v>
      </c>
      <c r="E547" s="85"/>
      <c r="F547" s="85"/>
      <c r="G547" s="64" t="str">
        <f>IF(stdProdLT(Main[[#This Row],[Comments]])=0.1,"N/A",IF(stdProdLT(Main[[#This Row],[Comments]])=0,"",TRIM(stdProdLT(Main[[#This Row],[Comments]]))))</f>
        <v/>
      </c>
      <c r="H547" s="94" t="str">
        <f>IF(OR(Main[[#This Row],[Std. Prod. Lead Time]]="N/A",Main[[#This Row],[Std. Prod. Lead Time]]=""), "",IF(AND(Main[[#This Row],[In Stock Date]]&lt;&gt;"",Main[[#This Row],[Revised Due Date]]&lt;&gt;"",Main[[#This Row],[In Stock Date]]&lt;&gt;""),Main[[#This Row],[In Stock Date]]-Main[[#This Row],[Revised Due Date]],""))</f>
        <v/>
      </c>
      <c r="I547" s="101" t="s">
        <v>4</v>
      </c>
      <c r="J547" s="95" t="s">
        <v>4</v>
      </c>
      <c r="K547" s="95" t="s">
        <v>4</v>
      </c>
      <c r="L547" s="85"/>
      <c r="M547" s="73" t="str">
        <f>IF(Main[[#This Row],[Tech Start Date]]&lt;1/1/1990,"",IF(Main[[#This Row],[Class]]="C",WORKDAY(Main[[#This Row],[Tech Start Date]],9),IF(Main[[#This Row],[Class]]="B", WORKDAY(Main[[#This Row],[Tech Start Date]],6),IF(Main[[#This Row],[Class]]="A",WORKDAY(Main[[#This Row],[Tech Start Date]],2),""))))</f>
        <v/>
      </c>
      <c r="N547" s="73" t="str">
        <f>IF(Main[[#This Row],[Tech Start Date]]&lt;1/1/1990,"",IF(Main[[#This Row],[Class]]="C",WORKDAY(Main[[#This Row],[Tech Start Date]],19),IF(Main[[#This Row],[Class]]="B", WORKDAY(Main[[#This Row],[Tech Start Date]],12),IF(Main[[#This Row],[Class]]="A",WORKDAY(Main[[#This Row],[Tech Start Date]],4),""))))</f>
        <v/>
      </c>
      <c r="O547" s="73" t="str">
        <f>IF(Main[[#This Row],[Tech Start Date]]&lt;1/1/1990,"",IF(Main[[#This Row],[Class]]="C",WORKDAY(Main[[#This Row],[Tech Start Date]],23),IF(Main[[#This Row],[Class]]="B", WORKDAY(Main[[#This Row],[Tech Start Date]],15),IF(Main[[#This Row],[Class]]="A",WORKDAY(Main[[#This Row],[Tech Start Date]],5),""))))</f>
        <v/>
      </c>
      <c r="P547" s="73" t="str">
        <f>IF(Main[[#This Row],[Tech Start Date]]&lt;1/1/1990,"",IF(Main[[#This Row],[Class]]="C",WORKDAY(Main[[#This Row],[Tech Start Date]],28),IF(Main[[#This Row],[Class]]="B", WORKDAY(Main[[#This Row],[Tech Start Date]],19),IF(Main[[#This Row],[Class]]="A",WORKDAY(Main[[#This Row],[Tech Start Date]],9),""))))</f>
        <v/>
      </c>
      <c r="Q547" s="85"/>
      <c r="R547" s="112"/>
      <c r="S547" s="95" t="s">
        <v>11</v>
      </c>
      <c r="T547" s="74" t="s">
        <v>4</v>
      </c>
      <c r="U547" s="95" t="s">
        <v>12</v>
      </c>
      <c r="V547" s="95" t="s">
        <v>1911</v>
      </c>
      <c r="W547" s="95" t="s">
        <v>1915</v>
      </c>
      <c r="X547" s="95" t="s">
        <v>877</v>
      </c>
      <c r="Y547" s="72" t="s">
        <v>3012</v>
      </c>
      <c r="Z547" s="72" t="s">
        <v>4</v>
      </c>
      <c r="AA547" s="95" t="s">
        <v>3362</v>
      </c>
      <c r="AB547" s="132"/>
      <c r="AC547" s="132"/>
      <c r="AD547" s="132"/>
      <c r="AE547" s="63"/>
      <c r="AF547" s="63"/>
      <c r="AG547" s="63"/>
    </row>
    <row r="548" spans="1:33" ht="17.2" customHeight="1">
      <c r="A548" s="64" t="str">
        <f>IF(priority(Main[[#This Row],[Comments]])&lt;&gt;0, priority(Main[[#This Row],[Comments]]),"")</f>
        <v/>
      </c>
      <c r="B548" s="60" t="s">
        <v>1193</v>
      </c>
      <c r="C548" s="72" t="s">
        <v>155</v>
      </c>
      <c r="D548" s="59" t="s">
        <v>253</v>
      </c>
      <c r="E548" s="85"/>
      <c r="F548" s="85"/>
      <c r="G548" s="64" t="str">
        <f>IF(stdProdLT(Main[[#This Row],[Comments]])=0.1,"N/A",IF(stdProdLT(Main[[#This Row],[Comments]])=0,"",TRIM(stdProdLT(Main[[#This Row],[Comments]]))))</f>
        <v/>
      </c>
      <c r="H548" s="94" t="str">
        <f>IF(OR(Main[[#This Row],[Std. Prod. Lead Time]]="N/A",Main[[#This Row],[Std. Prod. Lead Time]]=""), "",IF(AND(Main[[#This Row],[In Stock Date]]&lt;&gt;"",Main[[#This Row],[Revised Due Date]]&lt;&gt;"",Main[[#This Row],[In Stock Date]]&lt;&gt;""),Main[[#This Row],[In Stock Date]]-Main[[#This Row],[Revised Due Date]],""))</f>
        <v/>
      </c>
      <c r="I548" s="101" t="s">
        <v>4</v>
      </c>
      <c r="J548" s="95" t="s">
        <v>4</v>
      </c>
      <c r="K548" s="95" t="s">
        <v>4</v>
      </c>
      <c r="L548" s="85"/>
      <c r="M548" s="73" t="str">
        <f>IF(Main[[#This Row],[Tech Start Date]]&lt;1/1/1990,"",IF(Main[[#This Row],[Class]]="C",WORKDAY(Main[[#This Row],[Tech Start Date]],9),IF(Main[[#This Row],[Class]]="B", WORKDAY(Main[[#This Row],[Tech Start Date]],6),IF(Main[[#This Row],[Class]]="A",WORKDAY(Main[[#This Row],[Tech Start Date]],2),""))))</f>
        <v/>
      </c>
      <c r="N548" s="73" t="str">
        <f>IF(Main[[#This Row],[Tech Start Date]]&lt;1/1/1990,"",IF(Main[[#This Row],[Class]]="C",WORKDAY(Main[[#This Row],[Tech Start Date]],19),IF(Main[[#This Row],[Class]]="B", WORKDAY(Main[[#This Row],[Tech Start Date]],12),IF(Main[[#This Row],[Class]]="A",WORKDAY(Main[[#This Row],[Tech Start Date]],4),""))))</f>
        <v/>
      </c>
      <c r="O548" s="73" t="str">
        <f>IF(Main[[#This Row],[Tech Start Date]]&lt;1/1/1990,"",IF(Main[[#This Row],[Class]]="C",WORKDAY(Main[[#This Row],[Tech Start Date]],23),IF(Main[[#This Row],[Class]]="B", WORKDAY(Main[[#This Row],[Tech Start Date]],15),IF(Main[[#This Row],[Class]]="A",WORKDAY(Main[[#This Row],[Tech Start Date]],5),""))))</f>
        <v/>
      </c>
      <c r="P548" s="73" t="str">
        <f>IF(Main[[#This Row],[Tech Start Date]]&lt;1/1/1990,"",IF(Main[[#This Row],[Class]]="C",WORKDAY(Main[[#This Row],[Tech Start Date]],28),IF(Main[[#This Row],[Class]]="B", WORKDAY(Main[[#This Row],[Tech Start Date]],19),IF(Main[[#This Row],[Class]]="A",WORKDAY(Main[[#This Row],[Tech Start Date]],9),""))))</f>
        <v/>
      </c>
      <c r="Q548" s="85">
        <v>40144</v>
      </c>
      <c r="R548" s="112"/>
      <c r="S548" s="95" t="s">
        <v>11</v>
      </c>
      <c r="T548" s="74" t="s">
        <v>4</v>
      </c>
      <c r="U548" s="95" t="s">
        <v>14</v>
      </c>
      <c r="V548" s="95" t="s">
        <v>1911</v>
      </c>
      <c r="W548" s="95" t="s">
        <v>1913</v>
      </c>
      <c r="X548" s="95" t="s">
        <v>2834</v>
      </c>
      <c r="Y548" s="72" t="s">
        <v>4</v>
      </c>
      <c r="Z548" s="72" t="s">
        <v>4</v>
      </c>
      <c r="AA548" s="95" t="s">
        <v>2834</v>
      </c>
      <c r="AB548" s="132"/>
      <c r="AC548" s="132"/>
      <c r="AD548" s="132"/>
      <c r="AE548" s="63"/>
      <c r="AF548" s="63"/>
      <c r="AG548" s="63"/>
    </row>
    <row r="549" spans="1:33" ht="17.2" customHeight="1">
      <c r="A549" s="64" t="str">
        <f>IF(priority(Main[[#This Row],[Comments]])&lt;&gt;0, priority(Main[[#This Row],[Comments]]),"")</f>
        <v/>
      </c>
      <c r="B549" s="60" t="s">
        <v>1616</v>
      </c>
      <c r="C549" s="72" t="s">
        <v>692</v>
      </c>
      <c r="D549" s="59" t="s">
        <v>693</v>
      </c>
      <c r="E549" s="85"/>
      <c r="F549" s="85"/>
      <c r="G549" s="64" t="str">
        <f>IF(stdProdLT(Main[[#This Row],[Comments]])=0.1,"N/A",IF(stdProdLT(Main[[#This Row],[Comments]])=0,"",TRIM(stdProdLT(Main[[#This Row],[Comments]]))))</f>
        <v/>
      </c>
      <c r="H549" s="94" t="str">
        <f>IF(OR(Main[[#This Row],[Std. Prod. Lead Time]]="N/A",Main[[#This Row],[Std. Prod. Lead Time]]=""), "",IF(AND(Main[[#This Row],[In Stock Date]]&lt;&gt;"",Main[[#This Row],[Revised Due Date]]&lt;&gt;"",Main[[#This Row],[In Stock Date]]&lt;&gt;""),Main[[#This Row],[In Stock Date]]-Main[[#This Row],[Revised Due Date]],""))</f>
        <v/>
      </c>
      <c r="I549" s="101" t="s">
        <v>4</v>
      </c>
      <c r="J549" s="95" t="s">
        <v>4</v>
      </c>
      <c r="K549" s="95" t="s">
        <v>4</v>
      </c>
      <c r="L549" s="85"/>
      <c r="M549" s="73" t="str">
        <f>IF(Main[[#This Row],[Tech Start Date]]&lt;1/1/1990,"",IF(Main[[#This Row],[Class]]="C",WORKDAY(Main[[#This Row],[Tech Start Date]],9),IF(Main[[#This Row],[Class]]="B", WORKDAY(Main[[#This Row],[Tech Start Date]],6),IF(Main[[#This Row],[Class]]="A",WORKDAY(Main[[#This Row],[Tech Start Date]],2),""))))</f>
        <v/>
      </c>
      <c r="N549" s="73" t="str">
        <f>IF(Main[[#This Row],[Tech Start Date]]&lt;1/1/1990,"",IF(Main[[#This Row],[Class]]="C",WORKDAY(Main[[#This Row],[Tech Start Date]],19),IF(Main[[#This Row],[Class]]="B", WORKDAY(Main[[#This Row],[Tech Start Date]],12),IF(Main[[#This Row],[Class]]="A",WORKDAY(Main[[#This Row],[Tech Start Date]],4),""))))</f>
        <v/>
      </c>
      <c r="O549" s="73" t="str">
        <f>IF(Main[[#This Row],[Tech Start Date]]&lt;1/1/1990,"",IF(Main[[#This Row],[Class]]="C",WORKDAY(Main[[#This Row],[Tech Start Date]],23),IF(Main[[#This Row],[Class]]="B", WORKDAY(Main[[#This Row],[Tech Start Date]],15),IF(Main[[#This Row],[Class]]="A",WORKDAY(Main[[#This Row],[Tech Start Date]],5),""))))</f>
        <v/>
      </c>
      <c r="P549" s="73" t="str">
        <f>IF(Main[[#This Row],[Tech Start Date]]&lt;1/1/1990,"",IF(Main[[#This Row],[Class]]="C",WORKDAY(Main[[#This Row],[Tech Start Date]],28),IF(Main[[#This Row],[Class]]="B", WORKDAY(Main[[#This Row],[Tech Start Date]],19),IF(Main[[#This Row],[Class]]="A",WORKDAY(Main[[#This Row],[Tech Start Date]],9),""))))</f>
        <v/>
      </c>
      <c r="Q549" s="85">
        <v>40672</v>
      </c>
      <c r="R549" s="112"/>
      <c r="S549" s="95" t="s">
        <v>11</v>
      </c>
      <c r="T549" s="74" t="s">
        <v>4</v>
      </c>
      <c r="U549" s="95" t="s">
        <v>14</v>
      </c>
      <c r="V549" s="95" t="s">
        <v>1911</v>
      </c>
      <c r="W549" s="95" t="s">
        <v>1913</v>
      </c>
      <c r="X549" s="95" t="s">
        <v>2863</v>
      </c>
      <c r="Y549" s="72" t="s">
        <v>4</v>
      </c>
      <c r="Z549" s="72" t="s">
        <v>4</v>
      </c>
      <c r="AA549" s="95" t="s">
        <v>2863</v>
      </c>
      <c r="AB549" s="132"/>
      <c r="AC549" s="132"/>
      <c r="AD549" s="132"/>
      <c r="AE549" s="63"/>
      <c r="AF549" s="63"/>
      <c r="AG549" s="63"/>
    </row>
    <row r="550" spans="1:33" ht="17.2" customHeight="1">
      <c r="A550" s="64" t="str">
        <f>IF(priority(Main[[#This Row],[Comments]])&lt;&gt;0, priority(Main[[#This Row],[Comments]]),"")</f>
        <v/>
      </c>
      <c r="B550" s="60" t="s">
        <v>1202</v>
      </c>
      <c r="C550" s="72" t="s">
        <v>169</v>
      </c>
      <c r="D550" s="59" t="s">
        <v>260</v>
      </c>
      <c r="E550" s="85"/>
      <c r="F550" s="85">
        <v>40237</v>
      </c>
      <c r="G550" s="64" t="str">
        <f>IF(stdProdLT(Main[[#This Row],[Comments]])=0.1,"N/A",IF(stdProdLT(Main[[#This Row],[Comments]])=0,"",TRIM(stdProdLT(Main[[#This Row],[Comments]]))))</f>
        <v/>
      </c>
      <c r="H550" s="94" t="str">
        <f>IF(OR(Main[[#This Row],[Std. Prod. Lead Time]]="N/A",Main[[#This Row],[Std. Prod. Lead Time]]=""), "",IF(AND(Main[[#This Row],[In Stock Date]]&lt;&gt;"",Main[[#This Row],[Revised Due Date]]&lt;&gt;"",Main[[#This Row],[In Stock Date]]&lt;&gt;""),Main[[#This Row],[In Stock Date]]-Main[[#This Row],[Revised Due Date]],""))</f>
        <v/>
      </c>
      <c r="I550" s="101" t="s">
        <v>4</v>
      </c>
      <c r="J550" s="95" t="s">
        <v>4</v>
      </c>
      <c r="K550" s="95" t="s">
        <v>4</v>
      </c>
      <c r="L550" s="85"/>
      <c r="M550" s="73" t="str">
        <f>IF(Main[[#This Row],[Tech Start Date]]&lt;1/1/1990,"",IF(Main[[#This Row],[Class]]="C",WORKDAY(Main[[#This Row],[Tech Start Date]],9),IF(Main[[#This Row],[Class]]="B", WORKDAY(Main[[#This Row],[Tech Start Date]],6),IF(Main[[#This Row],[Class]]="A",WORKDAY(Main[[#This Row],[Tech Start Date]],2),""))))</f>
        <v/>
      </c>
      <c r="N550" s="73" t="str">
        <f>IF(Main[[#This Row],[Tech Start Date]]&lt;1/1/1990,"",IF(Main[[#This Row],[Class]]="C",WORKDAY(Main[[#This Row],[Tech Start Date]],19),IF(Main[[#This Row],[Class]]="B", WORKDAY(Main[[#This Row],[Tech Start Date]],12),IF(Main[[#This Row],[Class]]="A",WORKDAY(Main[[#This Row],[Tech Start Date]],4),""))))</f>
        <v/>
      </c>
      <c r="O550" s="73" t="str">
        <f>IF(Main[[#This Row],[Tech Start Date]]&lt;1/1/1990,"",IF(Main[[#This Row],[Class]]="C",WORKDAY(Main[[#This Row],[Tech Start Date]],23),IF(Main[[#This Row],[Class]]="B", WORKDAY(Main[[#This Row],[Tech Start Date]],15),IF(Main[[#This Row],[Class]]="A",WORKDAY(Main[[#This Row],[Tech Start Date]],5),""))))</f>
        <v/>
      </c>
      <c r="P550" s="73" t="str">
        <f>IF(Main[[#This Row],[Tech Start Date]]&lt;1/1/1990,"",IF(Main[[#This Row],[Class]]="C",WORKDAY(Main[[#This Row],[Tech Start Date]],28),IF(Main[[#This Row],[Class]]="B", WORKDAY(Main[[#This Row],[Tech Start Date]],19),IF(Main[[#This Row],[Class]]="A",WORKDAY(Main[[#This Row],[Tech Start Date]],9),""))))</f>
        <v/>
      </c>
      <c r="Q550" s="85">
        <v>40132</v>
      </c>
      <c r="R550" s="112"/>
      <c r="S550" s="95" t="s">
        <v>11</v>
      </c>
      <c r="T550" s="74" t="s">
        <v>4</v>
      </c>
      <c r="U550" s="95" t="s">
        <v>14</v>
      </c>
      <c r="V550" s="95" t="s">
        <v>1912</v>
      </c>
      <c r="W550" s="95" t="s">
        <v>1916</v>
      </c>
      <c r="X550" s="95" t="s">
        <v>2838</v>
      </c>
      <c r="Y550" s="72" t="s">
        <v>4</v>
      </c>
      <c r="Z550" s="72" t="s">
        <v>4</v>
      </c>
      <c r="AA550" s="95" t="s">
        <v>2838</v>
      </c>
      <c r="AB550" s="132"/>
      <c r="AC550" s="132"/>
      <c r="AD550" s="132"/>
      <c r="AE550" s="63"/>
      <c r="AF550" s="63"/>
      <c r="AG550" s="63"/>
    </row>
    <row r="551" spans="1:33" ht="17.2" customHeight="1">
      <c r="A551" s="64" t="str">
        <f>IF(priority(Main[[#This Row],[Comments]])&lt;&gt;0, priority(Main[[#This Row],[Comments]]),"")</f>
        <v/>
      </c>
      <c r="B551" s="60" t="s">
        <v>1323</v>
      </c>
      <c r="C551" s="72" t="s">
        <v>4</v>
      </c>
      <c r="D551" s="59" t="s">
        <v>405</v>
      </c>
      <c r="E551" s="85"/>
      <c r="F551" s="85"/>
      <c r="G551" s="64" t="str">
        <f>IF(stdProdLT(Main[[#This Row],[Comments]])=0.1,"N/A",IF(stdProdLT(Main[[#This Row],[Comments]])=0,"",TRIM(stdProdLT(Main[[#This Row],[Comments]]))))</f>
        <v/>
      </c>
      <c r="H551" s="94" t="str">
        <f>IF(OR(Main[[#This Row],[Std. Prod. Lead Time]]="N/A",Main[[#This Row],[Std. Prod. Lead Time]]=""), "",IF(AND(Main[[#This Row],[In Stock Date]]&lt;&gt;"",Main[[#This Row],[Revised Due Date]]&lt;&gt;"",Main[[#This Row],[In Stock Date]]&lt;&gt;""),Main[[#This Row],[In Stock Date]]-Main[[#This Row],[Revised Due Date]],""))</f>
        <v/>
      </c>
      <c r="I551" s="101" t="s">
        <v>4</v>
      </c>
      <c r="J551" s="95" t="s">
        <v>4</v>
      </c>
      <c r="K551" s="95" t="s">
        <v>4</v>
      </c>
      <c r="L551" s="85"/>
      <c r="M551" s="73" t="str">
        <f>IF(Main[[#This Row],[Tech Start Date]]&lt;1/1/1990,"",IF(Main[[#This Row],[Class]]="C",WORKDAY(Main[[#This Row],[Tech Start Date]],9),IF(Main[[#This Row],[Class]]="B", WORKDAY(Main[[#This Row],[Tech Start Date]],6),IF(Main[[#This Row],[Class]]="A",WORKDAY(Main[[#This Row],[Tech Start Date]],2),""))))</f>
        <v/>
      </c>
      <c r="N551" s="73" t="str">
        <f>IF(Main[[#This Row],[Tech Start Date]]&lt;1/1/1990,"",IF(Main[[#This Row],[Class]]="C",WORKDAY(Main[[#This Row],[Tech Start Date]],19),IF(Main[[#This Row],[Class]]="B", WORKDAY(Main[[#This Row],[Tech Start Date]],12),IF(Main[[#This Row],[Class]]="A",WORKDAY(Main[[#This Row],[Tech Start Date]],4),""))))</f>
        <v/>
      </c>
      <c r="O551" s="73" t="str">
        <f>IF(Main[[#This Row],[Tech Start Date]]&lt;1/1/1990,"",IF(Main[[#This Row],[Class]]="C",WORKDAY(Main[[#This Row],[Tech Start Date]],23),IF(Main[[#This Row],[Class]]="B", WORKDAY(Main[[#This Row],[Tech Start Date]],15),IF(Main[[#This Row],[Class]]="A",WORKDAY(Main[[#This Row],[Tech Start Date]],5),""))))</f>
        <v/>
      </c>
      <c r="P551" s="73" t="str">
        <f>IF(Main[[#This Row],[Tech Start Date]]&lt;1/1/1990,"",IF(Main[[#This Row],[Class]]="C",WORKDAY(Main[[#This Row],[Tech Start Date]],28),IF(Main[[#This Row],[Class]]="B", WORKDAY(Main[[#This Row],[Tech Start Date]],19),IF(Main[[#This Row],[Class]]="A",WORKDAY(Main[[#This Row],[Tech Start Date]],9),""))))</f>
        <v/>
      </c>
      <c r="Q551" s="85">
        <v>40390</v>
      </c>
      <c r="R551" s="112"/>
      <c r="S551" s="95" t="s">
        <v>6</v>
      </c>
      <c r="T551" s="74" t="s">
        <v>4</v>
      </c>
      <c r="U551" s="95" t="s">
        <v>14</v>
      </c>
      <c r="V551" s="95" t="s">
        <v>1914</v>
      </c>
      <c r="W551" s="95" t="s">
        <v>4</v>
      </c>
      <c r="X551" s="95" t="s">
        <v>2799</v>
      </c>
      <c r="Y551" s="72" t="s">
        <v>2910</v>
      </c>
      <c r="Z551" s="72" t="s">
        <v>4</v>
      </c>
      <c r="AA551" s="95" t="s">
        <v>2799</v>
      </c>
      <c r="AB551" s="132"/>
      <c r="AC551" s="132"/>
      <c r="AD551" s="132"/>
      <c r="AE551" s="63"/>
      <c r="AF551" s="63"/>
      <c r="AG551" s="63"/>
    </row>
    <row r="552" spans="1:33" ht="17.2" customHeight="1">
      <c r="A552" s="64" t="str">
        <f>IF(priority(Main[[#This Row],[Comments]])&lt;&gt;0, priority(Main[[#This Row],[Comments]]),"")</f>
        <v/>
      </c>
      <c r="B552" s="60" t="s">
        <v>1324</v>
      </c>
      <c r="C552" s="72" t="s">
        <v>169</v>
      </c>
      <c r="D552" s="59" t="s">
        <v>406</v>
      </c>
      <c r="E552" s="85"/>
      <c r="F552" s="85">
        <v>40237</v>
      </c>
      <c r="G552" s="64" t="str">
        <f>IF(stdProdLT(Main[[#This Row],[Comments]])=0.1,"N/A",IF(stdProdLT(Main[[#This Row],[Comments]])=0,"",TRIM(stdProdLT(Main[[#This Row],[Comments]]))))</f>
        <v/>
      </c>
      <c r="H552" s="94" t="str">
        <f>IF(OR(Main[[#This Row],[Std. Prod. Lead Time]]="N/A",Main[[#This Row],[Std. Prod. Lead Time]]=""), "",IF(AND(Main[[#This Row],[In Stock Date]]&lt;&gt;"",Main[[#This Row],[Revised Due Date]]&lt;&gt;"",Main[[#This Row],[In Stock Date]]&lt;&gt;""),Main[[#This Row],[In Stock Date]]-Main[[#This Row],[Revised Due Date]],""))</f>
        <v/>
      </c>
      <c r="I552" s="101" t="s">
        <v>4</v>
      </c>
      <c r="J552" s="95" t="s">
        <v>4</v>
      </c>
      <c r="K552" s="95" t="s">
        <v>4</v>
      </c>
      <c r="L552" s="85"/>
      <c r="M552" s="73" t="str">
        <f>IF(Main[[#This Row],[Tech Start Date]]&lt;1/1/1990,"",IF(Main[[#This Row],[Class]]="C",WORKDAY(Main[[#This Row],[Tech Start Date]],9),IF(Main[[#This Row],[Class]]="B", WORKDAY(Main[[#This Row],[Tech Start Date]],6),IF(Main[[#This Row],[Class]]="A",WORKDAY(Main[[#This Row],[Tech Start Date]],2),""))))</f>
        <v/>
      </c>
      <c r="N552" s="73" t="str">
        <f>IF(Main[[#This Row],[Tech Start Date]]&lt;1/1/1990,"",IF(Main[[#This Row],[Class]]="C",WORKDAY(Main[[#This Row],[Tech Start Date]],19),IF(Main[[#This Row],[Class]]="B", WORKDAY(Main[[#This Row],[Tech Start Date]],12),IF(Main[[#This Row],[Class]]="A",WORKDAY(Main[[#This Row],[Tech Start Date]],4),""))))</f>
        <v/>
      </c>
      <c r="O552" s="73" t="str">
        <f>IF(Main[[#This Row],[Tech Start Date]]&lt;1/1/1990,"",IF(Main[[#This Row],[Class]]="C",WORKDAY(Main[[#This Row],[Tech Start Date]],23),IF(Main[[#This Row],[Class]]="B", WORKDAY(Main[[#This Row],[Tech Start Date]],15),IF(Main[[#This Row],[Class]]="A",WORKDAY(Main[[#This Row],[Tech Start Date]],5),""))))</f>
        <v/>
      </c>
      <c r="P552" s="73" t="str">
        <f>IF(Main[[#This Row],[Tech Start Date]]&lt;1/1/1990,"",IF(Main[[#This Row],[Class]]="C",WORKDAY(Main[[#This Row],[Tech Start Date]],28),IF(Main[[#This Row],[Class]]="B", WORKDAY(Main[[#This Row],[Tech Start Date]],19),IF(Main[[#This Row],[Class]]="A",WORKDAY(Main[[#This Row],[Tech Start Date]],9),""))))</f>
        <v/>
      </c>
      <c r="Q552" s="85">
        <v>40132</v>
      </c>
      <c r="R552" s="112"/>
      <c r="S552" s="95" t="s">
        <v>11</v>
      </c>
      <c r="T552" s="74" t="s">
        <v>4</v>
      </c>
      <c r="U552" s="95" t="s">
        <v>14</v>
      </c>
      <c r="V552" s="95" t="s">
        <v>1911</v>
      </c>
      <c r="W552" s="95" t="s">
        <v>1916</v>
      </c>
      <c r="X552" s="95" t="s">
        <v>2838</v>
      </c>
      <c r="Y552" s="72" t="s">
        <v>4</v>
      </c>
      <c r="Z552" s="72" t="s">
        <v>4</v>
      </c>
      <c r="AA552" s="95" t="s">
        <v>2838</v>
      </c>
      <c r="AB552" s="132"/>
      <c r="AC552" s="132"/>
      <c r="AD552" s="132"/>
      <c r="AE552" s="63"/>
      <c r="AF552" s="63"/>
      <c r="AG552" s="63"/>
    </row>
    <row r="553" spans="1:33" ht="17.2" customHeight="1">
      <c r="A553" s="64" t="str">
        <f>IF(priority(Main[[#This Row],[Comments]])&lt;&gt;0, priority(Main[[#This Row],[Comments]]),"")</f>
        <v/>
      </c>
      <c r="B553" s="60" t="s">
        <v>1325</v>
      </c>
      <c r="C553" s="72" t="s">
        <v>169</v>
      </c>
      <c r="D553" s="59" t="s">
        <v>407</v>
      </c>
      <c r="E553" s="85"/>
      <c r="F553" s="85">
        <v>40237</v>
      </c>
      <c r="G553" s="64" t="str">
        <f>IF(stdProdLT(Main[[#This Row],[Comments]])=0.1,"N/A",IF(stdProdLT(Main[[#This Row],[Comments]])=0,"",TRIM(stdProdLT(Main[[#This Row],[Comments]]))))</f>
        <v/>
      </c>
      <c r="H553" s="94" t="str">
        <f>IF(OR(Main[[#This Row],[Std. Prod. Lead Time]]="N/A",Main[[#This Row],[Std. Prod. Lead Time]]=""), "",IF(AND(Main[[#This Row],[In Stock Date]]&lt;&gt;"",Main[[#This Row],[Revised Due Date]]&lt;&gt;"",Main[[#This Row],[In Stock Date]]&lt;&gt;""),Main[[#This Row],[In Stock Date]]-Main[[#This Row],[Revised Due Date]],""))</f>
        <v/>
      </c>
      <c r="I553" s="101" t="s">
        <v>4</v>
      </c>
      <c r="J553" s="95" t="s">
        <v>4</v>
      </c>
      <c r="K553" s="95" t="s">
        <v>4</v>
      </c>
      <c r="L553" s="85"/>
      <c r="M553" s="73" t="str">
        <f>IF(Main[[#This Row],[Tech Start Date]]&lt;1/1/1990,"",IF(Main[[#This Row],[Class]]="C",WORKDAY(Main[[#This Row],[Tech Start Date]],9),IF(Main[[#This Row],[Class]]="B", WORKDAY(Main[[#This Row],[Tech Start Date]],6),IF(Main[[#This Row],[Class]]="A",WORKDAY(Main[[#This Row],[Tech Start Date]],2),""))))</f>
        <v/>
      </c>
      <c r="N553" s="73" t="str">
        <f>IF(Main[[#This Row],[Tech Start Date]]&lt;1/1/1990,"",IF(Main[[#This Row],[Class]]="C",WORKDAY(Main[[#This Row],[Tech Start Date]],19),IF(Main[[#This Row],[Class]]="B", WORKDAY(Main[[#This Row],[Tech Start Date]],12),IF(Main[[#This Row],[Class]]="A",WORKDAY(Main[[#This Row],[Tech Start Date]],4),""))))</f>
        <v/>
      </c>
      <c r="O553" s="73" t="str">
        <f>IF(Main[[#This Row],[Tech Start Date]]&lt;1/1/1990,"",IF(Main[[#This Row],[Class]]="C",WORKDAY(Main[[#This Row],[Tech Start Date]],23),IF(Main[[#This Row],[Class]]="B", WORKDAY(Main[[#This Row],[Tech Start Date]],15),IF(Main[[#This Row],[Class]]="A",WORKDAY(Main[[#This Row],[Tech Start Date]],5),""))))</f>
        <v/>
      </c>
      <c r="P553" s="73" t="str">
        <f>IF(Main[[#This Row],[Tech Start Date]]&lt;1/1/1990,"",IF(Main[[#This Row],[Class]]="C",WORKDAY(Main[[#This Row],[Tech Start Date]],28),IF(Main[[#This Row],[Class]]="B", WORKDAY(Main[[#This Row],[Tech Start Date]],19),IF(Main[[#This Row],[Class]]="A",WORKDAY(Main[[#This Row],[Tech Start Date]],9),""))))</f>
        <v/>
      </c>
      <c r="Q553" s="85">
        <v>40132</v>
      </c>
      <c r="R553" s="112"/>
      <c r="S553" s="95" t="s">
        <v>11</v>
      </c>
      <c r="T553" s="74" t="s">
        <v>4</v>
      </c>
      <c r="U553" s="95" t="s">
        <v>14</v>
      </c>
      <c r="V553" s="95" t="s">
        <v>1911</v>
      </c>
      <c r="W553" s="95" t="s">
        <v>1916</v>
      </c>
      <c r="X553" s="95" t="s">
        <v>2838</v>
      </c>
      <c r="Y553" s="72" t="s">
        <v>4</v>
      </c>
      <c r="Z553" s="72" t="s">
        <v>4</v>
      </c>
      <c r="AA553" s="95" t="s">
        <v>2838</v>
      </c>
      <c r="AB553" s="132"/>
      <c r="AC553" s="132"/>
      <c r="AD553" s="132"/>
      <c r="AE553" s="63"/>
      <c r="AF553" s="63"/>
      <c r="AG553" s="63"/>
    </row>
    <row r="554" spans="1:33" ht="17.2" customHeight="1">
      <c r="A554" s="64" t="str">
        <f>IF(priority(Main[[#This Row],[Comments]])&lt;&gt;0, priority(Main[[#This Row],[Comments]]),"")</f>
        <v/>
      </c>
      <c r="B554" s="60" t="s">
        <v>1326</v>
      </c>
      <c r="C554" s="72" t="s">
        <v>4</v>
      </c>
      <c r="D554" s="59" t="s">
        <v>408</v>
      </c>
      <c r="E554" s="85"/>
      <c r="F554" s="85"/>
      <c r="G554" s="64" t="str">
        <f>IF(stdProdLT(Main[[#This Row],[Comments]])=0.1,"N/A",IF(stdProdLT(Main[[#This Row],[Comments]])=0,"",TRIM(stdProdLT(Main[[#This Row],[Comments]]))))</f>
        <v/>
      </c>
      <c r="H554" s="94" t="str">
        <f>IF(OR(Main[[#This Row],[Std. Prod. Lead Time]]="N/A",Main[[#This Row],[Std. Prod. Lead Time]]=""), "",IF(AND(Main[[#This Row],[In Stock Date]]&lt;&gt;"",Main[[#This Row],[Revised Due Date]]&lt;&gt;"",Main[[#This Row],[In Stock Date]]&lt;&gt;""),Main[[#This Row],[In Stock Date]]-Main[[#This Row],[Revised Due Date]],""))</f>
        <v/>
      </c>
      <c r="I554" s="101" t="s">
        <v>4</v>
      </c>
      <c r="J554" s="95" t="s">
        <v>28</v>
      </c>
      <c r="K554" s="96" t="s">
        <v>4</v>
      </c>
      <c r="L554" s="85"/>
      <c r="M554" s="73" t="str">
        <f>IF(Main[[#This Row],[Tech Start Date]]&lt;1/1/1990,"",IF(Main[[#This Row],[Class]]="C",WORKDAY(Main[[#This Row],[Tech Start Date]],9),IF(Main[[#This Row],[Class]]="B", WORKDAY(Main[[#This Row],[Tech Start Date]],6),IF(Main[[#This Row],[Class]]="A",WORKDAY(Main[[#This Row],[Tech Start Date]],2),""))))</f>
        <v/>
      </c>
      <c r="N554" s="73" t="str">
        <f>IF(Main[[#This Row],[Tech Start Date]]&lt;1/1/1990,"",IF(Main[[#This Row],[Class]]="C",WORKDAY(Main[[#This Row],[Tech Start Date]],19),IF(Main[[#This Row],[Class]]="B", WORKDAY(Main[[#This Row],[Tech Start Date]],12),IF(Main[[#This Row],[Class]]="A",WORKDAY(Main[[#This Row],[Tech Start Date]],4),""))))</f>
        <v/>
      </c>
      <c r="O554" s="73" t="str">
        <f>IF(Main[[#This Row],[Tech Start Date]]&lt;1/1/1990,"",IF(Main[[#This Row],[Class]]="C",WORKDAY(Main[[#This Row],[Tech Start Date]],23),IF(Main[[#This Row],[Class]]="B", WORKDAY(Main[[#This Row],[Tech Start Date]],15),IF(Main[[#This Row],[Class]]="A",WORKDAY(Main[[#This Row],[Tech Start Date]],5),""))))</f>
        <v/>
      </c>
      <c r="P554" s="73" t="str">
        <f>IF(Main[[#This Row],[Tech Start Date]]&lt;1/1/1990,"",IF(Main[[#This Row],[Class]]="C",WORKDAY(Main[[#This Row],[Tech Start Date]],28),IF(Main[[#This Row],[Class]]="B", WORKDAY(Main[[#This Row],[Tech Start Date]],19),IF(Main[[#This Row],[Class]]="A",WORKDAY(Main[[#This Row],[Tech Start Date]],9),""))))</f>
        <v/>
      </c>
      <c r="Q554" s="85">
        <v>40471</v>
      </c>
      <c r="R554" s="112"/>
      <c r="S554" s="95" t="s">
        <v>6</v>
      </c>
      <c r="T554" s="74" t="s">
        <v>4</v>
      </c>
      <c r="U554" s="95" t="s">
        <v>14</v>
      </c>
      <c r="V554" s="95" t="s">
        <v>1914</v>
      </c>
      <c r="W554" s="95" t="s">
        <v>1913</v>
      </c>
      <c r="X554" s="95" t="s">
        <v>2802</v>
      </c>
      <c r="Y554" s="72" t="s">
        <v>2916</v>
      </c>
      <c r="Z554" s="72" t="s">
        <v>530</v>
      </c>
      <c r="AA554" s="95" t="s">
        <v>2802</v>
      </c>
      <c r="AB554" s="132"/>
      <c r="AC554" s="132"/>
      <c r="AD554" s="132"/>
      <c r="AE554" s="63"/>
      <c r="AF554" s="63"/>
      <c r="AG554" s="63"/>
    </row>
    <row r="555" spans="1:33" ht="17.2" customHeight="1">
      <c r="A555" s="64" t="str">
        <f>IF(priority(Main[[#This Row],[Comments]])&lt;&gt;0, priority(Main[[#This Row],[Comments]]),"")</f>
        <v/>
      </c>
      <c r="B555" s="60" t="s">
        <v>1327</v>
      </c>
      <c r="C555" s="72" t="s">
        <v>4</v>
      </c>
      <c r="D555" s="59" t="s">
        <v>409</v>
      </c>
      <c r="E555" s="85"/>
      <c r="F555" s="85"/>
      <c r="G555" s="64" t="str">
        <f>IF(stdProdLT(Main[[#This Row],[Comments]])=0.1,"N/A",IF(stdProdLT(Main[[#This Row],[Comments]])=0,"",TRIM(stdProdLT(Main[[#This Row],[Comments]]))))</f>
        <v/>
      </c>
      <c r="H555" s="94" t="str">
        <f>IF(OR(Main[[#This Row],[Std. Prod. Lead Time]]="N/A",Main[[#This Row],[Std. Prod. Lead Time]]=""), "",IF(AND(Main[[#This Row],[In Stock Date]]&lt;&gt;"",Main[[#This Row],[Revised Due Date]]&lt;&gt;"",Main[[#This Row],[In Stock Date]]&lt;&gt;""),Main[[#This Row],[In Stock Date]]-Main[[#This Row],[Revised Due Date]],""))</f>
        <v/>
      </c>
      <c r="I555" s="101" t="s">
        <v>4</v>
      </c>
      <c r="J555" s="95" t="s">
        <v>4</v>
      </c>
      <c r="K555" s="95" t="s">
        <v>4</v>
      </c>
      <c r="L555" s="85"/>
      <c r="M555" s="73" t="str">
        <f>IF(Main[[#This Row],[Tech Start Date]]&lt;1/1/1990,"",IF(Main[[#This Row],[Class]]="C",WORKDAY(Main[[#This Row],[Tech Start Date]],9),IF(Main[[#This Row],[Class]]="B", WORKDAY(Main[[#This Row],[Tech Start Date]],6),IF(Main[[#This Row],[Class]]="A",WORKDAY(Main[[#This Row],[Tech Start Date]],2),""))))</f>
        <v/>
      </c>
      <c r="N555" s="73" t="str">
        <f>IF(Main[[#This Row],[Tech Start Date]]&lt;1/1/1990,"",IF(Main[[#This Row],[Class]]="C",WORKDAY(Main[[#This Row],[Tech Start Date]],19),IF(Main[[#This Row],[Class]]="B", WORKDAY(Main[[#This Row],[Tech Start Date]],12),IF(Main[[#This Row],[Class]]="A",WORKDAY(Main[[#This Row],[Tech Start Date]],4),""))))</f>
        <v/>
      </c>
      <c r="O555" s="73" t="str">
        <f>IF(Main[[#This Row],[Tech Start Date]]&lt;1/1/1990,"",IF(Main[[#This Row],[Class]]="C",WORKDAY(Main[[#This Row],[Tech Start Date]],23),IF(Main[[#This Row],[Class]]="B", WORKDAY(Main[[#This Row],[Tech Start Date]],15),IF(Main[[#This Row],[Class]]="A",WORKDAY(Main[[#This Row],[Tech Start Date]],5),""))))</f>
        <v/>
      </c>
      <c r="P555" s="73" t="str">
        <f>IF(Main[[#This Row],[Tech Start Date]]&lt;1/1/1990,"",IF(Main[[#This Row],[Class]]="C",WORKDAY(Main[[#This Row],[Tech Start Date]],28),IF(Main[[#This Row],[Class]]="B", WORKDAY(Main[[#This Row],[Tech Start Date]],19),IF(Main[[#This Row],[Class]]="A",WORKDAY(Main[[#This Row],[Tech Start Date]],9),""))))</f>
        <v/>
      </c>
      <c r="Q555" s="85"/>
      <c r="R555" s="112"/>
      <c r="S555" s="95" t="s">
        <v>6</v>
      </c>
      <c r="T555" s="74" t="s">
        <v>4</v>
      </c>
      <c r="U555" s="95" t="s">
        <v>12</v>
      </c>
      <c r="V555" s="95" t="s">
        <v>1912</v>
      </c>
      <c r="W555" s="95" t="s">
        <v>1919</v>
      </c>
      <c r="X555" s="95" t="s">
        <v>941</v>
      </c>
      <c r="Y555" s="72" t="s">
        <v>2973</v>
      </c>
      <c r="Z555" s="72" t="s">
        <v>4</v>
      </c>
      <c r="AA555" s="95" t="s">
        <v>941</v>
      </c>
      <c r="AB555" s="132"/>
      <c r="AC555" s="132"/>
      <c r="AD555" s="132"/>
      <c r="AE555" s="63"/>
      <c r="AF555" s="63"/>
      <c r="AG555" s="63"/>
    </row>
    <row r="556" spans="1:33" ht="17.2" customHeight="1">
      <c r="A556" s="64" t="str">
        <f>IF(priority(Main[[#This Row],[Comments]])&lt;&gt;0, priority(Main[[#This Row],[Comments]]),"")</f>
        <v/>
      </c>
      <c r="B556" s="60" t="s">
        <v>1328</v>
      </c>
      <c r="C556" s="72" t="s">
        <v>4</v>
      </c>
      <c r="D556" s="59" t="s">
        <v>410</v>
      </c>
      <c r="E556" s="85"/>
      <c r="F556" s="85"/>
      <c r="G556" s="64" t="str">
        <f>IF(stdProdLT(Main[[#This Row],[Comments]])=0.1,"N/A",IF(stdProdLT(Main[[#This Row],[Comments]])=0,"",TRIM(stdProdLT(Main[[#This Row],[Comments]]))))</f>
        <v/>
      </c>
      <c r="H556" s="94" t="str">
        <f>IF(OR(Main[[#This Row],[Std. Prod. Lead Time]]="N/A",Main[[#This Row],[Std. Prod. Lead Time]]=""), "",IF(AND(Main[[#This Row],[In Stock Date]]&lt;&gt;"",Main[[#This Row],[Revised Due Date]]&lt;&gt;"",Main[[#This Row],[In Stock Date]]&lt;&gt;""),Main[[#This Row],[In Stock Date]]-Main[[#This Row],[Revised Due Date]],""))</f>
        <v/>
      </c>
      <c r="I556" s="101" t="s">
        <v>4</v>
      </c>
      <c r="J556" s="95" t="s">
        <v>4</v>
      </c>
      <c r="K556" s="95" t="s">
        <v>4</v>
      </c>
      <c r="L556" s="85"/>
      <c r="M556" s="73" t="str">
        <f>IF(Main[[#This Row],[Tech Start Date]]&lt;1/1/1990,"",IF(Main[[#This Row],[Class]]="C",WORKDAY(Main[[#This Row],[Tech Start Date]],9),IF(Main[[#This Row],[Class]]="B", WORKDAY(Main[[#This Row],[Tech Start Date]],6),IF(Main[[#This Row],[Class]]="A",WORKDAY(Main[[#This Row],[Tech Start Date]],2),""))))</f>
        <v/>
      </c>
      <c r="N556" s="73" t="str">
        <f>IF(Main[[#This Row],[Tech Start Date]]&lt;1/1/1990,"",IF(Main[[#This Row],[Class]]="C",WORKDAY(Main[[#This Row],[Tech Start Date]],19),IF(Main[[#This Row],[Class]]="B", WORKDAY(Main[[#This Row],[Tech Start Date]],12),IF(Main[[#This Row],[Class]]="A",WORKDAY(Main[[#This Row],[Tech Start Date]],4),""))))</f>
        <v/>
      </c>
      <c r="O556" s="73" t="str">
        <f>IF(Main[[#This Row],[Tech Start Date]]&lt;1/1/1990,"",IF(Main[[#This Row],[Class]]="C",WORKDAY(Main[[#This Row],[Tech Start Date]],23),IF(Main[[#This Row],[Class]]="B", WORKDAY(Main[[#This Row],[Tech Start Date]],15),IF(Main[[#This Row],[Class]]="A",WORKDAY(Main[[#This Row],[Tech Start Date]],5),""))))</f>
        <v/>
      </c>
      <c r="P556" s="73" t="str">
        <f>IF(Main[[#This Row],[Tech Start Date]]&lt;1/1/1990,"",IF(Main[[#This Row],[Class]]="C",WORKDAY(Main[[#This Row],[Tech Start Date]],28),IF(Main[[#This Row],[Class]]="B", WORKDAY(Main[[#This Row],[Tech Start Date]],19),IF(Main[[#This Row],[Class]]="A",WORKDAY(Main[[#This Row],[Tech Start Date]],9),""))))</f>
        <v/>
      </c>
      <c r="Q556" s="85"/>
      <c r="R556" s="112"/>
      <c r="S556" s="95" t="s">
        <v>411</v>
      </c>
      <c r="T556" s="74" t="s">
        <v>4</v>
      </c>
      <c r="U556" s="95" t="s">
        <v>14</v>
      </c>
      <c r="V556" s="95" t="s">
        <v>1912</v>
      </c>
      <c r="W556" s="95" t="s">
        <v>1915</v>
      </c>
      <c r="X556" s="95" t="s">
        <v>922</v>
      </c>
      <c r="Y556" s="72" t="s">
        <v>2960</v>
      </c>
      <c r="Z556" s="72" t="s">
        <v>4</v>
      </c>
      <c r="AA556" s="95" t="s">
        <v>922</v>
      </c>
      <c r="AB556" s="132"/>
      <c r="AC556" s="132"/>
      <c r="AD556" s="132"/>
      <c r="AE556" s="63"/>
      <c r="AF556" s="63"/>
      <c r="AG556" s="63"/>
    </row>
    <row r="557" spans="1:33" ht="17.2" customHeight="1">
      <c r="A557" s="64" t="str">
        <f>IF(priority(Main[[#This Row],[Comments]])&lt;&gt;0, priority(Main[[#This Row],[Comments]]),"")</f>
        <v/>
      </c>
      <c r="B557" s="60" t="s">
        <v>1378</v>
      </c>
      <c r="C557" s="72" t="s">
        <v>137</v>
      </c>
      <c r="D557" s="59" t="s">
        <v>136</v>
      </c>
      <c r="E557" s="85"/>
      <c r="F557" s="85">
        <v>40787</v>
      </c>
      <c r="G557" s="64" t="str">
        <f>IF(stdProdLT(Main[[#This Row],[Comments]])=0.1,"N/A",IF(stdProdLT(Main[[#This Row],[Comments]])=0,"",TRIM(stdProdLT(Main[[#This Row],[Comments]]))))</f>
        <v/>
      </c>
      <c r="H557" s="94" t="str">
        <f>IF(OR(Main[[#This Row],[Std. Prod. Lead Time]]="N/A",Main[[#This Row],[Std. Prod. Lead Time]]=""), "",IF(AND(Main[[#This Row],[In Stock Date]]&lt;&gt;"",Main[[#This Row],[Revised Due Date]]&lt;&gt;"",Main[[#This Row],[In Stock Date]]&lt;&gt;""),Main[[#This Row],[In Stock Date]]-Main[[#This Row],[Revised Due Date]],""))</f>
        <v/>
      </c>
      <c r="I557" s="101" t="s">
        <v>4</v>
      </c>
      <c r="J557" s="95" t="s">
        <v>4</v>
      </c>
      <c r="K557" s="96" t="s">
        <v>4</v>
      </c>
      <c r="L557" s="85"/>
      <c r="M557" s="73" t="str">
        <f>IF(Main[[#This Row],[Tech Start Date]]&lt;1/1/1990,"",IF(Main[[#This Row],[Class]]="C",WORKDAY(Main[[#This Row],[Tech Start Date]],9),IF(Main[[#This Row],[Class]]="B", WORKDAY(Main[[#This Row],[Tech Start Date]],6),IF(Main[[#This Row],[Class]]="A",WORKDAY(Main[[#This Row],[Tech Start Date]],2),""))))</f>
        <v/>
      </c>
      <c r="N557" s="73" t="str">
        <f>IF(Main[[#This Row],[Tech Start Date]]&lt;1/1/1990,"",IF(Main[[#This Row],[Class]]="C",WORKDAY(Main[[#This Row],[Tech Start Date]],19),IF(Main[[#This Row],[Class]]="B", WORKDAY(Main[[#This Row],[Tech Start Date]],12),IF(Main[[#This Row],[Class]]="A",WORKDAY(Main[[#This Row],[Tech Start Date]],4),""))))</f>
        <v/>
      </c>
      <c r="O557" s="73" t="str">
        <f>IF(Main[[#This Row],[Tech Start Date]]&lt;1/1/1990,"",IF(Main[[#This Row],[Class]]="C",WORKDAY(Main[[#This Row],[Tech Start Date]],23),IF(Main[[#This Row],[Class]]="B", WORKDAY(Main[[#This Row],[Tech Start Date]],15),IF(Main[[#This Row],[Class]]="A",WORKDAY(Main[[#This Row],[Tech Start Date]],5),""))))</f>
        <v/>
      </c>
      <c r="P557" s="73" t="str">
        <f>IF(Main[[#This Row],[Tech Start Date]]&lt;1/1/1990,"",IF(Main[[#This Row],[Class]]="C",WORKDAY(Main[[#This Row],[Tech Start Date]],28),IF(Main[[#This Row],[Class]]="B", WORKDAY(Main[[#This Row],[Tech Start Date]],19),IF(Main[[#This Row],[Class]]="A",WORKDAY(Main[[#This Row],[Tech Start Date]],9),""))))</f>
        <v/>
      </c>
      <c r="Q557" s="85"/>
      <c r="R557" s="112"/>
      <c r="S557" s="95" t="s">
        <v>11</v>
      </c>
      <c r="T557" s="74" t="s">
        <v>4</v>
      </c>
      <c r="U557" s="95" t="s">
        <v>14</v>
      </c>
      <c r="V557" s="95" t="s">
        <v>1911</v>
      </c>
      <c r="W557" s="95" t="s">
        <v>1917</v>
      </c>
      <c r="X557" s="95" t="s">
        <v>50</v>
      </c>
      <c r="Y557" s="72" t="s">
        <v>3016</v>
      </c>
      <c r="Z557" s="72" t="s">
        <v>4</v>
      </c>
      <c r="AA557" s="95" t="s">
        <v>2819</v>
      </c>
      <c r="AB557" s="132"/>
      <c r="AC557" s="132"/>
      <c r="AD557" s="132"/>
      <c r="AE557" s="63"/>
      <c r="AF557" s="63"/>
      <c r="AG557" s="63"/>
    </row>
    <row r="558" spans="1:33" ht="17.2" customHeight="1">
      <c r="A558" s="64" t="str">
        <f>IF(priority(Main[[#This Row],[Comments]])&lt;&gt;0, priority(Main[[#This Row],[Comments]]),"")</f>
        <v/>
      </c>
      <c r="B558" s="60" t="s">
        <v>1379</v>
      </c>
      <c r="C558" s="72" t="s">
        <v>4</v>
      </c>
      <c r="D558" s="59" t="s">
        <v>469</v>
      </c>
      <c r="E558" s="85">
        <v>40704.209918981483</v>
      </c>
      <c r="F558" s="85"/>
      <c r="G558" s="64" t="str">
        <f>IF(stdProdLT(Main[[#This Row],[Comments]])=0.1,"N/A",IF(stdProdLT(Main[[#This Row],[Comments]])=0,"",TRIM(stdProdLT(Main[[#This Row],[Comments]]))))</f>
        <v/>
      </c>
      <c r="H558" s="94" t="str">
        <f>IF(OR(Main[[#This Row],[Std. Prod. Lead Time]]="N/A",Main[[#This Row],[Std. Prod. Lead Time]]=""), "",IF(AND(Main[[#This Row],[In Stock Date]]&lt;&gt;"",Main[[#This Row],[Revised Due Date]]&lt;&gt;"",Main[[#This Row],[In Stock Date]]&lt;&gt;""),Main[[#This Row],[In Stock Date]]-Main[[#This Row],[Revised Due Date]],""))</f>
        <v/>
      </c>
      <c r="I558" s="101" t="s">
        <v>4</v>
      </c>
      <c r="J558" s="95" t="s">
        <v>4</v>
      </c>
      <c r="K558" s="95" t="s">
        <v>4</v>
      </c>
      <c r="L558" s="85"/>
      <c r="M558" s="73" t="str">
        <f>IF(Main[[#This Row],[Tech Start Date]]&lt;1/1/1990,"",IF(Main[[#This Row],[Class]]="C",WORKDAY(Main[[#This Row],[Tech Start Date]],9),IF(Main[[#This Row],[Class]]="B", WORKDAY(Main[[#This Row],[Tech Start Date]],6),IF(Main[[#This Row],[Class]]="A",WORKDAY(Main[[#This Row],[Tech Start Date]],2),""))))</f>
        <v/>
      </c>
      <c r="N558" s="73" t="str">
        <f>IF(Main[[#This Row],[Tech Start Date]]&lt;1/1/1990,"",IF(Main[[#This Row],[Class]]="C",WORKDAY(Main[[#This Row],[Tech Start Date]],19),IF(Main[[#This Row],[Class]]="B", WORKDAY(Main[[#This Row],[Tech Start Date]],12),IF(Main[[#This Row],[Class]]="A",WORKDAY(Main[[#This Row],[Tech Start Date]],4),""))))</f>
        <v/>
      </c>
      <c r="O558" s="73" t="str">
        <f>IF(Main[[#This Row],[Tech Start Date]]&lt;1/1/1990,"",IF(Main[[#This Row],[Class]]="C",WORKDAY(Main[[#This Row],[Tech Start Date]],23),IF(Main[[#This Row],[Class]]="B", WORKDAY(Main[[#This Row],[Tech Start Date]],15),IF(Main[[#This Row],[Class]]="A",WORKDAY(Main[[#This Row],[Tech Start Date]],5),""))))</f>
        <v/>
      </c>
      <c r="P558" s="73" t="str">
        <f>IF(Main[[#This Row],[Tech Start Date]]&lt;1/1/1990,"",IF(Main[[#This Row],[Class]]="C",WORKDAY(Main[[#This Row],[Tech Start Date]],28),IF(Main[[#This Row],[Class]]="B", WORKDAY(Main[[#This Row],[Tech Start Date]],19),IF(Main[[#This Row],[Class]]="A",WORKDAY(Main[[#This Row],[Tech Start Date]],9),""))))</f>
        <v/>
      </c>
      <c r="Q558" s="85">
        <v>40725</v>
      </c>
      <c r="R558" s="112"/>
      <c r="S558" s="95" t="s">
        <v>6</v>
      </c>
      <c r="T558" s="74" t="s">
        <v>4</v>
      </c>
      <c r="U558" s="95" t="s">
        <v>7</v>
      </c>
      <c r="V558" s="95" t="s">
        <v>1911</v>
      </c>
      <c r="W558" s="95" t="s">
        <v>4</v>
      </c>
      <c r="X558" s="95" t="s">
        <v>2831</v>
      </c>
      <c r="Y558" s="72" t="s">
        <v>2964</v>
      </c>
      <c r="Z558" s="72" t="s">
        <v>4</v>
      </c>
      <c r="AA558" s="95" t="s">
        <v>2831</v>
      </c>
      <c r="AB558" s="132"/>
      <c r="AC558" s="132"/>
      <c r="AD558" s="132"/>
      <c r="AE558" s="63"/>
      <c r="AF558" s="63"/>
      <c r="AG558" s="63"/>
    </row>
    <row r="559" spans="1:33" ht="17.2" customHeight="1">
      <c r="A559" s="64" t="str">
        <f>IF(priority(Main[[#This Row],[Comments]])&lt;&gt;0, priority(Main[[#This Row],[Comments]]),"")</f>
        <v/>
      </c>
      <c r="B559" s="60" t="s">
        <v>1380</v>
      </c>
      <c r="C559" s="72" t="s">
        <v>31</v>
      </c>
      <c r="D559" s="59" t="s">
        <v>470</v>
      </c>
      <c r="E559" s="85"/>
      <c r="F559" s="85">
        <v>40230</v>
      </c>
      <c r="G559" s="64" t="str">
        <f>IF(stdProdLT(Main[[#This Row],[Comments]])=0.1,"N/A",IF(stdProdLT(Main[[#This Row],[Comments]])=0,"",TRIM(stdProdLT(Main[[#This Row],[Comments]]))))</f>
        <v/>
      </c>
      <c r="H559" s="94" t="str">
        <f>IF(OR(Main[[#This Row],[Std. Prod. Lead Time]]="N/A",Main[[#This Row],[Std. Prod. Lead Time]]=""), "",IF(AND(Main[[#This Row],[In Stock Date]]&lt;&gt;"",Main[[#This Row],[Revised Due Date]]&lt;&gt;"",Main[[#This Row],[In Stock Date]]&lt;&gt;""),Main[[#This Row],[In Stock Date]]-Main[[#This Row],[Revised Due Date]],""))</f>
        <v/>
      </c>
      <c r="I559" s="101" t="s">
        <v>4</v>
      </c>
      <c r="J559" s="95" t="s">
        <v>4</v>
      </c>
      <c r="K559" s="96" t="s">
        <v>4</v>
      </c>
      <c r="L559" s="85"/>
      <c r="M559" s="73" t="str">
        <f>IF(Main[[#This Row],[Tech Start Date]]&lt;1/1/1990,"",IF(Main[[#This Row],[Class]]="C",WORKDAY(Main[[#This Row],[Tech Start Date]],9),IF(Main[[#This Row],[Class]]="B", WORKDAY(Main[[#This Row],[Tech Start Date]],6),IF(Main[[#This Row],[Class]]="A",WORKDAY(Main[[#This Row],[Tech Start Date]],2),""))))</f>
        <v/>
      </c>
      <c r="N559" s="73" t="str">
        <f>IF(Main[[#This Row],[Tech Start Date]]&lt;1/1/1990,"",IF(Main[[#This Row],[Class]]="C",WORKDAY(Main[[#This Row],[Tech Start Date]],19),IF(Main[[#This Row],[Class]]="B", WORKDAY(Main[[#This Row],[Tech Start Date]],12),IF(Main[[#This Row],[Class]]="A",WORKDAY(Main[[#This Row],[Tech Start Date]],4),""))))</f>
        <v/>
      </c>
      <c r="O559" s="73" t="str">
        <f>IF(Main[[#This Row],[Tech Start Date]]&lt;1/1/1990,"",IF(Main[[#This Row],[Class]]="C",WORKDAY(Main[[#This Row],[Tech Start Date]],23),IF(Main[[#This Row],[Class]]="B", WORKDAY(Main[[#This Row],[Tech Start Date]],15),IF(Main[[#This Row],[Class]]="A",WORKDAY(Main[[#This Row],[Tech Start Date]],5),""))))</f>
        <v/>
      </c>
      <c r="P559" s="73" t="str">
        <f>IF(Main[[#This Row],[Tech Start Date]]&lt;1/1/1990,"",IF(Main[[#This Row],[Class]]="C",WORKDAY(Main[[#This Row],[Tech Start Date]],28),IF(Main[[#This Row],[Class]]="B", WORKDAY(Main[[#This Row],[Tech Start Date]],19),IF(Main[[#This Row],[Class]]="A",WORKDAY(Main[[#This Row],[Tech Start Date]],9),""))))</f>
        <v/>
      </c>
      <c r="Q559" s="85">
        <v>40235</v>
      </c>
      <c r="R559" s="112"/>
      <c r="S559" s="95" t="s">
        <v>11</v>
      </c>
      <c r="T559" s="74" t="s">
        <v>4</v>
      </c>
      <c r="U559" s="95" t="s">
        <v>14</v>
      </c>
      <c r="V559" s="95" t="s">
        <v>1912</v>
      </c>
      <c r="W559" s="95" t="s">
        <v>1919</v>
      </c>
      <c r="X559" s="95" t="s">
        <v>2815</v>
      </c>
      <c r="Y559" s="72" t="s">
        <v>4</v>
      </c>
      <c r="Z559" s="72" t="s">
        <v>4</v>
      </c>
      <c r="AA559" s="95" t="s">
        <v>2815</v>
      </c>
      <c r="AB559" s="132"/>
      <c r="AC559" s="132"/>
      <c r="AD559" s="132"/>
      <c r="AE559" s="63"/>
      <c r="AF559" s="63"/>
      <c r="AG559" s="63"/>
    </row>
    <row r="560" spans="1:33" ht="17.2" customHeight="1">
      <c r="A560" s="64" t="str">
        <f>IF(priority(Main[[#This Row],[Comments]])&lt;&gt;0, priority(Main[[#This Row],[Comments]]),"")</f>
        <v/>
      </c>
      <c r="B560" s="60" t="s">
        <v>1382</v>
      </c>
      <c r="C560" s="72" t="s">
        <v>471</v>
      </c>
      <c r="D560" s="59" t="s">
        <v>472</v>
      </c>
      <c r="E560" s="85"/>
      <c r="F560" s="85">
        <v>40450</v>
      </c>
      <c r="G560" s="64" t="str">
        <f>IF(stdProdLT(Main[[#This Row],[Comments]])=0.1,"N/A",IF(stdProdLT(Main[[#This Row],[Comments]])=0,"",TRIM(stdProdLT(Main[[#This Row],[Comments]]))))</f>
        <v/>
      </c>
      <c r="H560" s="94" t="str">
        <f>IF(OR(Main[[#This Row],[Std. Prod. Lead Time]]="N/A",Main[[#This Row],[Std. Prod. Lead Time]]=""), "",IF(AND(Main[[#This Row],[In Stock Date]]&lt;&gt;"",Main[[#This Row],[Revised Due Date]]&lt;&gt;"",Main[[#This Row],[In Stock Date]]&lt;&gt;""),Main[[#This Row],[In Stock Date]]-Main[[#This Row],[Revised Due Date]],""))</f>
        <v/>
      </c>
      <c r="I560" s="101" t="s">
        <v>4</v>
      </c>
      <c r="J560" s="95" t="s">
        <v>4</v>
      </c>
      <c r="K560" s="95" t="s">
        <v>4</v>
      </c>
      <c r="L560" s="85"/>
      <c r="M560" s="73" t="str">
        <f>IF(Main[[#This Row],[Tech Start Date]]&lt;1/1/1990,"",IF(Main[[#This Row],[Class]]="C",WORKDAY(Main[[#This Row],[Tech Start Date]],9),IF(Main[[#This Row],[Class]]="B", WORKDAY(Main[[#This Row],[Tech Start Date]],6),IF(Main[[#This Row],[Class]]="A",WORKDAY(Main[[#This Row],[Tech Start Date]],2),""))))</f>
        <v/>
      </c>
      <c r="N560" s="73" t="str">
        <f>IF(Main[[#This Row],[Tech Start Date]]&lt;1/1/1990,"",IF(Main[[#This Row],[Class]]="C",WORKDAY(Main[[#This Row],[Tech Start Date]],19),IF(Main[[#This Row],[Class]]="B", WORKDAY(Main[[#This Row],[Tech Start Date]],12),IF(Main[[#This Row],[Class]]="A",WORKDAY(Main[[#This Row],[Tech Start Date]],4),""))))</f>
        <v/>
      </c>
      <c r="O560" s="73" t="str">
        <f>IF(Main[[#This Row],[Tech Start Date]]&lt;1/1/1990,"",IF(Main[[#This Row],[Class]]="C",WORKDAY(Main[[#This Row],[Tech Start Date]],23),IF(Main[[#This Row],[Class]]="B", WORKDAY(Main[[#This Row],[Tech Start Date]],15),IF(Main[[#This Row],[Class]]="A",WORKDAY(Main[[#This Row],[Tech Start Date]],5),""))))</f>
        <v/>
      </c>
      <c r="P560" s="73" t="str">
        <f>IF(Main[[#This Row],[Tech Start Date]]&lt;1/1/1990,"",IF(Main[[#This Row],[Class]]="C",WORKDAY(Main[[#This Row],[Tech Start Date]],28),IF(Main[[#This Row],[Class]]="B", WORKDAY(Main[[#This Row],[Tech Start Date]],19),IF(Main[[#This Row],[Class]]="A",WORKDAY(Main[[#This Row],[Tech Start Date]],9),""))))</f>
        <v/>
      </c>
      <c r="Q560" s="85">
        <v>40421</v>
      </c>
      <c r="R560" s="112"/>
      <c r="S560" s="95" t="s">
        <v>11</v>
      </c>
      <c r="T560" s="74" t="s">
        <v>4</v>
      </c>
      <c r="U560" s="95" t="s">
        <v>14</v>
      </c>
      <c r="V560" s="95" t="s">
        <v>1914</v>
      </c>
      <c r="W560" s="95" t="s">
        <v>1916</v>
      </c>
      <c r="X560" s="95" t="s">
        <v>2836</v>
      </c>
      <c r="Y560" s="72" t="s">
        <v>2975</v>
      </c>
      <c r="Z560" s="72" t="s">
        <v>4</v>
      </c>
      <c r="AA560" s="95" t="s">
        <v>2836</v>
      </c>
      <c r="AB560" s="132"/>
      <c r="AC560" s="132"/>
      <c r="AD560" s="132"/>
      <c r="AE560" s="63"/>
      <c r="AF560" s="63"/>
      <c r="AG560" s="63"/>
    </row>
    <row r="561" spans="1:33" ht="17.2" customHeight="1">
      <c r="A561" s="64" t="str">
        <f>IF(priority(Main[[#This Row],[Comments]])&lt;&gt;0, priority(Main[[#This Row],[Comments]]),"")</f>
        <v/>
      </c>
      <c r="B561" s="60" t="s">
        <v>3288</v>
      </c>
      <c r="C561" s="72" t="s">
        <v>4</v>
      </c>
      <c r="D561" s="59" t="s">
        <v>3289</v>
      </c>
      <c r="E561" s="85">
        <v>40939.633171296293</v>
      </c>
      <c r="F561" s="85"/>
      <c r="G561" s="64" t="str">
        <f>IF(stdProdLT(Main[[#This Row],[Comments]])=0.1,"N/A",IF(stdProdLT(Main[[#This Row],[Comments]])=0,"",TRIM(stdProdLT(Main[[#This Row],[Comments]]))))</f>
        <v/>
      </c>
      <c r="H561" s="94" t="str">
        <f>IF(OR(Main[[#This Row],[Std. Prod. Lead Time]]="N/A",Main[[#This Row],[Std. Prod. Lead Time]]=""), "",IF(AND(Main[[#This Row],[In Stock Date]]&lt;&gt;"",Main[[#This Row],[Revised Due Date]]&lt;&gt;"",Main[[#This Row],[In Stock Date]]&lt;&gt;""),Main[[#This Row],[In Stock Date]]-Main[[#This Row],[Revised Due Date]],""))</f>
        <v/>
      </c>
      <c r="I561" s="101" t="s">
        <v>4</v>
      </c>
      <c r="J561" s="95" t="s">
        <v>4</v>
      </c>
      <c r="K561" s="95" t="s">
        <v>4</v>
      </c>
      <c r="L561" s="85"/>
      <c r="M561" s="73" t="str">
        <f>IF(Main[[#This Row],[Tech Start Date]]&lt;1/1/1990,"",IF(Main[[#This Row],[Class]]="C",WORKDAY(Main[[#This Row],[Tech Start Date]],9),IF(Main[[#This Row],[Class]]="B", WORKDAY(Main[[#This Row],[Tech Start Date]],6),IF(Main[[#This Row],[Class]]="A",WORKDAY(Main[[#This Row],[Tech Start Date]],2),""))))</f>
        <v/>
      </c>
      <c r="N561" s="73" t="str">
        <f>IF(Main[[#This Row],[Tech Start Date]]&lt;1/1/1990,"",IF(Main[[#This Row],[Class]]="C",WORKDAY(Main[[#This Row],[Tech Start Date]],19),IF(Main[[#This Row],[Class]]="B", WORKDAY(Main[[#This Row],[Tech Start Date]],12),IF(Main[[#This Row],[Class]]="A",WORKDAY(Main[[#This Row],[Tech Start Date]],4),""))))</f>
        <v/>
      </c>
      <c r="O561" s="73" t="str">
        <f>IF(Main[[#This Row],[Tech Start Date]]&lt;1/1/1990,"",IF(Main[[#This Row],[Class]]="C",WORKDAY(Main[[#This Row],[Tech Start Date]],23),IF(Main[[#This Row],[Class]]="B", WORKDAY(Main[[#This Row],[Tech Start Date]],15),IF(Main[[#This Row],[Class]]="A",WORKDAY(Main[[#This Row],[Tech Start Date]],5),""))))</f>
        <v/>
      </c>
      <c r="P561" s="73" t="str">
        <f>IF(Main[[#This Row],[Tech Start Date]]&lt;1/1/1990,"",IF(Main[[#This Row],[Class]]="C",WORKDAY(Main[[#This Row],[Tech Start Date]],28),IF(Main[[#This Row],[Class]]="B", WORKDAY(Main[[#This Row],[Tech Start Date]],19),IF(Main[[#This Row],[Class]]="A",WORKDAY(Main[[#This Row],[Tech Start Date]],9),""))))</f>
        <v/>
      </c>
      <c r="Q561" s="85"/>
      <c r="R561" s="112"/>
      <c r="S561" s="95" t="s">
        <v>6</v>
      </c>
      <c r="T561" s="74" t="s">
        <v>4</v>
      </c>
      <c r="U561" s="95" t="s">
        <v>7</v>
      </c>
      <c r="V561" s="95" t="s">
        <v>1911</v>
      </c>
      <c r="W561" s="95" t="s">
        <v>1915</v>
      </c>
      <c r="X561" s="95" t="s">
        <v>306</v>
      </c>
      <c r="Y561" s="72" t="s">
        <v>4</v>
      </c>
      <c r="Z561" s="72" t="s">
        <v>4</v>
      </c>
      <c r="AA561" s="95" t="s">
        <v>4</v>
      </c>
      <c r="AB561" s="132"/>
      <c r="AC561" s="132"/>
      <c r="AD561" s="132"/>
      <c r="AE561" s="63"/>
      <c r="AF561" s="63"/>
      <c r="AG561" s="63"/>
    </row>
    <row r="562" spans="1:33" ht="17.2" customHeight="1">
      <c r="A562" s="64" t="str">
        <f>IF(priority(Main[[#This Row],[Comments]])&lt;&gt;0, priority(Main[[#This Row],[Comments]]),"")</f>
        <v/>
      </c>
      <c r="B562" s="60" t="s">
        <v>3290</v>
      </c>
      <c r="C562" s="72" t="s">
        <v>4</v>
      </c>
      <c r="D562" s="59" t="s">
        <v>3291</v>
      </c>
      <c r="E562" s="85">
        <v>40939.634004629632</v>
      </c>
      <c r="F562" s="85"/>
      <c r="G562" s="64" t="str">
        <f>IF(stdProdLT(Main[[#This Row],[Comments]])=0.1,"N/A",IF(stdProdLT(Main[[#This Row],[Comments]])=0,"",TRIM(stdProdLT(Main[[#This Row],[Comments]]))))</f>
        <v/>
      </c>
      <c r="H562" s="94" t="str">
        <f>IF(OR(Main[[#This Row],[Std. Prod. Lead Time]]="N/A",Main[[#This Row],[Std. Prod. Lead Time]]=""), "",IF(AND(Main[[#This Row],[In Stock Date]]&lt;&gt;"",Main[[#This Row],[Revised Due Date]]&lt;&gt;"",Main[[#This Row],[In Stock Date]]&lt;&gt;""),Main[[#This Row],[In Stock Date]]-Main[[#This Row],[Revised Due Date]],""))</f>
        <v/>
      </c>
      <c r="I562" s="101" t="s">
        <v>4</v>
      </c>
      <c r="J562" s="95" t="s">
        <v>4</v>
      </c>
      <c r="K562" s="95" t="s">
        <v>4</v>
      </c>
      <c r="L562" s="85"/>
      <c r="M562" s="73" t="str">
        <f>IF(Main[[#This Row],[Tech Start Date]]&lt;1/1/1990,"",IF(Main[[#This Row],[Class]]="C",WORKDAY(Main[[#This Row],[Tech Start Date]],9),IF(Main[[#This Row],[Class]]="B", WORKDAY(Main[[#This Row],[Tech Start Date]],6),IF(Main[[#This Row],[Class]]="A",WORKDAY(Main[[#This Row],[Tech Start Date]],2),""))))</f>
        <v/>
      </c>
      <c r="N562" s="73" t="str">
        <f>IF(Main[[#This Row],[Tech Start Date]]&lt;1/1/1990,"",IF(Main[[#This Row],[Class]]="C",WORKDAY(Main[[#This Row],[Tech Start Date]],19),IF(Main[[#This Row],[Class]]="B", WORKDAY(Main[[#This Row],[Tech Start Date]],12),IF(Main[[#This Row],[Class]]="A",WORKDAY(Main[[#This Row],[Tech Start Date]],4),""))))</f>
        <v/>
      </c>
      <c r="O562" s="73" t="str">
        <f>IF(Main[[#This Row],[Tech Start Date]]&lt;1/1/1990,"",IF(Main[[#This Row],[Class]]="C",WORKDAY(Main[[#This Row],[Tech Start Date]],23),IF(Main[[#This Row],[Class]]="B", WORKDAY(Main[[#This Row],[Tech Start Date]],15),IF(Main[[#This Row],[Class]]="A",WORKDAY(Main[[#This Row],[Tech Start Date]],5),""))))</f>
        <v/>
      </c>
      <c r="P562" s="73" t="str">
        <f>IF(Main[[#This Row],[Tech Start Date]]&lt;1/1/1990,"",IF(Main[[#This Row],[Class]]="C",WORKDAY(Main[[#This Row],[Tech Start Date]],28),IF(Main[[#This Row],[Class]]="B", WORKDAY(Main[[#This Row],[Tech Start Date]],19),IF(Main[[#This Row],[Class]]="A",WORKDAY(Main[[#This Row],[Tech Start Date]],9),""))))</f>
        <v/>
      </c>
      <c r="Q562" s="85"/>
      <c r="R562" s="112"/>
      <c r="S562" s="95" t="s">
        <v>6</v>
      </c>
      <c r="T562" s="74" t="s">
        <v>4</v>
      </c>
      <c r="U562" s="95" t="s">
        <v>7</v>
      </c>
      <c r="V562" s="95" t="s">
        <v>1911</v>
      </c>
      <c r="W562" s="95" t="s">
        <v>1913</v>
      </c>
      <c r="X562" s="95" t="s">
        <v>306</v>
      </c>
      <c r="Y562" s="72" t="s">
        <v>4</v>
      </c>
      <c r="Z562" s="72" t="s">
        <v>877</v>
      </c>
      <c r="AA562" s="95" t="s">
        <v>4</v>
      </c>
      <c r="AB562" s="132"/>
      <c r="AC562" s="132"/>
      <c r="AD562" s="132"/>
      <c r="AE562" s="63"/>
      <c r="AF562" s="63"/>
      <c r="AG562" s="63"/>
    </row>
    <row r="563" spans="1:33" ht="17.2" customHeight="1">
      <c r="A563" s="64" t="str">
        <f>IF(priority(Main[[#This Row],[Comments]])&lt;&gt;0, priority(Main[[#This Row],[Comments]]),"")</f>
        <v/>
      </c>
      <c r="B563" s="60" t="s">
        <v>1384</v>
      </c>
      <c r="C563" s="72" t="s">
        <v>31</v>
      </c>
      <c r="D563" s="59" t="s">
        <v>473</v>
      </c>
      <c r="E563" s="85"/>
      <c r="F563" s="85"/>
      <c r="G563" s="64" t="str">
        <f>IF(stdProdLT(Main[[#This Row],[Comments]])=0.1,"N/A",IF(stdProdLT(Main[[#This Row],[Comments]])=0,"",TRIM(stdProdLT(Main[[#This Row],[Comments]]))))</f>
        <v/>
      </c>
      <c r="H563" s="94" t="str">
        <f>IF(OR(Main[[#This Row],[Std. Prod. Lead Time]]="N/A",Main[[#This Row],[Std. Prod. Lead Time]]=""), "",IF(AND(Main[[#This Row],[In Stock Date]]&lt;&gt;"",Main[[#This Row],[Revised Due Date]]&lt;&gt;"",Main[[#This Row],[In Stock Date]]&lt;&gt;""),Main[[#This Row],[In Stock Date]]-Main[[#This Row],[Revised Due Date]],""))</f>
        <v/>
      </c>
      <c r="I563" s="101" t="s">
        <v>4</v>
      </c>
      <c r="J563" s="95" t="s">
        <v>4</v>
      </c>
      <c r="K563" s="95" t="s">
        <v>4</v>
      </c>
      <c r="L563" s="85"/>
      <c r="M563" s="73" t="str">
        <f>IF(Main[[#This Row],[Tech Start Date]]&lt;1/1/1990,"",IF(Main[[#This Row],[Class]]="C",WORKDAY(Main[[#This Row],[Tech Start Date]],9),IF(Main[[#This Row],[Class]]="B", WORKDAY(Main[[#This Row],[Tech Start Date]],6),IF(Main[[#This Row],[Class]]="A",WORKDAY(Main[[#This Row],[Tech Start Date]],2),""))))</f>
        <v/>
      </c>
      <c r="N563" s="73" t="str">
        <f>IF(Main[[#This Row],[Tech Start Date]]&lt;1/1/1990,"",IF(Main[[#This Row],[Class]]="C",WORKDAY(Main[[#This Row],[Tech Start Date]],19),IF(Main[[#This Row],[Class]]="B", WORKDAY(Main[[#This Row],[Tech Start Date]],12),IF(Main[[#This Row],[Class]]="A",WORKDAY(Main[[#This Row],[Tech Start Date]],4),""))))</f>
        <v/>
      </c>
      <c r="O563" s="73" t="str">
        <f>IF(Main[[#This Row],[Tech Start Date]]&lt;1/1/1990,"",IF(Main[[#This Row],[Class]]="C",WORKDAY(Main[[#This Row],[Tech Start Date]],23),IF(Main[[#This Row],[Class]]="B", WORKDAY(Main[[#This Row],[Tech Start Date]],15),IF(Main[[#This Row],[Class]]="A",WORKDAY(Main[[#This Row],[Tech Start Date]],5),""))))</f>
        <v/>
      </c>
      <c r="P563" s="73" t="str">
        <f>IF(Main[[#This Row],[Tech Start Date]]&lt;1/1/1990,"",IF(Main[[#This Row],[Class]]="C",WORKDAY(Main[[#This Row],[Tech Start Date]],28),IF(Main[[#This Row],[Class]]="B", WORKDAY(Main[[#This Row],[Tech Start Date]],19),IF(Main[[#This Row],[Class]]="A",WORKDAY(Main[[#This Row],[Tech Start Date]],9),""))))</f>
        <v/>
      </c>
      <c r="Q563" s="85">
        <v>40318</v>
      </c>
      <c r="R563" s="112"/>
      <c r="S563" s="95" t="s">
        <v>11</v>
      </c>
      <c r="T563" s="74" t="s">
        <v>4</v>
      </c>
      <c r="U563" s="95" t="s">
        <v>14</v>
      </c>
      <c r="V563" s="95" t="s">
        <v>1914</v>
      </c>
      <c r="W563" s="95" t="s">
        <v>1913</v>
      </c>
      <c r="X563" s="95" t="s">
        <v>2810</v>
      </c>
      <c r="Y563" s="72" t="s">
        <v>4</v>
      </c>
      <c r="Z563" s="72" t="s">
        <v>4</v>
      </c>
      <c r="AA563" s="95" t="s">
        <v>2810</v>
      </c>
      <c r="AB563" s="132"/>
      <c r="AC563" s="132"/>
      <c r="AD563" s="132"/>
      <c r="AE563" s="63"/>
      <c r="AF563" s="63"/>
      <c r="AG563" s="63"/>
    </row>
    <row r="564" spans="1:33" ht="17.2" customHeight="1">
      <c r="A564" s="64" t="str">
        <f>IF(priority(Main[[#This Row],[Comments]])&lt;&gt;0, priority(Main[[#This Row],[Comments]]),"")</f>
        <v/>
      </c>
      <c r="B564" s="60" t="s">
        <v>1225</v>
      </c>
      <c r="C564" s="72" t="s">
        <v>33</v>
      </c>
      <c r="D564" s="59" t="s">
        <v>288</v>
      </c>
      <c r="E564" s="85"/>
      <c r="F564" s="85"/>
      <c r="G564" s="64" t="str">
        <f>IF(stdProdLT(Main[[#This Row],[Comments]])=0.1,"N/A",IF(stdProdLT(Main[[#This Row],[Comments]])=0,"",TRIM(stdProdLT(Main[[#This Row],[Comments]]))))</f>
        <v/>
      </c>
      <c r="H564" s="94" t="str">
        <f>IF(OR(Main[[#This Row],[Std. Prod. Lead Time]]="N/A",Main[[#This Row],[Std. Prod. Lead Time]]=""), "",IF(AND(Main[[#This Row],[In Stock Date]]&lt;&gt;"",Main[[#This Row],[Revised Due Date]]&lt;&gt;"",Main[[#This Row],[In Stock Date]]&lt;&gt;""),Main[[#This Row],[In Stock Date]]-Main[[#This Row],[Revised Due Date]],""))</f>
        <v/>
      </c>
      <c r="I564" s="101" t="s">
        <v>4</v>
      </c>
      <c r="J564" s="95" t="s">
        <v>4</v>
      </c>
      <c r="K564" s="95" t="s">
        <v>4</v>
      </c>
      <c r="L564" s="85"/>
      <c r="M564" s="73" t="str">
        <f>IF(Main[[#This Row],[Tech Start Date]]&lt;1/1/1990,"",IF(Main[[#This Row],[Class]]="C",WORKDAY(Main[[#This Row],[Tech Start Date]],9),IF(Main[[#This Row],[Class]]="B", WORKDAY(Main[[#This Row],[Tech Start Date]],6),IF(Main[[#This Row],[Class]]="A",WORKDAY(Main[[#This Row],[Tech Start Date]],2),""))))</f>
        <v/>
      </c>
      <c r="N564" s="73" t="str">
        <f>IF(Main[[#This Row],[Tech Start Date]]&lt;1/1/1990,"",IF(Main[[#This Row],[Class]]="C",WORKDAY(Main[[#This Row],[Tech Start Date]],19),IF(Main[[#This Row],[Class]]="B", WORKDAY(Main[[#This Row],[Tech Start Date]],12),IF(Main[[#This Row],[Class]]="A",WORKDAY(Main[[#This Row],[Tech Start Date]],4),""))))</f>
        <v/>
      </c>
      <c r="O564" s="73" t="str">
        <f>IF(Main[[#This Row],[Tech Start Date]]&lt;1/1/1990,"",IF(Main[[#This Row],[Class]]="C",WORKDAY(Main[[#This Row],[Tech Start Date]],23),IF(Main[[#This Row],[Class]]="B", WORKDAY(Main[[#This Row],[Tech Start Date]],15),IF(Main[[#This Row],[Class]]="A",WORKDAY(Main[[#This Row],[Tech Start Date]],5),""))))</f>
        <v/>
      </c>
      <c r="P564" s="73" t="str">
        <f>IF(Main[[#This Row],[Tech Start Date]]&lt;1/1/1990,"",IF(Main[[#This Row],[Class]]="C",WORKDAY(Main[[#This Row],[Tech Start Date]],28),IF(Main[[#This Row],[Class]]="B", WORKDAY(Main[[#This Row],[Tech Start Date]],19),IF(Main[[#This Row],[Class]]="A",WORKDAY(Main[[#This Row],[Tech Start Date]],9),""))))</f>
        <v/>
      </c>
      <c r="Q564" s="85"/>
      <c r="R564" s="112"/>
      <c r="S564" s="95" t="s">
        <v>11</v>
      </c>
      <c r="T564" s="74" t="s">
        <v>4</v>
      </c>
      <c r="U564" s="95" t="s">
        <v>14</v>
      </c>
      <c r="V564" s="95" t="s">
        <v>1912</v>
      </c>
      <c r="W564" s="95" t="s">
        <v>1919</v>
      </c>
      <c r="X564" s="95" t="s">
        <v>2807</v>
      </c>
      <c r="Y564" s="72" t="s">
        <v>2926</v>
      </c>
      <c r="Z564" s="72" t="s">
        <v>4</v>
      </c>
      <c r="AA564" s="95" t="s">
        <v>2807</v>
      </c>
      <c r="AB564" s="132"/>
      <c r="AC564" s="132"/>
      <c r="AD564" s="132"/>
      <c r="AE564" s="63"/>
      <c r="AF564" s="63"/>
      <c r="AG564" s="63"/>
    </row>
    <row r="565" spans="1:33" ht="17.2" customHeight="1">
      <c r="A565" s="64" t="str">
        <f>IF(priority(Main[[#This Row],[Comments]])&lt;&gt;0, priority(Main[[#This Row],[Comments]]),"")</f>
        <v/>
      </c>
      <c r="B565" s="60" t="s">
        <v>1717</v>
      </c>
      <c r="C565" s="72" t="s">
        <v>277</v>
      </c>
      <c r="D565" s="59" t="s">
        <v>773</v>
      </c>
      <c r="E565" s="85"/>
      <c r="F565" s="85">
        <v>40680</v>
      </c>
      <c r="G565" s="64" t="str">
        <f>IF(stdProdLT(Main[[#This Row],[Comments]])=0.1,"N/A",IF(stdProdLT(Main[[#This Row],[Comments]])=0,"",TRIM(stdProdLT(Main[[#This Row],[Comments]]))))</f>
        <v/>
      </c>
      <c r="H565" s="94" t="str">
        <f>IF(OR(Main[[#This Row],[Std. Prod. Lead Time]]="N/A",Main[[#This Row],[Std. Prod. Lead Time]]=""), "",IF(AND(Main[[#This Row],[In Stock Date]]&lt;&gt;"",Main[[#This Row],[Revised Due Date]]&lt;&gt;"",Main[[#This Row],[In Stock Date]]&lt;&gt;""),Main[[#This Row],[In Stock Date]]-Main[[#This Row],[Revised Due Date]],""))</f>
        <v/>
      </c>
      <c r="I565" s="101" t="s">
        <v>4</v>
      </c>
      <c r="J565" s="95" t="s">
        <v>28</v>
      </c>
      <c r="K565" s="96" t="s">
        <v>4</v>
      </c>
      <c r="L565" s="85"/>
      <c r="M565" s="73" t="str">
        <f>IF(Main[[#This Row],[Tech Start Date]]&lt;1/1/1990,"",IF(Main[[#This Row],[Class]]="C",WORKDAY(Main[[#This Row],[Tech Start Date]],9),IF(Main[[#This Row],[Class]]="B", WORKDAY(Main[[#This Row],[Tech Start Date]],6),IF(Main[[#This Row],[Class]]="A",WORKDAY(Main[[#This Row],[Tech Start Date]],2),""))))</f>
        <v/>
      </c>
      <c r="N565" s="73" t="str">
        <f>IF(Main[[#This Row],[Tech Start Date]]&lt;1/1/1990,"",IF(Main[[#This Row],[Class]]="C",WORKDAY(Main[[#This Row],[Tech Start Date]],19),IF(Main[[#This Row],[Class]]="B", WORKDAY(Main[[#This Row],[Tech Start Date]],12),IF(Main[[#This Row],[Class]]="A",WORKDAY(Main[[#This Row],[Tech Start Date]],4),""))))</f>
        <v/>
      </c>
      <c r="O565" s="73" t="str">
        <f>IF(Main[[#This Row],[Tech Start Date]]&lt;1/1/1990,"",IF(Main[[#This Row],[Class]]="C",WORKDAY(Main[[#This Row],[Tech Start Date]],23),IF(Main[[#This Row],[Class]]="B", WORKDAY(Main[[#This Row],[Tech Start Date]],15),IF(Main[[#This Row],[Class]]="A",WORKDAY(Main[[#This Row],[Tech Start Date]],5),""))))</f>
        <v/>
      </c>
      <c r="P565" s="73" t="str">
        <f>IF(Main[[#This Row],[Tech Start Date]]&lt;1/1/1990,"",IF(Main[[#This Row],[Class]]="C",WORKDAY(Main[[#This Row],[Tech Start Date]],28),IF(Main[[#This Row],[Class]]="B", WORKDAY(Main[[#This Row],[Tech Start Date]],19),IF(Main[[#This Row],[Class]]="A",WORKDAY(Main[[#This Row],[Tech Start Date]],9),""))))</f>
        <v/>
      </c>
      <c r="Q565" s="85">
        <v>40568</v>
      </c>
      <c r="R565" s="112"/>
      <c r="S565" s="95" t="s">
        <v>11</v>
      </c>
      <c r="T565" s="74" t="s">
        <v>774</v>
      </c>
      <c r="U565" s="95" t="s">
        <v>14</v>
      </c>
      <c r="V565" s="95" t="s">
        <v>1912</v>
      </c>
      <c r="W565" s="95" t="s">
        <v>1916</v>
      </c>
      <c r="X565" s="95" t="s">
        <v>2840</v>
      </c>
      <c r="Y565" s="72" t="s">
        <v>2982</v>
      </c>
      <c r="Z565" s="72" t="s">
        <v>4</v>
      </c>
      <c r="AA565" s="95" t="s">
        <v>2840</v>
      </c>
      <c r="AB565" s="132"/>
      <c r="AC565" s="132"/>
      <c r="AD565" s="132"/>
      <c r="AE565" s="63"/>
      <c r="AF565" s="63"/>
      <c r="AG565" s="63"/>
    </row>
    <row r="566" spans="1:33" ht="17.2" customHeight="1">
      <c r="A566" s="64" t="str">
        <f>IF(priority(Main[[#This Row],[Comments]])&lt;&gt;0, priority(Main[[#This Row],[Comments]]),"")</f>
        <v/>
      </c>
      <c r="B566" s="60" t="s">
        <v>1337</v>
      </c>
      <c r="C566" s="72" t="s">
        <v>33</v>
      </c>
      <c r="D566" s="59" t="s">
        <v>419</v>
      </c>
      <c r="E566" s="85"/>
      <c r="F566" s="85">
        <v>40266</v>
      </c>
      <c r="G566" s="64" t="str">
        <f>IF(stdProdLT(Main[[#This Row],[Comments]])=0.1,"N/A",IF(stdProdLT(Main[[#This Row],[Comments]])=0,"",TRIM(stdProdLT(Main[[#This Row],[Comments]]))))</f>
        <v/>
      </c>
      <c r="H566" s="94" t="str">
        <f>IF(OR(Main[[#This Row],[Std. Prod. Lead Time]]="N/A",Main[[#This Row],[Std. Prod. Lead Time]]=""), "",IF(AND(Main[[#This Row],[In Stock Date]]&lt;&gt;"",Main[[#This Row],[Revised Due Date]]&lt;&gt;"",Main[[#This Row],[In Stock Date]]&lt;&gt;""),Main[[#This Row],[In Stock Date]]-Main[[#This Row],[Revised Due Date]],""))</f>
        <v/>
      </c>
      <c r="I566" s="101" t="s">
        <v>4</v>
      </c>
      <c r="J566" s="95" t="s">
        <v>4</v>
      </c>
      <c r="K566" s="95" t="s">
        <v>4</v>
      </c>
      <c r="L566" s="85"/>
      <c r="M566" s="73" t="str">
        <f>IF(Main[[#This Row],[Tech Start Date]]&lt;1/1/1990,"",IF(Main[[#This Row],[Class]]="C",WORKDAY(Main[[#This Row],[Tech Start Date]],9),IF(Main[[#This Row],[Class]]="B", WORKDAY(Main[[#This Row],[Tech Start Date]],6),IF(Main[[#This Row],[Class]]="A",WORKDAY(Main[[#This Row],[Tech Start Date]],2),""))))</f>
        <v/>
      </c>
      <c r="N566" s="73" t="str">
        <f>IF(Main[[#This Row],[Tech Start Date]]&lt;1/1/1990,"",IF(Main[[#This Row],[Class]]="C",WORKDAY(Main[[#This Row],[Tech Start Date]],19),IF(Main[[#This Row],[Class]]="B", WORKDAY(Main[[#This Row],[Tech Start Date]],12),IF(Main[[#This Row],[Class]]="A",WORKDAY(Main[[#This Row],[Tech Start Date]],4),""))))</f>
        <v/>
      </c>
      <c r="O566" s="73" t="str">
        <f>IF(Main[[#This Row],[Tech Start Date]]&lt;1/1/1990,"",IF(Main[[#This Row],[Class]]="C",WORKDAY(Main[[#This Row],[Tech Start Date]],23),IF(Main[[#This Row],[Class]]="B", WORKDAY(Main[[#This Row],[Tech Start Date]],15),IF(Main[[#This Row],[Class]]="A",WORKDAY(Main[[#This Row],[Tech Start Date]],5),""))))</f>
        <v/>
      </c>
      <c r="P566" s="73" t="str">
        <f>IF(Main[[#This Row],[Tech Start Date]]&lt;1/1/1990,"",IF(Main[[#This Row],[Class]]="C",WORKDAY(Main[[#This Row],[Tech Start Date]],28),IF(Main[[#This Row],[Class]]="B", WORKDAY(Main[[#This Row],[Tech Start Date]],19),IF(Main[[#This Row],[Class]]="A",WORKDAY(Main[[#This Row],[Tech Start Date]],9),""))))</f>
        <v/>
      </c>
      <c r="Q566" s="85">
        <v>40266</v>
      </c>
      <c r="R566" s="112"/>
      <c r="S566" s="95" t="s">
        <v>11</v>
      </c>
      <c r="T566" s="74" t="s">
        <v>4</v>
      </c>
      <c r="U566" s="95" t="s">
        <v>14</v>
      </c>
      <c r="V566" s="95" t="s">
        <v>1914</v>
      </c>
      <c r="W566" s="95" t="s">
        <v>1916</v>
      </c>
      <c r="X566" s="95" t="s">
        <v>2830</v>
      </c>
      <c r="Y566" s="72" t="s">
        <v>4</v>
      </c>
      <c r="Z566" s="72" t="s">
        <v>4</v>
      </c>
      <c r="AA566" s="95" t="s">
        <v>2830</v>
      </c>
      <c r="AB566" s="132"/>
      <c r="AC566" s="132"/>
      <c r="AD566" s="132"/>
      <c r="AE566" s="63"/>
      <c r="AF566" s="63"/>
      <c r="AG566" s="63"/>
    </row>
    <row r="567" spans="1:33" ht="17.2" customHeight="1">
      <c r="A567" s="64" t="str">
        <f>IF(priority(Main[[#This Row],[Comments]])&lt;&gt;0, priority(Main[[#This Row],[Comments]]),"")</f>
        <v/>
      </c>
      <c r="B567" s="60" t="s">
        <v>1386</v>
      </c>
      <c r="C567" s="72" t="s">
        <v>4</v>
      </c>
      <c r="D567" s="59" t="s">
        <v>474</v>
      </c>
      <c r="E567" s="85">
        <v>40679.254976851851</v>
      </c>
      <c r="F567" s="85"/>
      <c r="G567" s="64" t="str">
        <f>IF(stdProdLT(Main[[#This Row],[Comments]])=0.1,"N/A",IF(stdProdLT(Main[[#This Row],[Comments]])=0,"",TRIM(stdProdLT(Main[[#This Row],[Comments]]))))</f>
        <v/>
      </c>
      <c r="H567" s="94" t="str">
        <f>IF(OR(Main[[#This Row],[Std. Prod. Lead Time]]="N/A",Main[[#This Row],[Std. Prod. Lead Time]]=""), "",IF(AND(Main[[#This Row],[In Stock Date]]&lt;&gt;"",Main[[#This Row],[Revised Due Date]]&lt;&gt;"",Main[[#This Row],[In Stock Date]]&lt;&gt;""),Main[[#This Row],[In Stock Date]]-Main[[#This Row],[Revised Due Date]],""))</f>
        <v/>
      </c>
      <c r="I567" s="101" t="s">
        <v>4</v>
      </c>
      <c r="J567" s="95" t="s">
        <v>4</v>
      </c>
      <c r="K567" s="95" t="s">
        <v>4</v>
      </c>
      <c r="L567" s="85"/>
      <c r="M567" s="73" t="str">
        <f>IF(Main[[#This Row],[Tech Start Date]]&lt;1/1/1990,"",IF(Main[[#This Row],[Class]]="C",WORKDAY(Main[[#This Row],[Tech Start Date]],9),IF(Main[[#This Row],[Class]]="B", WORKDAY(Main[[#This Row],[Tech Start Date]],6),IF(Main[[#This Row],[Class]]="A",WORKDAY(Main[[#This Row],[Tech Start Date]],2),""))))</f>
        <v/>
      </c>
      <c r="N567" s="73" t="str">
        <f>IF(Main[[#This Row],[Tech Start Date]]&lt;1/1/1990,"",IF(Main[[#This Row],[Class]]="C",WORKDAY(Main[[#This Row],[Tech Start Date]],19),IF(Main[[#This Row],[Class]]="B", WORKDAY(Main[[#This Row],[Tech Start Date]],12),IF(Main[[#This Row],[Class]]="A",WORKDAY(Main[[#This Row],[Tech Start Date]],4),""))))</f>
        <v/>
      </c>
      <c r="O567" s="73" t="str">
        <f>IF(Main[[#This Row],[Tech Start Date]]&lt;1/1/1990,"",IF(Main[[#This Row],[Class]]="C",WORKDAY(Main[[#This Row],[Tech Start Date]],23),IF(Main[[#This Row],[Class]]="B", WORKDAY(Main[[#This Row],[Tech Start Date]],15),IF(Main[[#This Row],[Class]]="A",WORKDAY(Main[[#This Row],[Tech Start Date]],5),""))))</f>
        <v/>
      </c>
      <c r="P567" s="73" t="str">
        <f>IF(Main[[#This Row],[Tech Start Date]]&lt;1/1/1990,"",IF(Main[[#This Row],[Class]]="C",WORKDAY(Main[[#This Row],[Tech Start Date]],28),IF(Main[[#This Row],[Class]]="B", WORKDAY(Main[[#This Row],[Tech Start Date]],19),IF(Main[[#This Row],[Class]]="A",WORKDAY(Main[[#This Row],[Tech Start Date]],9),""))))</f>
        <v/>
      </c>
      <c r="Q567" s="85">
        <v>40724</v>
      </c>
      <c r="R567" s="112"/>
      <c r="S567" s="95" t="s">
        <v>6</v>
      </c>
      <c r="T567" s="74" t="s">
        <v>4</v>
      </c>
      <c r="U567" s="95" t="s">
        <v>7</v>
      </c>
      <c r="V567" s="95" t="s">
        <v>1911</v>
      </c>
      <c r="W567" s="95" t="s">
        <v>4</v>
      </c>
      <c r="X567" s="95" t="s">
        <v>2802</v>
      </c>
      <c r="Y567" s="72" t="s">
        <v>2916</v>
      </c>
      <c r="Z567" s="72" t="s">
        <v>4</v>
      </c>
      <c r="AA567" s="95" t="s">
        <v>2802</v>
      </c>
      <c r="AB567" s="132"/>
      <c r="AC567" s="132"/>
      <c r="AD567" s="132"/>
      <c r="AE567" s="63"/>
      <c r="AF567" s="63"/>
      <c r="AG567" s="63"/>
    </row>
    <row r="568" spans="1:33" ht="17.2" customHeight="1">
      <c r="A568" s="64" t="str">
        <f>IF(priority(Main[[#This Row],[Comments]])&lt;&gt;0, priority(Main[[#This Row],[Comments]]),"")</f>
        <v/>
      </c>
      <c r="B568" s="60" t="s">
        <v>1387</v>
      </c>
      <c r="C568" s="72" t="s">
        <v>4</v>
      </c>
      <c r="D568" s="59" t="s">
        <v>475</v>
      </c>
      <c r="E568" s="85"/>
      <c r="F568" s="85"/>
      <c r="G568" s="64" t="str">
        <f>IF(stdProdLT(Main[[#This Row],[Comments]])=0.1,"N/A",IF(stdProdLT(Main[[#This Row],[Comments]])=0,"",TRIM(stdProdLT(Main[[#This Row],[Comments]]))))</f>
        <v/>
      </c>
      <c r="H568" s="94" t="str">
        <f>IF(OR(Main[[#This Row],[Std. Prod. Lead Time]]="N/A",Main[[#This Row],[Std. Prod. Lead Time]]=""), "",IF(AND(Main[[#This Row],[In Stock Date]]&lt;&gt;"",Main[[#This Row],[Revised Due Date]]&lt;&gt;"",Main[[#This Row],[In Stock Date]]&lt;&gt;""),Main[[#This Row],[In Stock Date]]-Main[[#This Row],[Revised Due Date]],""))</f>
        <v/>
      </c>
      <c r="I568" s="101" t="s">
        <v>129</v>
      </c>
      <c r="J568" s="95" t="s">
        <v>4</v>
      </c>
      <c r="K568" s="95" t="s">
        <v>4</v>
      </c>
      <c r="L568" s="85"/>
      <c r="M568" s="73" t="str">
        <f>IF(Main[[#This Row],[Tech Start Date]]&lt;1/1/1990,"",IF(Main[[#This Row],[Class]]="C",WORKDAY(Main[[#This Row],[Tech Start Date]],9),IF(Main[[#This Row],[Class]]="B", WORKDAY(Main[[#This Row],[Tech Start Date]],6),IF(Main[[#This Row],[Class]]="A",WORKDAY(Main[[#This Row],[Tech Start Date]],2),""))))</f>
        <v/>
      </c>
      <c r="N568" s="73" t="str">
        <f>IF(Main[[#This Row],[Tech Start Date]]&lt;1/1/1990,"",IF(Main[[#This Row],[Class]]="C",WORKDAY(Main[[#This Row],[Tech Start Date]],19),IF(Main[[#This Row],[Class]]="B", WORKDAY(Main[[#This Row],[Tech Start Date]],12),IF(Main[[#This Row],[Class]]="A",WORKDAY(Main[[#This Row],[Tech Start Date]],4),""))))</f>
        <v/>
      </c>
      <c r="O568" s="73" t="str">
        <f>IF(Main[[#This Row],[Tech Start Date]]&lt;1/1/1990,"",IF(Main[[#This Row],[Class]]="C",WORKDAY(Main[[#This Row],[Tech Start Date]],23),IF(Main[[#This Row],[Class]]="B", WORKDAY(Main[[#This Row],[Tech Start Date]],15),IF(Main[[#This Row],[Class]]="A",WORKDAY(Main[[#This Row],[Tech Start Date]],5),""))))</f>
        <v/>
      </c>
      <c r="P568" s="73" t="str">
        <f>IF(Main[[#This Row],[Tech Start Date]]&lt;1/1/1990,"",IF(Main[[#This Row],[Class]]="C",WORKDAY(Main[[#This Row],[Tech Start Date]],28),IF(Main[[#This Row],[Class]]="B", WORKDAY(Main[[#This Row],[Tech Start Date]],19),IF(Main[[#This Row],[Class]]="A",WORKDAY(Main[[#This Row],[Tech Start Date]],9),""))))</f>
        <v/>
      </c>
      <c r="Q568" s="85">
        <v>40359</v>
      </c>
      <c r="R568" s="112"/>
      <c r="S568" s="95" t="s">
        <v>6</v>
      </c>
      <c r="T568" s="74" t="s">
        <v>4</v>
      </c>
      <c r="U568" s="95" t="s">
        <v>14</v>
      </c>
      <c r="V568" s="95" t="s">
        <v>1911</v>
      </c>
      <c r="W568" s="95" t="s">
        <v>1916</v>
      </c>
      <c r="X568" s="95" t="s">
        <v>102</v>
      </c>
      <c r="Y568" s="72" t="s">
        <v>3017</v>
      </c>
      <c r="Z568" s="72" t="s">
        <v>4</v>
      </c>
      <c r="AA568" s="95" t="s">
        <v>2853</v>
      </c>
      <c r="AB568" s="132"/>
      <c r="AC568" s="132"/>
      <c r="AD568" s="132"/>
      <c r="AE568" s="63"/>
      <c r="AF568" s="63"/>
      <c r="AG568" s="63"/>
    </row>
    <row r="569" spans="1:33" ht="17.2" customHeight="1">
      <c r="A569" s="64" t="str">
        <f>IF(priority(Main[[#This Row],[Comments]])&lt;&gt;0, priority(Main[[#This Row],[Comments]]),"")</f>
        <v/>
      </c>
      <c r="B569" s="60" t="s">
        <v>1388</v>
      </c>
      <c r="C569" s="72" t="s">
        <v>4</v>
      </c>
      <c r="D569" s="59" t="s">
        <v>476</v>
      </c>
      <c r="E569" s="85"/>
      <c r="F569" s="85"/>
      <c r="G569" s="64" t="str">
        <f>IF(stdProdLT(Main[[#This Row],[Comments]])=0.1,"N/A",IF(stdProdLT(Main[[#This Row],[Comments]])=0,"",TRIM(stdProdLT(Main[[#This Row],[Comments]]))))</f>
        <v/>
      </c>
      <c r="H569" s="94" t="str">
        <f>IF(OR(Main[[#This Row],[Std. Prod. Lead Time]]="N/A",Main[[#This Row],[Std. Prod. Lead Time]]=""), "",IF(AND(Main[[#This Row],[In Stock Date]]&lt;&gt;"",Main[[#This Row],[Revised Due Date]]&lt;&gt;"",Main[[#This Row],[In Stock Date]]&lt;&gt;""),Main[[#This Row],[In Stock Date]]-Main[[#This Row],[Revised Due Date]],""))</f>
        <v/>
      </c>
      <c r="I569" s="101" t="s">
        <v>4</v>
      </c>
      <c r="J569" s="95" t="s">
        <v>4</v>
      </c>
      <c r="K569" s="96" t="s">
        <v>4</v>
      </c>
      <c r="L569" s="85"/>
      <c r="M569" s="73" t="str">
        <f>IF(Main[[#This Row],[Tech Start Date]]&lt;1/1/1990,"",IF(Main[[#This Row],[Class]]="C",WORKDAY(Main[[#This Row],[Tech Start Date]],9),IF(Main[[#This Row],[Class]]="B", WORKDAY(Main[[#This Row],[Tech Start Date]],6),IF(Main[[#This Row],[Class]]="A",WORKDAY(Main[[#This Row],[Tech Start Date]],2),""))))</f>
        <v/>
      </c>
      <c r="N569" s="73" t="str">
        <f>IF(Main[[#This Row],[Tech Start Date]]&lt;1/1/1990,"",IF(Main[[#This Row],[Class]]="C",WORKDAY(Main[[#This Row],[Tech Start Date]],19),IF(Main[[#This Row],[Class]]="B", WORKDAY(Main[[#This Row],[Tech Start Date]],12),IF(Main[[#This Row],[Class]]="A",WORKDAY(Main[[#This Row],[Tech Start Date]],4),""))))</f>
        <v/>
      </c>
      <c r="O569" s="73" t="str">
        <f>IF(Main[[#This Row],[Tech Start Date]]&lt;1/1/1990,"",IF(Main[[#This Row],[Class]]="C",WORKDAY(Main[[#This Row],[Tech Start Date]],23),IF(Main[[#This Row],[Class]]="B", WORKDAY(Main[[#This Row],[Tech Start Date]],15),IF(Main[[#This Row],[Class]]="A",WORKDAY(Main[[#This Row],[Tech Start Date]],5),""))))</f>
        <v/>
      </c>
      <c r="P569" s="73" t="str">
        <f>IF(Main[[#This Row],[Tech Start Date]]&lt;1/1/1990,"",IF(Main[[#This Row],[Class]]="C",WORKDAY(Main[[#This Row],[Tech Start Date]],28),IF(Main[[#This Row],[Class]]="B", WORKDAY(Main[[#This Row],[Tech Start Date]],19),IF(Main[[#This Row],[Class]]="A",WORKDAY(Main[[#This Row],[Tech Start Date]],9),""))))</f>
        <v/>
      </c>
      <c r="Q569" s="85">
        <v>40151</v>
      </c>
      <c r="R569" s="112"/>
      <c r="S569" s="95" t="s">
        <v>6</v>
      </c>
      <c r="T569" s="74" t="s">
        <v>4</v>
      </c>
      <c r="U569" s="95" t="s">
        <v>12</v>
      </c>
      <c r="V569" s="95" t="s">
        <v>1911</v>
      </c>
      <c r="W569" s="95" t="s">
        <v>1913</v>
      </c>
      <c r="X569" s="95" t="s">
        <v>894</v>
      </c>
      <c r="Y569" s="72" t="s">
        <v>3018</v>
      </c>
      <c r="Z569" s="72" t="s">
        <v>4</v>
      </c>
      <c r="AA569" s="95" t="s">
        <v>894</v>
      </c>
      <c r="AB569" s="132"/>
      <c r="AC569" s="132"/>
      <c r="AD569" s="132"/>
      <c r="AE569" s="63"/>
      <c r="AF569" s="63"/>
      <c r="AG569" s="63"/>
    </row>
    <row r="570" spans="1:33" ht="17.2" customHeight="1">
      <c r="A570" s="64" t="str">
        <f>IF(priority(Main[[#This Row],[Comments]])&lt;&gt;0, priority(Main[[#This Row],[Comments]]),"")</f>
        <v/>
      </c>
      <c r="B570" s="60" t="s">
        <v>2250</v>
      </c>
      <c r="C570" s="72" t="s">
        <v>95</v>
      </c>
      <c r="D570" s="59" t="s">
        <v>2251</v>
      </c>
      <c r="E570" s="85">
        <v>40806.589305555557</v>
      </c>
      <c r="F570" s="85"/>
      <c r="G570" s="64" t="str">
        <f>IF(stdProdLT(Main[[#This Row],[Comments]])=0.1,"N/A",IF(stdProdLT(Main[[#This Row],[Comments]])=0,"",TRIM(stdProdLT(Main[[#This Row],[Comments]]))))</f>
        <v/>
      </c>
      <c r="H570" s="94" t="str">
        <f>IF(OR(Main[[#This Row],[Std. Prod. Lead Time]]="N/A",Main[[#This Row],[Std. Prod. Lead Time]]=""), "",IF(AND(Main[[#This Row],[In Stock Date]]&lt;&gt;"",Main[[#This Row],[Revised Due Date]]&lt;&gt;"",Main[[#This Row],[In Stock Date]]&lt;&gt;""),Main[[#This Row],[In Stock Date]]-Main[[#This Row],[Revised Due Date]],""))</f>
        <v/>
      </c>
      <c r="I570" s="101" t="s">
        <v>4</v>
      </c>
      <c r="J570" s="95" t="s">
        <v>4</v>
      </c>
      <c r="K570" s="95" t="s">
        <v>4</v>
      </c>
      <c r="L570" s="85"/>
      <c r="M570" s="73" t="str">
        <f>IF(Main[[#This Row],[Tech Start Date]]&lt;1/1/1990,"",IF(Main[[#This Row],[Class]]="C",WORKDAY(Main[[#This Row],[Tech Start Date]],9),IF(Main[[#This Row],[Class]]="B", WORKDAY(Main[[#This Row],[Tech Start Date]],6),IF(Main[[#This Row],[Class]]="A",WORKDAY(Main[[#This Row],[Tech Start Date]],2),""))))</f>
        <v/>
      </c>
      <c r="N570" s="73" t="str">
        <f>IF(Main[[#This Row],[Tech Start Date]]&lt;1/1/1990,"",IF(Main[[#This Row],[Class]]="C",WORKDAY(Main[[#This Row],[Tech Start Date]],19),IF(Main[[#This Row],[Class]]="B", WORKDAY(Main[[#This Row],[Tech Start Date]],12),IF(Main[[#This Row],[Class]]="A",WORKDAY(Main[[#This Row],[Tech Start Date]],4),""))))</f>
        <v/>
      </c>
      <c r="O570" s="73" t="str">
        <f>IF(Main[[#This Row],[Tech Start Date]]&lt;1/1/1990,"",IF(Main[[#This Row],[Class]]="C",WORKDAY(Main[[#This Row],[Tech Start Date]],23),IF(Main[[#This Row],[Class]]="B", WORKDAY(Main[[#This Row],[Tech Start Date]],15),IF(Main[[#This Row],[Class]]="A",WORKDAY(Main[[#This Row],[Tech Start Date]],5),""))))</f>
        <v/>
      </c>
      <c r="P570" s="73" t="str">
        <f>IF(Main[[#This Row],[Tech Start Date]]&lt;1/1/1990,"",IF(Main[[#This Row],[Class]]="C",WORKDAY(Main[[#This Row],[Tech Start Date]],28),IF(Main[[#This Row],[Class]]="B", WORKDAY(Main[[#This Row],[Tech Start Date]],19),IF(Main[[#This Row],[Class]]="A",WORKDAY(Main[[#This Row],[Tech Start Date]],9),""))))</f>
        <v/>
      </c>
      <c r="Q570" s="85">
        <v>40823</v>
      </c>
      <c r="R570" s="112"/>
      <c r="S570" s="95" t="s">
        <v>17</v>
      </c>
      <c r="T570" s="74" t="s">
        <v>4</v>
      </c>
      <c r="U570" s="95" t="s">
        <v>7</v>
      </c>
      <c r="V570" s="95" t="s">
        <v>1912</v>
      </c>
      <c r="W570" s="95" t="s">
        <v>1916</v>
      </c>
      <c r="X570" s="95" t="s">
        <v>553</v>
      </c>
      <c r="Y570" s="72" t="s">
        <v>2930</v>
      </c>
      <c r="Z570" s="72" t="s">
        <v>4</v>
      </c>
      <c r="AA570" s="95" t="s">
        <v>553</v>
      </c>
      <c r="AB570" s="132"/>
      <c r="AC570" s="132"/>
      <c r="AD570" s="132"/>
      <c r="AE570" s="63"/>
      <c r="AF570" s="63"/>
      <c r="AG570" s="63"/>
    </row>
    <row r="571" spans="1:33" ht="17.2" customHeight="1">
      <c r="A571" s="64" t="str">
        <f>IF(priority(Main[[#This Row],[Comments]])&lt;&gt;0, priority(Main[[#This Row],[Comments]]),"")</f>
        <v/>
      </c>
      <c r="B571" s="60" t="s">
        <v>2213</v>
      </c>
      <c r="C571" s="72" t="s">
        <v>4</v>
      </c>
      <c r="D571" s="59" t="s">
        <v>2214</v>
      </c>
      <c r="E571" s="85"/>
      <c r="F571" s="85"/>
      <c r="G571" s="64" t="str">
        <f>IF(stdProdLT(Main[[#This Row],[Comments]])=0.1,"N/A",IF(stdProdLT(Main[[#This Row],[Comments]])=0,"",TRIM(stdProdLT(Main[[#This Row],[Comments]]))))</f>
        <v/>
      </c>
      <c r="H571" s="94" t="str">
        <f>IF(OR(Main[[#This Row],[Std. Prod. Lead Time]]="N/A",Main[[#This Row],[Std. Prod. Lead Time]]=""), "",IF(AND(Main[[#This Row],[In Stock Date]]&lt;&gt;"",Main[[#This Row],[Revised Due Date]]&lt;&gt;"",Main[[#This Row],[In Stock Date]]&lt;&gt;""),Main[[#This Row],[In Stock Date]]-Main[[#This Row],[Revised Due Date]],""))</f>
        <v/>
      </c>
      <c r="I571" s="101" t="s">
        <v>4</v>
      </c>
      <c r="J571" s="95" t="s">
        <v>4</v>
      </c>
      <c r="K571" s="96" t="s">
        <v>4</v>
      </c>
      <c r="L571" s="85"/>
      <c r="M571" s="73" t="str">
        <f>IF(Main[[#This Row],[Tech Start Date]]&lt;1/1/1990,"",IF(Main[[#This Row],[Class]]="C",WORKDAY(Main[[#This Row],[Tech Start Date]],9),IF(Main[[#This Row],[Class]]="B", WORKDAY(Main[[#This Row],[Tech Start Date]],6),IF(Main[[#This Row],[Class]]="A",WORKDAY(Main[[#This Row],[Tech Start Date]],2),""))))</f>
        <v/>
      </c>
      <c r="N571" s="73" t="str">
        <f>IF(Main[[#This Row],[Tech Start Date]]&lt;1/1/1990,"",IF(Main[[#This Row],[Class]]="C",WORKDAY(Main[[#This Row],[Tech Start Date]],19),IF(Main[[#This Row],[Class]]="B", WORKDAY(Main[[#This Row],[Tech Start Date]],12),IF(Main[[#This Row],[Class]]="A",WORKDAY(Main[[#This Row],[Tech Start Date]],4),""))))</f>
        <v/>
      </c>
      <c r="O571" s="73" t="str">
        <f>IF(Main[[#This Row],[Tech Start Date]]&lt;1/1/1990,"",IF(Main[[#This Row],[Class]]="C",WORKDAY(Main[[#This Row],[Tech Start Date]],23),IF(Main[[#This Row],[Class]]="B", WORKDAY(Main[[#This Row],[Tech Start Date]],15),IF(Main[[#This Row],[Class]]="A",WORKDAY(Main[[#This Row],[Tech Start Date]],5),""))))</f>
        <v/>
      </c>
      <c r="P571" s="73" t="str">
        <f>IF(Main[[#This Row],[Tech Start Date]]&lt;1/1/1990,"",IF(Main[[#This Row],[Class]]="C",WORKDAY(Main[[#This Row],[Tech Start Date]],28),IF(Main[[#This Row],[Class]]="B", WORKDAY(Main[[#This Row],[Tech Start Date]],19),IF(Main[[#This Row],[Class]]="A",WORKDAY(Main[[#This Row],[Tech Start Date]],9),""))))</f>
        <v/>
      </c>
      <c r="Q571" s="85"/>
      <c r="R571" s="112"/>
      <c r="S571" s="95" t="s">
        <v>49</v>
      </c>
      <c r="T571" s="74" t="s">
        <v>4</v>
      </c>
      <c r="U571" s="95" t="s">
        <v>14</v>
      </c>
      <c r="V571" s="95" t="s">
        <v>1912</v>
      </c>
      <c r="W571" s="95" t="s">
        <v>1915</v>
      </c>
      <c r="X571" s="95" t="s">
        <v>306</v>
      </c>
      <c r="Y571" s="72" t="s">
        <v>4</v>
      </c>
      <c r="Z571" s="72" t="s">
        <v>4</v>
      </c>
      <c r="AA571" s="95" t="s">
        <v>4</v>
      </c>
      <c r="AB571" s="132"/>
      <c r="AC571" s="132"/>
      <c r="AD571" s="132"/>
      <c r="AE571" s="63"/>
      <c r="AF571" s="63"/>
      <c r="AG571" s="63"/>
    </row>
    <row r="572" spans="1:33" ht="17.2" customHeight="1">
      <c r="A572" s="64" t="str">
        <f>IF(priority(Main[[#This Row],[Comments]])&lt;&gt;0, priority(Main[[#This Row],[Comments]]),"")</f>
        <v/>
      </c>
      <c r="B572" s="60" t="s">
        <v>1410</v>
      </c>
      <c r="C572" s="72" t="s">
        <v>4</v>
      </c>
      <c r="D572" s="59" t="s">
        <v>492</v>
      </c>
      <c r="E572" s="85"/>
      <c r="F572" s="85"/>
      <c r="G572" s="64" t="str">
        <f>IF(stdProdLT(Main[[#This Row],[Comments]])=0.1,"N/A",IF(stdProdLT(Main[[#This Row],[Comments]])=0,"",TRIM(stdProdLT(Main[[#This Row],[Comments]]))))</f>
        <v/>
      </c>
      <c r="H572" s="94" t="str">
        <f>IF(OR(Main[[#This Row],[Std. Prod. Lead Time]]="N/A",Main[[#This Row],[Std. Prod. Lead Time]]=""), "",IF(AND(Main[[#This Row],[In Stock Date]]&lt;&gt;"",Main[[#This Row],[Revised Due Date]]&lt;&gt;"",Main[[#This Row],[In Stock Date]]&lt;&gt;""),Main[[#This Row],[In Stock Date]]-Main[[#This Row],[Revised Due Date]],""))</f>
        <v/>
      </c>
      <c r="I572" s="101" t="s">
        <v>81</v>
      </c>
      <c r="J572" s="95" t="s">
        <v>4</v>
      </c>
      <c r="K572" s="95" t="s">
        <v>4</v>
      </c>
      <c r="L572" s="85"/>
      <c r="M572" s="73" t="str">
        <f>IF(Main[[#This Row],[Tech Start Date]]&lt;1/1/1990,"",IF(Main[[#This Row],[Class]]="C",WORKDAY(Main[[#This Row],[Tech Start Date]],9),IF(Main[[#This Row],[Class]]="B", WORKDAY(Main[[#This Row],[Tech Start Date]],6),IF(Main[[#This Row],[Class]]="A",WORKDAY(Main[[#This Row],[Tech Start Date]],2),""))))</f>
        <v/>
      </c>
      <c r="N572" s="73" t="str">
        <f>IF(Main[[#This Row],[Tech Start Date]]&lt;1/1/1990,"",IF(Main[[#This Row],[Class]]="C",WORKDAY(Main[[#This Row],[Tech Start Date]],19),IF(Main[[#This Row],[Class]]="B", WORKDAY(Main[[#This Row],[Tech Start Date]],12),IF(Main[[#This Row],[Class]]="A",WORKDAY(Main[[#This Row],[Tech Start Date]],4),""))))</f>
        <v/>
      </c>
      <c r="O572" s="73" t="str">
        <f>IF(Main[[#This Row],[Tech Start Date]]&lt;1/1/1990,"",IF(Main[[#This Row],[Class]]="C",WORKDAY(Main[[#This Row],[Tech Start Date]],23),IF(Main[[#This Row],[Class]]="B", WORKDAY(Main[[#This Row],[Tech Start Date]],15),IF(Main[[#This Row],[Class]]="A",WORKDAY(Main[[#This Row],[Tech Start Date]],5),""))))</f>
        <v/>
      </c>
      <c r="P572" s="73" t="str">
        <f>IF(Main[[#This Row],[Tech Start Date]]&lt;1/1/1990,"",IF(Main[[#This Row],[Class]]="C",WORKDAY(Main[[#This Row],[Tech Start Date]],28),IF(Main[[#This Row],[Class]]="B", WORKDAY(Main[[#This Row],[Tech Start Date]],19),IF(Main[[#This Row],[Class]]="A",WORKDAY(Main[[#This Row],[Tech Start Date]],9),""))))</f>
        <v/>
      </c>
      <c r="Q572" s="85">
        <v>40338</v>
      </c>
      <c r="R572" s="112"/>
      <c r="S572" s="95" t="s">
        <v>6</v>
      </c>
      <c r="T572" s="74" t="s">
        <v>4</v>
      </c>
      <c r="U572" s="95" t="s">
        <v>14</v>
      </c>
      <c r="V572" s="95" t="s">
        <v>1914</v>
      </c>
      <c r="W572" s="95" t="s">
        <v>1915</v>
      </c>
      <c r="X572" s="95" t="s">
        <v>399</v>
      </c>
      <c r="Y572" s="72" t="s">
        <v>3039</v>
      </c>
      <c r="Z572" s="72" t="s">
        <v>4</v>
      </c>
      <c r="AA572" s="95" t="s">
        <v>3378</v>
      </c>
      <c r="AB572" s="132"/>
      <c r="AC572" s="132"/>
      <c r="AD572" s="132"/>
      <c r="AE572" s="63"/>
      <c r="AF572" s="63"/>
      <c r="AG572" s="63"/>
    </row>
    <row r="573" spans="1:33" ht="17.2" customHeight="1">
      <c r="A573" s="64" t="str">
        <f>IF(priority(Main[[#This Row],[Comments]])&lt;&gt;0, priority(Main[[#This Row],[Comments]]),"")</f>
        <v/>
      </c>
      <c r="B573" s="60" t="s">
        <v>1411</v>
      </c>
      <c r="C573" s="72" t="s">
        <v>493</v>
      </c>
      <c r="D573" s="59" t="s">
        <v>494</v>
      </c>
      <c r="E573" s="85"/>
      <c r="F573" s="85"/>
      <c r="G573" s="64" t="str">
        <f>IF(stdProdLT(Main[[#This Row],[Comments]])=0.1,"N/A",IF(stdProdLT(Main[[#This Row],[Comments]])=0,"",TRIM(stdProdLT(Main[[#This Row],[Comments]]))))</f>
        <v/>
      </c>
      <c r="H573" s="94" t="str">
        <f>IF(OR(Main[[#This Row],[Std. Prod. Lead Time]]="N/A",Main[[#This Row],[Std. Prod. Lead Time]]=""), "",IF(AND(Main[[#This Row],[In Stock Date]]&lt;&gt;"",Main[[#This Row],[Revised Due Date]]&lt;&gt;"",Main[[#This Row],[In Stock Date]]&lt;&gt;""),Main[[#This Row],[In Stock Date]]-Main[[#This Row],[Revised Due Date]],""))</f>
        <v/>
      </c>
      <c r="I573" s="101" t="s">
        <v>4</v>
      </c>
      <c r="J573" s="95" t="s">
        <v>4</v>
      </c>
      <c r="K573" s="95" t="s">
        <v>4</v>
      </c>
      <c r="L573" s="85"/>
      <c r="M573" s="73" t="str">
        <f>IF(Main[[#This Row],[Tech Start Date]]&lt;1/1/1990,"",IF(Main[[#This Row],[Class]]="C",WORKDAY(Main[[#This Row],[Tech Start Date]],9),IF(Main[[#This Row],[Class]]="B", WORKDAY(Main[[#This Row],[Tech Start Date]],6),IF(Main[[#This Row],[Class]]="A",WORKDAY(Main[[#This Row],[Tech Start Date]],2),""))))</f>
        <v/>
      </c>
      <c r="N573" s="73" t="str">
        <f>IF(Main[[#This Row],[Tech Start Date]]&lt;1/1/1990,"",IF(Main[[#This Row],[Class]]="C",WORKDAY(Main[[#This Row],[Tech Start Date]],19),IF(Main[[#This Row],[Class]]="B", WORKDAY(Main[[#This Row],[Tech Start Date]],12),IF(Main[[#This Row],[Class]]="A",WORKDAY(Main[[#This Row],[Tech Start Date]],4),""))))</f>
        <v/>
      </c>
      <c r="O573" s="73" t="str">
        <f>IF(Main[[#This Row],[Tech Start Date]]&lt;1/1/1990,"",IF(Main[[#This Row],[Class]]="C",WORKDAY(Main[[#This Row],[Tech Start Date]],23),IF(Main[[#This Row],[Class]]="B", WORKDAY(Main[[#This Row],[Tech Start Date]],15),IF(Main[[#This Row],[Class]]="A",WORKDAY(Main[[#This Row],[Tech Start Date]],5),""))))</f>
        <v/>
      </c>
      <c r="P573" s="73" t="str">
        <f>IF(Main[[#This Row],[Tech Start Date]]&lt;1/1/1990,"",IF(Main[[#This Row],[Class]]="C",WORKDAY(Main[[#This Row],[Tech Start Date]],28),IF(Main[[#This Row],[Class]]="B", WORKDAY(Main[[#This Row],[Tech Start Date]],19),IF(Main[[#This Row],[Class]]="A",WORKDAY(Main[[#This Row],[Tech Start Date]],9),""))))</f>
        <v/>
      </c>
      <c r="Q573" s="85">
        <v>40239</v>
      </c>
      <c r="R573" s="112"/>
      <c r="S573" s="95" t="s">
        <v>11</v>
      </c>
      <c r="T573" s="74" t="s">
        <v>4</v>
      </c>
      <c r="U573" s="95" t="s">
        <v>14</v>
      </c>
      <c r="V573" s="95" t="s">
        <v>1914</v>
      </c>
      <c r="W573" s="95" t="s">
        <v>1913</v>
      </c>
      <c r="X573" s="95" t="s">
        <v>2876</v>
      </c>
      <c r="Y573" s="72" t="s">
        <v>4</v>
      </c>
      <c r="Z573" s="72" t="s">
        <v>4</v>
      </c>
      <c r="AA573" s="95" t="s">
        <v>2876</v>
      </c>
      <c r="AB573" s="132"/>
      <c r="AC573" s="132"/>
      <c r="AD573" s="132"/>
      <c r="AE573" s="63"/>
      <c r="AF573" s="63"/>
      <c r="AG573" s="63"/>
    </row>
    <row r="574" spans="1:33" ht="17.2" customHeight="1">
      <c r="A574" s="64" t="str">
        <f>IF(priority(Main[[#This Row],[Comments]])&lt;&gt;0, priority(Main[[#This Row],[Comments]]),"")</f>
        <v/>
      </c>
      <c r="B574" s="60" t="s">
        <v>1412</v>
      </c>
      <c r="C574" s="72" t="s">
        <v>495</v>
      </c>
      <c r="D574" s="59" t="s">
        <v>496</v>
      </c>
      <c r="E574" s="85"/>
      <c r="F574" s="85"/>
      <c r="G574" s="64" t="str">
        <f>IF(stdProdLT(Main[[#This Row],[Comments]])=0.1,"N/A",IF(stdProdLT(Main[[#This Row],[Comments]])=0,"",TRIM(stdProdLT(Main[[#This Row],[Comments]]))))</f>
        <v/>
      </c>
      <c r="H574" s="94" t="str">
        <f>IF(OR(Main[[#This Row],[Std. Prod. Lead Time]]="N/A",Main[[#This Row],[Std. Prod. Lead Time]]=""), "",IF(AND(Main[[#This Row],[In Stock Date]]&lt;&gt;"",Main[[#This Row],[Revised Due Date]]&lt;&gt;"",Main[[#This Row],[In Stock Date]]&lt;&gt;""),Main[[#This Row],[In Stock Date]]-Main[[#This Row],[Revised Due Date]],""))</f>
        <v/>
      </c>
      <c r="I574" s="101" t="s">
        <v>4</v>
      </c>
      <c r="J574" s="95" t="s">
        <v>4</v>
      </c>
      <c r="K574" s="95" t="s">
        <v>4</v>
      </c>
      <c r="L574" s="85"/>
      <c r="M574" s="73" t="str">
        <f>IF(Main[[#This Row],[Tech Start Date]]&lt;1/1/1990,"",IF(Main[[#This Row],[Class]]="C",WORKDAY(Main[[#This Row],[Tech Start Date]],9),IF(Main[[#This Row],[Class]]="B", WORKDAY(Main[[#This Row],[Tech Start Date]],6),IF(Main[[#This Row],[Class]]="A",WORKDAY(Main[[#This Row],[Tech Start Date]],2),""))))</f>
        <v/>
      </c>
      <c r="N574" s="73" t="str">
        <f>IF(Main[[#This Row],[Tech Start Date]]&lt;1/1/1990,"",IF(Main[[#This Row],[Class]]="C",WORKDAY(Main[[#This Row],[Tech Start Date]],19),IF(Main[[#This Row],[Class]]="B", WORKDAY(Main[[#This Row],[Tech Start Date]],12),IF(Main[[#This Row],[Class]]="A",WORKDAY(Main[[#This Row],[Tech Start Date]],4),""))))</f>
        <v/>
      </c>
      <c r="O574" s="73" t="str">
        <f>IF(Main[[#This Row],[Tech Start Date]]&lt;1/1/1990,"",IF(Main[[#This Row],[Class]]="C",WORKDAY(Main[[#This Row],[Tech Start Date]],23),IF(Main[[#This Row],[Class]]="B", WORKDAY(Main[[#This Row],[Tech Start Date]],15),IF(Main[[#This Row],[Class]]="A",WORKDAY(Main[[#This Row],[Tech Start Date]],5),""))))</f>
        <v/>
      </c>
      <c r="P574" s="73" t="str">
        <f>IF(Main[[#This Row],[Tech Start Date]]&lt;1/1/1990,"",IF(Main[[#This Row],[Class]]="C",WORKDAY(Main[[#This Row],[Tech Start Date]],28),IF(Main[[#This Row],[Class]]="B", WORKDAY(Main[[#This Row],[Tech Start Date]],19),IF(Main[[#This Row],[Class]]="A",WORKDAY(Main[[#This Row],[Tech Start Date]],9),""))))</f>
        <v/>
      </c>
      <c r="Q574" s="85"/>
      <c r="R574" s="112"/>
      <c r="S574" s="95" t="s">
        <v>11</v>
      </c>
      <c r="T574" s="74" t="s">
        <v>4</v>
      </c>
      <c r="U574" s="95" t="s">
        <v>14</v>
      </c>
      <c r="V574" s="95" t="s">
        <v>1911</v>
      </c>
      <c r="W574" s="95" t="s">
        <v>1919</v>
      </c>
      <c r="X574" s="95" t="s">
        <v>50</v>
      </c>
      <c r="Y574" s="72" t="s">
        <v>3040</v>
      </c>
      <c r="Z574" s="72" t="s">
        <v>4</v>
      </c>
      <c r="AA574" s="95" t="s">
        <v>2840</v>
      </c>
      <c r="AB574" s="132"/>
      <c r="AC574" s="132"/>
      <c r="AD574" s="132"/>
      <c r="AE574" s="63"/>
      <c r="AF574" s="63"/>
      <c r="AG574" s="63"/>
    </row>
    <row r="575" spans="1:33" ht="17.2" customHeight="1">
      <c r="A575" s="64" t="str">
        <f>IF(priority(Main[[#This Row],[Comments]])&lt;&gt;0, priority(Main[[#This Row],[Comments]]),"")</f>
        <v/>
      </c>
      <c r="B575" s="60" t="s">
        <v>1413</v>
      </c>
      <c r="C575" s="72" t="s">
        <v>93</v>
      </c>
      <c r="D575" s="59" t="s">
        <v>497</v>
      </c>
      <c r="E575" s="85"/>
      <c r="F575" s="85">
        <v>40132</v>
      </c>
      <c r="G575" s="64" t="str">
        <f>IF(stdProdLT(Main[[#This Row],[Comments]])=0.1,"N/A",IF(stdProdLT(Main[[#This Row],[Comments]])=0,"",TRIM(stdProdLT(Main[[#This Row],[Comments]]))))</f>
        <v/>
      </c>
      <c r="H575" s="94" t="str">
        <f>IF(OR(Main[[#This Row],[Std. Prod. Lead Time]]="N/A",Main[[#This Row],[Std. Prod. Lead Time]]=""), "",IF(AND(Main[[#This Row],[In Stock Date]]&lt;&gt;"",Main[[#This Row],[Revised Due Date]]&lt;&gt;"",Main[[#This Row],[In Stock Date]]&lt;&gt;""),Main[[#This Row],[In Stock Date]]-Main[[#This Row],[Revised Due Date]],""))</f>
        <v/>
      </c>
      <c r="I575" s="101" t="s">
        <v>4</v>
      </c>
      <c r="J575" s="95" t="s">
        <v>4</v>
      </c>
      <c r="K575" s="95" t="s">
        <v>4</v>
      </c>
      <c r="L575" s="85"/>
      <c r="M575" s="73" t="str">
        <f>IF(Main[[#This Row],[Tech Start Date]]&lt;1/1/1990,"",IF(Main[[#This Row],[Class]]="C",WORKDAY(Main[[#This Row],[Tech Start Date]],9),IF(Main[[#This Row],[Class]]="B", WORKDAY(Main[[#This Row],[Tech Start Date]],6),IF(Main[[#This Row],[Class]]="A",WORKDAY(Main[[#This Row],[Tech Start Date]],2),""))))</f>
        <v/>
      </c>
      <c r="N575" s="73" t="str">
        <f>IF(Main[[#This Row],[Tech Start Date]]&lt;1/1/1990,"",IF(Main[[#This Row],[Class]]="C",WORKDAY(Main[[#This Row],[Tech Start Date]],19),IF(Main[[#This Row],[Class]]="B", WORKDAY(Main[[#This Row],[Tech Start Date]],12),IF(Main[[#This Row],[Class]]="A",WORKDAY(Main[[#This Row],[Tech Start Date]],4),""))))</f>
        <v/>
      </c>
      <c r="O575" s="73" t="str">
        <f>IF(Main[[#This Row],[Tech Start Date]]&lt;1/1/1990,"",IF(Main[[#This Row],[Class]]="C",WORKDAY(Main[[#This Row],[Tech Start Date]],23),IF(Main[[#This Row],[Class]]="B", WORKDAY(Main[[#This Row],[Tech Start Date]],15),IF(Main[[#This Row],[Class]]="A",WORKDAY(Main[[#This Row],[Tech Start Date]],5),""))))</f>
        <v/>
      </c>
      <c r="P575" s="73" t="str">
        <f>IF(Main[[#This Row],[Tech Start Date]]&lt;1/1/1990,"",IF(Main[[#This Row],[Class]]="C",WORKDAY(Main[[#This Row],[Tech Start Date]],28),IF(Main[[#This Row],[Class]]="B", WORKDAY(Main[[#This Row],[Tech Start Date]],19),IF(Main[[#This Row],[Class]]="A",WORKDAY(Main[[#This Row],[Tech Start Date]],9),""))))</f>
        <v/>
      </c>
      <c r="Q575" s="85">
        <v>40132</v>
      </c>
      <c r="R575" s="112"/>
      <c r="S575" s="95" t="s">
        <v>11</v>
      </c>
      <c r="T575" s="74" t="s">
        <v>4</v>
      </c>
      <c r="U575" s="95" t="s">
        <v>14</v>
      </c>
      <c r="V575" s="95" t="s">
        <v>1921</v>
      </c>
      <c r="W575" s="95" t="s">
        <v>1922</v>
      </c>
      <c r="X575" s="95" t="s">
        <v>2836</v>
      </c>
      <c r="Y575" s="72" t="s">
        <v>4</v>
      </c>
      <c r="Z575" s="72" t="s">
        <v>4</v>
      </c>
      <c r="AA575" s="95" t="s">
        <v>2836</v>
      </c>
      <c r="AB575" s="132"/>
      <c r="AC575" s="132"/>
      <c r="AD575" s="132"/>
      <c r="AE575" s="63"/>
      <c r="AF575" s="63"/>
      <c r="AG575" s="63"/>
    </row>
    <row r="576" spans="1:33" ht="17.2" customHeight="1">
      <c r="A576" s="64" t="str">
        <f>IF(priority(Main[[#This Row],[Comments]])&lt;&gt;0, priority(Main[[#This Row],[Comments]]),"")</f>
        <v/>
      </c>
      <c r="B576" s="60" t="s">
        <v>1414</v>
      </c>
      <c r="C576" s="72" t="s">
        <v>99</v>
      </c>
      <c r="D576" s="59" t="s">
        <v>498</v>
      </c>
      <c r="E576" s="85"/>
      <c r="F576" s="85">
        <v>40435</v>
      </c>
      <c r="G576" s="64" t="str">
        <f>IF(stdProdLT(Main[[#This Row],[Comments]])=0.1,"N/A",IF(stdProdLT(Main[[#This Row],[Comments]])=0,"",TRIM(stdProdLT(Main[[#This Row],[Comments]]))))</f>
        <v/>
      </c>
      <c r="H576" s="94" t="str">
        <f>IF(OR(Main[[#This Row],[Std. Prod. Lead Time]]="N/A",Main[[#This Row],[Std. Prod. Lead Time]]=""), "",IF(AND(Main[[#This Row],[In Stock Date]]&lt;&gt;"",Main[[#This Row],[Revised Due Date]]&lt;&gt;"",Main[[#This Row],[In Stock Date]]&lt;&gt;""),Main[[#This Row],[In Stock Date]]-Main[[#This Row],[Revised Due Date]],""))</f>
        <v/>
      </c>
      <c r="I576" s="101" t="s">
        <v>4</v>
      </c>
      <c r="J576" s="95" t="s">
        <v>28</v>
      </c>
      <c r="K576" s="95" t="s">
        <v>4</v>
      </c>
      <c r="L576" s="85"/>
      <c r="M576" s="73" t="str">
        <f>IF(Main[[#This Row],[Tech Start Date]]&lt;1/1/1990,"",IF(Main[[#This Row],[Class]]="C",WORKDAY(Main[[#This Row],[Tech Start Date]],9),IF(Main[[#This Row],[Class]]="B", WORKDAY(Main[[#This Row],[Tech Start Date]],6),IF(Main[[#This Row],[Class]]="A",WORKDAY(Main[[#This Row],[Tech Start Date]],2),""))))</f>
        <v/>
      </c>
      <c r="N576" s="73" t="str">
        <f>IF(Main[[#This Row],[Tech Start Date]]&lt;1/1/1990,"",IF(Main[[#This Row],[Class]]="C",WORKDAY(Main[[#This Row],[Tech Start Date]],19),IF(Main[[#This Row],[Class]]="B", WORKDAY(Main[[#This Row],[Tech Start Date]],12),IF(Main[[#This Row],[Class]]="A",WORKDAY(Main[[#This Row],[Tech Start Date]],4),""))))</f>
        <v/>
      </c>
      <c r="O576" s="73" t="str">
        <f>IF(Main[[#This Row],[Tech Start Date]]&lt;1/1/1990,"",IF(Main[[#This Row],[Class]]="C",WORKDAY(Main[[#This Row],[Tech Start Date]],23),IF(Main[[#This Row],[Class]]="B", WORKDAY(Main[[#This Row],[Tech Start Date]],15),IF(Main[[#This Row],[Class]]="A",WORKDAY(Main[[#This Row],[Tech Start Date]],5),""))))</f>
        <v/>
      </c>
      <c r="P576" s="73" t="str">
        <f>IF(Main[[#This Row],[Tech Start Date]]&lt;1/1/1990,"",IF(Main[[#This Row],[Class]]="C",WORKDAY(Main[[#This Row],[Tech Start Date]],28),IF(Main[[#This Row],[Class]]="B", WORKDAY(Main[[#This Row],[Tech Start Date]],19),IF(Main[[#This Row],[Class]]="A",WORKDAY(Main[[#This Row],[Tech Start Date]],9),""))))</f>
        <v/>
      </c>
      <c r="Q576" s="85">
        <v>40435</v>
      </c>
      <c r="R576" s="112"/>
      <c r="S576" s="95" t="s">
        <v>11</v>
      </c>
      <c r="T576" s="74" t="s">
        <v>4</v>
      </c>
      <c r="U576" s="95" t="s">
        <v>14</v>
      </c>
      <c r="V576" s="95" t="s">
        <v>1914</v>
      </c>
      <c r="W576" s="95" t="s">
        <v>1916</v>
      </c>
      <c r="X576" s="95" t="s">
        <v>2817</v>
      </c>
      <c r="Y576" s="72" t="s">
        <v>2944</v>
      </c>
      <c r="Z576" s="72" t="s">
        <v>530</v>
      </c>
      <c r="AA576" s="95" t="s">
        <v>2814</v>
      </c>
      <c r="AB576" s="132"/>
      <c r="AC576" s="132"/>
      <c r="AD576" s="132"/>
      <c r="AE576" s="63"/>
      <c r="AF576" s="63"/>
      <c r="AG576" s="63"/>
    </row>
    <row r="577" spans="1:33" ht="17.2" customHeight="1">
      <c r="A577" s="64" t="str">
        <f>IF(priority(Main[[#This Row],[Comments]])&lt;&gt;0, priority(Main[[#This Row],[Comments]]),"")</f>
        <v/>
      </c>
      <c r="B577" s="60" t="s">
        <v>1281</v>
      </c>
      <c r="C577" s="72" t="s">
        <v>42</v>
      </c>
      <c r="D577" s="59" t="s">
        <v>355</v>
      </c>
      <c r="E577" s="85"/>
      <c r="F577" s="85"/>
      <c r="G577" s="64" t="str">
        <f>IF(stdProdLT(Main[[#This Row],[Comments]])=0.1,"N/A",IF(stdProdLT(Main[[#This Row],[Comments]])=0,"",TRIM(stdProdLT(Main[[#This Row],[Comments]]))))</f>
        <v/>
      </c>
      <c r="H577" s="94" t="str">
        <f>IF(OR(Main[[#This Row],[Std. Prod. Lead Time]]="N/A",Main[[#This Row],[Std. Prod. Lead Time]]=""), "",IF(AND(Main[[#This Row],[In Stock Date]]&lt;&gt;"",Main[[#This Row],[Revised Due Date]]&lt;&gt;"",Main[[#This Row],[In Stock Date]]&lt;&gt;""),Main[[#This Row],[In Stock Date]]-Main[[#This Row],[Revised Due Date]],""))</f>
        <v/>
      </c>
      <c r="I577" s="101" t="s">
        <v>4</v>
      </c>
      <c r="J577" s="95" t="s">
        <v>4</v>
      </c>
      <c r="K577" s="95" t="s">
        <v>4</v>
      </c>
      <c r="L577" s="85"/>
      <c r="M577" s="73" t="str">
        <f>IF(Main[[#This Row],[Tech Start Date]]&lt;1/1/1990,"",IF(Main[[#This Row],[Class]]="C",WORKDAY(Main[[#This Row],[Tech Start Date]],9),IF(Main[[#This Row],[Class]]="B", WORKDAY(Main[[#This Row],[Tech Start Date]],6),IF(Main[[#This Row],[Class]]="A",WORKDAY(Main[[#This Row],[Tech Start Date]],2),""))))</f>
        <v/>
      </c>
      <c r="N577" s="73" t="str">
        <f>IF(Main[[#This Row],[Tech Start Date]]&lt;1/1/1990,"",IF(Main[[#This Row],[Class]]="C",WORKDAY(Main[[#This Row],[Tech Start Date]],19),IF(Main[[#This Row],[Class]]="B", WORKDAY(Main[[#This Row],[Tech Start Date]],12),IF(Main[[#This Row],[Class]]="A",WORKDAY(Main[[#This Row],[Tech Start Date]],4),""))))</f>
        <v/>
      </c>
      <c r="O577" s="73" t="str">
        <f>IF(Main[[#This Row],[Tech Start Date]]&lt;1/1/1990,"",IF(Main[[#This Row],[Class]]="C",WORKDAY(Main[[#This Row],[Tech Start Date]],23),IF(Main[[#This Row],[Class]]="B", WORKDAY(Main[[#This Row],[Tech Start Date]],15),IF(Main[[#This Row],[Class]]="A",WORKDAY(Main[[#This Row],[Tech Start Date]],5),""))))</f>
        <v/>
      </c>
      <c r="P577" s="73" t="str">
        <f>IF(Main[[#This Row],[Tech Start Date]]&lt;1/1/1990,"",IF(Main[[#This Row],[Class]]="C",WORKDAY(Main[[#This Row],[Tech Start Date]],28),IF(Main[[#This Row],[Class]]="B", WORKDAY(Main[[#This Row],[Tech Start Date]],19),IF(Main[[#This Row],[Class]]="A",WORKDAY(Main[[#This Row],[Tech Start Date]],9),""))))</f>
        <v/>
      </c>
      <c r="Q577" s="85"/>
      <c r="R577" s="112"/>
      <c r="S577" s="95" t="s">
        <v>17</v>
      </c>
      <c r="T577" s="74" t="s">
        <v>4</v>
      </c>
      <c r="U577" s="95" t="s">
        <v>14</v>
      </c>
      <c r="V577" s="95" t="s">
        <v>1914</v>
      </c>
      <c r="W577" s="95" t="s">
        <v>4</v>
      </c>
      <c r="X577" s="95" t="s">
        <v>399</v>
      </c>
      <c r="Y577" s="72" t="s">
        <v>4</v>
      </c>
      <c r="Z577" s="72" t="s">
        <v>4</v>
      </c>
      <c r="AA577" s="95" t="s">
        <v>3379</v>
      </c>
      <c r="AB577" s="132"/>
      <c r="AC577" s="132"/>
      <c r="AD577" s="132"/>
      <c r="AE577" s="63"/>
      <c r="AF577" s="63"/>
      <c r="AG577" s="63"/>
    </row>
    <row r="578" spans="1:33" ht="17.2" customHeight="1">
      <c r="A578" s="64" t="str">
        <f>IF(priority(Main[[#This Row],[Comments]])&lt;&gt;0, priority(Main[[#This Row],[Comments]]),"")</f>
        <v/>
      </c>
      <c r="B578" s="60" t="s">
        <v>1415</v>
      </c>
      <c r="C578" s="72" t="s">
        <v>499</v>
      </c>
      <c r="D578" s="59" t="s">
        <v>500</v>
      </c>
      <c r="E578" s="85"/>
      <c r="F578" s="85">
        <v>40296</v>
      </c>
      <c r="G578" s="64" t="str">
        <f>IF(stdProdLT(Main[[#This Row],[Comments]])=0.1,"N/A",IF(stdProdLT(Main[[#This Row],[Comments]])=0,"",TRIM(stdProdLT(Main[[#This Row],[Comments]]))))</f>
        <v/>
      </c>
      <c r="H578" s="94" t="str">
        <f>IF(OR(Main[[#This Row],[Std. Prod. Lead Time]]="N/A",Main[[#This Row],[Std. Prod. Lead Time]]=""), "",IF(AND(Main[[#This Row],[In Stock Date]]&lt;&gt;"",Main[[#This Row],[Revised Due Date]]&lt;&gt;"",Main[[#This Row],[In Stock Date]]&lt;&gt;""),Main[[#This Row],[In Stock Date]]-Main[[#This Row],[Revised Due Date]],""))</f>
        <v/>
      </c>
      <c r="I578" s="101" t="s">
        <v>4</v>
      </c>
      <c r="J578" s="95" t="s">
        <v>4</v>
      </c>
      <c r="K578" s="95" t="s">
        <v>4</v>
      </c>
      <c r="L578" s="85"/>
      <c r="M578" s="73" t="str">
        <f>IF(Main[[#This Row],[Tech Start Date]]&lt;1/1/1990,"",IF(Main[[#This Row],[Class]]="C",WORKDAY(Main[[#This Row],[Tech Start Date]],9),IF(Main[[#This Row],[Class]]="B", WORKDAY(Main[[#This Row],[Tech Start Date]],6),IF(Main[[#This Row],[Class]]="A",WORKDAY(Main[[#This Row],[Tech Start Date]],2),""))))</f>
        <v/>
      </c>
      <c r="N578" s="73" t="str">
        <f>IF(Main[[#This Row],[Tech Start Date]]&lt;1/1/1990,"",IF(Main[[#This Row],[Class]]="C",WORKDAY(Main[[#This Row],[Tech Start Date]],19),IF(Main[[#This Row],[Class]]="B", WORKDAY(Main[[#This Row],[Tech Start Date]],12),IF(Main[[#This Row],[Class]]="A",WORKDAY(Main[[#This Row],[Tech Start Date]],4),""))))</f>
        <v/>
      </c>
      <c r="O578" s="73" t="str">
        <f>IF(Main[[#This Row],[Tech Start Date]]&lt;1/1/1990,"",IF(Main[[#This Row],[Class]]="C",WORKDAY(Main[[#This Row],[Tech Start Date]],23),IF(Main[[#This Row],[Class]]="B", WORKDAY(Main[[#This Row],[Tech Start Date]],15),IF(Main[[#This Row],[Class]]="A",WORKDAY(Main[[#This Row],[Tech Start Date]],5),""))))</f>
        <v/>
      </c>
      <c r="P578" s="73" t="str">
        <f>IF(Main[[#This Row],[Tech Start Date]]&lt;1/1/1990,"",IF(Main[[#This Row],[Class]]="C",WORKDAY(Main[[#This Row],[Tech Start Date]],28),IF(Main[[#This Row],[Class]]="B", WORKDAY(Main[[#This Row],[Tech Start Date]],19),IF(Main[[#This Row],[Class]]="A",WORKDAY(Main[[#This Row],[Tech Start Date]],9),""))))</f>
        <v/>
      </c>
      <c r="Q578" s="85"/>
      <c r="R578" s="112"/>
      <c r="S578" s="95" t="s">
        <v>11</v>
      </c>
      <c r="T578" s="74" t="s">
        <v>4</v>
      </c>
      <c r="U578" s="95" t="s">
        <v>14</v>
      </c>
      <c r="V578" s="95" t="s">
        <v>1921</v>
      </c>
      <c r="W578" s="95" t="s">
        <v>1917</v>
      </c>
      <c r="X578" s="95" t="s">
        <v>2848</v>
      </c>
      <c r="Y578" s="72" t="s">
        <v>2990</v>
      </c>
      <c r="Z578" s="72" t="s">
        <v>4</v>
      </c>
      <c r="AA578" s="95" t="s">
        <v>2848</v>
      </c>
      <c r="AB578" s="132"/>
      <c r="AC578" s="132"/>
      <c r="AD578" s="132"/>
      <c r="AE578" s="63"/>
      <c r="AF578" s="63"/>
      <c r="AG578" s="63"/>
    </row>
    <row r="579" spans="1:33" ht="17.2" customHeight="1">
      <c r="A579" s="64" t="str">
        <f>IF(priority(Main[[#This Row],[Comments]])&lt;&gt;0, priority(Main[[#This Row],[Comments]]),"")</f>
        <v/>
      </c>
      <c r="B579" s="60" t="s">
        <v>1855</v>
      </c>
      <c r="C579" s="72" t="s">
        <v>47</v>
      </c>
      <c r="D579" s="59" t="s">
        <v>914</v>
      </c>
      <c r="E579" s="85">
        <v>39937.592280092591</v>
      </c>
      <c r="F579" s="85"/>
      <c r="G579" s="64" t="str">
        <f>IF(stdProdLT(Main[[#This Row],[Comments]])=0.1,"N/A",IF(stdProdLT(Main[[#This Row],[Comments]])=0,"",TRIM(stdProdLT(Main[[#This Row],[Comments]]))))</f>
        <v/>
      </c>
      <c r="H579" s="94" t="str">
        <f>IF(OR(Main[[#This Row],[Std. Prod. Lead Time]]="N/A",Main[[#This Row],[Std. Prod. Lead Time]]=""), "",IF(AND(Main[[#This Row],[In Stock Date]]&lt;&gt;"",Main[[#This Row],[Revised Due Date]]&lt;&gt;"",Main[[#This Row],[In Stock Date]]&lt;&gt;""),Main[[#This Row],[In Stock Date]]-Main[[#This Row],[Revised Due Date]],""))</f>
        <v/>
      </c>
      <c r="I579" s="101" t="s">
        <v>889</v>
      </c>
      <c r="J579" s="95" t="s">
        <v>4</v>
      </c>
      <c r="K579" s="95" t="s">
        <v>1923</v>
      </c>
      <c r="L579" s="85"/>
      <c r="M579" s="73" t="str">
        <f>IF(Main[[#This Row],[Tech Start Date]]&lt;1/1/1990,"",IF(Main[[#This Row],[Class]]="C",WORKDAY(Main[[#This Row],[Tech Start Date]],9),IF(Main[[#This Row],[Class]]="B", WORKDAY(Main[[#This Row],[Tech Start Date]],6),IF(Main[[#This Row],[Class]]="A",WORKDAY(Main[[#This Row],[Tech Start Date]],2),""))))</f>
        <v/>
      </c>
      <c r="N579" s="73" t="str">
        <f>IF(Main[[#This Row],[Tech Start Date]]&lt;1/1/1990,"",IF(Main[[#This Row],[Class]]="C",WORKDAY(Main[[#This Row],[Tech Start Date]],19),IF(Main[[#This Row],[Class]]="B", WORKDAY(Main[[#This Row],[Tech Start Date]],12),IF(Main[[#This Row],[Class]]="A",WORKDAY(Main[[#This Row],[Tech Start Date]],4),""))))</f>
        <v/>
      </c>
      <c r="O579" s="73" t="str">
        <f>IF(Main[[#This Row],[Tech Start Date]]&lt;1/1/1990,"",IF(Main[[#This Row],[Class]]="C",WORKDAY(Main[[#This Row],[Tech Start Date]],23),IF(Main[[#This Row],[Class]]="B", WORKDAY(Main[[#This Row],[Tech Start Date]],15),IF(Main[[#This Row],[Class]]="A",WORKDAY(Main[[#This Row],[Tech Start Date]],5),""))))</f>
        <v/>
      </c>
      <c r="P579" s="73" t="str">
        <f>IF(Main[[#This Row],[Tech Start Date]]&lt;1/1/1990,"",IF(Main[[#This Row],[Class]]="C",WORKDAY(Main[[#This Row],[Tech Start Date]],28),IF(Main[[#This Row],[Class]]="B", WORKDAY(Main[[#This Row],[Tech Start Date]],19),IF(Main[[#This Row],[Class]]="A",WORKDAY(Main[[#This Row],[Tech Start Date]],9),""))))</f>
        <v/>
      </c>
      <c r="Q579" s="85">
        <v>40209</v>
      </c>
      <c r="R579" s="112">
        <v>40574</v>
      </c>
      <c r="S579" s="95" t="s">
        <v>17</v>
      </c>
      <c r="T579" s="74" t="s">
        <v>4</v>
      </c>
      <c r="U579" s="95" t="s">
        <v>29</v>
      </c>
      <c r="V579" s="95" t="s">
        <v>1911</v>
      </c>
      <c r="W579" s="95" t="s">
        <v>1915</v>
      </c>
      <c r="X579" s="95" t="s">
        <v>2807</v>
      </c>
      <c r="Y579" s="72" t="s">
        <v>2926</v>
      </c>
      <c r="Z579" s="72" t="s">
        <v>4</v>
      </c>
      <c r="AA579" s="95" t="s">
        <v>2807</v>
      </c>
      <c r="AB579" s="132"/>
      <c r="AC579" s="132"/>
      <c r="AD579" s="132"/>
      <c r="AE579" s="63"/>
      <c r="AF579" s="63"/>
      <c r="AG579" s="63"/>
    </row>
    <row r="580" spans="1:33" ht="17.2" customHeight="1">
      <c r="A580" s="64" t="str">
        <f>IF(priority(Main[[#This Row],[Comments]])&lt;&gt;0, priority(Main[[#This Row],[Comments]]),"")</f>
        <v/>
      </c>
      <c r="B580" s="60" t="s">
        <v>1416</v>
      </c>
      <c r="C580" s="72" t="s">
        <v>501</v>
      </c>
      <c r="D580" s="59" t="s">
        <v>502</v>
      </c>
      <c r="E580" s="85"/>
      <c r="F580" s="85">
        <v>40848</v>
      </c>
      <c r="G580" s="64" t="str">
        <f>IF(stdProdLT(Main[[#This Row],[Comments]])=0.1,"N/A",IF(stdProdLT(Main[[#This Row],[Comments]])=0,"",TRIM(stdProdLT(Main[[#This Row],[Comments]]))))</f>
        <v/>
      </c>
      <c r="H580" s="94" t="str">
        <f>IF(OR(Main[[#This Row],[Std. Prod. Lead Time]]="N/A",Main[[#This Row],[Std. Prod. Lead Time]]=""), "",IF(AND(Main[[#This Row],[In Stock Date]]&lt;&gt;"",Main[[#This Row],[Revised Due Date]]&lt;&gt;"",Main[[#This Row],[In Stock Date]]&lt;&gt;""),Main[[#This Row],[In Stock Date]]-Main[[#This Row],[Revised Due Date]],""))</f>
        <v/>
      </c>
      <c r="I580" s="101" t="s">
        <v>4</v>
      </c>
      <c r="J580" s="95" t="s">
        <v>28</v>
      </c>
      <c r="K580" s="95" t="s">
        <v>4</v>
      </c>
      <c r="L580" s="85"/>
      <c r="M580" s="73" t="str">
        <f>IF(Main[[#This Row],[Tech Start Date]]&lt;1/1/1990,"",IF(Main[[#This Row],[Class]]="C",WORKDAY(Main[[#This Row],[Tech Start Date]],9),IF(Main[[#This Row],[Class]]="B", WORKDAY(Main[[#This Row],[Tech Start Date]],6),IF(Main[[#This Row],[Class]]="A",WORKDAY(Main[[#This Row],[Tech Start Date]],2),""))))</f>
        <v/>
      </c>
      <c r="N580" s="73" t="str">
        <f>IF(Main[[#This Row],[Tech Start Date]]&lt;1/1/1990,"",IF(Main[[#This Row],[Class]]="C",WORKDAY(Main[[#This Row],[Tech Start Date]],19),IF(Main[[#This Row],[Class]]="B", WORKDAY(Main[[#This Row],[Tech Start Date]],12),IF(Main[[#This Row],[Class]]="A",WORKDAY(Main[[#This Row],[Tech Start Date]],4),""))))</f>
        <v/>
      </c>
      <c r="O580" s="73" t="str">
        <f>IF(Main[[#This Row],[Tech Start Date]]&lt;1/1/1990,"",IF(Main[[#This Row],[Class]]="C",WORKDAY(Main[[#This Row],[Tech Start Date]],23),IF(Main[[#This Row],[Class]]="B", WORKDAY(Main[[#This Row],[Tech Start Date]],15),IF(Main[[#This Row],[Class]]="A",WORKDAY(Main[[#This Row],[Tech Start Date]],5),""))))</f>
        <v/>
      </c>
      <c r="P580" s="73" t="str">
        <f>IF(Main[[#This Row],[Tech Start Date]]&lt;1/1/1990,"",IF(Main[[#This Row],[Class]]="C",WORKDAY(Main[[#This Row],[Tech Start Date]],28),IF(Main[[#This Row],[Class]]="B", WORKDAY(Main[[#This Row],[Tech Start Date]],19),IF(Main[[#This Row],[Class]]="A",WORKDAY(Main[[#This Row],[Tech Start Date]],9),""))))</f>
        <v/>
      </c>
      <c r="Q580" s="85">
        <v>40627</v>
      </c>
      <c r="R580" s="112"/>
      <c r="S580" s="95" t="s">
        <v>11</v>
      </c>
      <c r="T580" s="74" t="s">
        <v>4</v>
      </c>
      <c r="U580" s="95" t="s">
        <v>14</v>
      </c>
      <c r="V580" s="95" t="s">
        <v>1914</v>
      </c>
      <c r="W580" s="95" t="s">
        <v>1917</v>
      </c>
      <c r="X580" s="95" t="s">
        <v>50</v>
      </c>
      <c r="Y580" s="72" t="s">
        <v>3041</v>
      </c>
      <c r="Z580" s="72" t="s">
        <v>81</v>
      </c>
      <c r="AA580" s="95" t="s">
        <v>3380</v>
      </c>
      <c r="AB580" s="132"/>
      <c r="AC580" s="132"/>
      <c r="AD580" s="132"/>
      <c r="AE580" s="63"/>
      <c r="AF580" s="63"/>
      <c r="AG580" s="63"/>
    </row>
    <row r="581" spans="1:33" ht="17.2" customHeight="1">
      <c r="A581" s="64" t="str">
        <f>IF(priority(Main[[#This Row],[Comments]])&lt;&gt;0, priority(Main[[#This Row],[Comments]]),"")</f>
        <v/>
      </c>
      <c r="B581" s="60" t="s">
        <v>1417</v>
      </c>
      <c r="C581" s="72" t="s">
        <v>4</v>
      </c>
      <c r="D581" s="59" t="s">
        <v>1946</v>
      </c>
      <c r="E581" s="85"/>
      <c r="F581" s="85"/>
      <c r="G581" s="64" t="str">
        <f>IF(stdProdLT(Main[[#This Row],[Comments]])=0.1,"N/A",IF(stdProdLT(Main[[#This Row],[Comments]])=0,"",TRIM(stdProdLT(Main[[#This Row],[Comments]]))))</f>
        <v/>
      </c>
      <c r="H581" s="94" t="str">
        <f>IF(OR(Main[[#This Row],[Std. Prod. Lead Time]]="N/A",Main[[#This Row],[Std. Prod. Lead Time]]=""), "",IF(AND(Main[[#This Row],[In Stock Date]]&lt;&gt;"",Main[[#This Row],[Revised Due Date]]&lt;&gt;"",Main[[#This Row],[In Stock Date]]&lt;&gt;""),Main[[#This Row],[In Stock Date]]-Main[[#This Row],[Revised Due Date]],""))</f>
        <v/>
      </c>
      <c r="I581" s="101" t="s">
        <v>4</v>
      </c>
      <c r="J581" s="95" t="s">
        <v>28</v>
      </c>
      <c r="K581" s="95" t="s">
        <v>1918</v>
      </c>
      <c r="L581" s="85"/>
      <c r="M581" s="73" t="str">
        <f>IF(Main[[#This Row],[Tech Start Date]]&lt;1/1/1990,"",IF(Main[[#This Row],[Class]]="C",WORKDAY(Main[[#This Row],[Tech Start Date]],9),IF(Main[[#This Row],[Class]]="B", WORKDAY(Main[[#This Row],[Tech Start Date]],6),IF(Main[[#This Row],[Class]]="A",WORKDAY(Main[[#This Row],[Tech Start Date]],2),""))))</f>
        <v/>
      </c>
      <c r="N581" s="73" t="str">
        <f>IF(Main[[#This Row],[Tech Start Date]]&lt;1/1/1990,"",IF(Main[[#This Row],[Class]]="C",WORKDAY(Main[[#This Row],[Tech Start Date]],19),IF(Main[[#This Row],[Class]]="B", WORKDAY(Main[[#This Row],[Tech Start Date]],12),IF(Main[[#This Row],[Class]]="A",WORKDAY(Main[[#This Row],[Tech Start Date]],4),""))))</f>
        <v/>
      </c>
      <c r="O581" s="73" t="str">
        <f>IF(Main[[#This Row],[Tech Start Date]]&lt;1/1/1990,"",IF(Main[[#This Row],[Class]]="C",WORKDAY(Main[[#This Row],[Tech Start Date]],23),IF(Main[[#This Row],[Class]]="B", WORKDAY(Main[[#This Row],[Tech Start Date]],15),IF(Main[[#This Row],[Class]]="A",WORKDAY(Main[[#This Row],[Tech Start Date]],5),""))))</f>
        <v/>
      </c>
      <c r="P581" s="73" t="str">
        <f>IF(Main[[#This Row],[Tech Start Date]]&lt;1/1/1990,"",IF(Main[[#This Row],[Class]]="C",WORKDAY(Main[[#This Row],[Tech Start Date]],28),IF(Main[[#This Row],[Class]]="B", WORKDAY(Main[[#This Row],[Tech Start Date]],19),IF(Main[[#This Row],[Class]]="A",WORKDAY(Main[[#This Row],[Tech Start Date]],9),""))))</f>
        <v/>
      </c>
      <c r="Q581" s="85"/>
      <c r="R581" s="112"/>
      <c r="S581" s="95" t="s">
        <v>6</v>
      </c>
      <c r="T581" s="74" t="s">
        <v>4</v>
      </c>
      <c r="U581" s="95" t="s">
        <v>14</v>
      </c>
      <c r="V581" s="95" t="s">
        <v>1912</v>
      </c>
      <c r="W581" s="95" t="s">
        <v>1913</v>
      </c>
      <c r="X581" s="95" t="s">
        <v>2877</v>
      </c>
      <c r="Y581" s="72" t="s">
        <v>3042</v>
      </c>
      <c r="Z581" s="72" t="s">
        <v>4</v>
      </c>
      <c r="AA581" s="95" t="s">
        <v>3381</v>
      </c>
      <c r="AB581" s="132"/>
      <c r="AC581" s="132"/>
      <c r="AD581" s="132"/>
      <c r="AE581" s="63"/>
      <c r="AF581" s="63"/>
      <c r="AG581" s="63"/>
    </row>
    <row r="582" spans="1:33" ht="17.2" customHeight="1">
      <c r="A582" s="64" t="str">
        <f>IF(priority(Main[[#This Row],[Comments]])&lt;&gt;0, priority(Main[[#This Row],[Comments]]),"")</f>
        <v/>
      </c>
      <c r="B582" s="60" t="s">
        <v>1418</v>
      </c>
      <c r="C582" s="72" t="s">
        <v>83</v>
      </c>
      <c r="D582" s="59" t="s">
        <v>503</v>
      </c>
      <c r="E582" s="85"/>
      <c r="F582" s="85"/>
      <c r="G582" s="64" t="str">
        <f>IF(stdProdLT(Main[[#This Row],[Comments]])=0.1,"N/A",IF(stdProdLT(Main[[#This Row],[Comments]])=0,"",TRIM(stdProdLT(Main[[#This Row],[Comments]]))))</f>
        <v/>
      </c>
      <c r="H582" s="94" t="str">
        <f>IF(OR(Main[[#This Row],[Std. Prod. Lead Time]]="N/A",Main[[#This Row],[Std. Prod. Lead Time]]=""), "",IF(AND(Main[[#This Row],[In Stock Date]]&lt;&gt;"",Main[[#This Row],[Revised Due Date]]&lt;&gt;"",Main[[#This Row],[In Stock Date]]&lt;&gt;""),Main[[#This Row],[In Stock Date]]-Main[[#This Row],[Revised Due Date]],""))</f>
        <v/>
      </c>
      <c r="I582" s="101" t="s">
        <v>4</v>
      </c>
      <c r="J582" s="95" t="s">
        <v>4</v>
      </c>
      <c r="K582" s="96" t="s">
        <v>4</v>
      </c>
      <c r="L582" s="85"/>
      <c r="M582" s="73" t="str">
        <f>IF(Main[[#This Row],[Tech Start Date]]&lt;1/1/1990,"",IF(Main[[#This Row],[Class]]="C",WORKDAY(Main[[#This Row],[Tech Start Date]],9),IF(Main[[#This Row],[Class]]="B", WORKDAY(Main[[#This Row],[Tech Start Date]],6),IF(Main[[#This Row],[Class]]="A",WORKDAY(Main[[#This Row],[Tech Start Date]],2),""))))</f>
        <v/>
      </c>
      <c r="N582" s="73" t="str">
        <f>IF(Main[[#This Row],[Tech Start Date]]&lt;1/1/1990,"",IF(Main[[#This Row],[Class]]="C",WORKDAY(Main[[#This Row],[Tech Start Date]],19),IF(Main[[#This Row],[Class]]="B", WORKDAY(Main[[#This Row],[Tech Start Date]],12),IF(Main[[#This Row],[Class]]="A",WORKDAY(Main[[#This Row],[Tech Start Date]],4),""))))</f>
        <v/>
      </c>
      <c r="O582" s="73" t="str">
        <f>IF(Main[[#This Row],[Tech Start Date]]&lt;1/1/1990,"",IF(Main[[#This Row],[Class]]="C",WORKDAY(Main[[#This Row],[Tech Start Date]],23),IF(Main[[#This Row],[Class]]="B", WORKDAY(Main[[#This Row],[Tech Start Date]],15),IF(Main[[#This Row],[Class]]="A",WORKDAY(Main[[#This Row],[Tech Start Date]],5),""))))</f>
        <v/>
      </c>
      <c r="P582" s="73" t="str">
        <f>IF(Main[[#This Row],[Tech Start Date]]&lt;1/1/1990,"",IF(Main[[#This Row],[Class]]="C",WORKDAY(Main[[#This Row],[Tech Start Date]],28),IF(Main[[#This Row],[Class]]="B", WORKDAY(Main[[#This Row],[Tech Start Date]],19),IF(Main[[#This Row],[Class]]="A",WORKDAY(Main[[#This Row],[Tech Start Date]],9),""))))</f>
        <v/>
      </c>
      <c r="Q582" s="85">
        <v>40259</v>
      </c>
      <c r="R582" s="112"/>
      <c r="S582" s="95" t="s">
        <v>11</v>
      </c>
      <c r="T582" s="74" t="s">
        <v>4</v>
      </c>
      <c r="U582" s="95" t="s">
        <v>14</v>
      </c>
      <c r="V582" s="95" t="s">
        <v>1911</v>
      </c>
      <c r="W582" s="95" t="s">
        <v>1922</v>
      </c>
      <c r="X582" s="95" t="s">
        <v>2797</v>
      </c>
      <c r="Y582" s="72" t="s">
        <v>4</v>
      </c>
      <c r="Z582" s="72" t="s">
        <v>4</v>
      </c>
      <c r="AA582" s="95" t="s">
        <v>2797</v>
      </c>
      <c r="AB582" s="132"/>
      <c r="AC582" s="132"/>
      <c r="AD582" s="132"/>
      <c r="AE582" s="63"/>
      <c r="AF582" s="63"/>
      <c r="AG582" s="63"/>
    </row>
    <row r="583" spans="1:33" ht="17.2" customHeight="1">
      <c r="A583" s="64" t="str">
        <f>IF(priority(Main[[#This Row],[Comments]])&lt;&gt;0, priority(Main[[#This Row],[Comments]]),"")</f>
        <v/>
      </c>
      <c r="B583" s="60" t="s">
        <v>1419</v>
      </c>
      <c r="C583" s="72" t="s">
        <v>4</v>
      </c>
      <c r="D583" s="59" t="s">
        <v>504</v>
      </c>
      <c r="E583" s="85">
        <v>40582.330949074072</v>
      </c>
      <c r="F583" s="85">
        <v>40664</v>
      </c>
      <c r="G583" s="64" t="str">
        <f>IF(stdProdLT(Main[[#This Row],[Comments]])=0.1,"N/A",IF(stdProdLT(Main[[#This Row],[Comments]])=0,"",TRIM(stdProdLT(Main[[#This Row],[Comments]]))))</f>
        <v/>
      </c>
      <c r="H583" s="94" t="str">
        <f>IF(OR(Main[[#This Row],[Std. Prod. Lead Time]]="N/A",Main[[#This Row],[Std. Prod. Lead Time]]=""), "",IF(AND(Main[[#This Row],[In Stock Date]]&lt;&gt;"",Main[[#This Row],[Revised Due Date]]&lt;&gt;"",Main[[#This Row],[In Stock Date]]&lt;&gt;""),Main[[#This Row],[In Stock Date]]-Main[[#This Row],[Revised Due Date]],""))</f>
        <v/>
      </c>
      <c r="I583" s="101" t="s">
        <v>4</v>
      </c>
      <c r="J583" s="95" t="s">
        <v>28</v>
      </c>
      <c r="K583" s="95" t="s">
        <v>1918</v>
      </c>
      <c r="L583" s="85"/>
      <c r="M583" s="73" t="str">
        <f>IF(Main[[#This Row],[Tech Start Date]]&lt;1/1/1990,"",IF(Main[[#This Row],[Class]]="C",WORKDAY(Main[[#This Row],[Tech Start Date]],9),IF(Main[[#This Row],[Class]]="B", WORKDAY(Main[[#This Row],[Tech Start Date]],6),IF(Main[[#This Row],[Class]]="A",WORKDAY(Main[[#This Row],[Tech Start Date]],2),""))))</f>
        <v/>
      </c>
      <c r="N583" s="73" t="str">
        <f>IF(Main[[#This Row],[Tech Start Date]]&lt;1/1/1990,"",IF(Main[[#This Row],[Class]]="C",WORKDAY(Main[[#This Row],[Tech Start Date]],19),IF(Main[[#This Row],[Class]]="B", WORKDAY(Main[[#This Row],[Tech Start Date]],12),IF(Main[[#This Row],[Class]]="A",WORKDAY(Main[[#This Row],[Tech Start Date]],4),""))))</f>
        <v/>
      </c>
      <c r="O583" s="73" t="str">
        <f>IF(Main[[#This Row],[Tech Start Date]]&lt;1/1/1990,"",IF(Main[[#This Row],[Class]]="C",WORKDAY(Main[[#This Row],[Tech Start Date]],23),IF(Main[[#This Row],[Class]]="B", WORKDAY(Main[[#This Row],[Tech Start Date]],15),IF(Main[[#This Row],[Class]]="A",WORKDAY(Main[[#This Row],[Tech Start Date]],5),""))))</f>
        <v/>
      </c>
      <c r="P583" s="73" t="str">
        <f>IF(Main[[#This Row],[Tech Start Date]]&lt;1/1/1990,"",IF(Main[[#This Row],[Class]]="C",WORKDAY(Main[[#This Row],[Tech Start Date]],28),IF(Main[[#This Row],[Class]]="B", WORKDAY(Main[[#This Row],[Tech Start Date]],19),IF(Main[[#This Row],[Class]]="A",WORKDAY(Main[[#This Row],[Tech Start Date]],9),""))))</f>
        <v/>
      </c>
      <c r="Q583" s="85">
        <v>40664</v>
      </c>
      <c r="R583" s="112"/>
      <c r="S583" s="95" t="s">
        <v>6</v>
      </c>
      <c r="T583" s="74" t="s">
        <v>4</v>
      </c>
      <c r="U583" s="95" t="s">
        <v>7</v>
      </c>
      <c r="V583" s="95" t="s">
        <v>1911</v>
      </c>
      <c r="W583" s="95" t="s">
        <v>1913</v>
      </c>
      <c r="X583" s="95" t="s">
        <v>2825</v>
      </c>
      <c r="Y583" s="72" t="s">
        <v>3043</v>
      </c>
      <c r="Z583" s="72" t="s">
        <v>129</v>
      </c>
      <c r="AA583" s="95" t="s">
        <v>2825</v>
      </c>
      <c r="AB583" s="132"/>
      <c r="AC583" s="132"/>
      <c r="AD583" s="132"/>
      <c r="AE583" s="63"/>
      <c r="AF583" s="63"/>
      <c r="AG583" s="63"/>
    </row>
    <row r="584" spans="1:33" ht="17.2" customHeight="1">
      <c r="A584" s="64" t="str">
        <f>IF(priority(Main[[#This Row],[Comments]])&lt;&gt;0, priority(Main[[#This Row],[Comments]]),"")</f>
        <v/>
      </c>
      <c r="B584" s="60" t="s">
        <v>1420</v>
      </c>
      <c r="C584" s="72" t="s">
        <v>4</v>
      </c>
      <c r="D584" s="59" t="s">
        <v>505</v>
      </c>
      <c r="E584" s="85"/>
      <c r="F584" s="85"/>
      <c r="G584" s="64" t="str">
        <f>IF(stdProdLT(Main[[#This Row],[Comments]])=0.1,"N/A",IF(stdProdLT(Main[[#This Row],[Comments]])=0,"",TRIM(stdProdLT(Main[[#This Row],[Comments]]))))</f>
        <v/>
      </c>
      <c r="H584" s="94" t="str">
        <f>IF(OR(Main[[#This Row],[Std. Prod. Lead Time]]="N/A",Main[[#This Row],[Std. Prod. Lead Time]]=""), "",IF(AND(Main[[#This Row],[In Stock Date]]&lt;&gt;"",Main[[#This Row],[Revised Due Date]]&lt;&gt;"",Main[[#This Row],[In Stock Date]]&lt;&gt;""),Main[[#This Row],[In Stock Date]]-Main[[#This Row],[Revised Due Date]],""))</f>
        <v/>
      </c>
      <c r="I584" s="101" t="s">
        <v>4</v>
      </c>
      <c r="J584" s="95" t="s">
        <v>4</v>
      </c>
      <c r="K584" s="95" t="s">
        <v>4</v>
      </c>
      <c r="L584" s="85"/>
      <c r="M584" s="73" t="str">
        <f>IF(Main[[#This Row],[Tech Start Date]]&lt;1/1/1990,"",IF(Main[[#This Row],[Class]]="C",WORKDAY(Main[[#This Row],[Tech Start Date]],9),IF(Main[[#This Row],[Class]]="B", WORKDAY(Main[[#This Row],[Tech Start Date]],6),IF(Main[[#This Row],[Class]]="A",WORKDAY(Main[[#This Row],[Tech Start Date]],2),""))))</f>
        <v/>
      </c>
      <c r="N584" s="73" t="str">
        <f>IF(Main[[#This Row],[Tech Start Date]]&lt;1/1/1990,"",IF(Main[[#This Row],[Class]]="C",WORKDAY(Main[[#This Row],[Tech Start Date]],19),IF(Main[[#This Row],[Class]]="B", WORKDAY(Main[[#This Row],[Tech Start Date]],12),IF(Main[[#This Row],[Class]]="A",WORKDAY(Main[[#This Row],[Tech Start Date]],4),""))))</f>
        <v/>
      </c>
      <c r="O584" s="73" t="str">
        <f>IF(Main[[#This Row],[Tech Start Date]]&lt;1/1/1990,"",IF(Main[[#This Row],[Class]]="C",WORKDAY(Main[[#This Row],[Tech Start Date]],23),IF(Main[[#This Row],[Class]]="B", WORKDAY(Main[[#This Row],[Tech Start Date]],15),IF(Main[[#This Row],[Class]]="A",WORKDAY(Main[[#This Row],[Tech Start Date]],5),""))))</f>
        <v/>
      </c>
      <c r="P584" s="73" t="str">
        <f>IF(Main[[#This Row],[Tech Start Date]]&lt;1/1/1990,"",IF(Main[[#This Row],[Class]]="C",WORKDAY(Main[[#This Row],[Tech Start Date]],28),IF(Main[[#This Row],[Class]]="B", WORKDAY(Main[[#This Row],[Tech Start Date]],19),IF(Main[[#This Row],[Class]]="A",WORKDAY(Main[[#This Row],[Tech Start Date]],9),""))))</f>
        <v/>
      </c>
      <c r="Q584" s="85"/>
      <c r="R584" s="112"/>
      <c r="S584" s="95" t="s">
        <v>11</v>
      </c>
      <c r="T584" s="74" t="s">
        <v>4</v>
      </c>
      <c r="U584" s="95" t="s">
        <v>14</v>
      </c>
      <c r="V584" s="95" t="s">
        <v>1914</v>
      </c>
      <c r="W584" s="95" t="s">
        <v>1919</v>
      </c>
      <c r="X584" s="95" t="s">
        <v>2827</v>
      </c>
      <c r="Y584" s="72" t="s">
        <v>2956</v>
      </c>
      <c r="Z584" s="72" t="s">
        <v>4</v>
      </c>
      <c r="AA584" s="95" t="s">
        <v>2827</v>
      </c>
      <c r="AB584" s="132"/>
      <c r="AC584" s="132"/>
      <c r="AD584" s="132"/>
      <c r="AE584" s="63"/>
      <c r="AF584" s="63"/>
      <c r="AG584" s="63"/>
    </row>
    <row r="585" spans="1:33" ht="17.2" customHeight="1">
      <c r="A585" s="64" t="str">
        <f>IF(priority(Main[[#This Row],[Comments]])&lt;&gt;0, priority(Main[[#This Row],[Comments]]),"")</f>
        <v/>
      </c>
      <c r="B585" s="60" t="s">
        <v>1421</v>
      </c>
      <c r="C585" s="72" t="s">
        <v>506</v>
      </c>
      <c r="D585" s="59" t="s">
        <v>507</v>
      </c>
      <c r="E585" s="85"/>
      <c r="F585" s="85"/>
      <c r="G585" s="64" t="str">
        <f>IF(stdProdLT(Main[[#This Row],[Comments]])=0.1,"N/A",IF(stdProdLT(Main[[#This Row],[Comments]])=0,"",TRIM(stdProdLT(Main[[#This Row],[Comments]]))))</f>
        <v/>
      </c>
      <c r="H585" s="94" t="str">
        <f>IF(OR(Main[[#This Row],[Std. Prod. Lead Time]]="N/A",Main[[#This Row],[Std. Prod. Lead Time]]=""), "",IF(AND(Main[[#This Row],[In Stock Date]]&lt;&gt;"",Main[[#This Row],[Revised Due Date]]&lt;&gt;"",Main[[#This Row],[In Stock Date]]&lt;&gt;""),Main[[#This Row],[In Stock Date]]-Main[[#This Row],[Revised Due Date]],""))</f>
        <v/>
      </c>
      <c r="I585" s="101" t="s">
        <v>4</v>
      </c>
      <c r="J585" s="95" t="s">
        <v>4</v>
      </c>
      <c r="K585" s="95" t="s">
        <v>4</v>
      </c>
      <c r="L585" s="85"/>
      <c r="M585" s="73" t="str">
        <f>IF(Main[[#This Row],[Tech Start Date]]&lt;1/1/1990,"",IF(Main[[#This Row],[Class]]="C",WORKDAY(Main[[#This Row],[Tech Start Date]],9),IF(Main[[#This Row],[Class]]="B", WORKDAY(Main[[#This Row],[Tech Start Date]],6),IF(Main[[#This Row],[Class]]="A",WORKDAY(Main[[#This Row],[Tech Start Date]],2),""))))</f>
        <v/>
      </c>
      <c r="N585" s="73" t="str">
        <f>IF(Main[[#This Row],[Tech Start Date]]&lt;1/1/1990,"",IF(Main[[#This Row],[Class]]="C",WORKDAY(Main[[#This Row],[Tech Start Date]],19),IF(Main[[#This Row],[Class]]="B", WORKDAY(Main[[#This Row],[Tech Start Date]],12),IF(Main[[#This Row],[Class]]="A",WORKDAY(Main[[#This Row],[Tech Start Date]],4),""))))</f>
        <v/>
      </c>
      <c r="O585" s="73" t="str">
        <f>IF(Main[[#This Row],[Tech Start Date]]&lt;1/1/1990,"",IF(Main[[#This Row],[Class]]="C",WORKDAY(Main[[#This Row],[Tech Start Date]],23),IF(Main[[#This Row],[Class]]="B", WORKDAY(Main[[#This Row],[Tech Start Date]],15),IF(Main[[#This Row],[Class]]="A",WORKDAY(Main[[#This Row],[Tech Start Date]],5),""))))</f>
        <v/>
      </c>
      <c r="P585" s="73" t="str">
        <f>IF(Main[[#This Row],[Tech Start Date]]&lt;1/1/1990,"",IF(Main[[#This Row],[Class]]="C",WORKDAY(Main[[#This Row],[Tech Start Date]],28),IF(Main[[#This Row],[Class]]="B", WORKDAY(Main[[#This Row],[Tech Start Date]],19),IF(Main[[#This Row],[Class]]="A",WORKDAY(Main[[#This Row],[Tech Start Date]],9),""))))</f>
        <v/>
      </c>
      <c r="Q585" s="85">
        <v>40042</v>
      </c>
      <c r="R585" s="112"/>
      <c r="S585" s="95" t="s">
        <v>11</v>
      </c>
      <c r="T585" s="74" t="s">
        <v>4</v>
      </c>
      <c r="U585" s="95" t="s">
        <v>14</v>
      </c>
      <c r="V585" s="95" t="s">
        <v>1912</v>
      </c>
      <c r="W585" s="95" t="s">
        <v>1925</v>
      </c>
      <c r="X585" s="95" t="s">
        <v>745</v>
      </c>
      <c r="Y585" s="72" t="s">
        <v>3044</v>
      </c>
      <c r="Z585" s="72" t="s">
        <v>4</v>
      </c>
      <c r="AA585" s="95" t="s">
        <v>745</v>
      </c>
      <c r="AB585" s="132"/>
      <c r="AC585" s="132"/>
      <c r="AD585" s="132"/>
      <c r="AE585" s="63"/>
      <c r="AF585" s="63"/>
      <c r="AG585" s="63"/>
    </row>
    <row r="586" spans="1:33" ht="17.2" customHeight="1">
      <c r="A586" s="64" t="str">
        <f>IF(priority(Main[[#This Row],[Comments]])&lt;&gt;0, priority(Main[[#This Row],[Comments]]),"")</f>
        <v/>
      </c>
      <c r="B586" s="60" t="s">
        <v>1959</v>
      </c>
      <c r="C586" s="72" t="s">
        <v>4</v>
      </c>
      <c r="D586" s="59" t="s">
        <v>1960</v>
      </c>
      <c r="E586" s="85"/>
      <c r="F586" s="85"/>
      <c r="G586" s="64" t="str">
        <f>IF(stdProdLT(Main[[#This Row],[Comments]])=0.1,"N/A",IF(stdProdLT(Main[[#This Row],[Comments]])=0,"",TRIM(stdProdLT(Main[[#This Row],[Comments]]))))</f>
        <v/>
      </c>
      <c r="H586" s="94" t="str">
        <f>IF(OR(Main[[#This Row],[Std. Prod. Lead Time]]="N/A",Main[[#This Row],[Std. Prod. Lead Time]]=""), "",IF(AND(Main[[#This Row],[In Stock Date]]&lt;&gt;"",Main[[#This Row],[Revised Due Date]]&lt;&gt;"",Main[[#This Row],[In Stock Date]]&lt;&gt;""),Main[[#This Row],[In Stock Date]]-Main[[#This Row],[Revised Due Date]],""))</f>
        <v/>
      </c>
      <c r="I586" s="101" t="s">
        <v>4</v>
      </c>
      <c r="J586" s="95" t="s">
        <v>4</v>
      </c>
      <c r="K586" s="95" t="s">
        <v>4</v>
      </c>
      <c r="L586" s="85"/>
      <c r="M586" s="73" t="str">
        <f>IF(Main[[#This Row],[Tech Start Date]]&lt;1/1/1990,"",IF(Main[[#This Row],[Class]]="C",WORKDAY(Main[[#This Row],[Tech Start Date]],9),IF(Main[[#This Row],[Class]]="B", WORKDAY(Main[[#This Row],[Tech Start Date]],6),IF(Main[[#This Row],[Class]]="A",WORKDAY(Main[[#This Row],[Tech Start Date]],2),""))))</f>
        <v/>
      </c>
      <c r="N586" s="73" t="str">
        <f>IF(Main[[#This Row],[Tech Start Date]]&lt;1/1/1990,"",IF(Main[[#This Row],[Class]]="C",WORKDAY(Main[[#This Row],[Tech Start Date]],19),IF(Main[[#This Row],[Class]]="B", WORKDAY(Main[[#This Row],[Tech Start Date]],12),IF(Main[[#This Row],[Class]]="A",WORKDAY(Main[[#This Row],[Tech Start Date]],4),""))))</f>
        <v/>
      </c>
      <c r="O586" s="73" t="str">
        <f>IF(Main[[#This Row],[Tech Start Date]]&lt;1/1/1990,"",IF(Main[[#This Row],[Class]]="C",WORKDAY(Main[[#This Row],[Tech Start Date]],23),IF(Main[[#This Row],[Class]]="B", WORKDAY(Main[[#This Row],[Tech Start Date]],15),IF(Main[[#This Row],[Class]]="A",WORKDAY(Main[[#This Row],[Tech Start Date]],5),""))))</f>
        <v/>
      </c>
      <c r="P586" s="73" t="str">
        <f>IF(Main[[#This Row],[Tech Start Date]]&lt;1/1/1990,"",IF(Main[[#This Row],[Class]]="C",WORKDAY(Main[[#This Row],[Tech Start Date]],28),IF(Main[[#This Row],[Class]]="B", WORKDAY(Main[[#This Row],[Tech Start Date]],19),IF(Main[[#This Row],[Class]]="A",WORKDAY(Main[[#This Row],[Tech Start Date]],9),""))))</f>
        <v/>
      </c>
      <c r="Q586" s="85"/>
      <c r="R586" s="112"/>
      <c r="S586" s="95" t="s">
        <v>23</v>
      </c>
      <c r="T586" s="74" t="s">
        <v>4</v>
      </c>
      <c r="U586" s="95" t="s">
        <v>14</v>
      </c>
      <c r="V586" s="95" t="s">
        <v>1911</v>
      </c>
      <c r="W586" s="95" t="s">
        <v>1915</v>
      </c>
      <c r="X586" s="95" t="s">
        <v>102</v>
      </c>
      <c r="Y586" s="72" t="s">
        <v>3045</v>
      </c>
      <c r="Z586" s="72" t="s">
        <v>4</v>
      </c>
      <c r="AA586" s="95" t="s">
        <v>3378</v>
      </c>
      <c r="AB586" s="132"/>
      <c r="AC586" s="132"/>
      <c r="AD586" s="132"/>
      <c r="AE586" s="63"/>
      <c r="AF586" s="63"/>
      <c r="AG586" s="63"/>
    </row>
    <row r="587" spans="1:33" ht="17.2" customHeight="1">
      <c r="A587" s="64" t="str">
        <f>IF(priority(Main[[#This Row],[Comments]])&lt;&gt;0, priority(Main[[#This Row],[Comments]]),"")</f>
        <v/>
      </c>
      <c r="B587" s="60" t="s">
        <v>1396</v>
      </c>
      <c r="C587" s="72" t="s">
        <v>4</v>
      </c>
      <c r="D587" s="59" t="s">
        <v>480</v>
      </c>
      <c r="E587" s="85"/>
      <c r="F587" s="85"/>
      <c r="G587" s="64" t="str">
        <f>IF(stdProdLT(Main[[#This Row],[Comments]])=0.1,"N/A",IF(stdProdLT(Main[[#This Row],[Comments]])=0,"",TRIM(stdProdLT(Main[[#This Row],[Comments]]))))</f>
        <v/>
      </c>
      <c r="H587" s="94" t="str">
        <f>IF(OR(Main[[#This Row],[Std. Prod. Lead Time]]="N/A",Main[[#This Row],[Std. Prod. Lead Time]]=""), "",IF(AND(Main[[#This Row],[In Stock Date]]&lt;&gt;"",Main[[#This Row],[Revised Due Date]]&lt;&gt;"",Main[[#This Row],[In Stock Date]]&lt;&gt;""),Main[[#This Row],[In Stock Date]]-Main[[#This Row],[Revised Due Date]],""))</f>
        <v/>
      </c>
      <c r="I587" s="101" t="s">
        <v>4</v>
      </c>
      <c r="J587" s="95" t="s">
        <v>4</v>
      </c>
      <c r="K587" s="95" t="s">
        <v>4</v>
      </c>
      <c r="L587" s="85"/>
      <c r="M587" s="73" t="str">
        <f>IF(Main[[#This Row],[Tech Start Date]]&lt;1/1/1990,"",IF(Main[[#This Row],[Class]]="C",WORKDAY(Main[[#This Row],[Tech Start Date]],9),IF(Main[[#This Row],[Class]]="B", WORKDAY(Main[[#This Row],[Tech Start Date]],6),IF(Main[[#This Row],[Class]]="A",WORKDAY(Main[[#This Row],[Tech Start Date]],2),""))))</f>
        <v/>
      </c>
      <c r="N587" s="73" t="str">
        <f>IF(Main[[#This Row],[Tech Start Date]]&lt;1/1/1990,"",IF(Main[[#This Row],[Class]]="C",WORKDAY(Main[[#This Row],[Tech Start Date]],19),IF(Main[[#This Row],[Class]]="B", WORKDAY(Main[[#This Row],[Tech Start Date]],12),IF(Main[[#This Row],[Class]]="A",WORKDAY(Main[[#This Row],[Tech Start Date]],4),""))))</f>
        <v/>
      </c>
      <c r="O587" s="73" t="str">
        <f>IF(Main[[#This Row],[Tech Start Date]]&lt;1/1/1990,"",IF(Main[[#This Row],[Class]]="C",WORKDAY(Main[[#This Row],[Tech Start Date]],23),IF(Main[[#This Row],[Class]]="B", WORKDAY(Main[[#This Row],[Tech Start Date]],15),IF(Main[[#This Row],[Class]]="A",WORKDAY(Main[[#This Row],[Tech Start Date]],5),""))))</f>
        <v/>
      </c>
      <c r="P587" s="73" t="str">
        <f>IF(Main[[#This Row],[Tech Start Date]]&lt;1/1/1990,"",IF(Main[[#This Row],[Class]]="C",WORKDAY(Main[[#This Row],[Tech Start Date]],28),IF(Main[[#This Row],[Class]]="B", WORKDAY(Main[[#This Row],[Tech Start Date]],19),IF(Main[[#This Row],[Class]]="A",WORKDAY(Main[[#This Row],[Tech Start Date]],9),""))))</f>
        <v/>
      </c>
      <c r="Q587" s="85"/>
      <c r="R587" s="112"/>
      <c r="S587" s="95" t="s">
        <v>4</v>
      </c>
      <c r="T587" s="74" t="s">
        <v>4</v>
      </c>
      <c r="U587" s="95" t="s">
        <v>14</v>
      </c>
      <c r="V587" s="95" t="s">
        <v>1914</v>
      </c>
      <c r="W587" s="95" t="s">
        <v>4</v>
      </c>
      <c r="X587" s="95" t="s">
        <v>2799</v>
      </c>
      <c r="Y587" s="72" t="s">
        <v>2910</v>
      </c>
      <c r="Z587" s="72" t="s">
        <v>4</v>
      </c>
      <c r="AA587" s="95" t="s">
        <v>2799</v>
      </c>
      <c r="AB587" s="132"/>
      <c r="AC587" s="132"/>
      <c r="AD587" s="132"/>
      <c r="AE587" s="63"/>
      <c r="AF587" s="63"/>
      <c r="AG587" s="63"/>
    </row>
    <row r="588" spans="1:33" ht="17.2" customHeight="1">
      <c r="A588" s="64" t="str">
        <f>IF(priority(Main[[#This Row],[Comments]])&lt;&gt;0, priority(Main[[#This Row],[Comments]]),"")</f>
        <v/>
      </c>
      <c r="B588" s="60" t="s">
        <v>1151</v>
      </c>
      <c r="C588" s="72" t="s">
        <v>4</v>
      </c>
      <c r="D588" s="59" t="s">
        <v>208</v>
      </c>
      <c r="E588" s="85"/>
      <c r="F588" s="85"/>
      <c r="G588" s="64" t="str">
        <f>IF(stdProdLT(Main[[#This Row],[Comments]])=0.1,"N/A",IF(stdProdLT(Main[[#This Row],[Comments]])=0,"",TRIM(stdProdLT(Main[[#This Row],[Comments]]))))</f>
        <v/>
      </c>
      <c r="H588" s="94" t="str">
        <f>IF(OR(Main[[#This Row],[Std. Prod. Lead Time]]="N/A",Main[[#This Row],[Std. Prod. Lead Time]]=""), "",IF(AND(Main[[#This Row],[In Stock Date]]&lt;&gt;"",Main[[#This Row],[Revised Due Date]]&lt;&gt;"",Main[[#This Row],[In Stock Date]]&lt;&gt;""),Main[[#This Row],[In Stock Date]]-Main[[#This Row],[Revised Due Date]],""))</f>
        <v/>
      </c>
      <c r="I588" s="101" t="s">
        <v>4</v>
      </c>
      <c r="J588" s="95" t="s">
        <v>28</v>
      </c>
      <c r="K588" s="95" t="s">
        <v>4</v>
      </c>
      <c r="L588" s="85"/>
      <c r="M588" s="73" t="str">
        <f>IF(Main[[#This Row],[Tech Start Date]]&lt;1/1/1990,"",IF(Main[[#This Row],[Class]]="C",WORKDAY(Main[[#This Row],[Tech Start Date]],9),IF(Main[[#This Row],[Class]]="B", WORKDAY(Main[[#This Row],[Tech Start Date]],6),IF(Main[[#This Row],[Class]]="A",WORKDAY(Main[[#This Row],[Tech Start Date]],2),""))))</f>
        <v/>
      </c>
      <c r="N588" s="73" t="str">
        <f>IF(Main[[#This Row],[Tech Start Date]]&lt;1/1/1990,"",IF(Main[[#This Row],[Class]]="C",WORKDAY(Main[[#This Row],[Tech Start Date]],19),IF(Main[[#This Row],[Class]]="B", WORKDAY(Main[[#This Row],[Tech Start Date]],12),IF(Main[[#This Row],[Class]]="A",WORKDAY(Main[[#This Row],[Tech Start Date]],4),""))))</f>
        <v/>
      </c>
      <c r="O588" s="73" t="str">
        <f>IF(Main[[#This Row],[Tech Start Date]]&lt;1/1/1990,"",IF(Main[[#This Row],[Class]]="C",WORKDAY(Main[[#This Row],[Tech Start Date]],23),IF(Main[[#This Row],[Class]]="B", WORKDAY(Main[[#This Row],[Tech Start Date]],15),IF(Main[[#This Row],[Class]]="A",WORKDAY(Main[[#This Row],[Tech Start Date]],5),""))))</f>
        <v/>
      </c>
      <c r="P588" s="73" t="str">
        <f>IF(Main[[#This Row],[Tech Start Date]]&lt;1/1/1990,"",IF(Main[[#This Row],[Class]]="C",WORKDAY(Main[[#This Row],[Tech Start Date]],28),IF(Main[[#This Row],[Class]]="B", WORKDAY(Main[[#This Row],[Tech Start Date]],19),IF(Main[[#This Row],[Class]]="A",WORKDAY(Main[[#This Row],[Tech Start Date]],9),""))))</f>
        <v/>
      </c>
      <c r="Q588" s="85"/>
      <c r="R588" s="112"/>
      <c r="S588" s="95" t="s">
        <v>6</v>
      </c>
      <c r="T588" s="74" t="s">
        <v>4</v>
      </c>
      <c r="U588" s="95" t="s">
        <v>14</v>
      </c>
      <c r="V588" s="95" t="s">
        <v>1921</v>
      </c>
      <c r="W588" s="95" t="s">
        <v>1917</v>
      </c>
      <c r="X588" s="95" t="s">
        <v>50</v>
      </c>
      <c r="Y588" s="72" t="s">
        <v>2941</v>
      </c>
      <c r="Z588" s="72" t="s">
        <v>30</v>
      </c>
      <c r="AA588" s="95" t="s">
        <v>883</v>
      </c>
      <c r="AB588" s="132"/>
      <c r="AC588" s="132"/>
      <c r="AD588" s="132"/>
      <c r="AE588" s="63"/>
      <c r="AF588" s="63"/>
      <c r="AG588" s="63"/>
    </row>
    <row r="589" spans="1:33" ht="17.2" customHeight="1">
      <c r="A589" s="64" t="str">
        <f>IF(priority(Main[[#This Row],[Comments]])&lt;&gt;0, priority(Main[[#This Row],[Comments]]),"")</f>
        <v/>
      </c>
      <c r="B589" s="60" t="s">
        <v>1398</v>
      </c>
      <c r="C589" s="72" t="s">
        <v>47</v>
      </c>
      <c r="D589" s="59" t="s">
        <v>482</v>
      </c>
      <c r="E589" s="85">
        <v>39937.619513888887</v>
      </c>
      <c r="F589" s="85"/>
      <c r="G589" s="64" t="str">
        <f>IF(stdProdLT(Main[[#This Row],[Comments]])=0.1,"N/A",IF(stdProdLT(Main[[#This Row],[Comments]])=0,"",TRIM(stdProdLT(Main[[#This Row],[Comments]]))))</f>
        <v/>
      </c>
      <c r="H589" s="94" t="str">
        <f>IF(OR(Main[[#This Row],[Std. Prod. Lead Time]]="N/A",Main[[#This Row],[Std. Prod. Lead Time]]=""), "",IF(AND(Main[[#This Row],[In Stock Date]]&lt;&gt;"",Main[[#This Row],[Revised Due Date]]&lt;&gt;"",Main[[#This Row],[In Stock Date]]&lt;&gt;""),Main[[#This Row],[In Stock Date]]-Main[[#This Row],[Revised Due Date]],""))</f>
        <v/>
      </c>
      <c r="I589" s="101" t="s">
        <v>4</v>
      </c>
      <c r="J589" s="95" t="s">
        <v>4</v>
      </c>
      <c r="K589" s="95" t="s">
        <v>4</v>
      </c>
      <c r="L589" s="85"/>
      <c r="M589" s="73" t="str">
        <f>IF(Main[[#This Row],[Tech Start Date]]&lt;1/1/1990,"",IF(Main[[#This Row],[Class]]="C",WORKDAY(Main[[#This Row],[Tech Start Date]],9),IF(Main[[#This Row],[Class]]="B", WORKDAY(Main[[#This Row],[Tech Start Date]],6),IF(Main[[#This Row],[Class]]="A",WORKDAY(Main[[#This Row],[Tech Start Date]],2),""))))</f>
        <v/>
      </c>
      <c r="N589" s="73" t="str">
        <f>IF(Main[[#This Row],[Tech Start Date]]&lt;1/1/1990,"",IF(Main[[#This Row],[Class]]="C",WORKDAY(Main[[#This Row],[Tech Start Date]],19),IF(Main[[#This Row],[Class]]="B", WORKDAY(Main[[#This Row],[Tech Start Date]],12),IF(Main[[#This Row],[Class]]="A",WORKDAY(Main[[#This Row],[Tech Start Date]],4),""))))</f>
        <v/>
      </c>
      <c r="O589" s="73" t="str">
        <f>IF(Main[[#This Row],[Tech Start Date]]&lt;1/1/1990,"",IF(Main[[#This Row],[Class]]="C",WORKDAY(Main[[#This Row],[Tech Start Date]],23),IF(Main[[#This Row],[Class]]="B", WORKDAY(Main[[#This Row],[Tech Start Date]],15),IF(Main[[#This Row],[Class]]="A",WORKDAY(Main[[#This Row],[Tech Start Date]],5),""))))</f>
        <v/>
      </c>
      <c r="P589" s="73" t="str">
        <f>IF(Main[[#This Row],[Tech Start Date]]&lt;1/1/1990,"",IF(Main[[#This Row],[Class]]="C",WORKDAY(Main[[#This Row],[Tech Start Date]],28),IF(Main[[#This Row],[Class]]="B", WORKDAY(Main[[#This Row],[Tech Start Date]],19),IF(Main[[#This Row],[Class]]="A",WORKDAY(Main[[#This Row],[Tech Start Date]],9),""))))</f>
        <v/>
      </c>
      <c r="Q589" s="85"/>
      <c r="R589" s="112"/>
      <c r="S589" s="95" t="s">
        <v>17</v>
      </c>
      <c r="T589" s="74" t="s">
        <v>4</v>
      </c>
      <c r="U589" s="95" t="s">
        <v>7</v>
      </c>
      <c r="V589" s="95" t="s">
        <v>1914</v>
      </c>
      <c r="W589" s="95" t="s">
        <v>4</v>
      </c>
      <c r="X589" s="95" t="s">
        <v>2807</v>
      </c>
      <c r="Y589" s="72" t="s">
        <v>2926</v>
      </c>
      <c r="Z589" s="72" t="s">
        <v>4</v>
      </c>
      <c r="AA589" s="95" t="s">
        <v>2807</v>
      </c>
      <c r="AB589" s="132"/>
      <c r="AC589" s="132"/>
      <c r="AD589" s="132"/>
      <c r="AE589" s="63"/>
      <c r="AF589" s="63"/>
      <c r="AG589" s="63"/>
    </row>
    <row r="590" spans="1:33" ht="17.2" customHeight="1">
      <c r="A590" s="64" t="str">
        <f>IF(priority(Main[[#This Row],[Comments]])&lt;&gt;0, priority(Main[[#This Row],[Comments]]),"")</f>
        <v/>
      </c>
      <c r="B590" s="60" t="s">
        <v>1399</v>
      </c>
      <c r="C590" s="72" t="s">
        <v>93</v>
      </c>
      <c r="D590" s="59" t="s">
        <v>562</v>
      </c>
      <c r="E590" s="85"/>
      <c r="F590" s="85">
        <v>40210</v>
      </c>
      <c r="G590" s="64" t="str">
        <f>IF(stdProdLT(Main[[#This Row],[Comments]])=0.1,"N/A",IF(stdProdLT(Main[[#This Row],[Comments]])=0,"",TRIM(stdProdLT(Main[[#This Row],[Comments]]))))</f>
        <v/>
      </c>
      <c r="H590" s="94" t="str">
        <f>IF(OR(Main[[#This Row],[Std. Prod. Lead Time]]="N/A",Main[[#This Row],[Std. Prod. Lead Time]]=""), "",IF(AND(Main[[#This Row],[In Stock Date]]&lt;&gt;"",Main[[#This Row],[Revised Due Date]]&lt;&gt;"",Main[[#This Row],[In Stock Date]]&lt;&gt;""),Main[[#This Row],[In Stock Date]]-Main[[#This Row],[Revised Due Date]],""))</f>
        <v/>
      </c>
      <c r="I590" s="101" t="s">
        <v>4</v>
      </c>
      <c r="J590" s="95" t="s">
        <v>4</v>
      </c>
      <c r="K590" s="95" t="s">
        <v>4</v>
      </c>
      <c r="L590" s="85"/>
      <c r="M590" s="73" t="str">
        <f>IF(Main[[#This Row],[Tech Start Date]]&lt;1/1/1990,"",IF(Main[[#This Row],[Class]]="C",WORKDAY(Main[[#This Row],[Tech Start Date]],9),IF(Main[[#This Row],[Class]]="B", WORKDAY(Main[[#This Row],[Tech Start Date]],6),IF(Main[[#This Row],[Class]]="A",WORKDAY(Main[[#This Row],[Tech Start Date]],2),""))))</f>
        <v/>
      </c>
      <c r="N590" s="73" t="str">
        <f>IF(Main[[#This Row],[Tech Start Date]]&lt;1/1/1990,"",IF(Main[[#This Row],[Class]]="C",WORKDAY(Main[[#This Row],[Tech Start Date]],19),IF(Main[[#This Row],[Class]]="B", WORKDAY(Main[[#This Row],[Tech Start Date]],12),IF(Main[[#This Row],[Class]]="A",WORKDAY(Main[[#This Row],[Tech Start Date]],4),""))))</f>
        <v/>
      </c>
      <c r="O590" s="73" t="str">
        <f>IF(Main[[#This Row],[Tech Start Date]]&lt;1/1/1990,"",IF(Main[[#This Row],[Class]]="C",WORKDAY(Main[[#This Row],[Tech Start Date]],23),IF(Main[[#This Row],[Class]]="B", WORKDAY(Main[[#This Row],[Tech Start Date]],15),IF(Main[[#This Row],[Class]]="A",WORKDAY(Main[[#This Row],[Tech Start Date]],5),""))))</f>
        <v/>
      </c>
      <c r="P590" s="73" t="str">
        <f>IF(Main[[#This Row],[Tech Start Date]]&lt;1/1/1990,"",IF(Main[[#This Row],[Class]]="C",WORKDAY(Main[[#This Row],[Tech Start Date]],28),IF(Main[[#This Row],[Class]]="B", WORKDAY(Main[[#This Row],[Tech Start Date]],19),IF(Main[[#This Row],[Class]]="A",WORKDAY(Main[[#This Row],[Tech Start Date]],9),""))))</f>
        <v/>
      </c>
      <c r="Q590" s="85">
        <v>40195</v>
      </c>
      <c r="R590" s="112"/>
      <c r="S590" s="95" t="s">
        <v>11</v>
      </c>
      <c r="T590" s="74" t="s">
        <v>4</v>
      </c>
      <c r="U590" s="95" t="s">
        <v>12</v>
      </c>
      <c r="V590" s="95" t="s">
        <v>1921</v>
      </c>
      <c r="W590" s="95" t="s">
        <v>1922</v>
      </c>
      <c r="X590" s="95" t="s">
        <v>2825</v>
      </c>
      <c r="Y590" s="72" t="s">
        <v>4</v>
      </c>
      <c r="Z590" s="72" t="s">
        <v>4</v>
      </c>
      <c r="AA590" s="95" t="s">
        <v>2825</v>
      </c>
      <c r="AB590" s="132"/>
      <c r="AC590" s="132"/>
      <c r="AD590" s="132"/>
      <c r="AE590" s="63"/>
      <c r="AF590" s="63"/>
      <c r="AG590" s="63"/>
    </row>
    <row r="591" spans="1:33" ht="17.2" customHeight="1">
      <c r="A591" s="64" t="str">
        <f>IF(priority(Main[[#This Row],[Comments]])&lt;&gt;0, priority(Main[[#This Row],[Comments]]),"")</f>
        <v/>
      </c>
      <c r="B591" s="60" t="s">
        <v>1742</v>
      </c>
      <c r="C591" s="72" t="s">
        <v>4</v>
      </c>
      <c r="D591" s="59" t="s">
        <v>793</v>
      </c>
      <c r="E591" s="85">
        <v>40584.406446759262</v>
      </c>
      <c r="F591" s="85">
        <v>40602</v>
      </c>
      <c r="G591" s="64" t="str">
        <f>IF(stdProdLT(Main[[#This Row],[Comments]])=0.1,"N/A",IF(stdProdLT(Main[[#This Row],[Comments]])=0,"",TRIM(stdProdLT(Main[[#This Row],[Comments]]))))</f>
        <v/>
      </c>
      <c r="H591" s="94" t="str">
        <f>IF(OR(Main[[#This Row],[Std. Prod. Lead Time]]="N/A",Main[[#This Row],[Std. Prod. Lead Time]]=""), "",IF(AND(Main[[#This Row],[In Stock Date]]&lt;&gt;"",Main[[#This Row],[Revised Due Date]]&lt;&gt;"",Main[[#This Row],[In Stock Date]]&lt;&gt;""),Main[[#This Row],[In Stock Date]]-Main[[#This Row],[Revised Due Date]],""))</f>
        <v/>
      </c>
      <c r="I591" s="101" t="s">
        <v>4</v>
      </c>
      <c r="J591" s="95" t="s">
        <v>28</v>
      </c>
      <c r="K591" s="95" t="s">
        <v>1923</v>
      </c>
      <c r="L591" s="85"/>
      <c r="M591" s="73" t="str">
        <f>IF(Main[[#This Row],[Tech Start Date]]&lt;1/1/1990,"",IF(Main[[#This Row],[Class]]="C",WORKDAY(Main[[#This Row],[Tech Start Date]],9),IF(Main[[#This Row],[Class]]="B", WORKDAY(Main[[#This Row],[Tech Start Date]],6),IF(Main[[#This Row],[Class]]="A",WORKDAY(Main[[#This Row],[Tech Start Date]],2),""))))</f>
        <v/>
      </c>
      <c r="N591" s="73" t="str">
        <f>IF(Main[[#This Row],[Tech Start Date]]&lt;1/1/1990,"",IF(Main[[#This Row],[Class]]="C",WORKDAY(Main[[#This Row],[Tech Start Date]],19),IF(Main[[#This Row],[Class]]="B", WORKDAY(Main[[#This Row],[Tech Start Date]],12),IF(Main[[#This Row],[Class]]="A",WORKDAY(Main[[#This Row],[Tech Start Date]],4),""))))</f>
        <v/>
      </c>
      <c r="O591" s="73" t="str">
        <f>IF(Main[[#This Row],[Tech Start Date]]&lt;1/1/1990,"",IF(Main[[#This Row],[Class]]="C",WORKDAY(Main[[#This Row],[Tech Start Date]],23),IF(Main[[#This Row],[Class]]="B", WORKDAY(Main[[#This Row],[Tech Start Date]],15),IF(Main[[#This Row],[Class]]="A",WORKDAY(Main[[#This Row],[Tech Start Date]],5),""))))</f>
        <v/>
      </c>
      <c r="P591" s="73" t="str">
        <f>IF(Main[[#This Row],[Tech Start Date]]&lt;1/1/1990,"",IF(Main[[#This Row],[Class]]="C",WORKDAY(Main[[#This Row],[Tech Start Date]],28),IF(Main[[#This Row],[Class]]="B", WORKDAY(Main[[#This Row],[Tech Start Date]],19),IF(Main[[#This Row],[Class]]="A",WORKDAY(Main[[#This Row],[Tech Start Date]],9),""))))</f>
        <v/>
      </c>
      <c r="Q591" s="85">
        <v>40602</v>
      </c>
      <c r="R591" s="112"/>
      <c r="S591" s="95" t="s">
        <v>17</v>
      </c>
      <c r="T591" s="74" t="s">
        <v>4</v>
      </c>
      <c r="U591" s="95" t="s">
        <v>7</v>
      </c>
      <c r="V591" s="95" t="s">
        <v>1911</v>
      </c>
      <c r="W591" s="95" t="s">
        <v>1919</v>
      </c>
      <c r="X591" s="95" t="s">
        <v>2808</v>
      </c>
      <c r="Y591" s="72" t="s">
        <v>2928</v>
      </c>
      <c r="Z591" s="72" t="s">
        <v>129</v>
      </c>
      <c r="AA591" s="95" t="s">
        <v>2808</v>
      </c>
      <c r="AB591" s="132"/>
      <c r="AC591" s="132"/>
      <c r="AD591" s="132"/>
      <c r="AE591" s="63"/>
      <c r="AF591" s="63"/>
      <c r="AG591" s="63"/>
    </row>
    <row r="592" spans="1:33" ht="17.2" customHeight="1">
      <c r="A592" s="12" t="str">
        <f>IF(priority(Main[[#This Row],[Comments]])&lt;&gt;0, priority(Main[[#This Row],[Comments]]),"")</f>
        <v/>
      </c>
      <c r="B592" s="60" t="s">
        <v>1402</v>
      </c>
      <c r="C592" s="75" t="s">
        <v>31</v>
      </c>
      <c r="D592" s="110" t="s">
        <v>484</v>
      </c>
      <c r="E592" s="86"/>
      <c r="F592" s="86"/>
      <c r="G592" s="12" t="str">
        <f>IF(stdProdLT(Main[[#This Row],[Comments]])=0.1,"N/A",IF(stdProdLT(Main[[#This Row],[Comments]])=0,"",TRIM(stdProdLT(Main[[#This Row],[Comments]]))))</f>
        <v/>
      </c>
      <c r="H592" s="97" t="str">
        <f>IF(OR(Main[[#This Row],[Std. Prod. Lead Time]]="N/A",Main[[#This Row],[Std. Prod. Lead Time]]=""), "",IF(AND(Main[[#This Row],[In Stock Date]]&lt;&gt;"",Main[[#This Row],[Revised Due Date]]&lt;&gt;"",Main[[#This Row],[In Stock Date]]&lt;&gt;""),Main[[#This Row],[In Stock Date]]-Main[[#This Row],[Revised Due Date]],""))</f>
        <v/>
      </c>
      <c r="I592" s="102" t="s">
        <v>4</v>
      </c>
      <c r="J592" s="12" t="s">
        <v>4</v>
      </c>
      <c r="K592" s="12" t="s">
        <v>4</v>
      </c>
      <c r="L592" s="86"/>
      <c r="M592" s="73" t="str">
        <f>IF(Main[[#This Row],[Tech Start Date]]&lt;1/1/1990,"",IF(Main[[#This Row],[Class]]="C",WORKDAY(Main[[#This Row],[Tech Start Date]],9),IF(Main[[#This Row],[Class]]="B", WORKDAY(Main[[#This Row],[Tech Start Date]],6),IF(Main[[#This Row],[Class]]="A",WORKDAY(Main[[#This Row],[Tech Start Date]],2),""))))</f>
        <v/>
      </c>
      <c r="N592" s="73" t="str">
        <f>IF(Main[[#This Row],[Tech Start Date]]&lt;1/1/1990,"",IF(Main[[#This Row],[Class]]="C",WORKDAY(Main[[#This Row],[Tech Start Date]],19),IF(Main[[#This Row],[Class]]="B", WORKDAY(Main[[#This Row],[Tech Start Date]],12),IF(Main[[#This Row],[Class]]="A",WORKDAY(Main[[#This Row],[Tech Start Date]],4),""))))</f>
        <v/>
      </c>
      <c r="O592" s="73" t="str">
        <f>IF(Main[[#This Row],[Tech Start Date]]&lt;1/1/1990,"",IF(Main[[#This Row],[Class]]="C",WORKDAY(Main[[#This Row],[Tech Start Date]],23),IF(Main[[#This Row],[Class]]="B", WORKDAY(Main[[#This Row],[Tech Start Date]],15),IF(Main[[#This Row],[Class]]="A",WORKDAY(Main[[#This Row],[Tech Start Date]],5),""))))</f>
        <v/>
      </c>
      <c r="P592" s="73" t="str">
        <f>IF(Main[[#This Row],[Tech Start Date]]&lt;1/1/1990,"",IF(Main[[#This Row],[Class]]="C",WORKDAY(Main[[#This Row],[Tech Start Date]],28),IF(Main[[#This Row],[Class]]="B", WORKDAY(Main[[#This Row],[Tech Start Date]],19),IF(Main[[#This Row],[Class]]="A",WORKDAY(Main[[#This Row],[Tech Start Date]],9),""))))</f>
        <v/>
      </c>
      <c r="Q592" s="86">
        <v>40318</v>
      </c>
      <c r="R592" s="115"/>
      <c r="S592" s="12" t="s">
        <v>11</v>
      </c>
      <c r="T592" s="76" t="s">
        <v>4</v>
      </c>
      <c r="U592" s="12" t="s">
        <v>14</v>
      </c>
      <c r="V592" s="12" t="s">
        <v>1914</v>
      </c>
      <c r="W592" s="12" t="s">
        <v>1913</v>
      </c>
      <c r="X592" s="12" t="s">
        <v>2810</v>
      </c>
      <c r="Y592" s="75" t="s">
        <v>4</v>
      </c>
      <c r="Z592" s="75" t="s">
        <v>4</v>
      </c>
      <c r="AA592" s="95" t="s">
        <v>2810</v>
      </c>
      <c r="AB592" s="132"/>
      <c r="AC592" s="132"/>
      <c r="AD592" s="132"/>
      <c r="AE592" s="63"/>
      <c r="AF592" s="63"/>
      <c r="AG592" s="63"/>
    </row>
    <row r="593" spans="1:33" ht="17.2" customHeight="1">
      <c r="A593" s="64" t="str">
        <f>IF(priority(Main[[#This Row],[Comments]])&lt;&gt;0, priority(Main[[#This Row],[Comments]]),"")</f>
        <v/>
      </c>
      <c r="B593" s="60" t="s">
        <v>2184</v>
      </c>
      <c r="C593" s="72" t="s">
        <v>4</v>
      </c>
      <c r="D593" s="59" t="s">
        <v>2185</v>
      </c>
      <c r="E593" s="85">
        <v>40784.623067129629</v>
      </c>
      <c r="F593" s="85"/>
      <c r="G593" s="64" t="str">
        <f>IF(stdProdLT(Main[[#This Row],[Comments]])=0.1,"N/A",IF(stdProdLT(Main[[#This Row],[Comments]])=0,"",TRIM(stdProdLT(Main[[#This Row],[Comments]]))))</f>
        <v/>
      </c>
      <c r="H593" s="94" t="str">
        <f>IF(OR(Main[[#This Row],[Std. Prod. Lead Time]]="N/A",Main[[#This Row],[Std. Prod. Lead Time]]=""), "",IF(AND(Main[[#This Row],[In Stock Date]]&lt;&gt;"",Main[[#This Row],[Revised Due Date]]&lt;&gt;"",Main[[#This Row],[In Stock Date]]&lt;&gt;""),Main[[#This Row],[In Stock Date]]-Main[[#This Row],[Revised Due Date]],""))</f>
        <v/>
      </c>
      <c r="I593" s="101" t="s">
        <v>4</v>
      </c>
      <c r="J593" s="95" t="s">
        <v>4</v>
      </c>
      <c r="K593" s="95" t="s">
        <v>4</v>
      </c>
      <c r="L593" s="85"/>
      <c r="M593" s="73" t="str">
        <f>IF(Main[[#This Row],[Tech Start Date]]&lt;1/1/1990,"",IF(Main[[#This Row],[Class]]="C",WORKDAY(Main[[#This Row],[Tech Start Date]],9),IF(Main[[#This Row],[Class]]="B", WORKDAY(Main[[#This Row],[Tech Start Date]],6),IF(Main[[#This Row],[Class]]="A",WORKDAY(Main[[#This Row],[Tech Start Date]],2),""))))</f>
        <v/>
      </c>
      <c r="N593" s="73" t="str">
        <f>IF(Main[[#This Row],[Tech Start Date]]&lt;1/1/1990,"",IF(Main[[#This Row],[Class]]="C",WORKDAY(Main[[#This Row],[Tech Start Date]],19),IF(Main[[#This Row],[Class]]="B", WORKDAY(Main[[#This Row],[Tech Start Date]],12),IF(Main[[#This Row],[Class]]="A",WORKDAY(Main[[#This Row],[Tech Start Date]],4),""))))</f>
        <v/>
      </c>
      <c r="O593" s="73" t="str">
        <f>IF(Main[[#This Row],[Tech Start Date]]&lt;1/1/1990,"",IF(Main[[#This Row],[Class]]="C",WORKDAY(Main[[#This Row],[Tech Start Date]],23),IF(Main[[#This Row],[Class]]="B", WORKDAY(Main[[#This Row],[Tech Start Date]],15),IF(Main[[#This Row],[Class]]="A",WORKDAY(Main[[#This Row],[Tech Start Date]],5),""))))</f>
        <v/>
      </c>
      <c r="P593" s="73" t="str">
        <f>IF(Main[[#This Row],[Tech Start Date]]&lt;1/1/1990,"",IF(Main[[#This Row],[Class]]="C",WORKDAY(Main[[#This Row],[Tech Start Date]],28),IF(Main[[#This Row],[Class]]="B", WORKDAY(Main[[#This Row],[Tech Start Date]],19),IF(Main[[#This Row],[Class]]="A",WORKDAY(Main[[#This Row],[Tech Start Date]],9),""))))</f>
        <v/>
      </c>
      <c r="Q593" s="85"/>
      <c r="R593" s="112"/>
      <c r="S593" s="95" t="s">
        <v>17</v>
      </c>
      <c r="T593" s="74" t="s">
        <v>4</v>
      </c>
      <c r="U593" s="95" t="s">
        <v>7</v>
      </c>
      <c r="V593" s="95" t="s">
        <v>1914</v>
      </c>
      <c r="W593" s="95" t="s">
        <v>1916</v>
      </c>
      <c r="X593" s="95" t="s">
        <v>2865</v>
      </c>
      <c r="Y593" s="72" t="s">
        <v>3019</v>
      </c>
      <c r="Z593" s="72" t="s">
        <v>4</v>
      </c>
      <c r="AA593" s="95" t="s">
        <v>2865</v>
      </c>
      <c r="AB593" s="132"/>
      <c r="AC593" s="132"/>
      <c r="AD593" s="132"/>
      <c r="AE593" s="63"/>
      <c r="AF593" s="63"/>
      <c r="AG593" s="63"/>
    </row>
    <row r="594" spans="1:33" ht="17.2" customHeight="1">
      <c r="A594" s="64" t="str">
        <f>IF(priority(Main[[#This Row],[Comments]])&lt;&gt;0, priority(Main[[#This Row],[Comments]]),"")</f>
        <v/>
      </c>
      <c r="B594" s="60" t="s">
        <v>1404</v>
      </c>
      <c r="C594" s="72" t="s">
        <v>184</v>
      </c>
      <c r="D594" s="59" t="s">
        <v>486</v>
      </c>
      <c r="E594" s="85"/>
      <c r="F594" s="85"/>
      <c r="G594" s="64" t="str">
        <f>IF(stdProdLT(Main[[#This Row],[Comments]])=0.1,"N/A",IF(stdProdLT(Main[[#This Row],[Comments]])=0,"",TRIM(stdProdLT(Main[[#This Row],[Comments]]))))</f>
        <v/>
      </c>
      <c r="H594" s="94" t="str">
        <f>IF(OR(Main[[#This Row],[Std. Prod. Lead Time]]="N/A",Main[[#This Row],[Std. Prod. Lead Time]]=""), "",IF(AND(Main[[#This Row],[In Stock Date]]&lt;&gt;"",Main[[#This Row],[Revised Due Date]]&lt;&gt;"",Main[[#This Row],[In Stock Date]]&lt;&gt;""),Main[[#This Row],[In Stock Date]]-Main[[#This Row],[Revised Due Date]],""))</f>
        <v/>
      </c>
      <c r="I594" s="101" t="s">
        <v>4</v>
      </c>
      <c r="J594" s="95" t="s">
        <v>4</v>
      </c>
      <c r="K594" s="96" t="s">
        <v>4</v>
      </c>
      <c r="L594" s="85"/>
      <c r="M594" s="73" t="str">
        <f>IF(Main[[#This Row],[Tech Start Date]]&lt;1/1/1990,"",IF(Main[[#This Row],[Class]]="C",WORKDAY(Main[[#This Row],[Tech Start Date]],9),IF(Main[[#This Row],[Class]]="B", WORKDAY(Main[[#This Row],[Tech Start Date]],6),IF(Main[[#This Row],[Class]]="A",WORKDAY(Main[[#This Row],[Tech Start Date]],2),""))))</f>
        <v/>
      </c>
      <c r="N594" s="73" t="str">
        <f>IF(Main[[#This Row],[Tech Start Date]]&lt;1/1/1990,"",IF(Main[[#This Row],[Class]]="C",WORKDAY(Main[[#This Row],[Tech Start Date]],19),IF(Main[[#This Row],[Class]]="B", WORKDAY(Main[[#This Row],[Tech Start Date]],12),IF(Main[[#This Row],[Class]]="A",WORKDAY(Main[[#This Row],[Tech Start Date]],4),""))))</f>
        <v/>
      </c>
      <c r="O594" s="73" t="str">
        <f>IF(Main[[#This Row],[Tech Start Date]]&lt;1/1/1990,"",IF(Main[[#This Row],[Class]]="C",WORKDAY(Main[[#This Row],[Tech Start Date]],23),IF(Main[[#This Row],[Class]]="B", WORKDAY(Main[[#This Row],[Tech Start Date]],15),IF(Main[[#This Row],[Class]]="A",WORKDAY(Main[[#This Row],[Tech Start Date]],5),""))))</f>
        <v/>
      </c>
      <c r="P594" s="73" t="str">
        <f>IF(Main[[#This Row],[Tech Start Date]]&lt;1/1/1990,"",IF(Main[[#This Row],[Class]]="C",WORKDAY(Main[[#This Row],[Tech Start Date]],28),IF(Main[[#This Row],[Class]]="B", WORKDAY(Main[[#This Row],[Tech Start Date]],19),IF(Main[[#This Row],[Class]]="A",WORKDAY(Main[[#This Row],[Tech Start Date]],9),""))))</f>
        <v/>
      </c>
      <c r="Q594" s="85">
        <v>40116</v>
      </c>
      <c r="R594" s="112"/>
      <c r="S594" s="95" t="s">
        <v>11</v>
      </c>
      <c r="T594" s="74" t="s">
        <v>4</v>
      </c>
      <c r="U594" s="95" t="s">
        <v>14</v>
      </c>
      <c r="V594" s="95" t="s">
        <v>1914</v>
      </c>
      <c r="W594" s="95" t="s">
        <v>1913</v>
      </c>
      <c r="X594" s="95" t="s">
        <v>2843</v>
      </c>
      <c r="Y594" s="72" t="s">
        <v>4</v>
      </c>
      <c r="Z594" s="72" t="s">
        <v>4</v>
      </c>
      <c r="AA594" s="95" t="s">
        <v>2843</v>
      </c>
      <c r="AB594" s="132"/>
      <c r="AC594" s="132"/>
      <c r="AD594" s="132"/>
      <c r="AE594" s="63"/>
      <c r="AF594" s="63"/>
      <c r="AG594" s="63"/>
    </row>
    <row r="595" spans="1:33" ht="17.2" customHeight="1">
      <c r="A595" s="64" t="str">
        <f>IF(priority(Main[[#This Row],[Comments]])&lt;&gt;0, priority(Main[[#This Row],[Comments]]),"")</f>
        <v/>
      </c>
      <c r="B595" s="60" t="s">
        <v>1570</v>
      </c>
      <c r="C595" s="72" t="s">
        <v>650</v>
      </c>
      <c r="D595" s="59" t="s">
        <v>651</v>
      </c>
      <c r="E595" s="85">
        <v>40350.419861111113</v>
      </c>
      <c r="F595" s="85">
        <v>40444</v>
      </c>
      <c r="G595" s="64" t="str">
        <f>IF(stdProdLT(Main[[#This Row],[Comments]])=0.1,"N/A",IF(stdProdLT(Main[[#This Row],[Comments]])=0,"",TRIM(stdProdLT(Main[[#This Row],[Comments]]))))</f>
        <v/>
      </c>
      <c r="H595" s="94" t="str">
        <f>IF(OR(Main[[#This Row],[Std. Prod. Lead Time]]="N/A",Main[[#This Row],[Std. Prod. Lead Time]]=""), "",IF(AND(Main[[#This Row],[In Stock Date]]&lt;&gt;"",Main[[#This Row],[Revised Due Date]]&lt;&gt;"",Main[[#This Row],[In Stock Date]]&lt;&gt;""),Main[[#This Row],[In Stock Date]]-Main[[#This Row],[Revised Due Date]],""))</f>
        <v/>
      </c>
      <c r="I595" s="101" t="s">
        <v>652</v>
      </c>
      <c r="J595" s="95" t="s">
        <v>28</v>
      </c>
      <c r="K595" s="95" t="s">
        <v>1923</v>
      </c>
      <c r="L595" s="85"/>
      <c r="M595" s="73" t="str">
        <f>IF(Main[[#This Row],[Tech Start Date]]&lt;1/1/1990,"",IF(Main[[#This Row],[Class]]="C",WORKDAY(Main[[#This Row],[Tech Start Date]],9),IF(Main[[#This Row],[Class]]="B", WORKDAY(Main[[#This Row],[Tech Start Date]],6),IF(Main[[#This Row],[Class]]="A",WORKDAY(Main[[#This Row],[Tech Start Date]],2),""))))</f>
        <v/>
      </c>
      <c r="N595" s="73" t="str">
        <f>IF(Main[[#This Row],[Tech Start Date]]&lt;1/1/1990,"",IF(Main[[#This Row],[Class]]="C",WORKDAY(Main[[#This Row],[Tech Start Date]],19),IF(Main[[#This Row],[Class]]="B", WORKDAY(Main[[#This Row],[Tech Start Date]],12),IF(Main[[#This Row],[Class]]="A",WORKDAY(Main[[#This Row],[Tech Start Date]],4),""))))</f>
        <v/>
      </c>
      <c r="O595" s="73" t="str">
        <f>IF(Main[[#This Row],[Tech Start Date]]&lt;1/1/1990,"",IF(Main[[#This Row],[Class]]="C",WORKDAY(Main[[#This Row],[Tech Start Date]],23),IF(Main[[#This Row],[Class]]="B", WORKDAY(Main[[#This Row],[Tech Start Date]],15),IF(Main[[#This Row],[Class]]="A",WORKDAY(Main[[#This Row],[Tech Start Date]],5),""))))</f>
        <v/>
      </c>
      <c r="P595" s="73" t="str">
        <f>IF(Main[[#This Row],[Tech Start Date]]&lt;1/1/1990,"",IF(Main[[#This Row],[Class]]="C",WORKDAY(Main[[#This Row],[Tech Start Date]],28),IF(Main[[#This Row],[Class]]="B", WORKDAY(Main[[#This Row],[Tech Start Date]],19),IF(Main[[#This Row],[Class]]="A",WORKDAY(Main[[#This Row],[Tech Start Date]],9),""))))</f>
        <v/>
      </c>
      <c r="Q595" s="85">
        <v>40353</v>
      </c>
      <c r="R595" s="112"/>
      <c r="S595" s="95" t="s">
        <v>17</v>
      </c>
      <c r="T595" s="74" t="s">
        <v>4</v>
      </c>
      <c r="U595" s="95" t="s">
        <v>7</v>
      </c>
      <c r="V595" s="95" t="s">
        <v>1914</v>
      </c>
      <c r="W595" s="95" t="s">
        <v>1916</v>
      </c>
      <c r="X595" s="95" t="s">
        <v>2866</v>
      </c>
      <c r="Y595" s="72" t="s">
        <v>3020</v>
      </c>
      <c r="Z595" s="72" t="s">
        <v>530</v>
      </c>
      <c r="AA595" s="95" t="s">
        <v>3374</v>
      </c>
      <c r="AB595" s="132"/>
      <c r="AC595" s="132"/>
      <c r="AD595" s="132"/>
      <c r="AE595" s="63"/>
      <c r="AF595" s="63"/>
      <c r="AG595" s="63"/>
    </row>
    <row r="596" spans="1:33" ht="17.2" customHeight="1">
      <c r="A596" s="64" t="str">
        <f>IF(priority(Main[[#This Row],[Comments]])&lt;&gt;0, priority(Main[[#This Row],[Comments]]),"")</f>
        <v/>
      </c>
      <c r="B596" s="60" t="s">
        <v>1406</v>
      </c>
      <c r="C596" s="72" t="s">
        <v>67</v>
      </c>
      <c r="D596" s="59" t="s">
        <v>488</v>
      </c>
      <c r="E596" s="85"/>
      <c r="F596" s="85">
        <v>40561</v>
      </c>
      <c r="G596" s="64" t="str">
        <f>IF(stdProdLT(Main[[#This Row],[Comments]])=0.1,"N/A",IF(stdProdLT(Main[[#This Row],[Comments]])=0,"",TRIM(stdProdLT(Main[[#This Row],[Comments]]))))</f>
        <v/>
      </c>
      <c r="H596" s="94" t="str">
        <f>IF(OR(Main[[#This Row],[Std. Prod. Lead Time]]="N/A",Main[[#This Row],[Std. Prod. Lead Time]]=""), "",IF(AND(Main[[#This Row],[In Stock Date]]&lt;&gt;"",Main[[#This Row],[Revised Due Date]]&lt;&gt;"",Main[[#This Row],[In Stock Date]]&lt;&gt;""),Main[[#This Row],[In Stock Date]]-Main[[#This Row],[Revised Due Date]],""))</f>
        <v/>
      </c>
      <c r="I596" s="101" t="s">
        <v>4</v>
      </c>
      <c r="J596" s="95" t="s">
        <v>4</v>
      </c>
      <c r="K596" s="95" t="s">
        <v>4</v>
      </c>
      <c r="L596" s="85"/>
      <c r="M596" s="73" t="str">
        <f>IF(Main[[#This Row],[Tech Start Date]]&lt;1/1/1990,"",IF(Main[[#This Row],[Class]]="C",WORKDAY(Main[[#This Row],[Tech Start Date]],9),IF(Main[[#This Row],[Class]]="B", WORKDAY(Main[[#This Row],[Tech Start Date]],6),IF(Main[[#This Row],[Class]]="A",WORKDAY(Main[[#This Row],[Tech Start Date]],2),""))))</f>
        <v/>
      </c>
      <c r="N596" s="73" t="str">
        <f>IF(Main[[#This Row],[Tech Start Date]]&lt;1/1/1990,"",IF(Main[[#This Row],[Class]]="C",WORKDAY(Main[[#This Row],[Tech Start Date]],19),IF(Main[[#This Row],[Class]]="B", WORKDAY(Main[[#This Row],[Tech Start Date]],12),IF(Main[[#This Row],[Class]]="A",WORKDAY(Main[[#This Row],[Tech Start Date]],4),""))))</f>
        <v/>
      </c>
      <c r="O596" s="73" t="str">
        <f>IF(Main[[#This Row],[Tech Start Date]]&lt;1/1/1990,"",IF(Main[[#This Row],[Class]]="C",WORKDAY(Main[[#This Row],[Tech Start Date]],23),IF(Main[[#This Row],[Class]]="B", WORKDAY(Main[[#This Row],[Tech Start Date]],15),IF(Main[[#This Row],[Class]]="A",WORKDAY(Main[[#This Row],[Tech Start Date]],5),""))))</f>
        <v/>
      </c>
      <c r="P596" s="73" t="str">
        <f>IF(Main[[#This Row],[Tech Start Date]]&lt;1/1/1990,"",IF(Main[[#This Row],[Class]]="C",WORKDAY(Main[[#This Row],[Tech Start Date]],28),IF(Main[[#This Row],[Class]]="B", WORKDAY(Main[[#This Row],[Tech Start Date]],19),IF(Main[[#This Row],[Class]]="A",WORKDAY(Main[[#This Row],[Tech Start Date]],9),""))))</f>
        <v/>
      </c>
      <c r="Q596" s="85"/>
      <c r="R596" s="112"/>
      <c r="S596" s="95" t="s">
        <v>11</v>
      </c>
      <c r="T596" s="74" t="s">
        <v>4</v>
      </c>
      <c r="U596" s="95" t="s">
        <v>14</v>
      </c>
      <c r="V596" s="95" t="s">
        <v>1914</v>
      </c>
      <c r="W596" s="95" t="s">
        <v>1917</v>
      </c>
      <c r="X596" s="95" t="s">
        <v>50</v>
      </c>
      <c r="Y596" s="72" t="s">
        <v>4</v>
      </c>
      <c r="Z596" s="72" t="s">
        <v>4</v>
      </c>
      <c r="AA596" s="95" t="s">
        <v>4</v>
      </c>
      <c r="AB596" s="132"/>
      <c r="AC596" s="132"/>
      <c r="AD596" s="132"/>
      <c r="AE596" s="63"/>
      <c r="AF596" s="63"/>
      <c r="AG596" s="63"/>
    </row>
    <row r="597" spans="1:33" ht="17.2" customHeight="1">
      <c r="A597" s="64" t="str">
        <f>IF(priority(Main[[#This Row],[Comments]])&lt;&gt;0, priority(Main[[#This Row],[Comments]]),"")</f>
        <v/>
      </c>
      <c r="B597" s="60" t="s">
        <v>1408</v>
      </c>
      <c r="C597" s="72" t="s">
        <v>31</v>
      </c>
      <c r="D597" s="59" t="s">
        <v>490</v>
      </c>
      <c r="E597" s="85"/>
      <c r="F597" s="85">
        <v>40203</v>
      </c>
      <c r="G597" s="64" t="str">
        <f>IF(stdProdLT(Main[[#This Row],[Comments]])=0.1,"N/A",IF(stdProdLT(Main[[#This Row],[Comments]])=0,"",TRIM(stdProdLT(Main[[#This Row],[Comments]]))))</f>
        <v/>
      </c>
      <c r="H597" s="94" t="str">
        <f>IF(OR(Main[[#This Row],[Std. Prod. Lead Time]]="N/A",Main[[#This Row],[Std. Prod. Lead Time]]=""), "",IF(AND(Main[[#This Row],[In Stock Date]]&lt;&gt;"",Main[[#This Row],[Revised Due Date]]&lt;&gt;"",Main[[#This Row],[In Stock Date]]&lt;&gt;""),Main[[#This Row],[In Stock Date]]-Main[[#This Row],[Revised Due Date]],""))</f>
        <v/>
      </c>
      <c r="I597" s="101" t="s">
        <v>4</v>
      </c>
      <c r="J597" s="95" t="s">
        <v>4</v>
      </c>
      <c r="K597" s="96" t="s">
        <v>4</v>
      </c>
      <c r="L597" s="85"/>
      <c r="M597" s="73" t="str">
        <f>IF(Main[[#This Row],[Tech Start Date]]&lt;1/1/1990,"",IF(Main[[#This Row],[Class]]="C",WORKDAY(Main[[#This Row],[Tech Start Date]],9),IF(Main[[#This Row],[Class]]="B", WORKDAY(Main[[#This Row],[Tech Start Date]],6),IF(Main[[#This Row],[Class]]="A",WORKDAY(Main[[#This Row],[Tech Start Date]],2),""))))</f>
        <v/>
      </c>
      <c r="N597" s="73" t="str">
        <f>IF(Main[[#This Row],[Tech Start Date]]&lt;1/1/1990,"",IF(Main[[#This Row],[Class]]="C",WORKDAY(Main[[#This Row],[Tech Start Date]],19),IF(Main[[#This Row],[Class]]="B", WORKDAY(Main[[#This Row],[Tech Start Date]],12),IF(Main[[#This Row],[Class]]="A",WORKDAY(Main[[#This Row],[Tech Start Date]],4),""))))</f>
        <v/>
      </c>
      <c r="O597" s="73" t="str">
        <f>IF(Main[[#This Row],[Tech Start Date]]&lt;1/1/1990,"",IF(Main[[#This Row],[Class]]="C",WORKDAY(Main[[#This Row],[Tech Start Date]],23),IF(Main[[#This Row],[Class]]="B", WORKDAY(Main[[#This Row],[Tech Start Date]],15),IF(Main[[#This Row],[Class]]="A",WORKDAY(Main[[#This Row],[Tech Start Date]],5),""))))</f>
        <v/>
      </c>
      <c r="P597" s="73" t="str">
        <f>IF(Main[[#This Row],[Tech Start Date]]&lt;1/1/1990,"",IF(Main[[#This Row],[Class]]="C",WORKDAY(Main[[#This Row],[Tech Start Date]],28),IF(Main[[#This Row],[Class]]="B", WORKDAY(Main[[#This Row],[Tech Start Date]],19),IF(Main[[#This Row],[Class]]="A",WORKDAY(Main[[#This Row],[Tech Start Date]],9),""))))</f>
        <v/>
      </c>
      <c r="Q597" s="85">
        <v>40063</v>
      </c>
      <c r="R597" s="112"/>
      <c r="S597" s="95" t="s">
        <v>11</v>
      </c>
      <c r="T597" s="74" t="s">
        <v>4</v>
      </c>
      <c r="U597" s="95" t="s">
        <v>14</v>
      </c>
      <c r="V597" s="95" t="s">
        <v>1921</v>
      </c>
      <c r="W597" s="95" t="s">
        <v>1917</v>
      </c>
      <c r="X597" s="95" t="s">
        <v>2851</v>
      </c>
      <c r="Y597" s="72" t="s">
        <v>4</v>
      </c>
      <c r="Z597" s="72" t="s">
        <v>4</v>
      </c>
      <c r="AA597" s="95" t="s">
        <v>2851</v>
      </c>
      <c r="AB597" s="132"/>
      <c r="AC597" s="132"/>
      <c r="AD597" s="132"/>
      <c r="AE597" s="63"/>
      <c r="AF597" s="63"/>
      <c r="AG597" s="63"/>
    </row>
    <row r="598" spans="1:33" ht="17.2" customHeight="1">
      <c r="A598" s="64" t="str">
        <f>IF(priority(Main[[#This Row],[Comments]])&lt;&gt;0, priority(Main[[#This Row],[Comments]]),"")</f>
        <v/>
      </c>
      <c r="B598" s="60" t="s">
        <v>1409</v>
      </c>
      <c r="C598" s="72" t="s">
        <v>4</v>
      </c>
      <c r="D598" s="59" t="s">
        <v>491</v>
      </c>
      <c r="E598" s="85">
        <v>40381.391886574071</v>
      </c>
      <c r="F598" s="85"/>
      <c r="G598" s="64" t="str">
        <f>IF(stdProdLT(Main[[#This Row],[Comments]])=0.1,"N/A",IF(stdProdLT(Main[[#This Row],[Comments]])=0,"",TRIM(stdProdLT(Main[[#This Row],[Comments]]))))</f>
        <v/>
      </c>
      <c r="H598" s="94" t="str">
        <f>IF(OR(Main[[#This Row],[Std. Prod. Lead Time]]="N/A",Main[[#This Row],[Std. Prod. Lead Time]]=""), "",IF(AND(Main[[#This Row],[In Stock Date]]&lt;&gt;"",Main[[#This Row],[Revised Due Date]]&lt;&gt;"",Main[[#This Row],[In Stock Date]]&lt;&gt;""),Main[[#This Row],[In Stock Date]]-Main[[#This Row],[Revised Due Date]],""))</f>
        <v/>
      </c>
      <c r="I598" s="101" t="s">
        <v>4</v>
      </c>
      <c r="J598" s="95" t="s">
        <v>28</v>
      </c>
      <c r="K598" s="95" t="s">
        <v>4</v>
      </c>
      <c r="L598" s="85"/>
      <c r="M598" s="73" t="str">
        <f>IF(Main[[#This Row],[Tech Start Date]]&lt;1/1/1990,"",IF(Main[[#This Row],[Class]]="C",WORKDAY(Main[[#This Row],[Tech Start Date]],9),IF(Main[[#This Row],[Class]]="B", WORKDAY(Main[[#This Row],[Tech Start Date]],6),IF(Main[[#This Row],[Class]]="A",WORKDAY(Main[[#This Row],[Tech Start Date]],2),""))))</f>
        <v/>
      </c>
      <c r="N598" s="73" t="str">
        <f>IF(Main[[#This Row],[Tech Start Date]]&lt;1/1/1990,"",IF(Main[[#This Row],[Class]]="C",WORKDAY(Main[[#This Row],[Tech Start Date]],19),IF(Main[[#This Row],[Class]]="B", WORKDAY(Main[[#This Row],[Tech Start Date]],12),IF(Main[[#This Row],[Class]]="A",WORKDAY(Main[[#This Row],[Tech Start Date]],4),""))))</f>
        <v/>
      </c>
      <c r="O598" s="73" t="str">
        <f>IF(Main[[#This Row],[Tech Start Date]]&lt;1/1/1990,"",IF(Main[[#This Row],[Class]]="C",WORKDAY(Main[[#This Row],[Tech Start Date]],23),IF(Main[[#This Row],[Class]]="B", WORKDAY(Main[[#This Row],[Tech Start Date]],15),IF(Main[[#This Row],[Class]]="A",WORKDAY(Main[[#This Row],[Tech Start Date]],5),""))))</f>
        <v/>
      </c>
      <c r="P598" s="73" t="str">
        <f>IF(Main[[#This Row],[Tech Start Date]]&lt;1/1/1990,"",IF(Main[[#This Row],[Class]]="C",WORKDAY(Main[[#This Row],[Tech Start Date]],28),IF(Main[[#This Row],[Class]]="B", WORKDAY(Main[[#This Row],[Tech Start Date]],19),IF(Main[[#This Row],[Class]]="A",WORKDAY(Main[[#This Row],[Tech Start Date]],9),""))))</f>
        <v/>
      </c>
      <c r="Q598" s="85">
        <v>40451</v>
      </c>
      <c r="R598" s="112"/>
      <c r="S598" s="95" t="s">
        <v>6</v>
      </c>
      <c r="T598" s="74" t="s">
        <v>4</v>
      </c>
      <c r="U598" s="95" t="s">
        <v>7</v>
      </c>
      <c r="V598" s="95" t="s">
        <v>1911</v>
      </c>
      <c r="W598" s="95" t="s">
        <v>1913</v>
      </c>
      <c r="X598" s="95" t="s">
        <v>2867</v>
      </c>
      <c r="Y598" s="72" t="s">
        <v>3021</v>
      </c>
      <c r="Z598" s="72" t="s">
        <v>129</v>
      </c>
      <c r="AA598" s="95" t="s">
        <v>2867</v>
      </c>
      <c r="AB598" s="132"/>
      <c r="AC598" s="132"/>
      <c r="AD598" s="132"/>
      <c r="AE598" s="63"/>
      <c r="AF598" s="63"/>
      <c r="AG598" s="63"/>
    </row>
    <row r="599" spans="1:33" ht="17.2" customHeight="1">
      <c r="A599" s="64" t="str">
        <f>IF(priority(Main[[#This Row],[Comments]])&lt;&gt;0, priority(Main[[#This Row],[Comments]]),"")</f>
        <v/>
      </c>
      <c r="B599" s="60" t="s">
        <v>1351</v>
      </c>
      <c r="C599" s="72" t="s">
        <v>4</v>
      </c>
      <c r="D599" s="59" t="s">
        <v>440</v>
      </c>
      <c r="E599" s="85">
        <v>40389.394756944443</v>
      </c>
      <c r="F599" s="85"/>
      <c r="G599" s="64" t="str">
        <f>IF(stdProdLT(Main[[#This Row],[Comments]])=0.1,"N/A",IF(stdProdLT(Main[[#This Row],[Comments]])=0,"",TRIM(stdProdLT(Main[[#This Row],[Comments]]))))</f>
        <v/>
      </c>
      <c r="H599" s="94" t="str">
        <f>IF(OR(Main[[#This Row],[Std. Prod. Lead Time]]="N/A",Main[[#This Row],[Std. Prod. Lead Time]]=""), "",IF(AND(Main[[#This Row],[In Stock Date]]&lt;&gt;"",Main[[#This Row],[Revised Due Date]]&lt;&gt;"",Main[[#This Row],[In Stock Date]]&lt;&gt;""),Main[[#This Row],[In Stock Date]]-Main[[#This Row],[Revised Due Date]],""))</f>
        <v/>
      </c>
      <c r="I599" s="101" t="s">
        <v>4</v>
      </c>
      <c r="J599" s="95" t="s">
        <v>28</v>
      </c>
      <c r="K599" s="95" t="s">
        <v>1923</v>
      </c>
      <c r="L599" s="85"/>
      <c r="M599" s="73" t="str">
        <f>IF(Main[[#This Row],[Tech Start Date]]&lt;1/1/1990,"",IF(Main[[#This Row],[Class]]="C",WORKDAY(Main[[#This Row],[Tech Start Date]],9),IF(Main[[#This Row],[Class]]="B", WORKDAY(Main[[#This Row],[Tech Start Date]],6),IF(Main[[#This Row],[Class]]="A",WORKDAY(Main[[#This Row],[Tech Start Date]],2),""))))</f>
        <v/>
      </c>
      <c r="N599" s="73" t="str">
        <f>IF(Main[[#This Row],[Tech Start Date]]&lt;1/1/1990,"",IF(Main[[#This Row],[Class]]="C",WORKDAY(Main[[#This Row],[Tech Start Date]],19),IF(Main[[#This Row],[Class]]="B", WORKDAY(Main[[#This Row],[Tech Start Date]],12),IF(Main[[#This Row],[Class]]="A",WORKDAY(Main[[#This Row],[Tech Start Date]],4),""))))</f>
        <v/>
      </c>
      <c r="O599" s="73" t="str">
        <f>IF(Main[[#This Row],[Tech Start Date]]&lt;1/1/1990,"",IF(Main[[#This Row],[Class]]="C",WORKDAY(Main[[#This Row],[Tech Start Date]],23),IF(Main[[#This Row],[Class]]="B", WORKDAY(Main[[#This Row],[Tech Start Date]],15),IF(Main[[#This Row],[Class]]="A",WORKDAY(Main[[#This Row],[Tech Start Date]],5),""))))</f>
        <v/>
      </c>
      <c r="P599" s="73" t="str">
        <f>IF(Main[[#This Row],[Tech Start Date]]&lt;1/1/1990,"",IF(Main[[#This Row],[Class]]="C",WORKDAY(Main[[#This Row],[Tech Start Date]],28),IF(Main[[#This Row],[Class]]="B", WORKDAY(Main[[#This Row],[Tech Start Date]],19),IF(Main[[#This Row],[Class]]="A",WORKDAY(Main[[#This Row],[Tech Start Date]],9),""))))</f>
        <v/>
      </c>
      <c r="Q599" s="85">
        <v>40451</v>
      </c>
      <c r="R599" s="112"/>
      <c r="S599" s="95" t="s">
        <v>17</v>
      </c>
      <c r="T599" s="74" t="s">
        <v>4</v>
      </c>
      <c r="U599" s="95" t="s">
        <v>7</v>
      </c>
      <c r="V599" s="95" t="s">
        <v>1911</v>
      </c>
      <c r="W599" s="95" t="s">
        <v>1916</v>
      </c>
      <c r="X599" s="95" t="s">
        <v>129</v>
      </c>
      <c r="Y599" s="72" t="s">
        <v>2937</v>
      </c>
      <c r="Z599" s="72" t="s">
        <v>2808</v>
      </c>
      <c r="AA599" s="95" t="s">
        <v>2808</v>
      </c>
      <c r="AB599" s="132"/>
      <c r="AC599" s="132"/>
      <c r="AD599" s="132"/>
      <c r="AE599" s="63"/>
      <c r="AF599" s="63"/>
      <c r="AG599" s="63"/>
    </row>
    <row r="600" spans="1:33" ht="17.2" customHeight="1">
      <c r="A600" s="64" t="str">
        <f>IF(priority(Main[[#This Row],[Comments]])&lt;&gt;0, priority(Main[[#This Row],[Comments]]),"")</f>
        <v/>
      </c>
      <c r="B600" s="60" t="s">
        <v>1390</v>
      </c>
      <c r="C600" s="72" t="s">
        <v>72</v>
      </c>
      <c r="D600" s="59" t="s">
        <v>477</v>
      </c>
      <c r="E600" s="85"/>
      <c r="F600" s="85">
        <v>40031</v>
      </c>
      <c r="G600" s="64" t="str">
        <f>IF(stdProdLT(Main[[#This Row],[Comments]])=0.1,"N/A",IF(stdProdLT(Main[[#This Row],[Comments]])=0,"",TRIM(stdProdLT(Main[[#This Row],[Comments]]))))</f>
        <v/>
      </c>
      <c r="H600" s="94" t="str">
        <f>IF(OR(Main[[#This Row],[Std. Prod. Lead Time]]="N/A",Main[[#This Row],[Std. Prod. Lead Time]]=""), "",IF(AND(Main[[#This Row],[In Stock Date]]&lt;&gt;"",Main[[#This Row],[Revised Due Date]]&lt;&gt;"",Main[[#This Row],[In Stock Date]]&lt;&gt;""),Main[[#This Row],[In Stock Date]]-Main[[#This Row],[Revised Due Date]],""))</f>
        <v/>
      </c>
      <c r="I600" s="101" t="s">
        <v>4</v>
      </c>
      <c r="J600" s="95" t="s">
        <v>4</v>
      </c>
      <c r="K600" s="96" t="s">
        <v>4</v>
      </c>
      <c r="L600" s="85"/>
      <c r="M600" s="73" t="str">
        <f>IF(Main[[#This Row],[Tech Start Date]]&lt;1/1/1990,"",IF(Main[[#This Row],[Class]]="C",WORKDAY(Main[[#This Row],[Tech Start Date]],9),IF(Main[[#This Row],[Class]]="B", WORKDAY(Main[[#This Row],[Tech Start Date]],6),IF(Main[[#This Row],[Class]]="A",WORKDAY(Main[[#This Row],[Tech Start Date]],2),""))))</f>
        <v/>
      </c>
      <c r="N600" s="73" t="str">
        <f>IF(Main[[#This Row],[Tech Start Date]]&lt;1/1/1990,"",IF(Main[[#This Row],[Class]]="C",WORKDAY(Main[[#This Row],[Tech Start Date]],19),IF(Main[[#This Row],[Class]]="B", WORKDAY(Main[[#This Row],[Tech Start Date]],12),IF(Main[[#This Row],[Class]]="A",WORKDAY(Main[[#This Row],[Tech Start Date]],4),""))))</f>
        <v/>
      </c>
      <c r="O600" s="73" t="str">
        <f>IF(Main[[#This Row],[Tech Start Date]]&lt;1/1/1990,"",IF(Main[[#This Row],[Class]]="C",WORKDAY(Main[[#This Row],[Tech Start Date]],23),IF(Main[[#This Row],[Class]]="B", WORKDAY(Main[[#This Row],[Tech Start Date]],15),IF(Main[[#This Row],[Class]]="A",WORKDAY(Main[[#This Row],[Tech Start Date]],5),""))))</f>
        <v/>
      </c>
      <c r="P600" s="73" t="str">
        <f>IF(Main[[#This Row],[Tech Start Date]]&lt;1/1/1990,"",IF(Main[[#This Row],[Class]]="C",WORKDAY(Main[[#This Row],[Tech Start Date]],28),IF(Main[[#This Row],[Class]]="B", WORKDAY(Main[[#This Row],[Tech Start Date]],19),IF(Main[[#This Row],[Class]]="A",WORKDAY(Main[[#This Row],[Tech Start Date]],9),""))))</f>
        <v/>
      </c>
      <c r="Q600" s="85">
        <v>39976</v>
      </c>
      <c r="R600" s="112"/>
      <c r="S600" s="95" t="s">
        <v>11</v>
      </c>
      <c r="T600" s="74" t="s">
        <v>4</v>
      </c>
      <c r="U600" s="95" t="s">
        <v>14</v>
      </c>
      <c r="V600" s="95" t="s">
        <v>1912</v>
      </c>
      <c r="W600" s="95" t="s">
        <v>1919</v>
      </c>
      <c r="X600" s="95" t="s">
        <v>2804</v>
      </c>
      <c r="Y600" s="72" t="s">
        <v>2921</v>
      </c>
      <c r="Z600" s="72" t="s">
        <v>4</v>
      </c>
      <c r="AA600" s="95" t="s">
        <v>2804</v>
      </c>
      <c r="AB600" s="132"/>
      <c r="AC600" s="132"/>
      <c r="AD600" s="132"/>
      <c r="AE600" s="63"/>
      <c r="AF600" s="63"/>
      <c r="AG600" s="63"/>
    </row>
    <row r="601" spans="1:33" ht="17.2" customHeight="1">
      <c r="A601" s="64" t="str">
        <f>IF(priority(Main[[#This Row],[Comments]])&lt;&gt;0, priority(Main[[#This Row],[Comments]]),"")</f>
        <v/>
      </c>
      <c r="B601" s="60" t="s">
        <v>1391</v>
      </c>
      <c r="C601" s="72" t="s">
        <v>83</v>
      </c>
      <c r="D601" s="59" t="s">
        <v>478</v>
      </c>
      <c r="E601" s="85"/>
      <c r="F601" s="85"/>
      <c r="G601" s="64" t="str">
        <f>IF(stdProdLT(Main[[#This Row],[Comments]])=0.1,"N/A",IF(stdProdLT(Main[[#This Row],[Comments]])=0,"",TRIM(stdProdLT(Main[[#This Row],[Comments]]))))</f>
        <v/>
      </c>
      <c r="H601" s="94" t="str">
        <f>IF(OR(Main[[#This Row],[Std. Prod. Lead Time]]="N/A",Main[[#This Row],[Std. Prod. Lead Time]]=""), "",IF(AND(Main[[#This Row],[In Stock Date]]&lt;&gt;"",Main[[#This Row],[Revised Due Date]]&lt;&gt;"",Main[[#This Row],[In Stock Date]]&lt;&gt;""),Main[[#This Row],[In Stock Date]]-Main[[#This Row],[Revised Due Date]],""))</f>
        <v/>
      </c>
      <c r="I601" s="101" t="s">
        <v>4</v>
      </c>
      <c r="J601" s="95" t="s">
        <v>4</v>
      </c>
      <c r="K601" s="96" t="s">
        <v>4</v>
      </c>
      <c r="L601" s="85"/>
      <c r="M601" s="73" t="str">
        <f>IF(Main[[#This Row],[Tech Start Date]]&lt;1/1/1990,"",IF(Main[[#This Row],[Class]]="C",WORKDAY(Main[[#This Row],[Tech Start Date]],9),IF(Main[[#This Row],[Class]]="B", WORKDAY(Main[[#This Row],[Tech Start Date]],6),IF(Main[[#This Row],[Class]]="A",WORKDAY(Main[[#This Row],[Tech Start Date]],2),""))))</f>
        <v/>
      </c>
      <c r="N601" s="73" t="str">
        <f>IF(Main[[#This Row],[Tech Start Date]]&lt;1/1/1990,"",IF(Main[[#This Row],[Class]]="C",WORKDAY(Main[[#This Row],[Tech Start Date]],19),IF(Main[[#This Row],[Class]]="B", WORKDAY(Main[[#This Row],[Tech Start Date]],12),IF(Main[[#This Row],[Class]]="A",WORKDAY(Main[[#This Row],[Tech Start Date]],4),""))))</f>
        <v/>
      </c>
      <c r="O601" s="73" t="str">
        <f>IF(Main[[#This Row],[Tech Start Date]]&lt;1/1/1990,"",IF(Main[[#This Row],[Class]]="C",WORKDAY(Main[[#This Row],[Tech Start Date]],23),IF(Main[[#This Row],[Class]]="B", WORKDAY(Main[[#This Row],[Tech Start Date]],15),IF(Main[[#This Row],[Class]]="A",WORKDAY(Main[[#This Row],[Tech Start Date]],5),""))))</f>
        <v/>
      </c>
      <c r="P601" s="73" t="str">
        <f>IF(Main[[#This Row],[Tech Start Date]]&lt;1/1/1990,"",IF(Main[[#This Row],[Class]]="C",WORKDAY(Main[[#This Row],[Tech Start Date]],28),IF(Main[[#This Row],[Class]]="B", WORKDAY(Main[[#This Row],[Tech Start Date]],19),IF(Main[[#This Row],[Class]]="A",WORKDAY(Main[[#This Row],[Tech Start Date]],9),""))))</f>
        <v/>
      </c>
      <c r="Q601" s="85">
        <v>40137</v>
      </c>
      <c r="R601" s="112"/>
      <c r="S601" s="95" t="s">
        <v>11</v>
      </c>
      <c r="T601" s="74" t="s">
        <v>4</v>
      </c>
      <c r="U601" s="95" t="s">
        <v>14</v>
      </c>
      <c r="V601" s="95" t="s">
        <v>1911</v>
      </c>
      <c r="W601" s="95" t="s">
        <v>1922</v>
      </c>
      <c r="X601" s="95" t="s">
        <v>2797</v>
      </c>
      <c r="Y601" s="72" t="s">
        <v>4</v>
      </c>
      <c r="Z601" s="72" t="s">
        <v>4</v>
      </c>
      <c r="AA601" s="95" t="s">
        <v>2797</v>
      </c>
      <c r="AB601" s="132"/>
      <c r="AC601" s="132"/>
      <c r="AD601" s="132"/>
      <c r="AE601" s="63"/>
      <c r="AF601" s="63"/>
      <c r="AG601" s="63"/>
    </row>
    <row r="602" spans="1:33" ht="17.2" customHeight="1">
      <c r="A602" s="64" t="str">
        <f>IF(priority(Main[[#This Row],[Comments]])&lt;&gt;0, priority(Main[[#This Row],[Comments]]),"")</f>
        <v/>
      </c>
      <c r="B602" s="60" t="s">
        <v>1392</v>
      </c>
      <c r="C602" s="72" t="s">
        <v>95</v>
      </c>
      <c r="D602" s="59" t="s">
        <v>479</v>
      </c>
      <c r="E602" s="85"/>
      <c r="F602" s="85">
        <v>40196</v>
      </c>
      <c r="G602" s="64" t="str">
        <f>IF(stdProdLT(Main[[#This Row],[Comments]])=0.1,"N/A",IF(stdProdLT(Main[[#This Row],[Comments]])=0,"",TRIM(stdProdLT(Main[[#This Row],[Comments]]))))</f>
        <v/>
      </c>
      <c r="H602" s="94" t="str">
        <f>IF(OR(Main[[#This Row],[Std. Prod. Lead Time]]="N/A",Main[[#This Row],[Std. Prod. Lead Time]]=""), "",IF(AND(Main[[#This Row],[In Stock Date]]&lt;&gt;"",Main[[#This Row],[Revised Due Date]]&lt;&gt;"",Main[[#This Row],[In Stock Date]]&lt;&gt;""),Main[[#This Row],[In Stock Date]]-Main[[#This Row],[Revised Due Date]],""))</f>
        <v/>
      </c>
      <c r="I602" s="101" t="s">
        <v>4</v>
      </c>
      <c r="J602" s="95" t="s">
        <v>4</v>
      </c>
      <c r="K602" s="95" t="s">
        <v>4</v>
      </c>
      <c r="L602" s="85"/>
      <c r="M602" s="73" t="str">
        <f>IF(Main[[#This Row],[Tech Start Date]]&lt;1/1/1990,"",IF(Main[[#This Row],[Class]]="C",WORKDAY(Main[[#This Row],[Tech Start Date]],9),IF(Main[[#This Row],[Class]]="B", WORKDAY(Main[[#This Row],[Tech Start Date]],6),IF(Main[[#This Row],[Class]]="A",WORKDAY(Main[[#This Row],[Tech Start Date]],2),""))))</f>
        <v/>
      </c>
      <c r="N602" s="73" t="str">
        <f>IF(Main[[#This Row],[Tech Start Date]]&lt;1/1/1990,"",IF(Main[[#This Row],[Class]]="C",WORKDAY(Main[[#This Row],[Tech Start Date]],19),IF(Main[[#This Row],[Class]]="B", WORKDAY(Main[[#This Row],[Tech Start Date]],12),IF(Main[[#This Row],[Class]]="A",WORKDAY(Main[[#This Row],[Tech Start Date]],4),""))))</f>
        <v/>
      </c>
      <c r="O602" s="73" t="str">
        <f>IF(Main[[#This Row],[Tech Start Date]]&lt;1/1/1990,"",IF(Main[[#This Row],[Class]]="C",WORKDAY(Main[[#This Row],[Tech Start Date]],23),IF(Main[[#This Row],[Class]]="B", WORKDAY(Main[[#This Row],[Tech Start Date]],15),IF(Main[[#This Row],[Class]]="A",WORKDAY(Main[[#This Row],[Tech Start Date]],5),""))))</f>
        <v/>
      </c>
      <c r="P602" s="73" t="str">
        <f>IF(Main[[#This Row],[Tech Start Date]]&lt;1/1/1990,"",IF(Main[[#This Row],[Class]]="C",WORKDAY(Main[[#This Row],[Tech Start Date]],28),IF(Main[[#This Row],[Class]]="B", WORKDAY(Main[[#This Row],[Tech Start Date]],19),IF(Main[[#This Row],[Class]]="A",WORKDAY(Main[[#This Row],[Tech Start Date]],9),""))))</f>
        <v/>
      </c>
      <c r="Q602" s="85">
        <v>40077</v>
      </c>
      <c r="R602" s="112"/>
      <c r="S602" s="95" t="s">
        <v>11</v>
      </c>
      <c r="T602" s="74" t="s">
        <v>4</v>
      </c>
      <c r="U602" s="95" t="s">
        <v>14</v>
      </c>
      <c r="V602" s="95" t="s">
        <v>1914</v>
      </c>
      <c r="W602" s="95" t="s">
        <v>1919</v>
      </c>
      <c r="X602" s="95" t="s">
        <v>2856</v>
      </c>
      <c r="Y602" s="72" t="s">
        <v>4</v>
      </c>
      <c r="Z602" s="72" t="s">
        <v>4</v>
      </c>
      <c r="AA602" s="95" t="s">
        <v>3367</v>
      </c>
      <c r="AB602" s="132"/>
      <c r="AC602" s="132"/>
      <c r="AD602" s="132"/>
      <c r="AE602" s="63"/>
      <c r="AF602" s="63"/>
      <c r="AG602" s="63"/>
    </row>
    <row r="603" spans="1:33" ht="17.2" customHeight="1">
      <c r="A603" s="64" t="str">
        <f>IF(priority(Main[[#This Row],[Comments]])&lt;&gt;0, priority(Main[[#This Row],[Comments]]),"")</f>
        <v/>
      </c>
      <c r="B603" s="60" t="s">
        <v>2697</v>
      </c>
      <c r="C603" s="72" t="s">
        <v>4</v>
      </c>
      <c r="D603" s="59" t="s">
        <v>2698</v>
      </c>
      <c r="E603" s="85">
        <v>40897.44736111111</v>
      </c>
      <c r="F603" s="85"/>
      <c r="G603" s="64" t="str">
        <f>IF(stdProdLT(Main[[#This Row],[Comments]])=0.1,"N/A",IF(stdProdLT(Main[[#This Row],[Comments]])=0,"",TRIM(stdProdLT(Main[[#This Row],[Comments]]))))</f>
        <v/>
      </c>
      <c r="H603" s="94" t="str">
        <f>IF(OR(Main[[#This Row],[Std. Prod. Lead Time]]="N/A",Main[[#This Row],[Std. Prod. Lead Time]]=""), "",IF(AND(Main[[#This Row],[In Stock Date]]&lt;&gt;"",Main[[#This Row],[Revised Due Date]]&lt;&gt;"",Main[[#This Row],[In Stock Date]]&lt;&gt;""),Main[[#This Row],[In Stock Date]]-Main[[#This Row],[Revised Due Date]],""))</f>
        <v/>
      </c>
      <c r="I603" s="101" t="s">
        <v>4</v>
      </c>
      <c r="J603" s="95" t="s">
        <v>4</v>
      </c>
      <c r="K603" s="95" t="s">
        <v>4</v>
      </c>
      <c r="L603" s="85"/>
      <c r="M603" s="73" t="str">
        <f>IF(Main[[#This Row],[Tech Start Date]]&lt;1/1/1990,"",IF(Main[[#This Row],[Class]]="C",WORKDAY(Main[[#This Row],[Tech Start Date]],9),IF(Main[[#This Row],[Class]]="B", WORKDAY(Main[[#This Row],[Tech Start Date]],6),IF(Main[[#This Row],[Class]]="A",WORKDAY(Main[[#This Row],[Tech Start Date]],2),""))))</f>
        <v/>
      </c>
      <c r="N603" s="73" t="str">
        <f>IF(Main[[#This Row],[Tech Start Date]]&lt;1/1/1990,"",IF(Main[[#This Row],[Class]]="C",WORKDAY(Main[[#This Row],[Tech Start Date]],19),IF(Main[[#This Row],[Class]]="B", WORKDAY(Main[[#This Row],[Tech Start Date]],12),IF(Main[[#This Row],[Class]]="A",WORKDAY(Main[[#This Row],[Tech Start Date]],4),""))))</f>
        <v/>
      </c>
      <c r="O603" s="73" t="str">
        <f>IF(Main[[#This Row],[Tech Start Date]]&lt;1/1/1990,"",IF(Main[[#This Row],[Class]]="C",WORKDAY(Main[[#This Row],[Tech Start Date]],23),IF(Main[[#This Row],[Class]]="B", WORKDAY(Main[[#This Row],[Tech Start Date]],15),IF(Main[[#This Row],[Class]]="A",WORKDAY(Main[[#This Row],[Tech Start Date]],5),""))))</f>
        <v/>
      </c>
      <c r="P603" s="73" t="str">
        <f>IF(Main[[#This Row],[Tech Start Date]]&lt;1/1/1990,"",IF(Main[[#This Row],[Class]]="C",WORKDAY(Main[[#This Row],[Tech Start Date]],28),IF(Main[[#This Row],[Class]]="B", WORKDAY(Main[[#This Row],[Tech Start Date]],19),IF(Main[[#This Row],[Class]]="A",WORKDAY(Main[[#This Row],[Tech Start Date]],9),""))))</f>
        <v/>
      </c>
      <c r="Q603" s="85"/>
      <c r="R603" s="112"/>
      <c r="S603" s="95" t="s">
        <v>23</v>
      </c>
      <c r="T603" s="81" t="s">
        <v>4</v>
      </c>
      <c r="U603" s="95" t="s">
        <v>7</v>
      </c>
      <c r="V603" s="95" t="s">
        <v>1912</v>
      </c>
      <c r="W603" s="95" t="s">
        <v>1915</v>
      </c>
      <c r="X603" s="95" t="s">
        <v>399</v>
      </c>
      <c r="Y603" s="72" t="s">
        <v>4</v>
      </c>
      <c r="Z603" s="72" t="s">
        <v>4</v>
      </c>
      <c r="AA603" s="95" t="s">
        <v>3346</v>
      </c>
      <c r="AB603" s="132"/>
      <c r="AC603" s="132"/>
      <c r="AD603" s="132"/>
      <c r="AE603" s="63"/>
      <c r="AF603" s="63"/>
      <c r="AG603" s="63"/>
    </row>
    <row r="604" spans="1:33" ht="17.2" customHeight="1">
      <c r="A604" s="64" t="str">
        <f>IF(priority(Main[[#This Row],[Comments]])&lt;&gt;0, priority(Main[[#This Row],[Comments]]),"")</f>
        <v/>
      </c>
      <c r="B604" s="60" t="s">
        <v>1985</v>
      </c>
      <c r="C604" s="72" t="s">
        <v>4</v>
      </c>
      <c r="D604" s="59" t="s">
        <v>1986</v>
      </c>
      <c r="E604" s="85">
        <v>40737.450219907405</v>
      </c>
      <c r="F604" s="85"/>
      <c r="G604" s="64" t="str">
        <f>IF(stdProdLT(Main[[#This Row],[Comments]])=0.1,"N/A",IF(stdProdLT(Main[[#This Row],[Comments]])=0,"",TRIM(stdProdLT(Main[[#This Row],[Comments]]))))</f>
        <v/>
      </c>
      <c r="H604" s="94" t="str">
        <f>IF(OR(Main[[#This Row],[Std. Prod. Lead Time]]="N/A",Main[[#This Row],[Std. Prod. Lead Time]]=""), "",IF(AND(Main[[#This Row],[In Stock Date]]&lt;&gt;"",Main[[#This Row],[Revised Due Date]]&lt;&gt;"",Main[[#This Row],[In Stock Date]]&lt;&gt;""),Main[[#This Row],[In Stock Date]]-Main[[#This Row],[Revised Due Date]],""))</f>
        <v/>
      </c>
      <c r="I604" s="101" t="s">
        <v>4</v>
      </c>
      <c r="J604" s="95" t="s">
        <v>4</v>
      </c>
      <c r="K604" s="95" t="s">
        <v>4</v>
      </c>
      <c r="L604" s="85"/>
      <c r="M604" s="73" t="str">
        <f>IF(Main[[#This Row],[Tech Start Date]]&lt;1/1/1990,"",IF(Main[[#This Row],[Class]]="C",WORKDAY(Main[[#This Row],[Tech Start Date]],9),IF(Main[[#This Row],[Class]]="B", WORKDAY(Main[[#This Row],[Tech Start Date]],6),IF(Main[[#This Row],[Class]]="A",WORKDAY(Main[[#This Row],[Tech Start Date]],2),""))))</f>
        <v/>
      </c>
      <c r="N604" s="73" t="str">
        <f>IF(Main[[#This Row],[Tech Start Date]]&lt;1/1/1990,"",IF(Main[[#This Row],[Class]]="C",WORKDAY(Main[[#This Row],[Tech Start Date]],19),IF(Main[[#This Row],[Class]]="B", WORKDAY(Main[[#This Row],[Tech Start Date]],12),IF(Main[[#This Row],[Class]]="A",WORKDAY(Main[[#This Row],[Tech Start Date]],4),""))))</f>
        <v/>
      </c>
      <c r="O604" s="73" t="str">
        <f>IF(Main[[#This Row],[Tech Start Date]]&lt;1/1/1990,"",IF(Main[[#This Row],[Class]]="C",WORKDAY(Main[[#This Row],[Tech Start Date]],23),IF(Main[[#This Row],[Class]]="B", WORKDAY(Main[[#This Row],[Tech Start Date]],15),IF(Main[[#This Row],[Class]]="A",WORKDAY(Main[[#This Row],[Tech Start Date]],5),""))))</f>
        <v/>
      </c>
      <c r="P604" s="73" t="str">
        <f>IF(Main[[#This Row],[Tech Start Date]]&lt;1/1/1990,"",IF(Main[[#This Row],[Class]]="C",WORKDAY(Main[[#This Row],[Tech Start Date]],28),IF(Main[[#This Row],[Class]]="B", WORKDAY(Main[[#This Row],[Tech Start Date]],19),IF(Main[[#This Row],[Class]]="A",WORKDAY(Main[[#This Row],[Tech Start Date]],9),""))))</f>
        <v/>
      </c>
      <c r="Q604" s="85">
        <v>40759</v>
      </c>
      <c r="R604" s="112"/>
      <c r="S604" s="95" t="s">
        <v>6</v>
      </c>
      <c r="T604" s="74" t="s">
        <v>4</v>
      </c>
      <c r="U604" s="95" t="s">
        <v>7</v>
      </c>
      <c r="V604" s="95" t="s">
        <v>1911</v>
      </c>
      <c r="W604" s="95" t="s">
        <v>1919</v>
      </c>
      <c r="X604" s="95" t="s">
        <v>2801</v>
      </c>
      <c r="Y604" s="72" t="s">
        <v>2914</v>
      </c>
      <c r="Z604" s="72" t="s">
        <v>4</v>
      </c>
      <c r="AA604" s="95" t="s">
        <v>2801</v>
      </c>
      <c r="AB604" s="132"/>
      <c r="AC604" s="132"/>
      <c r="AD604" s="132"/>
      <c r="AE604" s="63"/>
      <c r="AF604" s="63"/>
      <c r="AG604" s="63"/>
    </row>
    <row r="605" spans="1:33" ht="17.2" customHeight="1">
      <c r="A605" s="64" t="str">
        <f>IF(priority(Main[[#This Row],[Comments]])&lt;&gt;0, priority(Main[[#This Row],[Comments]]),"")</f>
        <v/>
      </c>
      <c r="B605" s="60" t="s">
        <v>1437</v>
      </c>
      <c r="C605" s="72" t="s">
        <v>180</v>
      </c>
      <c r="D605" s="59" t="s">
        <v>515</v>
      </c>
      <c r="E605" s="85"/>
      <c r="F605" s="85">
        <v>40374</v>
      </c>
      <c r="G605" s="64" t="str">
        <f>IF(stdProdLT(Main[[#This Row],[Comments]])=0.1,"N/A",IF(stdProdLT(Main[[#This Row],[Comments]])=0,"",TRIM(stdProdLT(Main[[#This Row],[Comments]]))))</f>
        <v/>
      </c>
      <c r="H605" s="94" t="str">
        <f>IF(OR(Main[[#This Row],[Std. Prod. Lead Time]]="N/A",Main[[#This Row],[Std. Prod. Lead Time]]=""), "",IF(AND(Main[[#This Row],[In Stock Date]]&lt;&gt;"",Main[[#This Row],[Revised Due Date]]&lt;&gt;"",Main[[#This Row],[In Stock Date]]&lt;&gt;""),Main[[#This Row],[In Stock Date]]-Main[[#This Row],[Revised Due Date]],""))</f>
        <v/>
      </c>
      <c r="I605" s="101" t="s">
        <v>4</v>
      </c>
      <c r="J605" s="95" t="s">
        <v>4</v>
      </c>
      <c r="K605" s="95" t="s">
        <v>4</v>
      </c>
      <c r="L605" s="85"/>
      <c r="M605" s="73" t="str">
        <f>IF(Main[[#This Row],[Tech Start Date]]&lt;1/1/1990,"",IF(Main[[#This Row],[Class]]="C",WORKDAY(Main[[#This Row],[Tech Start Date]],9),IF(Main[[#This Row],[Class]]="B", WORKDAY(Main[[#This Row],[Tech Start Date]],6),IF(Main[[#This Row],[Class]]="A",WORKDAY(Main[[#This Row],[Tech Start Date]],2),""))))</f>
        <v/>
      </c>
      <c r="N605" s="73" t="str">
        <f>IF(Main[[#This Row],[Tech Start Date]]&lt;1/1/1990,"",IF(Main[[#This Row],[Class]]="C",WORKDAY(Main[[#This Row],[Tech Start Date]],19),IF(Main[[#This Row],[Class]]="B", WORKDAY(Main[[#This Row],[Tech Start Date]],12),IF(Main[[#This Row],[Class]]="A",WORKDAY(Main[[#This Row],[Tech Start Date]],4),""))))</f>
        <v/>
      </c>
      <c r="O605" s="73" t="str">
        <f>IF(Main[[#This Row],[Tech Start Date]]&lt;1/1/1990,"",IF(Main[[#This Row],[Class]]="C",WORKDAY(Main[[#This Row],[Tech Start Date]],23),IF(Main[[#This Row],[Class]]="B", WORKDAY(Main[[#This Row],[Tech Start Date]],15),IF(Main[[#This Row],[Class]]="A",WORKDAY(Main[[#This Row],[Tech Start Date]],5),""))))</f>
        <v/>
      </c>
      <c r="P605" s="73" t="str">
        <f>IF(Main[[#This Row],[Tech Start Date]]&lt;1/1/1990,"",IF(Main[[#This Row],[Class]]="C",WORKDAY(Main[[#This Row],[Tech Start Date]],28),IF(Main[[#This Row],[Class]]="B", WORKDAY(Main[[#This Row],[Tech Start Date]],19),IF(Main[[#This Row],[Class]]="A",WORKDAY(Main[[#This Row],[Tech Start Date]],9),""))))</f>
        <v/>
      </c>
      <c r="Q605" s="85">
        <v>40298</v>
      </c>
      <c r="R605" s="112"/>
      <c r="S605" s="95" t="s">
        <v>11</v>
      </c>
      <c r="T605" s="74" t="s">
        <v>4</v>
      </c>
      <c r="U605" s="95" t="s">
        <v>14</v>
      </c>
      <c r="V605" s="95" t="s">
        <v>1911</v>
      </c>
      <c r="W605" s="95" t="s">
        <v>1917</v>
      </c>
      <c r="X605" s="95" t="s">
        <v>2804</v>
      </c>
      <c r="Y605" s="72" t="s">
        <v>2921</v>
      </c>
      <c r="Z605" s="72" t="s">
        <v>4</v>
      </c>
      <c r="AA605" s="95" t="s">
        <v>2804</v>
      </c>
      <c r="AB605" s="132"/>
      <c r="AC605" s="132"/>
      <c r="AD605" s="132"/>
      <c r="AE605" s="63"/>
      <c r="AF605" s="63"/>
      <c r="AG605" s="63"/>
    </row>
    <row r="606" spans="1:33" ht="17.2" customHeight="1">
      <c r="A606" s="64" t="str">
        <f>IF(priority(Main[[#This Row],[Comments]])&lt;&gt;0, priority(Main[[#This Row],[Comments]]),"")</f>
        <v/>
      </c>
      <c r="B606" s="60" t="s">
        <v>1422</v>
      </c>
      <c r="C606" s="72" t="s">
        <v>4</v>
      </c>
      <c r="D606" s="59" t="s">
        <v>508</v>
      </c>
      <c r="E606" s="85">
        <v>40322.154652777775</v>
      </c>
      <c r="F606" s="85"/>
      <c r="G606" s="64" t="str">
        <f>IF(stdProdLT(Main[[#This Row],[Comments]])=0.1,"N/A",IF(stdProdLT(Main[[#This Row],[Comments]])=0,"",TRIM(stdProdLT(Main[[#This Row],[Comments]]))))</f>
        <v/>
      </c>
      <c r="H606" s="94" t="str">
        <f>IF(OR(Main[[#This Row],[Std. Prod. Lead Time]]="N/A",Main[[#This Row],[Std. Prod. Lead Time]]=""), "",IF(AND(Main[[#This Row],[In Stock Date]]&lt;&gt;"",Main[[#This Row],[Revised Due Date]]&lt;&gt;"",Main[[#This Row],[In Stock Date]]&lt;&gt;""),Main[[#This Row],[In Stock Date]]-Main[[#This Row],[Revised Due Date]],""))</f>
        <v/>
      </c>
      <c r="I606" s="101" t="s">
        <v>129</v>
      </c>
      <c r="J606" s="95" t="s">
        <v>4</v>
      </c>
      <c r="K606" s="95" t="s">
        <v>4</v>
      </c>
      <c r="L606" s="85"/>
      <c r="M606" s="73" t="str">
        <f>IF(Main[[#This Row],[Tech Start Date]]&lt;1/1/1990,"",IF(Main[[#This Row],[Class]]="C",WORKDAY(Main[[#This Row],[Tech Start Date]],9),IF(Main[[#This Row],[Class]]="B", WORKDAY(Main[[#This Row],[Tech Start Date]],6),IF(Main[[#This Row],[Class]]="A",WORKDAY(Main[[#This Row],[Tech Start Date]],2),""))))</f>
        <v/>
      </c>
      <c r="N606" s="73" t="str">
        <f>IF(Main[[#This Row],[Tech Start Date]]&lt;1/1/1990,"",IF(Main[[#This Row],[Class]]="C",WORKDAY(Main[[#This Row],[Tech Start Date]],19),IF(Main[[#This Row],[Class]]="B", WORKDAY(Main[[#This Row],[Tech Start Date]],12),IF(Main[[#This Row],[Class]]="A",WORKDAY(Main[[#This Row],[Tech Start Date]],4),""))))</f>
        <v/>
      </c>
      <c r="O606" s="73" t="str">
        <f>IF(Main[[#This Row],[Tech Start Date]]&lt;1/1/1990,"",IF(Main[[#This Row],[Class]]="C",WORKDAY(Main[[#This Row],[Tech Start Date]],23),IF(Main[[#This Row],[Class]]="B", WORKDAY(Main[[#This Row],[Tech Start Date]],15),IF(Main[[#This Row],[Class]]="A",WORKDAY(Main[[#This Row],[Tech Start Date]],5),""))))</f>
        <v/>
      </c>
      <c r="P606" s="73" t="str">
        <f>IF(Main[[#This Row],[Tech Start Date]]&lt;1/1/1990,"",IF(Main[[#This Row],[Class]]="C",WORKDAY(Main[[#This Row],[Tech Start Date]],28),IF(Main[[#This Row],[Class]]="B", WORKDAY(Main[[#This Row],[Tech Start Date]],19),IF(Main[[#This Row],[Class]]="A",WORKDAY(Main[[#This Row],[Tech Start Date]],9),""))))</f>
        <v/>
      </c>
      <c r="Q606" s="85">
        <v>40353</v>
      </c>
      <c r="R606" s="112"/>
      <c r="S606" s="95" t="s">
        <v>6</v>
      </c>
      <c r="T606" s="74" t="s">
        <v>4</v>
      </c>
      <c r="U606" s="95" t="s">
        <v>7</v>
      </c>
      <c r="V606" s="95" t="s">
        <v>1911</v>
      </c>
      <c r="W606" s="95" t="s">
        <v>1913</v>
      </c>
      <c r="X606" s="95" t="s">
        <v>2802</v>
      </c>
      <c r="Y606" s="72" t="s">
        <v>2916</v>
      </c>
      <c r="Z606" s="72" t="s">
        <v>4</v>
      </c>
      <c r="AA606" s="95" t="s">
        <v>2802</v>
      </c>
      <c r="AB606" s="132"/>
      <c r="AC606" s="132"/>
      <c r="AD606" s="132"/>
      <c r="AE606" s="63"/>
      <c r="AF606" s="63"/>
      <c r="AG606" s="63"/>
    </row>
    <row r="607" spans="1:33" ht="17.2" customHeight="1">
      <c r="A607" s="64" t="str">
        <f>IF(priority(Main[[#This Row],[Comments]])&lt;&gt;0, priority(Main[[#This Row],[Comments]]),"")</f>
        <v/>
      </c>
      <c r="B607" s="60" t="s">
        <v>1423</v>
      </c>
      <c r="C607" s="72" t="s">
        <v>4</v>
      </c>
      <c r="D607" s="59" t="s">
        <v>509</v>
      </c>
      <c r="E607" s="85"/>
      <c r="F607" s="85"/>
      <c r="G607" s="64" t="str">
        <f>IF(stdProdLT(Main[[#This Row],[Comments]])=0.1,"N/A",IF(stdProdLT(Main[[#This Row],[Comments]])=0,"",TRIM(stdProdLT(Main[[#This Row],[Comments]]))))</f>
        <v/>
      </c>
      <c r="H607" s="94" t="str">
        <f>IF(OR(Main[[#This Row],[Std. Prod. Lead Time]]="N/A",Main[[#This Row],[Std. Prod. Lead Time]]=""), "",IF(AND(Main[[#This Row],[In Stock Date]]&lt;&gt;"",Main[[#This Row],[Revised Due Date]]&lt;&gt;"",Main[[#This Row],[In Stock Date]]&lt;&gt;""),Main[[#This Row],[In Stock Date]]-Main[[#This Row],[Revised Due Date]],""))</f>
        <v/>
      </c>
      <c r="I607" s="101" t="s">
        <v>4</v>
      </c>
      <c r="J607" s="95" t="s">
        <v>4</v>
      </c>
      <c r="K607" s="95" t="s">
        <v>4</v>
      </c>
      <c r="L607" s="85"/>
      <c r="M607" s="73" t="str">
        <f>IF(Main[[#This Row],[Tech Start Date]]&lt;1/1/1990,"",IF(Main[[#This Row],[Class]]="C",WORKDAY(Main[[#This Row],[Tech Start Date]],9),IF(Main[[#This Row],[Class]]="B", WORKDAY(Main[[#This Row],[Tech Start Date]],6),IF(Main[[#This Row],[Class]]="A",WORKDAY(Main[[#This Row],[Tech Start Date]],2),""))))</f>
        <v/>
      </c>
      <c r="N607" s="73" t="str">
        <f>IF(Main[[#This Row],[Tech Start Date]]&lt;1/1/1990,"",IF(Main[[#This Row],[Class]]="C",WORKDAY(Main[[#This Row],[Tech Start Date]],19),IF(Main[[#This Row],[Class]]="B", WORKDAY(Main[[#This Row],[Tech Start Date]],12),IF(Main[[#This Row],[Class]]="A",WORKDAY(Main[[#This Row],[Tech Start Date]],4),""))))</f>
        <v/>
      </c>
      <c r="O607" s="73" t="str">
        <f>IF(Main[[#This Row],[Tech Start Date]]&lt;1/1/1990,"",IF(Main[[#This Row],[Class]]="C",WORKDAY(Main[[#This Row],[Tech Start Date]],23),IF(Main[[#This Row],[Class]]="B", WORKDAY(Main[[#This Row],[Tech Start Date]],15),IF(Main[[#This Row],[Class]]="A",WORKDAY(Main[[#This Row],[Tech Start Date]],5),""))))</f>
        <v/>
      </c>
      <c r="P607" s="73" t="str">
        <f>IF(Main[[#This Row],[Tech Start Date]]&lt;1/1/1990,"",IF(Main[[#This Row],[Class]]="C",WORKDAY(Main[[#This Row],[Tech Start Date]],28),IF(Main[[#This Row],[Class]]="B", WORKDAY(Main[[#This Row],[Tech Start Date]],19),IF(Main[[#This Row],[Class]]="A",WORKDAY(Main[[#This Row],[Tech Start Date]],9),""))))</f>
        <v/>
      </c>
      <c r="Q607" s="85"/>
      <c r="R607" s="112"/>
      <c r="S607" s="95" t="s">
        <v>4</v>
      </c>
      <c r="T607" s="74" t="s">
        <v>4</v>
      </c>
      <c r="U607" s="95" t="s">
        <v>14</v>
      </c>
      <c r="V607" s="95" t="s">
        <v>1911</v>
      </c>
      <c r="W607" s="95" t="s">
        <v>4</v>
      </c>
      <c r="X607" s="95" t="s">
        <v>2868</v>
      </c>
      <c r="Y607" s="72" t="s">
        <v>3022</v>
      </c>
      <c r="Z607" s="72" t="s">
        <v>4</v>
      </c>
      <c r="AA607" s="95" t="s">
        <v>2868</v>
      </c>
      <c r="AB607" s="132"/>
      <c r="AC607" s="132"/>
      <c r="AD607" s="132"/>
      <c r="AE607" s="63"/>
      <c r="AF607" s="63"/>
      <c r="AG607" s="63"/>
    </row>
    <row r="608" spans="1:33" ht="17.2" customHeight="1">
      <c r="A608" s="64" t="str">
        <f>IF(priority(Main[[#This Row],[Comments]])&lt;&gt;0, priority(Main[[#This Row],[Comments]]),"")</f>
        <v/>
      </c>
      <c r="B608" s="60" t="s">
        <v>1426</v>
      </c>
      <c r="C608" s="72" t="s">
        <v>31</v>
      </c>
      <c r="D608" s="59" t="s">
        <v>510</v>
      </c>
      <c r="E608" s="85"/>
      <c r="F608" s="85"/>
      <c r="G608" s="64" t="str">
        <f>IF(stdProdLT(Main[[#This Row],[Comments]])=0.1,"N/A",IF(stdProdLT(Main[[#This Row],[Comments]])=0,"",TRIM(stdProdLT(Main[[#This Row],[Comments]]))))</f>
        <v/>
      </c>
      <c r="H608" s="94" t="str">
        <f>IF(OR(Main[[#This Row],[Std. Prod. Lead Time]]="N/A",Main[[#This Row],[Std. Prod. Lead Time]]=""), "",IF(AND(Main[[#This Row],[In Stock Date]]&lt;&gt;"",Main[[#This Row],[Revised Due Date]]&lt;&gt;"",Main[[#This Row],[In Stock Date]]&lt;&gt;""),Main[[#This Row],[In Stock Date]]-Main[[#This Row],[Revised Due Date]],""))</f>
        <v/>
      </c>
      <c r="I608" s="101" t="s">
        <v>4</v>
      </c>
      <c r="J608" s="95" t="s">
        <v>4</v>
      </c>
      <c r="K608" s="95" t="s">
        <v>4</v>
      </c>
      <c r="L608" s="85"/>
      <c r="M608" s="73" t="str">
        <f>IF(Main[[#This Row],[Tech Start Date]]&lt;1/1/1990,"",IF(Main[[#This Row],[Class]]="C",WORKDAY(Main[[#This Row],[Tech Start Date]],9),IF(Main[[#This Row],[Class]]="B", WORKDAY(Main[[#This Row],[Tech Start Date]],6),IF(Main[[#This Row],[Class]]="A",WORKDAY(Main[[#This Row],[Tech Start Date]],2),""))))</f>
        <v/>
      </c>
      <c r="N608" s="73" t="str">
        <f>IF(Main[[#This Row],[Tech Start Date]]&lt;1/1/1990,"",IF(Main[[#This Row],[Class]]="C",WORKDAY(Main[[#This Row],[Tech Start Date]],19),IF(Main[[#This Row],[Class]]="B", WORKDAY(Main[[#This Row],[Tech Start Date]],12),IF(Main[[#This Row],[Class]]="A",WORKDAY(Main[[#This Row],[Tech Start Date]],4),""))))</f>
        <v/>
      </c>
      <c r="O608" s="73" t="str">
        <f>IF(Main[[#This Row],[Tech Start Date]]&lt;1/1/1990,"",IF(Main[[#This Row],[Class]]="C",WORKDAY(Main[[#This Row],[Tech Start Date]],23),IF(Main[[#This Row],[Class]]="B", WORKDAY(Main[[#This Row],[Tech Start Date]],15),IF(Main[[#This Row],[Class]]="A",WORKDAY(Main[[#This Row],[Tech Start Date]],5),""))))</f>
        <v/>
      </c>
      <c r="P608" s="73" t="str">
        <f>IF(Main[[#This Row],[Tech Start Date]]&lt;1/1/1990,"",IF(Main[[#This Row],[Class]]="C",WORKDAY(Main[[#This Row],[Tech Start Date]],28),IF(Main[[#This Row],[Class]]="B", WORKDAY(Main[[#This Row],[Tech Start Date]],19),IF(Main[[#This Row],[Class]]="A",WORKDAY(Main[[#This Row],[Tech Start Date]],9),""))))</f>
        <v/>
      </c>
      <c r="Q608" s="85">
        <v>40318</v>
      </c>
      <c r="R608" s="112"/>
      <c r="S608" s="95" t="s">
        <v>11</v>
      </c>
      <c r="T608" s="74" t="s">
        <v>4</v>
      </c>
      <c r="U608" s="95" t="s">
        <v>14</v>
      </c>
      <c r="V608" s="95" t="s">
        <v>1914</v>
      </c>
      <c r="W608" s="95" t="s">
        <v>1922</v>
      </c>
      <c r="X608" s="95" t="s">
        <v>2810</v>
      </c>
      <c r="Y608" s="72" t="s">
        <v>4</v>
      </c>
      <c r="Z608" s="72" t="s">
        <v>4</v>
      </c>
      <c r="AA608" s="95" t="s">
        <v>2810</v>
      </c>
      <c r="AB608" s="132"/>
      <c r="AC608" s="132"/>
      <c r="AD608" s="132"/>
      <c r="AE608" s="63"/>
      <c r="AF608" s="63"/>
      <c r="AG608" s="63"/>
    </row>
    <row r="609" spans="1:33" ht="17.2" customHeight="1">
      <c r="A609" s="64" t="str">
        <f>IF(priority(Main[[#This Row],[Comments]])&lt;&gt;0, priority(Main[[#This Row],[Comments]]),"")</f>
        <v/>
      </c>
      <c r="B609" s="60" t="s">
        <v>1427</v>
      </c>
      <c r="C609" s="72" t="s">
        <v>47</v>
      </c>
      <c r="D609" s="59" t="s">
        <v>511</v>
      </c>
      <c r="E609" s="85"/>
      <c r="F609" s="85"/>
      <c r="G609" s="64" t="str">
        <f>IF(stdProdLT(Main[[#This Row],[Comments]])=0.1,"N/A",IF(stdProdLT(Main[[#This Row],[Comments]])=0,"",TRIM(stdProdLT(Main[[#This Row],[Comments]]))))</f>
        <v/>
      </c>
      <c r="H609" s="94" t="str">
        <f>IF(OR(Main[[#This Row],[Std. Prod. Lead Time]]="N/A",Main[[#This Row],[Std. Prod. Lead Time]]=""), "",IF(AND(Main[[#This Row],[In Stock Date]]&lt;&gt;"",Main[[#This Row],[Revised Due Date]]&lt;&gt;"",Main[[#This Row],[In Stock Date]]&lt;&gt;""),Main[[#This Row],[In Stock Date]]-Main[[#This Row],[Revised Due Date]],""))</f>
        <v/>
      </c>
      <c r="I609" s="101" t="s">
        <v>4</v>
      </c>
      <c r="J609" s="95" t="s">
        <v>4</v>
      </c>
      <c r="K609" s="95" t="s">
        <v>4</v>
      </c>
      <c r="L609" s="85"/>
      <c r="M609" s="73" t="str">
        <f>IF(Main[[#This Row],[Tech Start Date]]&lt;1/1/1990,"",IF(Main[[#This Row],[Class]]="C",WORKDAY(Main[[#This Row],[Tech Start Date]],9),IF(Main[[#This Row],[Class]]="B", WORKDAY(Main[[#This Row],[Tech Start Date]],6),IF(Main[[#This Row],[Class]]="A",WORKDAY(Main[[#This Row],[Tech Start Date]],2),""))))</f>
        <v/>
      </c>
      <c r="N609" s="73" t="str">
        <f>IF(Main[[#This Row],[Tech Start Date]]&lt;1/1/1990,"",IF(Main[[#This Row],[Class]]="C",WORKDAY(Main[[#This Row],[Tech Start Date]],19),IF(Main[[#This Row],[Class]]="B", WORKDAY(Main[[#This Row],[Tech Start Date]],12),IF(Main[[#This Row],[Class]]="A",WORKDAY(Main[[#This Row],[Tech Start Date]],4),""))))</f>
        <v/>
      </c>
      <c r="O609" s="73" t="str">
        <f>IF(Main[[#This Row],[Tech Start Date]]&lt;1/1/1990,"",IF(Main[[#This Row],[Class]]="C",WORKDAY(Main[[#This Row],[Tech Start Date]],23),IF(Main[[#This Row],[Class]]="B", WORKDAY(Main[[#This Row],[Tech Start Date]],15),IF(Main[[#This Row],[Class]]="A",WORKDAY(Main[[#This Row],[Tech Start Date]],5),""))))</f>
        <v/>
      </c>
      <c r="P609" s="73" t="str">
        <f>IF(Main[[#This Row],[Tech Start Date]]&lt;1/1/1990,"",IF(Main[[#This Row],[Class]]="C",WORKDAY(Main[[#This Row],[Tech Start Date]],28),IF(Main[[#This Row],[Class]]="B", WORKDAY(Main[[#This Row],[Tech Start Date]],19),IF(Main[[#This Row],[Class]]="A",WORKDAY(Main[[#This Row],[Tech Start Date]],9),""))))</f>
        <v/>
      </c>
      <c r="Q609" s="85"/>
      <c r="R609" s="112"/>
      <c r="S609" s="95" t="s">
        <v>11</v>
      </c>
      <c r="T609" s="74" t="s">
        <v>4</v>
      </c>
      <c r="U609" s="95" t="s">
        <v>14</v>
      </c>
      <c r="V609" s="95" t="s">
        <v>1912</v>
      </c>
      <c r="W609" s="95" t="s">
        <v>1915</v>
      </c>
      <c r="X609" s="95" t="s">
        <v>306</v>
      </c>
      <c r="Y609" s="72" t="s">
        <v>2919</v>
      </c>
      <c r="Z609" s="72" t="s">
        <v>4</v>
      </c>
      <c r="AA609" s="95" t="s">
        <v>3337</v>
      </c>
      <c r="AB609" s="132"/>
      <c r="AC609" s="132"/>
      <c r="AD609" s="132"/>
      <c r="AE609" s="63"/>
      <c r="AF609" s="63"/>
      <c r="AG609" s="63"/>
    </row>
    <row r="610" spans="1:33" ht="17.2" customHeight="1">
      <c r="A610" s="64" t="str">
        <f>IF(priority(Main[[#This Row],[Comments]])&lt;&gt;0, priority(Main[[#This Row],[Comments]]),"")</f>
        <v/>
      </c>
      <c r="B610" s="60" t="s">
        <v>1428</v>
      </c>
      <c r="C610" s="72" t="s">
        <v>4</v>
      </c>
      <c r="D610" s="59" t="s">
        <v>512</v>
      </c>
      <c r="E610" s="85">
        <v>40465.986851851849</v>
      </c>
      <c r="F610" s="85"/>
      <c r="G610" s="64" t="str">
        <f>IF(stdProdLT(Main[[#This Row],[Comments]])=0.1,"N/A",IF(stdProdLT(Main[[#This Row],[Comments]])=0,"",TRIM(stdProdLT(Main[[#This Row],[Comments]]))))</f>
        <v/>
      </c>
      <c r="H610" s="94" t="str">
        <f>IF(OR(Main[[#This Row],[Std. Prod. Lead Time]]="N/A",Main[[#This Row],[Std. Prod. Lead Time]]=""), "",IF(AND(Main[[#This Row],[In Stock Date]]&lt;&gt;"",Main[[#This Row],[Revised Due Date]]&lt;&gt;"",Main[[#This Row],[In Stock Date]]&lt;&gt;""),Main[[#This Row],[In Stock Date]]-Main[[#This Row],[Revised Due Date]],""))</f>
        <v/>
      </c>
      <c r="I610" s="101" t="s">
        <v>4</v>
      </c>
      <c r="J610" s="95" t="s">
        <v>28</v>
      </c>
      <c r="K610" s="95" t="s">
        <v>4</v>
      </c>
      <c r="L610" s="85"/>
      <c r="M610" s="73" t="str">
        <f>IF(Main[[#This Row],[Tech Start Date]]&lt;1/1/1990,"",IF(Main[[#This Row],[Class]]="C",WORKDAY(Main[[#This Row],[Tech Start Date]],9),IF(Main[[#This Row],[Class]]="B", WORKDAY(Main[[#This Row],[Tech Start Date]],6),IF(Main[[#This Row],[Class]]="A",WORKDAY(Main[[#This Row],[Tech Start Date]],2),""))))</f>
        <v/>
      </c>
      <c r="N610" s="73" t="str">
        <f>IF(Main[[#This Row],[Tech Start Date]]&lt;1/1/1990,"",IF(Main[[#This Row],[Class]]="C",WORKDAY(Main[[#This Row],[Tech Start Date]],19),IF(Main[[#This Row],[Class]]="B", WORKDAY(Main[[#This Row],[Tech Start Date]],12),IF(Main[[#This Row],[Class]]="A",WORKDAY(Main[[#This Row],[Tech Start Date]],4),""))))</f>
        <v/>
      </c>
      <c r="O610" s="73" t="str">
        <f>IF(Main[[#This Row],[Tech Start Date]]&lt;1/1/1990,"",IF(Main[[#This Row],[Class]]="C",WORKDAY(Main[[#This Row],[Tech Start Date]],23),IF(Main[[#This Row],[Class]]="B", WORKDAY(Main[[#This Row],[Tech Start Date]],15),IF(Main[[#This Row],[Class]]="A",WORKDAY(Main[[#This Row],[Tech Start Date]],5),""))))</f>
        <v/>
      </c>
      <c r="P610" s="73" t="str">
        <f>IF(Main[[#This Row],[Tech Start Date]]&lt;1/1/1990,"",IF(Main[[#This Row],[Class]]="C",WORKDAY(Main[[#This Row],[Tech Start Date]],28),IF(Main[[#This Row],[Class]]="B", WORKDAY(Main[[#This Row],[Tech Start Date]],19),IF(Main[[#This Row],[Class]]="A",WORKDAY(Main[[#This Row],[Tech Start Date]],9),""))))</f>
        <v/>
      </c>
      <c r="Q610" s="85"/>
      <c r="R610" s="112"/>
      <c r="S610" s="95" t="s">
        <v>6</v>
      </c>
      <c r="T610" s="74" t="s">
        <v>4</v>
      </c>
      <c r="U610" s="95" t="s">
        <v>7</v>
      </c>
      <c r="V610" s="95" t="s">
        <v>1911</v>
      </c>
      <c r="W610" s="95" t="s">
        <v>1915</v>
      </c>
      <c r="X610" s="95" t="s">
        <v>2846</v>
      </c>
      <c r="Y610" s="72" t="s">
        <v>2978</v>
      </c>
      <c r="Z610" s="72" t="s">
        <v>129</v>
      </c>
      <c r="AA610" s="95" t="s">
        <v>2846</v>
      </c>
      <c r="AB610" s="132"/>
      <c r="AC610" s="132"/>
      <c r="AD610" s="132"/>
      <c r="AE610" s="63"/>
      <c r="AF610" s="63"/>
      <c r="AG610" s="63"/>
    </row>
    <row r="611" spans="1:33" ht="17.2" customHeight="1">
      <c r="A611" s="64" t="str">
        <f>IF(priority(Main[[#This Row],[Comments]])&lt;&gt;0, priority(Main[[#This Row],[Comments]]),"")</f>
        <v/>
      </c>
      <c r="B611" s="60" t="s">
        <v>1253</v>
      </c>
      <c r="C611" s="72" t="s">
        <v>4</v>
      </c>
      <c r="D611" s="59" t="s">
        <v>319</v>
      </c>
      <c r="E611" s="85">
        <v>40014.430787037039</v>
      </c>
      <c r="F611" s="85"/>
      <c r="G611" s="64" t="str">
        <f>IF(stdProdLT(Main[[#This Row],[Comments]])=0.1,"N/A",IF(stdProdLT(Main[[#This Row],[Comments]])=0,"",TRIM(stdProdLT(Main[[#This Row],[Comments]]))))</f>
        <v/>
      </c>
      <c r="H611" s="94" t="str">
        <f>IF(OR(Main[[#This Row],[Std. Prod. Lead Time]]="N/A",Main[[#This Row],[Std. Prod. Lead Time]]=""), "",IF(AND(Main[[#This Row],[In Stock Date]]&lt;&gt;"",Main[[#This Row],[Revised Due Date]]&lt;&gt;"",Main[[#This Row],[In Stock Date]]&lt;&gt;""),Main[[#This Row],[In Stock Date]]-Main[[#This Row],[Revised Due Date]],""))</f>
        <v/>
      </c>
      <c r="I611" s="101" t="s">
        <v>2007</v>
      </c>
      <c r="J611" s="95" t="s">
        <v>28</v>
      </c>
      <c r="K611" s="95" t="s">
        <v>4</v>
      </c>
      <c r="L611" s="85"/>
      <c r="M611" s="73" t="str">
        <f>IF(Main[[#This Row],[Tech Start Date]]&lt;1/1/1990,"",IF(Main[[#This Row],[Class]]="C",WORKDAY(Main[[#This Row],[Tech Start Date]],9),IF(Main[[#This Row],[Class]]="B", WORKDAY(Main[[#This Row],[Tech Start Date]],6),IF(Main[[#This Row],[Class]]="A",WORKDAY(Main[[#This Row],[Tech Start Date]],2),""))))</f>
        <v/>
      </c>
      <c r="N611" s="73" t="str">
        <f>IF(Main[[#This Row],[Tech Start Date]]&lt;1/1/1990,"",IF(Main[[#This Row],[Class]]="C",WORKDAY(Main[[#This Row],[Tech Start Date]],19),IF(Main[[#This Row],[Class]]="B", WORKDAY(Main[[#This Row],[Tech Start Date]],12),IF(Main[[#This Row],[Class]]="A",WORKDAY(Main[[#This Row],[Tech Start Date]],4),""))))</f>
        <v/>
      </c>
      <c r="O611" s="73" t="str">
        <f>IF(Main[[#This Row],[Tech Start Date]]&lt;1/1/1990,"",IF(Main[[#This Row],[Class]]="C",WORKDAY(Main[[#This Row],[Tech Start Date]],23),IF(Main[[#This Row],[Class]]="B", WORKDAY(Main[[#This Row],[Tech Start Date]],15),IF(Main[[#This Row],[Class]]="A",WORKDAY(Main[[#This Row],[Tech Start Date]],5),""))))</f>
        <v/>
      </c>
      <c r="P611" s="73" t="str">
        <f>IF(Main[[#This Row],[Tech Start Date]]&lt;1/1/1990,"",IF(Main[[#This Row],[Class]]="C",WORKDAY(Main[[#This Row],[Tech Start Date]],28),IF(Main[[#This Row],[Class]]="B", WORKDAY(Main[[#This Row],[Tech Start Date]],19),IF(Main[[#This Row],[Class]]="A",WORKDAY(Main[[#This Row],[Tech Start Date]],9),""))))</f>
        <v/>
      </c>
      <c r="Q611" s="85">
        <v>40237</v>
      </c>
      <c r="R611" s="112"/>
      <c r="S611" s="95" t="s">
        <v>17</v>
      </c>
      <c r="T611" s="74" t="s">
        <v>4</v>
      </c>
      <c r="U611" s="95" t="s">
        <v>7</v>
      </c>
      <c r="V611" s="95" t="s">
        <v>1926</v>
      </c>
      <c r="W611" s="95" t="s">
        <v>1919</v>
      </c>
      <c r="X611" s="95" t="s">
        <v>2842</v>
      </c>
      <c r="Y611" s="72" t="s">
        <v>3023</v>
      </c>
      <c r="Z611" s="72" t="s">
        <v>2205</v>
      </c>
      <c r="AA611" s="95" t="s">
        <v>2007</v>
      </c>
      <c r="AB611" s="132"/>
      <c r="AC611" s="132"/>
      <c r="AD611" s="132"/>
      <c r="AE611" s="63"/>
      <c r="AF611" s="63"/>
      <c r="AG611" s="63"/>
    </row>
    <row r="612" spans="1:33" ht="17.2" customHeight="1">
      <c r="A612" s="64" t="str">
        <f>IF(priority(Main[[#This Row],[Comments]])&lt;&gt;0, priority(Main[[#This Row],[Comments]]),"")</f>
        <v/>
      </c>
      <c r="B612" s="60" t="s">
        <v>1429</v>
      </c>
      <c r="C612" s="72" t="s">
        <v>72</v>
      </c>
      <c r="D612" s="59" t="s">
        <v>513</v>
      </c>
      <c r="E612" s="85"/>
      <c r="F612" s="85">
        <v>40544</v>
      </c>
      <c r="G612" s="64" t="str">
        <f>IF(stdProdLT(Main[[#This Row],[Comments]])=0.1,"N/A",IF(stdProdLT(Main[[#This Row],[Comments]])=0,"",TRIM(stdProdLT(Main[[#This Row],[Comments]]))))</f>
        <v/>
      </c>
      <c r="H612" s="94" t="str">
        <f>IF(OR(Main[[#This Row],[Std. Prod. Lead Time]]="N/A",Main[[#This Row],[Std. Prod. Lead Time]]=""), "",IF(AND(Main[[#This Row],[In Stock Date]]&lt;&gt;"",Main[[#This Row],[Revised Due Date]]&lt;&gt;"",Main[[#This Row],[In Stock Date]]&lt;&gt;""),Main[[#This Row],[In Stock Date]]-Main[[#This Row],[Revised Due Date]],""))</f>
        <v/>
      </c>
      <c r="I612" s="101" t="s">
        <v>4</v>
      </c>
      <c r="J612" s="95" t="s">
        <v>4</v>
      </c>
      <c r="K612" s="95" t="s">
        <v>4</v>
      </c>
      <c r="L612" s="85"/>
      <c r="M612" s="73" t="str">
        <f>IF(Main[[#This Row],[Tech Start Date]]&lt;1/1/1990,"",IF(Main[[#This Row],[Class]]="C",WORKDAY(Main[[#This Row],[Tech Start Date]],9),IF(Main[[#This Row],[Class]]="B", WORKDAY(Main[[#This Row],[Tech Start Date]],6),IF(Main[[#This Row],[Class]]="A",WORKDAY(Main[[#This Row],[Tech Start Date]],2),""))))</f>
        <v/>
      </c>
      <c r="N612" s="73" t="str">
        <f>IF(Main[[#This Row],[Tech Start Date]]&lt;1/1/1990,"",IF(Main[[#This Row],[Class]]="C",WORKDAY(Main[[#This Row],[Tech Start Date]],19),IF(Main[[#This Row],[Class]]="B", WORKDAY(Main[[#This Row],[Tech Start Date]],12),IF(Main[[#This Row],[Class]]="A",WORKDAY(Main[[#This Row],[Tech Start Date]],4),""))))</f>
        <v/>
      </c>
      <c r="O612" s="73" t="str">
        <f>IF(Main[[#This Row],[Tech Start Date]]&lt;1/1/1990,"",IF(Main[[#This Row],[Class]]="C",WORKDAY(Main[[#This Row],[Tech Start Date]],23),IF(Main[[#This Row],[Class]]="B", WORKDAY(Main[[#This Row],[Tech Start Date]],15),IF(Main[[#This Row],[Class]]="A",WORKDAY(Main[[#This Row],[Tech Start Date]],5),""))))</f>
        <v/>
      </c>
      <c r="P612" s="73" t="str">
        <f>IF(Main[[#This Row],[Tech Start Date]]&lt;1/1/1990,"",IF(Main[[#This Row],[Class]]="C",WORKDAY(Main[[#This Row],[Tech Start Date]],28),IF(Main[[#This Row],[Class]]="B", WORKDAY(Main[[#This Row],[Tech Start Date]],19),IF(Main[[#This Row],[Class]]="A",WORKDAY(Main[[#This Row],[Tech Start Date]],9),""))))</f>
        <v/>
      </c>
      <c r="Q612" s="85"/>
      <c r="R612" s="112"/>
      <c r="S612" s="95" t="s">
        <v>11</v>
      </c>
      <c r="T612" s="74" t="s">
        <v>4</v>
      </c>
      <c r="U612" s="95" t="s">
        <v>14</v>
      </c>
      <c r="V612" s="95" t="s">
        <v>1914</v>
      </c>
      <c r="W612" s="95" t="s">
        <v>1919</v>
      </c>
      <c r="X612" s="95" t="s">
        <v>2827</v>
      </c>
      <c r="Y612" s="72" t="s">
        <v>2956</v>
      </c>
      <c r="Z612" s="72" t="s">
        <v>4</v>
      </c>
      <c r="AA612" s="95" t="s">
        <v>2827</v>
      </c>
      <c r="AB612" s="132"/>
      <c r="AC612" s="132"/>
      <c r="AD612" s="132"/>
      <c r="AE612" s="63"/>
      <c r="AF612" s="63"/>
      <c r="AG612" s="63"/>
    </row>
    <row r="613" spans="1:33" ht="17.2" customHeight="1">
      <c r="A613" s="64" t="str">
        <f>IF(priority(Main[[#This Row],[Comments]])&lt;&gt;0, priority(Main[[#This Row],[Comments]]),"")</f>
        <v/>
      </c>
      <c r="B613" s="60" t="s">
        <v>1637</v>
      </c>
      <c r="C613" s="72" t="s">
        <v>4</v>
      </c>
      <c r="D613" s="59" t="s">
        <v>1987</v>
      </c>
      <c r="E613" s="85"/>
      <c r="F613" s="85"/>
      <c r="G613" s="64" t="str">
        <f>IF(stdProdLT(Main[[#This Row],[Comments]])=0.1,"N/A",IF(stdProdLT(Main[[#This Row],[Comments]])=0,"",TRIM(stdProdLT(Main[[#This Row],[Comments]]))))</f>
        <v/>
      </c>
      <c r="H613" s="94" t="str">
        <f>IF(OR(Main[[#This Row],[Std. Prod. Lead Time]]="N/A",Main[[#This Row],[Std. Prod. Lead Time]]=""), "",IF(AND(Main[[#This Row],[In Stock Date]]&lt;&gt;"",Main[[#This Row],[Revised Due Date]]&lt;&gt;"",Main[[#This Row],[In Stock Date]]&lt;&gt;""),Main[[#This Row],[In Stock Date]]-Main[[#This Row],[Revised Due Date]],""))</f>
        <v/>
      </c>
      <c r="I613" s="101" t="s">
        <v>44</v>
      </c>
      <c r="J613" s="95" t="s">
        <v>28</v>
      </c>
      <c r="K613" s="96" t="s">
        <v>1920</v>
      </c>
      <c r="L613" s="85"/>
      <c r="M613" s="73" t="str">
        <f>IF(Main[[#This Row],[Tech Start Date]]&lt;1/1/1990,"",IF(Main[[#This Row],[Class]]="C",WORKDAY(Main[[#This Row],[Tech Start Date]],9),IF(Main[[#This Row],[Class]]="B", WORKDAY(Main[[#This Row],[Tech Start Date]],6),IF(Main[[#This Row],[Class]]="A",WORKDAY(Main[[#This Row],[Tech Start Date]],2),""))))</f>
        <v/>
      </c>
      <c r="N613" s="73" t="str">
        <f>IF(Main[[#This Row],[Tech Start Date]]&lt;1/1/1990,"",IF(Main[[#This Row],[Class]]="C",WORKDAY(Main[[#This Row],[Tech Start Date]],19),IF(Main[[#This Row],[Class]]="B", WORKDAY(Main[[#This Row],[Tech Start Date]],12),IF(Main[[#This Row],[Class]]="A",WORKDAY(Main[[#This Row],[Tech Start Date]],4),""))))</f>
        <v/>
      </c>
      <c r="O613" s="73" t="str">
        <f>IF(Main[[#This Row],[Tech Start Date]]&lt;1/1/1990,"",IF(Main[[#This Row],[Class]]="C",WORKDAY(Main[[#This Row],[Tech Start Date]],23),IF(Main[[#This Row],[Class]]="B", WORKDAY(Main[[#This Row],[Tech Start Date]],15),IF(Main[[#This Row],[Class]]="A",WORKDAY(Main[[#This Row],[Tech Start Date]],5),""))))</f>
        <v/>
      </c>
      <c r="P613" s="73" t="str">
        <f>IF(Main[[#This Row],[Tech Start Date]]&lt;1/1/1990,"",IF(Main[[#This Row],[Class]]="C",WORKDAY(Main[[#This Row],[Tech Start Date]],28),IF(Main[[#This Row],[Class]]="B", WORKDAY(Main[[#This Row],[Tech Start Date]],19),IF(Main[[#This Row],[Class]]="A",WORKDAY(Main[[#This Row],[Tech Start Date]],9),""))))</f>
        <v/>
      </c>
      <c r="Q613" s="85">
        <v>40755</v>
      </c>
      <c r="R613" s="112"/>
      <c r="S613" s="95" t="s">
        <v>6</v>
      </c>
      <c r="T613" s="74" t="s">
        <v>4</v>
      </c>
      <c r="U613" s="95" t="s">
        <v>14</v>
      </c>
      <c r="V613" s="95" t="s">
        <v>1914</v>
      </c>
      <c r="W613" s="95" t="s">
        <v>1915</v>
      </c>
      <c r="X613" s="95" t="s">
        <v>30</v>
      </c>
      <c r="Y613" s="72" t="s">
        <v>3024</v>
      </c>
      <c r="Z613" s="72" t="s">
        <v>44</v>
      </c>
      <c r="AA613" s="95" t="s">
        <v>3375</v>
      </c>
      <c r="AB613" s="132"/>
      <c r="AC613" s="132"/>
      <c r="AD613" s="132"/>
      <c r="AE613" s="63"/>
      <c r="AF613" s="63"/>
      <c r="AG613" s="63"/>
    </row>
    <row r="614" spans="1:33" ht="17.2" customHeight="1">
      <c r="A614" s="64" t="str">
        <f>IF(priority(Main[[#This Row],[Comments]])&lt;&gt;0, priority(Main[[#This Row],[Comments]]),"")</f>
        <v/>
      </c>
      <c r="B614" s="60" t="s">
        <v>1430</v>
      </c>
      <c r="C614" s="72" t="s">
        <v>4</v>
      </c>
      <c r="D614" s="59" t="s">
        <v>97</v>
      </c>
      <c r="E614" s="85"/>
      <c r="F614" s="85"/>
      <c r="G614" s="64" t="str">
        <f>IF(stdProdLT(Main[[#This Row],[Comments]])=0.1,"N/A",IF(stdProdLT(Main[[#This Row],[Comments]])=0,"",TRIM(stdProdLT(Main[[#This Row],[Comments]]))))</f>
        <v/>
      </c>
      <c r="H614" s="94" t="str">
        <f>IF(OR(Main[[#This Row],[Std. Prod. Lead Time]]="N/A",Main[[#This Row],[Std. Prod. Lead Time]]=""), "",IF(AND(Main[[#This Row],[In Stock Date]]&lt;&gt;"",Main[[#This Row],[Revised Due Date]]&lt;&gt;"",Main[[#This Row],[In Stock Date]]&lt;&gt;""),Main[[#This Row],[In Stock Date]]-Main[[#This Row],[Revised Due Date]],""))</f>
        <v/>
      </c>
      <c r="I614" s="101" t="s">
        <v>4</v>
      </c>
      <c r="J614" s="95" t="s">
        <v>4</v>
      </c>
      <c r="K614" s="96" t="s">
        <v>4</v>
      </c>
      <c r="L614" s="85"/>
      <c r="M614" s="73" t="str">
        <f>IF(Main[[#This Row],[Tech Start Date]]&lt;1/1/1990,"",IF(Main[[#This Row],[Class]]="C",WORKDAY(Main[[#This Row],[Tech Start Date]],9),IF(Main[[#This Row],[Class]]="B", WORKDAY(Main[[#This Row],[Tech Start Date]],6),IF(Main[[#This Row],[Class]]="A",WORKDAY(Main[[#This Row],[Tech Start Date]],2),""))))</f>
        <v/>
      </c>
      <c r="N614" s="73" t="str">
        <f>IF(Main[[#This Row],[Tech Start Date]]&lt;1/1/1990,"",IF(Main[[#This Row],[Class]]="C",WORKDAY(Main[[#This Row],[Tech Start Date]],19),IF(Main[[#This Row],[Class]]="B", WORKDAY(Main[[#This Row],[Tech Start Date]],12),IF(Main[[#This Row],[Class]]="A",WORKDAY(Main[[#This Row],[Tech Start Date]],4),""))))</f>
        <v/>
      </c>
      <c r="O614" s="73" t="str">
        <f>IF(Main[[#This Row],[Tech Start Date]]&lt;1/1/1990,"",IF(Main[[#This Row],[Class]]="C",WORKDAY(Main[[#This Row],[Tech Start Date]],23),IF(Main[[#This Row],[Class]]="B", WORKDAY(Main[[#This Row],[Tech Start Date]],15),IF(Main[[#This Row],[Class]]="A",WORKDAY(Main[[#This Row],[Tech Start Date]],5),""))))</f>
        <v/>
      </c>
      <c r="P614" s="73" t="str">
        <f>IF(Main[[#This Row],[Tech Start Date]]&lt;1/1/1990,"",IF(Main[[#This Row],[Class]]="C",WORKDAY(Main[[#This Row],[Tech Start Date]],28),IF(Main[[#This Row],[Class]]="B", WORKDAY(Main[[#This Row],[Tech Start Date]],19),IF(Main[[#This Row],[Class]]="A",WORKDAY(Main[[#This Row],[Tech Start Date]],9),""))))</f>
        <v/>
      </c>
      <c r="Q614" s="85">
        <v>40858</v>
      </c>
      <c r="R614" s="112"/>
      <c r="S614" s="95" t="s">
        <v>17</v>
      </c>
      <c r="T614" s="74" t="s">
        <v>4</v>
      </c>
      <c r="U614" s="95" t="s">
        <v>14</v>
      </c>
      <c r="V614" s="95" t="s">
        <v>1911</v>
      </c>
      <c r="W614" s="95" t="s">
        <v>1916</v>
      </c>
      <c r="X614" s="95" t="s">
        <v>50</v>
      </c>
      <c r="Y614" s="72" t="s">
        <v>2937</v>
      </c>
      <c r="Z614" s="72" t="s">
        <v>4</v>
      </c>
      <c r="AA614" s="95" t="s">
        <v>2808</v>
      </c>
      <c r="AB614" s="132"/>
      <c r="AC614" s="132"/>
      <c r="AD614" s="132"/>
      <c r="AE614" s="63"/>
      <c r="AF614" s="63"/>
      <c r="AG614" s="63"/>
    </row>
    <row r="615" spans="1:33" ht="17.2" customHeight="1">
      <c r="A615" s="64" t="str">
        <f>IF(priority(Main[[#This Row],[Comments]])&lt;&gt;0, priority(Main[[#This Row],[Comments]]),"")</f>
        <v/>
      </c>
      <c r="B615" s="60" t="s">
        <v>1431</v>
      </c>
      <c r="C615" s="72" t="s">
        <v>47</v>
      </c>
      <c r="D615" s="59" t="s">
        <v>517</v>
      </c>
      <c r="E615" s="85"/>
      <c r="F615" s="85"/>
      <c r="G615" s="64" t="str">
        <f>IF(stdProdLT(Main[[#This Row],[Comments]])=0.1,"N/A",IF(stdProdLT(Main[[#This Row],[Comments]])=0,"",TRIM(stdProdLT(Main[[#This Row],[Comments]]))))</f>
        <v/>
      </c>
      <c r="H615" s="94" t="str">
        <f>IF(OR(Main[[#This Row],[Std. Prod. Lead Time]]="N/A",Main[[#This Row],[Std. Prod. Lead Time]]=""), "",IF(AND(Main[[#This Row],[In Stock Date]]&lt;&gt;"",Main[[#This Row],[Revised Due Date]]&lt;&gt;"",Main[[#This Row],[In Stock Date]]&lt;&gt;""),Main[[#This Row],[In Stock Date]]-Main[[#This Row],[Revised Due Date]],""))</f>
        <v/>
      </c>
      <c r="I615" s="101" t="s">
        <v>4</v>
      </c>
      <c r="J615" s="95" t="s">
        <v>4</v>
      </c>
      <c r="K615" s="96" t="s">
        <v>4</v>
      </c>
      <c r="L615" s="85"/>
      <c r="M615" s="73" t="str">
        <f>IF(Main[[#This Row],[Tech Start Date]]&lt;1/1/1990,"",IF(Main[[#This Row],[Class]]="C",WORKDAY(Main[[#This Row],[Tech Start Date]],9),IF(Main[[#This Row],[Class]]="B", WORKDAY(Main[[#This Row],[Tech Start Date]],6),IF(Main[[#This Row],[Class]]="A",WORKDAY(Main[[#This Row],[Tech Start Date]],2),""))))</f>
        <v/>
      </c>
      <c r="N615" s="73" t="str">
        <f>IF(Main[[#This Row],[Tech Start Date]]&lt;1/1/1990,"",IF(Main[[#This Row],[Class]]="C",WORKDAY(Main[[#This Row],[Tech Start Date]],19),IF(Main[[#This Row],[Class]]="B", WORKDAY(Main[[#This Row],[Tech Start Date]],12),IF(Main[[#This Row],[Class]]="A",WORKDAY(Main[[#This Row],[Tech Start Date]],4),""))))</f>
        <v/>
      </c>
      <c r="O615" s="73" t="str">
        <f>IF(Main[[#This Row],[Tech Start Date]]&lt;1/1/1990,"",IF(Main[[#This Row],[Class]]="C",WORKDAY(Main[[#This Row],[Tech Start Date]],23),IF(Main[[#This Row],[Class]]="B", WORKDAY(Main[[#This Row],[Tech Start Date]],15),IF(Main[[#This Row],[Class]]="A",WORKDAY(Main[[#This Row],[Tech Start Date]],5),""))))</f>
        <v/>
      </c>
      <c r="P615" s="73" t="str">
        <f>IF(Main[[#This Row],[Tech Start Date]]&lt;1/1/1990,"",IF(Main[[#This Row],[Class]]="C",WORKDAY(Main[[#This Row],[Tech Start Date]],28),IF(Main[[#This Row],[Class]]="B", WORKDAY(Main[[#This Row],[Tech Start Date]],19),IF(Main[[#This Row],[Class]]="A",WORKDAY(Main[[#This Row],[Tech Start Date]],9),""))))</f>
        <v/>
      </c>
      <c r="Q615" s="85"/>
      <c r="R615" s="112"/>
      <c r="S615" s="95" t="s">
        <v>49</v>
      </c>
      <c r="T615" s="74" t="s">
        <v>4</v>
      </c>
      <c r="U615" s="95" t="s">
        <v>14</v>
      </c>
      <c r="V615" s="95" t="s">
        <v>1914</v>
      </c>
      <c r="W615" s="95" t="s">
        <v>1915</v>
      </c>
      <c r="X615" s="95" t="s">
        <v>306</v>
      </c>
      <c r="Y615" s="72" t="s">
        <v>4</v>
      </c>
      <c r="Z615" s="72" t="s">
        <v>4</v>
      </c>
      <c r="AA615" s="95" t="s">
        <v>4</v>
      </c>
      <c r="AB615" s="132"/>
      <c r="AC615" s="132"/>
      <c r="AD615" s="132"/>
      <c r="AE615" s="63"/>
      <c r="AF615" s="63"/>
      <c r="AG615" s="63"/>
    </row>
    <row r="616" spans="1:33" ht="17.2" customHeight="1">
      <c r="A616" s="64" t="str">
        <f>IF(priority(Main[[#This Row],[Comments]])&lt;&gt;0, priority(Main[[#This Row],[Comments]]),"")</f>
        <v/>
      </c>
      <c r="B616" s="60" t="s">
        <v>1432</v>
      </c>
      <c r="C616" s="72" t="s">
        <v>518</v>
      </c>
      <c r="D616" s="59" t="s">
        <v>519</v>
      </c>
      <c r="E616" s="85"/>
      <c r="F616" s="85">
        <v>40548</v>
      </c>
      <c r="G616" s="64" t="str">
        <f>IF(stdProdLT(Main[[#This Row],[Comments]])=0.1,"N/A",IF(stdProdLT(Main[[#This Row],[Comments]])=0,"",TRIM(stdProdLT(Main[[#This Row],[Comments]]))))</f>
        <v/>
      </c>
      <c r="H616" s="94" t="str">
        <f>IF(OR(Main[[#This Row],[Std. Prod. Lead Time]]="N/A",Main[[#This Row],[Std. Prod. Lead Time]]=""), "",IF(AND(Main[[#This Row],[In Stock Date]]&lt;&gt;"",Main[[#This Row],[Revised Due Date]]&lt;&gt;"",Main[[#This Row],[In Stock Date]]&lt;&gt;""),Main[[#This Row],[In Stock Date]]-Main[[#This Row],[Revised Due Date]],""))</f>
        <v/>
      </c>
      <c r="I616" s="101" t="s">
        <v>4</v>
      </c>
      <c r="J616" s="95" t="s">
        <v>4</v>
      </c>
      <c r="K616" s="95" t="s">
        <v>1923</v>
      </c>
      <c r="L616" s="85"/>
      <c r="M616" s="73" t="str">
        <f>IF(Main[[#This Row],[Tech Start Date]]&lt;1/1/1990,"",IF(Main[[#This Row],[Class]]="C",WORKDAY(Main[[#This Row],[Tech Start Date]],9),IF(Main[[#This Row],[Class]]="B", WORKDAY(Main[[#This Row],[Tech Start Date]],6),IF(Main[[#This Row],[Class]]="A",WORKDAY(Main[[#This Row],[Tech Start Date]],2),""))))</f>
        <v/>
      </c>
      <c r="N616" s="73" t="str">
        <f>IF(Main[[#This Row],[Tech Start Date]]&lt;1/1/1990,"",IF(Main[[#This Row],[Class]]="C",WORKDAY(Main[[#This Row],[Tech Start Date]],19),IF(Main[[#This Row],[Class]]="B", WORKDAY(Main[[#This Row],[Tech Start Date]],12),IF(Main[[#This Row],[Class]]="A",WORKDAY(Main[[#This Row],[Tech Start Date]],4),""))))</f>
        <v/>
      </c>
      <c r="O616" s="73" t="str">
        <f>IF(Main[[#This Row],[Tech Start Date]]&lt;1/1/1990,"",IF(Main[[#This Row],[Class]]="C",WORKDAY(Main[[#This Row],[Tech Start Date]],23),IF(Main[[#This Row],[Class]]="B", WORKDAY(Main[[#This Row],[Tech Start Date]],15),IF(Main[[#This Row],[Class]]="A",WORKDAY(Main[[#This Row],[Tech Start Date]],5),""))))</f>
        <v/>
      </c>
      <c r="P616" s="73" t="str">
        <f>IF(Main[[#This Row],[Tech Start Date]]&lt;1/1/1990,"",IF(Main[[#This Row],[Class]]="C",WORKDAY(Main[[#This Row],[Tech Start Date]],28),IF(Main[[#This Row],[Class]]="B", WORKDAY(Main[[#This Row],[Tech Start Date]],19),IF(Main[[#This Row],[Class]]="A",WORKDAY(Main[[#This Row],[Tech Start Date]],9),""))))</f>
        <v/>
      </c>
      <c r="Q616" s="85"/>
      <c r="R616" s="112"/>
      <c r="S616" s="95" t="s">
        <v>11</v>
      </c>
      <c r="T616" s="74" t="s">
        <v>4</v>
      </c>
      <c r="U616" s="95" t="s">
        <v>14</v>
      </c>
      <c r="V616" s="95" t="s">
        <v>1912</v>
      </c>
      <c r="W616" s="95" t="s">
        <v>1916</v>
      </c>
      <c r="X616" s="95" t="s">
        <v>2869</v>
      </c>
      <c r="Y616" s="72" t="s">
        <v>4</v>
      </c>
      <c r="Z616" s="72" t="s">
        <v>4</v>
      </c>
      <c r="AA616" s="95" t="s">
        <v>4</v>
      </c>
      <c r="AB616" s="132"/>
      <c r="AC616" s="132"/>
      <c r="AD616" s="132"/>
      <c r="AE616" s="63"/>
      <c r="AF616" s="63"/>
      <c r="AG616" s="63"/>
    </row>
    <row r="617" spans="1:33" ht="17.2" customHeight="1">
      <c r="A617" s="64" t="str">
        <f>IF(priority(Main[[#This Row],[Comments]])&lt;&gt;0, priority(Main[[#This Row],[Comments]]),"")</f>
        <v/>
      </c>
      <c r="B617" s="60" t="s">
        <v>1433</v>
      </c>
      <c r="C617" s="72" t="s">
        <v>122</v>
      </c>
      <c r="D617" s="59" t="s">
        <v>520</v>
      </c>
      <c r="E617" s="85"/>
      <c r="F617" s="85"/>
      <c r="G617" s="64" t="str">
        <f>IF(stdProdLT(Main[[#This Row],[Comments]])=0.1,"N/A",IF(stdProdLT(Main[[#This Row],[Comments]])=0,"",TRIM(stdProdLT(Main[[#This Row],[Comments]]))))</f>
        <v/>
      </c>
      <c r="H617" s="94" t="str">
        <f>IF(OR(Main[[#This Row],[Std. Prod. Lead Time]]="N/A",Main[[#This Row],[Std. Prod. Lead Time]]=""), "",IF(AND(Main[[#This Row],[In Stock Date]]&lt;&gt;"",Main[[#This Row],[Revised Due Date]]&lt;&gt;"",Main[[#This Row],[In Stock Date]]&lt;&gt;""),Main[[#This Row],[In Stock Date]]-Main[[#This Row],[Revised Due Date]],""))</f>
        <v/>
      </c>
      <c r="I617" s="101" t="s">
        <v>4</v>
      </c>
      <c r="J617" s="95" t="s">
        <v>4</v>
      </c>
      <c r="K617" s="95" t="s">
        <v>4</v>
      </c>
      <c r="L617" s="85"/>
      <c r="M617" s="73" t="str">
        <f>IF(Main[[#This Row],[Tech Start Date]]&lt;1/1/1990,"",IF(Main[[#This Row],[Class]]="C",WORKDAY(Main[[#This Row],[Tech Start Date]],9),IF(Main[[#This Row],[Class]]="B", WORKDAY(Main[[#This Row],[Tech Start Date]],6),IF(Main[[#This Row],[Class]]="A",WORKDAY(Main[[#This Row],[Tech Start Date]],2),""))))</f>
        <v/>
      </c>
      <c r="N617" s="73" t="str">
        <f>IF(Main[[#This Row],[Tech Start Date]]&lt;1/1/1990,"",IF(Main[[#This Row],[Class]]="C",WORKDAY(Main[[#This Row],[Tech Start Date]],19),IF(Main[[#This Row],[Class]]="B", WORKDAY(Main[[#This Row],[Tech Start Date]],12),IF(Main[[#This Row],[Class]]="A",WORKDAY(Main[[#This Row],[Tech Start Date]],4),""))))</f>
        <v/>
      </c>
      <c r="O617" s="73" t="str">
        <f>IF(Main[[#This Row],[Tech Start Date]]&lt;1/1/1990,"",IF(Main[[#This Row],[Class]]="C",WORKDAY(Main[[#This Row],[Tech Start Date]],23),IF(Main[[#This Row],[Class]]="B", WORKDAY(Main[[#This Row],[Tech Start Date]],15),IF(Main[[#This Row],[Class]]="A",WORKDAY(Main[[#This Row],[Tech Start Date]],5),""))))</f>
        <v/>
      </c>
      <c r="P617" s="73" t="str">
        <f>IF(Main[[#This Row],[Tech Start Date]]&lt;1/1/1990,"",IF(Main[[#This Row],[Class]]="C",WORKDAY(Main[[#This Row],[Tech Start Date]],28),IF(Main[[#This Row],[Class]]="B", WORKDAY(Main[[#This Row],[Tech Start Date]],19),IF(Main[[#This Row],[Class]]="A",WORKDAY(Main[[#This Row],[Tech Start Date]],9),""))))</f>
        <v/>
      </c>
      <c r="Q617" s="85">
        <v>40245</v>
      </c>
      <c r="R617" s="112"/>
      <c r="S617" s="95" t="s">
        <v>11</v>
      </c>
      <c r="T617" s="74" t="s">
        <v>4</v>
      </c>
      <c r="U617" s="95" t="s">
        <v>14</v>
      </c>
      <c r="V617" s="95" t="s">
        <v>1914</v>
      </c>
      <c r="W617" s="95" t="s">
        <v>1913</v>
      </c>
      <c r="X617" s="95" t="s">
        <v>2852</v>
      </c>
      <c r="Y617" s="72" t="s">
        <v>4</v>
      </c>
      <c r="Z617" s="72" t="s">
        <v>4</v>
      </c>
      <c r="AA617" s="95" t="s">
        <v>2852</v>
      </c>
      <c r="AB617" s="132"/>
      <c r="AC617" s="132"/>
      <c r="AD617" s="132"/>
      <c r="AE617" s="63"/>
      <c r="AF617" s="63"/>
      <c r="AG617" s="63"/>
    </row>
    <row r="618" spans="1:33" ht="17.2" customHeight="1">
      <c r="A618" s="64" t="str">
        <f>IF(priority(Main[[#This Row],[Comments]])&lt;&gt;0, priority(Main[[#This Row],[Comments]]),"")</f>
        <v/>
      </c>
      <c r="B618" s="60" t="s">
        <v>1434</v>
      </c>
      <c r="C618" s="72" t="s">
        <v>4</v>
      </c>
      <c r="D618" s="59" t="s">
        <v>521</v>
      </c>
      <c r="E618" s="85"/>
      <c r="F618" s="85">
        <v>40178</v>
      </c>
      <c r="G618" s="64" t="str">
        <f>IF(stdProdLT(Main[[#This Row],[Comments]])=0.1,"N/A",IF(stdProdLT(Main[[#This Row],[Comments]])=0,"",TRIM(stdProdLT(Main[[#This Row],[Comments]]))))</f>
        <v/>
      </c>
      <c r="H618" s="94" t="str">
        <f>IF(OR(Main[[#This Row],[Std. Prod. Lead Time]]="N/A",Main[[#This Row],[Std. Prod. Lead Time]]=""), "",IF(AND(Main[[#This Row],[In Stock Date]]&lt;&gt;"",Main[[#This Row],[Revised Due Date]]&lt;&gt;"",Main[[#This Row],[In Stock Date]]&lt;&gt;""),Main[[#This Row],[In Stock Date]]-Main[[#This Row],[Revised Due Date]],""))</f>
        <v/>
      </c>
      <c r="I618" s="101" t="s">
        <v>4</v>
      </c>
      <c r="J618" s="95" t="s">
        <v>4</v>
      </c>
      <c r="K618" s="95" t="s">
        <v>4</v>
      </c>
      <c r="L618" s="85"/>
      <c r="M618" s="73" t="str">
        <f>IF(Main[[#This Row],[Tech Start Date]]&lt;1/1/1990,"",IF(Main[[#This Row],[Class]]="C",WORKDAY(Main[[#This Row],[Tech Start Date]],9),IF(Main[[#This Row],[Class]]="B", WORKDAY(Main[[#This Row],[Tech Start Date]],6),IF(Main[[#This Row],[Class]]="A",WORKDAY(Main[[#This Row],[Tech Start Date]],2),""))))</f>
        <v/>
      </c>
      <c r="N618" s="73" t="str">
        <f>IF(Main[[#This Row],[Tech Start Date]]&lt;1/1/1990,"",IF(Main[[#This Row],[Class]]="C",WORKDAY(Main[[#This Row],[Tech Start Date]],19),IF(Main[[#This Row],[Class]]="B", WORKDAY(Main[[#This Row],[Tech Start Date]],12),IF(Main[[#This Row],[Class]]="A",WORKDAY(Main[[#This Row],[Tech Start Date]],4),""))))</f>
        <v/>
      </c>
      <c r="O618" s="73" t="str">
        <f>IF(Main[[#This Row],[Tech Start Date]]&lt;1/1/1990,"",IF(Main[[#This Row],[Class]]="C",WORKDAY(Main[[#This Row],[Tech Start Date]],23),IF(Main[[#This Row],[Class]]="B", WORKDAY(Main[[#This Row],[Tech Start Date]],15),IF(Main[[#This Row],[Class]]="A",WORKDAY(Main[[#This Row],[Tech Start Date]],5),""))))</f>
        <v/>
      </c>
      <c r="P618" s="73" t="str">
        <f>IF(Main[[#This Row],[Tech Start Date]]&lt;1/1/1990,"",IF(Main[[#This Row],[Class]]="C",WORKDAY(Main[[#This Row],[Tech Start Date]],28),IF(Main[[#This Row],[Class]]="B", WORKDAY(Main[[#This Row],[Tech Start Date]],19),IF(Main[[#This Row],[Class]]="A",WORKDAY(Main[[#This Row],[Tech Start Date]],9),""))))</f>
        <v/>
      </c>
      <c r="Q618" s="85">
        <v>40158</v>
      </c>
      <c r="R618" s="112"/>
      <c r="S618" s="95" t="s">
        <v>11</v>
      </c>
      <c r="T618" s="74" t="s">
        <v>4</v>
      </c>
      <c r="U618" s="95" t="s">
        <v>14</v>
      </c>
      <c r="V618" s="95" t="s">
        <v>1911</v>
      </c>
      <c r="W618" s="95" t="s">
        <v>1916</v>
      </c>
      <c r="X618" s="95" t="s">
        <v>2804</v>
      </c>
      <c r="Y618" s="72" t="s">
        <v>2921</v>
      </c>
      <c r="Z618" s="72" t="s">
        <v>4</v>
      </c>
      <c r="AA618" s="95" t="s">
        <v>2804</v>
      </c>
      <c r="AB618" s="132"/>
      <c r="AC618" s="132"/>
      <c r="AD618" s="132"/>
      <c r="AE618" s="63"/>
      <c r="AF618" s="63"/>
      <c r="AG618" s="63"/>
    </row>
    <row r="619" spans="1:33" ht="17.2" customHeight="1">
      <c r="A619" s="64" t="str">
        <f>IF(priority(Main[[#This Row],[Comments]])&lt;&gt;0, priority(Main[[#This Row],[Comments]]),"")</f>
        <v/>
      </c>
      <c r="B619" s="60" t="s">
        <v>2367</v>
      </c>
      <c r="C619" s="72" t="s">
        <v>72</v>
      </c>
      <c r="D619" s="59" t="s">
        <v>2368</v>
      </c>
      <c r="E619" s="85"/>
      <c r="F619" s="85"/>
      <c r="G619" s="64" t="str">
        <f>IF(stdProdLT(Main[[#This Row],[Comments]])=0.1,"N/A",IF(stdProdLT(Main[[#This Row],[Comments]])=0,"",TRIM(stdProdLT(Main[[#This Row],[Comments]]))))</f>
        <v/>
      </c>
      <c r="H619" s="94" t="str">
        <f>IF(OR(Main[[#This Row],[Std. Prod. Lead Time]]="N/A",Main[[#This Row],[Std. Prod. Lead Time]]=""), "",IF(AND(Main[[#This Row],[In Stock Date]]&lt;&gt;"",Main[[#This Row],[Revised Due Date]]&lt;&gt;"",Main[[#This Row],[In Stock Date]]&lt;&gt;""),Main[[#This Row],[In Stock Date]]-Main[[#This Row],[Revised Due Date]],""))</f>
        <v/>
      </c>
      <c r="I619" s="101" t="s">
        <v>4</v>
      </c>
      <c r="J619" s="95" t="s">
        <v>4</v>
      </c>
      <c r="K619" s="95" t="s">
        <v>4</v>
      </c>
      <c r="L619" s="85"/>
      <c r="M619" s="73" t="str">
        <f>IF(Main[[#This Row],[Tech Start Date]]&lt;1/1/1990,"",IF(Main[[#This Row],[Class]]="C",WORKDAY(Main[[#This Row],[Tech Start Date]],9),IF(Main[[#This Row],[Class]]="B", WORKDAY(Main[[#This Row],[Tech Start Date]],6),IF(Main[[#This Row],[Class]]="A",WORKDAY(Main[[#This Row],[Tech Start Date]],2),""))))</f>
        <v/>
      </c>
      <c r="N619" s="73" t="str">
        <f>IF(Main[[#This Row],[Tech Start Date]]&lt;1/1/1990,"",IF(Main[[#This Row],[Class]]="C",WORKDAY(Main[[#This Row],[Tech Start Date]],19),IF(Main[[#This Row],[Class]]="B", WORKDAY(Main[[#This Row],[Tech Start Date]],12),IF(Main[[#This Row],[Class]]="A",WORKDAY(Main[[#This Row],[Tech Start Date]],4),""))))</f>
        <v/>
      </c>
      <c r="O619" s="73" t="str">
        <f>IF(Main[[#This Row],[Tech Start Date]]&lt;1/1/1990,"",IF(Main[[#This Row],[Class]]="C",WORKDAY(Main[[#This Row],[Tech Start Date]],23),IF(Main[[#This Row],[Class]]="B", WORKDAY(Main[[#This Row],[Tech Start Date]],15),IF(Main[[#This Row],[Class]]="A",WORKDAY(Main[[#This Row],[Tech Start Date]],5),""))))</f>
        <v/>
      </c>
      <c r="P619" s="73" t="str">
        <f>IF(Main[[#This Row],[Tech Start Date]]&lt;1/1/1990,"",IF(Main[[#This Row],[Class]]="C",WORKDAY(Main[[#This Row],[Tech Start Date]],28),IF(Main[[#This Row],[Class]]="B", WORKDAY(Main[[#This Row],[Tech Start Date]],19),IF(Main[[#This Row],[Class]]="A",WORKDAY(Main[[#This Row],[Tech Start Date]],9),""))))</f>
        <v/>
      </c>
      <c r="Q619" s="85"/>
      <c r="R619" s="112"/>
      <c r="S619" s="95" t="s">
        <v>17</v>
      </c>
      <c r="T619" s="74" t="s">
        <v>4</v>
      </c>
      <c r="U619" s="95" t="s">
        <v>14</v>
      </c>
      <c r="V619" s="95" t="s">
        <v>1912</v>
      </c>
      <c r="W619" s="95" t="s">
        <v>1913</v>
      </c>
      <c r="X619" s="95" t="s">
        <v>2870</v>
      </c>
      <c r="Y619" s="72" t="s">
        <v>3025</v>
      </c>
      <c r="Z619" s="72" t="s">
        <v>4</v>
      </c>
      <c r="AA619" s="95" t="s">
        <v>2870</v>
      </c>
      <c r="AB619" s="132"/>
      <c r="AC619" s="132"/>
      <c r="AD619" s="132"/>
      <c r="AE619" s="63"/>
      <c r="AF619" s="63"/>
      <c r="AG619" s="63"/>
    </row>
    <row r="620" spans="1:33" ht="17.2" customHeight="1">
      <c r="A620" s="64" t="str">
        <f>IF(priority(Main[[#This Row],[Comments]])&lt;&gt;0, priority(Main[[#This Row],[Comments]]),"")</f>
        <v/>
      </c>
      <c r="B620" s="60" t="s">
        <v>1439</v>
      </c>
      <c r="C620" s="72" t="s">
        <v>113</v>
      </c>
      <c r="D620" s="59" t="s">
        <v>522</v>
      </c>
      <c r="E620" s="85"/>
      <c r="F620" s="85"/>
      <c r="G620" s="64" t="str">
        <f>IF(stdProdLT(Main[[#This Row],[Comments]])=0.1,"N/A",IF(stdProdLT(Main[[#This Row],[Comments]])=0,"",TRIM(stdProdLT(Main[[#This Row],[Comments]]))))</f>
        <v/>
      </c>
      <c r="H620" s="94" t="str">
        <f>IF(OR(Main[[#This Row],[Std. Prod. Lead Time]]="N/A",Main[[#This Row],[Std. Prod. Lead Time]]=""), "",IF(AND(Main[[#This Row],[In Stock Date]]&lt;&gt;"",Main[[#This Row],[Revised Due Date]]&lt;&gt;"",Main[[#This Row],[In Stock Date]]&lt;&gt;""),Main[[#This Row],[In Stock Date]]-Main[[#This Row],[Revised Due Date]],""))</f>
        <v/>
      </c>
      <c r="I620" s="101" t="s">
        <v>4</v>
      </c>
      <c r="J620" s="95" t="s">
        <v>4</v>
      </c>
      <c r="K620" s="95" t="s">
        <v>4</v>
      </c>
      <c r="L620" s="85"/>
      <c r="M620" s="73" t="str">
        <f>IF(Main[[#This Row],[Tech Start Date]]&lt;1/1/1990,"",IF(Main[[#This Row],[Class]]="C",WORKDAY(Main[[#This Row],[Tech Start Date]],9),IF(Main[[#This Row],[Class]]="B", WORKDAY(Main[[#This Row],[Tech Start Date]],6),IF(Main[[#This Row],[Class]]="A",WORKDAY(Main[[#This Row],[Tech Start Date]],2),""))))</f>
        <v/>
      </c>
      <c r="N620" s="73" t="str">
        <f>IF(Main[[#This Row],[Tech Start Date]]&lt;1/1/1990,"",IF(Main[[#This Row],[Class]]="C",WORKDAY(Main[[#This Row],[Tech Start Date]],19),IF(Main[[#This Row],[Class]]="B", WORKDAY(Main[[#This Row],[Tech Start Date]],12),IF(Main[[#This Row],[Class]]="A",WORKDAY(Main[[#This Row],[Tech Start Date]],4),""))))</f>
        <v/>
      </c>
      <c r="O620" s="73" t="str">
        <f>IF(Main[[#This Row],[Tech Start Date]]&lt;1/1/1990,"",IF(Main[[#This Row],[Class]]="C",WORKDAY(Main[[#This Row],[Tech Start Date]],23),IF(Main[[#This Row],[Class]]="B", WORKDAY(Main[[#This Row],[Tech Start Date]],15),IF(Main[[#This Row],[Class]]="A",WORKDAY(Main[[#This Row],[Tech Start Date]],5),""))))</f>
        <v/>
      </c>
      <c r="P620" s="73" t="str">
        <f>IF(Main[[#This Row],[Tech Start Date]]&lt;1/1/1990,"",IF(Main[[#This Row],[Class]]="C",WORKDAY(Main[[#This Row],[Tech Start Date]],28),IF(Main[[#This Row],[Class]]="B", WORKDAY(Main[[#This Row],[Tech Start Date]],19),IF(Main[[#This Row],[Class]]="A",WORKDAY(Main[[#This Row],[Tech Start Date]],9),""))))</f>
        <v/>
      </c>
      <c r="Q620" s="85">
        <v>40505</v>
      </c>
      <c r="R620" s="112"/>
      <c r="S620" s="95" t="s">
        <v>49</v>
      </c>
      <c r="T620" s="74" t="s">
        <v>4</v>
      </c>
      <c r="U620" s="95" t="s">
        <v>12</v>
      </c>
      <c r="V620" s="95" t="s">
        <v>1912</v>
      </c>
      <c r="W620" s="95" t="s">
        <v>1916</v>
      </c>
      <c r="X620" s="95" t="s">
        <v>2871</v>
      </c>
      <c r="Y620" s="72" t="s">
        <v>2959</v>
      </c>
      <c r="Z620" s="72" t="s">
        <v>4</v>
      </c>
      <c r="AA620" s="95" t="s">
        <v>2819</v>
      </c>
      <c r="AB620" s="132"/>
      <c r="AC620" s="132"/>
      <c r="AD620" s="132"/>
      <c r="AE620" s="63"/>
      <c r="AF620" s="63"/>
      <c r="AG620" s="63"/>
    </row>
    <row r="621" spans="1:33" ht="17.2" customHeight="1">
      <c r="A621" s="64" t="str">
        <f>IF(priority(Main[[#This Row],[Comments]])&lt;&gt;0, priority(Main[[#This Row],[Comments]]),"")</f>
        <v/>
      </c>
      <c r="B621" s="60" t="s">
        <v>2253</v>
      </c>
      <c r="C621" s="72" t="s">
        <v>4</v>
      </c>
      <c r="D621" s="59" t="s">
        <v>2287</v>
      </c>
      <c r="E621" s="85">
        <v>40806.662407407406</v>
      </c>
      <c r="F621" s="85"/>
      <c r="G621" s="64" t="str">
        <f>IF(stdProdLT(Main[[#This Row],[Comments]])=0.1,"N/A",IF(stdProdLT(Main[[#This Row],[Comments]])=0,"",TRIM(stdProdLT(Main[[#This Row],[Comments]]))))</f>
        <v/>
      </c>
      <c r="H621" s="94" t="str">
        <f>IF(OR(Main[[#This Row],[Std. Prod. Lead Time]]="N/A",Main[[#This Row],[Std. Prod. Lead Time]]=""), "",IF(AND(Main[[#This Row],[In Stock Date]]&lt;&gt;"",Main[[#This Row],[Revised Due Date]]&lt;&gt;"",Main[[#This Row],[In Stock Date]]&lt;&gt;""),Main[[#This Row],[In Stock Date]]-Main[[#This Row],[Revised Due Date]],""))</f>
        <v/>
      </c>
      <c r="I621" s="101" t="s">
        <v>30</v>
      </c>
      <c r="J621" s="95" t="s">
        <v>21</v>
      </c>
      <c r="K621" s="95" t="s">
        <v>1920</v>
      </c>
      <c r="L621" s="85"/>
      <c r="M621" s="73" t="str">
        <f>IF(Main[[#This Row],[Tech Start Date]]&lt;1/1/1990,"",IF(Main[[#This Row],[Class]]="C",WORKDAY(Main[[#This Row],[Tech Start Date]],9),IF(Main[[#This Row],[Class]]="B", WORKDAY(Main[[#This Row],[Tech Start Date]],6),IF(Main[[#This Row],[Class]]="A",WORKDAY(Main[[#This Row],[Tech Start Date]],2),""))))</f>
        <v/>
      </c>
      <c r="N621" s="73" t="str">
        <f>IF(Main[[#This Row],[Tech Start Date]]&lt;1/1/1990,"",IF(Main[[#This Row],[Class]]="C",WORKDAY(Main[[#This Row],[Tech Start Date]],19),IF(Main[[#This Row],[Class]]="B", WORKDAY(Main[[#This Row],[Tech Start Date]],12),IF(Main[[#This Row],[Class]]="A",WORKDAY(Main[[#This Row],[Tech Start Date]],4),""))))</f>
        <v/>
      </c>
      <c r="O621" s="73" t="str">
        <f>IF(Main[[#This Row],[Tech Start Date]]&lt;1/1/1990,"",IF(Main[[#This Row],[Class]]="C",WORKDAY(Main[[#This Row],[Tech Start Date]],23),IF(Main[[#This Row],[Class]]="B", WORKDAY(Main[[#This Row],[Tech Start Date]],15),IF(Main[[#This Row],[Class]]="A",WORKDAY(Main[[#This Row],[Tech Start Date]],5),""))))</f>
        <v/>
      </c>
      <c r="P621" s="73" t="str">
        <f>IF(Main[[#This Row],[Tech Start Date]]&lt;1/1/1990,"",IF(Main[[#This Row],[Class]]="C",WORKDAY(Main[[#This Row],[Tech Start Date]],28),IF(Main[[#This Row],[Class]]="B", WORKDAY(Main[[#This Row],[Tech Start Date]],19),IF(Main[[#This Row],[Class]]="A",WORKDAY(Main[[#This Row],[Tech Start Date]],9),""))))</f>
        <v/>
      </c>
      <c r="Q621" s="85"/>
      <c r="R621" s="112"/>
      <c r="S621" s="95" t="s">
        <v>6</v>
      </c>
      <c r="T621" s="74" t="s">
        <v>4</v>
      </c>
      <c r="U621" s="95" t="s">
        <v>29</v>
      </c>
      <c r="V621" s="95" t="s">
        <v>1914</v>
      </c>
      <c r="W621" s="95" t="s">
        <v>1915</v>
      </c>
      <c r="X621" s="95" t="s">
        <v>306</v>
      </c>
      <c r="Y621" s="72" t="s">
        <v>4</v>
      </c>
      <c r="Z621" s="72" t="s">
        <v>30</v>
      </c>
      <c r="AA621" s="95" t="s">
        <v>3347</v>
      </c>
      <c r="AB621" s="132"/>
      <c r="AC621" s="132"/>
      <c r="AD621" s="132"/>
      <c r="AE621" s="63"/>
      <c r="AF621" s="63"/>
      <c r="AG621" s="63"/>
    </row>
    <row r="622" spans="1:33" ht="17.2" customHeight="1">
      <c r="A622" s="64" t="str">
        <f>IF(priority(Main[[#This Row],[Comments]])&lt;&gt;0, priority(Main[[#This Row],[Comments]]),"")</f>
        <v/>
      </c>
      <c r="B622" s="60" t="s">
        <v>2529</v>
      </c>
      <c r="C622" s="72" t="s">
        <v>2348</v>
      </c>
      <c r="D622" s="59" t="s">
        <v>2349</v>
      </c>
      <c r="E622" s="85"/>
      <c r="F622" s="85">
        <v>41008</v>
      </c>
      <c r="G622" s="64" t="str">
        <f>IF(stdProdLT(Main[[#This Row],[Comments]])=0.1,"N/A",IF(stdProdLT(Main[[#This Row],[Comments]])=0,"",TRIM(stdProdLT(Main[[#This Row],[Comments]]))))</f>
        <v/>
      </c>
      <c r="H622" s="94" t="str">
        <f>IF(OR(Main[[#This Row],[Std. Prod. Lead Time]]="N/A",Main[[#This Row],[Std. Prod. Lead Time]]=""), "",IF(AND(Main[[#This Row],[In Stock Date]]&lt;&gt;"",Main[[#This Row],[Revised Due Date]]&lt;&gt;"",Main[[#This Row],[In Stock Date]]&lt;&gt;""),Main[[#This Row],[In Stock Date]]-Main[[#This Row],[Revised Due Date]],""))</f>
        <v/>
      </c>
      <c r="I622" s="101" t="s">
        <v>4</v>
      </c>
      <c r="J622" s="95" t="s">
        <v>4</v>
      </c>
      <c r="K622" s="95" t="s">
        <v>4</v>
      </c>
      <c r="L622" s="85"/>
      <c r="M622" s="73" t="str">
        <f>IF(Main[[#This Row],[Tech Start Date]]&lt;1/1/1990,"",IF(Main[[#This Row],[Class]]="C",WORKDAY(Main[[#This Row],[Tech Start Date]],9),IF(Main[[#This Row],[Class]]="B", WORKDAY(Main[[#This Row],[Tech Start Date]],6),IF(Main[[#This Row],[Class]]="A",WORKDAY(Main[[#This Row],[Tech Start Date]],2),""))))</f>
        <v/>
      </c>
      <c r="N622" s="73" t="str">
        <f>IF(Main[[#This Row],[Tech Start Date]]&lt;1/1/1990,"",IF(Main[[#This Row],[Class]]="C",WORKDAY(Main[[#This Row],[Tech Start Date]],19),IF(Main[[#This Row],[Class]]="B", WORKDAY(Main[[#This Row],[Tech Start Date]],12),IF(Main[[#This Row],[Class]]="A",WORKDAY(Main[[#This Row],[Tech Start Date]],4),""))))</f>
        <v/>
      </c>
      <c r="O622" s="73" t="str">
        <f>IF(Main[[#This Row],[Tech Start Date]]&lt;1/1/1990,"",IF(Main[[#This Row],[Class]]="C",WORKDAY(Main[[#This Row],[Tech Start Date]],23),IF(Main[[#This Row],[Class]]="B", WORKDAY(Main[[#This Row],[Tech Start Date]],15),IF(Main[[#This Row],[Class]]="A",WORKDAY(Main[[#This Row],[Tech Start Date]],5),""))))</f>
        <v/>
      </c>
      <c r="P622" s="73" t="str">
        <f>IF(Main[[#This Row],[Tech Start Date]]&lt;1/1/1990,"",IF(Main[[#This Row],[Class]]="C",WORKDAY(Main[[#This Row],[Tech Start Date]],28),IF(Main[[#This Row],[Class]]="B", WORKDAY(Main[[#This Row],[Tech Start Date]],19),IF(Main[[#This Row],[Class]]="A",WORKDAY(Main[[#This Row],[Tech Start Date]],9),""))))</f>
        <v/>
      </c>
      <c r="Q622" s="85">
        <v>40826</v>
      </c>
      <c r="R622" s="112"/>
      <c r="S622" s="95" t="s">
        <v>11</v>
      </c>
      <c r="T622" s="74" t="s">
        <v>4</v>
      </c>
      <c r="U622" s="95" t="s">
        <v>12</v>
      </c>
      <c r="V622" s="95" t="s">
        <v>1914</v>
      </c>
      <c r="W622" s="95" t="s">
        <v>1917</v>
      </c>
      <c r="X622" s="95" t="s">
        <v>2823</v>
      </c>
      <c r="Y622" s="72" t="s">
        <v>4</v>
      </c>
      <c r="Z622" s="72" t="s">
        <v>4</v>
      </c>
      <c r="AA622" s="95" t="s">
        <v>2823</v>
      </c>
      <c r="AB622" s="132"/>
      <c r="AC622" s="132"/>
      <c r="AD622" s="132"/>
      <c r="AE622" s="63"/>
      <c r="AF622" s="63"/>
      <c r="AG622" s="63"/>
    </row>
    <row r="623" spans="1:33" ht="17.2" customHeight="1">
      <c r="A623" s="64" t="str">
        <f>IF(priority(Main[[#This Row],[Comments]])&lt;&gt;0, priority(Main[[#This Row],[Comments]]),"")</f>
        <v/>
      </c>
      <c r="B623" s="60" t="s">
        <v>1456</v>
      </c>
      <c r="C623" s="72" t="s">
        <v>4</v>
      </c>
      <c r="D623" s="59" t="s">
        <v>523</v>
      </c>
      <c r="E623" s="85">
        <v>40371.58488425926</v>
      </c>
      <c r="F623" s="85"/>
      <c r="G623" s="64" t="str">
        <f>IF(stdProdLT(Main[[#This Row],[Comments]])=0.1,"N/A",IF(stdProdLT(Main[[#This Row],[Comments]])=0,"",TRIM(stdProdLT(Main[[#This Row],[Comments]]))))</f>
        <v/>
      </c>
      <c r="H623" s="94" t="str">
        <f>IF(OR(Main[[#This Row],[Std. Prod. Lead Time]]="N/A",Main[[#This Row],[Std. Prod. Lead Time]]=""), "",IF(AND(Main[[#This Row],[In Stock Date]]&lt;&gt;"",Main[[#This Row],[Revised Due Date]]&lt;&gt;"",Main[[#This Row],[In Stock Date]]&lt;&gt;""),Main[[#This Row],[In Stock Date]]-Main[[#This Row],[Revised Due Date]],""))</f>
        <v/>
      </c>
      <c r="I623" s="101" t="s">
        <v>4</v>
      </c>
      <c r="J623" s="95" t="s">
        <v>4</v>
      </c>
      <c r="K623" s="95" t="s">
        <v>4</v>
      </c>
      <c r="L623" s="85"/>
      <c r="M623" s="73" t="str">
        <f>IF(Main[[#This Row],[Tech Start Date]]&lt;1/1/1990,"",IF(Main[[#This Row],[Class]]="C",WORKDAY(Main[[#This Row],[Tech Start Date]],9),IF(Main[[#This Row],[Class]]="B", WORKDAY(Main[[#This Row],[Tech Start Date]],6),IF(Main[[#This Row],[Class]]="A",WORKDAY(Main[[#This Row],[Tech Start Date]],2),""))))</f>
        <v/>
      </c>
      <c r="N623" s="73" t="str">
        <f>IF(Main[[#This Row],[Tech Start Date]]&lt;1/1/1990,"",IF(Main[[#This Row],[Class]]="C",WORKDAY(Main[[#This Row],[Tech Start Date]],19),IF(Main[[#This Row],[Class]]="B", WORKDAY(Main[[#This Row],[Tech Start Date]],12),IF(Main[[#This Row],[Class]]="A",WORKDAY(Main[[#This Row],[Tech Start Date]],4),""))))</f>
        <v/>
      </c>
      <c r="O623" s="73" t="str">
        <f>IF(Main[[#This Row],[Tech Start Date]]&lt;1/1/1990,"",IF(Main[[#This Row],[Class]]="C",WORKDAY(Main[[#This Row],[Tech Start Date]],23),IF(Main[[#This Row],[Class]]="B", WORKDAY(Main[[#This Row],[Tech Start Date]],15),IF(Main[[#This Row],[Class]]="A",WORKDAY(Main[[#This Row],[Tech Start Date]],5),""))))</f>
        <v/>
      </c>
      <c r="P623" s="73" t="str">
        <f>IF(Main[[#This Row],[Tech Start Date]]&lt;1/1/1990,"",IF(Main[[#This Row],[Class]]="C",WORKDAY(Main[[#This Row],[Tech Start Date]],28),IF(Main[[#This Row],[Class]]="B", WORKDAY(Main[[#This Row],[Tech Start Date]],19),IF(Main[[#This Row],[Class]]="A",WORKDAY(Main[[#This Row],[Tech Start Date]],9),""))))</f>
        <v/>
      </c>
      <c r="Q623" s="85">
        <v>40385</v>
      </c>
      <c r="R623" s="112"/>
      <c r="S623" s="95" t="s">
        <v>6</v>
      </c>
      <c r="T623" s="74" t="s">
        <v>4</v>
      </c>
      <c r="U623" s="95" t="s">
        <v>7</v>
      </c>
      <c r="V623" s="95" t="s">
        <v>1911</v>
      </c>
      <c r="W623" s="95" t="s">
        <v>1916</v>
      </c>
      <c r="X623" s="95" t="s">
        <v>102</v>
      </c>
      <c r="Y623" s="72" t="s">
        <v>3026</v>
      </c>
      <c r="Z623" s="72" t="s">
        <v>4</v>
      </c>
      <c r="AA623" s="95" t="s">
        <v>3376</v>
      </c>
      <c r="AB623" s="132"/>
      <c r="AC623" s="132"/>
      <c r="AD623" s="132"/>
      <c r="AE623" s="63"/>
      <c r="AF623" s="63"/>
      <c r="AG623" s="63"/>
    </row>
    <row r="624" spans="1:33" ht="17.2" customHeight="1">
      <c r="A624" s="64" t="str">
        <f>IF(priority(Main[[#This Row],[Comments]])&lt;&gt;0, priority(Main[[#This Row],[Comments]]),"")</f>
        <v/>
      </c>
      <c r="B624" s="60" t="s">
        <v>1459</v>
      </c>
      <c r="C624" s="72" t="s">
        <v>525</v>
      </c>
      <c r="D624" s="59" t="s">
        <v>526</v>
      </c>
      <c r="E624" s="85"/>
      <c r="F624" s="85">
        <v>40276</v>
      </c>
      <c r="G624" s="64" t="str">
        <f>IF(stdProdLT(Main[[#This Row],[Comments]])=0.1,"N/A",IF(stdProdLT(Main[[#This Row],[Comments]])=0,"",TRIM(stdProdLT(Main[[#This Row],[Comments]]))))</f>
        <v/>
      </c>
      <c r="H624" s="94" t="str">
        <f>IF(OR(Main[[#This Row],[Std. Prod. Lead Time]]="N/A",Main[[#This Row],[Std. Prod. Lead Time]]=""), "",IF(AND(Main[[#This Row],[In Stock Date]]&lt;&gt;"",Main[[#This Row],[Revised Due Date]]&lt;&gt;"",Main[[#This Row],[In Stock Date]]&lt;&gt;""),Main[[#This Row],[In Stock Date]]-Main[[#This Row],[Revised Due Date]],""))</f>
        <v/>
      </c>
      <c r="I624" s="101" t="s">
        <v>4</v>
      </c>
      <c r="J624" s="95" t="s">
        <v>4</v>
      </c>
      <c r="K624" s="95" t="s">
        <v>4</v>
      </c>
      <c r="L624" s="85"/>
      <c r="M624" s="73" t="str">
        <f>IF(Main[[#This Row],[Tech Start Date]]&lt;1/1/1990,"",IF(Main[[#This Row],[Class]]="C",WORKDAY(Main[[#This Row],[Tech Start Date]],9),IF(Main[[#This Row],[Class]]="B", WORKDAY(Main[[#This Row],[Tech Start Date]],6),IF(Main[[#This Row],[Class]]="A",WORKDAY(Main[[#This Row],[Tech Start Date]],2),""))))</f>
        <v/>
      </c>
      <c r="N624" s="73" t="str">
        <f>IF(Main[[#This Row],[Tech Start Date]]&lt;1/1/1990,"",IF(Main[[#This Row],[Class]]="C",WORKDAY(Main[[#This Row],[Tech Start Date]],19),IF(Main[[#This Row],[Class]]="B", WORKDAY(Main[[#This Row],[Tech Start Date]],12),IF(Main[[#This Row],[Class]]="A",WORKDAY(Main[[#This Row],[Tech Start Date]],4),""))))</f>
        <v/>
      </c>
      <c r="O624" s="73" t="str">
        <f>IF(Main[[#This Row],[Tech Start Date]]&lt;1/1/1990,"",IF(Main[[#This Row],[Class]]="C",WORKDAY(Main[[#This Row],[Tech Start Date]],23),IF(Main[[#This Row],[Class]]="B", WORKDAY(Main[[#This Row],[Tech Start Date]],15),IF(Main[[#This Row],[Class]]="A",WORKDAY(Main[[#This Row],[Tech Start Date]],5),""))))</f>
        <v/>
      </c>
      <c r="P624" s="73" t="str">
        <f>IF(Main[[#This Row],[Tech Start Date]]&lt;1/1/1990,"",IF(Main[[#This Row],[Class]]="C",WORKDAY(Main[[#This Row],[Tech Start Date]],28),IF(Main[[#This Row],[Class]]="B", WORKDAY(Main[[#This Row],[Tech Start Date]],19),IF(Main[[#This Row],[Class]]="A",WORKDAY(Main[[#This Row],[Tech Start Date]],9),""))))</f>
        <v/>
      </c>
      <c r="Q624" s="85">
        <v>40164</v>
      </c>
      <c r="R624" s="112"/>
      <c r="S624" s="95" t="s">
        <v>11</v>
      </c>
      <c r="T624" s="74" t="s">
        <v>4</v>
      </c>
      <c r="U624" s="95" t="s">
        <v>14</v>
      </c>
      <c r="V624" s="95" t="s">
        <v>1914</v>
      </c>
      <c r="W624" s="95" t="s">
        <v>1917</v>
      </c>
      <c r="X624" s="95" t="s">
        <v>2872</v>
      </c>
      <c r="Y624" s="72" t="s">
        <v>4</v>
      </c>
      <c r="Z624" s="72" t="s">
        <v>4</v>
      </c>
      <c r="AA624" s="95" t="s">
        <v>2872</v>
      </c>
      <c r="AB624" s="132"/>
      <c r="AC624" s="132"/>
      <c r="AD624" s="132"/>
      <c r="AE624" s="63"/>
      <c r="AF624" s="63"/>
      <c r="AG624" s="63"/>
    </row>
    <row r="625" spans="1:33" ht="17.2" customHeight="1">
      <c r="A625" s="64" t="str">
        <f>IF(priority(Main[[#This Row],[Comments]])&lt;&gt;0, priority(Main[[#This Row],[Comments]]),"")</f>
        <v/>
      </c>
      <c r="B625" s="60" t="s">
        <v>1694</v>
      </c>
      <c r="C625" s="72" t="s">
        <v>4</v>
      </c>
      <c r="D625" s="59" t="s">
        <v>752</v>
      </c>
      <c r="E625" s="85">
        <v>40700.558032407411</v>
      </c>
      <c r="F625" s="85"/>
      <c r="G625" s="64" t="str">
        <f>IF(stdProdLT(Main[[#This Row],[Comments]])=0.1,"N/A",IF(stdProdLT(Main[[#This Row],[Comments]])=0,"",TRIM(stdProdLT(Main[[#This Row],[Comments]]))))</f>
        <v/>
      </c>
      <c r="H625" s="94" t="str">
        <f>IF(OR(Main[[#This Row],[Std. Prod. Lead Time]]="N/A",Main[[#This Row],[Std. Prod. Lead Time]]=""), "",IF(AND(Main[[#This Row],[In Stock Date]]&lt;&gt;"",Main[[#This Row],[Revised Due Date]]&lt;&gt;"",Main[[#This Row],[In Stock Date]]&lt;&gt;""),Main[[#This Row],[In Stock Date]]-Main[[#This Row],[Revised Due Date]],""))</f>
        <v/>
      </c>
      <c r="I625" s="101" t="s">
        <v>4</v>
      </c>
      <c r="J625" s="95" t="s">
        <v>4</v>
      </c>
      <c r="K625" s="96" t="s">
        <v>4</v>
      </c>
      <c r="L625" s="85"/>
      <c r="M625" s="73" t="str">
        <f>IF(Main[[#This Row],[Tech Start Date]]&lt;1/1/1990,"",IF(Main[[#This Row],[Class]]="C",WORKDAY(Main[[#This Row],[Tech Start Date]],9),IF(Main[[#This Row],[Class]]="B", WORKDAY(Main[[#This Row],[Tech Start Date]],6),IF(Main[[#This Row],[Class]]="A",WORKDAY(Main[[#This Row],[Tech Start Date]],2),""))))</f>
        <v/>
      </c>
      <c r="N625" s="73" t="str">
        <f>IF(Main[[#This Row],[Tech Start Date]]&lt;1/1/1990,"",IF(Main[[#This Row],[Class]]="C",WORKDAY(Main[[#This Row],[Tech Start Date]],19),IF(Main[[#This Row],[Class]]="B", WORKDAY(Main[[#This Row],[Tech Start Date]],12),IF(Main[[#This Row],[Class]]="A",WORKDAY(Main[[#This Row],[Tech Start Date]],4),""))))</f>
        <v/>
      </c>
      <c r="O625" s="73" t="str">
        <f>IF(Main[[#This Row],[Tech Start Date]]&lt;1/1/1990,"",IF(Main[[#This Row],[Class]]="C",WORKDAY(Main[[#This Row],[Tech Start Date]],23),IF(Main[[#This Row],[Class]]="B", WORKDAY(Main[[#This Row],[Tech Start Date]],15),IF(Main[[#This Row],[Class]]="A",WORKDAY(Main[[#This Row],[Tech Start Date]],5),""))))</f>
        <v/>
      </c>
      <c r="P625" s="73" t="str">
        <f>IF(Main[[#This Row],[Tech Start Date]]&lt;1/1/1990,"",IF(Main[[#This Row],[Class]]="C",WORKDAY(Main[[#This Row],[Tech Start Date]],28),IF(Main[[#This Row],[Class]]="B", WORKDAY(Main[[#This Row],[Tech Start Date]],19),IF(Main[[#This Row],[Class]]="A",WORKDAY(Main[[#This Row],[Tech Start Date]],9),""))))</f>
        <v/>
      </c>
      <c r="Q625" s="85">
        <v>40714</v>
      </c>
      <c r="R625" s="112"/>
      <c r="S625" s="95" t="s">
        <v>6</v>
      </c>
      <c r="T625" s="74" t="s">
        <v>4</v>
      </c>
      <c r="U625" s="95" t="s">
        <v>694</v>
      </c>
      <c r="V625" s="95" t="s">
        <v>1911</v>
      </c>
      <c r="W625" s="95" t="s">
        <v>4</v>
      </c>
      <c r="X625" s="95" t="s">
        <v>2816</v>
      </c>
      <c r="Y625" s="72" t="s">
        <v>2943</v>
      </c>
      <c r="Z625" s="72" t="s">
        <v>4</v>
      </c>
      <c r="AA625" s="95" t="s">
        <v>2816</v>
      </c>
      <c r="AB625" s="132"/>
      <c r="AC625" s="132"/>
      <c r="AD625" s="132"/>
      <c r="AE625" s="63"/>
      <c r="AF625" s="63"/>
      <c r="AG625" s="63"/>
    </row>
    <row r="626" spans="1:33" ht="17.2" customHeight="1">
      <c r="A626" s="64" t="str">
        <f>IF(priority(Main[[#This Row],[Comments]])&lt;&gt;0, priority(Main[[#This Row],[Comments]]),"")</f>
        <v/>
      </c>
      <c r="B626" s="60" t="s">
        <v>1461</v>
      </c>
      <c r="C626" s="72" t="s">
        <v>4</v>
      </c>
      <c r="D626" s="59" t="s">
        <v>527</v>
      </c>
      <c r="E626" s="85"/>
      <c r="F626" s="85">
        <v>40431</v>
      </c>
      <c r="G626" s="64" t="str">
        <f>IF(stdProdLT(Main[[#This Row],[Comments]])=0.1,"N/A",IF(stdProdLT(Main[[#This Row],[Comments]])=0,"",TRIM(stdProdLT(Main[[#This Row],[Comments]]))))</f>
        <v/>
      </c>
      <c r="H626" s="94" t="str">
        <f>IF(OR(Main[[#This Row],[Std. Prod. Lead Time]]="N/A",Main[[#This Row],[Std. Prod. Lead Time]]=""), "",IF(AND(Main[[#This Row],[In Stock Date]]&lt;&gt;"",Main[[#This Row],[Revised Due Date]]&lt;&gt;"",Main[[#This Row],[In Stock Date]]&lt;&gt;""),Main[[#This Row],[In Stock Date]]-Main[[#This Row],[Revised Due Date]],""))</f>
        <v/>
      </c>
      <c r="I626" s="101" t="s">
        <v>4</v>
      </c>
      <c r="J626" s="95" t="s">
        <v>28</v>
      </c>
      <c r="K626" s="95" t="s">
        <v>4</v>
      </c>
      <c r="L626" s="85"/>
      <c r="M626" s="73" t="str">
        <f>IF(Main[[#This Row],[Tech Start Date]]&lt;1/1/1990,"",IF(Main[[#This Row],[Class]]="C",WORKDAY(Main[[#This Row],[Tech Start Date]],9),IF(Main[[#This Row],[Class]]="B", WORKDAY(Main[[#This Row],[Tech Start Date]],6),IF(Main[[#This Row],[Class]]="A",WORKDAY(Main[[#This Row],[Tech Start Date]],2),""))))</f>
        <v/>
      </c>
      <c r="N626" s="73" t="str">
        <f>IF(Main[[#This Row],[Tech Start Date]]&lt;1/1/1990,"",IF(Main[[#This Row],[Class]]="C",WORKDAY(Main[[#This Row],[Tech Start Date]],19),IF(Main[[#This Row],[Class]]="B", WORKDAY(Main[[#This Row],[Tech Start Date]],12),IF(Main[[#This Row],[Class]]="A",WORKDAY(Main[[#This Row],[Tech Start Date]],4),""))))</f>
        <v/>
      </c>
      <c r="O626" s="73" t="str">
        <f>IF(Main[[#This Row],[Tech Start Date]]&lt;1/1/1990,"",IF(Main[[#This Row],[Class]]="C",WORKDAY(Main[[#This Row],[Tech Start Date]],23),IF(Main[[#This Row],[Class]]="B", WORKDAY(Main[[#This Row],[Tech Start Date]],15),IF(Main[[#This Row],[Class]]="A",WORKDAY(Main[[#This Row],[Tech Start Date]],5),""))))</f>
        <v/>
      </c>
      <c r="P626" s="73" t="str">
        <f>IF(Main[[#This Row],[Tech Start Date]]&lt;1/1/1990,"",IF(Main[[#This Row],[Class]]="C",WORKDAY(Main[[#This Row],[Tech Start Date]],28),IF(Main[[#This Row],[Class]]="B", WORKDAY(Main[[#This Row],[Tech Start Date]],19),IF(Main[[#This Row],[Class]]="A",WORKDAY(Main[[#This Row],[Tech Start Date]],9),""))))</f>
        <v/>
      </c>
      <c r="Q626" s="85">
        <v>40410</v>
      </c>
      <c r="R626" s="112"/>
      <c r="S626" s="95" t="s">
        <v>11</v>
      </c>
      <c r="T626" s="74" t="s">
        <v>4</v>
      </c>
      <c r="U626" s="95" t="s">
        <v>14</v>
      </c>
      <c r="V626" s="95" t="s">
        <v>1912</v>
      </c>
      <c r="W626" s="95" t="s">
        <v>1919</v>
      </c>
      <c r="X626" s="95" t="s">
        <v>2804</v>
      </c>
      <c r="Y626" s="72" t="s">
        <v>2921</v>
      </c>
      <c r="Z626" s="72" t="s">
        <v>108</v>
      </c>
      <c r="AA626" s="95" t="s">
        <v>2804</v>
      </c>
      <c r="AB626" s="132"/>
      <c r="AC626" s="132"/>
      <c r="AD626" s="132"/>
      <c r="AE626" s="63"/>
      <c r="AF626" s="63"/>
      <c r="AG626" s="63"/>
    </row>
    <row r="627" spans="1:33" ht="17.2" customHeight="1">
      <c r="A627" s="64" t="str">
        <f>IF(priority(Main[[#This Row],[Comments]])&lt;&gt;0, priority(Main[[#This Row],[Comments]]),"")</f>
        <v/>
      </c>
      <c r="B627" s="60" t="s">
        <v>1462</v>
      </c>
      <c r="C627" s="72" t="s">
        <v>4</v>
      </c>
      <c r="D627" s="59" t="s">
        <v>528</v>
      </c>
      <c r="E627" s="85"/>
      <c r="F627" s="85">
        <v>40786</v>
      </c>
      <c r="G627" s="64" t="str">
        <f>IF(stdProdLT(Main[[#This Row],[Comments]])=0.1,"N/A",IF(stdProdLT(Main[[#This Row],[Comments]])=0,"",TRIM(stdProdLT(Main[[#This Row],[Comments]]))))</f>
        <v/>
      </c>
      <c r="H627" s="94" t="str">
        <f>IF(OR(Main[[#This Row],[Std. Prod. Lead Time]]="N/A",Main[[#This Row],[Std. Prod. Lead Time]]=""), "",IF(AND(Main[[#This Row],[In Stock Date]]&lt;&gt;"",Main[[#This Row],[Revised Due Date]]&lt;&gt;"",Main[[#This Row],[In Stock Date]]&lt;&gt;""),Main[[#This Row],[In Stock Date]]-Main[[#This Row],[Revised Due Date]],""))</f>
        <v/>
      </c>
      <c r="I627" s="101" t="s">
        <v>4</v>
      </c>
      <c r="J627" s="95" t="s">
        <v>4</v>
      </c>
      <c r="K627" s="95" t="s">
        <v>4</v>
      </c>
      <c r="L627" s="85"/>
      <c r="M627" s="73" t="str">
        <f>IF(Main[[#This Row],[Tech Start Date]]&lt;1/1/1990,"",IF(Main[[#This Row],[Class]]="C",WORKDAY(Main[[#This Row],[Tech Start Date]],9),IF(Main[[#This Row],[Class]]="B", WORKDAY(Main[[#This Row],[Tech Start Date]],6),IF(Main[[#This Row],[Class]]="A",WORKDAY(Main[[#This Row],[Tech Start Date]],2),""))))</f>
        <v/>
      </c>
      <c r="N627" s="73" t="str">
        <f>IF(Main[[#This Row],[Tech Start Date]]&lt;1/1/1990,"",IF(Main[[#This Row],[Class]]="C",WORKDAY(Main[[#This Row],[Tech Start Date]],19),IF(Main[[#This Row],[Class]]="B", WORKDAY(Main[[#This Row],[Tech Start Date]],12),IF(Main[[#This Row],[Class]]="A",WORKDAY(Main[[#This Row],[Tech Start Date]],4),""))))</f>
        <v/>
      </c>
      <c r="O627" s="73" t="str">
        <f>IF(Main[[#This Row],[Tech Start Date]]&lt;1/1/1990,"",IF(Main[[#This Row],[Class]]="C",WORKDAY(Main[[#This Row],[Tech Start Date]],23),IF(Main[[#This Row],[Class]]="B", WORKDAY(Main[[#This Row],[Tech Start Date]],15),IF(Main[[#This Row],[Class]]="A",WORKDAY(Main[[#This Row],[Tech Start Date]],5),""))))</f>
        <v/>
      </c>
      <c r="P627" s="73" t="str">
        <f>IF(Main[[#This Row],[Tech Start Date]]&lt;1/1/1990,"",IF(Main[[#This Row],[Class]]="C",WORKDAY(Main[[#This Row],[Tech Start Date]],28),IF(Main[[#This Row],[Class]]="B", WORKDAY(Main[[#This Row],[Tech Start Date]],19),IF(Main[[#This Row],[Class]]="A",WORKDAY(Main[[#This Row],[Tech Start Date]],9),""))))</f>
        <v/>
      </c>
      <c r="Q627" s="85">
        <v>40749</v>
      </c>
      <c r="R627" s="112"/>
      <c r="S627" s="95" t="s">
        <v>11</v>
      </c>
      <c r="T627" s="74" t="s">
        <v>4</v>
      </c>
      <c r="U627" s="95" t="s">
        <v>14</v>
      </c>
      <c r="V627" s="95" t="s">
        <v>1914</v>
      </c>
      <c r="W627" s="95" t="s">
        <v>1919</v>
      </c>
      <c r="X627" s="95" t="s">
        <v>553</v>
      </c>
      <c r="Y627" s="72" t="s">
        <v>3028</v>
      </c>
      <c r="Z627" s="72" t="s">
        <v>4</v>
      </c>
      <c r="AA627" s="95" t="s">
        <v>2840</v>
      </c>
      <c r="AB627" s="132"/>
      <c r="AC627" s="132"/>
      <c r="AD627" s="132"/>
      <c r="AE627" s="63"/>
      <c r="AF627" s="63"/>
      <c r="AG627" s="63"/>
    </row>
    <row r="628" spans="1:33" ht="17.2" customHeight="1">
      <c r="A628" s="64" t="str">
        <f>IF(priority(Main[[#This Row],[Comments]])&lt;&gt;0, priority(Main[[#This Row],[Comments]]),"")</f>
        <v/>
      </c>
      <c r="B628" s="60" t="s">
        <v>1440</v>
      </c>
      <c r="C628" s="72" t="s">
        <v>95</v>
      </c>
      <c r="D628" s="59" t="s">
        <v>529</v>
      </c>
      <c r="E628" s="85"/>
      <c r="F628" s="85"/>
      <c r="G628" s="64" t="str">
        <f>IF(stdProdLT(Main[[#This Row],[Comments]])=0.1,"N/A",IF(stdProdLT(Main[[#This Row],[Comments]])=0,"",TRIM(stdProdLT(Main[[#This Row],[Comments]]))))</f>
        <v/>
      </c>
      <c r="H628" s="94" t="str">
        <f>IF(OR(Main[[#This Row],[Std. Prod. Lead Time]]="N/A",Main[[#This Row],[Std. Prod. Lead Time]]=""), "",IF(AND(Main[[#This Row],[In Stock Date]]&lt;&gt;"",Main[[#This Row],[Revised Due Date]]&lt;&gt;"",Main[[#This Row],[In Stock Date]]&lt;&gt;""),Main[[#This Row],[In Stock Date]]-Main[[#This Row],[Revised Due Date]],""))</f>
        <v/>
      </c>
      <c r="I628" s="101" t="s">
        <v>530</v>
      </c>
      <c r="J628" s="95" t="s">
        <v>4</v>
      </c>
      <c r="K628" s="96" t="s">
        <v>4</v>
      </c>
      <c r="L628" s="85"/>
      <c r="M628" s="73" t="str">
        <f>IF(Main[[#This Row],[Tech Start Date]]&lt;1/1/1990,"",IF(Main[[#This Row],[Class]]="C",WORKDAY(Main[[#This Row],[Tech Start Date]],9),IF(Main[[#This Row],[Class]]="B", WORKDAY(Main[[#This Row],[Tech Start Date]],6),IF(Main[[#This Row],[Class]]="A",WORKDAY(Main[[#This Row],[Tech Start Date]],2),""))))</f>
        <v/>
      </c>
      <c r="N628" s="73" t="str">
        <f>IF(Main[[#This Row],[Tech Start Date]]&lt;1/1/1990,"",IF(Main[[#This Row],[Class]]="C",WORKDAY(Main[[#This Row],[Tech Start Date]],19),IF(Main[[#This Row],[Class]]="B", WORKDAY(Main[[#This Row],[Tech Start Date]],12),IF(Main[[#This Row],[Class]]="A",WORKDAY(Main[[#This Row],[Tech Start Date]],4),""))))</f>
        <v/>
      </c>
      <c r="O628" s="73" t="str">
        <f>IF(Main[[#This Row],[Tech Start Date]]&lt;1/1/1990,"",IF(Main[[#This Row],[Class]]="C",WORKDAY(Main[[#This Row],[Tech Start Date]],23),IF(Main[[#This Row],[Class]]="B", WORKDAY(Main[[#This Row],[Tech Start Date]],15),IF(Main[[#This Row],[Class]]="A",WORKDAY(Main[[#This Row],[Tech Start Date]],5),""))))</f>
        <v/>
      </c>
      <c r="P628" s="73" t="str">
        <f>IF(Main[[#This Row],[Tech Start Date]]&lt;1/1/1990,"",IF(Main[[#This Row],[Class]]="C",WORKDAY(Main[[#This Row],[Tech Start Date]],28),IF(Main[[#This Row],[Class]]="B", WORKDAY(Main[[#This Row],[Tech Start Date]],19),IF(Main[[#This Row],[Class]]="A",WORKDAY(Main[[#This Row],[Tech Start Date]],9),""))))</f>
        <v/>
      </c>
      <c r="Q628" s="85">
        <v>40352</v>
      </c>
      <c r="R628" s="112"/>
      <c r="S628" s="95" t="s">
        <v>11</v>
      </c>
      <c r="T628" s="74" t="s">
        <v>4</v>
      </c>
      <c r="U628" s="95" t="s">
        <v>14</v>
      </c>
      <c r="V628" s="95" t="s">
        <v>1914</v>
      </c>
      <c r="W628" s="95" t="s">
        <v>1913</v>
      </c>
      <c r="X628" s="95" t="s">
        <v>2817</v>
      </c>
      <c r="Y628" s="72" t="s">
        <v>3029</v>
      </c>
      <c r="Z628" s="72" t="s">
        <v>4</v>
      </c>
      <c r="AA628" s="95" t="s">
        <v>3367</v>
      </c>
      <c r="AB628" s="132"/>
      <c r="AC628" s="132"/>
      <c r="AD628" s="132"/>
      <c r="AE628" s="63"/>
      <c r="AF628" s="63"/>
      <c r="AG628" s="63"/>
    </row>
    <row r="629" spans="1:33" ht="17.2" customHeight="1">
      <c r="A629" s="64" t="str">
        <f>IF(priority(Main[[#This Row],[Comments]])&lt;&gt;0, priority(Main[[#This Row],[Comments]]),"")</f>
        <v/>
      </c>
      <c r="B629" s="60" t="s">
        <v>1442</v>
      </c>
      <c r="C629" s="72" t="s">
        <v>169</v>
      </c>
      <c r="D629" s="59" t="s">
        <v>532</v>
      </c>
      <c r="E629" s="85"/>
      <c r="F629" s="85">
        <v>40237</v>
      </c>
      <c r="G629" s="64" t="str">
        <f>IF(stdProdLT(Main[[#This Row],[Comments]])=0.1,"N/A",IF(stdProdLT(Main[[#This Row],[Comments]])=0,"",TRIM(stdProdLT(Main[[#This Row],[Comments]]))))</f>
        <v/>
      </c>
      <c r="H629" s="94" t="str">
        <f>IF(OR(Main[[#This Row],[Std. Prod. Lead Time]]="N/A",Main[[#This Row],[Std. Prod. Lead Time]]=""), "",IF(AND(Main[[#This Row],[In Stock Date]]&lt;&gt;"",Main[[#This Row],[Revised Due Date]]&lt;&gt;"",Main[[#This Row],[In Stock Date]]&lt;&gt;""),Main[[#This Row],[In Stock Date]]-Main[[#This Row],[Revised Due Date]],""))</f>
        <v/>
      </c>
      <c r="I629" s="101" t="s">
        <v>4</v>
      </c>
      <c r="J629" s="95" t="s">
        <v>4</v>
      </c>
      <c r="K629" s="95" t="s">
        <v>4</v>
      </c>
      <c r="L629" s="85"/>
      <c r="M629" s="73" t="str">
        <f>IF(Main[[#This Row],[Tech Start Date]]&lt;1/1/1990,"",IF(Main[[#This Row],[Class]]="C",WORKDAY(Main[[#This Row],[Tech Start Date]],9),IF(Main[[#This Row],[Class]]="B", WORKDAY(Main[[#This Row],[Tech Start Date]],6),IF(Main[[#This Row],[Class]]="A",WORKDAY(Main[[#This Row],[Tech Start Date]],2),""))))</f>
        <v/>
      </c>
      <c r="N629" s="73" t="str">
        <f>IF(Main[[#This Row],[Tech Start Date]]&lt;1/1/1990,"",IF(Main[[#This Row],[Class]]="C",WORKDAY(Main[[#This Row],[Tech Start Date]],19),IF(Main[[#This Row],[Class]]="B", WORKDAY(Main[[#This Row],[Tech Start Date]],12),IF(Main[[#This Row],[Class]]="A",WORKDAY(Main[[#This Row],[Tech Start Date]],4),""))))</f>
        <v/>
      </c>
      <c r="O629" s="73" t="str">
        <f>IF(Main[[#This Row],[Tech Start Date]]&lt;1/1/1990,"",IF(Main[[#This Row],[Class]]="C",WORKDAY(Main[[#This Row],[Tech Start Date]],23),IF(Main[[#This Row],[Class]]="B", WORKDAY(Main[[#This Row],[Tech Start Date]],15),IF(Main[[#This Row],[Class]]="A",WORKDAY(Main[[#This Row],[Tech Start Date]],5),""))))</f>
        <v/>
      </c>
      <c r="P629" s="73" t="str">
        <f>IF(Main[[#This Row],[Tech Start Date]]&lt;1/1/1990,"",IF(Main[[#This Row],[Class]]="C",WORKDAY(Main[[#This Row],[Tech Start Date]],28),IF(Main[[#This Row],[Class]]="B", WORKDAY(Main[[#This Row],[Tech Start Date]],19),IF(Main[[#This Row],[Class]]="A",WORKDAY(Main[[#This Row],[Tech Start Date]],9),""))))</f>
        <v/>
      </c>
      <c r="Q629" s="85">
        <v>40132</v>
      </c>
      <c r="R629" s="112"/>
      <c r="S629" s="95" t="s">
        <v>11</v>
      </c>
      <c r="T629" s="74" t="s">
        <v>4</v>
      </c>
      <c r="U629" s="95" t="s">
        <v>14</v>
      </c>
      <c r="V629" s="95" t="s">
        <v>1911</v>
      </c>
      <c r="W629" s="95" t="s">
        <v>1916</v>
      </c>
      <c r="X629" s="95" t="s">
        <v>2838</v>
      </c>
      <c r="Y629" s="72" t="s">
        <v>4</v>
      </c>
      <c r="Z629" s="72" t="s">
        <v>4</v>
      </c>
      <c r="AA629" s="95" t="s">
        <v>2838</v>
      </c>
      <c r="AB629" s="132"/>
      <c r="AC629" s="132"/>
      <c r="AD629" s="132"/>
      <c r="AE629" s="63"/>
      <c r="AF629" s="63"/>
      <c r="AG629" s="63"/>
    </row>
    <row r="630" spans="1:33" ht="17.2" customHeight="1">
      <c r="A630" s="64" t="str">
        <f>IF(priority(Main[[#This Row],[Comments]])&lt;&gt;0, priority(Main[[#This Row],[Comments]]),"")</f>
        <v/>
      </c>
      <c r="B630" s="60" t="s">
        <v>3228</v>
      </c>
      <c r="C630" s="72" t="s">
        <v>3229</v>
      </c>
      <c r="D630" s="59" t="s">
        <v>3322</v>
      </c>
      <c r="E630" s="85"/>
      <c r="F630" s="85">
        <v>41090</v>
      </c>
      <c r="G630" s="64" t="str">
        <f>IF(stdProdLT(Main[[#This Row],[Comments]])=0.1,"N/A",IF(stdProdLT(Main[[#This Row],[Comments]])=0,"",TRIM(stdProdLT(Main[[#This Row],[Comments]]))))</f>
        <v/>
      </c>
      <c r="H630" s="94" t="str">
        <f>IF(OR(Main[[#This Row],[Std. Prod. Lead Time]]="N/A",Main[[#This Row],[Std. Prod. Lead Time]]=""), "",IF(AND(Main[[#This Row],[In Stock Date]]&lt;&gt;"",Main[[#This Row],[Revised Due Date]]&lt;&gt;"",Main[[#This Row],[In Stock Date]]&lt;&gt;""),Main[[#This Row],[In Stock Date]]-Main[[#This Row],[Revised Due Date]],""))</f>
        <v/>
      </c>
      <c r="I630" s="101" t="s">
        <v>4</v>
      </c>
      <c r="J630" s="95" t="s">
        <v>4</v>
      </c>
      <c r="K630" s="95" t="s">
        <v>4</v>
      </c>
      <c r="L630" s="85"/>
      <c r="M630" s="73" t="str">
        <f>IF(Main[[#This Row],[Tech Start Date]]&lt;1/1/1990,"",IF(Main[[#This Row],[Class]]="C",WORKDAY(Main[[#This Row],[Tech Start Date]],9),IF(Main[[#This Row],[Class]]="B", WORKDAY(Main[[#This Row],[Tech Start Date]],6),IF(Main[[#This Row],[Class]]="A",WORKDAY(Main[[#This Row],[Tech Start Date]],2),""))))</f>
        <v/>
      </c>
      <c r="N630" s="73" t="str">
        <f>IF(Main[[#This Row],[Tech Start Date]]&lt;1/1/1990,"",IF(Main[[#This Row],[Class]]="C",WORKDAY(Main[[#This Row],[Tech Start Date]],19),IF(Main[[#This Row],[Class]]="B", WORKDAY(Main[[#This Row],[Tech Start Date]],12),IF(Main[[#This Row],[Class]]="A",WORKDAY(Main[[#This Row],[Tech Start Date]],4),""))))</f>
        <v/>
      </c>
      <c r="O630" s="73" t="str">
        <f>IF(Main[[#This Row],[Tech Start Date]]&lt;1/1/1990,"",IF(Main[[#This Row],[Class]]="C",WORKDAY(Main[[#This Row],[Tech Start Date]],23),IF(Main[[#This Row],[Class]]="B", WORKDAY(Main[[#This Row],[Tech Start Date]],15),IF(Main[[#This Row],[Class]]="A",WORKDAY(Main[[#This Row],[Tech Start Date]],5),""))))</f>
        <v/>
      </c>
      <c r="P630" s="73" t="str">
        <f>IF(Main[[#This Row],[Tech Start Date]]&lt;1/1/1990,"",IF(Main[[#This Row],[Class]]="C",WORKDAY(Main[[#This Row],[Tech Start Date]],28),IF(Main[[#This Row],[Class]]="B", WORKDAY(Main[[#This Row],[Tech Start Date]],19),IF(Main[[#This Row],[Class]]="A",WORKDAY(Main[[#This Row],[Tech Start Date]],9),""))))</f>
        <v/>
      </c>
      <c r="Q630" s="85"/>
      <c r="R630" s="112"/>
      <c r="S630" s="95" t="s">
        <v>11</v>
      </c>
      <c r="T630" s="74" t="s">
        <v>3230</v>
      </c>
      <c r="U630" s="95" t="s">
        <v>14</v>
      </c>
      <c r="V630" s="95" t="s">
        <v>1912</v>
      </c>
      <c r="W630" s="95" t="s">
        <v>1919</v>
      </c>
      <c r="X630" s="95" t="s">
        <v>2832</v>
      </c>
      <c r="Y630" s="72" t="s">
        <v>2968</v>
      </c>
      <c r="Z630" s="72" t="s">
        <v>4</v>
      </c>
      <c r="AA630" s="95" t="s">
        <v>2832</v>
      </c>
      <c r="AB630" s="132"/>
      <c r="AC630" s="132"/>
      <c r="AD630" s="132"/>
      <c r="AE630" s="63"/>
      <c r="AF630" s="63"/>
      <c r="AG630" s="63"/>
    </row>
    <row r="631" spans="1:33" ht="17.2" customHeight="1">
      <c r="A631" s="64" t="str">
        <f>IF(priority(Main[[#This Row],[Comments]])&lt;&gt;0, priority(Main[[#This Row],[Comments]]),"")</f>
        <v/>
      </c>
      <c r="B631" s="60" t="s">
        <v>1443</v>
      </c>
      <c r="C631" s="72" t="s">
        <v>4</v>
      </c>
      <c r="D631" s="59" t="s">
        <v>533</v>
      </c>
      <c r="E631" s="85">
        <v>40108.684525462966</v>
      </c>
      <c r="F631" s="85"/>
      <c r="G631" s="64" t="str">
        <f>IF(stdProdLT(Main[[#This Row],[Comments]])=0.1,"N/A",IF(stdProdLT(Main[[#This Row],[Comments]])=0,"",TRIM(stdProdLT(Main[[#This Row],[Comments]]))))</f>
        <v/>
      </c>
      <c r="H631" s="94" t="str">
        <f>IF(OR(Main[[#This Row],[Std. Prod. Lead Time]]="N/A",Main[[#This Row],[Std. Prod. Lead Time]]=""), "",IF(AND(Main[[#This Row],[In Stock Date]]&lt;&gt;"",Main[[#This Row],[Revised Due Date]]&lt;&gt;"",Main[[#This Row],[In Stock Date]]&lt;&gt;""),Main[[#This Row],[In Stock Date]]-Main[[#This Row],[Revised Due Date]],""))</f>
        <v/>
      </c>
      <c r="I631" s="101" t="s">
        <v>4</v>
      </c>
      <c r="J631" s="95" t="s">
        <v>4</v>
      </c>
      <c r="K631" s="95" t="s">
        <v>4</v>
      </c>
      <c r="L631" s="85"/>
      <c r="M631" s="73" t="str">
        <f>IF(Main[[#This Row],[Tech Start Date]]&lt;1/1/1990,"",IF(Main[[#This Row],[Class]]="C",WORKDAY(Main[[#This Row],[Tech Start Date]],9),IF(Main[[#This Row],[Class]]="B", WORKDAY(Main[[#This Row],[Tech Start Date]],6),IF(Main[[#This Row],[Class]]="A",WORKDAY(Main[[#This Row],[Tech Start Date]],2),""))))</f>
        <v/>
      </c>
      <c r="N631" s="73" t="str">
        <f>IF(Main[[#This Row],[Tech Start Date]]&lt;1/1/1990,"",IF(Main[[#This Row],[Class]]="C",WORKDAY(Main[[#This Row],[Tech Start Date]],19),IF(Main[[#This Row],[Class]]="B", WORKDAY(Main[[#This Row],[Tech Start Date]],12),IF(Main[[#This Row],[Class]]="A",WORKDAY(Main[[#This Row],[Tech Start Date]],4),""))))</f>
        <v/>
      </c>
      <c r="O631" s="73" t="str">
        <f>IF(Main[[#This Row],[Tech Start Date]]&lt;1/1/1990,"",IF(Main[[#This Row],[Class]]="C",WORKDAY(Main[[#This Row],[Tech Start Date]],23),IF(Main[[#This Row],[Class]]="B", WORKDAY(Main[[#This Row],[Tech Start Date]],15),IF(Main[[#This Row],[Class]]="A",WORKDAY(Main[[#This Row],[Tech Start Date]],5),""))))</f>
        <v/>
      </c>
      <c r="P631" s="73" t="str">
        <f>IF(Main[[#This Row],[Tech Start Date]]&lt;1/1/1990,"",IF(Main[[#This Row],[Class]]="C",WORKDAY(Main[[#This Row],[Tech Start Date]],28),IF(Main[[#This Row],[Class]]="B", WORKDAY(Main[[#This Row],[Tech Start Date]],19),IF(Main[[#This Row],[Class]]="A",WORKDAY(Main[[#This Row],[Tech Start Date]],9),""))))</f>
        <v/>
      </c>
      <c r="Q631" s="85">
        <v>40208</v>
      </c>
      <c r="R631" s="112"/>
      <c r="S631" s="95" t="s">
        <v>17</v>
      </c>
      <c r="T631" s="74" t="s">
        <v>4</v>
      </c>
      <c r="U631" s="95" t="s">
        <v>534</v>
      </c>
      <c r="V631" s="95" t="s">
        <v>1912</v>
      </c>
      <c r="W631" s="95" t="s">
        <v>4</v>
      </c>
      <c r="X631" s="95" t="s">
        <v>2842</v>
      </c>
      <c r="Y631" s="72" t="s">
        <v>2984</v>
      </c>
      <c r="Z631" s="72" t="s">
        <v>4</v>
      </c>
      <c r="AA631" s="95" t="s">
        <v>2842</v>
      </c>
      <c r="AB631" s="132"/>
      <c r="AC631" s="132"/>
      <c r="AD631" s="132"/>
      <c r="AE631" s="63"/>
      <c r="AF631" s="63"/>
      <c r="AG631" s="63"/>
    </row>
    <row r="632" spans="1:33" ht="17.2" customHeight="1">
      <c r="A632" s="64" t="str">
        <f>IF(priority(Main[[#This Row],[Comments]])&lt;&gt;0, priority(Main[[#This Row],[Comments]]),"")</f>
        <v/>
      </c>
      <c r="B632" s="60" t="s">
        <v>1444</v>
      </c>
      <c r="C632" s="72" t="s">
        <v>79</v>
      </c>
      <c r="D632" s="59" t="s">
        <v>535</v>
      </c>
      <c r="E632" s="85"/>
      <c r="F632" s="85"/>
      <c r="G632" s="64" t="str">
        <f>IF(stdProdLT(Main[[#This Row],[Comments]])=0.1,"N/A",IF(stdProdLT(Main[[#This Row],[Comments]])=0,"",TRIM(stdProdLT(Main[[#This Row],[Comments]]))))</f>
        <v/>
      </c>
      <c r="H632" s="94" t="str">
        <f>IF(OR(Main[[#This Row],[Std. Prod. Lead Time]]="N/A",Main[[#This Row],[Std. Prod. Lead Time]]=""), "",IF(AND(Main[[#This Row],[In Stock Date]]&lt;&gt;"",Main[[#This Row],[Revised Due Date]]&lt;&gt;"",Main[[#This Row],[In Stock Date]]&lt;&gt;""),Main[[#This Row],[In Stock Date]]-Main[[#This Row],[Revised Due Date]],""))</f>
        <v/>
      </c>
      <c r="I632" s="101" t="s">
        <v>4</v>
      </c>
      <c r="J632" s="95" t="s">
        <v>4</v>
      </c>
      <c r="K632" s="95" t="s">
        <v>4</v>
      </c>
      <c r="L632" s="85"/>
      <c r="M632" s="73" t="str">
        <f>IF(Main[[#This Row],[Tech Start Date]]&lt;1/1/1990,"",IF(Main[[#This Row],[Class]]="C",WORKDAY(Main[[#This Row],[Tech Start Date]],9),IF(Main[[#This Row],[Class]]="B", WORKDAY(Main[[#This Row],[Tech Start Date]],6),IF(Main[[#This Row],[Class]]="A",WORKDAY(Main[[#This Row],[Tech Start Date]],2),""))))</f>
        <v/>
      </c>
      <c r="N632" s="73" t="str">
        <f>IF(Main[[#This Row],[Tech Start Date]]&lt;1/1/1990,"",IF(Main[[#This Row],[Class]]="C",WORKDAY(Main[[#This Row],[Tech Start Date]],19),IF(Main[[#This Row],[Class]]="B", WORKDAY(Main[[#This Row],[Tech Start Date]],12),IF(Main[[#This Row],[Class]]="A",WORKDAY(Main[[#This Row],[Tech Start Date]],4),""))))</f>
        <v/>
      </c>
      <c r="O632" s="73" t="str">
        <f>IF(Main[[#This Row],[Tech Start Date]]&lt;1/1/1990,"",IF(Main[[#This Row],[Class]]="C",WORKDAY(Main[[#This Row],[Tech Start Date]],23),IF(Main[[#This Row],[Class]]="B", WORKDAY(Main[[#This Row],[Tech Start Date]],15),IF(Main[[#This Row],[Class]]="A",WORKDAY(Main[[#This Row],[Tech Start Date]],5),""))))</f>
        <v/>
      </c>
      <c r="P632" s="73" t="str">
        <f>IF(Main[[#This Row],[Tech Start Date]]&lt;1/1/1990,"",IF(Main[[#This Row],[Class]]="C",WORKDAY(Main[[#This Row],[Tech Start Date]],28),IF(Main[[#This Row],[Class]]="B", WORKDAY(Main[[#This Row],[Tech Start Date]],19),IF(Main[[#This Row],[Class]]="A",WORKDAY(Main[[#This Row],[Tech Start Date]],9),""))))</f>
        <v/>
      </c>
      <c r="Q632" s="85">
        <v>40044</v>
      </c>
      <c r="R632" s="112"/>
      <c r="S632" s="95" t="s">
        <v>11</v>
      </c>
      <c r="T632" s="74" t="s">
        <v>4</v>
      </c>
      <c r="U632" s="95" t="s">
        <v>12</v>
      </c>
      <c r="V632" s="95" t="s">
        <v>1921</v>
      </c>
      <c r="W632" s="95" t="s">
        <v>1922</v>
      </c>
      <c r="X632" s="95" t="s">
        <v>2800</v>
      </c>
      <c r="Y632" s="72" t="s">
        <v>2934</v>
      </c>
      <c r="Z632" s="72" t="s">
        <v>81</v>
      </c>
      <c r="AA632" s="95" t="s">
        <v>2841</v>
      </c>
      <c r="AB632" s="132"/>
      <c r="AC632" s="132"/>
      <c r="AD632" s="132"/>
      <c r="AE632" s="63"/>
      <c r="AF632" s="63"/>
      <c r="AG632" s="63"/>
    </row>
    <row r="633" spans="1:33" ht="17.2" customHeight="1">
      <c r="A633" s="64" t="str">
        <f>IF(priority(Main[[#This Row],[Comments]])&lt;&gt;0, priority(Main[[#This Row],[Comments]]),"")</f>
        <v/>
      </c>
      <c r="B633" s="60" t="s">
        <v>1445</v>
      </c>
      <c r="C633" s="72" t="s">
        <v>4</v>
      </c>
      <c r="D633" s="59" t="s">
        <v>536</v>
      </c>
      <c r="E633" s="85"/>
      <c r="F633" s="85"/>
      <c r="G633" s="64" t="str">
        <f>IF(stdProdLT(Main[[#This Row],[Comments]])=0.1,"N/A",IF(stdProdLT(Main[[#This Row],[Comments]])=0,"",TRIM(stdProdLT(Main[[#This Row],[Comments]]))))</f>
        <v/>
      </c>
      <c r="H633" s="94" t="str">
        <f>IF(OR(Main[[#This Row],[Std. Prod. Lead Time]]="N/A",Main[[#This Row],[Std. Prod. Lead Time]]=""), "",IF(AND(Main[[#This Row],[In Stock Date]]&lt;&gt;"",Main[[#This Row],[Revised Due Date]]&lt;&gt;"",Main[[#This Row],[In Stock Date]]&lt;&gt;""),Main[[#This Row],[In Stock Date]]-Main[[#This Row],[Revised Due Date]],""))</f>
        <v/>
      </c>
      <c r="I633" s="101" t="s">
        <v>4</v>
      </c>
      <c r="J633" s="95" t="s">
        <v>4</v>
      </c>
      <c r="K633" s="96" t="s">
        <v>4</v>
      </c>
      <c r="L633" s="85"/>
      <c r="M633" s="73" t="str">
        <f>IF(Main[[#This Row],[Tech Start Date]]&lt;1/1/1990,"",IF(Main[[#This Row],[Class]]="C",WORKDAY(Main[[#This Row],[Tech Start Date]],9),IF(Main[[#This Row],[Class]]="B", WORKDAY(Main[[#This Row],[Tech Start Date]],6),IF(Main[[#This Row],[Class]]="A",WORKDAY(Main[[#This Row],[Tech Start Date]],2),""))))</f>
        <v/>
      </c>
      <c r="N633" s="73" t="str">
        <f>IF(Main[[#This Row],[Tech Start Date]]&lt;1/1/1990,"",IF(Main[[#This Row],[Class]]="C",WORKDAY(Main[[#This Row],[Tech Start Date]],19),IF(Main[[#This Row],[Class]]="B", WORKDAY(Main[[#This Row],[Tech Start Date]],12),IF(Main[[#This Row],[Class]]="A",WORKDAY(Main[[#This Row],[Tech Start Date]],4),""))))</f>
        <v/>
      </c>
      <c r="O633" s="73" t="str">
        <f>IF(Main[[#This Row],[Tech Start Date]]&lt;1/1/1990,"",IF(Main[[#This Row],[Class]]="C",WORKDAY(Main[[#This Row],[Tech Start Date]],23),IF(Main[[#This Row],[Class]]="B", WORKDAY(Main[[#This Row],[Tech Start Date]],15),IF(Main[[#This Row],[Class]]="A",WORKDAY(Main[[#This Row],[Tech Start Date]],5),""))))</f>
        <v/>
      </c>
      <c r="P633" s="73" t="str">
        <f>IF(Main[[#This Row],[Tech Start Date]]&lt;1/1/1990,"",IF(Main[[#This Row],[Class]]="C",WORKDAY(Main[[#This Row],[Tech Start Date]],28),IF(Main[[#This Row],[Class]]="B", WORKDAY(Main[[#This Row],[Tech Start Date]],19),IF(Main[[#This Row],[Class]]="A",WORKDAY(Main[[#This Row],[Tech Start Date]],9),""))))</f>
        <v/>
      </c>
      <c r="Q633" s="85"/>
      <c r="R633" s="112"/>
      <c r="S633" s="95" t="s">
        <v>6</v>
      </c>
      <c r="T633" s="74" t="s">
        <v>4</v>
      </c>
      <c r="U633" s="95" t="s">
        <v>14</v>
      </c>
      <c r="V633" s="95" t="s">
        <v>1914</v>
      </c>
      <c r="W633" s="95" t="s">
        <v>4</v>
      </c>
      <c r="X633" s="95" t="s">
        <v>2867</v>
      </c>
      <c r="Y633" s="72" t="s">
        <v>3021</v>
      </c>
      <c r="Z633" s="72" t="s">
        <v>4</v>
      </c>
      <c r="AA633" s="95" t="s">
        <v>2867</v>
      </c>
      <c r="AB633" s="132"/>
      <c r="AC633" s="132"/>
      <c r="AD633" s="132"/>
      <c r="AE633" s="63"/>
      <c r="AF633" s="63"/>
      <c r="AG633" s="63"/>
    </row>
    <row r="634" spans="1:33" ht="17.2" customHeight="1">
      <c r="A634" s="64" t="str">
        <f>IF(priority(Main[[#This Row],[Comments]])&lt;&gt;0, priority(Main[[#This Row],[Comments]]),"")</f>
        <v/>
      </c>
      <c r="B634" s="60" t="s">
        <v>3877</v>
      </c>
      <c r="C634" s="72" t="s">
        <v>4</v>
      </c>
      <c r="D634" s="59" t="s">
        <v>3878</v>
      </c>
      <c r="E634" s="85">
        <v>40973.679375</v>
      </c>
      <c r="F634" s="85"/>
      <c r="G634" s="64" t="str">
        <f>IF(stdProdLT(Main[[#This Row],[Comments]])=0.1,"N/A",IF(stdProdLT(Main[[#This Row],[Comments]])=0,"",TRIM(stdProdLT(Main[[#This Row],[Comments]]))))</f>
        <v/>
      </c>
      <c r="H634" s="94" t="str">
        <f>IF(OR(Main[[#This Row],[Std. Prod. Lead Time]]="N/A",Main[[#This Row],[Std. Prod. Lead Time]]=""), "",IF(AND(Main[[#This Row],[In Stock Date]]&lt;&gt;"",Main[[#This Row],[Revised Due Date]]&lt;&gt;"",Main[[#This Row],[In Stock Date]]&lt;&gt;""),Main[[#This Row],[In Stock Date]]-Main[[#This Row],[Revised Due Date]],""))</f>
        <v/>
      </c>
      <c r="I634" s="101" t="s">
        <v>4</v>
      </c>
      <c r="J634" s="95" t="s">
        <v>4</v>
      </c>
      <c r="K634" s="95" t="s">
        <v>4</v>
      </c>
      <c r="L634" s="85"/>
      <c r="M634" s="73" t="str">
        <f>IF(Main[[#This Row],[Tech Start Date]]&lt;1/1/1990,"",IF(Main[[#This Row],[Class]]="C",WORKDAY(Main[[#This Row],[Tech Start Date]],9),IF(Main[[#This Row],[Class]]="B", WORKDAY(Main[[#This Row],[Tech Start Date]],6),IF(Main[[#This Row],[Class]]="A",WORKDAY(Main[[#This Row],[Tech Start Date]],2),""))))</f>
        <v/>
      </c>
      <c r="N634" s="73" t="str">
        <f>IF(Main[[#This Row],[Tech Start Date]]&lt;1/1/1990,"",IF(Main[[#This Row],[Class]]="C",WORKDAY(Main[[#This Row],[Tech Start Date]],19),IF(Main[[#This Row],[Class]]="B", WORKDAY(Main[[#This Row],[Tech Start Date]],12),IF(Main[[#This Row],[Class]]="A",WORKDAY(Main[[#This Row],[Tech Start Date]],4),""))))</f>
        <v/>
      </c>
      <c r="O634" s="73" t="str">
        <f>IF(Main[[#This Row],[Tech Start Date]]&lt;1/1/1990,"",IF(Main[[#This Row],[Class]]="C",WORKDAY(Main[[#This Row],[Tech Start Date]],23),IF(Main[[#This Row],[Class]]="B", WORKDAY(Main[[#This Row],[Tech Start Date]],15),IF(Main[[#This Row],[Class]]="A",WORKDAY(Main[[#This Row],[Tech Start Date]],5),""))))</f>
        <v/>
      </c>
      <c r="P634" s="73" t="str">
        <f>IF(Main[[#This Row],[Tech Start Date]]&lt;1/1/1990,"",IF(Main[[#This Row],[Class]]="C",WORKDAY(Main[[#This Row],[Tech Start Date]],28),IF(Main[[#This Row],[Class]]="B", WORKDAY(Main[[#This Row],[Tech Start Date]],19),IF(Main[[#This Row],[Class]]="A",WORKDAY(Main[[#This Row],[Tech Start Date]],9),""))))</f>
        <v/>
      </c>
      <c r="Q634" s="85"/>
      <c r="R634" s="112"/>
      <c r="S634" s="95" t="s">
        <v>11</v>
      </c>
      <c r="T634" s="74" t="s">
        <v>4</v>
      </c>
      <c r="U634" s="95" t="s">
        <v>7</v>
      </c>
      <c r="V634" s="95" t="s">
        <v>1921</v>
      </c>
      <c r="W634" s="95" t="s">
        <v>1917</v>
      </c>
      <c r="X634" s="95" t="s">
        <v>2891</v>
      </c>
      <c r="Y634" s="72" t="s">
        <v>3870</v>
      </c>
      <c r="Z634" s="72" t="s">
        <v>4</v>
      </c>
      <c r="AA634" s="95" t="s">
        <v>2891</v>
      </c>
      <c r="AB634" s="132"/>
      <c r="AC634" s="132"/>
      <c r="AD634" s="132"/>
      <c r="AE634" s="63"/>
      <c r="AF634" s="63"/>
      <c r="AG634" s="63"/>
    </row>
    <row r="635" spans="1:33" ht="17.2" customHeight="1">
      <c r="A635" s="64" t="str">
        <f>IF(priority(Main[[#This Row],[Comments]])&lt;&gt;0, priority(Main[[#This Row],[Comments]]),"")</f>
        <v/>
      </c>
      <c r="B635" s="60" t="s">
        <v>1448</v>
      </c>
      <c r="C635" s="72" t="s">
        <v>4</v>
      </c>
      <c r="D635" s="59" t="s">
        <v>538</v>
      </c>
      <c r="E635" s="85"/>
      <c r="F635" s="85">
        <v>40390</v>
      </c>
      <c r="G635" s="64" t="str">
        <f>IF(stdProdLT(Main[[#This Row],[Comments]])=0.1,"N/A",IF(stdProdLT(Main[[#This Row],[Comments]])=0,"",TRIM(stdProdLT(Main[[#This Row],[Comments]]))))</f>
        <v/>
      </c>
      <c r="H635" s="94" t="str">
        <f>IF(OR(Main[[#This Row],[Std. Prod. Lead Time]]="N/A",Main[[#This Row],[Std. Prod. Lead Time]]=""), "",IF(AND(Main[[#This Row],[In Stock Date]]&lt;&gt;"",Main[[#This Row],[Revised Due Date]]&lt;&gt;"",Main[[#This Row],[In Stock Date]]&lt;&gt;""),Main[[#This Row],[In Stock Date]]-Main[[#This Row],[Revised Due Date]],""))</f>
        <v/>
      </c>
      <c r="I635" s="101" t="s">
        <v>4</v>
      </c>
      <c r="J635" s="95" t="s">
        <v>4</v>
      </c>
      <c r="K635" s="96" t="s">
        <v>4</v>
      </c>
      <c r="L635" s="85"/>
      <c r="M635" s="73" t="str">
        <f>IF(Main[[#This Row],[Tech Start Date]]&lt;1/1/1990,"",IF(Main[[#This Row],[Class]]="C",WORKDAY(Main[[#This Row],[Tech Start Date]],9),IF(Main[[#This Row],[Class]]="B", WORKDAY(Main[[#This Row],[Tech Start Date]],6),IF(Main[[#This Row],[Class]]="A",WORKDAY(Main[[#This Row],[Tech Start Date]],2),""))))</f>
        <v/>
      </c>
      <c r="N635" s="73" t="str">
        <f>IF(Main[[#This Row],[Tech Start Date]]&lt;1/1/1990,"",IF(Main[[#This Row],[Class]]="C",WORKDAY(Main[[#This Row],[Tech Start Date]],19),IF(Main[[#This Row],[Class]]="B", WORKDAY(Main[[#This Row],[Tech Start Date]],12),IF(Main[[#This Row],[Class]]="A",WORKDAY(Main[[#This Row],[Tech Start Date]],4),""))))</f>
        <v/>
      </c>
      <c r="O635" s="73" t="str">
        <f>IF(Main[[#This Row],[Tech Start Date]]&lt;1/1/1990,"",IF(Main[[#This Row],[Class]]="C",WORKDAY(Main[[#This Row],[Tech Start Date]],23),IF(Main[[#This Row],[Class]]="B", WORKDAY(Main[[#This Row],[Tech Start Date]],15),IF(Main[[#This Row],[Class]]="A",WORKDAY(Main[[#This Row],[Tech Start Date]],5),""))))</f>
        <v/>
      </c>
      <c r="P635" s="73" t="str">
        <f>IF(Main[[#This Row],[Tech Start Date]]&lt;1/1/1990,"",IF(Main[[#This Row],[Class]]="C",WORKDAY(Main[[#This Row],[Tech Start Date]],28),IF(Main[[#This Row],[Class]]="B", WORKDAY(Main[[#This Row],[Tech Start Date]],19),IF(Main[[#This Row],[Class]]="A",WORKDAY(Main[[#This Row],[Tech Start Date]],9),""))))</f>
        <v/>
      </c>
      <c r="Q635" s="85">
        <v>40329</v>
      </c>
      <c r="R635" s="112"/>
      <c r="S635" s="95" t="s">
        <v>11</v>
      </c>
      <c r="T635" s="74" t="s">
        <v>4</v>
      </c>
      <c r="U635" s="95" t="s">
        <v>12</v>
      </c>
      <c r="V635" s="95" t="s">
        <v>1921</v>
      </c>
      <c r="W635" s="95" t="s">
        <v>1917</v>
      </c>
      <c r="X635" s="95" t="s">
        <v>2852</v>
      </c>
      <c r="Y635" s="72" t="s">
        <v>2974</v>
      </c>
      <c r="Z635" s="72" t="s">
        <v>4</v>
      </c>
      <c r="AA635" s="95" t="s">
        <v>2852</v>
      </c>
      <c r="AB635" s="132"/>
      <c r="AC635" s="132"/>
      <c r="AD635" s="132"/>
      <c r="AE635" s="63"/>
      <c r="AF635" s="63"/>
      <c r="AG635" s="63"/>
    </row>
    <row r="636" spans="1:33" ht="17.2" customHeight="1">
      <c r="A636" s="64" t="str">
        <f>IF(priority(Main[[#This Row],[Comments]])&lt;&gt;0, priority(Main[[#This Row],[Comments]]),"")</f>
        <v/>
      </c>
      <c r="B636" s="60" t="s">
        <v>2699</v>
      </c>
      <c r="C636" s="72" t="s">
        <v>4</v>
      </c>
      <c r="D636" s="59" t="s">
        <v>2700</v>
      </c>
      <c r="E636" s="85">
        <v>40884.602025462962</v>
      </c>
      <c r="F636" s="85"/>
      <c r="G636" s="64" t="str">
        <f>IF(stdProdLT(Main[[#This Row],[Comments]])=0.1,"N/A",IF(stdProdLT(Main[[#This Row],[Comments]])=0,"",TRIM(stdProdLT(Main[[#This Row],[Comments]]))))</f>
        <v/>
      </c>
      <c r="H636" s="94" t="str">
        <f>IF(OR(Main[[#This Row],[Std. Prod. Lead Time]]="N/A",Main[[#This Row],[Std. Prod. Lead Time]]=""), "",IF(AND(Main[[#This Row],[In Stock Date]]&lt;&gt;"",Main[[#This Row],[Revised Due Date]]&lt;&gt;"",Main[[#This Row],[In Stock Date]]&lt;&gt;""),Main[[#This Row],[In Stock Date]]-Main[[#This Row],[Revised Due Date]],""))</f>
        <v/>
      </c>
      <c r="I636" s="101" t="s">
        <v>4</v>
      </c>
      <c r="J636" s="95" t="s">
        <v>4</v>
      </c>
      <c r="K636" s="95" t="s">
        <v>4</v>
      </c>
      <c r="L636" s="85"/>
      <c r="M636" s="73" t="str">
        <f>IF(Main[[#This Row],[Tech Start Date]]&lt;1/1/1990,"",IF(Main[[#This Row],[Class]]="C",WORKDAY(Main[[#This Row],[Tech Start Date]],9),IF(Main[[#This Row],[Class]]="B", WORKDAY(Main[[#This Row],[Tech Start Date]],6),IF(Main[[#This Row],[Class]]="A",WORKDAY(Main[[#This Row],[Tech Start Date]],2),""))))</f>
        <v/>
      </c>
      <c r="N636" s="73" t="str">
        <f>IF(Main[[#This Row],[Tech Start Date]]&lt;1/1/1990,"",IF(Main[[#This Row],[Class]]="C",WORKDAY(Main[[#This Row],[Tech Start Date]],19),IF(Main[[#This Row],[Class]]="B", WORKDAY(Main[[#This Row],[Tech Start Date]],12),IF(Main[[#This Row],[Class]]="A",WORKDAY(Main[[#This Row],[Tech Start Date]],4),""))))</f>
        <v/>
      </c>
      <c r="O636" s="73" t="str">
        <f>IF(Main[[#This Row],[Tech Start Date]]&lt;1/1/1990,"",IF(Main[[#This Row],[Class]]="C",WORKDAY(Main[[#This Row],[Tech Start Date]],23),IF(Main[[#This Row],[Class]]="B", WORKDAY(Main[[#This Row],[Tech Start Date]],15),IF(Main[[#This Row],[Class]]="A",WORKDAY(Main[[#This Row],[Tech Start Date]],5),""))))</f>
        <v/>
      </c>
      <c r="P636" s="73" t="str">
        <f>IF(Main[[#This Row],[Tech Start Date]]&lt;1/1/1990,"",IF(Main[[#This Row],[Class]]="C",WORKDAY(Main[[#This Row],[Tech Start Date]],28),IF(Main[[#This Row],[Class]]="B", WORKDAY(Main[[#This Row],[Tech Start Date]],19),IF(Main[[#This Row],[Class]]="A",WORKDAY(Main[[#This Row],[Tech Start Date]],9),""))))</f>
        <v/>
      </c>
      <c r="Q636" s="85"/>
      <c r="R636" s="112"/>
      <c r="S636" s="95" t="s">
        <v>17</v>
      </c>
      <c r="T636" s="74" t="s">
        <v>4</v>
      </c>
      <c r="U636" s="95" t="s">
        <v>7</v>
      </c>
      <c r="V636" s="95" t="s">
        <v>1926</v>
      </c>
      <c r="W636" s="95" t="s">
        <v>1916</v>
      </c>
      <c r="X636" s="95" t="s">
        <v>922</v>
      </c>
      <c r="Y636" s="72" t="s">
        <v>2995</v>
      </c>
      <c r="Z636" s="72" t="s">
        <v>4</v>
      </c>
      <c r="AA636" s="95" t="s">
        <v>907</v>
      </c>
      <c r="AB636" s="132"/>
      <c r="AC636" s="132"/>
      <c r="AD636" s="132"/>
      <c r="AE636" s="63"/>
      <c r="AF636" s="63"/>
      <c r="AG636" s="63"/>
    </row>
    <row r="637" spans="1:33" ht="17.2" customHeight="1">
      <c r="A637" s="64" t="str">
        <f>IF(priority(Main[[#This Row],[Comments]])&lt;&gt;0, priority(Main[[#This Row],[Comments]]),"")</f>
        <v/>
      </c>
      <c r="B637" s="60" t="s">
        <v>1449</v>
      </c>
      <c r="C637" s="72" t="s">
        <v>4</v>
      </c>
      <c r="D637" s="59" t="s">
        <v>539</v>
      </c>
      <c r="E637" s="85"/>
      <c r="F637" s="85"/>
      <c r="G637" s="64" t="str">
        <f>IF(stdProdLT(Main[[#This Row],[Comments]])=0.1,"N/A",IF(stdProdLT(Main[[#This Row],[Comments]])=0,"",TRIM(stdProdLT(Main[[#This Row],[Comments]]))))</f>
        <v/>
      </c>
      <c r="H637" s="94" t="str">
        <f>IF(OR(Main[[#This Row],[Std. Prod. Lead Time]]="N/A",Main[[#This Row],[Std. Prod. Lead Time]]=""), "",IF(AND(Main[[#This Row],[In Stock Date]]&lt;&gt;"",Main[[#This Row],[Revised Due Date]]&lt;&gt;"",Main[[#This Row],[In Stock Date]]&lt;&gt;""),Main[[#This Row],[In Stock Date]]-Main[[#This Row],[Revised Due Date]],""))</f>
        <v/>
      </c>
      <c r="I637" s="101" t="s">
        <v>4</v>
      </c>
      <c r="J637" s="95" t="s">
        <v>4</v>
      </c>
      <c r="K637" s="95" t="s">
        <v>4</v>
      </c>
      <c r="L637" s="85"/>
      <c r="M637" s="73" t="str">
        <f>IF(Main[[#This Row],[Tech Start Date]]&lt;1/1/1990,"",IF(Main[[#This Row],[Class]]="C",WORKDAY(Main[[#This Row],[Tech Start Date]],9),IF(Main[[#This Row],[Class]]="B", WORKDAY(Main[[#This Row],[Tech Start Date]],6),IF(Main[[#This Row],[Class]]="A",WORKDAY(Main[[#This Row],[Tech Start Date]],2),""))))</f>
        <v/>
      </c>
      <c r="N637" s="73" t="str">
        <f>IF(Main[[#This Row],[Tech Start Date]]&lt;1/1/1990,"",IF(Main[[#This Row],[Class]]="C",WORKDAY(Main[[#This Row],[Tech Start Date]],19),IF(Main[[#This Row],[Class]]="B", WORKDAY(Main[[#This Row],[Tech Start Date]],12),IF(Main[[#This Row],[Class]]="A",WORKDAY(Main[[#This Row],[Tech Start Date]],4),""))))</f>
        <v/>
      </c>
      <c r="O637" s="73" t="str">
        <f>IF(Main[[#This Row],[Tech Start Date]]&lt;1/1/1990,"",IF(Main[[#This Row],[Class]]="C",WORKDAY(Main[[#This Row],[Tech Start Date]],23),IF(Main[[#This Row],[Class]]="B", WORKDAY(Main[[#This Row],[Tech Start Date]],15),IF(Main[[#This Row],[Class]]="A",WORKDAY(Main[[#This Row],[Tech Start Date]],5),""))))</f>
        <v/>
      </c>
      <c r="P637" s="73" t="str">
        <f>IF(Main[[#This Row],[Tech Start Date]]&lt;1/1/1990,"",IF(Main[[#This Row],[Class]]="C",WORKDAY(Main[[#This Row],[Tech Start Date]],28),IF(Main[[#This Row],[Class]]="B", WORKDAY(Main[[#This Row],[Tech Start Date]],19),IF(Main[[#This Row],[Class]]="A",WORKDAY(Main[[#This Row],[Tech Start Date]],9),""))))</f>
        <v/>
      </c>
      <c r="Q637" s="85"/>
      <c r="R637" s="112"/>
      <c r="S637" s="95" t="s">
        <v>11</v>
      </c>
      <c r="T637" s="74" t="s">
        <v>4</v>
      </c>
      <c r="U637" s="95" t="s">
        <v>12</v>
      </c>
      <c r="V637" s="95" t="s">
        <v>1911</v>
      </c>
      <c r="W637" s="95" t="s">
        <v>1919</v>
      </c>
      <c r="X637" s="95" t="s">
        <v>907</v>
      </c>
      <c r="Y637" s="72" t="s">
        <v>4</v>
      </c>
      <c r="Z637" s="72" t="s">
        <v>4</v>
      </c>
      <c r="AA637" s="95" t="s">
        <v>4</v>
      </c>
      <c r="AB637" s="132"/>
      <c r="AC637" s="132"/>
      <c r="AD637" s="132"/>
      <c r="AE637" s="63"/>
      <c r="AF637" s="63"/>
      <c r="AG637" s="63"/>
    </row>
    <row r="638" spans="1:33" ht="17.2" customHeight="1">
      <c r="A638" s="64" t="str">
        <f>IF(priority(Main[[#This Row],[Comments]])&lt;&gt;0, priority(Main[[#This Row],[Comments]]),"")</f>
        <v/>
      </c>
      <c r="B638" s="60" t="s">
        <v>1450</v>
      </c>
      <c r="C638" s="72" t="s">
        <v>284</v>
      </c>
      <c r="D638" s="59" t="s">
        <v>540</v>
      </c>
      <c r="E638" s="85"/>
      <c r="F638" s="85"/>
      <c r="G638" s="64" t="str">
        <f>IF(stdProdLT(Main[[#This Row],[Comments]])=0.1,"N/A",IF(stdProdLT(Main[[#This Row],[Comments]])=0,"",TRIM(stdProdLT(Main[[#This Row],[Comments]]))))</f>
        <v/>
      </c>
      <c r="H638" s="94" t="str">
        <f>IF(OR(Main[[#This Row],[Std. Prod. Lead Time]]="N/A",Main[[#This Row],[Std. Prod. Lead Time]]=""), "",IF(AND(Main[[#This Row],[In Stock Date]]&lt;&gt;"",Main[[#This Row],[Revised Due Date]]&lt;&gt;"",Main[[#This Row],[In Stock Date]]&lt;&gt;""),Main[[#This Row],[In Stock Date]]-Main[[#This Row],[Revised Due Date]],""))</f>
        <v/>
      </c>
      <c r="I638" s="101" t="s">
        <v>4</v>
      </c>
      <c r="J638" s="95" t="s">
        <v>4</v>
      </c>
      <c r="K638" s="96" t="s">
        <v>4</v>
      </c>
      <c r="L638" s="85"/>
      <c r="M638" s="73" t="str">
        <f>IF(Main[[#This Row],[Tech Start Date]]&lt;1/1/1990,"",IF(Main[[#This Row],[Class]]="C",WORKDAY(Main[[#This Row],[Tech Start Date]],9),IF(Main[[#This Row],[Class]]="B", WORKDAY(Main[[#This Row],[Tech Start Date]],6),IF(Main[[#This Row],[Class]]="A",WORKDAY(Main[[#This Row],[Tech Start Date]],2),""))))</f>
        <v/>
      </c>
      <c r="N638" s="73" t="str">
        <f>IF(Main[[#This Row],[Tech Start Date]]&lt;1/1/1990,"",IF(Main[[#This Row],[Class]]="C",WORKDAY(Main[[#This Row],[Tech Start Date]],19),IF(Main[[#This Row],[Class]]="B", WORKDAY(Main[[#This Row],[Tech Start Date]],12),IF(Main[[#This Row],[Class]]="A",WORKDAY(Main[[#This Row],[Tech Start Date]],4),""))))</f>
        <v/>
      </c>
      <c r="O638" s="73" t="str">
        <f>IF(Main[[#This Row],[Tech Start Date]]&lt;1/1/1990,"",IF(Main[[#This Row],[Class]]="C",WORKDAY(Main[[#This Row],[Tech Start Date]],23),IF(Main[[#This Row],[Class]]="B", WORKDAY(Main[[#This Row],[Tech Start Date]],15),IF(Main[[#This Row],[Class]]="A",WORKDAY(Main[[#This Row],[Tech Start Date]],5),""))))</f>
        <v/>
      </c>
      <c r="P638" s="73" t="str">
        <f>IF(Main[[#This Row],[Tech Start Date]]&lt;1/1/1990,"",IF(Main[[#This Row],[Class]]="C",WORKDAY(Main[[#This Row],[Tech Start Date]],28),IF(Main[[#This Row],[Class]]="B", WORKDAY(Main[[#This Row],[Tech Start Date]],19),IF(Main[[#This Row],[Class]]="A",WORKDAY(Main[[#This Row],[Tech Start Date]],9),""))))</f>
        <v/>
      </c>
      <c r="Q638" s="85">
        <v>40147</v>
      </c>
      <c r="R638" s="112"/>
      <c r="S638" s="95" t="s">
        <v>11</v>
      </c>
      <c r="T638" s="74" t="s">
        <v>4</v>
      </c>
      <c r="U638" s="95" t="s">
        <v>14</v>
      </c>
      <c r="V638" s="95" t="s">
        <v>1921</v>
      </c>
      <c r="W638" s="95" t="s">
        <v>1919</v>
      </c>
      <c r="X638" s="95" t="s">
        <v>2797</v>
      </c>
      <c r="Y638" s="72" t="s">
        <v>4</v>
      </c>
      <c r="Z638" s="72" t="s">
        <v>4</v>
      </c>
      <c r="AA638" s="95" t="s">
        <v>2797</v>
      </c>
      <c r="AB638" s="132"/>
      <c r="AC638" s="132"/>
      <c r="AD638" s="132"/>
      <c r="AE638" s="63"/>
      <c r="AF638" s="63"/>
      <c r="AG638" s="63"/>
    </row>
    <row r="639" spans="1:33" ht="17.2" customHeight="1">
      <c r="A639" s="64" t="str">
        <f>IF(priority(Main[[#This Row],[Comments]])&lt;&gt;0, priority(Main[[#This Row],[Comments]]),"")</f>
        <v/>
      </c>
      <c r="B639" s="60" t="s">
        <v>1451</v>
      </c>
      <c r="C639" s="72" t="s">
        <v>31</v>
      </c>
      <c r="D639" s="59" t="s">
        <v>541</v>
      </c>
      <c r="E639" s="85"/>
      <c r="F639" s="85">
        <v>40512</v>
      </c>
      <c r="G639" s="64" t="str">
        <f>IF(stdProdLT(Main[[#This Row],[Comments]])=0.1,"N/A",IF(stdProdLT(Main[[#This Row],[Comments]])=0,"",TRIM(stdProdLT(Main[[#This Row],[Comments]]))))</f>
        <v/>
      </c>
      <c r="H639" s="94" t="str">
        <f>IF(OR(Main[[#This Row],[Std. Prod. Lead Time]]="N/A",Main[[#This Row],[Std. Prod. Lead Time]]=""), "",IF(AND(Main[[#This Row],[In Stock Date]]&lt;&gt;"",Main[[#This Row],[Revised Due Date]]&lt;&gt;"",Main[[#This Row],[In Stock Date]]&lt;&gt;""),Main[[#This Row],[In Stock Date]]-Main[[#This Row],[Revised Due Date]],""))</f>
        <v/>
      </c>
      <c r="I639" s="101" t="s">
        <v>4</v>
      </c>
      <c r="J639" s="95" t="s">
        <v>4</v>
      </c>
      <c r="K639" s="95" t="s">
        <v>4</v>
      </c>
      <c r="L639" s="85"/>
      <c r="M639" s="73" t="str">
        <f>IF(Main[[#This Row],[Tech Start Date]]&lt;1/1/1990,"",IF(Main[[#This Row],[Class]]="C",WORKDAY(Main[[#This Row],[Tech Start Date]],9),IF(Main[[#This Row],[Class]]="B", WORKDAY(Main[[#This Row],[Tech Start Date]],6),IF(Main[[#This Row],[Class]]="A",WORKDAY(Main[[#This Row],[Tech Start Date]],2),""))))</f>
        <v/>
      </c>
      <c r="N639" s="73" t="str">
        <f>IF(Main[[#This Row],[Tech Start Date]]&lt;1/1/1990,"",IF(Main[[#This Row],[Class]]="C",WORKDAY(Main[[#This Row],[Tech Start Date]],19),IF(Main[[#This Row],[Class]]="B", WORKDAY(Main[[#This Row],[Tech Start Date]],12),IF(Main[[#This Row],[Class]]="A",WORKDAY(Main[[#This Row],[Tech Start Date]],4),""))))</f>
        <v/>
      </c>
      <c r="O639" s="73" t="str">
        <f>IF(Main[[#This Row],[Tech Start Date]]&lt;1/1/1990,"",IF(Main[[#This Row],[Class]]="C",WORKDAY(Main[[#This Row],[Tech Start Date]],23),IF(Main[[#This Row],[Class]]="B", WORKDAY(Main[[#This Row],[Tech Start Date]],15),IF(Main[[#This Row],[Class]]="A",WORKDAY(Main[[#This Row],[Tech Start Date]],5),""))))</f>
        <v/>
      </c>
      <c r="P639" s="73" t="str">
        <f>IF(Main[[#This Row],[Tech Start Date]]&lt;1/1/1990,"",IF(Main[[#This Row],[Class]]="C",WORKDAY(Main[[#This Row],[Tech Start Date]],28),IF(Main[[#This Row],[Class]]="B", WORKDAY(Main[[#This Row],[Tech Start Date]],19),IF(Main[[#This Row],[Class]]="A",WORKDAY(Main[[#This Row],[Tech Start Date]],9),""))))</f>
        <v/>
      </c>
      <c r="Q639" s="85">
        <v>40415</v>
      </c>
      <c r="R639" s="112"/>
      <c r="S639" s="95" t="s">
        <v>11</v>
      </c>
      <c r="T639" s="74" t="s">
        <v>4</v>
      </c>
      <c r="U639" s="95" t="s">
        <v>14</v>
      </c>
      <c r="V639" s="95" t="s">
        <v>1914</v>
      </c>
      <c r="W639" s="95" t="s">
        <v>1917</v>
      </c>
      <c r="X639" s="95" t="s">
        <v>2810</v>
      </c>
      <c r="Y639" s="72" t="s">
        <v>2931</v>
      </c>
      <c r="Z639" s="72" t="s">
        <v>4</v>
      </c>
      <c r="AA639" s="95" t="s">
        <v>2810</v>
      </c>
      <c r="AB639" s="132"/>
      <c r="AC639" s="132"/>
      <c r="AD639" s="132"/>
      <c r="AE639" s="63"/>
      <c r="AF639" s="63"/>
      <c r="AG639" s="63"/>
    </row>
    <row r="640" spans="1:33" ht="17.2" customHeight="1">
      <c r="A640" s="64" t="str">
        <f>IF(priority(Main[[#This Row],[Comments]])&lt;&gt;0, priority(Main[[#This Row],[Comments]]),"")</f>
        <v/>
      </c>
      <c r="B640" s="60" t="s">
        <v>1452</v>
      </c>
      <c r="C640" s="72" t="s">
        <v>542</v>
      </c>
      <c r="D640" s="59" t="s">
        <v>543</v>
      </c>
      <c r="E640" s="85"/>
      <c r="F640" s="85">
        <v>40179</v>
      </c>
      <c r="G640" s="64" t="str">
        <f>IF(stdProdLT(Main[[#This Row],[Comments]])=0.1,"N/A",IF(stdProdLT(Main[[#This Row],[Comments]])=0,"",TRIM(stdProdLT(Main[[#This Row],[Comments]]))))</f>
        <v/>
      </c>
      <c r="H640" s="94" t="str">
        <f>IF(OR(Main[[#This Row],[Std. Prod. Lead Time]]="N/A",Main[[#This Row],[Std. Prod. Lead Time]]=""), "",IF(AND(Main[[#This Row],[In Stock Date]]&lt;&gt;"",Main[[#This Row],[Revised Due Date]]&lt;&gt;"",Main[[#This Row],[In Stock Date]]&lt;&gt;""),Main[[#This Row],[In Stock Date]]-Main[[#This Row],[Revised Due Date]],""))</f>
        <v/>
      </c>
      <c r="I640" s="101" t="s">
        <v>4</v>
      </c>
      <c r="J640" s="95" t="s">
        <v>4</v>
      </c>
      <c r="K640" s="95" t="s">
        <v>4</v>
      </c>
      <c r="L640" s="85"/>
      <c r="M640" s="73" t="str">
        <f>IF(Main[[#This Row],[Tech Start Date]]&lt;1/1/1990,"",IF(Main[[#This Row],[Class]]="C",WORKDAY(Main[[#This Row],[Tech Start Date]],9),IF(Main[[#This Row],[Class]]="B", WORKDAY(Main[[#This Row],[Tech Start Date]],6),IF(Main[[#This Row],[Class]]="A",WORKDAY(Main[[#This Row],[Tech Start Date]],2),""))))</f>
        <v/>
      </c>
      <c r="N640" s="73" t="str">
        <f>IF(Main[[#This Row],[Tech Start Date]]&lt;1/1/1990,"",IF(Main[[#This Row],[Class]]="C",WORKDAY(Main[[#This Row],[Tech Start Date]],19),IF(Main[[#This Row],[Class]]="B", WORKDAY(Main[[#This Row],[Tech Start Date]],12),IF(Main[[#This Row],[Class]]="A",WORKDAY(Main[[#This Row],[Tech Start Date]],4),""))))</f>
        <v/>
      </c>
      <c r="O640" s="73" t="str">
        <f>IF(Main[[#This Row],[Tech Start Date]]&lt;1/1/1990,"",IF(Main[[#This Row],[Class]]="C",WORKDAY(Main[[#This Row],[Tech Start Date]],23),IF(Main[[#This Row],[Class]]="B", WORKDAY(Main[[#This Row],[Tech Start Date]],15),IF(Main[[#This Row],[Class]]="A",WORKDAY(Main[[#This Row],[Tech Start Date]],5),""))))</f>
        <v/>
      </c>
      <c r="P640" s="73" t="str">
        <f>IF(Main[[#This Row],[Tech Start Date]]&lt;1/1/1990,"",IF(Main[[#This Row],[Class]]="C",WORKDAY(Main[[#This Row],[Tech Start Date]],28),IF(Main[[#This Row],[Class]]="B", WORKDAY(Main[[#This Row],[Tech Start Date]],19),IF(Main[[#This Row],[Class]]="A",WORKDAY(Main[[#This Row],[Tech Start Date]],9),""))))</f>
        <v/>
      </c>
      <c r="Q640" s="85">
        <v>40179</v>
      </c>
      <c r="R640" s="112"/>
      <c r="S640" s="95" t="s">
        <v>11</v>
      </c>
      <c r="T640" s="74" t="s">
        <v>4</v>
      </c>
      <c r="U640" s="95" t="s">
        <v>14</v>
      </c>
      <c r="V640" s="95" t="s">
        <v>1911</v>
      </c>
      <c r="W640" s="95" t="s">
        <v>1919</v>
      </c>
      <c r="X640" s="95" t="s">
        <v>2830</v>
      </c>
      <c r="Y640" s="72" t="s">
        <v>4</v>
      </c>
      <c r="Z640" s="72" t="s">
        <v>4</v>
      </c>
      <c r="AA640" s="95" t="s">
        <v>2830</v>
      </c>
      <c r="AB640" s="132"/>
      <c r="AC640" s="132"/>
      <c r="AD640" s="132"/>
      <c r="AE640" s="63"/>
      <c r="AF640" s="63"/>
      <c r="AG640" s="63"/>
    </row>
    <row r="641" spans="1:33" ht="17.2" customHeight="1">
      <c r="A641" s="64" t="str">
        <f>IF(priority(Main[[#This Row],[Comments]])&lt;&gt;0, priority(Main[[#This Row],[Comments]]),"")</f>
        <v/>
      </c>
      <c r="B641" s="60" t="s">
        <v>1453</v>
      </c>
      <c r="C641" s="72" t="s">
        <v>4</v>
      </c>
      <c r="D641" s="59" t="s">
        <v>544</v>
      </c>
      <c r="E641" s="85">
        <v>40675.613807870373</v>
      </c>
      <c r="F641" s="85"/>
      <c r="G641" s="64" t="str">
        <f>IF(stdProdLT(Main[[#This Row],[Comments]])=0.1,"N/A",IF(stdProdLT(Main[[#This Row],[Comments]])=0,"",TRIM(stdProdLT(Main[[#This Row],[Comments]]))))</f>
        <v/>
      </c>
      <c r="H641" s="94" t="str">
        <f>IF(OR(Main[[#This Row],[Std. Prod. Lead Time]]="N/A",Main[[#This Row],[Std. Prod. Lead Time]]=""), "",IF(AND(Main[[#This Row],[In Stock Date]]&lt;&gt;"",Main[[#This Row],[Revised Due Date]]&lt;&gt;"",Main[[#This Row],[In Stock Date]]&lt;&gt;""),Main[[#This Row],[In Stock Date]]-Main[[#This Row],[Revised Due Date]],""))</f>
        <v/>
      </c>
      <c r="I641" s="101" t="s">
        <v>4</v>
      </c>
      <c r="J641" s="95" t="s">
        <v>4</v>
      </c>
      <c r="K641" s="95" t="s">
        <v>4</v>
      </c>
      <c r="L641" s="85"/>
      <c r="M641" s="73" t="str">
        <f>IF(Main[[#This Row],[Tech Start Date]]&lt;1/1/1990,"",IF(Main[[#This Row],[Class]]="C",WORKDAY(Main[[#This Row],[Tech Start Date]],9),IF(Main[[#This Row],[Class]]="B", WORKDAY(Main[[#This Row],[Tech Start Date]],6),IF(Main[[#This Row],[Class]]="A",WORKDAY(Main[[#This Row],[Tech Start Date]],2),""))))</f>
        <v/>
      </c>
      <c r="N641" s="73" t="str">
        <f>IF(Main[[#This Row],[Tech Start Date]]&lt;1/1/1990,"",IF(Main[[#This Row],[Class]]="C",WORKDAY(Main[[#This Row],[Tech Start Date]],19),IF(Main[[#This Row],[Class]]="B", WORKDAY(Main[[#This Row],[Tech Start Date]],12),IF(Main[[#This Row],[Class]]="A",WORKDAY(Main[[#This Row],[Tech Start Date]],4),""))))</f>
        <v/>
      </c>
      <c r="O641" s="73" t="str">
        <f>IF(Main[[#This Row],[Tech Start Date]]&lt;1/1/1990,"",IF(Main[[#This Row],[Class]]="C",WORKDAY(Main[[#This Row],[Tech Start Date]],23),IF(Main[[#This Row],[Class]]="B", WORKDAY(Main[[#This Row],[Tech Start Date]],15),IF(Main[[#This Row],[Class]]="A",WORKDAY(Main[[#This Row],[Tech Start Date]],5),""))))</f>
        <v/>
      </c>
      <c r="P641" s="73" t="str">
        <f>IF(Main[[#This Row],[Tech Start Date]]&lt;1/1/1990,"",IF(Main[[#This Row],[Class]]="C",WORKDAY(Main[[#This Row],[Tech Start Date]],28),IF(Main[[#This Row],[Class]]="B", WORKDAY(Main[[#This Row],[Tech Start Date]],19),IF(Main[[#This Row],[Class]]="A",WORKDAY(Main[[#This Row],[Tech Start Date]],9),""))))</f>
        <v/>
      </c>
      <c r="Q641" s="85">
        <v>40676</v>
      </c>
      <c r="R641" s="112"/>
      <c r="S641" s="95" t="s">
        <v>6</v>
      </c>
      <c r="T641" s="74" t="s">
        <v>4</v>
      </c>
      <c r="U641" s="95" t="s">
        <v>7</v>
      </c>
      <c r="V641" s="95" t="s">
        <v>1911</v>
      </c>
      <c r="W641" s="95" t="s">
        <v>1915</v>
      </c>
      <c r="X641" s="95" t="s">
        <v>126</v>
      </c>
      <c r="Y641" s="72" t="s">
        <v>3011</v>
      </c>
      <c r="Z641" s="72" t="s">
        <v>4</v>
      </c>
      <c r="AA641" s="95" t="s">
        <v>126</v>
      </c>
      <c r="AB641" s="132"/>
      <c r="AC641" s="132"/>
      <c r="AD641" s="132"/>
      <c r="AE641" s="63"/>
      <c r="AF641" s="63"/>
      <c r="AG641" s="63"/>
    </row>
    <row r="642" spans="1:33" ht="17.2" customHeight="1">
      <c r="A642" s="64" t="str">
        <f>IF(priority(Main[[#This Row],[Comments]])&lt;&gt;0, priority(Main[[#This Row],[Comments]]),"")</f>
        <v/>
      </c>
      <c r="B642" s="60" t="s">
        <v>1454</v>
      </c>
      <c r="C642" s="72" t="s">
        <v>4</v>
      </c>
      <c r="D642" s="59" t="s">
        <v>545</v>
      </c>
      <c r="E642" s="85">
        <v>40519.5781712963</v>
      </c>
      <c r="F642" s="85"/>
      <c r="G642" s="64" t="str">
        <f>IF(stdProdLT(Main[[#This Row],[Comments]])=0.1,"N/A",IF(stdProdLT(Main[[#This Row],[Comments]])=0,"",TRIM(stdProdLT(Main[[#This Row],[Comments]]))))</f>
        <v/>
      </c>
      <c r="H642" s="94" t="str">
        <f>IF(OR(Main[[#This Row],[Std. Prod. Lead Time]]="N/A",Main[[#This Row],[Std. Prod. Lead Time]]=""), "",IF(AND(Main[[#This Row],[In Stock Date]]&lt;&gt;"",Main[[#This Row],[Revised Due Date]]&lt;&gt;"",Main[[#This Row],[In Stock Date]]&lt;&gt;""),Main[[#This Row],[In Stock Date]]-Main[[#This Row],[Revised Due Date]],""))</f>
        <v/>
      </c>
      <c r="I642" s="101" t="s">
        <v>4</v>
      </c>
      <c r="J642" s="95" t="s">
        <v>28</v>
      </c>
      <c r="K642" s="95" t="s">
        <v>4</v>
      </c>
      <c r="L642" s="85"/>
      <c r="M642" s="73" t="str">
        <f>IF(Main[[#This Row],[Tech Start Date]]&lt;1/1/1990,"",IF(Main[[#This Row],[Class]]="C",WORKDAY(Main[[#This Row],[Tech Start Date]],9),IF(Main[[#This Row],[Class]]="B", WORKDAY(Main[[#This Row],[Tech Start Date]],6),IF(Main[[#This Row],[Class]]="A",WORKDAY(Main[[#This Row],[Tech Start Date]],2),""))))</f>
        <v/>
      </c>
      <c r="N642" s="73" t="str">
        <f>IF(Main[[#This Row],[Tech Start Date]]&lt;1/1/1990,"",IF(Main[[#This Row],[Class]]="C",WORKDAY(Main[[#This Row],[Tech Start Date]],19),IF(Main[[#This Row],[Class]]="B", WORKDAY(Main[[#This Row],[Tech Start Date]],12),IF(Main[[#This Row],[Class]]="A",WORKDAY(Main[[#This Row],[Tech Start Date]],4),""))))</f>
        <v/>
      </c>
      <c r="O642" s="73" t="str">
        <f>IF(Main[[#This Row],[Tech Start Date]]&lt;1/1/1990,"",IF(Main[[#This Row],[Class]]="C",WORKDAY(Main[[#This Row],[Tech Start Date]],23),IF(Main[[#This Row],[Class]]="B", WORKDAY(Main[[#This Row],[Tech Start Date]],15),IF(Main[[#This Row],[Class]]="A",WORKDAY(Main[[#This Row],[Tech Start Date]],5),""))))</f>
        <v/>
      </c>
      <c r="P642" s="73" t="str">
        <f>IF(Main[[#This Row],[Tech Start Date]]&lt;1/1/1990,"",IF(Main[[#This Row],[Class]]="C",WORKDAY(Main[[#This Row],[Tech Start Date]],28),IF(Main[[#This Row],[Class]]="B", WORKDAY(Main[[#This Row],[Tech Start Date]],19),IF(Main[[#This Row],[Class]]="A",WORKDAY(Main[[#This Row],[Tech Start Date]],9),""))))</f>
        <v/>
      </c>
      <c r="Q642" s="85"/>
      <c r="R642" s="112"/>
      <c r="S642" s="95" t="s">
        <v>6</v>
      </c>
      <c r="T642" s="74" t="s">
        <v>4</v>
      </c>
      <c r="U642" s="95" t="s">
        <v>7</v>
      </c>
      <c r="V642" s="95" t="s">
        <v>1911</v>
      </c>
      <c r="W642" s="95" t="s">
        <v>1913</v>
      </c>
      <c r="X642" s="95" t="s">
        <v>2799</v>
      </c>
      <c r="Y642" s="72" t="s">
        <v>2910</v>
      </c>
      <c r="Z642" s="72" t="s">
        <v>129</v>
      </c>
      <c r="AA642" s="95" t="s">
        <v>2799</v>
      </c>
      <c r="AB642" s="132"/>
      <c r="AC642" s="132"/>
      <c r="AD642" s="132"/>
      <c r="AE642" s="63"/>
      <c r="AF642" s="63"/>
      <c r="AG642" s="63"/>
    </row>
    <row r="643" spans="1:33" ht="17.2" customHeight="1">
      <c r="A643" s="64" t="str">
        <f>IF(priority(Main[[#This Row],[Comments]])&lt;&gt;0, priority(Main[[#This Row],[Comments]]),"")</f>
        <v/>
      </c>
      <c r="B643" s="60" t="s">
        <v>1455</v>
      </c>
      <c r="C643" s="72" t="s">
        <v>546</v>
      </c>
      <c r="D643" s="59" t="s">
        <v>547</v>
      </c>
      <c r="E643" s="85"/>
      <c r="F643" s="85">
        <v>40549</v>
      </c>
      <c r="G643" s="64" t="str">
        <f>IF(stdProdLT(Main[[#This Row],[Comments]])=0.1,"N/A",IF(stdProdLT(Main[[#This Row],[Comments]])=0,"",TRIM(stdProdLT(Main[[#This Row],[Comments]]))))</f>
        <v/>
      </c>
      <c r="H643" s="94" t="str">
        <f>IF(OR(Main[[#This Row],[Std. Prod. Lead Time]]="N/A",Main[[#This Row],[Std. Prod. Lead Time]]=""), "",IF(AND(Main[[#This Row],[In Stock Date]]&lt;&gt;"",Main[[#This Row],[Revised Due Date]]&lt;&gt;"",Main[[#This Row],[In Stock Date]]&lt;&gt;""),Main[[#This Row],[In Stock Date]]-Main[[#This Row],[Revised Due Date]],""))</f>
        <v/>
      </c>
      <c r="I643" s="101" t="s">
        <v>4</v>
      </c>
      <c r="J643" s="95" t="s">
        <v>4</v>
      </c>
      <c r="K643" s="95" t="s">
        <v>4</v>
      </c>
      <c r="L643" s="85"/>
      <c r="M643" s="73" t="str">
        <f>IF(Main[[#This Row],[Tech Start Date]]&lt;1/1/1990,"",IF(Main[[#This Row],[Class]]="C",WORKDAY(Main[[#This Row],[Tech Start Date]],9),IF(Main[[#This Row],[Class]]="B", WORKDAY(Main[[#This Row],[Tech Start Date]],6),IF(Main[[#This Row],[Class]]="A",WORKDAY(Main[[#This Row],[Tech Start Date]],2),""))))</f>
        <v/>
      </c>
      <c r="N643" s="73" t="str">
        <f>IF(Main[[#This Row],[Tech Start Date]]&lt;1/1/1990,"",IF(Main[[#This Row],[Class]]="C",WORKDAY(Main[[#This Row],[Tech Start Date]],19),IF(Main[[#This Row],[Class]]="B", WORKDAY(Main[[#This Row],[Tech Start Date]],12),IF(Main[[#This Row],[Class]]="A",WORKDAY(Main[[#This Row],[Tech Start Date]],4),""))))</f>
        <v/>
      </c>
      <c r="O643" s="73" t="str">
        <f>IF(Main[[#This Row],[Tech Start Date]]&lt;1/1/1990,"",IF(Main[[#This Row],[Class]]="C",WORKDAY(Main[[#This Row],[Tech Start Date]],23),IF(Main[[#This Row],[Class]]="B", WORKDAY(Main[[#This Row],[Tech Start Date]],15),IF(Main[[#This Row],[Class]]="A",WORKDAY(Main[[#This Row],[Tech Start Date]],5),""))))</f>
        <v/>
      </c>
      <c r="P643" s="73" t="str">
        <f>IF(Main[[#This Row],[Tech Start Date]]&lt;1/1/1990,"",IF(Main[[#This Row],[Class]]="C",WORKDAY(Main[[#This Row],[Tech Start Date]],28),IF(Main[[#This Row],[Class]]="B", WORKDAY(Main[[#This Row],[Tech Start Date]],19),IF(Main[[#This Row],[Class]]="A",WORKDAY(Main[[#This Row],[Tech Start Date]],9),""))))</f>
        <v/>
      </c>
      <c r="Q643" s="85">
        <v>40464</v>
      </c>
      <c r="R643" s="112"/>
      <c r="S643" s="95" t="s">
        <v>11</v>
      </c>
      <c r="T643" s="74" t="s">
        <v>4</v>
      </c>
      <c r="U643" s="95" t="s">
        <v>14</v>
      </c>
      <c r="V643" s="95" t="s">
        <v>1914</v>
      </c>
      <c r="W643" s="95" t="s">
        <v>1917</v>
      </c>
      <c r="X643" s="95" t="s">
        <v>2810</v>
      </c>
      <c r="Y643" s="72" t="s">
        <v>2931</v>
      </c>
      <c r="Z643" s="72" t="s">
        <v>4</v>
      </c>
      <c r="AA643" s="95" t="s">
        <v>2810</v>
      </c>
      <c r="AB643" s="132"/>
      <c r="AC643" s="132"/>
      <c r="AD643" s="132"/>
      <c r="AE643" s="63"/>
      <c r="AF643" s="63"/>
      <c r="AG643" s="63"/>
    </row>
    <row r="644" spans="1:33" ht="17.2" customHeight="1">
      <c r="A644" s="64" t="str">
        <f>IF(priority(Main[[#This Row],[Comments]])&lt;&gt;0, priority(Main[[#This Row],[Comments]]),"")</f>
        <v/>
      </c>
      <c r="B644" s="60" t="s">
        <v>1467</v>
      </c>
      <c r="C644" s="72" t="s">
        <v>72</v>
      </c>
      <c r="D644" s="59" t="s">
        <v>548</v>
      </c>
      <c r="E644" s="85"/>
      <c r="F644" s="85">
        <v>40030</v>
      </c>
      <c r="G644" s="64" t="str">
        <f>IF(stdProdLT(Main[[#This Row],[Comments]])=0.1,"N/A",IF(stdProdLT(Main[[#This Row],[Comments]])=0,"",TRIM(stdProdLT(Main[[#This Row],[Comments]]))))</f>
        <v/>
      </c>
      <c r="H644" s="94" t="str">
        <f>IF(OR(Main[[#This Row],[Std. Prod. Lead Time]]="N/A",Main[[#This Row],[Std. Prod. Lead Time]]=""), "",IF(AND(Main[[#This Row],[In Stock Date]]&lt;&gt;"",Main[[#This Row],[Revised Due Date]]&lt;&gt;"",Main[[#This Row],[In Stock Date]]&lt;&gt;""),Main[[#This Row],[In Stock Date]]-Main[[#This Row],[Revised Due Date]],""))</f>
        <v/>
      </c>
      <c r="I644" s="101" t="s">
        <v>4</v>
      </c>
      <c r="J644" s="95" t="s">
        <v>4</v>
      </c>
      <c r="K644" s="96" t="s">
        <v>4</v>
      </c>
      <c r="L644" s="85"/>
      <c r="M644" s="73" t="str">
        <f>IF(Main[[#This Row],[Tech Start Date]]&lt;1/1/1990,"",IF(Main[[#This Row],[Class]]="C",WORKDAY(Main[[#This Row],[Tech Start Date]],9),IF(Main[[#This Row],[Class]]="B", WORKDAY(Main[[#This Row],[Tech Start Date]],6),IF(Main[[#This Row],[Class]]="A",WORKDAY(Main[[#This Row],[Tech Start Date]],2),""))))</f>
        <v/>
      </c>
      <c r="N644" s="73" t="str">
        <f>IF(Main[[#This Row],[Tech Start Date]]&lt;1/1/1990,"",IF(Main[[#This Row],[Class]]="C",WORKDAY(Main[[#This Row],[Tech Start Date]],19),IF(Main[[#This Row],[Class]]="B", WORKDAY(Main[[#This Row],[Tech Start Date]],12),IF(Main[[#This Row],[Class]]="A",WORKDAY(Main[[#This Row],[Tech Start Date]],4),""))))</f>
        <v/>
      </c>
      <c r="O644" s="73" t="str">
        <f>IF(Main[[#This Row],[Tech Start Date]]&lt;1/1/1990,"",IF(Main[[#This Row],[Class]]="C",WORKDAY(Main[[#This Row],[Tech Start Date]],23),IF(Main[[#This Row],[Class]]="B", WORKDAY(Main[[#This Row],[Tech Start Date]],15),IF(Main[[#This Row],[Class]]="A",WORKDAY(Main[[#This Row],[Tech Start Date]],5),""))))</f>
        <v/>
      </c>
      <c r="P644" s="73" t="str">
        <f>IF(Main[[#This Row],[Tech Start Date]]&lt;1/1/1990,"",IF(Main[[#This Row],[Class]]="C",WORKDAY(Main[[#This Row],[Tech Start Date]],28),IF(Main[[#This Row],[Class]]="B", WORKDAY(Main[[#This Row],[Tech Start Date]],19),IF(Main[[#This Row],[Class]]="A",WORKDAY(Main[[#This Row],[Tech Start Date]],9),""))))</f>
        <v/>
      </c>
      <c r="Q644" s="85">
        <v>39959</v>
      </c>
      <c r="R644" s="112"/>
      <c r="S644" s="95" t="s">
        <v>11</v>
      </c>
      <c r="T644" s="74" t="s">
        <v>4</v>
      </c>
      <c r="U644" s="95" t="s">
        <v>14</v>
      </c>
      <c r="V644" s="95" t="s">
        <v>1921</v>
      </c>
      <c r="W644" s="95" t="s">
        <v>4</v>
      </c>
      <c r="X644" s="95" t="s">
        <v>2804</v>
      </c>
      <c r="Y644" s="72" t="s">
        <v>2921</v>
      </c>
      <c r="Z644" s="72" t="s">
        <v>4</v>
      </c>
      <c r="AA644" s="95" t="s">
        <v>2804</v>
      </c>
      <c r="AB644" s="132"/>
      <c r="AC644" s="132"/>
      <c r="AD644" s="132"/>
      <c r="AE644" s="63"/>
      <c r="AF644" s="63"/>
      <c r="AG644" s="63"/>
    </row>
    <row r="645" spans="1:33" ht="17.2" customHeight="1">
      <c r="A645" s="64" t="str">
        <f>IF(priority(Main[[#This Row],[Comments]])&lt;&gt;0, priority(Main[[#This Row],[Comments]]),"")</f>
        <v/>
      </c>
      <c r="B645" s="60" t="s">
        <v>1469</v>
      </c>
      <c r="C645" s="72" t="s">
        <v>4</v>
      </c>
      <c r="D645" s="59" t="s">
        <v>549</v>
      </c>
      <c r="E645" s="85"/>
      <c r="F645" s="85"/>
      <c r="G645" s="64" t="str">
        <f>IF(stdProdLT(Main[[#This Row],[Comments]])=0.1,"N/A",IF(stdProdLT(Main[[#This Row],[Comments]])=0,"",TRIM(stdProdLT(Main[[#This Row],[Comments]]))))</f>
        <v/>
      </c>
      <c r="H645" s="94" t="str">
        <f>IF(OR(Main[[#This Row],[Std. Prod. Lead Time]]="N/A",Main[[#This Row],[Std. Prod. Lead Time]]=""), "",IF(AND(Main[[#This Row],[In Stock Date]]&lt;&gt;"",Main[[#This Row],[Revised Due Date]]&lt;&gt;"",Main[[#This Row],[In Stock Date]]&lt;&gt;""),Main[[#This Row],[In Stock Date]]-Main[[#This Row],[Revised Due Date]],""))</f>
        <v/>
      </c>
      <c r="I645" s="101" t="s">
        <v>4</v>
      </c>
      <c r="J645" s="95" t="s">
        <v>4</v>
      </c>
      <c r="K645" s="95" t="s">
        <v>4</v>
      </c>
      <c r="L645" s="85"/>
      <c r="M645" s="73" t="str">
        <f>IF(Main[[#This Row],[Tech Start Date]]&lt;1/1/1990,"",IF(Main[[#This Row],[Class]]="C",WORKDAY(Main[[#This Row],[Tech Start Date]],9),IF(Main[[#This Row],[Class]]="B", WORKDAY(Main[[#This Row],[Tech Start Date]],6),IF(Main[[#This Row],[Class]]="A",WORKDAY(Main[[#This Row],[Tech Start Date]],2),""))))</f>
        <v/>
      </c>
      <c r="N645" s="73" t="str">
        <f>IF(Main[[#This Row],[Tech Start Date]]&lt;1/1/1990,"",IF(Main[[#This Row],[Class]]="C",WORKDAY(Main[[#This Row],[Tech Start Date]],19),IF(Main[[#This Row],[Class]]="B", WORKDAY(Main[[#This Row],[Tech Start Date]],12),IF(Main[[#This Row],[Class]]="A",WORKDAY(Main[[#This Row],[Tech Start Date]],4),""))))</f>
        <v/>
      </c>
      <c r="O645" s="73" t="str">
        <f>IF(Main[[#This Row],[Tech Start Date]]&lt;1/1/1990,"",IF(Main[[#This Row],[Class]]="C",WORKDAY(Main[[#This Row],[Tech Start Date]],23),IF(Main[[#This Row],[Class]]="B", WORKDAY(Main[[#This Row],[Tech Start Date]],15),IF(Main[[#This Row],[Class]]="A",WORKDAY(Main[[#This Row],[Tech Start Date]],5),""))))</f>
        <v/>
      </c>
      <c r="P645" s="73" t="str">
        <f>IF(Main[[#This Row],[Tech Start Date]]&lt;1/1/1990,"",IF(Main[[#This Row],[Class]]="C",WORKDAY(Main[[#This Row],[Tech Start Date]],28),IF(Main[[#This Row],[Class]]="B", WORKDAY(Main[[#This Row],[Tech Start Date]],19),IF(Main[[#This Row],[Class]]="A",WORKDAY(Main[[#This Row],[Tech Start Date]],9),""))))</f>
        <v/>
      </c>
      <c r="Q645" s="85"/>
      <c r="R645" s="112"/>
      <c r="S645" s="95" t="s">
        <v>6</v>
      </c>
      <c r="T645" s="74" t="s">
        <v>4</v>
      </c>
      <c r="U645" s="95" t="s">
        <v>14</v>
      </c>
      <c r="V645" s="95" t="s">
        <v>1914</v>
      </c>
      <c r="W645" s="95" t="s">
        <v>4</v>
      </c>
      <c r="X645" s="95" t="s">
        <v>2867</v>
      </c>
      <c r="Y645" s="72" t="s">
        <v>3021</v>
      </c>
      <c r="Z645" s="72" t="s">
        <v>4</v>
      </c>
      <c r="AA645" s="95" t="s">
        <v>2867</v>
      </c>
      <c r="AB645" s="132"/>
      <c r="AC645" s="132"/>
      <c r="AD645" s="132"/>
      <c r="AE645" s="63"/>
      <c r="AF645" s="63"/>
      <c r="AG645" s="63"/>
    </row>
    <row r="646" spans="1:33" ht="17.2" customHeight="1">
      <c r="A646" s="64" t="str">
        <f>IF(priority(Main[[#This Row],[Comments]])&lt;&gt;0, priority(Main[[#This Row],[Comments]]),"")</f>
        <v/>
      </c>
      <c r="B646" s="60" t="s">
        <v>1470</v>
      </c>
      <c r="C646" s="72" t="s">
        <v>33</v>
      </c>
      <c r="D646" s="59" t="s">
        <v>550</v>
      </c>
      <c r="E646" s="85"/>
      <c r="F646" s="85"/>
      <c r="G646" s="64" t="str">
        <f>IF(stdProdLT(Main[[#This Row],[Comments]])=0.1,"N/A",IF(stdProdLT(Main[[#This Row],[Comments]])=0,"",TRIM(stdProdLT(Main[[#This Row],[Comments]]))))</f>
        <v/>
      </c>
      <c r="H646" s="94" t="str">
        <f>IF(OR(Main[[#This Row],[Std. Prod. Lead Time]]="N/A",Main[[#This Row],[Std. Prod. Lead Time]]=""), "",IF(AND(Main[[#This Row],[In Stock Date]]&lt;&gt;"",Main[[#This Row],[Revised Due Date]]&lt;&gt;"",Main[[#This Row],[In Stock Date]]&lt;&gt;""),Main[[#This Row],[In Stock Date]]-Main[[#This Row],[Revised Due Date]],""))</f>
        <v/>
      </c>
      <c r="I646" s="101" t="s">
        <v>4</v>
      </c>
      <c r="J646" s="95" t="s">
        <v>4</v>
      </c>
      <c r="K646" s="95" t="s">
        <v>4</v>
      </c>
      <c r="L646" s="85"/>
      <c r="M646" s="73" t="str">
        <f>IF(Main[[#This Row],[Tech Start Date]]&lt;1/1/1990,"",IF(Main[[#This Row],[Class]]="C",WORKDAY(Main[[#This Row],[Tech Start Date]],9),IF(Main[[#This Row],[Class]]="B", WORKDAY(Main[[#This Row],[Tech Start Date]],6),IF(Main[[#This Row],[Class]]="A",WORKDAY(Main[[#This Row],[Tech Start Date]],2),""))))</f>
        <v/>
      </c>
      <c r="N646" s="73" t="str">
        <f>IF(Main[[#This Row],[Tech Start Date]]&lt;1/1/1990,"",IF(Main[[#This Row],[Class]]="C",WORKDAY(Main[[#This Row],[Tech Start Date]],19),IF(Main[[#This Row],[Class]]="B", WORKDAY(Main[[#This Row],[Tech Start Date]],12),IF(Main[[#This Row],[Class]]="A",WORKDAY(Main[[#This Row],[Tech Start Date]],4),""))))</f>
        <v/>
      </c>
      <c r="O646" s="73" t="str">
        <f>IF(Main[[#This Row],[Tech Start Date]]&lt;1/1/1990,"",IF(Main[[#This Row],[Class]]="C",WORKDAY(Main[[#This Row],[Tech Start Date]],23),IF(Main[[#This Row],[Class]]="B", WORKDAY(Main[[#This Row],[Tech Start Date]],15),IF(Main[[#This Row],[Class]]="A",WORKDAY(Main[[#This Row],[Tech Start Date]],5),""))))</f>
        <v/>
      </c>
      <c r="P646" s="73" t="str">
        <f>IF(Main[[#This Row],[Tech Start Date]]&lt;1/1/1990,"",IF(Main[[#This Row],[Class]]="C",WORKDAY(Main[[#This Row],[Tech Start Date]],28),IF(Main[[#This Row],[Class]]="B", WORKDAY(Main[[#This Row],[Tech Start Date]],19),IF(Main[[#This Row],[Class]]="A",WORKDAY(Main[[#This Row],[Tech Start Date]],9),""))))</f>
        <v/>
      </c>
      <c r="Q646" s="85">
        <v>40004</v>
      </c>
      <c r="R646" s="112"/>
      <c r="S646" s="95" t="s">
        <v>11</v>
      </c>
      <c r="T646" s="74" t="s">
        <v>4</v>
      </c>
      <c r="U646" s="95" t="s">
        <v>14</v>
      </c>
      <c r="V646" s="95" t="s">
        <v>1911</v>
      </c>
      <c r="W646" s="95" t="s">
        <v>1919</v>
      </c>
      <c r="X646" s="95" t="s">
        <v>2833</v>
      </c>
      <c r="Y646" s="72" t="s">
        <v>2969</v>
      </c>
      <c r="Z646" s="72" t="s">
        <v>4</v>
      </c>
      <c r="AA646" s="95" t="s">
        <v>2833</v>
      </c>
      <c r="AB646" s="132"/>
      <c r="AC646" s="132"/>
      <c r="AD646" s="132"/>
      <c r="AE646" s="63"/>
      <c r="AF646" s="63"/>
      <c r="AG646" s="63"/>
    </row>
    <row r="647" spans="1:33" ht="17.2" customHeight="1">
      <c r="A647" s="64" t="str">
        <f>IF(priority(Main[[#This Row],[Comments]])&lt;&gt;0, priority(Main[[#This Row],[Comments]]),"")</f>
        <v/>
      </c>
      <c r="B647" s="60" t="s">
        <v>1471</v>
      </c>
      <c r="C647" s="72" t="s">
        <v>551</v>
      </c>
      <c r="D647" s="59" t="s">
        <v>552</v>
      </c>
      <c r="E647" s="85"/>
      <c r="F647" s="85"/>
      <c r="G647" s="64" t="str">
        <f>IF(stdProdLT(Main[[#This Row],[Comments]])=0.1,"N/A",IF(stdProdLT(Main[[#This Row],[Comments]])=0,"",TRIM(stdProdLT(Main[[#This Row],[Comments]]))))</f>
        <v/>
      </c>
      <c r="H647" s="94" t="str">
        <f>IF(OR(Main[[#This Row],[Std. Prod. Lead Time]]="N/A",Main[[#This Row],[Std. Prod. Lead Time]]=""), "",IF(AND(Main[[#This Row],[In Stock Date]]&lt;&gt;"",Main[[#This Row],[Revised Due Date]]&lt;&gt;"",Main[[#This Row],[In Stock Date]]&lt;&gt;""),Main[[#This Row],[In Stock Date]]-Main[[#This Row],[Revised Due Date]],""))</f>
        <v/>
      </c>
      <c r="I647" s="101" t="s">
        <v>553</v>
      </c>
      <c r="J647" s="95" t="s">
        <v>28</v>
      </c>
      <c r="K647" s="96" t="s">
        <v>4</v>
      </c>
      <c r="L647" s="85"/>
      <c r="M647" s="73" t="str">
        <f>IF(Main[[#This Row],[Tech Start Date]]&lt;1/1/1990,"",IF(Main[[#This Row],[Class]]="C",WORKDAY(Main[[#This Row],[Tech Start Date]],9),IF(Main[[#This Row],[Class]]="B", WORKDAY(Main[[#This Row],[Tech Start Date]],6),IF(Main[[#This Row],[Class]]="A",WORKDAY(Main[[#This Row],[Tech Start Date]],2),""))))</f>
        <v/>
      </c>
      <c r="N647" s="73" t="str">
        <f>IF(Main[[#This Row],[Tech Start Date]]&lt;1/1/1990,"",IF(Main[[#This Row],[Class]]="C",WORKDAY(Main[[#This Row],[Tech Start Date]],19),IF(Main[[#This Row],[Class]]="B", WORKDAY(Main[[#This Row],[Tech Start Date]],12),IF(Main[[#This Row],[Class]]="A",WORKDAY(Main[[#This Row],[Tech Start Date]],4),""))))</f>
        <v/>
      </c>
      <c r="O647" s="73" t="str">
        <f>IF(Main[[#This Row],[Tech Start Date]]&lt;1/1/1990,"",IF(Main[[#This Row],[Class]]="C",WORKDAY(Main[[#This Row],[Tech Start Date]],23),IF(Main[[#This Row],[Class]]="B", WORKDAY(Main[[#This Row],[Tech Start Date]],15),IF(Main[[#This Row],[Class]]="A",WORKDAY(Main[[#This Row],[Tech Start Date]],5),""))))</f>
        <v/>
      </c>
      <c r="P647" s="73" t="str">
        <f>IF(Main[[#This Row],[Tech Start Date]]&lt;1/1/1990,"",IF(Main[[#This Row],[Class]]="C",WORKDAY(Main[[#This Row],[Tech Start Date]],28),IF(Main[[#This Row],[Class]]="B", WORKDAY(Main[[#This Row],[Tech Start Date]],19),IF(Main[[#This Row],[Class]]="A",WORKDAY(Main[[#This Row],[Tech Start Date]],9),""))))</f>
        <v/>
      </c>
      <c r="Q647" s="85">
        <v>40401</v>
      </c>
      <c r="R647" s="112"/>
      <c r="S647" s="95" t="s">
        <v>11</v>
      </c>
      <c r="T647" s="74" t="s">
        <v>4</v>
      </c>
      <c r="U647" s="95" t="s">
        <v>14</v>
      </c>
      <c r="V647" s="95" t="s">
        <v>1921</v>
      </c>
      <c r="W647" s="95" t="s">
        <v>1913</v>
      </c>
      <c r="X647" s="95" t="s">
        <v>2834</v>
      </c>
      <c r="Y647" s="72" t="s">
        <v>3032</v>
      </c>
      <c r="Z647" s="72" t="s">
        <v>530</v>
      </c>
      <c r="AA647" s="95" t="s">
        <v>2834</v>
      </c>
      <c r="AB647" s="132"/>
      <c r="AC647" s="132"/>
      <c r="AD647" s="132"/>
      <c r="AE647" s="63"/>
      <c r="AF647" s="63"/>
      <c r="AG647" s="63"/>
    </row>
    <row r="648" spans="1:33" ht="17.2" customHeight="1">
      <c r="A648" s="64" t="str">
        <f>IF(priority(Main[[#This Row],[Comments]])&lt;&gt;0, priority(Main[[#This Row],[Comments]]),"")</f>
        <v/>
      </c>
      <c r="B648" s="60" t="s">
        <v>1472</v>
      </c>
      <c r="C648" s="72" t="s">
        <v>4</v>
      </c>
      <c r="D648" s="59" t="s">
        <v>554</v>
      </c>
      <c r="E648" s="85"/>
      <c r="F648" s="85"/>
      <c r="G648" s="64" t="str">
        <f>IF(stdProdLT(Main[[#This Row],[Comments]])=0.1,"N/A",IF(stdProdLT(Main[[#This Row],[Comments]])=0,"",TRIM(stdProdLT(Main[[#This Row],[Comments]]))))</f>
        <v/>
      </c>
      <c r="H648" s="94" t="str">
        <f>IF(OR(Main[[#This Row],[Std. Prod. Lead Time]]="N/A",Main[[#This Row],[Std. Prod. Lead Time]]=""), "",IF(AND(Main[[#This Row],[In Stock Date]]&lt;&gt;"",Main[[#This Row],[Revised Due Date]]&lt;&gt;"",Main[[#This Row],[In Stock Date]]&lt;&gt;""),Main[[#This Row],[In Stock Date]]-Main[[#This Row],[Revised Due Date]],""))</f>
        <v/>
      </c>
      <c r="I648" s="101" t="s">
        <v>4</v>
      </c>
      <c r="J648" s="95" t="s">
        <v>4</v>
      </c>
      <c r="K648" s="95" t="s">
        <v>4</v>
      </c>
      <c r="L648" s="85"/>
      <c r="M648" s="73" t="str">
        <f>IF(Main[[#This Row],[Tech Start Date]]&lt;1/1/1990,"",IF(Main[[#This Row],[Class]]="C",WORKDAY(Main[[#This Row],[Tech Start Date]],9),IF(Main[[#This Row],[Class]]="B", WORKDAY(Main[[#This Row],[Tech Start Date]],6),IF(Main[[#This Row],[Class]]="A",WORKDAY(Main[[#This Row],[Tech Start Date]],2),""))))</f>
        <v/>
      </c>
      <c r="N648" s="73" t="str">
        <f>IF(Main[[#This Row],[Tech Start Date]]&lt;1/1/1990,"",IF(Main[[#This Row],[Class]]="C",WORKDAY(Main[[#This Row],[Tech Start Date]],19),IF(Main[[#This Row],[Class]]="B", WORKDAY(Main[[#This Row],[Tech Start Date]],12),IF(Main[[#This Row],[Class]]="A",WORKDAY(Main[[#This Row],[Tech Start Date]],4),""))))</f>
        <v/>
      </c>
      <c r="O648" s="73" t="str">
        <f>IF(Main[[#This Row],[Tech Start Date]]&lt;1/1/1990,"",IF(Main[[#This Row],[Class]]="C",WORKDAY(Main[[#This Row],[Tech Start Date]],23),IF(Main[[#This Row],[Class]]="B", WORKDAY(Main[[#This Row],[Tech Start Date]],15),IF(Main[[#This Row],[Class]]="A",WORKDAY(Main[[#This Row],[Tech Start Date]],5),""))))</f>
        <v/>
      </c>
      <c r="P648" s="73" t="str">
        <f>IF(Main[[#This Row],[Tech Start Date]]&lt;1/1/1990,"",IF(Main[[#This Row],[Class]]="C",WORKDAY(Main[[#This Row],[Tech Start Date]],28),IF(Main[[#This Row],[Class]]="B", WORKDAY(Main[[#This Row],[Tech Start Date]],19),IF(Main[[#This Row],[Class]]="A",WORKDAY(Main[[#This Row],[Tech Start Date]],9),""))))</f>
        <v/>
      </c>
      <c r="Q648" s="85">
        <v>40385</v>
      </c>
      <c r="R648" s="112"/>
      <c r="S648" s="95" t="s">
        <v>6</v>
      </c>
      <c r="T648" s="74" t="s">
        <v>4</v>
      </c>
      <c r="U648" s="95" t="s">
        <v>14</v>
      </c>
      <c r="V648" s="95" t="s">
        <v>1911</v>
      </c>
      <c r="W648" s="95" t="s">
        <v>1913</v>
      </c>
      <c r="X648" s="95" t="s">
        <v>102</v>
      </c>
      <c r="Y648" s="72" t="s">
        <v>3010</v>
      </c>
      <c r="Z648" s="72" t="s">
        <v>4</v>
      </c>
      <c r="AA648" s="95" t="s">
        <v>3357</v>
      </c>
      <c r="AB648" s="132"/>
      <c r="AC648" s="132"/>
      <c r="AD648" s="132"/>
      <c r="AE648" s="63"/>
      <c r="AF648" s="63"/>
      <c r="AG648" s="63"/>
    </row>
    <row r="649" spans="1:33" ht="17.2" customHeight="1">
      <c r="A649" s="12" t="str">
        <f>IF(priority(Main[[#This Row],[Comments]])&lt;&gt;0, priority(Main[[#This Row],[Comments]]),"")</f>
        <v/>
      </c>
      <c r="B649" s="60" t="s">
        <v>1474</v>
      </c>
      <c r="C649" s="75" t="s">
        <v>4</v>
      </c>
      <c r="D649" s="110" t="s">
        <v>97</v>
      </c>
      <c r="E649" s="86"/>
      <c r="F649" s="86"/>
      <c r="G649" s="12" t="str">
        <f>IF(stdProdLT(Main[[#This Row],[Comments]])=0.1,"N/A",IF(stdProdLT(Main[[#This Row],[Comments]])=0,"",TRIM(stdProdLT(Main[[#This Row],[Comments]]))))</f>
        <v/>
      </c>
      <c r="H649" s="97" t="str">
        <f>IF(OR(Main[[#This Row],[Std. Prod. Lead Time]]="N/A",Main[[#This Row],[Std. Prod. Lead Time]]=""), "",IF(AND(Main[[#This Row],[In Stock Date]]&lt;&gt;"",Main[[#This Row],[Revised Due Date]]&lt;&gt;"",Main[[#This Row],[In Stock Date]]&lt;&gt;""),Main[[#This Row],[In Stock Date]]-Main[[#This Row],[Revised Due Date]],""))</f>
        <v/>
      </c>
      <c r="I649" s="102" t="s">
        <v>4</v>
      </c>
      <c r="J649" s="12" t="s">
        <v>4</v>
      </c>
      <c r="K649" s="12" t="s">
        <v>4</v>
      </c>
      <c r="L649" s="86"/>
      <c r="M649" s="73" t="str">
        <f>IF(Main[[#This Row],[Tech Start Date]]&lt;1/1/1990,"",IF(Main[[#This Row],[Class]]="C",WORKDAY(Main[[#This Row],[Tech Start Date]],9),IF(Main[[#This Row],[Class]]="B", WORKDAY(Main[[#This Row],[Tech Start Date]],6),IF(Main[[#This Row],[Class]]="A",WORKDAY(Main[[#This Row],[Tech Start Date]],2),""))))</f>
        <v/>
      </c>
      <c r="N649" s="73" t="str">
        <f>IF(Main[[#This Row],[Tech Start Date]]&lt;1/1/1990,"",IF(Main[[#This Row],[Class]]="C",WORKDAY(Main[[#This Row],[Tech Start Date]],19),IF(Main[[#This Row],[Class]]="B", WORKDAY(Main[[#This Row],[Tech Start Date]],12),IF(Main[[#This Row],[Class]]="A",WORKDAY(Main[[#This Row],[Tech Start Date]],4),""))))</f>
        <v/>
      </c>
      <c r="O649" s="73" t="str">
        <f>IF(Main[[#This Row],[Tech Start Date]]&lt;1/1/1990,"",IF(Main[[#This Row],[Class]]="C",WORKDAY(Main[[#This Row],[Tech Start Date]],23),IF(Main[[#This Row],[Class]]="B", WORKDAY(Main[[#This Row],[Tech Start Date]],15),IF(Main[[#This Row],[Class]]="A",WORKDAY(Main[[#This Row],[Tech Start Date]],5),""))))</f>
        <v/>
      </c>
      <c r="P649" s="73" t="str">
        <f>IF(Main[[#This Row],[Tech Start Date]]&lt;1/1/1990,"",IF(Main[[#This Row],[Class]]="C",WORKDAY(Main[[#This Row],[Tech Start Date]],28),IF(Main[[#This Row],[Class]]="B", WORKDAY(Main[[#This Row],[Tech Start Date]],19),IF(Main[[#This Row],[Class]]="A",WORKDAY(Main[[#This Row],[Tech Start Date]],9),""))))</f>
        <v/>
      </c>
      <c r="Q649" s="86">
        <v>40858</v>
      </c>
      <c r="R649" s="115"/>
      <c r="S649" s="12" t="s">
        <v>17</v>
      </c>
      <c r="T649" s="76" t="s">
        <v>4</v>
      </c>
      <c r="U649" s="12" t="s">
        <v>14</v>
      </c>
      <c r="V649" s="12" t="s">
        <v>1911</v>
      </c>
      <c r="W649" s="12" t="s">
        <v>1916</v>
      </c>
      <c r="X649" s="12" t="s">
        <v>50</v>
      </c>
      <c r="Y649" s="75" t="s">
        <v>2937</v>
      </c>
      <c r="Z649" s="75" t="s">
        <v>4</v>
      </c>
      <c r="AA649" s="95" t="s">
        <v>2808</v>
      </c>
      <c r="AB649" s="132"/>
      <c r="AC649" s="132"/>
      <c r="AD649" s="132"/>
      <c r="AE649" s="63"/>
      <c r="AF649" s="63"/>
      <c r="AG649" s="63"/>
    </row>
    <row r="650" spans="1:33" ht="17.2" customHeight="1">
      <c r="A650" s="64" t="str">
        <f>IF(priority(Main[[#This Row],[Comments]])&lt;&gt;0, priority(Main[[#This Row],[Comments]]),"")</f>
        <v/>
      </c>
      <c r="B650" s="60" t="s">
        <v>1475</v>
      </c>
      <c r="C650" s="72" t="s">
        <v>4</v>
      </c>
      <c r="D650" s="59" t="s">
        <v>555</v>
      </c>
      <c r="E650" s="85">
        <v>40382.376319444447</v>
      </c>
      <c r="F650" s="85"/>
      <c r="G650" s="64" t="str">
        <f>IF(stdProdLT(Main[[#This Row],[Comments]])=0.1,"N/A",IF(stdProdLT(Main[[#This Row],[Comments]])=0,"",TRIM(stdProdLT(Main[[#This Row],[Comments]]))))</f>
        <v/>
      </c>
      <c r="H650" s="94" t="str">
        <f>IF(OR(Main[[#This Row],[Std. Prod. Lead Time]]="N/A",Main[[#This Row],[Std. Prod. Lead Time]]=""), "",IF(AND(Main[[#This Row],[In Stock Date]]&lt;&gt;"",Main[[#This Row],[Revised Due Date]]&lt;&gt;"",Main[[#This Row],[In Stock Date]]&lt;&gt;""),Main[[#This Row],[In Stock Date]]-Main[[#This Row],[Revised Due Date]],""))</f>
        <v/>
      </c>
      <c r="I650" s="101" t="s">
        <v>4</v>
      </c>
      <c r="J650" s="95" t="s">
        <v>4</v>
      </c>
      <c r="K650" s="95" t="s">
        <v>4</v>
      </c>
      <c r="L650" s="85"/>
      <c r="M650" s="73" t="str">
        <f>IF(Main[[#This Row],[Tech Start Date]]&lt;1/1/1990,"",IF(Main[[#This Row],[Class]]="C",WORKDAY(Main[[#This Row],[Tech Start Date]],9),IF(Main[[#This Row],[Class]]="B", WORKDAY(Main[[#This Row],[Tech Start Date]],6),IF(Main[[#This Row],[Class]]="A",WORKDAY(Main[[#This Row],[Tech Start Date]],2),""))))</f>
        <v/>
      </c>
      <c r="N650" s="73" t="str">
        <f>IF(Main[[#This Row],[Tech Start Date]]&lt;1/1/1990,"",IF(Main[[#This Row],[Class]]="C",WORKDAY(Main[[#This Row],[Tech Start Date]],19),IF(Main[[#This Row],[Class]]="B", WORKDAY(Main[[#This Row],[Tech Start Date]],12),IF(Main[[#This Row],[Class]]="A",WORKDAY(Main[[#This Row],[Tech Start Date]],4),""))))</f>
        <v/>
      </c>
      <c r="O650" s="73" t="str">
        <f>IF(Main[[#This Row],[Tech Start Date]]&lt;1/1/1990,"",IF(Main[[#This Row],[Class]]="C",WORKDAY(Main[[#This Row],[Tech Start Date]],23),IF(Main[[#This Row],[Class]]="B", WORKDAY(Main[[#This Row],[Tech Start Date]],15),IF(Main[[#This Row],[Class]]="A",WORKDAY(Main[[#This Row],[Tech Start Date]],5),""))))</f>
        <v/>
      </c>
      <c r="P650" s="73" t="str">
        <f>IF(Main[[#This Row],[Tech Start Date]]&lt;1/1/1990,"",IF(Main[[#This Row],[Class]]="C",WORKDAY(Main[[#This Row],[Tech Start Date]],28),IF(Main[[#This Row],[Class]]="B", WORKDAY(Main[[#This Row],[Tech Start Date]],19),IF(Main[[#This Row],[Class]]="A",WORKDAY(Main[[#This Row],[Tech Start Date]],9),""))))</f>
        <v/>
      </c>
      <c r="Q650" s="85">
        <v>40451</v>
      </c>
      <c r="R650" s="112"/>
      <c r="S650" s="95" t="s">
        <v>6</v>
      </c>
      <c r="T650" s="74" t="s">
        <v>4</v>
      </c>
      <c r="U650" s="95" t="s">
        <v>7</v>
      </c>
      <c r="V650" s="95" t="s">
        <v>1911</v>
      </c>
      <c r="W650" s="95" t="s">
        <v>4</v>
      </c>
      <c r="X650" s="95" t="s">
        <v>2867</v>
      </c>
      <c r="Y650" s="72" t="s">
        <v>3021</v>
      </c>
      <c r="Z650" s="72" t="s">
        <v>4</v>
      </c>
      <c r="AA650" s="95" t="s">
        <v>2867</v>
      </c>
      <c r="AB650" s="132"/>
      <c r="AC650" s="132"/>
      <c r="AD650" s="132"/>
      <c r="AE650" s="63"/>
      <c r="AF650" s="63"/>
      <c r="AG650" s="63"/>
    </row>
    <row r="651" spans="1:33" ht="17.2" customHeight="1">
      <c r="A651" s="64" t="str">
        <f>IF(priority(Main[[#This Row],[Comments]])&lt;&gt;0, priority(Main[[#This Row],[Comments]]),"")</f>
        <v/>
      </c>
      <c r="B651" s="60" t="s">
        <v>1476</v>
      </c>
      <c r="C651" s="72" t="s">
        <v>180</v>
      </c>
      <c r="D651" s="59" t="s">
        <v>556</v>
      </c>
      <c r="E651" s="85"/>
      <c r="F651" s="85">
        <v>40389</v>
      </c>
      <c r="G651" s="64" t="str">
        <f>IF(stdProdLT(Main[[#This Row],[Comments]])=0.1,"N/A",IF(stdProdLT(Main[[#This Row],[Comments]])=0,"",TRIM(stdProdLT(Main[[#This Row],[Comments]]))))</f>
        <v/>
      </c>
      <c r="H651" s="94" t="str">
        <f>IF(OR(Main[[#This Row],[Std. Prod. Lead Time]]="N/A",Main[[#This Row],[Std. Prod. Lead Time]]=""), "",IF(AND(Main[[#This Row],[In Stock Date]]&lt;&gt;"",Main[[#This Row],[Revised Due Date]]&lt;&gt;"",Main[[#This Row],[In Stock Date]]&lt;&gt;""),Main[[#This Row],[In Stock Date]]-Main[[#This Row],[Revised Due Date]],""))</f>
        <v/>
      </c>
      <c r="I651" s="101" t="s">
        <v>4</v>
      </c>
      <c r="J651" s="95" t="s">
        <v>4</v>
      </c>
      <c r="K651" s="95" t="s">
        <v>4</v>
      </c>
      <c r="L651" s="85"/>
      <c r="M651" s="73" t="str">
        <f>IF(Main[[#This Row],[Tech Start Date]]&lt;1/1/1990,"",IF(Main[[#This Row],[Class]]="C",WORKDAY(Main[[#This Row],[Tech Start Date]],9),IF(Main[[#This Row],[Class]]="B", WORKDAY(Main[[#This Row],[Tech Start Date]],6),IF(Main[[#This Row],[Class]]="A",WORKDAY(Main[[#This Row],[Tech Start Date]],2),""))))</f>
        <v/>
      </c>
      <c r="N651" s="73" t="str">
        <f>IF(Main[[#This Row],[Tech Start Date]]&lt;1/1/1990,"",IF(Main[[#This Row],[Class]]="C",WORKDAY(Main[[#This Row],[Tech Start Date]],19),IF(Main[[#This Row],[Class]]="B", WORKDAY(Main[[#This Row],[Tech Start Date]],12),IF(Main[[#This Row],[Class]]="A",WORKDAY(Main[[#This Row],[Tech Start Date]],4),""))))</f>
        <v/>
      </c>
      <c r="O651" s="73" t="str">
        <f>IF(Main[[#This Row],[Tech Start Date]]&lt;1/1/1990,"",IF(Main[[#This Row],[Class]]="C",WORKDAY(Main[[#This Row],[Tech Start Date]],23),IF(Main[[#This Row],[Class]]="B", WORKDAY(Main[[#This Row],[Tech Start Date]],15),IF(Main[[#This Row],[Class]]="A",WORKDAY(Main[[#This Row],[Tech Start Date]],5),""))))</f>
        <v/>
      </c>
      <c r="P651" s="73" t="str">
        <f>IF(Main[[#This Row],[Tech Start Date]]&lt;1/1/1990,"",IF(Main[[#This Row],[Class]]="C",WORKDAY(Main[[#This Row],[Tech Start Date]],28),IF(Main[[#This Row],[Class]]="B", WORKDAY(Main[[#This Row],[Tech Start Date]],19),IF(Main[[#This Row],[Class]]="A",WORKDAY(Main[[#This Row],[Tech Start Date]],9),""))))</f>
        <v/>
      </c>
      <c r="Q651" s="85">
        <v>40298</v>
      </c>
      <c r="R651" s="112"/>
      <c r="S651" s="95" t="s">
        <v>11</v>
      </c>
      <c r="T651" s="74" t="s">
        <v>4</v>
      </c>
      <c r="U651" s="95" t="s">
        <v>14</v>
      </c>
      <c r="V651" s="95" t="s">
        <v>1911</v>
      </c>
      <c r="W651" s="95" t="s">
        <v>1917</v>
      </c>
      <c r="X651" s="95" t="s">
        <v>2804</v>
      </c>
      <c r="Y651" s="72" t="s">
        <v>2921</v>
      </c>
      <c r="Z651" s="72" t="s">
        <v>4</v>
      </c>
      <c r="AA651" s="95" t="s">
        <v>2804</v>
      </c>
      <c r="AB651" s="132"/>
      <c r="AC651" s="132"/>
      <c r="AD651" s="132"/>
      <c r="AE651" s="63"/>
      <c r="AF651" s="63"/>
      <c r="AG651" s="63"/>
    </row>
    <row r="652" spans="1:33" ht="17.2" customHeight="1">
      <c r="A652" s="64" t="str">
        <f>IF(priority(Main[[#This Row],[Comments]])&lt;&gt;0, priority(Main[[#This Row],[Comments]]),"")</f>
        <v/>
      </c>
      <c r="B652" s="60" t="s">
        <v>1478</v>
      </c>
      <c r="C652" s="72" t="s">
        <v>572</v>
      </c>
      <c r="D652" s="59" t="s">
        <v>573</v>
      </c>
      <c r="E652" s="85"/>
      <c r="F652" s="85"/>
      <c r="G652" s="64" t="str">
        <f>IF(stdProdLT(Main[[#This Row],[Comments]])=0.1,"N/A",IF(stdProdLT(Main[[#This Row],[Comments]])=0,"",TRIM(stdProdLT(Main[[#This Row],[Comments]]))))</f>
        <v/>
      </c>
      <c r="H652" s="94" t="str">
        <f>IF(OR(Main[[#This Row],[Std. Prod. Lead Time]]="N/A",Main[[#This Row],[Std. Prod. Lead Time]]=""), "",IF(AND(Main[[#This Row],[In Stock Date]]&lt;&gt;"",Main[[#This Row],[Revised Due Date]]&lt;&gt;"",Main[[#This Row],[In Stock Date]]&lt;&gt;""),Main[[#This Row],[In Stock Date]]-Main[[#This Row],[Revised Due Date]],""))</f>
        <v/>
      </c>
      <c r="I652" s="101" t="s">
        <v>4</v>
      </c>
      <c r="J652" s="95" t="s">
        <v>4</v>
      </c>
      <c r="K652" s="95" t="s">
        <v>4</v>
      </c>
      <c r="L652" s="85"/>
      <c r="M652" s="73" t="str">
        <f>IF(Main[[#This Row],[Tech Start Date]]&lt;1/1/1990,"",IF(Main[[#This Row],[Class]]="C",WORKDAY(Main[[#This Row],[Tech Start Date]],9),IF(Main[[#This Row],[Class]]="B", WORKDAY(Main[[#This Row],[Tech Start Date]],6),IF(Main[[#This Row],[Class]]="A",WORKDAY(Main[[#This Row],[Tech Start Date]],2),""))))</f>
        <v/>
      </c>
      <c r="N652" s="73" t="str">
        <f>IF(Main[[#This Row],[Tech Start Date]]&lt;1/1/1990,"",IF(Main[[#This Row],[Class]]="C",WORKDAY(Main[[#This Row],[Tech Start Date]],19),IF(Main[[#This Row],[Class]]="B", WORKDAY(Main[[#This Row],[Tech Start Date]],12),IF(Main[[#This Row],[Class]]="A",WORKDAY(Main[[#This Row],[Tech Start Date]],4),""))))</f>
        <v/>
      </c>
      <c r="O652" s="73" t="str">
        <f>IF(Main[[#This Row],[Tech Start Date]]&lt;1/1/1990,"",IF(Main[[#This Row],[Class]]="C",WORKDAY(Main[[#This Row],[Tech Start Date]],23),IF(Main[[#This Row],[Class]]="B", WORKDAY(Main[[#This Row],[Tech Start Date]],15),IF(Main[[#This Row],[Class]]="A",WORKDAY(Main[[#This Row],[Tech Start Date]],5),""))))</f>
        <v/>
      </c>
      <c r="P652" s="73" t="str">
        <f>IF(Main[[#This Row],[Tech Start Date]]&lt;1/1/1990,"",IF(Main[[#This Row],[Class]]="C",WORKDAY(Main[[#This Row],[Tech Start Date]],28),IF(Main[[#This Row],[Class]]="B", WORKDAY(Main[[#This Row],[Tech Start Date]],19),IF(Main[[#This Row],[Class]]="A",WORKDAY(Main[[#This Row],[Tech Start Date]],9),""))))</f>
        <v/>
      </c>
      <c r="Q652" s="85">
        <v>40473</v>
      </c>
      <c r="R652" s="112"/>
      <c r="S652" s="95" t="s">
        <v>11</v>
      </c>
      <c r="T652" s="74" t="s">
        <v>4</v>
      </c>
      <c r="U652" s="95" t="s">
        <v>14</v>
      </c>
      <c r="V652" s="95" t="s">
        <v>1914</v>
      </c>
      <c r="W652" s="95" t="s">
        <v>1913</v>
      </c>
      <c r="X652" s="95" t="s">
        <v>553</v>
      </c>
      <c r="Y652" s="72" t="s">
        <v>4</v>
      </c>
      <c r="Z652" s="72" t="s">
        <v>4</v>
      </c>
      <c r="AA652" s="95" t="s">
        <v>553</v>
      </c>
      <c r="AB652" s="132"/>
      <c r="AC652" s="132"/>
      <c r="AD652" s="132"/>
      <c r="AE652" s="63"/>
      <c r="AF652" s="63"/>
      <c r="AG652" s="63"/>
    </row>
    <row r="653" spans="1:33" ht="17.2" customHeight="1">
      <c r="A653" s="64" t="str">
        <f>IF(priority(Main[[#This Row],[Comments]])&lt;&gt;0, priority(Main[[#This Row],[Comments]]),"")</f>
        <v/>
      </c>
      <c r="B653" s="60" t="s">
        <v>1479</v>
      </c>
      <c r="C653" s="72" t="s">
        <v>4</v>
      </c>
      <c r="D653" s="59" t="s">
        <v>574</v>
      </c>
      <c r="E653" s="85">
        <v>40463.687627314815</v>
      </c>
      <c r="F653" s="85"/>
      <c r="G653" s="64" t="str">
        <f>IF(stdProdLT(Main[[#This Row],[Comments]])=0.1,"N/A",IF(stdProdLT(Main[[#This Row],[Comments]])=0,"",TRIM(stdProdLT(Main[[#This Row],[Comments]]))))</f>
        <v/>
      </c>
      <c r="H653" s="94" t="str">
        <f>IF(OR(Main[[#This Row],[Std. Prod. Lead Time]]="N/A",Main[[#This Row],[Std. Prod. Lead Time]]=""), "",IF(AND(Main[[#This Row],[In Stock Date]]&lt;&gt;"",Main[[#This Row],[Revised Due Date]]&lt;&gt;"",Main[[#This Row],[In Stock Date]]&lt;&gt;""),Main[[#This Row],[In Stock Date]]-Main[[#This Row],[Revised Due Date]],""))</f>
        <v/>
      </c>
      <c r="I653" s="101" t="s">
        <v>4</v>
      </c>
      <c r="J653" s="95" t="s">
        <v>28</v>
      </c>
      <c r="K653" s="95" t="s">
        <v>4</v>
      </c>
      <c r="L653" s="85"/>
      <c r="M653" s="73" t="str">
        <f>IF(Main[[#This Row],[Tech Start Date]]&lt;1/1/1990,"",IF(Main[[#This Row],[Class]]="C",WORKDAY(Main[[#This Row],[Tech Start Date]],9),IF(Main[[#This Row],[Class]]="B", WORKDAY(Main[[#This Row],[Tech Start Date]],6),IF(Main[[#This Row],[Class]]="A",WORKDAY(Main[[#This Row],[Tech Start Date]],2),""))))</f>
        <v/>
      </c>
      <c r="N653" s="73" t="str">
        <f>IF(Main[[#This Row],[Tech Start Date]]&lt;1/1/1990,"",IF(Main[[#This Row],[Class]]="C",WORKDAY(Main[[#This Row],[Tech Start Date]],19),IF(Main[[#This Row],[Class]]="B", WORKDAY(Main[[#This Row],[Tech Start Date]],12),IF(Main[[#This Row],[Class]]="A",WORKDAY(Main[[#This Row],[Tech Start Date]],4),""))))</f>
        <v/>
      </c>
      <c r="O653" s="73" t="str">
        <f>IF(Main[[#This Row],[Tech Start Date]]&lt;1/1/1990,"",IF(Main[[#This Row],[Class]]="C",WORKDAY(Main[[#This Row],[Tech Start Date]],23),IF(Main[[#This Row],[Class]]="B", WORKDAY(Main[[#This Row],[Tech Start Date]],15),IF(Main[[#This Row],[Class]]="A",WORKDAY(Main[[#This Row],[Tech Start Date]],5),""))))</f>
        <v/>
      </c>
      <c r="P653" s="73" t="str">
        <f>IF(Main[[#This Row],[Tech Start Date]]&lt;1/1/1990,"",IF(Main[[#This Row],[Class]]="C",WORKDAY(Main[[#This Row],[Tech Start Date]],28),IF(Main[[#This Row],[Class]]="B", WORKDAY(Main[[#This Row],[Tech Start Date]],19),IF(Main[[#This Row],[Class]]="A",WORKDAY(Main[[#This Row],[Tech Start Date]],9),""))))</f>
        <v/>
      </c>
      <c r="Q653" s="85"/>
      <c r="R653" s="112"/>
      <c r="S653" s="95" t="s">
        <v>6</v>
      </c>
      <c r="T653" s="74" t="s">
        <v>4</v>
      </c>
      <c r="U653" s="95" t="s">
        <v>7</v>
      </c>
      <c r="V653" s="95" t="s">
        <v>1911</v>
      </c>
      <c r="W653" s="95" t="s">
        <v>1919</v>
      </c>
      <c r="X653" s="95" t="s">
        <v>883</v>
      </c>
      <c r="Y653" s="72" t="s">
        <v>2941</v>
      </c>
      <c r="Z653" s="72" t="s">
        <v>129</v>
      </c>
      <c r="AA653" s="95" t="s">
        <v>883</v>
      </c>
      <c r="AB653" s="132"/>
      <c r="AC653" s="132"/>
      <c r="AD653" s="132"/>
      <c r="AE653" s="63"/>
      <c r="AF653" s="63"/>
      <c r="AG653" s="63"/>
    </row>
    <row r="654" spans="1:33" ht="17.2" customHeight="1">
      <c r="A654" s="64" t="str">
        <f>IF(priority(Main[[#This Row],[Comments]])&lt;&gt;0, priority(Main[[#This Row],[Comments]]),"")</f>
        <v/>
      </c>
      <c r="B654" s="60" t="s">
        <v>2704</v>
      </c>
      <c r="C654" s="72" t="s">
        <v>122</v>
      </c>
      <c r="D654" s="59" t="s">
        <v>2705</v>
      </c>
      <c r="E654" s="85">
        <v>40889.572662037041</v>
      </c>
      <c r="F654" s="85"/>
      <c r="G654" s="64" t="str">
        <f>IF(stdProdLT(Main[[#This Row],[Comments]])=0.1,"N/A",IF(stdProdLT(Main[[#This Row],[Comments]])=0,"",TRIM(stdProdLT(Main[[#This Row],[Comments]]))))</f>
        <v/>
      </c>
      <c r="H654" s="94" t="str">
        <f>IF(OR(Main[[#This Row],[Std. Prod. Lead Time]]="N/A",Main[[#This Row],[Std. Prod. Lead Time]]=""), "",IF(AND(Main[[#This Row],[In Stock Date]]&lt;&gt;"",Main[[#This Row],[Revised Due Date]]&lt;&gt;"",Main[[#This Row],[In Stock Date]]&lt;&gt;""),Main[[#This Row],[In Stock Date]]-Main[[#This Row],[Revised Due Date]],""))</f>
        <v/>
      </c>
      <c r="I654" s="101" t="s">
        <v>4</v>
      </c>
      <c r="J654" s="95" t="s">
        <v>4</v>
      </c>
      <c r="K654" s="95" t="s">
        <v>4</v>
      </c>
      <c r="L654" s="85"/>
      <c r="M654" s="73" t="str">
        <f>IF(Main[[#This Row],[Tech Start Date]]&lt;1/1/1990,"",IF(Main[[#This Row],[Class]]="C",WORKDAY(Main[[#This Row],[Tech Start Date]],9),IF(Main[[#This Row],[Class]]="B", WORKDAY(Main[[#This Row],[Tech Start Date]],6),IF(Main[[#This Row],[Class]]="A",WORKDAY(Main[[#This Row],[Tech Start Date]],2),""))))</f>
        <v/>
      </c>
      <c r="N654" s="73" t="str">
        <f>IF(Main[[#This Row],[Tech Start Date]]&lt;1/1/1990,"",IF(Main[[#This Row],[Class]]="C",WORKDAY(Main[[#This Row],[Tech Start Date]],19),IF(Main[[#This Row],[Class]]="B", WORKDAY(Main[[#This Row],[Tech Start Date]],12),IF(Main[[#This Row],[Class]]="A",WORKDAY(Main[[#This Row],[Tech Start Date]],4),""))))</f>
        <v/>
      </c>
      <c r="O654" s="73" t="str">
        <f>IF(Main[[#This Row],[Tech Start Date]]&lt;1/1/1990,"",IF(Main[[#This Row],[Class]]="C",WORKDAY(Main[[#This Row],[Tech Start Date]],23),IF(Main[[#This Row],[Class]]="B", WORKDAY(Main[[#This Row],[Tech Start Date]],15),IF(Main[[#This Row],[Class]]="A",WORKDAY(Main[[#This Row],[Tech Start Date]],5),""))))</f>
        <v/>
      </c>
      <c r="P654" s="73" t="str">
        <f>IF(Main[[#This Row],[Tech Start Date]]&lt;1/1/1990,"",IF(Main[[#This Row],[Class]]="C",WORKDAY(Main[[#This Row],[Tech Start Date]],28),IF(Main[[#This Row],[Class]]="B", WORKDAY(Main[[#This Row],[Tech Start Date]],19),IF(Main[[#This Row],[Class]]="A",WORKDAY(Main[[#This Row],[Tech Start Date]],9),""))))</f>
        <v/>
      </c>
      <c r="Q654" s="85">
        <v>40910</v>
      </c>
      <c r="R654" s="112"/>
      <c r="S654" s="95" t="s">
        <v>6</v>
      </c>
      <c r="T654" s="74" t="s">
        <v>4</v>
      </c>
      <c r="U654" s="95" t="s">
        <v>7</v>
      </c>
      <c r="V654" s="95" t="s">
        <v>1911</v>
      </c>
      <c r="W654" s="95" t="s">
        <v>1917</v>
      </c>
      <c r="X654" s="95" t="s">
        <v>883</v>
      </c>
      <c r="Y654" s="72" t="s">
        <v>2941</v>
      </c>
      <c r="Z654" s="72" t="s">
        <v>4</v>
      </c>
      <c r="AA654" s="95" t="s">
        <v>883</v>
      </c>
      <c r="AB654" s="132"/>
      <c r="AC654" s="132"/>
      <c r="AD654" s="132"/>
      <c r="AE654" s="63"/>
      <c r="AF654" s="63"/>
      <c r="AG654" s="63"/>
    </row>
    <row r="655" spans="1:33" ht="17.2" customHeight="1">
      <c r="A655" s="64" t="str">
        <f>IF(priority(Main[[#This Row],[Comments]])&lt;&gt;0, priority(Main[[#This Row],[Comments]]),"")</f>
        <v/>
      </c>
      <c r="B655" s="60" t="s">
        <v>1123</v>
      </c>
      <c r="C655" s="72" t="s">
        <v>4</v>
      </c>
      <c r="D655" s="59" t="s">
        <v>175</v>
      </c>
      <c r="E655" s="85">
        <v>40421.149710648147</v>
      </c>
      <c r="F655" s="85"/>
      <c r="G655" s="64" t="str">
        <f>IF(stdProdLT(Main[[#This Row],[Comments]])=0.1,"N/A",IF(stdProdLT(Main[[#This Row],[Comments]])=0,"",TRIM(stdProdLT(Main[[#This Row],[Comments]]))))</f>
        <v/>
      </c>
      <c r="H655" s="94" t="str">
        <f>IF(OR(Main[[#This Row],[Std. Prod. Lead Time]]="N/A",Main[[#This Row],[Std. Prod. Lead Time]]=""), "",IF(AND(Main[[#This Row],[In Stock Date]]&lt;&gt;"",Main[[#This Row],[Revised Due Date]]&lt;&gt;"",Main[[#This Row],[In Stock Date]]&lt;&gt;""),Main[[#This Row],[In Stock Date]]-Main[[#This Row],[Revised Due Date]],""))</f>
        <v/>
      </c>
      <c r="I655" s="101" t="s">
        <v>81</v>
      </c>
      <c r="J655" s="95" t="s">
        <v>52</v>
      </c>
      <c r="K655" s="95" t="s">
        <v>4</v>
      </c>
      <c r="L655" s="85"/>
      <c r="M655" s="73" t="str">
        <f>IF(Main[[#This Row],[Tech Start Date]]&lt;1/1/1990,"",IF(Main[[#This Row],[Class]]="C",WORKDAY(Main[[#This Row],[Tech Start Date]],9),IF(Main[[#This Row],[Class]]="B", WORKDAY(Main[[#This Row],[Tech Start Date]],6),IF(Main[[#This Row],[Class]]="A",WORKDAY(Main[[#This Row],[Tech Start Date]],2),""))))</f>
        <v/>
      </c>
      <c r="N655" s="73" t="str">
        <f>IF(Main[[#This Row],[Tech Start Date]]&lt;1/1/1990,"",IF(Main[[#This Row],[Class]]="C",WORKDAY(Main[[#This Row],[Tech Start Date]],19),IF(Main[[#This Row],[Class]]="B", WORKDAY(Main[[#This Row],[Tech Start Date]],12),IF(Main[[#This Row],[Class]]="A",WORKDAY(Main[[#This Row],[Tech Start Date]],4),""))))</f>
        <v/>
      </c>
      <c r="O655" s="73" t="str">
        <f>IF(Main[[#This Row],[Tech Start Date]]&lt;1/1/1990,"",IF(Main[[#This Row],[Class]]="C",WORKDAY(Main[[#This Row],[Tech Start Date]],23),IF(Main[[#This Row],[Class]]="B", WORKDAY(Main[[#This Row],[Tech Start Date]],15),IF(Main[[#This Row],[Class]]="A",WORKDAY(Main[[#This Row],[Tech Start Date]],5),""))))</f>
        <v/>
      </c>
      <c r="P655" s="73" t="str">
        <f>IF(Main[[#This Row],[Tech Start Date]]&lt;1/1/1990,"",IF(Main[[#This Row],[Class]]="C",WORKDAY(Main[[#This Row],[Tech Start Date]],28),IF(Main[[#This Row],[Class]]="B", WORKDAY(Main[[#This Row],[Tech Start Date]],19),IF(Main[[#This Row],[Class]]="A",WORKDAY(Main[[#This Row],[Tech Start Date]],9),""))))</f>
        <v/>
      </c>
      <c r="Q655" s="85">
        <v>40451</v>
      </c>
      <c r="R655" s="112"/>
      <c r="S655" s="95" t="s">
        <v>6</v>
      </c>
      <c r="T655" s="74" t="s">
        <v>4</v>
      </c>
      <c r="U655" s="95" t="s">
        <v>29</v>
      </c>
      <c r="V655" s="95" t="s">
        <v>1921</v>
      </c>
      <c r="W655" s="95" t="s">
        <v>1913</v>
      </c>
      <c r="X655" s="95" t="s">
        <v>2802</v>
      </c>
      <c r="Y655" s="72" t="s">
        <v>2916</v>
      </c>
      <c r="Z655" s="72" t="s">
        <v>415</v>
      </c>
      <c r="AA655" s="95" t="s">
        <v>2802</v>
      </c>
      <c r="AB655" s="132"/>
      <c r="AC655" s="132"/>
      <c r="AD655" s="132"/>
      <c r="AE655" s="63"/>
      <c r="AF655" s="63"/>
      <c r="AG655" s="63"/>
    </row>
    <row r="656" spans="1:33" ht="17.2" customHeight="1">
      <c r="A656" s="64" t="str">
        <f>IF(priority(Main[[#This Row],[Comments]])&lt;&gt;0, priority(Main[[#This Row],[Comments]]),"")</f>
        <v/>
      </c>
      <c r="B656" s="60" t="s">
        <v>1480</v>
      </c>
      <c r="C656" s="72" t="s">
        <v>230</v>
      </c>
      <c r="D656" s="59" t="s">
        <v>563</v>
      </c>
      <c r="E656" s="85"/>
      <c r="F656" s="85">
        <v>40662</v>
      </c>
      <c r="G656" s="64" t="str">
        <f>IF(stdProdLT(Main[[#This Row],[Comments]])=0.1,"N/A",IF(stdProdLT(Main[[#This Row],[Comments]])=0,"",TRIM(stdProdLT(Main[[#This Row],[Comments]]))))</f>
        <v/>
      </c>
      <c r="H656" s="94" t="str">
        <f>IF(OR(Main[[#This Row],[Std. Prod. Lead Time]]="N/A",Main[[#This Row],[Std. Prod. Lead Time]]=""), "",IF(AND(Main[[#This Row],[In Stock Date]]&lt;&gt;"",Main[[#This Row],[Revised Due Date]]&lt;&gt;"",Main[[#This Row],[In Stock Date]]&lt;&gt;""),Main[[#This Row],[In Stock Date]]-Main[[#This Row],[Revised Due Date]],""))</f>
        <v/>
      </c>
      <c r="I656" s="101" t="s">
        <v>4</v>
      </c>
      <c r="J656" s="95" t="s">
        <v>4</v>
      </c>
      <c r="K656" s="96" t="s">
        <v>4</v>
      </c>
      <c r="L656" s="85"/>
      <c r="M656" s="73" t="str">
        <f>IF(Main[[#This Row],[Tech Start Date]]&lt;1/1/1990,"",IF(Main[[#This Row],[Class]]="C",WORKDAY(Main[[#This Row],[Tech Start Date]],9),IF(Main[[#This Row],[Class]]="B", WORKDAY(Main[[#This Row],[Tech Start Date]],6),IF(Main[[#This Row],[Class]]="A",WORKDAY(Main[[#This Row],[Tech Start Date]],2),""))))</f>
        <v/>
      </c>
      <c r="N656" s="73" t="str">
        <f>IF(Main[[#This Row],[Tech Start Date]]&lt;1/1/1990,"",IF(Main[[#This Row],[Class]]="C",WORKDAY(Main[[#This Row],[Tech Start Date]],19),IF(Main[[#This Row],[Class]]="B", WORKDAY(Main[[#This Row],[Tech Start Date]],12),IF(Main[[#This Row],[Class]]="A",WORKDAY(Main[[#This Row],[Tech Start Date]],4),""))))</f>
        <v/>
      </c>
      <c r="O656" s="73" t="str">
        <f>IF(Main[[#This Row],[Tech Start Date]]&lt;1/1/1990,"",IF(Main[[#This Row],[Class]]="C",WORKDAY(Main[[#This Row],[Tech Start Date]],23),IF(Main[[#This Row],[Class]]="B", WORKDAY(Main[[#This Row],[Tech Start Date]],15),IF(Main[[#This Row],[Class]]="A",WORKDAY(Main[[#This Row],[Tech Start Date]],5),""))))</f>
        <v/>
      </c>
      <c r="P656" s="73" t="str">
        <f>IF(Main[[#This Row],[Tech Start Date]]&lt;1/1/1990,"",IF(Main[[#This Row],[Class]]="C",WORKDAY(Main[[#This Row],[Tech Start Date]],28),IF(Main[[#This Row],[Class]]="B", WORKDAY(Main[[#This Row],[Tech Start Date]],19),IF(Main[[#This Row],[Class]]="A",WORKDAY(Main[[#This Row],[Tech Start Date]],9),""))))</f>
        <v/>
      </c>
      <c r="Q656" s="85">
        <v>40480</v>
      </c>
      <c r="R656" s="112"/>
      <c r="S656" s="95" t="s">
        <v>11</v>
      </c>
      <c r="T656" s="74" t="s">
        <v>4</v>
      </c>
      <c r="U656" s="95" t="s">
        <v>14</v>
      </c>
      <c r="V656" s="95" t="s">
        <v>1914</v>
      </c>
      <c r="W656" s="95" t="s">
        <v>1919</v>
      </c>
      <c r="X656" s="95" t="s">
        <v>2840</v>
      </c>
      <c r="Y656" s="72" t="s">
        <v>4</v>
      </c>
      <c r="Z656" s="72" t="s">
        <v>4</v>
      </c>
      <c r="AA656" s="95" t="s">
        <v>2840</v>
      </c>
      <c r="AB656" s="132"/>
      <c r="AC656" s="132"/>
      <c r="AD656" s="132"/>
      <c r="AE656" s="63"/>
      <c r="AF656" s="63"/>
      <c r="AG656" s="63"/>
    </row>
    <row r="657" spans="1:33" ht="17.2" customHeight="1">
      <c r="A657" s="64" t="str">
        <f>IF(priority(Main[[#This Row],[Comments]])&lt;&gt;0, priority(Main[[#This Row],[Comments]]),"")</f>
        <v/>
      </c>
      <c r="B657" s="60" t="s">
        <v>1481</v>
      </c>
      <c r="C657" s="72" t="s">
        <v>4</v>
      </c>
      <c r="D657" s="59" t="s">
        <v>39</v>
      </c>
      <c r="E657" s="85"/>
      <c r="F657" s="85"/>
      <c r="G657" s="64" t="str">
        <f>IF(stdProdLT(Main[[#This Row],[Comments]])=0.1,"N/A",IF(stdProdLT(Main[[#This Row],[Comments]])=0,"",TRIM(stdProdLT(Main[[#This Row],[Comments]]))))</f>
        <v/>
      </c>
      <c r="H657" s="94" t="str">
        <f>IF(OR(Main[[#This Row],[Std. Prod. Lead Time]]="N/A",Main[[#This Row],[Std. Prod. Lead Time]]=""), "",IF(AND(Main[[#This Row],[In Stock Date]]&lt;&gt;"",Main[[#This Row],[Revised Due Date]]&lt;&gt;"",Main[[#This Row],[In Stock Date]]&lt;&gt;""),Main[[#This Row],[In Stock Date]]-Main[[#This Row],[Revised Due Date]],""))</f>
        <v/>
      </c>
      <c r="I657" s="101" t="s">
        <v>4</v>
      </c>
      <c r="J657" s="95" t="s">
        <v>4</v>
      </c>
      <c r="K657" s="95" t="s">
        <v>4</v>
      </c>
      <c r="L657" s="85"/>
      <c r="M657" s="73" t="str">
        <f>IF(Main[[#This Row],[Tech Start Date]]&lt;1/1/1990,"",IF(Main[[#This Row],[Class]]="C",WORKDAY(Main[[#This Row],[Tech Start Date]],9),IF(Main[[#This Row],[Class]]="B", WORKDAY(Main[[#This Row],[Tech Start Date]],6),IF(Main[[#This Row],[Class]]="A",WORKDAY(Main[[#This Row],[Tech Start Date]],2),""))))</f>
        <v/>
      </c>
      <c r="N657" s="73" t="str">
        <f>IF(Main[[#This Row],[Tech Start Date]]&lt;1/1/1990,"",IF(Main[[#This Row],[Class]]="C",WORKDAY(Main[[#This Row],[Tech Start Date]],19),IF(Main[[#This Row],[Class]]="B", WORKDAY(Main[[#This Row],[Tech Start Date]],12),IF(Main[[#This Row],[Class]]="A",WORKDAY(Main[[#This Row],[Tech Start Date]],4),""))))</f>
        <v/>
      </c>
      <c r="O657" s="73" t="str">
        <f>IF(Main[[#This Row],[Tech Start Date]]&lt;1/1/1990,"",IF(Main[[#This Row],[Class]]="C",WORKDAY(Main[[#This Row],[Tech Start Date]],23),IF(Main[[#This Row],[Class]]="B", WORKDAY(Main[[#This Row],[Tech Start Date]],15),IF(Main[[#This Row],[Class]]="A",WORKDAY(Main[[#This Row],[Tech Start Date]],5),""))))</f>
        <v/>
      </c>
      <c r="P657" s="73" t="str">
        <f>IF(Main[[#This Row],[Tech Start Date]]&lt;1/1/1990,"",IF(Main[[#This Row],[Class]]="C",WORKDAY(Main[[#This Row],[Tech Start Date]],28),IF(Main[[#This Row],[Class]]="B", WORKDAY(Main[[#This Row],[Tech Start Date]],19),IF(Main[[#This Row],[Class]]="A",WORKDAY(Main[[#This Row],[Tech Start Date]],9),""))))</f>
        <v/>
      </c>
      <c r="Q657" s="85">
        <v>40669</v>
      </c>
      <c r="R657" s="112"/>
      <c r="S657" s="95" t="s">
        <v>6</v>
      </c>
      <c r="T657" s="74" t="s">
        <v>4</v>
      </c>
      <c r="U657" s="95" t="s">
        <v>14</v>
      </c>
      <c r="V657" s="95" t="s">
        <v>1914</v>
      </c>
      <c r="W657" s="95" t="s">
        <v>4</v>
      </c>
      <c r="X657" s="95" t="s">
        <v>2798</v>
      </c>
      <c r="Y657" s="72" t="s">
        <v>2908</v>
      </c>
      <c r="Z657" s="72" t="s">
        <v>4</v>
      </c>
      <c r="AA657" s="95" t="s">
        <v>2798</v>
      </c>
      <c r="AB657" s="132"/>
      <c r="AC657" s="132"/>
      <c r="AD657" s="132"/>
      <c r="AE657" s="63"/>
      <c r="AF657" s="63"/>
      <c r="AG657" s="63"/>
    </row>
    <row r="658" spans="1:33" ht="17.2" customHeight="1">
      <c r="A658" s="64" t="str">
        <f>IF(priority(Main[[#This Row],[Comments]])&lt;&gt;0, priority(Main[[#This Row],[Comments]]),"")</f>
        <v/>
      </c>
      <c r="B658" s="60" t="s">
        <v>1482</v>
      </c>
      <c r="C658" s="72" t="s">
        <v>564</v>
      </c>
      <c r="D658" s="59" t="s">
        <v>565</v>
      </c>
      <c r="E658" s="85"/>
      <c r="F658" s="85">
        <v>40168</v>
      </c>
      <c r="G658" s="64" t="str">
        <f>IF(stdProdLT(Main[[#This Row],[Comments]])=0.1,"N/A",IF(stdProdLT(Main[[#This Row],[Comments]])=0,"",TRIM(stdProdLT(Main[[#This Row],[Comments]]))))</f>
        <v/>
      </c>
      <c r="H658" s="94" t="str">
        <f>IF(OR(Main[[#This Row],[Std. Prod. Lead Time]]="N/A",Main[[#This Row],[Std. Prod. Lead Time]]=""), "",IF(AND(Main[[#This Row],[In Stock Date]]&lt;&gt;"",Main[[#This Row],[Revised Due Date]]&lt;&gt;"",Main[[#This Row],[In Stock Date]]&lt;&gt;""),Main[[#This Row],[In Stock Date]]-Main[[#This Row],[Revised Due Date]],""))</f>
        <v/>
      </c>
      <c r="I658" s="101" t="s">
        <v>4</v>
      </c>
      <c r="J658" s="95" t="s">
        <v>4</v>
      </c>
      <c r="K658" s="95" t="s">
        <v>4</v>
      </c>
      <c r="L658" s="85"/>
      <c r="M658" s="73" t="str">
        <f>IF(Main[[#This Row],[Tech Start Date]]&lt;1/1/1990,"",IF(Main[[#This Row],[Class]]="C",WORKDAY(Main[[#This Row],[Tech Start Date]],9),IF(Main[[#This Row],[Class]]="B", WORKDAY(Main[[#This Row],[Tech Start Date]],6),IF(Main[[#This Row],[Class]]="A",WORKDAY(Main[[#This Row],[Tech Start Date]],2),""))))</f>
        <v/>
      </c>
      <c r="N658" s="73" t="str">
        <f>IF(Main[[#This Row],[Tech Start Date]]&lt;1/1/1990,"",IF(Main[[#This Row],[Class]]="C",WORKDAY(Main[[#This Row],[Tech Start Date]],19),IF(Main[[#This Row],[Class]]="B", WORKDAY(Main[[#This Row],[Tech Start Date]],12),IF(Main[[#This Row],[Class]]="A",WORKDAY(Main[[#This Row],[Tech Start Date]],4),""))))</f>
        <v/>
      </c>
      <c r="O658" s="73" t="str">
        <f>IF(Main[[#This Row],[Tech Start Date]]&lt;1/1/1990,"",IF(Main[[#This Row],[Class]]="C",WORKDAY(Main[[#This Row],[Tech Start Date]],23),IF(Main[[#This Row],[Class]]="B", WORKDAY(Main[[#This Row],[Tech Start Date]],15),IF(Main[[#This Row],[Class]]="A",WORKDAY(Main[[#This Row],[Tech Start Date]],5),""))))</f>
        <v/>
      </c>
      <c r="P658" s="73" t="str">
        <f>IF(Main[[#This Row],[Tech Start Date]]&lt;1/1/1990,"",IF(Main[[#This Row],[Class]]="C",WORKDAY(Main[[#This Row],[Tech Start Date]],28),IF(Main[[#This Row],[Class]]="B", WORKDAY(Main[[#This Row],[Tech Start Date]],19),IF(Main[[#This Row],[Class]]="A",WORKDAY(Main[[#This Row],[Tech Start Date]],9),""))))</f>
        <v/>
      </c>
      <c r="Q658" s="85"/>
      <c r="R658" s="112"/>
      <c r="S658" s="95" t="s">
        <v>17</v>
      </c>
      <c r="T658" s="74" t="s">
        <v>4</v>
      </c>
      <c r="U658" s="95" t="s">
        <v>14</v>
      </c>
      <c r="V658" s="95" t="s">
        <v>1912</v>
      </c>
      <c r="W658" s="95" t="s">
        <v>4</v>
      </c>
      <c r="X658" s="95" t="s">
        <v>2841</v>
      </c>
      <c r="Y658" s="72" t="s">
        <v>4</v>
      </c>
      <c r="Z658" s="72" t="s">
        <v>4</v>
      </c>
      <c r="AA658" s="95" t="s">
        <v>4</v>
      </c>
      <c r="AB658" s="132"/>
      <c r="AC658" s="132"/>
      <c r="AD658" s="132"/>
      <c r="AE658" s="63"/>
      <c r="AF658" s="63"/>
      <c r="AG658" s="63"/>
    </row>
    <row r="659" spans="1:33" ht="17.2" customHeight="1">
      <c r="A659" s="64" t="str">
        <f>IF(priority(Main[[#This Row],[Comments]])&lt;&gt;0, priority(Main[[#This Row],[Comments]]),"")</f>
        <v/>
      </c>
      <c r="B659" s="60" t="s">
        <v>1483</v>
      </c>
      <c r="C659" s="72" t="s">
        <v>566</v>
      </c>
      <c r="D659" s="59" t="s">
        <v>567</v>
      </c>
      <c r="E659" s="85"/>
      <c r="F659" s="85">
        <v>40389</v>
      </c>
      <c r="G659" s="64" t="str">
        <f>IF(stdProdLT(Main[[#This Row],[Comments]])=0.1,"N/A",IF(stdProdLT(Main[[#This Row],[Comments]])=0,"",TRIM(stdProdLT(Main[[#This Row],[Comments]]))))</f>
        <v/>
      </c>
      <c r="H659" s="94" t="str">
        <f>IF(OR(Main[[#This Row],[Std. Prod. Lead Time]]="N/A",Main[[#This Row],[Std. Prod. Lead Time]]=""), "",IF(AND(Main[[#This Row],[In Stock Date]]&lt;&gt;"",Main[[#This Row],[Revised Due Date]]&lt;&gt;"",Main[[#This Row],[In Stock Date]]&lt;&gt;""),Main[[#This Row],[In Stock Date]]-Main[[#This Row],[Revised Due Date]],""))</f>
        <v/>
      </c>
      <c r="I659" s="101" t="s">
        <v>4</v>
      </c>
      <c r="J659" s="95" t="s">
        <v>75</v>
      </c>
      <c r="K659" s="95" t="s">
        <v>4</v>
      </c>
      <c r="L659" s="85"/>
      <c r="M659" s="73" t="str">
        <f>IF(Main[[#This Row],[Tech Start Date]]&lt;1/1/1990,"",IF(Main[[#This Row],[Class]]="C",WORKDAY(Main[[#This Row],[Tech Start Date]],9),IF(Main[[#This Row],[Class]]="B", WORKDAY(Main[[#This Row],[Tech Start Date]],6),IF(Main[[#This Row],[Class]]="A",WORKDAY(Main[[#This Row],[Tech Start Date]],2),""))))</f>
        <v/>
      </c>
      <c r="N659" s="73" t="str">
        <f>IF(Main[[#This Row],[Tech Start Date]]&lt;1/1/1990,"",IF(Main[[#This Row],[Class]]="C",WORKDAY(Main[[#This Row],[Tech Start Date]],19),IF(Main[[#This Row],[Class]]="B", WORKDAY(Main[[#This Row],[Tech Start Date]],12),IF(Main[[#This Row],[Class]]="A",WORKDAY(Main[[#This Row],[Tech Start Date]],4),""))))</f>
        <v/>
      </c>
      <c r="O659" s="73" t="str">
        <f>IF(Main[[#This Row],[Tech Start Date]]&lt;1/1/1990,"",IF(Main[[#This Row],[Class]]="C",WORKDAY(Main[[#This Row],[Tech Start Date]],23),IF(Main[[#This Row],[Class]]="B", WORKDAY(Main[[#This Row],[Tech Start Date]],15),IF(Main[[#This Row],[Class]]="A",WORKDAY(Main[[#This Row],[Tech Start Date]],5),""))))</f>
        <v/>
      </c>
      <c r="P659" s="73" t="str">
        <f>IF(Main[[#This Row],[Tech Start Date]]&lt;1/1/1990,"",IF(Main[[#This Row],[Class]]="C",WORKDAY(Main[[#This Row],[Tech Start Date]],28),IF(Main[[#This Row],[Class]]="B", WORKDAY(Main[[#This Row],[Tech Start Date]],19),IF(Main[[#This Row],[Class]]="A",WORKDAY(Main[[#This Row],[Tech Start Date]],9),""))))</f>
        <v/>
      </c>
      <c r="Q659" s="85">
        <v>40298</v>
      </c>
      <c r="R659" s="112"/>
      <c r="S659" s="95" t="s">
        <v>11</v>
      </c>
      <c r="T659" s="74" t="s">
        <v>4</v>
      </c>
      <c r="U659" s="95" t="s">
        <v>14</v>
      </c>
      <c r="V659" s="95" t="s">
        <v>1911</v>
      </c>
      <c r="W659" s="95" t="s">
        <v>1917</v>
      </c>
      <c r="X659" s="95" t="s">
        <v>2804</v>
      </c>
      <c r="Y659" s="72" t="s">
        <v>2921</v>
      </c>
      <c r="Z659" s="72" t="s">
        <v>306</v>
      </c>
      <c r="AA659" s="95" t="s">
        <v>2804</v>
      </c>
      <c r="AB659" s="132"/>
      <c r="AC659" s="132"/>
      <c r="AD659" s="132"/>
      <c r="AE659" s="63"/>
      <c r="AF659" s="63"/>
      <c r="AG659" s="63"/>
    </row>
    <row r="660" spans="1:33" ht="17.2" customHeight="1">
      <c r="A660" s="64" t="str">
        <f>IF(priority(Main[[#This Row],[Comments]])&lt;&gt;0, priority(Main[[#This Row],[Comments]]),"")</f>
        <v/>
      </c>
      <c r="B660" s="60" t="s">
        <v>1484</v>
      </c>
      <c r="C660" s="72" t="s">
        <v>93</v>
      </c>
      <c r="D660" s="59" t="s">
        <v>568</v>
      </c>
      <c r="E660" s="85"/>
      <c r="F660" s="85">
        <v>40132</v>
      </c>
      <c r="G660" s="64" t="str">
        <f>IF(stdProdLT(Main[[#This Row],[Comments]])=0.1,"N/A",IF(stdProdLT(Main[[#This Row],[Comments]])=0,"",TRIM(stdProdLT(Main[[#This Row],[Comments]]))))</f>
        <v/>
      </c>
      <c r="H660" s="94" t="str">
        <f>IF(OR(Main[[#This Row],[Std. Prod. Lead Time]]="N/A",Main[[#This Row],[Std. Prod. Lead Time]]=""), "",IF(AND(Main[[#This Row],[In Stock Date]]&lt;&gt;"",Main[[#This Row],[Revised Due Date]]&lt;&gt;"",Main[[#This Row],[In Stock Date]]&lt;&gt;""),Main[[#This Row],[In Stock Date]]-Main[[#This Row],[Revised Due Date]],""))</f>
        <v/>
      </c>
      <c r="I660" s="101" t="s">
        <v>4</v>
      </c>
      <c r="J660" s="95" t="s">
        <v>4</v>
      </c>
      <c r="K660" s="95" t="s">
        <v>4</v>
      </c>
      <c r="L660" s="85"/>
      <c r="M660" s="73" t="str">
        <f>IF(Main[[#This Row],[Tech Start Date]]&lt;1/1/1990,"",IF(Main[[#This Row],[Class]]="C",WORKDAY(Main[[#This Row],[Tech Start Date]],9),IF(Main[[#This Row],[Class]]="B", WORKDAY(Main[[#This Row],[Tech Start Date]],6),IF(Main[[#This Row],[Class]]="A",WORKDAY(Main[[#This Row],[Tech Start Date]],2),""))))</f>
        <v/>
      </c>
      <c r="N660" s="73" t="str">
        <f>IF(Main[[#This Row],[Tech Start Date]]&lt;1/1/1990,"",IF(Main[[#This Row],[Class]]="C",WORKDAY(Main[[#This Row],[Tech Start Date]],19),IF(Main[[#This Row],[Class]]="B", WORKDAY(Main[[#This Row],[Tech Start Date]],12),IF(Main[[#This Row],[Class]]="A",WORKDAY(Main[[#This Row],[Tech Start Date]],4),""))))</f>
        <v/>
      </c>
      <c r="O660" s="73" t="str">
        <f>IF(Main[[#This Row],[Tech Start Date]]&lt;1/1/1990,"",IF(Main[[#This Row],[Class]]="C",WORKDAY(Main[[#This Row],[Tech Start Date]],23),IF(Main[[#This Row],[Class]]="B", WORKDAY(Main[[#This Row],[Tech Start Date]],15),IF(Main[[#This Row],[Class]]="A",WORKDAY(Main[[#This Row],[Tech Start Date]],5),""))))</f>
        <v/>
      </c>
      <c r="P660" s="73" t="str">
        <f>IF(Main[[#This Row],[Tech Start Date]]&lt;1/1/1990,"",IF(Main[[#This Row],[Class]]="C",WORKDAY(Main[[#This Row],[Tech Start Date]],28),IF(Main[[#This Row],[Class]]="B", WORKDAY(Main[[#This Row],[Tech Start Date]],19),IF(Main[[#This Row],[Class]]="A",WORKDAY(Main[[#This Row],[Tech Start Date]],9),""))))</f>
        <v/>
      </c>
      <c r="Q660" s="85">
        <v>40132</v>
      </c>
      <c r="R660" s="112"/>
      <c r="S660" s="95" t="s">
        <v>11</v>
      </c>
      <c r="T660" s="74" t="s">
        <v>4</v>
      </c>
      <c r="U660" s="95" t="s">
        <v>14</v>
      </c>
      <c r="V660" s="95" t="s">
        <v>1921</v>
      </c>
      <c r="W660" s="95" t="s">
        <v>1922</v>
      </c>
      <c r="X660" s="95" t="s">
        <v>2836</v>
      </c>
      <c r="Y660" s="72" t="s">
        <v>4</v>
      </c>
      <c r="Z660" s="72" t="s">
        <v>4</v>
      </c>
      <c r="AA660" s="95" t="s">
        <v>2836</v>
      </c>
      <c r="AB660" s="132"/>
      <c r="AC660" s="132"/>
      <c r="AD660" s="132"/>
      <c r="AE660" s="63"/>
      <c r="AF660" s="63"/>
      <c r="AG660" s="63"/>
    </row>
    <row r="661" spans="1:33" ht="17.2" customHeight="1">
      <c r="A661" s="64" t="str">
        <f>IF(priority(Main[[#This Row],[Comments]])&lt;&gt;0, priority(Main[[#This Row],[Comments]]),"")</f>
        <v/>
      </c>
      <c r="B661" s="60" t="s">
        <v>1485</v>
      </c>
      <c r="C661" s="72" t="s">
        <v>93</v>
      </c>
      <c r="D661" s="59" t="s">
        <v>569</v>
      </c>
      <c r="E661" s="85"/>
      <c r="F661" s="85">
        <v>40132</v>
      </c>
      <c r="G661" s="64" t="str">
        <f>IF(stdProdLT(Main[[#This Row],[Comments]])=0.1,"N/A",IF(stdProdLT(Main[[#This Row],[Comments]])=0,"",TRIM(stdProdLT(Main[[#This Row],[Comments]]))))</f>
        <v/>
      </c>
      <c r="H661" s="94" t="str">
        <f>IF(OR(Main[[#This Row],[Std. Prod. Lead Time]]="N/A",Main[[#This Row],[Std. Prod. Lead Time]]=""), "",IF(AND(Main[[#This Row],[In Stock Date]]&lt;&gt;"",Main[[#This Row],[Revised Due Date]]&lt;&gt;"",Main[[#This Row],[In Stock Date]]&lt;&gt;""),Main[[#This Row],[In Stock Date]]-Main[[#This Row],[Revised Due Date]],""))</f>
        <v/>
      </c>
      <c r="I661" s="101" t="s">
        <v>4</v>
      </c>
      <c r="J661" s="95" t="s">
        <v>4</v>
      </c>
      <c r="K661" s="95" t="s">
        <v>4</v>
      </c>
      <c r="L661" s="85"/>
      <c r="M661" s="73" t="str">
        <f>IF(Main[[#This Row],[Tech Start Date]]&lt;1/1/1990,"",IF(Main[[#This Row],[Class]]="C",WORKDAY(Main[[#This Row],[Tech Start Date]],9),IF(Main[[#This Row],[Class]]="B", WORKDAY(Main[[#This Row],[Tech Start Date]],6),IF(Main[[#This Row],[Class]]="A",WORKDAY(Main[[#This Row],[Tech Start Date]],2),""))))</f>
        <v/>
      </c>
      <c r="N661" s="73" t="str">
        <f>IF(Main[[#This Row],[Tech Start Date]]&lt;1/1/1990,"",IF(Main[[#This Row],[Class]]="C",WORKDAY(Main[[#This Row],[Tech Start Date]],19),IF(Main[[#This Row],[Class]]="B", WORKDAY(Main[[#This Row],[Tech Start Date]],12),IF(Main[[#This Row],[Class]]="A",WORKDAY(Main[[#This Row],[Tech Start Date]],4),""))))</f>
        <v/>
      </c>
      <c r="O661" s="73" t="str">
        <f>IF(Main[[#This Row],[Tech Start Date]]&lt;1/1/1990,"",IF(Main[[#This Row],[Class]]="C",WORKDAY(Main[[#This Row],[Tech Start Date]],23),IF(Main[[#This Row],[Class]]="B", WORKDAY(Main[[#This Row],[Tech Start Date]],15),IF(Main[[#This Row],[Class]]="A",WORKDAY(Main[[#This Row],[Tech Start Date]],5),""))))</f>
        <v/>
      </c>
      <c r="P661" s="73" t="str">
        <f>IF(Main[[#This Row],[Tech Start Date]]&lt;1/1/1990,"",IF(Main[[#This Row],[Class]]="C",WORKDAY(Main[[#This Row],[Tech Start Date]],28),IF(Main[[#This Row],[Class]]="B", WORKDAY(Main[[#This Row],[Tech Start Date]],19),IF(Main[[#This Row],[Class]]="A",WORKDAY(Main[[#This Row],[Tech Start Date]],9),""))))</f>
        <v/>
      </c>
      <c r="Q661" s="85">
        <v>40132</v>
      </c>
      <c r="R661" s="112"/>
      <c r="S661" s="95" t="s">
        <v>11</v>
      </c>
      <c r="T661" s="74" t="s">
        <v>4</v>
      </c>
      <c r="U661" s="95" t="s">
        <v>14</v>
      </c>
      <c r="V661" s="95" t="s">
        <v>1921</v>
      </c>
      <c r="W661" s="95" t="s">
        <v>1922</v>
      </c>
      <c r="X661" s="95" t="s">
        <v>2836</v>
      </c>
      <c r="Y661" s="72" t="s">
        <v>4</v>
      </c>
      <c r="Z661" s="72" t="s">
        <v>4</v>
      </c>
      <c r="AA661" s="95" t="s">
        <v>2836</v>
      </c>
      <c r="AB661" s="132"/>
      <c r="AC661" s="132"/>
      <c r="AD661" s="132"/>
      <c r="AE661" s="63"/>
      <c r="AF661" s="63"/>
      <c r="AG661" s="63"/>
    </row>
    <row r="662" spans="1:33" ht="17.2" customHeight="1">
      <c r="A662" s="64" t="str">
        <f>IF(priority(Main[[#This Row],[Comments]])&lt;&gt;0, priority(Main[[#This Row],[Comments]]),"")</f>
        <v/>
      </c>
      <c r="B662" s="60" t="s">
        <v>1486</v>
      </c>
      <c r="C662" s="72" t="s">
        <v>465</v>
      </c>
      <c r="D662" s="59" t="s">
        <v>570</v>
      </c>
      <c r="E662" s="85"/>
      <c r="F662" s="85">
        <v>40179</v>
      </c>
      <c r="G662" s="64" t="str">
        <f>IF(stdProdLT(Main[[#This Row],[Comments]])=0.1,"N/A",IF(stdProdLT(Main[[#This Row],[Comments]])=0,"",TRIM(stdProdLT(Main[[#This Row],[Comments]]))))</f>
        <v/>
      </c>
      <c r="H662" s="94" t="str">
        <f>IF(OR(Main[[#This Row],[Std. Prod. Lead Time]]="N/A",Main[[#This Row],[Std. Prod. Lead Time]]=""), "",IF(AND(Main[[#This Row],[In Stock Date]]&lt;&gt;"",Main[[#This Row],[Revised Due Date]]&lt;&gt;"",Main[[#This Row],[In Stock Date]]&lt;&gt;""),Main[[#This Row],[In Stock Date]]-Main[[#This Row],[Revised Due Date]],""))</f>
        <v/>
      </c>
      <c r="I662" s="101" t="s">
        <v>4</v>
      </c>
      <c r="J662" s="95" t="s">
        <v>4</v>
      </c>
      <c r="K662" s="95" t="s">
        <v>4</v>
      </c>
      <c r="L662" s="85"/>
      <c r="M662" s="73" t="str">
        <f>IF(Main[[#This Row],[Tech Start Date]]&lt;1/1/1990,"",IF(Main[[#This Row],[Class]]="C",WORKDAY(Main[[#This Row],[Tech Start Date]],9),IF(Main[[#This Row],[Class]]="B", WORKDAY(Main[[#This Row],[Tech Start Date]],6),IF(Main[[#This Row],[Class]]="A",WORKDAY(Main[[#This Row],[Tech Start Date]],2),""))))</f>
        <v/>
      </c>
      <c r="N662" s="73" t="str">
        <f>IF(Main[[#This Row],[Tech Start Date]]&lt;1/1/1990,"",IF(Main[[#This Row],[Class]]="C",WORKDAY(Main[[#This Row],[Tech Start Date]],19),IF(Main[[#This Row],[Class]]="B", WORKDAY(Main[[#This Row],[Tech Start Date]],12),IF(Main[[#This Row],[Class]]="A",WORKDAY(Main[[#This Row],[Tech Start Date]],4),""))))</f>
        <v/>
      </c>
      <c r="O662" s="73" t="str">
        <f>IF(Main[[#This Row],[Tech Start Date]]&lt;1/1/1990,"",IF(Main[[#This Row],[Class]]="C",WORKDAY(Main[[#This Row],[Tech Start Date]],23),IF(Main[[#This Row],[Class]]="B", WORKDAY(Main[[#This Row],[Tech Start Date]],15),IF(Main[[#This Row],[Class]]="A",WORKDAY(Main[[#This Row],[Tech Start Date]],5),""))))</f>
        <v/>
      </c>
      <c r="P662" s="73" t="str">
        <f>IF(Main[[#This Row],[Tech Start Date]]&lt;1/1/1990,"",IF(Main[[#This Row],[Class]]="C",WORKDAY(Main[[#This Row],[Tech Start Date]],28),IF(Main[[#This Row],[Class]]="B", WORKDAY(Main[[#This Row],[Tech Start Date]],19),IF(Main[[#This Row],[Class]]="A",WORKDAY(Main[[#This Row],[Tech Start Date]],9),""))))</f>
        <v/>
      </c>
      <c r="Q662" s="85">
        <v>40164</v>
      </c>
      <c r="R662" s="112"/>
      <c r="S662" s="95" t="s">
        <v>11</v>
      </c>
      <c r="T662" s="74" t="s">
        <v>4</v>
      </c>
      <c r="U662" s="95" t="s">
        <v>14</v>
      </c>
      <c r="V662" s="95" t="s">
        <v>1914</v>
      </c>
      <c r="W662" s="95" t="s">
        <v>1917</v>
      </c>
      <c r="X662" s="95" t="s">
        <v>2843</v>
      </c>
      <c r="Y662" s="72" t="s">
        <v>4</v>
      </c>
      <c r="Z662" s="72" t="s">
        <v>4</v>
      </c>
      <c r="AA662" s="95" t="s">
        <v>2843</v>
      </c>
      <c r="AB662" s="132"/>
      <c r="AC662" s="132"/>
      <c r="AD662" s="132"/>
      <c r="AE662" s="63"/>
      <c r="AF662" s="63"/>
      <c r="AG662" s="63"/>
    </row>
    <row r="663" spans="1:33" ht="17.2" customHeight="1">
      <c r="A663" s="64" t="str">
        <f>IF(priority(Main[[#This Row],[Comments]])&lt;&gt;0, priority(Main[[#This Row],[Comments]]),"")</f>
        <v/>
      </c>
      <c r="B663" s="60" t="s">
        <v>1144</v>
      </c>
      <c r="C663" s="72" t="s">
        <v>4</v>
      </c>
      <c r="D663" s="59" t="s">
        <v>199</v>
      </c>
      <c r="E663" s="85"/>
      <c r="F663" s="85"/>
      <c r="G663" s="64" t="str">
        <f>IF(stdProdLT(Main[[#This Row],[Comments]])=0.1,"N/A",IF(stdProdLT(Main[[#This Row],[Comments]])=0,"",TRIM(stdProdLT(Main[[#This Row],[Comments]]))))</f>
        <v/>
      </c>
      <c r="H663" s="94" t="str">
        <f>IF(OR(Main[[#This Row],[Std. Prod. Lead Time]]="N/A",Main[[#This Row],[Std. Prod. Lead Time]]=""), "",IF(AND(Main[[#This Row],[In Stock Date]]&lt;&gt;"",Main[[#This Row],[Revised Due Date]]&lt;&gt;"",Main[[#This Row],[In Stock Date]]&lt;&gt;""),Main[[#This Row],[In Stock Date]]-Main[[#This Row],[Revised Due Date]],""))</f>
        <v/>
      </c>
      <c r="I663" s="101" t="s">
        <v>4</v>
      </c>
      <c r="J663" s="95" t="s">
        <v>4</v>
      </c>
      <c r="K663" s="96" t="s">
        <v>4</v>
      </c>
      <c r="L663" s="85"/>
      <c r="M663" s="73" t="str">
        <f>IF(Main[[#This Row],[Tech Start Date]]&lt;1/1/1990,"",IF(Main[[#This Row],[Class]]="C",WORKDAY(Main[[#This Row],[Tech Start Date]],9),IF(Main[[#This Row],[Class]]="B", WORKDAY(Main[[#This Row],[Tech Start Date]],6),IF(Main[[#This Row],[Class]]="A",WORKDAY(Main[[#This Row],[Tech Start Date]],2),""))))</f>
        <v/>
      </c>
      <c r="N663" s="73" t="str">
        <f>IF(Main[[#This Row],[Tech Start Date]]&lt;1/1/1990,"",IF(Main[[#This Row],[Class]]="C",WORKDAY(Main[[#This Row],[Tech Start Date]],19),IF(Main[[#This Row],[Class]]="B", WORKDAY(Main[[#This Row],[Tech Start Date]],12),IF(Main[[#This Row],[Class]]="A",WORKDAY(Main[[#This Row],[Tech Start Date]],4),""))))</f>
        <v/>
      </c>
      <c r="O663" s="73" t="str">
        <f>IF(Main[[#This Row],[Tech Start Date]]&lt;1/1/1990,"",IF(Main[[#This Row],[Class]]="C",WORKDAY(Main[[#This Row],[Tech Start Date]],23),IF(Main[[#This Row],[Class]]="B", WORKDAY(Main[[#This Row],[Tech Start Date]],15),IF(Main[[#This Row],[Class]]="A",WORKDAY(Main[[#This Row],[Tech Start Date]],5),""))))</f>
        <v/>
      </c>
      <c r="P663" s="73" t="str">
        <f>IF(Main[[#This Row],[Tech Start Date]]&lt;1/1/1990,"",IF(Main[[#This Row],[Class]]="C",WORKDAY(Main[[#This Row],[Tech Start Date]],28),IF(Main[[#This Row],[Class]]="B", WORKDAY(Main[[#This Row],[Tech Start Date]],19),IF(Main[[#This Row],[Class]]="A",WORKDAY(Main[[#This Row],[Tech Start Date]],9),""))))</f>
        <v/>
      </c>
      <c r="Q663" s="85">
        <v>40597</v>
      </c>
      <c r="R663" s="112"/>
      <c r="S663" s="95" t="s">
        <v>49</v>
      </c>
      <c r="T663" s="74" t="s">
        <v>4</v>
      </c>
      <c r="U663" s="95" t="s">
        <v>12</v>
      </c>
      <c r="V663" s="95" t="s">
        <v>1912</v>
      </c>
      <c r="W663" s="95" t="s">
        <v>1913</v>
      </c>
      <c r="X663" s="95" t="s">
        <v>561</v>
      </c>
      <c r="Y663" s="72" t="s">
        <v>3034</v>
      </c>
      <c r="Z663" s="72" t="s">
        <v>4</v>
      </c>
      <c r="AA663" s="95" t="s">
        <v>561</v>
      </c>
      <c r="AB663" s="132"/>
      <c r="AC663" s="132"/>
      <c r="AD663" s="132"/>
      <c r="AE663" s="63"/>
      <c r="AF663" s="63"/>
      <c r="AG663" s="63"/>
    </row>
    <row r="664" spans="1:33" ht="17.2" customHeight="1">
      <c r="A664" s="64" t="str">
        <f>IF(priority(Main[[#This Row],[Comments]])&lt;&gt;0, priority(Main[[#This Row],[Comments]]),"")</f>
        <v/>
      </c>
      <c r="B664" s="60" t="s">
        <v>1541</v>
      </c>
      <c r="C664" s="72" t="s">
        <v>4</v>
      </c>
      <c r="D664" s="59" t="s">
        <v>575</v>
      </c>
      <c r="E664" s="85"/>
      <c r="F664" s="85"/>
      <c r="G664" s="64" t="str">
        <f>IF(stdProdLT(Main[[#This Row],[Comments]])=0.1,"N/A",IF(stdProdLT(Main[[#This Row],[Comments]])=0,"",TRIM(stdProdLT(Main[[#This Row],[Comments]]))))</f>
        <v/>
      </c>
      <c r="H664" s="94" t="str">
        <f>IF(OR(Main[[#This Row],[Std. Prod. Lead Time]]="N/A",Main[[#This Row],[Std. Prod. Lead Time]]=""), "",IF(AND(Main[[#This Row],[In Stock Date]]&lt;&gt;"",Main[[#This Row],[Revised Due Date]]&lt;&gt;"",Main[[#This Row],[In Stock Date]]&lt;&gt;""),Main[[#This Row],[In Stock Date]]-Main[[#This Row],[Revised Due Date]],""))</f>
        <v/>
      </c>
      <c r="I664" s="101" t="s">
        <v>4</v>
      </c>
      <c r="J664" s="95" t="s">
        <v>4</v>
      </c>
      <c r="K664" s="96" t="s">
        <v>4</v>
      </c>
      <c r="L664" s="85"/>
      <c r="M664" s="73" t="str">
        <f>IF(Main[[#This Row],[Tech Start Date]]&lt;1/1/1990,"",IF(Main[[#This Row],[Class]]="C",WORKDAY(Main[[#This Row],[Tech Start Date]],9),IF(Main[[#This Row],[Class]]="B", WORKDAY(Main[[#This Row],[Tech Start Date]],6),IF(Main[[#This Row],[Class]]="A",WORKDAY(Main[[#This Row],[Tech Start Date]],2),""))))</f>
        <v/>
      </c>
      <c r="N664" s="73" t="str">
        <f>IF(Main[[#This Row],[Tech Start Date]]&lt;1/1/1990,"",IF(Main[[#This Row],[Class]]="C",WORKDAY(Main[[#This Row],[Tech Start Date]],19),IF(Main[[#This Row],[Class]]="B", WORKDAY(Main[[#This Row],[Tech Start Date]],12),IF(Main[[#This Row],[Class]]="A",WORKDAY(Main[[#This Row],[Tech Start Date]],4),""))))</f>
        <v/>
      </c>
      <c r="O664" s="73" t="str">
        <f>IF(Main[[#This Row],[Tech Start Date]]&lt;1/1/1990,"",IF(Main[[#This Row],[Class]]="C",WORKDAY(Main[[#This Row],[Tech Start Date]],23),IF(Main[[#This Row],[Class]]="B", WORKDAY(Main[[#This Row],[Tech Start Date]],15),IF(Main[[#This Row],[Class]]="A",WORKDAY(Main[[#This Row],[Tech Start Date]],5),""))))</f>
        <v/>
      </c>
      <c r="P664" s="73" t="str">
        <f>IF(Main[[#This Row],[Tech Start Date]]&lt;1/1/1990,"",IF(Main[[#This Row],[Class]]="C",WORKDAY(Main[[#This Row],[Tech Start Date]],28),IF(Main[[#This Row],[Class]]="B", WORKDAY(Main[[#This Row],[Tech Start Date]],19),IF(Main[[#This Row],[Class]]="A",WORKDAY(Main[[#This Row],[Tech Start Date]],9),""))))</f>
        <v/>
      </c>
      <c r="Q664" s="85">
        <v>40165</v>
      </c>
      <c r="R664" s="112"/>
      <c r="S664" s="95" t="s">
        <v>11</v>
      </c>
      <c r="T664" s="74" t="s">
        <v>4</v>
      </c>
      <c r="U664" s="95" t="s">
        <v>14</v>
      </c>
      <c r="V664" s="95" t="s">
        <v>1912</v>
      </c>
      <c r="W664" s="95" t="s">
        <v>1916</v>
      </c>
      <c r="X664" s="95" t="s">
        <v>2047</v>
      </c>
      <c r="Y664" s="72" t="s">
        <v>3036</v>
      </c>
      <c r="Z664" s="72" t="s">
        <v>4</v>
      </c>
      <c r="AA664" s="95" t="s">
        <v>2047</v>
      </c>
      <c r="AB664" s="132"/>
      <c r="AC664" s="132"/>
      <c r="AD664" s="132"/>
      <c r="AE664" s="63"/>
      <c r="AF664" s="63"/>
      <c r="AG664" s="63"/>
    </row>
    <row r="665" spans="1:33" ht="17.2" customHeight="1">
      <c r="A665" s="64" t="str">
        <f>IF(priority(Main[[#This Row],[Comments]])&lt;&gt;0, priority(Main[[#This Row],[Comments]]),"")</f>
        <v/>
      </c>
      <c r="B665" s="60" t="s">
        <v>1814</v>
      </c>
      <c r="C665" s="72" t="s">
        <v>72</v>
      </c>
      <c r="D665" s="59" t="s">
        <v>866</v>
      </c>
      <c r="E665" s="85"/>
      <c r="F665" s="85">
        <v>40148</v>
      </c>
      <c r="G665" s="64" t="str">
        <f>IF(stdProdLT(Main[[#This Row],[Comments]])=0.1,"N/A",IF(stdProdLT(Main[[#This Row],[Comments]])=0,"",TRIM(stdProdLT(Main[[#This Row],[Comments]]))))</f>
        <v/>
      </c>
      <c r="H665" s="94" t="str">
        <f>IF(OR(Main[[#This Row],[Std. Prod. Lead Time]]="N/A",Main[[#This Row],[Std. Prod. Lead Time]]=""), "",IF(AND(Main[[#This Row],[In Stock Date]]&lt;&gt;"",Main[[#This Row],[Revised Due Date]]&lt;&gt;"",Main[[#This Row],[In Stock Date]]&lt;&gt;""),Main[[#This Row],[In Stock Date]]-Main[[#This Row],[Revised Due Date]],""))</f>
        <v/>
      </c>
      <c r="I665" s="101" t="s">
        <v>4</v>
      </c>
      <c r="J665" s="95" t="s">
        <v>4</v>
      </c>
      <c r="K665" s="96" t="s">
        <v>4</v>
      </c>
      <c r="L665" s="85"/>
      <c r="M665" s="73" t="str">
        <f>IF(Main[[#This Row],[Tech Start Date]]&lt;1/1/1990,"",IF(Main[[#This Row],[Class]]="C",WORKDAY(Main[[#This Row],[Tech Start Date]],9),IF(Main[[#This Row],[Class]]="B", WORKDAY(Main[[#This Row],[Tech Start Date]],6),IF(Main[[#This Row],[Class]]="A",WORKDAY(Main[[#This Row],[Tech Start Date]],2),""))))</f>
        <v/>
      </c>
      <c r="N665" s="73" t="str">
        <f>IF(Main[[#This Row],[Tech Start Date]]&lt;1/1/1990,"",IF(Main[[#This Row],[Class]]="C",WORKDAY(Main[[#This Row],[Tech Start Date]],19),IF(Main[[#This Row],[Class]]="B", WORKDAY(Main[[#This Row],[Tech Start Date]],12),IF(Main[[#This Row],[Class]]="A",WORKDAY(Main[[#This Row],[Tech Start Date]],4),""))))</f>
        <v/>
      </c>
      <c r="O665" s="73" t="str">
        <f>IF(Main[[#This Row],[Tech Start Date]]&lt;1/1/1990,"",IF(Main[[#This Row],[Class]]="C",WORKDAY(Main[[#This Row],[Tech Start Date]],23),IF(Main[[#This Row],[Class]]="B", WORKDAY(Main[[#This Row],[Tech Start Date]],15),IF(Main[[#This Row],[Class]]="A",WORKDAY(Main[[#This Row],[Tech Start Date]],5),""))))</f>
        <v/>
      </c>
      <c r="P665" s="73" t="str">
        <f>IF(Main[[#This Row],[Tech Start Date]]&lt;1/1/1990,"",IF(Main[[#This Row],[Class]]="C",WORKDAY(Main[[#This Row],[Tech Start Date]],28),IF(Main[[#This Row],[Class]]="B", WORKDAY(Main[[#This Row],[Tech Start Date]],19),IF(Main[[#This Row],[Class]]="A",WORKDAY(Main[[#This Row],[Tech Start Date]],9),""))))</f>
        <v/>
      </c>
      <c r="Q665" s="85">
        <v>40080</v>
      </c>
      <c r="R665" s="112">
        <v>40291</v>
      </c>
      <c r="S665" s="95" t="s">
        <v>6</v>
      </c>
      <c r="T665" s="74" t="s">
        <v>4</v>
      </c>
      <c r="U665" s="95" t="s">
        <v>14</v>
      </c>
      <c r="V665" s="95" t="s">
        <v>1912</v>
      </c>
      <c r="W665" s="95" t="s">
        <v>1919</v>
      </c>
      <c r="X665" s="95" t="s">
        <v>2804</v>
      </c>
      <c r="Y665" s="72" t="s">
        <v>2921</v>
      </c>
      <c r="Z665" s="72" t="s">
        <v>4</v>
      </c>
      <c r="AA665" s="95" t="s">
        <v>2804</v>
      </c>
      <c r="AB665" s="132"/>
      <c r="AC665" s="132"/>
      <c r="AD665" s="132"/>
      <c r="AE665" s="63"/>
      <c r="AF665" s="63"/>
      <c r="AG665" s="63"/>
    </row>
    <row r="666" spans="1:33" ht="17.2" customHeight="1">
      <c r="A666" s="64" t="str">
        <f>IF(priority(Main[[#This Row],[Comments]])&lt;&gt;0, priority(Main[[#This Row],[Comments]]),"")</f>
        <v/>
      </c>
      <c r="B666" s="60" t="s">
        <v>1489</v>
      </c>
      <c r="C666" s="72" t="s">
        <v>4</v>
      </c>
      <c r="D666" s="59" t="s">
        <v>620</v>
      </c>
      <c r="E666" s="85">
        <v>40549.433692129627</v>
      </c>
      <c r="F666" s="85"/>
      <c r="G666" s="64" t="str">
        <f>IF(stdProdLT(Main[[#This Row],[Comments]])=0.1,"N/A",IF(stdProdLT(Main[[#This Row],[Comments]])=0,"",TRIM(stdProdLT(Main[[#This Row],[Comments]]))))</f>
        <v/>
      </c>
      <c r="H666" s="94" t="str">
        <f>IF(OR(Main[[#This Row],[Std. Prod. Lead Time]]="N/A",Main[[#This Row],[Std. Prod. Lead Time]]=""), "",IF(AND(Main[[#This Row],[In Stock Date]]&lt;&gt;"",Main[[#This Row],[Revised Due Date]]&lt;&gt;"",Main[[#This Row],[In Stock Date]]&lt;&gt;""),Main[[#This Row],[In Stock Date]]-Main[[#This Row],[Revised Due Date]],""))</f>
        <v/>
      </c>
      <c r="I666" s="101" t="s">
        <v>4</v>
      </c>
      <c r="J666" s="95" t="s">
        <v>4</v>
      </c>
      <c r="K666" s="95" t="s">
        <v>4</v>
      </c>
      <c r="L666" s="85"/>
      <c r="M666" s="73" t="str">
        <f>IF(Main[[#This Row],[Tech Start Date]]&lt;1/1/1990,"",IF(Main[[#This Row],[Class]]="C",WORKDAY(Main[[#This Row],[Tech Start Date]],9),IF(Main[[#This Row],[Class]]="B", WORKDAY(Main[[#This Row],[Tech Start Date]],6),IF(Main[[#This Row],[Class]]="A",WORKDAY(Main[[#This Row],[Tech Start Date]],2),""))))</f>
        <v/>
      </c>
      <c r="N666" s="73" t="str">
        <f>IF(Main[[#This Row],[Tech Start Date]]&lt;1/1/1990,"",IF(Main[[#This Row],[Class]]="C",WORKDAY(Main[[#This Row],[Tech Start Date]],19),IF(Main[[#This Row],[Class]]="B", WORKDAY(Main[[#This Row],[Tech Start Date]],12),IF(Main[[#This Row],[Class]]="A",WORKDAY(Main[[#This Row],[Tech Start Date]],4),""))))</f>
        <v/>
      </c>
      <c r="O666" s="73" t="str">
        <f>IF(Main[[#This Row],[Tech Start Date]]&lt;1/1/1990,"",IF(Main[[#This Row],[Class]]="C",WORKDAY(Main[[#This Row],[Tech Start Date]],23),IF(Main[[#This Row],[Class]]="B", WORKDAY(Main[[#This Row],[Tech Start Date]],15),IF(Main[[#This Row],[Class]]="A",WORKDAY(Main[[#This Row],[Tech Start Date]],5),""))))</f>
        <v/>
      </c>
      <c r="P666" s="73" t="str">
        <f>IF(Main[[#This Row],[Tech Start Date]]&lt;1/1/1990,"",IF(Main[[#This Row],[Class]]="C",WORKDAY(Main[[#This Row],[Tech Start Date]],28),IF(Main[[#This Row],[Class]]="B", WORKDAY(Main[[#This Row],[Tech Start Date]],19),IF(Main[[#This Row],[Class]]="A",WORKDAY(Main[[#This Row],[Tech Start Date]],9),""))))</f>
        <v/>
      </c>
      <c r="Q666" s="85">
        <v>40577</v>
      </c>
      <c r="R666" s="112"/>
      <c r="S666" s="95" t="s">
        <v>6</v>
      </c>
      <c r="T666" s="74" t="s">
        <v>4</v>
      </c>
      <c r="U666" s="95" t="s">
        <v>7</v>
      </c>
      <c r="V666" s="95" t="s">
        <v>1911</v>
      </c>
      <c r="W666" s="95" t="s">
        <v>1913</v>
      </c>
      <c r="X666" s="95" t="s">
        <v>2801</v>
      </c>
      <c r="Y666" s="72" t="s">
        <v>2914</v>
      </c>
      <c r="Z666" s="72" t="s">
        <v>4</v>
      </c>
      <c r="AA666" s="95" t="s">
        <v>2801</v>
      </c>
      <c r="AB666" s="132"/>
      <c r="AC666" s="132"/>
      <c r="AD666" s="132"/>
      <c r="AE666" s="63"/>
      <c r="AF666" s="63"/>
      <c r="AG666" s="63"/>
    </row>
    <row r="667" spans="1:33" ht="17.2" customHeight="1">
      <c r="A667" s="64" t="str">
        <f>IF(priority(Main[[#This Row],[Comments]])&lt;&gt;0, priority(Main[[#This Row],[Comments]]),"")</f>
        <v/>
      </c>
      <c r="B667" s="60" t="s">
        <v>1490</v>
      </c>
      <c r="C667" s="72" t="s">
        <v>4</v>
      </c>
      <c r="D667" s="59" t="s">
        <v>621</v>
      </c>
      <c r="E667" s="85">
        <v>40371.36078703704</v>
      </c>
      <c r="F667" s="85"/>
      <c r="G667" s="64" t="str">
        <f>IF(stdProdLT(Main[[#This Row],[Comments]])=0.1,"N/A",IF(stdProdLT(Main[[#This Row],[Comments]])=0,"",TRIM(stdProdLT(Main[[#This Row],[Comments]]))))</f>
        <v/>
      </c>
      <c r="H667" s="94" t="str">
        <f>IF(OR(Main[[#This Row],[Std. Prod. Lead Time]]="N/A",Main[[#This Row],[Std. Prod. Lead Time]]=""), "",IF(AND(Main[[#This Row],[In Stock Date]]&lt;&gt;"",Main[[#This Row],[Revised Due Date]]&lt;&gt;"",Main[[#This Row],[In Stock Date]]&lt;&gt;""),Main[[#This Row],[In Stock Date]]-Main[[#This Row],[Revised Due Date]],""))</f>
        <v/>
      </c>
      <c r="I667" s="101" t="s">
        <v>4</v>
      </c>
      <c r="J667" s="95" t="s">
        <v>4</v>
      </c>
      <c r="K667" s="95" t="s">
        <v>4</v>
      </c>
      <c r="L667" s="85"/>
      <c r="M667" s="73" t="str">
        <f>IF(Main[[#This Row],[Tech Start Date]]&lt;1/1/1990,"",IF(Main[[#This Row],[Class]]="C",WORKDAY(Main[[#This Row],[Tech Start Date]],9),IF(Main[[#This Row],[Class]]="B", WORKDAY(Main[[#This Row],[Tech Start Date]],6),IF(Main[[#This Row],[Class]]="A",WORKDAY(Main[[#This Row],[Tech Start Date]],2),""))))</f>
        <v/>
      </c>
      <c r="N667" s="73" t="str">
        <f>IF(Main[[#This Row],[Tech Start Date]]&lt;1/1/1990,"",IF(Main[[#This Row],[Class]]="C",WORKDAY(Main[[#This Row],[Tech Start Date]],19),IF(Main[[#This Row],[Class]]="B", WORKDAY(Main[[#This Row],[Tech Start Date]],12),IF(Main[[#This Row],[Class]]="A",WORKDAY(Main[[#This Row],[Tech Start Date]],4),""))))</f>
        <v/>
      </c>
      <c r="O667" s="73" t="str">
        <f>IF(Main[[#This Row],[Tech Start Date]]&lt;1/1/1990,"",IF(Main[[#This Row],[Class]]="C",WORKDAY(Main[[#This Row],[Tech Start Date]],23),IF(Main[[#This Row],[Class]]="B", WORKDAY(Main[[#This Row],[Tech Start Date]],15),IF(Main[[#This Row],[Class]]="A",WORKDAY(Main[[#This Row],[Tech Start Date]],5),""))))</f>
        <v/>
      </c>
      <c r="P667" s="73" t="str">
        <f>IF(Main[[#This Row],[Tech Start Date]]&lt;1/1/1990,"",IF(Main[[#This Row],[Class]]="C",WORKDAY(Main[[#This Row],[Tech Start Date]],28),IF(Main[[#This Row],[Class]]="B", WORKDAY(Main[[#This Row],[Tech Start Date]],19),IF(Main[[#This Row],[Class]]="A",WORKDAY(Main[[#This Row],[Tech Start Date]],9),""))))</f>
        <v/>
      </c>
      <c r="Q667" s="85">
        <v>40385</v>
      </c>
      <c r="R667" s="112"/>
      <c r="S667" s="95" t="s">
        <v>6</v>
      </c>
      <c r="T667" s="74" t="s">
        <v>4</v>
      </c>
      <c r="U667" s="95" t="s">
        <v>7</v>
      </c>
      <c r="V667" s="95" t="s">
        <v>1911</v>
      </c>
      <c r="W667" s="95" t="s">
        <v>1913</v>
      </c>
      <c r="X667" s="95" t="s">
        <v>102</v>
      </c>
      <c r="Y667" s="72" t="s">
        <v>3010</v>
      </c>
      <c r="Z667" s="72" t="s">
        <v>4</v>
      </c>
      <c r="AA667" s="95" t="s">
        <v>3357</v>
      </c>
      <c r="AB667" s="132"/>
      <c r="AC667" s="132"/>
      <c r="AD667" s="132"/>
      <c r="AE667" s="63"/>
      <c r="AF667" s="63"/>
      <c r="AG667" s="63"/>
    </row>
    <row r="668" spans="1:33" ht="17.2" customHeight="1">
      <c r="A668" s="64" t="str">
        <f>IF(priority(Main[[#This Row],[Comments]])&lt;&gt;0, priority(Main[[#This Row],[Comments]]),"")</f>
        <v/>
      </c>
      <c r="B668" s="60" t="s">
        <v>1491</v>
      </c>
      <c r="C668" s="72" t="s">
        <v>622</v>
      </c>
      <c r="D668" s="59" t="s">
        <v>623</v>
      </c>
      <c r="E668" s="85"/>
      <c r="F668" s="85">
        <v>40396</v>
      </c>
      <c r="G668" s="64" t="str">
        <f>IF(stdProdLT(Main[[#This Row],[Comments]])=0.1,"N/A",IF(stdProdLT(Main[[#This Row],[Comments]])=0,"",TRIM(stdProdLT(Main[[#This Row],[Comments]]))))</f>
        <v/>
      </c>
      <c r="H668" s="94" t="str">
        <f>IF(OR(Main[[#This Row],[Std. Prod. Lead Time]]="N/A",Main[[#This Row],[Std. Prod. Lead Time]]=""), "",IF(AND(Main[[#This Row],[In Stock Date]]&lt;&gt;"",Main[[#This Row],[Revised Due Date]]&lt;&gt;"",Main[[#This Row],[In Stock Date]]&lt;&gt;""),Main[[#This Row],[In Stock Date]]-Main[[#This Row],[Revised Due Date]],""))</f>
        <v/>
      </c>
      <c r="I668" s="101" t="s">
        <v>4</v>
      </c>
      <c r="J668" s="95" t="s">
        <v>4</v>
      </c>
      <c r="K668" s="95" t="s">
        <v>4</v>
      </c>
      <c r="L668" s="85"/>
      <c r="M668" s="73" t="str">
        <f>IF(Main[[#This Row],[Tech Start Date]]&lt;1/1/1990,"",IF(Main[[#This Row],[Class]]="C",WORKDAY(Main[[#This Row],[Tech Start Date]],9),IF(Main[[#This Row],[Class]]="B", WORKDAY(Main[[#This Row],[Tech Start Date]],6),IF(Main[[#This Row],[Class]]="A",WORKDAY(Main[[#This Row],[Tech Start Date]],2),""))))</f>
        <v/>
      </c>
      <c r="N668" s="73" t="str">
        <f>IF(Main[[#This Row],[Tech Start Date]]&lt;1/1/1990,"",IF(Main[[#This Row],[Class]]="C",WORKDAY(Main[[#This Row],[Tech Start Date]],19),IF(Main[[#This Row],[Class]]="B", WORKDAY(Main[[#This Row],[Tech Start Date]],12),IF(Main[[#This Row],[Class]]="A",WORKDAY(Main[[#This Row],[Tech Start Date]],4),""))))</f>
        <v/>
      </c>
      <c r="O668" s="73" t="str">
        <f>IF(Main[[#This Row],[Tech Start Date]]&lt;1/1/1990,"",IF(Main[[#This Row],[Class]]="C",WORKDAY(Main[[#This Row],[Tech Start Date]],23),IF(Main[[#This Row],[Class]]="B", WORKDAY(Main[[#This Row],[Tech Start Date]],15),IF(Main[[#This Row],[Class]]="A",WORKDAY(Main[[#This Row],[Tech Start Date]],5),""))))</f>
        <v/>
      </c>
      <c r="P668" s="73" t="str">
        <f>IF(Main[[#This Row],[Tech Start Date]]&lt;1/1/1990,"",IF(Main[[#This Row],[Class]]="C",WORKDAY(Main[[#This Row],[Tech Start Date]],28),IF(Main[[#This Row],[Class]]="B", WORKDAY(Main[[#This Row],[Tech Start Date]],19),IF(Main[[#This Row],[Class]]="A",WORKDAY(Main[[#This Row],[Tech Start Date]],9),""))))</f>
        <v/>
      </c>
      <c r="Q668" s="85"/>
      <c r="R668" s="112"/>
      <c r="S668" s="95" t="s">
        <v>11</v>
      </c>
      <c r="T668" s="74" t="s">
        <v>4</v>
      </c>
      <c r="U668" s="95" t="s">
        <v>14</v>
      </c>
      <c r="V668" s="95" t="s">
        <v>1911</v>
      </c>
      <c r="W668" s="95" t="s">
        <v>1917</v>
      </c>
      <c r="X668" s="95" t="s">
        <v>2800</v>
      </c>
      <c r="Y668" s="72" t="s">
        <v>3037</v>
      </c>
      <c r="Z668" s="72" t="s">
        <v>4</v>
      </c>
      <c r="AA668" s="95" t="s">
        <v>2800</v>
      </c>
      <c r="AB668" s="132"/>
      <c r="AC668" s="132"/>
      <c r="AD668" s="132"/>
      <c r="AE668" s="63"/>
      <c r="AF668" s="63"/>
      <c r="AG668" s="63"/>
    </row>
    <row r="669" spans="1:33" ht="17.2" customHeight="1">
      <c r="A669" s="64" t="str">
        <f>IF(priority(Main[[#This Row],[Comments]])&lt;&gt;0, priority(Main[[#This Row],[Comments]]),"")</f>
        <v/>
      </c>
      <c r="B669" s="60" t="s">
        <v>1492</v>
      </c>
      <c r="C669" s="72" t="s">
        <v>93</v>
      </c>
      <c r="D669" s="59" t="s">
        <v>624</v>
      </c>
      <c r="E669" s="85"/>
      <c r="F669" s="85">
        <v>40238</v>
      </c>
      <c r="G669" s="64" t="str">
        <f>IF(stdProdLT(Main[[#This Row],[Comments]])=0.1,"N/A",IF(stdProdLT(Main[[#This Row],[Comments]])=0,"",TRIM(stdProdLT(Main[[#This Row],[Comments]]))))</f>
        <v/>
      </c>
      <c r="H669" s="94" t="str">
        <f>IF(OR(Main[[#This Row],[Std. Prod. Lead Time]]="N/A",Main[[#This Row],[Std. Prod. Lead Time]]=""), "",IF(AND(Main[[#This Row],[In Stock Date]]&lt;&gt;"",Main[[#This Row],[Revised Due Date]]&lt;&gt;"",Main[[#This Row],[In Stock Date]]&lt;&gt;""),Main[[#This Row],[In Stock Date]]-Main[[#This Row],[Revised Due Date]],""))</f>
        <v/>
      </c>
      <c r="I669" s="101" t="s">
        <v>4</v>
      </c>
      <c r="J669" s="95" t="s">
        <v>4</v>
      </c>
      <c r="K669" s="95" t="s">
        <v>4</v>
      </c>
      <c r="L669" s="85"/>
      <c r="M669" s="73" t="str">
        <f>IF(Main[[#This Row],[Tech Start Date]]&lt;1/1/1990,"",IF(Main[[#This Row],[Class]]="C",WORKDAY(Main[[#This Row],[Tech Start Date]],9),IF(Main[[#This Row],[Class]]="B", WORKDAY(Main[[#This Row],[Tech Start Date]],6),IF(Main[[#This Row],[Class]]="A",WORKDAY(Main[[#This Row],[Tech Start Date]],2),""))))</f>
        <v/>
      </c>
      <c r="N669" s="73" t="str">
        <f>IF(Main[[#This Row],[Tech Start Date]]&lt;1/1/1990,"",IF(Main[[#This Row],[Class]]="C",WORKDAY(Main[[#This Row],[Tech Start Date]],19),IF(Main[[#This Row],[Class]]="B", WORKDAY(Main[[#This Row],[Tech Start Date]],12),IF(Main[[#This Row],[Class]]="A",WORKDAY(Main[[#This Row],[Tech Start Date]],4),""))))</f>
        <v/>
      </c>
      <c r="O669" s="73" t="str">
        <f>IF(Main[[#This Row],[Tech Start Date]]&lt;1/1/1990,"",IF(Main[[#This Row],[Class]]="C",WORKDAY(Main[[#This Row],[Tech Start Date]],23),IF(Main[[#This Row],[Class]]="B", WORKDAY(Main[[#This Row],[Tech Start Date]],15),IF(Main[[#This Row],[Class]]="A",WORKDAY(Main[[#This Row],[Tech Start Date]],5),""))))</f>
        <v/>
      </c>
      <c r="P669" s="73" t="str">
        <f>IF(Main[[#This Row],[Tech Start Date]]&lt;1/1/1990,"",IF(Main[[#This Row],[Class]]="C",WORKDAY(Main[[#This Row],[Tech Start Date]],28),IF(Main[[#This Row],[Class]]="B", WORKDAY(Main[[#This Row],[Tech Start Date]],19),IF(Main[[#This Row],[Class]]="A",WORKDAY(Main[[#This Row],[Tech Start Date]],9),""))))</f>
        <v/>
      </c>
      <c r="Q669" s="85">
        <v>40173</v>
      </c>
      <c r="R669" s="112"/>
      <c r="S669" s="95" t="s">
        <v>11</v>
      </c>
      <c r="T669" s="74" t="s">
        <v>4</v>
      </c>
      <c r="U669" s="95" t="s">
        <v>14</v>
      </c>
      <c r="V669" s="95" t="s">
        <v>1911</v>
      </c>
      <c r="W669" s="95" t="s">
        <v>1917</v>
      </c>
      <c r="X669" s="95" t="s">
        <v>2851</v>
      </c>
      <c r="Y669" s="72" t="s">
        <v>4</v>
      </c>
      <c r="Z669" s="72" t="s">
        <v>4</v>
      </c>
      <c r="AA669" s="95" t="s">
        <v>2851</v>
      </c>
      <c r="AB669" s="132"/>
      <c r="AC669" s="132"/>
      <c r="AD669" s="132"/>
      <c r="AE669" s="63"/>
      <c r="AF669" s="63"/>
      <c r="AG669" s="63"/>
    </row>
    <row r="670" spans="1:33" ht="17.2" customHeight="1">
      <c r="A670" s="64" t="str">
        <f>IF(priority(Main[[#This Row],[Comments]])&lt;&gt;0, priority(Main[[#This Row],[Comments]]),"")</f>
        <v/>
      </c>
      <c r="B670" s="60" t="s">
        <v>1493</v>
      </c>
      <c r="C670" s="72" t="s">
        <v>4</v>
      </c>
      <c r="D670" s="59" t="s">
        <v>97</v>
      </c>
      <c r="E670" s="85"/>
      <c r="F670" s="85"/>
      <c r="G670" s="64" t="str">
        <f>IF(stdProdLT(Main[[#This Row],[Comments]])=0.1,"N/A",IF(stdProdLT(Main[[#This Row],[Comments]])=0,"",TRIM(stdProdLT(Main[[#This Row],[Comments]]))))</f>
        <v/>
      </c>
      <c r="H670" s="94" t="str">
        <f>IF(OR(Main[[#This Row],[Std. Prod. Lead Time]]="N/A",Main[[#This Row],[Std. Prod. Lead Time]]=""), "",IF(AND(Main[[#This Row],[In Stock Date]]&lt;&gt;"",Main[[#This Row],[Revised Due Date]]&lt;&gt;"",Main[[#This Row],[In Stock Date]]&lt;&gt;""),Main[[#This Row],[In Stock Date]]-Main[[#This Row],[Revised Due Date]],""))</f>
        <v/>
      </c>
      <c r="I670" s="101" t="s">
        <v>4</v>
      </c>
      <c r="J670" s="95" t="s">
        <v>4</v>
      </c>
      <c r="K670" s="96" t="s">
        <v>4</v>
      </c>
      <c r="L670" s="85"/>
      <c r="M670" s="73" t="str">
        <f>IF(Main[[#This Row],[Tech Start Date]]&lt;1/1/1990,"",IF(Main[[#This Row],[Class]]="C",WORKDAY(Main[[#This Row],[Tech Start Date]],9),IF(Main[[#This Row],[Class]]="B", WORKDAY(Main[[#This Row],[Tech Start Date]],6),IF(Main[[#This Row],[Class]]="A",WORKDAY(Main[[#This Row],[Tech Start Date]],2),""))))</f>
        <v/>
      </c>
      <c r="N670" s="73" t="str">
        <f>IF(Main[[#This Row],[Tech Start Date]]&lt;1/1/1990,"",IF(Main[[#This Row],[Class]]="C",WORKDAY(Main[[#This Row],[Tech Start Date]],19),IF(Main[[#This Row],[Class]]="B", WORKDAY(Main[[#This Row],[Tech Start Date]],12),IF(Main[[#This Row],[Class]]="A",WORKDAY(Main[[#This Row],[Tech Start Date]],4),""))))</f>
        <v/>
      </c>
      <c r="O670" s="73" t="str">
        <f>IF(Main[[#This Row],[Tech Start Date]]&lt;1/1/1990,"",IF(Main[[#This Row],[Class]]="C",WORKDAY(Main[[#This Row],[Tech Start Date]],23),IF(Main[[#This Row],[Class]]="B", WORKDAY(Main[[#This Row],[Tech Start Date]],15),IF(Main[[#This Row],[Class]]="A",WORKDAY(Main[[#This Row],[Tech Start Date]],5),""))))</f>
        <v/>
      </c>
      <c r="P670" s="73" t="str">
        <f>IF(Main[[#This Row],[Tech Start Date]]&lt;1/1/1990,"",IF(Main[[#This Row],[Class]]="C",WORKDAY(Main[[#This Row],[Tech Start Date]],28),IF(Main[[#This Row],[Class]]="B", WORKDAY(Main[[#This Row],[Tech Start Date]],19),IF(Main[[#This Row],[Class]]="A",WORKDAY(Main[[#This Row],[Tech Start Date]],9),""))))</f>
        <v/>
      </c>
      <c r="Q670" s="85">
        <v>40858</v>
      </c>
      <c r="R670" s="112"/>
      <c r="S670" s="95" t="s">
        <v>17</v>
      </c>
      <c r="T670" s="74" t="s">
        <v>4</v>
      </c>
      <c r="U670" s="95" t="s">
        <v>14</v>
      </c>
      <c r="V670" s="95" t="s">
        <v>1911</v>
      </c>
      <c r="W670" s="95" t="s">
        <v>1916</v>
      </c>
      <c r="X670" s="95" t="s">
        <v>50</v>
      </c>
      <c r="Y670" s="72" t="s">
        <v>2937</v>
      </c>
      <c r="Z670" s="72" t="s">
        <v>4</v>
      </c>
      <c r="AA670" s="95" t="s">
        <v>2808</v>
      </c>
      <c r="AB670" s="132"/>
      <c r="AC670" s="132"/>
      <c r="AD670" s="132"/>
      <c r="AE670" s="63"/>
      <c r="AF670" s="63"/>
      <c r="AG670" s="63"/>
    </row>
    <row r="671" spans="1:33" ht="17.2" customHeight="1">
      <c r="A671" s="64" t="str">
        <f>IF(priority(Main[[#This Row],[Comments]])&lt;&gt;0, priority(Main[[#This Row],[Comments]]),"")</f>
        <v/>
      </c>
      <c r="B671" s="60" t="s">
        <v>2492</v>
      </c>
      <c r="C671" s="72" t="s">
        <v>2493</v>
      </c>
      <c r="D671" s="59" t="s">
        <v>2647</v>
      </c>
      <c r="E671" s="85"/>
      <c r="F671" s="85"/>
      <c r="G671" s="64" t="str">
        <f>IF(stdProdLT(Main[[#This Row],[Comments]])=0.1,"N/A",IF(stdProdLT(Main[[#This Row],[Comments]])=0,"",TRIM(stdProdLT(Main[[#This Row],[Comments]]))))</f>
        <v/>
      </c>
      <c r="H671" s="94" t="str">
        <f>IF(OR(Main[[#This Row],[Std. Prod. Lead Time]]="N/A",Main[[#This Row],[Std. Prod. Lead Time]]=""), "",IF(AND(Main[[#This Row],[In Stock Date]]&lt;&gt;"",Main[[#This Row],[Revised Due Date]]&lt;&gt;"",Main[[#This Row],[In Stock Date]]&lt;&gt;""),Main[[#This Row],[In Stock Date]]-Main[[#This Row],[Revised Due Date]],""))</f>
        <v/>
      </c>
      <c r="I671" s="101" t="s">
        <v>4</v>
      </c>
      <c r="J671" s="95" t="s">
        <v>4</v>
      </c>
      <c r="K671" s="95" t="s">
        <v>4</v>
      </c>
      <c r="L671" s="85"/>
      <c r="M671" s="73" t="str">
        <f>IF(Main[[#This Row],[Tech Start Date]]&lt;1/1/1990,"",IF(Main[[#This Row],[Class]]="C",WORKDAY(Main[[#This Row],[Tech Start Date]],9),IF(Main[[#This Row],[Class]]="B", WORKDAY(Main[[#This Row],[Tech Start Date]],6),IF(Main[[#This Row],[Class]]="A",WORKDAY(Main[[#This Row],[Tech Start Date]],2),""))))</f>
        <v/>
      </c>
      <c r="N671" s="73" t="str">
        <f>IF(Main[[#This Row],[Tech Start Date]]&lt;1/1/1990,"",IF(Main[[#This Row],[Class]]="C",WORKDAY(Main[[#This Row],[Tech Start Date]],19),IF(Main[[#This Row],[Class]]="B", WORKDAY(Main[[#This Row],[Tech Start Date]],12),IF(Main[[#This Row],[Class]]="A",WORKDAY(Main[[#This Row],[Tech Start Date]],4),""))))</f>
        <v/>
      </c>
      <c r="O671" s="73" t="str">
        <f>IF(Main[[#This Row],[Tech Start Date]]&lt;1/1/1990,"",IF(Main[[#This Row],[Class]]="C",WORKDAY(Main[[#This Row],[Tech Start Date]],23),IF(Main[[#This Row],[Class]]="B", WORKDAY(Main[[#This Row],[Tech Start Date]],15),IF(Main[[#This Row],[Class]]="A",WORKDAY(Main[[#This Row],[Tech Start Date]],5),""))))</f>
        <v/>
      </c>
      <c r="P671" s="73" t="str">
        <f>IF(Main[[#This Row],[Tech Start Date]]&lt;1/1/1990,"",IF(Main[[#This Row],[Class]]="C",WORKDAY(Main[[#This Row],[Tech Start Date]],28),IF(Main[[#This Row],[Class]]="B", WORKDAY(Main[[#This Row],[Tech Start Date]],19),IF(Main[[#This Row],[Class]]="A",WORKDAY(Main[[#This Row],[Tech Start Date]],9),""))))</f>
        <v/>
      </c>
      <c r="Q671" s="85">
        <v>40875</v>
      </c>
      <c r="R671" s="112"/>
      <c r="S671" s="95" t="s">
        <v>11</v>
      </c>
      <c r="T671" s="74" t="s">
        <v>2648</v>
      </c>
      <c r="U671" s="95" t="s">
        <v>14</v>
      </c>
      <c r="V671" s="95" t="s">
        <v>1914</v>
      </c>
      <c r="W671" s="95" t="s">
        <v>1919</v>
      </c>
      <c r="X671" s="95" t="s">
        <v>2890</v>
      </c>
      <c r="Y671" s="72" t="s">
        <v>3106</v>
      </c>
      <c r="Z671" s="72" t="s">
        <v>4</v>
      </c>
      <c r="AA671" s="95" t="s">
        <v>3422</v>
      </c>
      <c r="AB671" s="132"/>
      <c r="AC671" s="132"/>
      <c r="AD671" s="132"/>
      <c r="AE671" s="63"/>
      <c r="AF671" s="63"/>
      <c r="AG671" s="63"/>
    </row>
    <row r="672" spans="1:33" ht="17.2" customHeight="1">
      <c r="A672" s="64" t="str">
        <f>IF(priority(Main[[#This Row],[Comments]])&lt;&gt;0, priority(Main[[#This Row],[Comments]]),"")</f>
        <v/>
      </c>
      <c r="B672" s="60" t="s">
        <v>1494</v>
      </c>
      <c r="C672" s="72" t="s">
        <v>4</v>
      </c>
      <c r="D672" s="59" t="s">
        <v>39</v>
      </c>
      <c r="E672" s="85"/>
      <c r="F672" s="85"/>
      <c r="G672" s="64" t="str">
        <f>IF(stdProdLT(Main[[#This Row],[Comments]])=0.1,"N/A",IF(stdProdLT(Main[[#This Row],[Comments]])=0,"",TRIM(stdProdLT(Main[[#This Row],[Comments]]))))</f>
        <v/>
      </c>
      <c r="H672" s="94" t="str">
        <f>IF(OR(Main[[#This Row],[Std. Prod. Lead Time]]="N/A",Main[[#This Row],[Std. Prod. Lead Time]]=""), "",IF(AND(Main[[#This Row],[In Stock Date]]&lt;&gt;"",Main[[#This Row],[Revised Due Date]]&lt;&gt;"",Main[[#This Row],[In Stock Date]]&lt;&gt;""),Main[[#This Row],[In Stock Date]]-Main[[#This Row],[Revised Due Date]],""))</f>
        <v/>
      </c>
      <c r="I672" s="101" t="s">
        <v>4</v>
      </c>
      <c r="J672" s="95" t="s">
        <v>4</v>
      </c>
      <c r="K672" s="95" t="s">
        <v>4</v>
      </c>
      <c r="L672" s="85"/>
      <c r="M672" s="73" t="str">
        <f>IF(Main[[#This Row],[Tech Start Date]]&lt;1/1/1990,"",IF(Main[[#This Row],[Class]]="C",WORKDAY(Main[[#This Row],[Tech Start Date]],9),IF(Main[[#This Row],[Class]]="B", WORKDAY(Main[[#This Row],[Tech Start Date]],6),IF(Main[[#This Row],[Class]]="A",WORKDAY(Main[[#This Row],[Tech Start Date]],2),""))))</f>
        <v/>
      </c>
      <c r="N672" s="73" t="str">
        <f>IF(Main[[#This Row],[Tech Start Date]]&lt;1/1/1990,"",IF(Main[[#This Row],[Class]]="C",WORKDAY(Main[[#This Row],[Tech Start Date]],19),IF(Main[[#This Row],[Class]]="B", WORKDAY(Main[[#This Row],[Tech Start Date]],12),IF(Main[[#This Row],[Class]]="A",WORKDAY(Main[[#This Row],[Tech Start Date]],4),""))))</f>
        <v/>
      </c>
      <c r="O672" s="73" t="str">
        <f>IF(Main[[#This Row],[Tech Start Date]]&lt;1/1/1990,"",IF(Main[[#This Row],[Class]]="C",WORKDAY(Main[[#This Row],[Tech Start Date]],23),IF(Main[[#This Row],[Class]]="B", WORKDAY(Main[[#This Row],[Tech Start Date]],15),IF(Main[[#This Row],[Class]]="A",WORKDAY(Main[[#This Row],[Tech Start Date]],5),""))))</f>
        <v/>
      </c>
      <c r="P672" s="73" t="str">
        <f>IF(Main[[#This Row],[Tech Start Date]]&lt;1/1/1990,"",IF(Main[[#This Row],[Class]]="C",WORKDAY(Main[[#This Row],[Tech Start Date]],28),IF(Main[[#This Row],[Class]]="B", WORKDAY(Main[[#This Row],[Tech Start Date]],19),IF(Main[[#This Row],[Class]]="A",WORKDAY(Main[[#This Row],[Tech Start Date]],9),""))))</f>
        <v/>
      </c>
      <c r="Q672" s="85">
        <v>40669</v>
      </c>
      <c r="R672" s="112"/>
      <c r="S672" s="95" t="s">
        <v>6</v>
      </c>
      <c r="T672" s="74" t="s">
        <v>4</v>
      </c>
      <c r="U672" s="95" t="s">
        <v>14</v>
      </c>
      <c r="V672" s="95" t="s">
        <v>1914</v>
      </c>
      <c r="W672" s="95" t="s">
        <v>4</v>
      </c>
      <c r="X672" s="95" t="s">
        <v>2798</v>
      </c>
      <c r="Y672" s="72" t="s">
        <v>2908</v>
      </c>
      <c r="Z672" s="72" t="s">
        <v>4</v>
      </c>
      <c r="AA672" s="95" t="s">
        <v>2798</v>
      </c>
      <c r="AB672" s="132"/>
      <c r="AC672" s="132"/>
      <c r="AD672" s="132"/>
      <c r="AE672" s="63"/>
      <c r="AF672" s="63"/>
      <c r="AG672" s="63"/>
    </row>
    <row r="673" spans="1:33" ht="17.2" customHeight="1">
      <c r="A673" s="64" t="str">
        <f>IF(priority(Main[[#This Row],[Comments]])&lt;&gt;0, priority(Main[[#This Row],[Comments]]),"")</f>
        <v/>
      </c>
      <c r="B673" s="60" t="s">
        <v>1495</v>
      </c>
      <c r="C673" s="72" t="s">
        <v>4</v>
      </c>
      <c r="D673" s="59" t="s">
        <v>598</v>
      </c>
      <c r="E673" s="85"/>
      <c r="F673" s="85"/>
      <c r="G673" s="64" t="str">
        <f>IF(stdProdLT(Main[[#This Row],[Comments]])=0.1,"N/A",IF(stdProdLT(Main[[#This Row],[Comments]])=0,"",TRIM(stdProdLT(Main[[#This Row],[Comments]]))))</f>
        <v/>
      </c>
      <c r="H673" s="94" t="str">
        <f>IF(OR(Main[[#This Row],[Std. Prod. Lead Time]]="N/A",Main[[#This Row],[Std. Prod. Lead Time]]=""), "",IF(AND(Main[[#This Row],[In Stock Date]]&lt;&gt;"",Main[[#This Row],[Revised Due Date]]&lt;&gt;"",Main[[#This Row],[In Stock Date]]&lt;&gt;""),Main[[#This Row],[In Stock Date]]-Main[[#This Row],[Revised Due Date]],""))</f>
        <v/>
      </c>
      <c r="I673" s="101" t="s">
        <v>4</v>
      </c>
      <c r="J673" s="95" t="s">
        <v>28</v>
      </c>
      <c r="K673" s="95" t="s">
        <v>4</v>
      </c>
      <c r="L673" s="85"/>
      <c r="M673" s="73" t="str">
        <f>IF(Main[[#This Row],[Tech Start Date]]&lt;1/1/1990,"",IF(Main[[#This Row],[Class]]="C",WORKDAY(Main[[#This Row],[Tech Start Date]],9),IF(Main[[#This Row],[Class]]="B", WORKDAY(Main[[#This Row],[Tech Start Date]],6),IF(Main[[#This Row],[Class]]="A",WORKDAY(Main[[#This Row],[Tech Start Date]],2),""))))</f>
        <v/>
      </c>
      <c r="N673" s="73" t="str">
        <f>IF(Main[[#This Row],[Tech Start Date]]&lt;1/1/1990,"",IF(Main[[#This Row],[Class]]="C",WORKDAY(Main[[#This Row],[Tech Start Date]],19),IF(Main[[#This Row],[Class]]="B", WORKDAY(Main[[#This Row],[Tech Start Date]],12),IF(Main[[#This Row],[Class]]="A",WORKDAY(Main[[#This Row],[Tech Start Date]],4),""))))</f>
        <v/>
      </c>
      <c r="O673" s="73" t="str">
        <f>IF(Main[[#This Row],[Tech Start Date]]&lt;1/1/1990,"",IF(Main[[#This Row],[Class]]="C",WORKDAY(Main[[#This Row],[Tech Start Date]],23),IF(Main[[#This Row],[Class]]="B", WORKDAY(Main[[#This Row],[Tech Start Date]],15),IF(Main[[#This Row],[Class]]="A",WORKDAY(Main[[#This Row],[Tech Start Date]],5),""))))</f>
        <v/>
      </c>
      <c r="P673" s="73" t="str">
        <f>IF(Main[[#This Row],[Tech Start Date]]&lt;1/1/1990,"",IF(Main[[#This Row],[Class]]="C",WORKDAY(Main[[#This Row],[Tech Start Date]],28),IF(Main[[#This Row],[Class]]="B", WORKDAY(Main[[#This Row],[Tech Start Date]],19),IF(Main[[#This Row],[Class]]="A",WORKDAY(Main[[#This Row],[Tech Start Date]],9),""))))</f>
        <v/>
      </c>
      <c r="Q673" s="85">
        <v>40482</v>
      </c>
      <c r="R673" s="112"/>
      <c r="S673" s="95" t="s">
        <v>6</v>
      </c>
      <c r="T673" s="74" t="s">
        <v>4</v>
      </c>
      <c r="U673" s="95" t="s">
        <v>14</v>
      </c>
      <c r="V673" s="95" t="s">
        <v>1914</v>
      </c>
      <c r="W673" s="95" t="s">
        <v>1915</v>
      </c>
      <c r="X673" s="95" t="s">
        <v>2867</v>
      </c>
      <c r="Y673" s="72" t="s">
        <v>3021</v>
      </c>
      <c r="Z673" s="72" t="s">
        <v>530</v>
      </c>
      <c r="AA673" s="95" t="s">
        <v>2867</v>
      </c>
      <c r="AB673" s="132"/>
      <c r="AC673" s="132"/>
      <c r="AD673" s="132"/>
      <c r="AE673" s="63"/>
      <c r="AF673" s="63"/>
      <c r="AG673" s="63"/>
    </row>
    <row r="674" spans="1:33" ht="17.2" customHeight="1">
      <c r="A674" s="64" t="str">
        <f>IF(priority(Main[[#This Row],[Comments]])&lt;&gt;0, priority(Main[[#This Row],[Comments]]),"")</f>
        <v/>
      </c>
      <c r="B674" s="60" t="s">
        <v>2086</v>
      </c>
      <c r="C674" s="72" t="s">
        <v>4</v>
      </c>
      <c r="D674" s="59" t="s">
        <v>2087</v>
      </c>
      <c r="E674" s="85"/>
      <c r="F674" s="85"/>
      <c r="G674" s="64" t="str">
        <f>IF(stdProdLT(Main[[#This Row],[Comments]])=0.1,"N/A",IF(stdProdLT(Main[[#This Row],[Comments]])=0,"",TRIM(stdProdLT(Main[[#This Row],[Comments]]))))</f>
        <v/>
      </c>
      <c r="H674" s="94" t="str">
        <f>IF(OR(Main[[#This Row],[Std. Prod. Lead Time]]="N/A",Main[[#This Row],[Std. Prod. Lead Time]]=""), "",IF(AND(Main[[#This Row],[In Stock Date]]&lt;&gt;"",Main[[#This Row],[Revised Due Date]]&lt;&gt;"",Main[[#This Row],[In Stock Date]]&lt;&gt;""),Main[[#This Row],[In Stock Date]]-Main[[#This Row],[Revised Due Date]],""))</f>
        <v/>
      </c>
      <c r="I674" s="101" t="s">
        <v>4</v>
      </c>
      <c r="J674" s="95" t="s">
        <v>4</v>
      </c>
      <c r="K674" s="95" t="s">
        <v>4</v>
      </c>
      <c r="L674" s="85"/>
      <c r="M674" s="73" t="str">
        <f>IF(Main[[#This Row],[Tech Start Date]]&lt;1/1/1990,"",IF(Main[[#This Row],[Class]]="C",WORKDAY(Main[[#This Row],[Tech Start Date]],9),IF(Main[[#This Row],[Class]]="B", WORKDAY(Main[[#This Row],[Tech Start Date]],6),IF(Main[[#This Row],[Class]]="A",WORKDAY(Main[[#This Row],[Tech Start Date]],2),""))))</f>
        <v/>
      </c>
      <c r="N674" s="73" t="str">
        <f>IF(Main[[#This Row],[Tech Start Date]]&lt;1/1/1990,"",IF(Main[[#This Row],[Class]]="C",WORKDAY(Main[[#This Row],[Tech Start Date]],19),IF(Main[[#This Row],[Class]]="B", WORKDAY(Main[[#This Row],[Tech Start Date]],12),IF(Main[[#This Row],[Class]]="A",WORKDAY(Main[[#This Row],[Tech Start Date]],4),""))))</f>
        <v/>
      </c>
      <c r="O674" s="73" t="str">
        <f>IF(Main[[#This Row],[Tech Start Date]]&lt;1/1/1990,"",IF(Main[[#This Row],[Class]]="C",WORKDAY(Main[[#This Row],[Tech Start Date]],23),IF(Main[[#This Row],[Class]]="B", WORKDAY(Main[[#This Row],[Tech Start Date]],15),IF(Main[[#This Row],[Class]]="A",WORKDAY(Main[[#This Row],[Tech Start Date]],5),""))))</f>
        <v/>
      </c>
      <c r="P674" s="73" t="str">
        <f>IF(Main[[#This Row],[Tech Start Date]]&lt;1/1/1990,"",IF(Main[[#This Row],[Class]]="C",WORKDAY(Main[[#This Row],[Tech Start Date]],28),IF(Main[[#This Row],[Class]]="B", WORKDAY(Main[[#This Row],[Tech Start Date]],19),IF(Main[[#This Row],[Class]]="A",WORKDAY(Main[[#This Row],[Tech Start Date]],9),""))))</f>
        <v/>
      </c>
      <c r="Q674" s="85"/>
      <c r="R674" s="112"/>
      <c r="S674" s="95" t="s">
        <v>6</v>
      </c>
      <c r="T674" s="74" t="s">
        <v>4</v>
      </c>
      <c r="U674" s="95" t="s">
        <v>14</v>
      </c>
      <c r="V674" s="95" t="s">
        <v>1914</v>
      </c>
      <c r="W674" s="95" t="s">
        <v>1915</v>
      </c>
      <c r="X674" s="95" t="s">
        <v>306</v>
      </c>
      <c r="Y674" s="72" t="s">
        <v>4</v>
      </c>
      <c r="Z674" s="72" t="s">
        <v>4</v>
      </c>
      <c r="AA674" s="95" t="s">
        <v>4</v>
      </c>
      <c r="AB674" s="132"/>
      <c r="AC674" s="132"/>
      <c r="AD674" s="132"/>
      <c r="AE674" s="63"/>
      <c r="AF674" s="63"/>
      <c r="AG674" s="63"/>
    </row>
    <row r="675" spans="1:33" ht="17.2" customHeight="1">
      <c r="A675" s="64" t="str">
        <f>IF(priority(Main[[#This Row],[Comments]])&lt;&gt;0, priority(Main[[#This Row],[Comments]]),"")</f>
        <v/>
      </c>
      <c r="B675" s="60" t="s">
        <v>1497</v>
      </c>
      <c r="C675" s="72" t="s">
        <v>600</v>
      </c>
      <c r="D675" s="59" t="s">
        <v>601</v>
      </c>
      <c r="E675" s="85"/>
      <c r="F675" s="85"/>
      <c r="G675" s="64" t="str">
        <f>IF(stdProdLT(Main[[#This Row],[Comments]])=0.1,"N/A",IF(stdProdLT(Main[[#This Row],[Comments]])=0,"",TRIM(stdProdLT(Main[[#This Row],[Comments]]))))</f>
        <v/>
      </c>
      <c r="H675" s="94" t="str">
        <f>IF(OR(Main[[#This Row],[Std. Prod. Lead Time]]="N/A",Main[[#This Row],[Std. Prod. Lead Time]]=""), "",IF(AND(Main[[#This Row],[In Stock Date]]&lt;&gt;"",Main[[#This Row],[Revised Due Date]]&lt;&gt;"",Main[[#This Row],[In Stock Date]]&lt;&gt;""),Main[[#This Row],[In Stock Date]]-Main[[#This Row],[Revised Due Date]],""))</f>
        <v/>
      </c>
      <c r="I675" s="101" t="s">
        <v>4</v>
      </c>
      <c r="J675" s="95" t="s">
        <v>4</v>
      </c>
      <c r="K675" s="95" t="s">
        <v>4</v>
      </c>
      <c r="L675" s="85"/>
      <c r="M675" s="73" t="str">
        <f>IF(Main[[#This Row],[Tech Start Date]]&lt;1/1/1990,"",IF(Main[[#This Row],[Class]]="C",WORKDAY(Main[[#This Row],[Tech Start Date]],9),IF(Main[[#This Row],[Class]]="B", WORKDAY(Main[[#This Row],[Tech Start Date]],6),IF(Main[[#This Row],[Class]]="A",WORKDAY(Main[[#This Row],[Tech Start Date]],2),""))))</f>
        <v/>
      </c>
      <c r="N675" s="73" t="str">
        <f>IF(Main[[#This Row],[Tech Start Date]]&lt;1/1/1990,"",IF(Main[[#This Row],[Class]]="C",WORKDAY(Main[[#This Row],[Tech Start Date]],19),IF(Main[[#This Row],[Class]]="B", WORKDAY(Main[[#This Row],[Tech Start Date]],12),IF(Main[[#This Row],[Class]]="A",WORKDAY(Main[[#This Row],[Tech Start Date]],4),""))))</f>
        <v/>
      </c>
      <c r="O675" s="73" t="str">
        <f>IF(Main[[#This Row],[Tech Start Date]]&lt;1/1/1990,"",IF(Main[[#This Row],[Class]]="C",WORKDAY(Main[[#This Row],[Tech Start Date]],23),IF(Main[[#This Row],[Class]]="B", WORKDAY(Main[[#This Row],[Tech Start Date]],15),IF(Main[[#This Row],[Class]]="A",WORKDAY(Main[[#This Row],[Tech Start Date]],5),""))))</f>
        <v/>
      </c>
      <c r="P675" s="73" t="str">
        <f>IF(Main[[#This Row],[Tech Start Date]]&lt;1/1/1990,"",IF(Main[[#This Row],[Class]]="C",WORKDAY(Main[[#This Row],[Tech Start Date]],28),IF(Main[[#This Row],[Class]]="B", WORKDAY(Main[[#This Row],[Tech Start Date]],19),IF(Main[[#This Row],[Class]]="A",WORKDAY(Main[[#This Row],[Tech Start Date]],9),""))))</f>
        <v/>
      </c>
      <c r="Q675" s="85">
        <v>40219</v>
      </c>
      <c r="R675" s="112"/>
      <c r="S675" s="95" t="s">
        <v>11</v>
      </c>
      <c r="T675" s="74" t="s">
        <v>4</v>
      </c>
      <c r="U675" s="95" t="s">
        <v>14</v>
      </c>
      <c r="V675" s="95" t="s">
        <v>1914</v>
      </c>
      <c r="W675" s="95" t="s">
        <v>1913</v>
      </c>
      <c r="X675" s="95" t="s">
        <v>2874</v>
      </c>
      <c r="Y675" s="72" t="s">
        <v>4</v>
      </c>
      <c r="Z675" s="72" t="s">
        <v>4</v>
      </c>
      <c r="AA675" s="95" t="s">
        <v>2874</v>
      </c>
      <c r="AB675" s="132"/>
      <c r="AC675" s="132"/>
      <c r="AD675" s="132"/>
      <c r="AE675" s="63"/>
      <c r="AF675" s="63"/>
      <c r="AG675" s="63"/>
    </row>
    <row r="676" spans="1:33" ht="17.2" customHeight="1">
      <c r="A676" s="64" t="str">
        <f>IF(priority(Main[[#This Row],[Comments]])&lt;&gt;0, priority(Main[[#This Row],[Comments]]),"")</f>
        <v/>
      </c>
      <c r="B676" s="60" t="s">
        <v>1498</v>
      </c>
      <c r="C676" s="72" t="s">
        <v>4</v>
      </c>
      <c r="D676" s="59" t="s">
        <v>602</v>
      </c>
      <c r="E676" s="85"/>
      <c r="F676" s="85"/>
      <c r="G676" s="64" t="str">
        <f>IF(stdProdLT(Main[[#This Row],[Comments]])=0.1,"N/A",IF(stdProdLT(Main[[#This Row],[Comments]])=0,"",TRIM(stdProdLT(Main[[#This Row],[Comments]]))))</f>
        <v/>
      </c>
      <c r="H676" s="94" t="str">
        <f>IF(OR(Main[[#This Row],[Std. Prod. Lead Time]]="N/A",Main[[#This Row],[Std. Prod. Lead Time]]=""), "",IF(AND(Main[[#This Row],[In Stock Date]]&lt;&gt;"",Main[[#This Row],[Revised Due Date]]&lt;&gt;"",Main[[#This Row],[In Stock Date]]&lt;&gt;""),Main[[#This Row],[In Stock Date]]-Main[[#This Row],[Revised Due Date]],""))</f>
        <v/>
      </c>
      <c r="I676" s="101" t="s">
        <v>81</v>
      </c>
      <c r="J676" s="95" t="s">
        <v>4</v>
      </c>
      <c r="K676" s="95" t="s">
        <v>4</v>
      </c>
      <c r="L676" s="85"/>
      <c r="M676" s="73" t="str">
        <f>IF(Main[[#This Row],[Tech Start Date]]&lt;1/1/1990,"",IF(Main[[#This Row],[Class]]="C",WORKDAY(Main[[#This Row],[Tech Start Date]],9),IF(Main[[#This Row],[Class]]="B", WORKDAY(Main[[#This Row],[Tech Start Date]],6),IF(Main[[#This Row],[Class]]="A",WORKDAY(Main[[#This Row],[Tech Start Date]],2),""))))</f>
        <v/>
      </c>
      <c r="N676" s="73" t="str">
        <f>IF(Main[[#This Row],[Tech Start Date]]&lt;1/1/1990,"",IF(Main[[#This Row],[Class]]="C",WORKDAY(Main[[#This Row],[Tech Start Date]],19),IF(Main[[#This Row],[Class]]="B", WORKDAY(Main[[#This Row],[Tech Start Date]],12),IF(Main[[#This Row],[Class]]="A",WORKDAY(Main[[#This Row],[Tech Start Date]],4),""))))</f>
        <v/>
      </c>
      <c r="O676" s="73" t="str">
        <f>IF(Main[[#This Row],[Tech Start Date]]&lt;1/1/1990,"",IF(Main[[#This Row],[Class]]="C",WORKDAY(Main[[#This Row],[Tech Start Date]],23),IF(Main[[#This Row],[Class]]="B", WORKDAY(Main[[#This Row],[Tech Start Date]],15),IF(Main[[#This Row],[Class]]="A",WORKDAY(Main[[#This Row],[Tech Start Date]],5),""))))</f>
        <v/>
      </c>
      <c r="P676" s="73" t="str">
        <f>IF(Main[[#This Row],[Tech Start Date]]&lt;1/1/1990,"",IF(Main[[#This Row],[Class]]="C",WORKDAY(Main[[#This Row],[Tech Start Date]],28),IF(Main[[#This Row],[Class]]="B", WORKDAY(Main[[#This Row],[Tech Start Date]],19),IF(Main[[#This Row],[Class]]="A",WORKDAY(Main[[#This Row],[Tech Start Date]],9),""))))</f>
        <v/>
      </c>
      <c r="Q676" s="85">
        <v>40390</v>
      </c>
      <c r="R676" s="112"/>
      <c r="S676" s="95" t="s">
        <v>6</v>
      </c>
      <c r="T676" s="74" t="s">
        <v>4</v>
      </c>
      <c r="U676" s="95" t="s">
        <v>14</v>
      </c>
      <c r="V676" s="95" t="s">
        <v>1914</v>
      </c>
      <c r="W676" s="95" t="s">
        <v>4</v>
      </c>
      <c r="X676" s="95" t="s">
        <v>2799</v>
      </c>
      <c r="Y676" s="72" t="s">
        <v>2910</v>
      </c>
      <c r="Z676" s="72" t="s">
        <v>44</v>
      </c>
      <c r="AA676" s="95" t="s">
        <v>2799</v>
      </c>
      <c r="AB676" s="132"/>
      <c r="AC676" s="132"/>
      <c r="AD676" s="132"/>
      <c r="AE676" s="63"/>
      <c r="AF676" s="63"/>
      <c r="AG676" s="63"/>
    </row>
    <row r="677" spans="1:33" ht="17.2" customHeight="1">
      <c r="A677" s="64" t="str">
        <f>IF(priority(Main[[#This Row],[Comments]])&lt;&gt;0, priority(Main[[#This Row],[Comments]]),"")</f>
        <v/>
      </c>
      <c r="B677" s="60" t="s">
        <v>1499</v>
      </c>
      <c r="C677" s="72" t="s">
        <v>93</v>
      </c>
      <c r="D677" s="59" t="s">
        <v>603</v>
      </c>
      <c r="E677" s="85"/>
      <c r="F677" s="85">
        <v>40299</v>
      </c>
      <c r="G677" s="64" t="str">
        <f>IF(stdProdLT(Main[[#This Row],[Comments]])=0.1,"N/A",IF(stdProdLT(Main[[#This Row],[Comments]])=0,"",TRIM(stdProdLT(Main[[#This Row],[Comments]]))))</f>
        <v/>
      </c>
      <c r="H677" s="94" t="str">
        <f>IF(OR(Main[[#This Row],[Std. Prod. Lead Time]]="N/A",Main[[#This Row],[Std. Prod. Lead Time]]=""), "",IF(AND(Main[[#This Row],[In Stock Date]]&lt;&gt;"",Main[[#This Row],[Revised Due Date]]&lt;&gt;"",Main[[#This Row],[In Stock Date]]&lt;&gt;""),Main[[#This Row],[In Stock Date]]-Main[[#This Row],[Revised Due Date]],""))</f>
        <v/>
      </c>
      <c r="I677" s="101" t="s">
        <v>4</v>
      </c>
      <c r="J677" s="95" t="s">
        <v>4</v>
      </c>
      <c r="K677" s="95" t="s">
        <v>4</v>
      </c>
      <c r="L677" s="85"/>
      <c r="M677" s="73" t="str">
        <f>IF(Main[[#This Row],[Tech Start Date]]&lt;1/1/1990,"",IF(Main[[#This Row],[Class]]="C",WORKDAY(Main[[#This Row],[Tech Start Date]],9),IF(Main[[#This Row],[Class]]="B", WORKDAY(Main[[#This Row],[Tech Start Date]],6),IF(Main[[#This Row],[Class]]="A",WORKDAY(Main[[#This Row],[Tech Start Date]],2),""))))</f>
        <v/>
      </c>
      <c r="N677" s="73" t="str">
        <f>IF(Main[[#This Row],[Tech Start Date]]&lt;1/1/1990,"",IF(Main[[#This Row],[Class]]="C",WORKDAY(Main[[#This Row],[Tech Start Date]],19),IF(Main[[#This Row],[Class]]="B", WORKDAY(Main[[#This Row],[Tech Start Date]],12),IF(Main[[#This Row],[Class]]="A",WORKDAY(Main[[#This Row],[Tech Start Date]],4),""))))</f>
        <v/>
      </c>
      <c r="O677" s="73" t="str">
        <f>IF(Main[[#This Row],[Tech Start Date]]&lt;1/1/1990,"",IF(Main[[#This Row],[Class]]="C",WORKDAY(Main[[#This Row],[Tech Start Date]],23),IF(Main[[#This Row],[Class]]="B", WORKDAY(Main[[#This Row],[Tech Start Date]],15),IF(Main[[#This Row],[Class]]="A",WORKDAY(Main[[#This Row],[Tech Start Date]],5),""))))</f>
        <v/>
      </c>
      <c r="P677" s="73" t="str">
        <f>IF(Main[[#This Row],[Tech Start Date]]&lt;1/1/1990,"",IF(Main[[#This Row],[Class]]="C",WORKDAY(Main[[#This Row],[Tech Start Date]],28),IF(Main[[#This Row],[Class]]="B", WORKDAY(Main[[#This Row],[Tech Start Date]],19),IF(Main[[#This Row],[Class]]="A",WORKDAY(Main[[#This Row],[Tech Start Date]],9),""))))</f>
        <v/>
      </c>
      <c r="Q677" s="85">
        <v>40214</v>
      </c>
      <c r="R677" s="112"/>
      <c r="S677" s="95" t="s">
        <v>11</v>
      </c>
      <c r="T677" s="74" t="s">
        <v>4</v>
      </c>
      <c r="U677" s="95" t="s">
        <v>12</v>
      </c>
      <c r="V677" s="95" t="s">
        <v>1911</v>
      </c>
      <c r="W677" s="95" t="s">
        <v>1917</v>
      </c>
      <c r="X677" s="95" t="s">
        <v>2825</v>
      </c>
      <c r="Y677" s="72" t="s">
        <v>4</v>
      </c>
      <c r="Z677" s="72" t="s">
        <v>4</v>
      </c>
      <c r="AA677" s="95" t="s">
        <v>2825</v>
      </c>
      <c r="AB677" s="132"/>
      <c r="AC677" s="132"/>
      <c r="AD677" s="132"/>
      <c r="AE677" s="63"/>
      <c r="AF677" s="63"/>
      <c r="AG677" s="63"/>
    </row>
    <row r="678" spans="1:33" ht="17.2" customHeight="1">
      <c r="A678" s="64" t="str">
        <f>IF(priority(Main[[#This Row],[Comments]])&lt;&gt;0, priority(Main[[#This Row],[Comments]]),"")</f>
        <v/>
      </c>
      <c r="B678" s="60" t="s">
        <v>1186</v>
      </c>
      <c r="C678" s="72" t="s">
        <v>4</v>
      </c>
      <c r="D678" s="59" t="s">
        <v>247</v>
      </c>
      <c r="E678" s="85"/>
      <c r="F678" s="85"/>
      <c r="G678" s="64" t="str">
        <f>IF(stdProdLT(Main[[#This Row],[Comments]])=0.1,"N/A",IF(stdProdLT(Main[[#This Row],[Comments]])=0,"",TRIM(stdProdLT(Main[[#This Row],[Comments]]))))</f>
        <v/>
      </c>
      <c r="H678" s="94" t="str">
        <f>IF(OR(Main[[#This Row],[Std. Prod. Lead Time]]="N/A",Main[[#This Row],[Std. Prod. Lead Time]]=""), "",IF(AND(Main[[#This Row],[In Stock Date]]&lt;&gt;"",Main[[#This Row],[Revised Due Date]]&lt;&gt;"",Main[[#This Row],[In Stock Date]]&lt;&gt;""),Main[[#This Row],[In Stock Date]]-Main[[#This Row],[Revised Due Date]],""))</f>
        <v/>
      </c>
      <c r="I678" s="101" t="s">
        <v>4</v>
      </c>
      <c r="J678" s="95" t="s">
        <v>28</v>
      </c>
      <c r="K678" s="95" t="s">
        <v>4</v>
      </c>
      <c r="L678" s="85"/>
      <c r="M678" s="73" t="str">
        <f>IF(Main[[#This Row],[Tech Start Date]]&lt;1/1/1990,"",IF(Main[[#This Row],[Class]]="C",WORKDAY(Main[[#This Row],[Tech Start Date]],9),IF(Main[[#This Row],[Class]]="B", WORKDAY(Main[[#This Row],[Tech Start Date]],6),IF(Main[[#This Row],[Class]]="A",WORKDAY(Main[[#This Row],[Tech Start Date]],2),""))))</f>
        <v/>
      </c>
      <c r="N678" s="73" t="str">
        <f>IF(Main[[#This Row],[Tech Start Date]]&lt;1/1/1990,"",IF(Main[[#This Row],[Class]]="C",WORKDAY(Main[[#This Row],[Tech Start Date]],19),IF(Main[[#This Row],[Class]]="B", WORKDAY(Main[[#This Row],[Tech Start Date]],12),IF(Main[[#This Row],[Class]]="A",WORKDAY(Main[[#This Row],[Tech Start Date]],4),""))))</f>
        <v/>
      </c>
      <c r="O678" s="73" t="str">
        <f>IF(Main[[#This Row],[Tech Start Date]]&lt;1/1/1990,"",IF(Main[[#This Row],[Class]]="C",WORKDAY(Main[[#This Row],[Tech Start Date]],23),IF(Main[[#This Row],[Class]]="B", WORKDAY(Main[[#This Row],[Tech Start Date]],15),IF(Main[[#This Row],[Class]]="A",WORKDAY(Main[[#This Row],[Tech Start Date]],5),""))))</f>
        <v/>
      </c>
      <c r="P678" s="73" t="str">
        <f>IF(Main[[#This Row],[Tech Start Date]]&lt;1/1/1990,"",IF(Main[[#This Row],[Class]]="C",WORKDAY(Main[[#This Row],[Tech Start Date]],28),IF(Main[[#This Row],[Class]]="B", WORKDAY(Main[[#This Row],[Tech Start Date]],19),IF(Main[[#This Row],[Class]]="A",WORKDAY(Main[[#This Row],[Tech Start Date]],9),""))))</f>
        <v/>
      </c>
      <c r="Q678" s="85">
        <v>40480</v>
      </c>
      <c r="R678" s="112"/>
      <c r="S678" s="95" t="s">
        <v>6</v>
      </c>
      <c r="T678" s="74" t="s">
        <v>4</v>
      </c>
      <c r="U678" s="95" t="s">
        <v>14</v>
      </c>
      <c r="V678" s="95" t="s">
        <v>1911</v>
      </c>
      <c r="W678" s="95" t="s">
        <v>1919</v>
      </c>
      <c r="X678" s="95" t="s">
        <v>2875</v>
      </c>
      <c r="Y678" s="72" t="s">
        <v>3038</v>
      </c>
      <c r="Z678" s="72" t="s">
        <v>129</v>
      </c>
      <c r="AA678" s="95" t="s">
        <v>2875</v>
      </c>
      <c r="AB678" s="132"/>
      <c r="AC678" s="132"/>
      <c r="AD678" s="132"/>
      <c r="AE678" s="63"/>
      <c r="AF678" s="63"/>
      <c r="AG678" s="63"/>
    </row>
    <row r="679" spans="1:33" ht="17.2" customHeight="1">
      <c r="A679" s="64" t="str">
        <f>IF(priority(Main[[#This Row],[Comments]])&lt;&gt;0, priority(Main[[#This Row],[Comments]]),"")</f>
        <v/>
      </c>
      <c r="B679" s="60" t="s">
        <v>3631</v>
      </c>
      <c r="C679" s="72" t="s">
        <v>4</v>
      </c>
      <c r="D679" s="59" t="s">
        <v>3632</v>
      </c>
      <c r="E679" s="85">
        <v>40962.794108796297</v>
      </c>
      <c r="F679" s="85"/>
      <c r="G679" s="64" t="str">
        <f>IF(stdProdLT(Main[[#This Row],[Comments]])=0.1,"N/A",IF(stdProdLT(Main[[#This Row],[Comments]])=0,"",TRIM(stdProdLT(Main[[#This Row],[Comments]]))))</f>
        <v/>
      </c>
      <c r="H679" s="94" t="str">
        <f>IF(OR(Main[[#This Row],[Std. Prod. Lead Time]]="N/A",Main[[#This Row],[Std. Prod. Lead Time]]=""), "",IF(AND(Main[[#This Row],[In Stock Date]]&lt;&gt;"",Main[[#This Row],[Revised Due Date]]&lt;&gt;"",Main[[#This Row],[In Stock Date]]&lt;&gt;""),Main[[#This Row],[In Stock Date]]-Main[[#This Row],[Revised Due Date]],""))</f>
        <v/>
      </c>
      <c r="I679" s="101" t="s">
        <v>2045</v>
      </c>
      <c r="J679" s="95" t="s">
        <v>28</v>
      </c>
      <c r="K679" s="95" t="s">
        <v>1920</v>
      </c>
      <c r="L679" s="85"/>
      <c r="M679" s="73" t="str">
        <f>IF(Main[[#This Row],[Tech Start Date]]&lt;1/1/1990,"",IF(Main[[#This Row],[Class]]="C",WORKDAY(Main[[#This Row],[Tech Start Date]],9),IF(Main[[#This Row],[Class]]="B", WORKDAY(Main[[#This Row],[Tech Start Date]],6),IF(Main[[#This Row],[Class]]="A",WORKDAY(Main[[#This Row],[Tech Start Date]],2),""))))</f>
        <v/>
      </c>
      <c r="N679" s="73" t="str">
        <f>IF(Main[[#This Row],[Tech Start Date]]&lt;1/1/1990,"",IF(Main[[#This Row],[Class]]="C",WORKDAY(Main[[#This Row],[Tech Start Date]],19),IF(Main[[#This Row],[Class]]="B", WORKDAY(Main[[#This Row],[Tech Start Date]],12),IF(Main[[#This Row],[Class]]="A",WORKDAY(Main[[#This Row],[Tech Start Date]],4),""))))</f>
        <v/>
      </c>
      <c r="O679" s="73" t="str">
        <f>IF(Main[[#This Row],[Tech Start Date]]&lt;1/1/1990,"",IF(Main[[#This Row],[Class]]="C",WORKDAY(Main[[#This Row],[Tech Start Date]],23),IF(Main[[#This Row],[Class]]="B", WORKDAY(Main[[#This Row],[Tech Start Date]],15),IF(Main[[#This Row],[Class]]="A",WORKDAY(Main[[#This Row],[Tech Start Date]],5),""))))</f>
        <v/>
      </c>
      <c r="P679" s="73" t="str">
        <f>IF(Main[[#This Row],[Tech Start Date]]&lt;1/1/1990,"",IF(Main[[#This Row],[Class]]="C",WORKDAY(Main[[#This Row],[Tech Start Date]],28),IF(Main[[#This Row],[Class]]="B", WORKDAY(Main[[#This Row],[Tech Start Date]],19),IF(Main[[#This Row],[Class]]="A",WORKDAY(Main[[#This Row],[Tech Start Date]],9),""))))</f>
        <v/>
      </c>
      <c r="Q679" s="85">
        <v>40999</v>
      </c>
      <c r="R679" s="112"/>
      <c r="S679" s="95" t="s">
        <v>6</v>
      </c>
      <c r="T679" s="74" t="s">
        <v>4</v>
      </c>
      <c r="U679" s="95" t="s">
        <v>29</v>
      </c>
      <c r="V679" s="95" t="s">
        <v>1914</v>
      </c>
      <c r="W679" s="95" t="s">
        <v>1915</v>
      </c>
      <c r="X679" s="95" t="s">
        <v>30</v>
      </c>
      <c r="Y679" s="72" t="s">
        <v>3633</v>
      </c>
      <c r="Z679" s="72" t="s">
        <v>415</v>
      </c>
      <c r="AA679" s="95" t="s">
        <v>3408</v>
      </c>
      <c r="AB679" s="132"/>
      <c r="AC679" s="132"/>
      <c r="AD679" s="132"/>
      <c r="AE679" s="63"/>
      <c r="AF679" s="63"/>
      <c r="AG679" s="63"/>
    </row>
    <row r="680" spans="1:33" ht="17.2" customHeight="1">
      <c r="A680" s="64" t="str">
        <f>IF(priority(Main[[#This Row],[Comments]])&lt;&gt;0, priority(Main[[#This Row],[Comments]]),"")</f>
        <v/>
      </c>
      <c r="B680" s="60" t="s">
        <v>1500</v>
      </c>
      <c r="C680" s="72" t="s">
        <v>31</v>
      </c>
      <c r="D680" s="59" t="s">
        <v>604</v>
      </c>
      <c r="E680" s="85"/>
      <c r="F680" s="85">
        <v>40330</v>
      </c>
      <c r="G680" s="64" t="str">
        <f>IF(stdProdLT(Main[[#This Row],[Comments]])=0.1,"N/A",IF(stdProdLT(Main[[#This Row],[Comments]])=0,"",TRIM(stdProdLT(Main[[#This Row],[Comments]]))))</f>
        <v/>
      </c>
      <c r="H680" s="94" t="str">
        <f>IF(OR(Main[[#This Row],[Std. Prod. Lead Time]]="N/A",Main[[#This Row],[Std. Prod. Lead Time]]=""), "",IF(AND(Main[[#This Row],[In Stock Date]]&lt;&gt;"",Main[[#This Row],[Revised Due Date]]&lt;&gt;"",Main[[#This Row],[In Stock Date]]&lt;&gt;""),Main[[#This Row],[In Stock Date]]-Main[[#This Row],[Revised Due Date]],""))</f>
        <v/>
      </c>
      <c r="I680" s="101" t="s">
        <v>417</v>
      </c>
      <c r="J680" s="95" t="s">
        <v>4</v>
      </c>
      <c r="K680" s="95" t="s">
        <v>4</v>
      </c>
      <c r="L680" s="85"/>
      <c r="M680" s="73" t="str">
        <f>IF(Main[[#This Row],[Tech Start Date]]&lt;1/1/1990,"",IF(Main[[#This Row],[Class]]="C",WORKDAY(Main[[#This Row],[Tech Start Date]],9),IF(Main[[#This Row],[Class]]="B", WORKDAY(Main[[#This Row],[Tech Start Date]],6),IF(Main[[#This Row],[Class]]="A",WORKDAY(Main[[#This Row],[Tech Start Date]],2),""))))</f>
        <v/>
      </c>
      <c r="N680" s="73" t="str">
        <f>IF(Main[[#This Row],[Tech Start Date]]&lt;1/1/1990,"",IF(Main[[#This Row],[Class]]="C",WORKDAY(Main[[#This Row],[Tech Start Date]],19),IF(Main[[#This Row],[Class]]="B", WORKDAY(Main[[#This Row],[Tech Start Date]],12),IF(Main[[#This Row],[Class]]="A",WORKDAY(Main[[#This Row],[Tech Start Date]],4),""))))</f>
        <v/>
      </c>
      <c r="O680" s="73" t="str">
        <f>IF(Main[[#This Row],[Tech Start Date]]&lt;1/1/1990,"",IF(Main[[#This Row],[Class]]="C",WORKDAY(Main[[#This Row],[Tech Start Date]],23),IF(Main[[#This Row],[Class]]="B", WORKDAY(Main[[#This Row],[Tech Start Date]],15),IF(Main[[#This Row],[Class]]="A",WORKDAY(Main[[#This Row],[Tech Start Date]],5),""))))</f>
        <v/>
      </c>
      <c r="P680" s="73" t="str">
        <f>IF(Main[[#This Row],[Tech Start Date]]&lt;1/1/1990,"",IF(Main[[#This Row],[Class]]="C",WORKDAY(Main[[#This Row],[Tech Start Date]],28),IF(Main[[#This Row],[Class]]="B", WORKDAY(Main[[#This Row],[Tech Start Date]],19),IF(Main[[#This Row],[Class]]="A",WORKDAY(Main[[#This Row],[Tech Start Date]],9),""))))</f>
        <v/>
      </c>
      <c r="Q680" s="85">
        <v>40210</v>
      </c>
      <c r="R680" s="112"/>
      <c r="S680" s="95" t="s">
        <v>11</v>
      </c>
      <c r="T680" s="74" t="s">
        <v>4</v>
      </c>
      <c r="U680" s="95" t="s">
        <v>14</v>
      </c>
      <c r="V680" s="95" t="s">
        <v>1914</v>
      </c>
      <c r="W680" s="95" t="s">
        <v>1917</v>
      </c>
      <c r="X680" s="95" t="s">
        <v>2804</v>
      </c>
      <c r="Y680" s="72" t="s">
        <v>2921</v>
      </c>
      <c r="Z680" s="72" t="s">
        <v>4</v>
      </c>
      <c r="AA680" s="95" t="s">
        <v>2804</v>
      </c>
      <c r="AB680" s="132">
        <v>40206</v>
      </c>
      <c r="AC680" s="132">
        <v>40212</v>
      </c>
      <c r="AD680" s="132"/>
      <c r="AE680" s="63"/>
      <c r="AF680" s="63"/>
      <c r="AG680" s="63"/>
    </row>
    <row r="681" spans="1:33" ht="17.2" customHeight="1">
      <c r="A681" s="64" t="str">
        <f>IF(priority(Main[[#This Row],[Comments]])&lt;&gt;0, priority(Main[[#This Row],[Comments]]),"")</f>
        <v/>
      </c>
      <c r="B681" s="60" t="s">
        <v>1501</v>
      </c>
      <c r="C681" s="72" t="s">
        <v>4</v>
      </c>
      <c r="D681" s="59" t="s">
        <v>605</v>
      </c>
      <c r="E681" s="85">
        <v>40312.431608796294</v>
      </c>
      <c r="F681" s="85"/>
      <c r="G681" s="64" t="str">
        <f>IF(stdProdLT(Main[[#This Row],[Comments]])=0.1,"N/A",IF(stdProdLT(Main[[#This Row],[Comments]])=0,"",TRIM(stdProdLT(Main[[#This Row],[Comments]]))))</f>
        <v/>
      </c>
      <c r="H681" s="94" t="str">
        <f>IF(OR(Main[[#This Row],[Std. Prod. Lead Time]]="N/A",Main[[#This Row],[Std. Prod. Lead Time]]=""), "",IF(AND(Main[[#This Row],[In Stock Date]]&lt;&gt;"",Main[[#This Row],[Revised Due Date]]&lt;&gt;"",Main[[#This Row],[In Stock Date]]&lt;&gt;""),Main[[#This Row],[In Stock Date]]-Main[[#This Row],[Revised Due Date]],""))</f>
        <v/>
      </c>
      <c r="I681" s="101" t="s">
        <v>129</v>
      </c>
      <c r="J681" s="95" t="s">
        <v>4</v>
      </c>
      <c r="K681" s="95" t="s">
        <v>4</v>
      </c>
      <c r="L681" s="85"/>
      <c r="M681" s="73" t="str">
        <f>IF(Main[[#This Row],[Tech Start Date]]&lt;1/1/1990,"",IF(Main[[#This Row],[Class]]="C",WORKDAY(Main[[#This Row],[Tech Start Date]],9),IF(Main[[#This Row],[Class]]="B", WORKDAY(Main[[#This Row],[Tech Start Date]],6),IF(Main[[#This Row],[Class]]="A",WORKDAY(Main[[#This Row],[Tech Start Date]],2),""))))</f>
        <v/>
      </c>
      <c r="N681" s="73" t="str">
        <f>IF(Main[[#This Row],[Tech Start Date]]&lt;1/1/1990,"",IF(Main[[#This Row],[Class]]="C",WORKDAY(Main[[#This Row],[Tech Start Date]],19),IF(Main[[#This Row],[Class]]="B", WORKDAY(Main[[#This Row],[Tech Start Date]],12),IF(Main[[#This Row],[Class]]="A",WORKDAY(Main[[#This Row],[Tech Start Date]],4),""))))</f>
        <v/>
      </c>
      <c r="O681" s="73" t="str">
        <f>IF(Main[[#This Row],[Tech Start Date]]&lt;1/1/1990,"",IF(Main[[#This Row],[Class]]="C",WORKDAY(Main[[#This Row],[Tech Start Date]],23),IF(Main[[#This Row],[Class]]="B", WORKDAY(Main[[#This Row],[Tech Start Date]],15),IF(Main[[#This Row],[Class]]="A",WORKDAY(Main[[#This Row],[Tech Start Date]],5),""))))</f>
        <v/>
      </c>
      <c r="P681" s="73" t="str">
        <f>IF(Main[[#This Row],[Tech Start Date]]&lt;1/1/1990,"",IF(Main[[#This Row],[Class]]="C",WORKDAY(Main[[#This Row],[Tech Start Date]],28),IF(Main[[#This Row],[Class]]="B", WORKDAY(Main[[#This Row],[Tech Start Date]],19),IF(Main[[#This Row],[Class]]="A",WORKDAY(Main[[#This Row],[Tech Start Date]],9),""))))</f>
        <v/>
      </c>
      <c r="Q681" s="85">
        <v>40326</v>
      </c>
      <c r="R681" s="112"/>
      <c r="S681" s="95" t="s">
        <v>6</v>
      </c>
      <c r="T681" s="74" t="s">
        <v>4</v>
      </c>
      <c r="U681" s="95" t="s">
        <v>7</v>
      </c>
      <c r="V681" s="95" t="s">
        <v>1911</v>
      </c>
      <c r="W681" s="95" t="s">
        <v>1915</v>
      </c>
      <c r="X681" s="95" t="s">
        <v>102</v>
      </c>
      <c r="Y681" s="72" t="s">
        <v>2989</v>
      </c>
      <c r="Z681" s="72" t="s">
        <v>4</v>
      </c>
      <c r="AA681" s="95" t="s">
        <v>102</v>
      </c>
      <c r="AB681" s="132"/>
      <c r="AC681" s="132"/>
      <c r="AD681" s="132"/>
      <c r="AE681" s="63"/>
      <c r="AF681" s="63"/>
      <c r="AG681" s="63"/>
    </row>
    <row r="682" spans="1:33" ht="17.2" customHeight="1">
      <c r="A682" s="64" t="str">
        <f>IF(priority(Main[[#This Row],[Comments]])&lt;&gt;0, priority(Main[[#This Row],[Comments]]),"")</f>
        <v/>
      </c>
      <c r="B682" s="60" t="s">
        <v>1514</v>
      </c>
      <c r="C682" s="72" t="s">
        <v>4</v>
      </c>
      <c r="D682" s="59" t="s">
        <v>590</v>
      </c>
      <c r="E682" s="85"/>
      <c r="F682" s="85"/>
      <c r="G682" s="64" t="str">
        <f>IF(stdProdLT(Main[[#This Row],[Comments]])=0.1,"N/A",IF(stdProdLT(Main[[#This Row],[Comments]])=0,"",TRIM(stdProdLT(Main[[#This Row],[Comments]]))))</f>
        <v/>
      </c>
      <c r="H682" s="94" t="str">
        <f>IF(OR(Main[[#This Row],[Std. Prod. Lead Time]]="N/A",Main[[#This Row],[Std. Prod. Lead Time]]=""), "",IF(AND(Main[[#This Row],[In Stock Date]]&lt;&gt;"",Main[[#This Row],[Revised Due Date]]&lt;&gt;"",Main[[#This Row],[In Stock Date]]&lt;&gt;""),Main[[#This Row],[In Stock Date]]-Main[[#This Row],[Revised Due Date]],""))</f>
        <v/>
      </c>
      <c r="I682" s="101" t="s">
        <v>4</v>
      </c>
      <c r="J682" s="95" t="s">
        <v>4</v>
      </c>
      <c r="K682" s="95" t="s">
        <v>4</v>
      </c>
      <c r="L682" s="85"/>
      <c r="M682" s="73" t="str">
        <f>IF(Main[[#This Row],[Tech Start Date]]&lt;1/1/1990,"",IF(Main[[#This Row],[Class]]="C",WORKDAY(Main[[#This Row],[Tech Start Date]],9),IF(Main[[#This Row],[Class]]="B", WORKDAY(Main[[#This Row],[Tech Start Date]],6),IF(Main[[#This Row],[Class]]="A",WORKDAY(Main[[#This Row],[Tech Start Date]],2),""))))</f>
        <v/>
      </c>
      <c r="N682" s="73" t="str">
        <f>IF(Main[[#This Row],[Tech Start Date]]&lt;1/1/1990,"",IF(Main[[#This Row],[Class]]="C",WORKDAY(Main[[#This Row],[Tech Start Date]],19),IF(Main[[#This Row],[Class]]="B", WORKDAY(Main[[#This Row],[Tech Start Date]],12),IF(Main[[#This Row],[Class]]="A",WORKDAY(Main[[#This Row],[Tech Start Date]],4),""))))</f>
        <v/>
      </c>
      <c r="O682" s="73" t="str">
        <f>IF(Main[[#This Row],[Tech Start Date]]&lt;1/1/1990,"",IF(Main[[#This Row],[Class]]="C",WORKDAY(Main[[#This Row],[Tech Start Date]],23),IF(Main[[#This Row],[Class]]="B", WORKDAY(Main[[#This Row],[Tech Start Date]],15),IF(Main[[#This Row],[Class]]="A",WORKDAY(Main[[#This Row],[Tech Start Date]],5),""))))</f>
        <v/>
      </c>
      <c r="P682" s="73" t="str">
        <f>IF(Main[[#This Row],[Tech Start Date]]&lt;1/1/1990,"",IF(Main[[#This Row],[Class]]="C",WORKDAY(Main[[#This Row],[Tech Start Date]],28),IF(Main[[#This Row],[Class]]="B", WORKDAY(Main[[#This Row],[Tech Start Date]],19),IF(Main[[#This Row],[Class]]="A",WORKDAY(Main[[#This Row],[Tech Start Date]],9),""))))</f>
        <v/>
      </c>
      <c r="Q682" s="85"/>
      <c r="R682" s="112"/>
      <c r="S682" s="95" t="s">
        <v>23</v>
      </c>
      <c r="T682" s="74" t="s">
        <v>4</v>
      </c>
      <c r="U682" s="95" t="s">
        <v>14</v>
      </c>
      <c r="V682" s="95" t="s">
        <v>1911</v>
      </c>
      <c r="W682" s="95" t="s">
        <v>1915</v>
      </c>
      <c r="X682" s="95" t="s">
        <v>102</v>
      </c>
      <c r="Y682" s="72" t="s">
        <v>3046</v>
      </c>
      <c r="Z682" s="72" t="s">
        <v>4</v>
      </c>
      <c r="AA682" s="95" t="s">
        <v>3382</v>
      </c>
      <c r="AB682" s="132"/>
      <c r="AC682" s="132"/>
      <c r="AD682" s="132"/>
      <c r="AE682" s="63"/>
      <c r="AF682" s="63"/>
      <c r="AG682" s="63"/>
    </row>
    <row r="683" spans="1:33" ht="17.2" customHeight="1">
      <c r="A683" s="64" t="str">
        <f>IF(priority(Main[[#This Row],[Comments]])&lt;&gt;0, priority(Main[[#This Row],[Comments]]),"")</f>
        <v/>
      </c>
      <c r="B683" s="60" t="s">
        <v>1515</v>
      </c>
      <c r="C683" s="72" t="s">
        <v>4</v>
      </c>
      <c r="D683" s="59" t="s">
        <v>591</v>
      </c>
      <c r="E683" s="85"/>
      <c r="F683" s="85">
        <v>40047</v>
      </c>
      <c r="G683" s="64" t="str">
        <f>IF(stdProdLT(Main[[#This Row],[Comments]])=0.1,"N/A",IF(stdProdLT(Main[[#This Row],[Comments]])=0,"",TRIM(stdProdLT(Main[[#This Row],[Comments]]))))</f>
        <v/>
      </c>
      <c r="H683" s="94" t="str">
        <f>IF(OR(Main[[#This Row],[Std. Prod. Lead Time]]="N/A",Main[[#This Row],[Std. Prod. Lead Time]]=""), "",IF(AND(Main[[#This Row],[In Stock Date]]&lt;&gt;"",Main[[#This Row],[Revised Due Date]]&lt;&gt;"",Main[[#This Row],[In Stock Date]]&lt;&gt;""),Main[[#This Row],[In Stock Date]]-Main[[#This Row],[Revised Due Date]],""))</f>
        <v/>
      </c>
      <c r="I683" s="101" t="s">
        <v>4</v>
      </c>
      <c r="J683" s="95" t="s">
        <v>4</v>
      </c>
      <c r="K683" s="95" t="s">
        <v>4</v>
      </c>
      <c r="L683" s="85"/>
      <c r="M683" s="73" t="str">
        <f>IF(Main[[#This Row],[Tech Start Date]]&lt;1/1/1990,"",IF(Main[[#This Row],[Class]]="C",WORKDAY(Main[[#This Row],[Tech Start Date]],9),IF(Main[[#This Row],[Class]]="B", WORKDAY(Main[[#This Row],[Tech Start Date]],6),IF(Main[[#This Row],[Class]]="A",WORKDAY(Main[[#This Row],[Tech Start Date]],2),""))))</f>
        <v/>
      </c>
      <c r="N683" s="73" t="str">
        <f>IF(Main[[#This Row],[Tech Start Date]]&lt;1/1/1990,"",IF(Main[[#This Row],[Class]]="C",WORKDAY(Main[[#This Row],[Tech Start Date]],19),IF(Main[[#This Row],[Class]]="B", WORKDAY(Main[[#This Row],[Tech Start Date]],12),IF(Main[[#This Row],[Class]]="A",WORKDAY(Main[[#This Row],[Tech Start Date]],4),""))))</f>
        <v/>
      </c>
      <c r="O683" s="73" t="str">
        <f>IF(Main[[#This Row],[Tech Start Date]]&lt;1/1/1990,"",IF(Main[[#This Row],[Class]]="C",WORKDAY(Main[[#This Row],[Tech Start Date]],23),IF(Main[[#This Row],[Class]]="B", WORKDAY(Main[[#This Row],[Tech Start Date]],15),IF(Main[[#This Row],[Class]]="A",WORKDAY(Main[[#This Row],[Tech Start Date]],5),""))))</f>
        <v/>
      </c>
      <c r="P683" s="73" t="str">
        <f>IF(Main[[#This Row],[Tech Start Date]]&lt;1/1/1990,"",IF(Main[[#This Row],[Class]]="C",WORKDAY(Main[[#This Row],[Tech Start Date]],28),IF(Main[[#This Row],[Class]]="B", WORKDAY(Main[[#This Row],[Tech Start Date]],19),IF(Main[[#This Row],[Class]]="A",WORKDAY(Main[[#This Row],[Tech Start Date]],9),""))))</f>
        <v/>
      </c>
      <c r="Q683" s="85"/>
      <c r="R683" s="112"/>
      <c r="S683" s="95" t="s">
        <v>11</v>
      </c>
      <c r="T683" s="74" t="s">
        <v>4</v>
      </c>
      <c r="U683" s="95" t="s">
        <v>14</v>
      </c>
      <c r="V683" s="95" t="s">
        <v>1914</v>
      </c>
      <c r="W683" s="95" t="s">
        <v>1917</v>
      </c>
      <c r="X683" s="95" t="s">
        <v>2843</v>
      </c>
      <c r="Y683" s="72" t="s">
        <v>3047</v>
      </c>
      <c r="Z683" s="72" t="s">
        <v>4</v>
      </c>
      <c r="AA683" s="95" t="s">
        <v>2843</v>
      </c>
      <c r="AB683" s="132"/>
      <c r="AC683" s="132"/>
      <c r="AD683" s="132"/>
      <c r="AE683" s="63"/>
      <c r="AF683" s="63"/>
      <c r="AG683" s="63"/>
    </row>
    <row r="684" spans="1:33" ht="17.2" customHeight="1">
      <c r="A684" s="64" t="str">
        <f>IF(priority(Main[[#This Row],[Comments]])&lt;&gt;0, priority(Main[[#This Row],[Comments]]),"")</f>
        <v/>
      </c>
      <c r="B684" s="60" t="s">
        <v>1516</v>
      </c>
      <c r="C684" s="72" t="s">
        <v>4</v>
      </c>
      <c r="D684" s="59" t="s">
        <v>592</v>
      </c>
      <c r="E684" s="85"/>
      <c r="F684" s="85"/>
      <c r="G684" s="64" t="str">
        <f>IF(stdProdLT(Main[[#This Row],[Comments]])=0.1,"N/A",IF(stdProdLT(Main[[#This Row],[Comments]])=0,"",TRIM(stdProdLT(Main[[#This Row],[Comments]]))))</f>
        <v/>
      </c>
      <c r="H684" s="94" t="str">
        <f>IF(OR(Main[[#This Row],[Std. Prod. Lead Time]]="N/A",Main[[#This Row],[Std. Prod. Lead Time]]=""), "",IF(AND(Main[[#This Row],[In Stock Date]]&lt;&gt;"",Main[[#This Row],[Revised Due Date]]&lt;&gt;"",Main[[#This Row],[In Stock Date]]&lt;&gt;""),Main[[#This Row],[In Stock Date]]-Main[[#This Row],[Revised Due Date]],""))</f>
        <v/>
      </c>
      <c r="I684" s="101" t="s">
        <v>4</v>
      </c>
      <c r="J684" s="95" t="s">
        <v>4</v>
      </c>
      <c r="K684" s="95" t="s">
        <v>4</v>
      </c>
      <c r="L684" s="85"/>
      <c r="M684" s="73" t="str">
        <f>IF(Main[[#This Row],[Tech Start Date]]&lt;1/1/1990,"",IF(Main[[#This Row],[Class]]="C",WORKDAY(Main[[#This Row],[Tech Start Date]],9),IF(Main[[#This Row],[Class]]="B", WORKDAY(Main[[#This Row],[Tech Start Date]],6),IF(Main[[#This Row],[Class]]="A",WORKDAY(Main[[#This Row],[Tech Start Date]],2),""))))</f>
        <v/>
      </c>
      <c r="N684" s="73" t="str">
        <f>IF(Main[[#This Row],[Tech Start Date]]&lt;1/1/1990,"",IF(Main[[#This Row],[Class]]="C",WORKDAY(Main[[#This Row],[Tech Start Date]],19),IF(Main[[#This Row],[Class]]="B", WORKDAY(Main[[#This Row],[Tech Start Date]],12),IF(Main[[#This Row],[Class]]="A",WORKDAY(Main[[#This Row],[Tech Start Date]],4),""))))</f>
        <v/>
      </c>
      <c r="O684" s="73" t="str">
        <f>IF(Main[[#This Row],[Tech Start Date]]&lt;1/1/1990,"",IF(Main[[#This Row],[Class]]="C",WORKDAY(Main[[#This Row],[Tech Start Date]],23),IF(Main[[#This Row],[Class]]="B", WORKDAY(Main[[#This Row],[Tech Start Date]],15),IF(Main[[#This Row],[Class]]="A",WORKDAY(Main[[#This Row],[Tech Start Date]],5),""))))</f>
        <v/>
      </c>
      <c r="P684" s="73" t="str">
        <f>IF(Main[[#This Row],[Tech Start Date]]&lt;1/1/1990,"",IF(Main[[#This Row],[Class]]="C",WORKDAY(Main[[#This Row],[Tech Start Date]],28),IF(Main[[#This Row],[Class]]="B", WORKDAY(Main[[#This Row],[Tech Start Date]],19),IF(Main[[#This Row],[Class]]="A",WORKDAY(Main[[#This Row],[Tech Start Date]],9),""))))</f>
        <v/>
      </c>
      <c r="Q684" s="85"/>
      <c r="R684" s="112"/>
      <c r="S684" s="95" t="s">
        <v>6</v>
      </c>
      <c r="T684" s="74" t="s">
        <v>4</v>
      </c>
      <c r="U684" s="95" t="s">
        <v>12</v>
      </c>
      <c r="V684" s="95" t="s">
        <v>1911</v>
      </c>
      <c r="W684" s="95" t="s">
        <v>1915</v>
      </c>
      <c r="X684" s="95" t="s">
        <v>708</v>
      </c>
      <c r="Y684" s="72" t="s">
        <v>3048</v>
      </c>
      <c r="Z684" s="72" t="s">
        <v>4</v>
      </c>
      <c r="AA684" s="95" t="s">
        <v>708</v>
      </c>
      <c r="AB684" s="132"/>
      <c r="AC684" s="132"/>
      <c r="AD684" s="132"/>
      <c r="AE684" s="63"/>
      <c r="AF684" s="63"/>
      <c r="AG684" s="63"/>
    </row>
    <row r="685" spans="1:33" ht="17.2" customHeight="1">
      <c r="A685" s="64" t="str">
        <f>IF(priority(Main[[#This Row],[Comments]])&lt;&gt;0, priority(Main[[#This Row],[Comments]]),"")</f>
        <v/>
      </c>
      <c r="B685" s="60" t="s">
        <v>1517</v>
      </c>
      <c r="C685" s="72" t="s">
        <v>47</v>
      </c>
      <c r="D685" s="59" t="s">
        <v>593</v>
      </c>
      <c r="E685" s="85"/>
      <c r="F685" s="85"/>
      <c r="G685" s="64" t="str">
        <f>IF(stdProdLT(Main[[#This Row],[Comments]])=0.1,"N/A",IF(stdProdLT(Main[[#This Row],[Comments]])=0,"",TRIM(stdProdLT(Main[[#This Row],[Comments]]))))</f>
        <v/>
      </c>
      <c r="H685" s="94" t="str">
        <f>IF(OR(Main[[#This Row],[Std. Prod. Lead Time]]="N/A",Main[[#This Row],[Std. Prod. Lead Time]]=""), "",IF(AND(Main[[#This Row],[In Stock Date]]&lt;&gt;"",Main[[#This Row],[Revised Due Date]]&lt;&gt;"",Main[[#This Row],[In Stock Date]]&lt;&gt;""),Main[[#This Row],[In Stock Date]]-Main[[#This Row],[Revised Due Date]],""))</f>
        <v/>
      </c>
      <c r="I685" s="101" t="s">
        <v>4</v>
      </c>
      <c r="J685" s="95" t="s">
        <v>4</v>
      </c>
      <c r="K685" s="96" t="s">
        <v>4</v>
      </c>
      <c r="L685" s="85"/>
      <c r="M685" s="73" t="str">
        <f>IF(Main[[#This Row],[Tech Start Date]]&lt;1/1/1990,"",IF(Main[[#This Row],[Class]]="C",WORKDAY(Main[[#This Row],[Tech Start Date]],9),IF(Main[[#This Row],[Class]]="B", WORKDAY(Main[[#This Row],[Tech Start Date]],6),IF(Main[[#This Row],[Class]]="A",WORKDAY(Main[[#This Row],[Tech Start Date]],2),""))))</f>
        <v/>
      </c>
      <c r="N685" s="73" t="str">
        <f>IF(Main[[#This Row],[Tech Start Date]]&lt;1/1/1990,"",IF(Main[[#This Row],[Class]]="C",WORKDAY(Main[[#This Row],[Tech Start Date]],19),IF(Main[[#This Row],[Class]]="B", WORKDAY(Main[[#This Row],[Tech Start Date]],12),IF(Main[[#This Row],[Class]]="A",WORKDAY(Main[[#This Row],[Tech Start Date]],4),""))))</f>
        <v/>
      </c>
      <c r="O685" s="73" t="str">
        <f>IF(Main[[#This Row],[Tech Start Date]]&lt;1/1/1990,"",IF(Main[[#This Row],[Class]]="C",WORKDAY(Main[[#This Row],[Tech Start Date]],23),IF(Main[[#This Row],[Class]]="B", WORKDAY(Main[[#This Row],[Tech Start Date]],15),IF(Main[[#This Row],[Class]]="A",WORKDAY(Main[[#This Row],[Tech Start Date]],5),""))))</f>
        <v/>
      </c>
      <c r="P685" s="73" t="str">
        <f>IF(Main[[#This Row],[Tech Start Date]]&lt;1/1/1990,"",IF(Main[[#This Row],[Class]]="C",WORKDAY(Main[[#This Row],[Tech Start Date]],28),IF(Main[[#This Row],[Class]]="B", WORKDAY(Main[[#This Row],[Tech Start Date]],19),IF(Main[[#This Row],[Class]]="A",WORKDAY(Main[[#This Row],[Tech Start Date]],9),""))))</f>
        <v/>
      </c>
      <c r="Q685" s="85"/>
      <c r="R685" s="112"/>
      <c r="S685" s="95" t="s">
        <v>49</v>
      </c>
      <c r="T685" s="74" t="s">
        <v>4</v>
      </c>
      <c r="U685" s="95" t="s">
        <v>14</v>
      </c>
      <c r="V685" s="95" t="s">
        <v>1914</v>
      </c>
      <c r="W685" s="95" t="s">
        <v>1915</v>
      </c>
      <c r="X685" s="95" t="s">
        <v>306</v>
      </c>
      <c r="Y685" s="72" t="s">
        <v>2919</v>
      </c>
      <c r="Z685" s="72" t="s">
        <v>4</v>
      </c>
      <c r="AA685" s="95" t="s">
        <v>3337</v>
      </c>
      <c r="AB685" s="132"/>
      <c r="AC685" s="132"/>
      <c r="AD685" s="132"/>
      <c r="AE685" s="63"/>
      <c r="AF685" s="63"/>
      <c r="AG685" s="63"/>
    </row>
    <row r="686" spans="1:33" ht="17.2" customHeight="1">
      <c r="A686" s="64" t="str">
        <f>IF(priority(Main[[#This Row],[Comments]])&lt;&gt;0, priority(Main[[#This Row],[Comments]]),"")</f>
        <v/>
      </c>
      <c r="B686" s="60" t="s">
        <v>1989</v>
      </c>
      <c r="C686" s="72" t="s">
        <v>1990</v>
      </c>
      <c r="D686" s="59" t="s">
        <v>1991</v>
      </c>
      <c r="E686" s="85"/>
      <c r="F686" s="85">
        <v>40801</v>
      </c>
      <c r="G686" s="64" t="str">
        <f>IF(stdProdLT(Main[[#This Row],[Comments]])=0.1,"N/A",IF(stdProdLT(Main[[#This Row],[Comments]])=0,"",TRIM(stdProdLT(Main[[#This Row],[Comments]]))))</f>
        <v/>
      </c>
      <c r="H686" s="94" t="str">
        <f>IF(OR(Main[[#This Row],[Std. Prod. Lead Time]]="N/A",Main[[#This Row],[Std. Prod. Lead Time]]=""), "",IF(AND(Main[[#This Row],[In Stock Date]]&lt;&gt;"",Main[[#This Row],[Revised Due Date]]&lt;&gt;"",Main[[#This Row],[In Stock Date]]&lt;&gt;""),Main[[#This Row],[In Stock Date]]-Main[[#This Row],[Revised Due Date]],""))</f>
        <v/>
      </c>
      <c r="I686" s="101" t="s">
        <v>4</v>
      </c>
      <c r="J686" s="95" t="s">
        <v>4</v>
      </c>
      <c r="K686" s="95" t="s">
        <v>4</v>
      </c>
      <c r="L686" s="85"/>
      <c r="M686" s="73" t="str">
        <f>IF(Main[[#This Row],[Tech Start Date]]&lt;1/1/1990,"",IF(Main[[#This Row],[Class]]="C",WORKDAY(Main[[#This Row],[Tech Start Date]],9),IF(Main[[#This Row],[Class]]="B", WORKDAY(Main[[#This Row],[Tech Start Date]],6),IF(Main[[#This Row],[Class]]="A",WORKDAY(Main[[#This Row],[Tech Start Date]],2),""))))</f>
        <v/>
      </c>
      <c r="N686" s="73" t="str">
        <f>IF(Main[[#This Row],[Tech Start Date]]&lt;1/1/1990,"",IF(Main[[#This Row],[Class]]="C",WORKDAY(Main[[#This Row],[Tech Start Date]],19),IF(Main[[#This Row],[Class]]="B", WORKDAY(Main[[#This Row],[Tech Start Date]],12),IF(Main[[#This Row],[Class]]="A",WORKDAY(Main[[#This Row],[Tech Start Date]],4),""))))</f>
        <v/>
      </c>
      <c r="O686" s="73" t="str">
        <f>IF(Main[[#This Row],[Tech Start Date]]&lt;1/1/1990,"",IF(Main[[#This Row],[Class]]="C",WORKDAY(Main[[#This Row],[Tech Start Date]],23),IF(Main[[#This Row],[Class]]="B", WORKDAY(Main[[#This Row],[Tech Start Date]],15),IF(Main[[#This Row],[Class]]="A",WORKDAY(Main[[#This Row],[Tech Start Date]],5),""))))</f>
        <v/>
      </c>
      <c r="P686" s="73" t="str">
        <f>IF(Main[[#This Row],[Tech Start Date]]&lt;1/1/1990,"",IF(Main[[#This Row],[Class]]="C",WORKDAY(Main[[#This Row],[Tech Start Date]],28),IF(Main[[#This Row],[Class]]="B", WORKDAY(Main[[#This Row],[Tech Start Date]],19),IF(Main[[#This Row],[Class]]="A",WORKDAY(Main[[#This Row],[Tech Start Date]],9),""))))</f>
        <v/>
      </c>
      <c r="Q686" s="85"/>
      <c r="R686" s="112"/>
      <c r="S686" s="95" t="s">
        <v>6</v>
      </c>
      <c r="T686" s="74" t="s">
        <v>4</v>
      </c>
      <c r="U686" s="95" t="s">
        <v>12</v>
      </c>
      <c r="V686" s="95" t="s">
        <v>1914</v>
      </c>
      <c r="W686" s="95" t="s">
        <v>1915</v>
      </c>
      <c r="X686" s="95" t="s">
        <v>2879</v>
      </c>
      <c r="Y686" s="72" t="s">
        <v>3049</v>
      </c>
      <c r="Z686" s="72" t="s">
        <v>4</v>
      </c>
      <c r="AA686" s="95" t="s">
        <v>3383</v>
      </c>
      <c r="AB686" s="132"/>
      <c r="AC686" s="132"/>
      <c r="AD686" s="132"/>
      <c r="AE686" s="63"/>
      <c r="AF686" s="63"/>
      <c r="AG686" s="63"/>
    </row>
    <row r="687" spans="1:33" ht="17.2" customHeight="1">
      <c r="A687" s="64" t="str">
        <f>IF(priority(Main[[#This Row],[Comments]])&lt;&gt;0, priority(Main[[#This Row],[Comments]]),"")</f>
        <v/>
      </c>
      <c r="B687" s="60" t="s">
        <v>1518</v>
      </c>
      <c r="C687" s="72" t="s">
        <v>4</v>
      </c>
      <c r="D687" s="59" t="s">
        <v>594</v>
      </c>
      <c r="E687" s="85">
        <v>40270.342719907407</v>
      </c>
      <c r="F687" s="85"/>
      <c r="G687" s="64" t="str">
        <f>IF(stdProdLT(Main[[#This Row],[Comments]])=0.1,"N/A",IF(stdProdLT(Main[[#This Row],[Comments]])=0,"",TRIM(stdProdLT(Main[[#This Row],[Comments]]))))</f>
        <v/>
      </c>
      <c r="H687" s="94" t="str">
        <f>IF(OR(Main[[#This Row],[Std. Prod. Lead Time]]="N/A",Main[[#This Row],[Std. Prod. Lead Time]]=""), "",IF(AND(Main[[#This Row],[In Stock Date]]&lt;&gt;"",Main[[#This Row],[Revised Due Date]]&lt;&gt;"",Main[[#This Row],[In Stock Date]]&lt;&gt;""),Main[[#This Row],[In Stock Date]]-Main[[#This Row],[Revised Due Date]],""))</f>
        <v/>
      </c>
      <c r="I687" s="101" t="s">
        <v>4</v>
      </c>
      <c r="J687" s="95" t="s">
        <v>4</v>
      </c>
      <c r="K687" s="95" t="s">
        <v>4</v>
      </c>
      <c r="L687" s="85"/>
      <c r="M687" s="73" t="str">
        <f>IF(Main[[#This Row],[Tech Start Date]]&lt;1/1/1990,"",IF(Main[[#This Row],[Class]]="C",WORKDAY(Main[[#This Row],[Tech Start Date]],9),IF(Main[[#This Row],[Class]]="B", WORKDAY(Main[[#This Row],[Tech Start Date]],6),IF(Main[[#This Row],[Class]]="A",WORKDAY(Main[[#This Row],[Tech Start Date]],2),""))))</f>
        <v/>
      </c>
      <c r="N687" s="73" t="str">
        <f>IF(Main[[#This Row],[Tech Start Date]]&lt;1/1/1990,"",IF(Main[[#This Row],[Class]]="C",WORKDAY(Main[[#This Row],[Tech Start Date]],19),IF(Main[[#This Row],[Class]]="B", WORKDAY(Main[[#This Row],[Tech Start Date]],12),IF(Main[[#This Row],[Class]]="A",WORKDAY(Main[[#This Row],[Tech Start Date]],4),""))))</f>
        <v/>
      </c>
      <c r="O687" s="73" t="str">
        <f>IF(Main[[#This Row],[Tech Start Date]]&lt;1/1/1990,"",IF(Main[[#This Row],[Class]]="C",WORKDAY(Main[[#This Row],[Tech Start Date]],23),IF(Main[[#This Row],[Class]]="B", WORKDAY(Main[[#This Row],[Tech Start Date]],15),IF(Main[[#This Row],[Class]]="A",WORKDAY(Main[[#This Row],[Tech Start Date]],5),""))))</f>
        <v/>
      </c>
      <c r="P687" s="73" t="str">
        <f>IF(Main[[#This Row],[Tech Start Date]]&lt;1/1/1990,"",IF(Main[[#This Row],[Class]]="C",WORKDAY(Main[[#This Row],[Tech Start Date]],28),IF(Main[[#This Row],[Class]]="B", WORKDAY(Main[[#This Row],[Tech Start Date]],19),IF(Main[[#This Row],[Class]]="A",WORKDAY(Main[[#This Row],[Tech Start Date]],9),""))))</f>
        <v/>
      </c>
      <c r="Q687" s="85">
        <v>40359</v>
      </c>
      <c r="R687" s="112"/>
      <c r="S687" s="95" t="s">
        <v>6</v>
      </c>
      <c r="T687" s="74" t="s">
        <v>4</v>
      </c>
      <c r="U687" s="95" t="s">
        <v>7</v>
      </c>
      <c r="V687" s="95" t="s">
        <v>1911</v>
      </c>
      <c r="W687" s="95" t="s">
        <v>4</v>
      </c>
      <c r="X687" s="95" t="s">
        <v>2867</v>
      </c>
      <c r="Y687" s="72" t="s">
        <v>3021</v>
      </c>
      <c r="Z687" s="72" t="s">
        <v>4</v>
      </c>
      <c r="AA687" s="95" t="s">
        <v>2867</v>
      </c>
      <c r="AB687" s="132"/>
      <c r="AC687" s="132"/>
      <c r="AD687" s="132"/>
      <c r="AE687" s="63"/>
      <c r="AF687" s="63"/>
      <c r="AG687" s="63"/>
    </row>
    <row r="688" spans="1:33" ht="17.2" customHeight="1">
      <c r="A688" s="64" t="str">
        <f>IF(priority(Main[[#This Row],[Comments]])&lt;&gt;0, priority(Main[[#This Row],[Comments]]),"")</f>
        <v/>
      </c>
      <c r="B688" s="60" t="s">
        <v>1519</v>
      </c>
      <c r="C688" s="72" t="s">
        <v>351</v>
      </c>
      <c r="D688" s="59" t="s">
        <v>595</v>
      </c>
      <c r="E688" s="85"/>
      <c r="F688" s="85">
        <v>40452</v>
      </c>
      <c r="G688" s="64" t="str">
        <f>IF(stdProdLT(Main[[#This Row],[Comments]])=0.1,"N/A",IF(stdProdLT(Main[[#This Row],[Comments]])=0,"",TRIM(stdProdLT(Main[[#This Row],[Comments]]))))</f>
        <v/>
      </c>
      <c r="H688" s="94" t="str">
        <f>IF(OR(Main[[#This Row],[Std. Prod. Lead Time]]="N/A",Main[[#This Row],[Std. Prod. Lead Time]]=""), "",IF(AND(Main[[#This Row],[In Stock Date]]&lt;&gt;"",Main[[#This Row],[Revised Due Date]]&lt;&gt;"",Main[[#This Row],[In Stock Date]]&lt;&gt;""),Main[[#This Row],[In Stock Date]]-Main[[#This Row],[Revised Due Date]],""))</f>
        <v/>
      </c>
      <c r="I688" s="101" t="s">
        <v>4</v>
      </c>
      <c r="J688" s="95" t="s">
        <v>4</v>
      </c>
      <c r="K688" s="95" t="s">
        <v>4</v>
      </c>
      <c r="L688" s="85"/>
      <c r="M688" s="73" t="str">
        <f>IF(Main[[#This Row],[Tech Start Date]]&lt;1/1/1990,"",IF(Main[[#This Row],[Class]]="C",WORKDAY(Main[[#This Row],[Tech Start Date]],9),IF(Main[[#This Row],[Class]]="B", WORKDAY(Main[[#This Row],[Tech Start Date]],6),IF(Main[[#This Row],[Class]]="A",WORKDAY(Main[[#This Row],[Tech Start Date]],2),""))))</f>
        <v/>
      </c>
      <c r="N688" s="73" t="str">
        <f>IF(Main[[#This Row],[Tech Start Date]]&lt;1/1/1990,"",IF(Main[[#This Row],[Class]]="C",WORKDAY(Main[[#This Row],[Tech Start Date]],19),IF(Main[[#This Row],[Class]]="B", WORKDAY(Main[[#This Row],[Tech Start Date]],12),IF(Main[[#This Row],[Class]]="A",WORKDAY(Main[[#This Row],[Tech Start Date]],4),""))))</f>
        <v/>
      </c>
      <c r="O688" s="73" t="str">
        <f>IF(Main[[#This Row],[Tech Start Date]]&lt;1/1/1990,"",IF(Main[[#This Row],[Class]]="C",WORKDAY(Main[[#This Row],[Tech Start Date]],23),IF(Main[[#This Row],[Class]]="B", WORKDAY(Main[[#This Row],[Tech Start Date]],15),IF(Main[[#This Row],[Class]]="A",WORKDAY(Main[[#This Row],[Tech Start Date]],5),""))))</f>
        <v/>
      </c>
      <c r="P688" s="73" t="str">
        <f>IF(Main[[#This Row],[Tech Start Date]]&lt;1/1/1990,"",IF(Main[[#This Row],[Class]]="C",WORKDAY(Main[[#This Row],[Tech Start Date]],28),IF(Main[[#This Row],[Class]]="B", WORKDAY(Main[[#This Row],[Tech Start Date]],19),IF(Main[[#This Row],[Class]]="A",WORKDAY(Main[[#This Row],[Tech Start Date]],9),""))))</f>
        <v/>
      </c>
      <c r="Q688" s="85">
        <v>40344</v>
      </c>
      <c r="R688" s="112"/>
      <c r="S688" s="95" t="s">
        <v>11</v>
      </c>
      <c r="T688" s="74" t="s">
        <v>4</v>
      </c>
      <c r="U688" s="95" t="s">
        <v>14</v>
      </c>
      <c r="V688" s="95" t="s">
        <v>1914</v>
      </c>
      <c r="W688" s="95" t="s">
        <v>1917</v>
      </c>
      <c r="X688" s="95" t="s">
        <v>2852</v>
      </c>
      <c r="Y688" s="72" t="s">
        <v>2974</v>
      </c>
      <c r="Z688" s="72" t="s">
        <v>530</v>
      </c>
      <c r="AA688" s="95" t="s">
        <v>2852</v>
      </c>
      <c r="AB688" s="132"/>
      <c r="AC688" s="132"/>
      <c r="AD688" s="132"/>
      <c r="AE688" s="63"/>
      <c r="AF688" s="63"/>
      <c r="AG688" s="63"/>
    </row>
    <row r="689" spans="1:33" ht="17.2" customHeight="1">
      <c r="A689" s="64" t="str">
        <f>IF(priority(Main[[#This Row],[Comments]])&lt;&gt;0, priority(Main[[#This Row],[Comments]]),"")</f>
        <v/>
      </c>
      <c r="B689" s="60" t="s">
        <v>1520</v>
      </c>
      <c r="C689" s="72" t="s">
        <v>4</v>
      </c>
      <c r="D689" s="59" t="s">
        <v>596</v>
      </c>
      <c r="E689" s="85">
        <v>40645.435763888891</v>
      </c>
      <c r="F689" s="85"/>
      <c r="G689" s="64" t="str">
        <f>IF(stdProdLT(Main[[#This Row],[Comments]])=0.1,"N/A",IF(stdProdLT(Main[[#This Row],[Comments]])=0,"",TRIM(stdProdLT(Main[[#This Row],[Comments]]))))</f>
        <v/>
      </c>
      <c r="H689" s="94" t="str">
        <f>IF(OR(Main[[#This Row],[Std. Prod. Lead Time]]="N/A",Main[[#This Row],[Std. Prod. Lead Time]]=""), "",IF(AND(Main[[#This Row],[In Stock Date]]&lt;&gt;"",Main[[#This Row],[Revised Due Date]]&lt;&gt;"",Main[[#This Row],[In Stock Date]]&lt;&gt;""),Main[[#This Row],[In Stock Date]]-Main[[#This Row],[Revised Due Date]],""))</f>
        <v/>
      </c>
      <c r="I689" s="101" t="s">
        <v>561</v>
      </c>
      <c r="J689" s="95" t="s">
        <v>70</v>
      </c>
      <c r="K689" s="96" t="s">
        <v>4</v>
      </c>
      <c r="L689" s="85"/>
      <c r="M689" s="73" t="str">
        <f>IF(Main[[#This Row],[Tech Start Date]]&lt;1/1/1990,"",IF(Main[[#This Row],[Class]]="C",WORKDAY(Main[[#This Row],[Tech Start Date]],9),IF(Main[[#This Row],[Class]]="B", WORKDAY(Main[[#This Row],[Tech Start Date]],6),IF(Main[[#This Row],[Class]]="A",WORKDAY(Main[[#This Row],[Tech Start Date]],2),""))))</f>
        <v/>
      </c>
      <c r="N689" s="73" t="str">
        <f>IF(Main[[#This Row],[Tech Start Date]]&lt;1/1/1990,"",IF(Main[[#This Row],[Class]]="C",WORKDAY(Main[[#This Row],[Tech Start Date]],19),IF(Main[[#This Row],[Class]]="B", WORKDAY(Main[[#This Row],[Tech Start Date]],12),IF(Main[[#This Row],[Class]]="A",WORKDAY(Main[[#This Row],[Tech Start Date]],4),""))))</f>
        <v/>
      </c>
      <c r="O689" s="73" t="str">
        <f>IF(Main[[#This Row],[Tech Start Date]]&lt;1/1/1990,"",IF(Main[[#This Row],[Class]]="C",WORKDAY(Main[[#This Row],[Tech Start Date]],23),IF(Main[[#This Row],[Class]]="B", WORKDAY(Main[[#This Row],[Tech Start Date]],15),IF(Main[[#This Row],[Class]]="A",WORKDAY(Main[[#This Row],[Tech Start Date]],5),""))))</f>
        <v/>
      </c>
      <c r="P689" s="73" t="str">
        <f>IF(Main[[#This Row],[Tech Start Date]]&lt;1/1/1990,"",IF(Main[[#This Row],[Class]]="C",WORKDAY(Main[[#This Row],[Tech Start Date]],28),IF(Main[[#This Row],[Class]]="B", WORKDAY(Main[[#This Row],[Tech Start Date]],19),IF(Main[[#This Row],[Class]]="A",WORKDAY(Main[[#This Row],[Tech Start Date]],9),""))))</f>
        <v/>
      </c>
      <c r="Q689" s="85">
        <v>40669</v>
      </c>
      <c r="R689" s="112"/>
      <c r="S689" s="95" t="s">
        <v>6</v>
      </c>
      <c r="T689" s="74" t="s">
        <v>4</v>
      </c>
      <c r="U689" s="95" t="s">
        <v>29</v>
      </c>
      <c r="V689" s="95" t="s">
        <v>1911</v>
      </c>
      <c r="W689" s="95" t="s">
        <v>4</v>
      </c>
      <c r="X689" s="95" t="s">
        <v>126</v>
      </c>
      <c r="Y689" s="72" t="s">
        <v>3011</v>
      </c>
      <c r="Z689" s="72" t="s">
        <v>4</v>
      </c>
      <c r="AA689" s="95" t="s">
        <v>126</v>
      </c>
      <c r="AB689" s="132"/>
      <c r="AC689" s="132"/>
      <c r="AD689" s="132"/>
      <c r="AE689" s="63"/>
      <c r="AF689" s="63"/>
      <c r="AG689" s="63"/>
    </row>
    <row r="690" spans="1:33" ht="17.2" customHeight="1">
      <c r="A690" s="64" t="str">
        <f>IF(priority(Main[[#This Row],[Comments]])&lt;&gt;0, priority(Main[[#This Row],[Comments]]),"")</f>
        <v/>
      </c>
      <c r="B690" s="60" t="s">
        <v>1522</v>
      </c>
      <c r="C690" s="72" t="s">
        <v>401</v>
      </c>
      <c r="D690" s="59" t="s">
        <v>597</v>
      </c>
      <c r="E690" s="85"/>
      <c r="F690" s="85">
        <v>40447</v>
      </c>
      <c r="G690" s="64" t="str">
        <f>IF(stdProdLT(Main[[#This Row],[Comments]])=0.1,"N/A",IF(stdProdLT(Main[[#This Row],[Comments]])=0,"",TRIM(stdProdLT(Main[[#This Row],[Comments]]))))</f>
        <v/>
      </c>
      <c r="H690" s="94" t="str">
        <f>IF(OR(Main[[#This Row],[Std. Prod. Lead Time]]="N/A",Main[[#This Row],[Std. Prod. Lead Time]]=""), "",IF(AND(Main[[#This Row],[In Stock Date]]&lt;&gt;"",Main[[#This Row],[Revised Due Date]]&lt;&gt;"",Main[[#This Row],[In Stock Date]]&lt;&gt;""),Main[[#This Row],[In Stock Date]]-Main[[#This Row],[Revised Due Date]],""))</f>
        <v/>
      </c>
      <c r="I690" s="101" t="s">
        <v>4</v>
      </c>
      <c r="J690" s="95" t="s">
        <v>4</v>
      </c>
      <c r="K690" s="95" t="s">
        <v>4</v>
      </c>
      <c r="L690" s="85"/>
      <c r="M690" s="73" t="str">
        <f>IF(Main[[#This Row],[Tech Start Date]]&lt;1/1/1990,"",IF(Main[[#This Row],[Class]]="C",WORKDAY(Main[[#This Row],[Tech Start Date]],9),IF(Main[[#This Row],[Class]]="B", WORKDAY(Main[[#This Row],[Tech Start Date]],6),IF(Main[[#This Row],[Class]]="A",WORKDAY(Main[[#This Row],[Tech Start Date]],2),""))))</f>
        <v/>
      </c>
      <c r="N690" s="73" t="str">
        <f>IF(Main[[#This Row],[Tech Start Date]]&lt;1/1/1990,"",IF(Main[[#This Row],[Class]]="C",WORKDAY(Main[[#This Row],[Tech Start Date]],19),IF(Main[[#This Row],[Class]]="B", WORKDAY(Main[[#This Row],[Tech Start Date]],12),IF(Main[[#This Row],[Class]]="A",WORKDAY(Main[[#This Row],[Tech Start Date]],4),""))))</f>
        <v/>
      </c>
      <c r="O690" s="73" t="str">
        <f>IF(Main[[#This Row],[Tech Start Date]]&lt;1/1/1990,"",IF(Main[[#This Row],[Class]]="C",WORKDAY(Main[[#This Row],[Tech Start Date]],23),IF(Main[[#This Row],[Class]]="B", WORKDAY(Main[[#This Row],[Tech Start Date]],15),IF(Main[[#This Row],[Class]]="A",WORKDAY(Main[[#This Row],[Tech Start Date]],5),""))))</f>
        <v/>
      </c>
      <c r="P690" s="73" t="str">
        <f>IF(Main[[#This Row],[Tech Start Date]]&lt;1/1/1990,"",IF(Main[[#This Row],[Class]]="C",WORKDAY(Main[[#This Row],[Tech Start Date]],28),IF(Main[[#This Row],[Class]]="B", WORKDAY(Main[[#This Row],[Tech Start Date]],19),IF(Main[[#This Row],[Class]]="A",WORKDAY(Main[[#This Row],[Tech Start Date]],9),""))))</f>
        <v/>
      </c>
      <c r="Q690" s="85">
        <v>40349</v>
      </c>
      <c r="R690" s="112"/>
      <c r="S690" s="95" t="s">
        <v>11</v>
      </c>
      <c r="T690" s="74" t="s">
        <v>4</v>
      </c>
      <c r="U690" s="95" t="s">
        <v>14</v>
      </c>
      <c r="V690" s="95" t="s">
        <v>1921</v>
      </c>
      <c r="W690" s="95" t="s">
        <v>1916</v>
      </c>
      <c r="X690" s="95" t="s">
        <v>2830</v>
      </c>
      <c r="Y690" s="72" t="s">
        <v>4</v>
      </c>
      <c r="Z690" s="72" t="s">
        <v>4</v>
      </c>
      <c r="AA690" s="95" t="s">
        <v>2830</v>
      </c>
      <c r="AB690" s="132"/>
      <c r="AC690" s="132"/>
      <c r="AD690" s="132"/>
      <c r="AE690" s="63"/>
      <c r="AF690" s="63"/>
      <c r="AG690" s="63"/>
    </row>
    <row r="691" spans="1:33" ht="17.2" customHeight="1">
      <c r="A691" s="64" t="str">
        <f>IF(priority(Main[[#This Row],[Comments]])&lt;&gt;0, priority(Main[[#This Row],[Comments]]),"")</f>
        <v/>
      </c>
      <c r="B691" s="60" t="s">
        <v>1542</v>
      </c>
      <c r="C691" s="72" t="s">
        <v>436</v>
      </c>
      <c r="D691" s="59" t="s">
        <v>625</v>
      </c>
      <c r="E691" s="85"/>
      <c r="F691" s="85">
        <v>40056</v>
      </c>
      <c r="G691" s="64" t="str">
        <f>IF(stdProdLT(Main[[#This Row],[Comments]])=0.1,"N/A",IF(stdProdLT(Main[[#This Row],[Comments]])=0,"",TRIM(stdProdLT(Main[[#This Row],[Comments]]))))</f>
        <v/>
      </c>
      <c r="H691" s="94" t="str">
        <f>IF(OR(Main[[#This Row],[Std. Prod. Lead Time]]="N/A",Main[[#This Row],[Std. Prod. Lead Time]]=""), "",IF(AND(Main[[#This Row],[In Stock Date]]&lt;&gt;"",Main[[#This Row],[Revised Due Date]]&lt;&gt;"",Main[[#This Row],[In Stock Date]]&lt;&gt;""),Main[[#This Row],[In Stock Date]]-Main[[#This Row],[Revised Due Date]],""))</f>
        <v/>
      </c>
      <c r="I691" s="101" t="s">
        <v>4</v>
      </c>
      <c r="J691" s="95" t="s">
        <v>4</v>
      </c>
      <c r="K691" s="95" t="s">
        <v>4</v>
      </c>
      <c r="L691" s="85"/>
      <c r="M691" s="73" t="str">
        <f>IF(Main[[#This Row],[Tech Start Date]]&lt;1/1/1990,"",IF(Main[[#This Row],[Class]]="C",WORKDAY(Main[[#This Row],[Tech Start Date]],9),IF(Main[[#This Row],[Class]]="B", WORKDAY(Main[[#This Row],[Tech Start Date]],6),IF(Main[[#This Row],[Class]]="A",WORKDAY(Main[[#This Row],[Tech Start Date]],2),""))))</f>
        <v/>
      </c>
      <c r="N691" s="73" t="str">
        <f>IF(Main[[#This Row],[Tech Start Date]]&lt;1/1/1990,"",IF(Main[[#This Row],[Class]]="C",WORKDAY(Main[[#This Row],[Tech Start Date]],19),IF(Main[[#This Row],[Class]]="B", WORKDAY(Main[[#This Row],[Tech Start Date]],12),IF(Main[[#This Row],[Class]]="A",WORKDAY(Main[[#This Row],[Tech Start Date]],4),""))))</f>
        <v/>
      </c>
      <c r="O691" s="73" t="str">
        <f>IF(Main[[#This Row],[Tech Start Date]]&lt;1/1/1990,"",IF(Main[[#This Row],[Class]]="C",WORKDAY(Main[[#This Row],[Tech Start Date]],23),IF(Main[[#This Row],[Class]]="B", WORKDAY(Main[[#This Row],[Tech Start Date]],15),IF(Main[[#This Row],[Class]]="A",WORKDAY(Main[[#This Row],[Tech Start Date]],5),""))))</f>
        <v/>
      </c>
      <c r="P691" s="73" t="str">
        <f>IF(Main[[#This Row],[Tech Start Date]]&lt;1/1/1990,"",IF(Main[[#This Row],[Class]]="C",WORKDAY(Main[[#This Row],[Tech Start Date]],28),IF(Main[[#This Row],[Class]]="B", WORKDAY(Main[[#This Row],[Tech Start Date]],19),IF(Main[[#This Row],[Class]]="A",WORKDAY(Main[[#This Row],[Tech Start Date]],9),""))))</f>
        <v/>
      </c>
      <c r="Q691" s="85"/>
      <c r="R691" s="112"/>
      <c r="S691" s="95" t="s">
        <v>11</v>
      </c>
      <c r="T691" s="74" t="s">
        <v>4</v>
      </c>
      <c r="U691" s="95" t="s">
        <v>14</v>
      </c>
      <c r="V691" s="95" t="s">
        <v>1911</v>
      </c>
      <c r="W691" s="95" t="s">
        <v>1919</v>
      </c>
      <c r="X691" s="95" t="s">
        <v>2833</v>
      </c>
      <c r="Y691" s="72" t="s">
        <v>2969</v>
      </c>
      <c r="Z691" s="72" t="s">
        <v>4</v>
      </c>
      <c r="AA691" s="95" t="s">
        <v>2833</v>
      </c>
      <c r="AB691" s="132"/>
      <c r="AC691" s="132"/>
      <c r="AD691" s="132"/>
      <c r="AE691" s="63"/>
      <c r="AF691" s="63"/>
      <c r="AG691" s="63"/>
    </row>
    <row r="692" spans="1:33" ht="17.2" customHeight="1">
      <c r="A692" s="64" t="str">
        <f>IF(priority(Main[[#This Row],[Comments]])&lt;&gt;0, priority(Main[[#This Row],[Comments]]),"")</f>
        <v/>
      </c>
      <c r="B692" s="60" t="s">
        <v>1543</v>
      </c>
      <c r="C692" s="72" t="s">
        <v>4</v>
      </c>
      <c r="D692" s="59" t="s">
        <v>626</v>
      </c>
      <c r="E692" s="85"/>
      <c r="F692" s="85"/>
      <c r="G692" s="64" t="str">
        <f>IF(stdProdLT(Main[[#This Row],[Comments]])=0.1,"N/A",IF(stdProdLT(Main[[#This Row],[Comments]])=0,"",TRIM(stdProdLT(Main[[#This Row],[Comments]]))))</f>
        <v/>
      </c>
      <c r="H692" s="94" t="str">
        <f>IF(OR(Main[[#This Row],[Std. Prod. Lead Time]]="N/A",Main[[#This Row],[Std. Prod. Lead Time]]=""), "",IF(AND(Main[[#This Row],[In Stock Date]]&lt;&gt;"",Main[[#This Row],[Revised Due Date]]&lt;&gt;"",Main[[#This Row],[In Stock Date]]&lt;&gt;""),Main[[#This Row],[In Stock Date]]-Main[[#This Row],[Revised Due Date]],""))</f>
        <v/>
      </c>
      <c r="I692" s="101" t="s">
        <v>4</v>
      </c>
      <c r="J692" s="95" t="s">
        <v>4</v>
      </c>
      <c r="K692" s="95" t="s">
        <v>4</v>
      </c>
      <c r="L692" s="85"/>
      <c r="M692" s="73" t="str">
        <f>IF(Main[[#This Row],[Tech Start Date]]&lt;1/1/1990,"",IF(Main[[#This Row],[Class]]="C",WORKDAY(Main[[#This Row],[Tech Start Date]],9),IF(Main[[#This Row],[Class]]="B", WORKDAY(Main[[#This Row],[Tech Start Date]],6),IF(Main[[#This Row],[Class]]="A",WORKDAY(Main[[#This Row],[Tech Start Date]],2),""))))</f>
        <v/>
      </c>
      <c r="N692" s="73" t="str">
        <f>IF(Main[[#This Row],[Tech Start Date]]&lt;1/1/1990,"",IF(Main[[#This Row],[Class]]="C",WORKDAY(Main[[#This Row],[Tech Start Date]],19),IF(Main[[#This Row],[Class]]="B", WORKDAY(Main[[#This Row],[Tech Start Date]],12),IF(Main[[#This Row],[Class]]="A",WORKDAY(Main[[#This Row],[Tech Start Date]],4),""))))</f>
        <v/>
      </c>
      <c r="O692" s="73" t="str">
        <f>IF(Main[[#This Row],[Tech Start Date]]&lt;1/1/1990,"",IF(Main[[#This Row],[Class]]="C",WORKDAY(Main[[#This Row],[Tech Start Date]],23),IF(Main[[#This Row],[Class]]="B", WORKDAY(Main[[#This Row],[Tech Start Date]],15),IF(Main[[#This Row],[Class]]="A",WORKDAY(Main[[#This Row],[Tech Start Date]],5),""))))</f>
        <v/>
      </c>
      <c r="P692" s="73" t="str">
        <f>IF(Main[[#This Row],[Tech Start Date]]&lt;1/1/1990,"",IF(Main[[#This Row],[Class]]="C",WORKDAY(Main[[#This Row],[Tech Start Date]],28),IF(Main[[#This Row],[Class]]="B", WORKDAY(Main[[#This Row],[Tech Start Date]],19),IF(Main[[#This Row],[Class]]="A",WORKDAY(Main[[#This Row],[Tech Start Date]],9),""))))</f>
        <v/>
      </c>
      <c r="Q692" s="85"/>
      <c r="R692" s="112"/>
      <c r="S692" s="95" t="s">
        <v>17</v>
      </c>
      <c r="T692" s="74" t="s">
        <v>4</v>
      </c>
      <c r="U692" s="95" t="s">
        <v>12</v>
      </c>
      <c r="V692" s="95" t="s">
        <v>1911</v>
      </c>
      <c r="W692" s="95" t="s">
        <v>1913</v>
      </c>
      <c r="X692" s="95" t="s">
        <v>889</v>
      </c>
      <c r="Y692" s="72" t="s">
        <v>3051</v>
      </c>
      <c r="Z692" s="72" t="s">
        <v>4</v>
      </c>
      <c r="AA692" s="95" t="s">
        <v>889</v>
      </c>
      <c r="AB692" s="132"/>
      <c r="AC692" s="132"/>
      <c r="AD692" s="132"/>
      <c r="AE692" s="63"/>
      <c r="AF692" s="63"/>
      <c r="AG692" s="63"/>
    </row>
    <row r="693" spans="1:33" ht="17.2" customHeight="1">
      <c r="A693" s="64" t="str">
        <f>IF(priority(Main[[#This Row],[Comments]])&lt;&gt;0, priority(Main[[#This Row],[Comments]]),"")</f>
        <v/>
      </c>
      <c r="B693" s="60" t="s">
        <v>1836</v>
      </c>
      <c r="C693" s="72" t="s">
        <v>495</v>
      </c>
      <c r="D693" s="59" t="s">
        <v>893</v>
      </c>
      <c r="E693" s="85"/>
      <c r="F693" s="85"/>
      <c r="G693" s="64" t="str">
        <f>IF(stdProdLT(Main[[#This Row],[Comments]])=0.1,"N/A",IF(stdProdLT(Main[[#This Row],[Comments]])=0,"",TRIM(stdProdLT(Main[[#This Row],[Comments]]))))</f>
        <v/>
      </c>
      <c r="H693" s="94" t="str">
        <f>IF(OR(Main[[#This Row],[Std. Prod. Lead Time]]="N/A",Main[[#This Row],[Std. Prod. Lead Time]]=""), "",IF(AND(Main[[#This Row],[In Stock Date]]&lt;&gt;"",Main[[#This Row],[Revised Due Date]]&lt;&gt;"",Main[[#This Row],[In Stock Date]]&lt;&gt;""),Main[[#This Row],[In Stock Date]]-Main[[#This Row],[Revised Due Date]],""))</f>
        <v/>
      </c>
      <c r="I693" s="101" t="s">
        <v>126</v>
      </c>
      <c r="J693" s="95" t="s">
        <v>28</v>
      </c>
      <c r="K693" s="96" t="s">
        <v>1924</v>
      </c>
      <c r="L693" s="85"/>
      <c r="M693" s="73" t="str">
        <f>IF(Main[[#This Row],[Tech Start Date]]&lt;1/1/1990,"",IF(Main[[#This Row],[Class]]="C",WORKDAY(Main[[#This Row],[Tech Start Date]],9),IF(Main[[#This Row],[Class]]="B", WORKDAY(Main[[#This Row],[Tech Start Date]],6),IF(Main[[#This Row],[Class]]="A",WORKDAY(Main[[#This Row],[Tech Start Date]],2),""))))</f>
        <v/>
      </c>
      <c r="N693" s="73" t="str">
        <f>IF(Main[[#This Row],[Tech Start Date]]&lt;1/1/1990,"",IF(Main[[#This Row],[Class]]="C",WORKDAY(Main[[#This Row],[Tech Start Date]],19),IF(Main[[#This Row],[Class]]="B", WORKDAY(Main[[#This Row],[Tech Start Date]],12),IF(Main[[#This Row],[Class]]="A",WORKDAY(Main[[#This Row],[Tech Start Date]],4),""))))</f>
        <v/>
      </c>
      <c r="O693" s="73" t="str">
        <f>IF(Main[[#This Row],[Tech Start Date]]&lt;1/1/1990,"",IF(Main[[#This Row],[Class]]="C",WORKDAY(Main[[#This Row],[Tech Start Date]],23),IF(Main[[#This Row],[Class]]="B", WORKDAY(Main[[#This Row],[Tech Start Date]],15),IF(Main[[#This Row],[Class]]="A",WORKDAY(Main[[#This Row],[Tech Start Date]],5),""))))</f>
        <v/>
      </c>
      <c r="P693" s="73" t="str">
        <f>IF(Main[[#This Row],[Tech Start Date]]&lt;1/1/1990,"",IF(Main[[#This Row],[Class]]="C",WORKDAY(Main[[#This Row],[Tech Start Date]],28),IF(Main[[#This Row],[Class]]="B", WORKDAY(Main[[#This Row],[Tech Start Date]],19),IF(Main[[#This Row],[Class]]="A",WORKDAY(Main[[#This Row],[Tech Start Date]],9),""))))</f>
        <v/>
      </c>
      <c r="Q693" s="85">
        <v>40469</v>
      </c>
      <c r="R693" s="112">
        <v>40469</v>
      </c>
      <c r="S693" s="95" t="s">
        <v>11</v>
      </c>
      <c r="T693" s="74" t="s">
        <v>4</v>
      </c>
      <c r="U693" s="95" t="s">
        <v>14</v>
      </c>
      <c r="V693" s="95" t="s">
        <v>1911</v>
      </c>
      <c r="W693" s="95" t="s">
        <v>1919</v>
      </c>
      <c r="X693" s="95" t="s">
        <v>50</v>
      </c>
      <c r="Y693" s="72" t="s">
        <v>3040</v>
      </c>
      <c r="Z693" s="72" t="s">
        <v>129</v>
      </c>
      <c r="AA693" s="95" t="s">
        <v>2840</v>
      </c>
      <c r="AB693" s="132"/>
      <c r="AC693" s="132"/>
      <c r="AD693" s="132"/>
      <c r="AE693" s="63"/>
      <c r="AF693" s="63"/>
      <c r="AG693" s="63"/>
    </row>
    <row r="694" spans="1:33" ht="17.2" customHeight="1">
      <c r="A694" s="64" t="str">
        <f>IF(priority(Main[[#This Row],[Comments]])&lt;&gt;0, priority(Main[[#This Row],[Comments]]),"")</f>
        <v/>
      </c>
      <c r="B694" s="60" t="s">
        <v>1523</v>
      </c>
      <c r="C694" s="72" t="s">
        <v>606</v>
      </c>
      <c r="D694" s="59" t="s">
        <v>607</v>
      </c>
      <c r="E694" s="85"/>
      <c r="F694" s="85">
        <v>41275</v>
      </c>
      <c r="G694" s="64" t="str">
        <f>IF(stdProdLT(Main[[#This Row],[Comments]])=0.1,"N/A",IF(stdProdLT(Main[[#This Row],[Comments]])=0,"",TRIM(stdProdLT(Main[[#This Row],[Comments]]))))</f>
        <v/>
      </c>
      <c r="H694" s="94" t="str">
        <f>IF(OR(Main[[#This Row],[Std. Prod. Lead Time]]="N/A",Main[[#This Row],[Std. Prod. Lead Time]]=""), "",IF(AND(Main[[#This Row],[In Stock Date]]&lt;&gt;"",Main[[#This Row],[Revised Due Date]]&lt;&gt;"",Main[[#This Row],[In Stock Date]]&lt;&gt;""),Main[[#This Row],[In Stock Date]]-Main[[#This Row],[Revised Due Date]],""))</f>
        <v/>
      </c>
      <c r="I694" s="101" t="s">
        <v>4</v>
      </c>
      <c r="J694" s="95" t="s">
        <v>4</v>
      </c>
      <c r="K694" s="96" t="s">
        <v>4</v>
      </c>
      <c r="L694" s="85"/>
      <c r="M694" s="73" t="str">
        <f>IF(Main[[#This Row],[Tech Start Date]]&lt;1/1/1990,"",IF(Main[[#This Row],[Class]]="C",WORKDAY(Main[[#This Row],[Tech Start Date]],9),IF(Main[[#This Row],[Class]]="B", WORKDAY(Main[[#This Row],[Tech Start Date]],6),IF(Main[[#This Row],[Class]]="A",WORKDAY(Main[[#This Row],[Tech Start Date]],2),""))))</f>
        <v/>
      </c>
      <c r="N694" s="73" t="str">
        <f>IF(Main[[#This Row],[Tech Start Date]]&lt;1/1/1990,"",IF(Main[[#This Row],[Class]]="C",WORKDAY(Main[[#This Row],[Tech Start Date]],19),IF(Main[[#This Row],[Class]]="B", WORKDAY(Main[[#This Row],[Tech Start Date]],12),IF(Main[[#This Row],[Class]]="A",WORKDAY(Main[[#This Row],[Tech Start Date]],4),""))))</f>
        <v/>
      </c>
      <c r="O694" s="73" t="str">
        <f>IF(Main[[#This Row],[Tech Start Date]]&lt;1/1/1990,"",IF(Main[[#This Row],[Class]]="C",WORKDAY(Main[[#This Row],[Tech Start Date]],23),IF(Main[[#This Row],[Class]]="B", WORKDAY(Main[[#This Row],[Tech Start Date]],15),IF(Main[[#This Row],[Class]]="A",WORKDAY(Main[[#This Row],[Tech Start Date]],5),""))))</f>
        <v/>
      </c>
      <c r="P694" s="73" t="str">
        <f>IF(Main[[#This Row],[Tech Start Date]]&lt;1/1/1990,"",IF(Main[[#This Row],[Class]]="C",WORKDAY(Main[[#This Row],[Tech Start Date]],28),IF(Main[[#This Row],[Class]]="B", WORKDAY(Main[[#This Row],[Tech Start Date]],19),IF(Main[[#This Row],[Class]]="A",WORKDAY(Main[[#This Row],[Tech Start Date]],9),""))))</f>
        <v/>
      </c>
      <c r="Q694" s="85">
        <v>40387</v>
      </c>
      <c r="R694" s="112"/>
      <c r="S694" s="95" t="s">
        <v>11</v>
      </c>
      <c r="T694" s="74" t="s">
        <v>4</v>
      </c>
      <c r="U694" s="95" t="s">
        <v>14</v>
      </c>
      <c r="V694" s="95" t="s">
        <v>1921</v>
      </c>
      <c r="W694" s="95" t="s">
        <v>1916</v>
      </c>
      <c r="X694" s="95" t="s">
        <v>2804</v>
      </c>
      <c r="Y694" s="72" t="s">
        <v>3053</v>
      </c>
      <c r="Z694" s="72" t="s">
        <v>81</v>
      </c>
      <c r="AA694" s="95" t="s">
        <v>3272</v>
      </c>
      <c r="AB694" s="132"/>
      <c r="AC694" s="132"/>
      <c r="AD694" s="132"/>
      <c r="AE694" s="63"/>
      <c r="AF694" s="63"/>
      <c r="AG694" s="63"/>
    </row>
    <row r="695" spans="1:33" ht="17.2" customHeight="1">
      <c r="A695" s="64" t="str">
        <f>IF(priority(Main[[#This Row],[Comments]])&lt;&gt;0, priority(Main[[#This Row],[Comments]]),"")</f>
        <v/>
      </c>
      <c r="B695" s="60" t="s">
        <v>1524</v>
      </c>
      <c r="C695" s="72" t="s">
        <v>606</v>
      </c>
      <c r="D695" s="59" t="s">
        <v>608</v>
      </c>
      <c r="E695" s="85"/>
      <c r="F695" s="85">
        <v>41275</v>
      </c>
      <c r="G695" s="64" t="str">
        <f>IF(stdProdLT(Main[[#This Row],[Comments]])=0.1,"N/A",IF(stdProdLT(Main[[#This Row],[Comments]])=0,"",TRIM(stdProdLT(Main[[#This Row],[Comments]]))))</f>
        <v/>
      </c>
      <c r="H695" s="94" t="str">
        <f>IF(OR(Main[[#This Row],[Std. Prod. Lead Time]]="N/A",Main[[#This Row],[Std. Prod. Lead Time]]=""), "",IF(AND(Main[[#This Row],[In Stock Date]]&lt;&gt;"",Main[[#This Row],[Revised Due Date]]&lt;&gt;"",Main[[#This Row],[In Stock Date]]&lt;&gt;""),Main[[#This Row],[In Stock Date]]-Main[[#This Row],[Revised Due Date]],""))</f>
        <v/>
      </c>
      <c r="I695" s="101" t="s">
        <v>4</v>
      </c>
      <c r="J695" s="95" t="s">
        <v>4</v>
      </c>
      <c r="K695" s="95" t="s">
        <v>4</v>
      </c>
      <c r="L695" s="85"/>
      <c r="M695" s="73" t="str">
        <f>IF(Main[[#This Row],[Tech Start Date]]&lt;1/1/1990,"",IF(Main[[#This Row],[Class]]="C",WORKDAY(Main[[#This Row],[Tech Start Date]],9),IF(Main[[#This Row],[Class]]="B", WORKDAY(Main[[#This Row],[Tech Start Date]],6),IF(Main[[#This Row],[Class]]="A",WORKDAY(Main[[#This Row],[Tech Start Date]],2),""))))</f>
        <v/>
      </c>
      <c r="N695" s="73" t="str">
        <f>IF(Main[[#This Row],[Tech Start Date]]&lt;1/1/1990,"",IF(Main[[#This Row],[Class]]="C",WORKDAY(Main[[#This Row],[Tech Start Date]],19),IF(Main[[#This Row],[Class]]="B", WORKDAY(Main[[#This Row],[Tech Start Date]],12),IF(Main[[#This Row],[Class]]="A",WORKDAY(Main[[#This Row],[Tech Start Date]],4),""))))</f>
        <v/>
      </c>
      <c r="O695" s="73" t="str">
        <f>IF(Main[[#This Row],[Tech Start Date]]&lt;1/1/1990,"",IF(Main[[#This Row],[Class]]="C",WORKDAY(Main[[#This Row],[Tech Start Date]],23),IF(Main[[#This Row],[Class]]="B", WORKDAY(Main[[#This Row],[Tech Start Date]],15),IF(Main[[#This Row],[Class]]="A",WORKDAY(Main[[#This Row],[Tech Start Date]],5),""))))</f>
        <v/>
      </c>
      <c r="P695" s="73" t="str">
        <f>IF(Main[[#This Row],[Tech Start Date]]&lt;1/1/1990,"",IF(Main[[#This Row],[Class]]="C",WORKDAY(Main[[#This Row],[Tech Start Date]],28),IF(Main[[#This Row],[Class]]="B", WORKDAY(Main[[#This Row],[Tech Start Date]],19),IF(Main[[#This Row],[Class]]="A",WORKDAY(Main[[#This Row],[Tech Start Date]],9),""))))</f>
        <v/>
      </c>
      <c r="Q695" s="85">
        <v>40387</v>
      </c>
      <c r="R695" s="112"/>
      <c r="S695" s="95" t="s">
        <v>11</v>
      </c>
      <c r="T695" s="74" t="s">
        <v>4</v>
      </c>
      <c r="U695" s="95" t="s">
        <v>14</v>
      </c>
      <c r="V695" s="95" t="s">
        <v>1921</v>
      </c>
      <c r="W695" s="95" t="s">
        <v>1916</v>
      </c>
      <c r="X695" s="95" t="s">
        <v>2804</v>
      </c>
      <c r="Y695" s="72" t="s">
        <v>3053</v>
      </c>
      <c r="Z695" s="72" t="s">
        <v>4</v>
      </c>
      <c r="AA695" s="95" t="s">
        <v>3272</v>
      </c>
      <c r="AB695" s="132"/>
      <c r="AC695" s="132"/>
      <c r="AD695" s="132"/>
      <c r="AE695" s="63"/>
      <c r="AF695" s="63"/>
      <c r="AG695" s="63"/>
    </row>
    <row r="696" spans="1:33" ht="17.2" customHeight="1">
      <c r="A696" s="64" t="str">
        <f>IF(priority(Main[[#This Row],[Comments]])&lt;&gt;0, priority(Main[[#This Row],[Comments]]),"")</f>
        <v/>
      </c>
      <c r="B696" s="60" t="s">
        <v>1525</v>
      </c>
      <c r="C696" s="72" t="s">
        <v>290</v>
      </c>
      <c r="D696" s="59" t="s">
        <v>291</v>
      </c>
      <c r="E696" s="85"/>
      <c r="F696" s="85"/>
      <c r="G696" s="64" t="str">
        <f>IF(stdProdLT(Main[[#This Row],[Comments]])=0.1,"N/A",IF(stdProdLT(Main[[#This Row],[Comments]])=0,"",TRIM(stdProdLT(Main[[#This Row],[Comments]]))))</f>
        <v/>
      </c>
      <c r="H696" s="94" t="str">
        <f>IF(OR(Main[[#This Row],[Std. Prod. Lead Time]]="N/A",Main[[#This Row],[Std. Prod. Lead Time]]=""), "",IF(AND(Main[[#This Row],[In Stock Date]]&lt;&gt;"",Main[[#This Row],[Revised Due Date]]&lt;&gt;"",Main[[#This Row],[In Stock Date]]&lt;&gt;""),Main[[#This Row],[In Stock Date]]-Main[[#This Row],[Revised Due Date]],""))</f>
        <v/>
      </c>
      <c r="I696" s="101" t="s">
        <v>4</v>
      </c>
      <c r="J696" s="95" t="s">
        <v>4</v>
      </c>
      <c r="K696" s="95" t="s">
        <v>4</v>
      </c>
      <c r="L696" s="85"/>
      <c r="M696" s="73" t="str">
        <f>IF(Main[[#This Row],[Tech Start Date]]&lt;1/1/1990,"",IF(Main[[#This Row],[Class]]="C",WORKDAY(Main[[#This Row],[Tech Start Date]],9),IF(Main[[#This Row],[Class]]="B", WORKDAY(Main[[#This Row],[Tech Start Date]],6),IF(Main[[#This Row],[Class]]="A",WORKDAY(Main[[#This Row],[Tech Start Date]],2),""))))</f>
        <v/>
      </c>
      <c r="N696" s="73" t="str">
        <f>IF(Main[[#This Row],[Tech Start Date]]&lt;1/1/1990,"",IF(Main[[#This Row],[Class]]="C",WORKDAY(Main[[#This Row],[Tech Start Date]],19),IF(Main[[#This Row],[Class]]="B", WORKDAY(Main[[#This Row],[Tech Start Date]],12),IF(Main[[#This Row],[Class]]="A",WORKDAY(Main[[#This Row],[Tech Start Date]],4),""))))</f>
        <v/>
      </c>
      <c r="O696" s="73" t="str">
        <f>IF(Main[[#This Row],[Tech Start Date]]&lt;1/1/1990,"",IF(Main[[#This Row],[Class]]="C",WORKDAY(Main[[#This Row],[Tech Start Date]],23),IF(Main[[#This Row],[Class]]="B", WORKDAY(Main[[#This Row],[Tech Start Date]],15),IF(Main[[#This Row],[Class]]="A",WORKDAY(Main[[#This Row],[Tech Start Date]],5),""))))</f>
        <v/>
      </c>
      <c r="P696" s="73" t="str">
        <f>IF(Main[[#This Row],[Tech Start Date]]&lt;1/1/1990,"",IF(Main[[#This Row],[Class]]="C",WORKDAY(Main[[#This Row],[Tech Start Date]],28),IF(Main[[#This Row],[Class]]="B", WORKDAY(Main[[#This Row],[Tech Start Date]],19),IF(Main[[#This Row],[Class]]="A",WORKDAY(Main[[#This Row],[Tech Start Date]],9),""))))</f>
        <v/>
      </c>
      <c r="Q696" s="85">
        <v>40052</v>
      </c>
      <c r="R696" s="112"/>
      <c r="S696" s="95" t="s">
        <v>11</v>
      </c>
      <c r="T696" s="74" t="s">
        <v>4</v>
      </c>
      <c r="U696" s="95" t="s">
        <v>14</v>
      </c>
      <c r="V696" s="95" t="s">
        <v>1914</v>
      </c>
      <c r="W696" s="95" t="s">
        <v>1913</v>
      </c>
      <c r="X696" s="95" t="s">
        <v>2814</v>
      </c>
      <c r="Y696" s="72" t="s">
        <v>4</v>
      </c>
      <c r="Z696" s="72" t="s">
        <v>4</v>
      </c>
      <c r="AA696" s="95" t="s">
        <v>2814</v>
      </c>
      <c r="AB696" s="132"/>
      <c r="AC696" s="132"/>
      <c r="AD696" s="132"/>
      <c r="AE696" s="63"/>
      <c r="AF696" s="63"/>
      <c r="AG696" s="63"/>
    </row>
    <row r="697" spans="1:33" ht="17.2" customHeight="1">
      <c r="A697" s="64" t="str">
        <f>IF(priority(Main[[#This Row],[Comments]])&lt;&gt;0, priority(Main[[#This Row],[Comments]]),"")</f>
        <v/>
      </c>
      <c r="B697" s="60" t="s">
        <v>1526</v>
      </c>
      <c r="C697" s="72" t="s">
        <v>4</v>
      </c>
      <c r="D697" s="59" t="s">
        <v>609</v>
      </c>
      <c r="E697" s="85">
        <v>40533.617372685185</v>
      </c>
      <c r="F697" s="85">
        <v>40602</v>
      </c>
      <c r="G697" s="64" t="str">
        <f>IF(stdProdLT(Main[[#This Row],[Comments]])=0.1,"N/A",IF(stdProdLT(Main[[#This Row],[Comments]])=0,"",TRIM(stdProdLT(Main[[#This Row],[Comments]]))))</f>
        <v/>
      </c>
      <c r="H697" s="94" t="str">
        <f>IF(OR(Main[[#This Row],[Std. Prod. Lead Time]]="N/A",Main[[#This Row],[Std. Prod. Lead Time]]=""), "",IF(AND(Main[[#This Row],[In Stock Date]]&lt;&gt;"",Main[[#This Row],[Revised Due Date]]&lt;&gt;"",Main[[#This Row],[In Stock Date]]&lt;&gt;""),Main[[#This Row],[In Stock Date]]-Main[[#This Row],[Revised Due Date]],""))</f>
        <v/>
      </c>
      <c r="I697" s="101" t="s">
        <v>4</v>
      </c>
      <c r="J697" s="95" t="s">
        <v>28</v>
      </c>
      <c r="K697" s="95" t="s">
        <v>1920</v>
      </c>
      <c r="L697" s="85"/>
      <c r="M697" s="73" t="str">
        <f>IF(Main[[#This Row],[Tech Start Date]]&lt;1/1/1990,"",IF(Main[[#This Row],[Class]]="C",WORKDAY(Main[[#This Row],[Tech Start Date]],9),IF(Main[[#This Row],[Class]]="B", WORKDAY(Main[[#This Row],[Tech Start Date]],6),IF(Main[[#This Row],[Class]]="A",WORKDAY(Main[[#This Row],[Tech Start Date]],2),""))))</f>
        <v/>
      </c>
      <c r="N697" s="73" t="str">
        <f>IF(Main[[#This Row],[Tech Start Date]]&lt;1/1/1990,"",IF(Main[[#This Row],[Class]]="C",WORKDAY(Main[[#This Row],[Tech Start Date]],19),IF(Main[[#This Row],[Class]]="B", WORKDAY(Main[[#This Row],[Tech Start Date]],12),IF(Main[[#This Row],[Class]]="A",WORKDAY(Main[[#This Row],[Tech Start Date]],4),""))))</f>
        <v/>
      </c>
      <c r="O697" s="73" t="str">
        <f>IF(Main[[#This Row],[Tech Start Date]]&lt;1/1/1990,"",IF(Main[[#This Row],[Class]]="C",WORKDAY(Main[[#This Row],[Tech Start Date]],23),IF(Main[[#This Row],[Class]]="B", WORKDAY(Main[[#This Row],[Tech Start Date]],15),IF(Main[[#This Row],[Class]]="A",WORKDAY(Main[[#This Row],[Tech Start Date]],5),""))))</f>
        <v/>
      </c>
      <c r="P697" s="73" t="str">
        <f>IF(Main[[#This Row],[Tech Start Date]]&lt;1/1/1990,"",IF(Main[[#This Row],[Class]]="C",WORKDAY(Main[[#This Row],[Tech Start Date]],28),IF(Main[[#This Row],[Class]]="B", WORKDAY(Main[[#This Row],[Tech Start Date]],19),IF(Main[[#This Row],[Class]]="A",WORKDAY(Main[[#This Row],[Tech Start Date]],9),""))))</f>
        <v/>
      </c>
      <c r="Q697" s="85">
        <v>40602</v>
      </c>
      <c r="R697" s="112"/>
      <c r="S697" s="95" t="s">
        <v>6</v>
      </c>
      <c r="T697" s="74" t="s">
        <v>4</v>
      </c>
      <c r="U697" s="95" t="s">
        <v>7</v>
      </c>
      <c r="V697" s="95" t="s">
        <v>1911</v>
      </c>
      <c r="W697" s="95" t="s">
        <v>1913</v>
      </c>
      <c r="X697" s="95" t="s">
        <v>2867</v>
      </c>
      <c r="Y697" s="72" t="s">
        <v>3021</v>
      </c>
      <c r="Z697" s="72" t="s">
        <v>129</v>
      </c>
      <c r="AA697" s="95" t="s">
        <v>2867</v>
      </c>
      <c r="AB697" s="132"/>
      <c r="AC697" s="132"/>
      <c r="AD697" s="132"/>
      <c r="AE697" s="63"/>
      <c r="AF697" s="63"/>
      <c r="AG697" s="63"/>
    </row>
    <row r="698" spans="1:33" ht="17.2" customHeight="1">
      <c r="A698" s="64" t="str">
        <f>IF(priority(Main[[#This Row],[Comments]])&lt;&gt;0, priority(Main[[#This Row],[Comments]]),"")</f>
        <v/>
      </c>
      <c r="B698" s="60" t="s">
        <v>1527</v>
      </c>
      <c r="C698" s="72" t="s">
        <v>4</v>
      </c>
      <c r="D698" s="59" t="s">
        <v>610</v>
      </c>
      <c r="E698" s="85">
        <v>40387.693402777775</v>
      </c>
      <c r="F698" s="85"/>
      <c r="G698" s="64" t="str">
        <f>IF(stdProdLT(Main[[#This Row],[Comments]])=0.1,"N/A",IF(stdProdLT(Main[[#This Row],[Comments]])=0,"",TRIM(stdProdLT(Main[[#This Row],[Comments]]))))</f>
        <v/>
      </c>
      <c r="H698" s="94" t="str">
        <f>IF(OR(Main[[#This Row],[Std. Prod. Lead Time]]="N/A",Main[[#This Row],[Std. Prod. Lead Time]]=""), "",IF(AND(Main[[#This Row],[In Stock Date]]&lt;&gt;"",Main[[#This Row],[Revised Due Date]]&lt;&gt;"",Main[[#This Row],[In Stock Date]]&lt;&gt;""),Main[[#This Row],[In Stock Date]]-Main[[#This Row],[Revised Due Date]],""))</f>
        <v/>
      </c>
      <c r="I698" s="101" t="s">
        <v>4</v>
      </c>
      <c r="J698" s="95" t="s">
        <v>28</v>
      </c>
      <c r="K698" s="95" t="s">
        <v>4</v>
      </c>
      <c r="L698" s="85"/>
      <c r="M698" s="73" t="str">
        <f>IF(Main[[#This Row],[Tech Start Date]]&lt;1/1/1990,"",IF(Main[[#This Row],[Class]]="C",WORKDAY(Main[[#This Row],[Tech Start Date]],9),IF(Main[[#This Row],[Class]]="B", WORKDAY(Main[[#This Row],[Tech Start Date]],6),IF(Main[[#This Row],[Class]]="A",WORKDAY(Main[[#This Row],[Tech Start Date]],2),""))))</f>
        <v/>
      </c>
      <c r="N698" s="73" t="str">
        <f>IF(Main[[#This Row],[Tech Start Date]]&lt;1/1/1990,"",IF(Main[[#This Row],[Class]]="C",WORKDAY(Main[[#This Row],[Tech Start Date]],19),IF(Main[[#This Row],[Class]]="B", WORKDAY(Main[[#This Row],[Tech Start Date]],12),IF(Main[[#This Row],[Class]]="A",WORKDAY(Main[[#This Row],[Tech Start Date]],4),""))))</f>
        <v/>
      </c>
      <c r="O698" s="73" t="str">
        <f>IF(Main[[#This Row],[Tech Start Date]]&lt;1/1/1990,"",IF(Main[[#This Row],[Class]]="C",WORKDAY(Main[[#This Row],[Tech Start Date]],23),IF(Main[[#This Row],[Class]]="B", WORKDAY(Main[[#This Row],[Tech Start Date]],15),IF(Main[[#This Row],[Class]]="A",WORKDAY(Main[[#This Row],[Tech Start Date]],5),""))))</f>
        <v/>
      </c>
      <c r="P698" s="73" t="str">
        <f>IF(Main[[#This Row],[Tech Start Date]]&lt;1/1/1990,"",IF(Main[[#This Row],[Class]]="C",WORKDAY(Main[[#This Row],[Tech Start Date]],28),IF(Main[[#This Row],[Class]]="B", WORKDAY(Main[[#This Row],[Tech Start Date]],19),IF(Main[[#This Row],[Class]]="A",WORKDAY(Main[[#This Row],[Tech Start Date]],9),""))))</f>
        <v/>
      </c>
      <c r="Q698" s="85">
        <v>40400</v>
      </c>
      <c r="R698" s="112"/>
      <c r="S698" s="95" t="s">
        <v>6</v>
      </c>
      <c r="T698" s="74" t="s">
        <v>4</v>
      </c>
      <c r="U698" s="95" t="s">
        <v>7</v>
      </c>
      <c r="V698" s="95" t="s">
        <v>1911</v>
      </c>
      <c r="W698" s="95" t="s">
        <v>1913</v>
      </c>
      <c r="X698" s="95" t="s">
        <v>102</v>
      </c>
      <c r="Y698" s="72" t="s">
        <v>3010</v>
      </c>
      <c r="Z698" s="72" t="s">
        <v>129</v>
      </c>
      <c r="AA698" s="95" t="s">
        <v>3357</v>
      </c>
      <c r="AB698" s="132"/>
      <c r="AC698" s="132"/>
      <c r="AD698" s="132"/>
      <c r="AE698" s="63"/>
      <c r="AF698" s="63"/>
      <c r="AG698" s="63"/>
    </row>
    <row r="699" spans="1:33" ht="17.2" customHeight="1">
      <c r="A699" s="64" t="str">
        <f>IF(priority(Main[[#This Row],[Comments]])&lt;&gt;0, priority(Main[[#This Row],[Comments]]),"")</f>
        <v/>
      </c>
      <c r="B699" s="60" t="s">
        <v>1528</v>
      </c>
      <c r="C699" s="72" t="s">
        <v>4</v>
      </c>
      <c r="D699" s="59" t="s">
        <v>611</v>
      </c>
      <c r="E699" s="85">
        <v>40506.643229166664</v>
      </c>
      <c r="F699" s="85"/>
      <c r="G699" s="64" t="str">
        <f>IF(stdProdLT(Main[[#This Row],[Comments]])=0.1,"N/A",IF(stdProdLT(Main[[#This Row],[Comments]])=0,"",TRIM(stdProdLT(Main[[#This Row],[Comments]]))))</f>
        <v/>
      </c>
      <c r="H699" s="94" t="str">
        <f>IF(OR(Main[[#This Row],[Std. Prod. Lead Time]]="N/A",Main[[#This Row],[Std. Prod. Lead Time]]=""), "",IF(AND(Main[[#This Row],[In Stock Date]]&lt;&gt;"",Main[[#This Row],[Revised Due Date]]&lt;&gt;"",Main[[#This Row],[In Stock Date]]&lt;&gt;""),Main[[#This Row],[In Stock Date]]-Main[[#This Row],[Revised Due Date]],""))</f>
        <v/>
      </c>
      <c r="I699" s="101" t="s">
        <v>4</v>
      </c>
      <c r="J699" s="95" t="s">
        <v>28</v>
      </c>
      <c r="K699" s="96" t="s">
        <v>1918</v>
      </c>
      <c r="L699" s="85"/>
      <c r="M699" s="73" t="str">
        <f>IF(Main[[#This Row],[Tech Start Date]]&lt;1/1/1990,"",IF(Main[[#This Row],[Class]]="C",WORKDAY(Main[[#This Row],[Tech Start Date]],9),IF(Main[[#This Row],[Class]]="B", WORKDAY(Main[[#This Row],[Tech Start Date]],6),IF(Main[[#This Row],[Class]]="A",WORKDAY(Main[[#This Row],[Tech Start Date]],2),""))))</f>
        <v/>
      </c>
      <c r="N699" s="73" t="str">
        <f>IF(Main[[#This Row],[Tech Start Date]]&lt;1/1/1990,"",IF(Main[[#This Row],[Class]]="C",WORKDAY(Main[[#This Row],[Tech Start Date]],19),IF(Main[[#This Row],[Class]]="B", WORKDAY(Main[[#This Row],[Tech Start Date]],12),IF(Main[[#This Row],[Class]]="A",WORKDAY(Main[[#This Row],[Tech Start Date]],4),""))))</f>
        <v/>
      </c>
      <c r="O699" s="73" t="str">
        <f>IF(Main[[#This Row],[Tech Start Date]]&lt;1/1/1990,"",IF(Main[[#This Row],[Class]]="C",WORKDAY(Main[[#This Row],[Tech Start Date]],23),IF(Main[[#This Row],[Class]]="B", WORKDAY(Main[[#This Row],[Tech Start Date]],15),IF(Main[[#This Row],[Class]]="A",WORKDAY(Main[[#This Row],[Tech Start Date]],5),""))))</f>
        <v/>
      </c>
      <c r="P699" s="73" t="str">
        <f>IF(Main[[#This Row],[Tech Start Date]]&lt;1/1/1990,"",IF(Main[[#This Row],[Class]]="C",WORKDAY(Main[[#This Row],[Tech Start Date]],28),IF(Main[[#This Row],[Class]]="B", WORKDAY(Main[[#This Row],[Tech Start Date]],19),IF(Main[[#This Row],[Class]]="A",WORKDAY(Main[[#This Row],[Tech Start Date]],9),""))))</f>
        <v/>
      </c>
      <c r="Q699" s="85">
        <v>40548</v>
      </c>
      <c r="R699" s="112"/>
      <c r="S699" s="95" t="s">
        <v>6</v>
      </c>
      <c r="T699" s="74" t="s">
        <v>4</v>
      </c>
      <c r="U699" s="95" t="s">
        <v>7</v>
      </c>
      <c r="V699" s="95" t="s">
        <v>1911</v>
      </c>
      <c r="W699" s="95" t="s">
        <v>1915</v>
      </c>
      <c r="X699" s="95" t="s">
        <v>2801</v>
      </c>
      <c r="Y699" s="72" t="s">
        <v>2914</v>
      </c>
      <c r="Z699" s="72" t="s">
        <v>129</v>
      </c>
      <c r="AA699" s="95" t="s">
        <v>2801</v>
      </c>
      <c r="AB699" s="132"/>
      <c r="AC699" s="132"/>
      <c r="AD699" s="132"/>
      <c r="AE699" s="63"/>
      <c r="AF699" s="63"/>
      <c r="AG699" s="63"/>
    </row>
    <row r="700" spans="1:33" ht="17.2" customHeight="1">
      <c r="A700" s="64" t="str">
        <f>IF(priority(Main[[#This Row],[Comments]])&lt;&gt;0, priority(Main[[#This Row],[Comments]]),"")</f>
        <v/>
      </c>
      <c r="B700" s="60" t="s">
        <v>1529</v>
      </c>
      <c r="C700" s="72" t="s">
        <v>4</v>
      </c>
      <c r="D700" s="59" t="s">
        <v>612</v>
      </c>
      <c r="E700" s="85">
        <v>40371.390138888892</v>
      </c>
      <c r="F700" s="85"/>
      <c r="G700" s="64" t="str">
        <f>IF(stdProdLT(Main[[#This Row],[Comments]])=0.1,"N/A",IF(stdProdLT(Main[[#This Row],[Comments]])=0,"",TRIM(stdProdLT(Main[[#This Row],[Comments]]))))</f>
        <v/>
      </c>
      <c r="H700" s="94" t="str">
        <f>IF(OR(Main[[#This Row],[Std. Prod. Lead Time]]="N/A",Main[[#This Row],[Std. Prod. Lead Time]]=""), "",IF(AND(Main[[#This Row],[In Stock Date]]&lt;&gt;"",Main[[#This Row],[Revised Due Date]]&lt;&gt;"",Main[[#This Row],[In Stock Date]]&lt;&gt;""),Main[[#This Row],[In Stock Date]]-Main[[#This Row],[Revised Due Date]],""))</f>
        <v/>
      </c>
      <c r="I700" s="101" t="s">
        <v>4</v>
      </c>
      <c r="J700" s="95" t="s">
        <v>4</v>
      </c>
      <c r="K700" s="95" t="s">
        <v>4</v>
      </c>
      <c r="L700" s="85"/>
      <c r="M700" s="73" t="str">
        <f>IF(Main[[#This Row],[Tech Start Date]]&lt;1/1/1990,"",IF(Main[[#This Row],[Class]]="C",WORKDAY(Main[[#This Row],[Tech Start Date]],9),IF(Main[[#This Row],[Class]]="B", WORKDAY(Main[[#This Row],[Tech Start Date]],6),IF(Main[[#This Row],[Class]]="A",WORKDAY(Main[[#This Row],[Tech Start Date]],2),""))))</f>
        <v/>
      </c>
      <c r="N700" s="73" t="str">
        <f>IF(Main[[#This Row],[Tech Start Date]]&lt;1/1/1990,"",IF(Main[[#This Row],[Class]]="C",WORKDAY(Main[[#This Row],[Tech Start Date]],19),IF(Main[[#This Row],[Class]]="B", WORKDAY(Main[[#This Row],[Tech Start Date]],12),IF(Main[[#This Row],[Class]]="A",WORKDAY(Main[[#This Row],[Tech Start Date]],4),""))))</f>
        <v/>
      </c>
      <c r="O700" s="73" t="str">
        <f>IF(Main[[#This Row],[Tech Start Date]]&lt;1/1/1990,"",IF(Main[[#This Row],[Class]]="C",WORKDAY(Main[[#This Row],[Tech Start Date]],23),IF(Main[[#This Row],[Class]]="B", WORKDAY(Main[[#This Row],[Tech Start Date]],15),IF(Main[[#This Row],[Class]]="A",WORKDAY(Main[[#This Row],[Tech Start Date]],5),""))))</f>
        <v/>
      </c>
      <c r="P700" s="73" t="str">
        <f>IF(Main[[#This Row],[Tech Start Date]]&lt;1/1/1990,"",IF(Main[[#This Row],[Class]]="C",WORKDAY(Main[[#This Row],[Tech Start Date]],28),IF(Main[[#This Row],[Class]]="B", WORKDAY(Main[[#This Row],[Tech Start Date]],19),IF(Main[[#This Row],[Class]]="A",WORKDAY(Main[[#This Row],[Tech Start Date]],9),""))))</f>
        <v/>
      </c>
      <c r="Q700" s="85">
        <v>40385</v>
      </c>
      <c r="R700" s="112"/>
      <c r="S700" s="95" t="s">
        <v>6</v>
      </c>
      <c r="T700" s="74" t="s">
        <v>4</v>
      </c>
      <c r="U700" s="95" t="s">
        <v>7</v>
      </c>
      <c r="V700" s="95" t="s">
        <v>1911</v>
      </c>
      <c r="W700" s="95" t="s">
        <v>1913</v>
      </c>
      <c r="X700" s="95" t="s">
        <v>102</v>
      </c>
      <c r="Y700" s="72" t="s">
        <v>2970</v>
      </c>
      <c r="Z700" s="72" t="s">
        <v>4</v>
      </c>
      <c r="AA700" s="95" t="s">
        <v>129</v>
      </c>
      <c r="AB700" s="132"/>
      <c r="AC700" s="132"/>
      <c r="AD700" s="132"/>
      <c r="AE700" s="63"/>
      <c r="AF700" s="63"/>
      <c r="AG700" s="63"/>
    </row>
    <row r="701" spans="1:33" ht="17.2" customHeight="1">
      <c r="A701" s="64" t="str">
        <f>IF(priority(Main[[#This Row],[Comments]])&lt;&gt;0, priority(Main[[#This Row],[Comments]]),"")</f>
        <v/>
      </c>
      <c r="B701" s="60" t="s">
        <v>1663</v>
      </c>
      <c r="C701" s="72" t="s">
        <v>4</v>
      </c>
      <c r="D701" s="59" t="s">
        <v>728</v>
      </c>
      <c r="E701" s="85"/>
      <c r="F701" s="85"/>
      <c r="G701" s="64" t="str">
        <f>IF(stdProdLT(Main[[#This Row],[Comments]])=0.1,"N/A",IF(stdProdLT(Main[[#This Row],[Comments]])=0,"",TRIM(stdProdLT(Main[[#This Row],[Comments]]))))</f>
        <v/>
      </c>
      <c r="H701" s="94" t="str">
        <f>IF(OR(Main[[#This Row],[Std. Prod. Lead Time]]="N/A",Main[[#This Row],[Std. Prod. Lead Time]]=""), "",IF(AND(Main[[#This Row],[In Stock Date]]&lt;&gt;"",Main[[#This Row],[Revised Due Date]]&lt;&gt;"",Main[[#This Row],[In Stock Date]]&lt;&gt;""),Main[[#This Row],[In Stock Date]]-Main[[#This Row],[Revised Due Date]],""))</f>
        <v/>
      </c>
      <c r="I701" s="101" t="s">
        <v>4</v>
      </c>
      <c r="J701" s="95" t="s">
        <v>4</v>
      </c>
      <c r="K701" s="95" t="s">
        <v>4</v>
      </c>
      <c r="L701" s="85"/>
      <c r="M701" s="73" t="str">
        <f>IF(Main[[#This Row],[Tech Start Date]]&lt;1/1/1990,"",IF(Main[[#This Row],[Class]]="C",WORKDAY(Main[[#This Row],[Tech Start Date]],9),IF(Main[[#This Row],[Class]]="B", WORKDAY(Main[[#This Row],[Tech Start Date]],6),IF(Main[[#This Row],[Class]]="A",WORKDAY(Main[[#This Row],[Tech Start Date]],2),""))))</f>
        <v/>
      </c>
      <c r="N701" s="73" t="str">
        <f>IF(Main[[#This Row],[Tech Start Date]]&lt;1/1/1990,"",IF(Main[[#This Row],[Class]]="C",WORKDAY(Main[[#This Row],[Tech Start Date]],19),IF(Main[[#This Row],[Class]]="B", WORKDAY(Main[[#This Row],[Tech Start Date]],12),IF(Main[[#This Row],[Class]]="A",WORKDAY(Main[[#This Row],[Tech Start Date]],4),""))))</f>
        <v/>
      </c>
      <c r="O701" s="73" t="str">
        <f>IF(Main[[#This Row],[Tech Start Date]]&lt;1/1/1990,"",IF(Main[[#This Row],[Class]]="C",WORKDAY(Main[[#This Row],[Tech Start Date]],23),IF(Main[[#This Row],[Class]]="B", WORKDAY(Main[[#This Row],[Tech Start Date]],15),IF(Main[[#This Row],[Class]]="A",WORKDAY(Main[[#This Row],[Tech Start Date]],5),""))))</f>
        <v/>
      </c>
      <c r="P701" s="73" t="str">
        <f>IF(Main[[#This Row],[Tech Start Date]]&lt;1/1/1990,"",IF(Main[[#This Row],[Class]]="C",WORKDAY(Main[[#This Row],[Tech Start Date]],28),IF(Main[[#This Row],[Class]]="B", WORKDAY(Main[[#This Row],[Tech Start Date]],19),IF(Main[[#This Row],[Class]]="A",WORKDAY(Main[[#This Row],[Tech Start Date]],9),""))))</f>
        <v/>
      </c>
      <c r="Q701" s="85"/>
      <c r="R701" s="112"/>
      <c r="S701" s="95" t="s">
        <v>23</v>
      </c>
      <c r="T701" s="74" t="s">
        <v>4</v>
      </c>
      <c r="U701" s="95" t="s">
        <v>14</v>
      </c>
      <c r="V701" s="95" t="s">
        <v>1911</v>
      </c>
      <c r="W701" s="95" t="s">
        <v>1915</v>
      </c>
      <c r="X701" s="95" t="s">
        <v>102</v>
      </c>
      <c r="Y701" s="72" t="s">
        <v>3054</v>
      </c>
      <c r="Z701" s="72" t="s">
        <v>4</v>
      </c>
      <c r="AA701" s="95" t="s">
        <v>3384</v>
      </c>
      <c r="AB701" s="132"/>
      <c r="AC701" s="132"/>
      <c r="AD701" s="132"/>
      <c r="AE701" s="63"/>
      <c r="AF701" s="63"/>
      <c r="AG701" s="63"/>
    </row>
    <row r="702" spans="1:33" ht="17.2" customHeight="1">
      <c r="A702" s="64" t="str">
        <f>IF(priority(Main[[#This Row],[Comments]])&lt;&gt;0, priority(Main[[#This Row],[Comments]]),"")</f>
        <v/>
      </c>
      <c r="B702" s="60" t="s">
        <v>1530</v>
      </c>
      <c r="C702" s="72" t="s">
        <v>33</v>
      </c>
      <c r="D702" s="59" t="s">
        <v>613</v>
      </c>
      <c r="E702" s="85"/>
      <c r="F702" s="85">
        <v>40252</v>
      </c>
      <c r="G702" s="64" t="str">
        <f>IF(stdProdLT(Main[[#This Row],[Comments]])=0.1,"N/A",IF(stdProdLT(Main[[#This Row],[Comments]])=0,"",TRIM(stdProdLT(Main[[#This Row],[Comments]]))))</f>
        <v/>
      </c>
      <c r="H702" s="94" t="str">
        <f>IF(OR(Main[[#This Row],[Std. Prod. Lead Time]]="N/A",Main[[#This Row],[Std. Prod. Lead Time]]=""), "",IF(AND(Main[[#This Row],[In Stock Date]]&lt;&gt;"",Main[[#This Row],[Revised Due Date]]&lt;&gt;"",Main[[#This Row],[In Stock Date]]&lt;&gt;""),Main[[#This Row],[In Stock Date]]-Main[[#This Row],[Revised Due Date]],""))</f>
        <v/>
      </c>
      <c r="I702" s="101" t="s">
        <v>4</v>
      </c>
      <c r="J702" s="95" t="s">
        <v>4</v>
      </c>
      <c r="K702" s="95" t="s">
        <v>4</v>
      </c>
      <c r="L702" s="85"/>
      <c r="M702" s="73" t="str">
        <f>IF(Main[[#This Row],[Tech Start Date]]&lt;1/1/1990,"",IF(Main[[#This Row],[Class]]="C",WORKDAY(Main[[#This Row],[Tech Start Date]],9),IF(Main[[#This Row],[Class]]="B", WORKDAY(Main[[#This Row],[Tech Start Date]],6),IF(Main[[#This Row],[Class]]="A",WORKDAY(Main[[#This Row],[Tech Start Date]],2),""))))</f>
        <v/>
      </c>
      <c r="N702" s="73" t="str">
        <f>IF(Main[[#This Row],[Tech Start Date]]&lt;1/1/1990,"",IF(Main[[#This Row],[Class]]="C",WORKDAY(Main[[#This Row],[Tech Start Date]],19),IF(Main[[#This Row],[Class]]="B", WORKDAY(Main[[#This Row],[Tech Start Date]],12),IF(Main[[#This Row],[Class]]="A",WORKDAY(Main[[#This Row],[Tech Start Date]],4),""))))</f>
        <v/>
      </c>
      <c r="O702" s="73" t="str">
        <f>IF(Main[[#This Row],[Tech Start Date]]&lt;1/1/1990,"",IF(Main[[#This Row],[Class]]="C",WORKDAY(Main[[#This Row],[Tech Start Date]],23),IF(Main[[#This Row],[Class]]="B", WORKDAY(Main[[#This Row],[Tech Start Date]],15),IF(Main[[#This Row],[Class]]="A",WORKDAY(Main[[#This Row],[Tech Start Date]],5),""))))</f>
        <v/>
      </c>
      <c r="P702" s="73" t="str">
        <f>IF(Main[[#This Row],[Tech Start Date]]&lt;1/1/1990,"",IF(Main[[#This Row],[Class]]="C",WORKDAY(Main[[#This Row],[Tech Start Date]],28),IF(Main[[#This Row],[Class]]="B", WORKDAY(Main[[#This Row],[Tech Start Date]],19),IF(Main[[#This Row],[Class]]="A",WORKDAY(Main[[#This Row],[Tech Start Date]],9),""))))</f>
        <v/>
      </c>
      <c r="Q702" s="85">
        <v>40227</v>
      </c>
      <c r="R702" s="112"/>
      <c r="S702" s="95" t="s">
        <v>11</v>
      </c>
      <c r="T702" s="74" t="s">
        <v>4</v>
      </c>
      <c r="U702" s="95" t="s">
        <v>14</v>
      </c>
      <c r="V702" s="95" t="s">
        <v>1914</v>
      </c>
      <c r="W702" s="95" t="s">
        <v>1916</v>
      </c>
      <c r="X702" s="95" t="s">
        <v>2830</v>
      </c>
      <c r="Y702" s="72" t="s">
        <v>4</v>
      </c>
      <c r="Z702" s="72" t="s">
        <v>4</v>
      </c>
      <c r="AA702" s="95" t="s">
        <v>2830</v>
      </c>
      <c r="AB702" s="132"/>
      <c r="AC702" s="132"/>
      <c r="AD702" s="132"/>
      <c r="AE702" s="63"/>
      <c r="AF702" s="63"/>
      <c r="AG702" s="63"/>
    </row>
    <row r="703" spans="1:33" ht="17.2" customHeight="1">
      <c r="A703" s="64" t="str">
        <f>IF(priority(Main[[#This Row],[Comments]])&lt;&gt;0, priority(Main[[#This Row],[Comments]]),"")</f>
        <v/>
      </c>
      <c r="B703" s="60" t="s">
        <v>1531</v>
      </c>
      <c r="C703" s="72" t="s">
        <v>4</v>
      </c>
      <c r="D703" s="59" t="s">
        <v>614</v>
      </c>
      <c r="E703" s="85"/>
      <c r="F703" s="85"/>
      <c r="G703" s="64" t="str">
        <f>IF(stdProdLT(Main[[#This Row],[Comments]])=0.1,"N/A",IF(stdProdLT(Main[[#This Row],[Comments]])=0,"",TRIM(stdProdLT(Main[[#This Row],[Comments]]))))</f>
        <v/>
      </c>
      <c r="H703" s="94" t="str">
        <f>IF(OR(Main[[#This Row],[Std. Prod. Lead Time]]="N/A",Main[[#This Row],[Std. Prod. Lead Time]]=""), "",IF(AND(Main[[#This Row],[In Stock Date]]&lt;&gt;"",Main[[#This Row],[Revised Due Date]]&lt;&gt;"",Main[[#This Row],[In Stock Date]]&lt;&gt;""),Main[[#This Row],[In Stock Date]]-Main[[#This Row],[Revised Due Date]],""))</f>
        <v/>
      </c>
      <c r="I703" s="101" t="s">
        <v>4</v>
      </c>
      <c r="J703" s="95" t="s">
        <v>28</v>
      </c>
      <c r="K703" s="95" t="s">
        <v>1920</v>
      </c>
      <c r="L703" s="85"/>
      <c r="M703" s="73" t="str">
        <f>IF(Main[[#This Row],[Tech Start Date]]&lt;1/1/1990,"",IF(Main[[#This Row],[Class]]="C",WORKDAY(Main[[#This Row],[Tech Start Date]],9),IF(Main[[#This Row],[Class]]="B", WORKDAY(Main[[#This Row],[Tech Start Date]],6),IF(Main[[#This Row],[Class]]="A",WORKDAY(Main[[#This Row],[Tech Start Date]],2),""))))</f>
        <v/>
      </c>
      <c r="N703" s="73" t="str">
        <f>IF(Main[[#This Row],[Tech Start Date]]&lt;1/1/1990,"",IF(Main[[#This Row],[Class]]="C",WORKDAY(Main[[#This Row],[Tech Start Date]],19),IF(Main[[#This Row],[Class]]="B", WORKDAY(Main[[#This Row],[Tech Start Date]],12),IF(Main[[#This Row],[Class]]="A",WORKDAY(Main[[#This Row],[Tech Start Date]],4),""))))</f>
        <v/>
      </c>
      <c r="O703" s="73" t="str">
        <f>IF(Main[[#This Row],[Tech Start Date]]&lt;1/1/1990,"",IF(Main[[#This Row],[Class]]="C",WORKDAY(Main[[#This Row],[Tech Start Date]],23),IF(Main[[#This Row],[Class]]="B", WORKDAY(Main[[#This Row],[Tech Start Date]],15),IF(Main[[#This Row],[Class]]="A",WORKDAY(Main[[#This Row],[Tech Start Date]],5),""))))</f>
        <v/>
      </c>
      <c r="P703" s="73" t="str">
        <f>IF(Main[[#This Row],[Tech Start Date]]&lt;1/1/1990,"",IF(Main[[#This Row],[Class]]="C",WORKDAY(Main[[#This Row],[Tech Start Date]],28),IF(Main[[#This Row],[Class]]="B", WORKDAY(Main[[#This Row],[Tech Start Date]],19),IF(Main[[#This Row],[Class]]="A",WORKDAY(Main[[#This Row],[Tech Start Date]],9),""))))</f>
        <v/>
      </c>
      <c r="Q703" s="85">
        <v>40387</v>
      </c>
      <c r="R703" s="112"/>
      <c r="S703" s="95" t="s">
        <v>6</v>
      </c>
      <c r="T703" s="74" t="s">
        <v>4</v>
      </c>
      <c r="U703" s="95" t="s">
        <v>14</v>
      </c>
      <c r="V703" s="95" t="s">
        <v>1911</v>
      </c>
      <c r="W703" s="95" t="s">
        <v>1916</v>
      </c>
      <c r="X703" s="95" t="s">
        <v>129</v>
      </c>
      <c r="Y703" s="72" t="s">
        <v>3055</v>
      </c>
      <c r="Z703" s="72" t="s">
        <v>129</v>
      </c>
      <c r="AA703" s="95" t="s">
        <v>129</v>
      </c>
      <c r="AB703" s="132"/>
      <c r="AC703" s="132"/>
      <c r="AD703" s="132"/>
      <c r="AE703" s="63"/>
      <c r="AF703" s="63"/>
      <c r="AG703" s="63"/>
    </row>
    <row r="704" spans="1:33" ht="17.2" customHeight="1">
      <c r="A704" s="64" t="str">
        <f>IF(priority(Main[[#This Row],[Comments]])&lt;&gt;0, priority(Main[[#This Row],[Comments]]),"")</f>
        <v/>
      </c>
      <c r="B704" s="60" t="s">
        <v>1532</v>
      </c>
      <c r="C704" s="72" t="s">
        <v>211</v>
      </c>
      <c r="D704" s="59" t="s">
        <v>413</v>
      </c>
      <c r="E704" s="85"/>
      <c r="F704" s="85">
        <v>40391</v>
      </c>
      <c r="G704" s="64" t="str">
        <f>IF(stdProdLT(Main[[#This Row],[Comments]])=0.1,"N/A",IF(stdProdLT(Main[[#This Row],[Comments]])=0,"",TRIM(stdProdLT(Main[[#This Row],[Comments]]))))</f>
        <v/>
      </c>
      <c r="H704" s="94" t="str">
        <f>IF(OR(Main[[#This Row],[Std. Prod. Lead Time]]="N/A",Main[[#This Row],[Std. Prod. Lead Time]]=""), "",IF(AND(Main[[#This Row],[In Stock Date]]&lt;&gt;"",Main[[#This Row],[Revised Due Date]]&lt;&gt;"",Main[[#This Row],[In Stock Date]]&lt;&gt;""),Main[[#This Row],[In Stock Date]]-Main[[#This Row],[Revised Due Date]],""))</f>
        <v/>
      </c>
      <c r="I704" s="101" t="s">
        <v>4</v>
      </c>
      <c r="J704" s="95" t="s">
        <v>4</v>
      </c>
      <c r="K704" s="95" t="s">
        <v>4</v>
      </c>
      <c r="L704" s="85"/>
      <c r="M704" s="73" t="str">
        <f>IF(Main[[#This Row],[Tech Start Date]]&lt;1/1/1990,"",IF(Main[[#This Row],[Class]]="C",WORKDAY(Main[[#This Row],[Tech Start Date]],9),IF(Main[[#This Row],[Class]]="B", WORKDAY(Main[[#This Row],[Tech Start Date]],6),IF(Main[[#This Row],[Class]]="A",WORKDAY(Main[[#This Row],[Tech Start Date]],2),""))))</f>
        <v/>
      </c>
      <c r="N704" s="73" t="str">
        <f>IF(Main[[#This Row],[Tech Start Date]]&lt;1/1/1990,"",IF(Main[[#This Row],[Class]]="C",WORKDAY(Main[[#This Row],[Tech Start Date]],19),IF(Main[[#This Row],[Class]]="B", WORKDAY(Main[[#This Row],[Tech Start Date]],12),IF(Main[[#This Row],[Class]]="A",WORKDAY(Main[[#This Row],[Tech Start Date]],4),""))))</f>
        <v/>
      </c>
      <c r="O704" s="73" t="str">
        <f>IF(Main[[#This Row],[Tech Start Date]]&lt;1/1/1990,"",IF(Main[[#This Row],[Class]]="C",WORKDAY(Main[[#This Row],[Tech Start Date]],23),IF(Main[[#This Row],[Class]]="B", WORKDAY(Main[[#This Row],[Tech Start Date]],15),IF(Main[[#This Row],[Class]]="A",WORKDAY(Main[[#This Row],[Tech Start Date]],5),""))))</f>
        <v/>
      </c>
      <c r="P704" s="73" t="str">
        <f>IF(Main[[#This Row],[Tech Start Date]]&lt;1/1/1990,"",IF(Main[[#This Row],[Class]]="C",WORKDAY(Main[[#This Row],[Tech Start Date]],28),IF(Main[[#This Row],[Class]]="B", WORKDAY(Main[[#This Row],[Tech Start Date]],19),IF(Main[[#This Row],[Class]]="A",WORKDAY(Main[[#This Row],[Tech Start Date]],9),""))))</f>
        <v/>
      </c>
      <c r="Q704" s="85">
        <v>40296</v>
      </c>
      <c r="R704" s="112"/>
      <c r="S704" s="95" t="s">
        <v>11</v>
      </c>
      <c r="T704" s="74" t="s">
        <v>4</v>
      </c>
      <c r="U704" s="95" t="s">
        <v>12</v>
      </c>
      <c r="V704" s="95" t="s">
        <v>1911</v>
      </c>
      <c r="W704" s="95" t="s">
        <v>1919</v>
      </c>
      <c r="X704" s="95" t="s">
        <v>2813</v>
      </c>
      <c r="Y704" s="72" t="s">
        <v>4</v>
      </c>
      <c r="Z704" s="72" t="s">
        <v>4</v>
      </c>
      <c r="AA704" s="95" t="s">
        <v>2813</v>
      </c>
      <c r="AB704" s="132"/>
      <c r="AC704" s="132"/>
      <c r="AD704" s="132"/>
      <c r="AE704" s="63"/>
      <c r="AF704" s="63"/>
      <c r="AG704" s="63"/>
    </row>
    <row r="705" spans="1:33" ht="17.2" customHeight="1">
      <c r="A705" s="64" t="str">
        <f>IF(priority(Main[[#This Row],[Comments]])&lt;&gt;0, priority(Main[[#This Row],[Comments]]),"")</f>
        <v/>
      </c>
      <c r="B705" s="60" t="s">
        <v>1533</v>
      </c>
      <c r="C705" s="72" t="s">
        <v>211</v>
      </c>
      <c r="D705" s="59" t="s">
        <v>413</v>
      </c>
      <c r="E705" s="85"/>
      <c r="F705" s="85">
        <v>40452</v>
      </c>
      <c r="G705" s="64" t="str">
        <f>IF(stdProdLT(Main[[#This Row],[Comments]])=0.1,"N/A",IF(stdProdLT(Main[[#This Row],[Comments]])=0,"",TRIM(stdProdLT(Main[[#This Row],[Comments]]))))</f>
        <v/>
      </c>
      <c r="H705" s="94" t="str">
        <f>IF(OR(Main[[#This Row],[Std. Prod. Lead Time]]="N/A",Main[[#This Row],[Std. Prod. Lead Time]]=""), "",IF(AND(Main[[#This Row],[In Stock Date]]&lt;&gt;"",Main[[#This Row],[Revised Due Date]]&lt;&gt;"",Main[[#This Row],[In Stock Date]]&lt;&gt;""),Main[[#This Row],[In Stock Date]]-Main[[#This Row],[Revised Due Date]],""))</f>
        <v/>
      </c>
      <c r="I705" s="101" t="s">
        <v>4</v>
      </c>
      <c r="J705" s="95" t="s">
        <v>4</v>
      </c>
      <c r="K705" s="96" t="s">
        <v>4</v>
      </c>
      <c r="L705" s="85"/>
      <c r="M705" s="73" t="str">
        <f>IF(Main[[#This Row],[Tech Start Date]]&lt;1/1/1990,"",IF(Main[[#This Row],[Class]]="C",WORKDAY(Main[[#This Row],[Tech Start Date]],9),IF(Main[[#This Row],[Class]]="B", WORKDAY(Main[[#This Row],[Tech Start Date]],6),IF(Main[[#This Row],[Class]]="A",WORKDAY(Main[[#This Row],[Tech Start Date]],2),""))))</f>
        <v/>
      </c>
      <c r="N705" s="73" t="str">
        <f>IF(Main[[#This Row],[Tech Start Date]]&lt;1/1/1990,"",IF(Main[[#This Row],[Class]]="C",WORKDAY(Main[[#This Row],[Tech Start Date]],19),IF(Main[[#This Row],[Class]]="B", WORKDAY(Main[[#This Row],[Tech Start Date]],12),IF(Main[[#This Row],[Class]]="A",WORKDAY(Main[[#This Row],[Tech Start Date]],4),""))))</f>
        <v/>
      </c>
      <c r="O705" s="73" t="str">
        <f>IF(Main[[#This Row],[Tech Start Date]]&lt;1/1/1990,"",IF(Main[[#This Row],[Class]]="C",WORKDAY(Main[[#This Row],[Tech Start Date]],23),IF(Main[[#This Row],[Class]]="B", WORKDAY(Main[[#This Row],[Tech Start Date]],15),IF(Main[[#This Row],[Class]]="A",WORKDAY(Main[[#This Row],[Tech Start Date]],5),""))))</f>
        <v/>
      </c>
      <c r="P705" s="73" t="str">
        <f>IF(Main[[#This Row],[Tech Start Date]]&lt;1/1/1990,"",IF(Main[[#This Row],[Class]]="C",WORKDAY(Main[[#This Row],[Tech Start Date]],28),IF(Main[[#This Row],[Class]]="B", WORKDAY(Main[[#This Row],[Tech Start Date]],19),IF(Main[[#This Row],[Class]]="A",WORKDAY(Main[[#This Row],[Tech Start Date]],9),""))))</f>
        <v/>
      </c>
      <c r="Q705" s="85">
        <v>40357</v>
      </c>
      <c r="R705" s="112"/>
      <c r="S705" s="95" t="s">
        <v>11</v>
      </c>
      <c r="T705" s="74" t="s">
        <v>4</v>
      </c>
      <c r="U705" s="95" t="s">
        <v>12</v>
      </c>
      <c r="V705" s="95" t="s">
        <v>1911</v>
      </c>
      <c r="W705" s="95" t="s">
        <v>1919</v>
      </c>
      <c r="X705" s="95" t="s">
        <v>2813</v>
      </c>
      <c r="Y705" s="72" t="s">
        <v>4</v>
      </c>
      <c r="Z705" s="72" t="s">
        <v>4</v>
      </c>
      <c r="AA705" s="95" t="s">
        <v>2813</v>
      </c>
      <c r="AB705" s="132"/>
      <c r="AC705" s="132"/>
      <c r="AD705" s="132"/>
      <c r="AE705" s="63"/>
      <c r="AF705" s="63"/>
      <c r="AG705" s="63"/>
    </row>
    <row r="706" spans="1:33" ht="17.2" customHeight="1">
      <c r="A706" s="64" t="str">
        <f>IF(priority(Main[[#This Row],[Comments]])&lt;&gt;0, priority(Main[[#This Row],[Comments]]),"")</f>
        <v/>
      </c>
      <c r="B706" s="60" t="s">
        <v>1534</v>
      </c>
      <c r="C706" s="72" t="s">
        <v>211</v>
      </c>
      <c r="D706" s="59" t="s">
        <v>212</v>
      </c>
      <c r="E706" s="85"/>
      <c r="F706" s="85">
        <v>40452</v>
      </c>
      <c r="G706" s="64" t="str">
        <f>IF(stdProdLT(Main[[#This Row],[Comments]])=0.1,"N/A",IF(stdProdLT(Main[[#This Row],[Comments]])=0,"",TRIM(stdProdLT(Main[[#This Row],[Comments]]))))</f>
        <v/>
      </c>
      <c r="H706" s="94" t="str">
        <f>IF(OR(Main[[#This Row],[Std. Prod. Lead Time]]="N/A",Main[[#This Row],[Std. Prod. Lead Time]]=""), "",IF(AND(Main[[#This Row],[In Stock Date]]&lt;&gt;"",Main[[#This Row],[Revised Due Date]]&lt;&gt;"",Main[[#This Row],[In Stock Date]]&lt;&gt;""),Main[[#This Row],[In Stock Date]]-Main[[#This Row],[Revised Due Date]],""))</f>
        <v/>
      </c>
      <c r="I706" s="101" t="s">
        <v>4</v>
      </c>
      <c r="J706" s="95" t="s">
        <v>4</v>
      </c>
      <c r="K706" s="95" t="s">
        <v>4</v>
      </c>
      <c r="L706" s="85"/>
      <c r="M706" s="73" t="str">
        <f>IF(Main[[#This Row],[Tech Start Date]]&lt;1/1/1990,"",IF(Main[[#This Row],[Class]]="C",WORKDAY(Main[[#This Row],[Tech Start Date]],9),IF(Main[[#This Row],[Class]]="B", WORKDAY(Main[[#This Row],[Tech Start Date]],6),IF(Main[[#This Row],[Class]]="A",WORKDAY(Main[[#This Row],[Tech Start Date]],2),""))))</f>
        <v/>
      </c>
      <c r="N706" s="73" t="str">
        <f>IF(Main[[#This Row],[Tech Start Date]]&lt;1/1/1990,"",IF(Main[[#This Row],[Class]]="C",WORKDAY(Main[[#This Row],[Tech Start Date]],19),IF(Main[[#This Row],[Class]]="B", WORKDAY(Main[[#This Row],[Tech Start Date]],12),IF(Main[[#This Row],[Class]]="A",WORKDAY(Main[[#This Row],[Tech Start Date]],4),""))))</f>
        <v/>
      </c>
      <c r="O706" s="73" t="str">
        <f>IF(Main[[#This Row],[Tech Start Date]]&lt;1/1/1990,"",IF(Main[[#This Row],[Class]]="C",WORKDAY(Main[[#This Row],[Tech Start Date]],23),IF(Main[[#This Row],[Class]]="B", WORKDAY(Main[[#This Row],[Tech Start Date]],15),IF(Main[[#This Row],[Class]]="A",WORKDAY(Main[[#This Row],[Tech Start Date]],5),""))))</f>
        <v/>
      </c>
      <c r="P706" s="73" t="str">
        <f>IF(Main[[#This Row],[Tech Start Date]]&lt;1/1/1990,"",IF(Main[[#This Row],[Class]]="C",WORKDAY(Main[[#This Row],[Tech Start Date]],28),IF(Main[[#This Row],[Class]]="B", WORKDAY(Main[[#This Row],[Tech Start Date]],19),IF(Main[[#This Row],[Class]]="A",WORKDAY(Main[[#This Row],[Tech Start Date]],9),""))))</f>
        <v/>
      </c>
      <c r="Q706" s="85">
        <v>40357</v>
      </c>
      <c r="R706" s="112"/>
      <c r="S706" s="95" t="s">
        <v>11</v>
      </c>
      <c r="T706" s="74" t="s">
        <v>4</v>
      </c>
      <c r="U706" s="95" t="s">
        <v>12</v>
      </c>
      <c r="V706" s="95" t="s">
        <v>1911</v>
      </c>
      <c r="W706" s="95" t="s">
        <v>1919</v>
      </c>
      <c r="X706" s="95" t="s">
        <v>2813</v>
      </c>
      <c r="Y706" s="72" t="s">
        <v>4</v>
      </c>
      <c r="Z706" s="72" t="s">
        <v>4</v>
      </c>
      <c r="AA706" s="95" t="s">
        <v>2813</v>
      </c>
      <c r="AB706" s="132"/>
      <c r="AC706" s="132"/>
      <c r="AD706" s="132"/>
      <c r="AE706" s="63"/>
      <c r="AF706" s="63"/>
      <c r="AG706" s="63"/>
    </row>
    <row r="707" spans="1:33" ht="17.2" customHeight="1">
      <c r="A707" s="64" t="str">
        <f>IF(priority(Main[[#This Row],[Comments]])&lt;&gt;0, priority(Main[[#This Row],[Comments]]),"")</f>
        <v/>
      </c>
      <c r="B707" s="60" t="s">
        <v>1535</v>
      </c>
      <c r="C707" s="72" t="s">
        <v>211</v>
      </c>
      <c r="D707" s="59" t="s">
        <v>212</v>
      </c>
      <c r="E707" s="85"/>
      <c r="F707" s="85">
        <v>40452</v>
      </c>
      <c r="G707" s="64" t="str">
        <f>IF(stdProdLT(Main[[#This Row],[Comments]])=0.1,"N/A",IF(stdProdLT(Main[[#This Row],[Comments]])=0,"",TRIM(stdProdLT(Main[[#This Row],[Comments]]))))</f>
        <v/>
      </c>
      <c r="H707" s="94" t="str">
        <f>IF(OR(Main[[#This Row],[Std. Prod. Lead Time]]="N/A",Main[[#This Row],[Std. Prod. Lead Time]]=""), "",IF(AND(Main[[#This Row],[In Stock Date]]&lt;&gt;"",Main[[#This Row],[Revised Due Date]]&lt;&gt;"",Main[[#This Row],[In Stock Date]]&lt;&gt;""),Main[[#This Row],[In Stock Date]]-Main[[#This Row],[Revised Due Date]],""))</f>
        <v/>
      </c>
      <c r="I707" s="101" t="s">
        <v>4</v>
      </c>
      <c r="J707" s="95" t="s">
        <v>4</v>
      </c>
      <c r="K707" s="95" t="s">
        <v>4</v>
      </c>
      <c r="L707" s="85"/>
      <c r="M707" s="73" t="str">
        <f>IF(Main[[#This Row],[Tech Start Date]]&lt;1/1/1990,"",IF(Main[[#This Row],[Class]]="C",WORKDAY(Main[[#This Row],[Tech Start Date]],9),IF(Main[[#This Row],[Class]]="B", WORKDAY(Main[[#This Row],[Tech Start Date]],6),IF(Main[[#This Row],[Class]]="A",WORKDAY(Main[[#This Row],[Tech Start Date]],2),""))))</f>
        <v/>
      </c>
      <c r="N707" s="73" t="str">
        <f>IF(Main[[#This Row],[Tech Start Date]]&lt;1/1/1990,"",IF(Main[[#This Row],[Class]]="C",WORKDAY(Main[[#This Row],[Tech Start Date]],19),IF(Main[[#This Row],[Class]]="B", WORKDAY(Main[[#This Row],[Tech Start Date]],12),IF(Main[[#This Row],[Class]]="A",WORKDAY(Main[[#This Row],[Tech Start Date]],4),""))))</f>
        <v/>
      </c>
      <c r="O707" s="73" t="str">
        <f>IF(Main[[#This Row],[Tech Start Date]]&lt;1/1/1990,"",IF(Main[[#This Row],[Class]]="C",WORKDAY(Main[[#This Row],[Tech Start Date]],23),IF(Main[[#This Row],[Class]]="B", WORKDAY(Main[[#This Row],[Tech Start Date]],15),IF(Main[[#This Row],[Class]]="A",WORKDAY(Main[[#This Row],[Tech Start Date]],5),""))))</f>
        <v/>
      </c>
      <c r="P707" s="73" t="str">
        <f>IF(Main[[#This Row],[Tech Start Date]]&lt;1/1/1990,"",IF(Main[[#This Row],[Class]]="C",WORKDAY(Main[[#This Row],[Tech Start Date]],28),IF(Main[[#This Row],[Class]]="B", WORKDAY(Main[[#This Row],[Tech Start Date]],19),IF(Main[[#This Row],[Class]]="A",WORKDAY(Main[[#This Row],[Tech Start Date]],9),""))))</f>
        <v/>
      </c>
      <c r="Q707" s="85">
        <v>40357</v>
      </c>
      <c r="R707" s="112"/>
      <c r="S707" s="95" t="s">
        <v>11</v>
      </c>
      <c r="T707" s="74" t="s">
        <v>4</v>
      </c>
      <c r="U707" s="95" t="s">
        <v>12</v>
      </c>
      <c r="V707" s="95" t="s">
        <v>1911</v>
      </c>
      <c r="W707" s="95" t="s">
        <v>1919</v>
      </c>
      <c r="X707" s="95" t="s">
        <v>2813</v>
      </c>
      <c r="Y707" s="72" t="s">
        <v>4</v>
      </c>
      <c r="Z707" s="72" t="s">
        <v>4</v>
      </c>
      <c r="AA707" s="95" t="s">
        <v>2813</v>
      </c>
      <c r="AB707" s="132"/>
      <c r="AC707" s="132"/>
      <c r="AD707" s="132"/>
      <c r="AE707" s="63"/>
      <c r="AF707" s="63"/>
      <c r="AG707" s="63"/>
    </row>
    <row r="708" spans="1:33" ht="17.2" customHeight="1">
      <c r="A708" s="64" t="str">
        <f>IF(priority(Main[[#This Row],[Comments]])&lt;&gt;0, priority(Main[[#This Row],[Comments]]),"")</f>
        <v/>
      </c>
      <c r="B708" s="60" t="s">
        <v>1536</v>
      </c>
      <c r="C708" s="72" t="s">
        <v>72</v>
      </c>
      <c r="D708" s="59" t="s">
        <v>615</v>
      </c>
      <c r="E708" s="85"/>
      <c r="F708" s="85"/>
      <c r="G708" s="64" t="str">
        <f>IF(stdProdLT(Main[[#This Row],[Comments]])=0.1,"N/A",IF(stdProdLT(Main[[#This Row],[Comments]])=0,"",TRIM(stdProdLT(Main[[#This Row],[Comments]]))))</f>
        <v/>
      </c>
      <c r="H708" s="94" t="str">
        <f>IF(OR(Main[[#This Row],[Std. Prod. Lead Time]]="N/A",Main[[#This Row],[Std. Prod. Lead Time]]=""), "",IF(AND(Main[[#This Row],[In Stock Date]]&lt;&gt;"",Main[[#This Row],[Revised Due Date]]&lt;&gt;"",Main[[#This Row],[In Stock Date]]&lt;&gt;""),Main[[#This Row],[In Stock Date]]-Main[[#This Row],[Revised Due Date]],""))</f>
        <v/>
      </c>
      <c r="I708" s="101" t="s">
        <v>4</v>
      </c>
      <c r="J708" s="95" t="s">
        <v>4</v>
      </c>
      <c r="K708" s="95" t="s">
        <v>4</v>
      </c>
      <c r="L708" s="85"/>
      <c r="M708" s="73" t="str">
        <f>IF(Main[[#This Row],[Tech Start Date]]&lt;1/1/1990,"",IF(Main[[#This Row],[Class]]="C",WORKDAY(Main[[#This Row],[Tech Start Date]],9),IF(Main[[#This Row],[Class]]="B", WORKDAY(Main[[#This Row],[Tech Start Date]],6),IF(Main[[#This Row],[Class]]="A",WORKDAY(Main[[#This Row],[Tech Start Date]],2),""))))</f>
        <v/>
      </c>
      <c r="N708" s="73" t="str">
        <f>IF(Main[[#This Row],[Tech Start Date]]&lt;1/1/1990,"",IF(Main[[#This Row],[Class]]="C",WORKDAY(Main[[#This Row],[Tech Start Date]],19),IF(Main[[#This Row],[Class]]="B", WORKDAY(Main[[#This Row],[Tech Start Date]],12),IF(Main[[#This Row],[Class]]="A",WORKDAY(Main[[#This Row],[Tech Start Date]],4),""))))</f>
        <v/>
      </c>
      <c r="O708" s="73" t="str">
        <f>IF(Main[[#This Row],[Tech Start Date]]&lt;1/1/1990,"",IF(Main[[#This Row],[Class]]="C",WORKDAY(Main[[#This Row],[Tech Start Date]],23),IF(Main[[#This Row],[Class]]="B", WORKDAY(Main[[#This Row],[Tech Start Date]],15),IF(Main[[#This Row],[Class]]="A",WORKDAY(Main[[#This Row],[Tech Start Date]],5),""))))</f>
        <v/>
      </c>
      <c r="P708" s="73" t="str">
        <f>IF(Main[[#This Row],[Tech Start Date]]&lt;1/1/1990,"",IF(Main[[#This Row],[Class]]="C",WORKDAY(Main[[#This Row],[Tech Start Date]],28),IF(Main[[#This Row],[Class]]="B", WORKDAY(Main[[#This Row],[Tech Start Date]],19),IF(Main[[#This Row],[Class]]="A",WORKDAY(Main[[#This Row],[Tech Start Date]],9),""))))</f>
        <v/>
      </c>
      <c r="Q708" s="85"/>
      <c r="R708" s="112"/>
      <c r="S708" s="95" t="s">
        <v>11</v>
      </c>
      <c r="T708" s="74" t="s">
        <v>4</v>
      </c>
      <c r="U708" s="95" t="s">
        <v>14</v>
      </c>
      <c r="V708" s="95" t="s">
        <v>1912</v>
      </c>
      <c r="W708" s="95" t="s">
        <v>1919</v>
      </c>
      <c r="X708" s="95" t="s">
        <v>2807</v>
      </c>
      <c r="Y708" s="72" t="s">
        <v>2926</v>
      </c>
      <c r="Z708" s="72" t="s">
        <v>4</v>
      </c>
      <c r="AA708" s="95" t="s">
        <v>2807</v>
      </c>
      <c r="AB708" s="132"/>
      <c r="AC708" s="132"/>
      <c r="AD708" s="132"/>
      <c r="AE708" s="63"/>
      <c r="AF708" s="63"/>
      <c r="AG708" s="63"/>
    </row>
    <row r="709" spans="1:33" ht="17.2" customHeight="1">
      <c r="A709" s="64" t="str">
        <f>IF(priority(Main[[#This Row],[Comments]])&lt;&gt;0, priority(Main[[#This Row],[Comments]]),"")</f>
        <v/>
      </c>
      <c r="B709" s="60" t="s">
        <v>1537</v>
      </c>
      <c r="C709" s="72" t="s">
        <v>33</v>
      </c>
      <c r="D709" s="59" t="s">
        <v>616</v>
      </c>
      <c r="E709" s="85"/>
      <c r="F709" s="85"/>
      <c r="G709" s="64" t="str">
        <f>IF(stdProdLT(Main[[#This Row],[Comments]])=0.1,"N/A",IF(stdProdLT(Main[[#This Row],[Comments]])=0,"",TRIM(stdProdLT(Main[[#This Row],[Comments]]))))</f>
        <v/>
      </c>
      <c r="H709" s="94" t="str">
        <f>IF(OR(Main[[#This Row],[Std. Prod. Lead Time]]="N/A",Main[[#This Row],[Std. Prod. Lead Time]]=""), "",IF(AND(Main[[#This Row],[In Stock Date]]&lt;&gt;"",Main[[#This Row],[Revised Due Date]]&lt;&gt;"",Main[[#This Row],[In Stock Date]]&lt;&gt;""),Main[[#This Row],[In Stock Date]]-Main[[#This Row],[Revised Due Date]],""))</f>
        <v/>
      </c>
      <c r="I709" s="101" t="s">
        <v>4</v>
      </c>
      <c r="J709" s="95" t="s">
        <v>4</v>
      </c>
      <c r="K709" s="96" t="s">
        <v>4</v>
      </c>
      <c r="L709" s="85"/>
      <c r="M709" s="73" t="str">
        <f>IF(Main[[#This Row],[Tech Start Date]]&lt;1/1/1990,"",IF(Main[[#This Row],[Class]]="C",WORKDAY(Main[[#This Row],[Tech Start Date]],9),IF(Main[[#This Row],[Class]]="B", WORKDAY(Main[[#This Row],[Tech Start Date]],6),IF(Main[[#This Row],[Class]]="A",WORKDAY(Main[[#This Row],[Tech Start Date]],2),""))))</f>
        <v/>
      </c>
      <c r="N709" s="73" t="str">
        <f>IF(Main[[#This Row],[Tech Start Date]]&lt;1/1/1990,"",IF(Main[[#This Row],[Class]]="C",WORKDAY(Main[[#This Row],[Tech Start Date]],19),IF(Main[[#This Row],[Class]]="B", WORKDAY(Main[[#This Row],[Tech Start Date]],12),IF(Main[[#This Row],[Class]]="A",WORKDAY(Main[[#This Row],[Tech Start Date]],4),""))))</f>
        <v/>
      </c>
      <c r="O709" s="73" t="str">
        <f>IF(Main[[#This Row],[Tech Start Date]]&lt;1/1/1990,"",IF(Main[[#This Row],[Class]]="C",WORKDAY(Main[[#This Row],[Tech Start Date]],23),IF(Main[[#This Row],[Class]]="B", WORKDAY(Main[[#This Row],[Tech Start Date]],15),IF(Main[[#This Row],[Class]]="A",WORKDAY(Main[[#This Row],[Tech Start Date]],5),""))))</f>
        <v/>
      </c>
      <c r="P709" s="73" t="str">
        <f>IF(Main[[#This Row],[Tech Start Date]]&lt;1/1/1990,"",IF(Main[[#This Row],[Class]]="C",WORKDAY(Main[[#This Row],[Tech Start Date]],28),IF(Main[[#This Row],[Class]]="B", WORKDAY(Main[[#This Row],[Tech Start Date]],19),IF(Main[[#This Row],[Class]]="A",WORKDAY(Main[[#This Row],[Tech Start Date]],9),""))))</f>
        <v/>
      </c>
      <c r="Q709" s="85"/>
      <c r="R709" s="112"/>
      <c r="S709" s="95" t="s">
        <v>11</v>
      </c>
      <c r="T709" s="74" t="s">
        <v>4</v>
      </c>
      <c r="U709" s="95" t="s">
        <v>14</v>
      </c>
      <c r="V709" s="95" t="s">
        <v>1912</v>
      </c>
      <c r="W709" s="95" t="s">
        <v>1919</v>
      </c>
      <c r="X709" s="95" t="s">
        <v>2807</v>
      </c>
      <c r="Y709" s="72" t="s">
        <v>2926</v>
      </c>
      <c r="Z709" s="72" t="s">
        <v>4</v>
      </c>
      <c r="AA709" s="95" t="s">
        <v>2807</v>
      </c>
      <c r="AB709" s="132"/>
      <c r="AC709" s="132"/>
      <c r="AD709" s="132"/>
      <c r="AE709" s="63"/>
      <c r="AF709" s="63"/>
      <c r="AG709" s="63"/>
    </row>
    <row r="710" spans="1:33" ht="17.2" customHeight="1">
      <c r="A710" s="64" t="str">
        <f>IF(priority(Main[[#This Row],[Comments]])&lt;&gt;0, priority(Main[[#This Row],[Comments]]),"")</f>
        <v/>
      </c>
      <c r="B710" s="60" t="s">
        <v>1538</v>
      </c>
      <c r="C710" s="72" t="s">
        <v>33</v>
      </c>
      <c r="D710" s="59" t="s">
        <v>617</v>
      </c>
      <c r="E710" s="85"/>
      <c r="F710" s="85"/>
      <c r="G710" s="64" t="str">
        <f>IF(stdProdLT(Main[[#This Row],[Comments]])=0.1,"N/A",IF(stdProdLT(Main[[#This Row],[Comments]])=0,"",TRIM(stdProdLT(Main[[#This Row],[Comments]]))))</f>
        <v/>
      </c>
      <c r="H710" s="94" t="str">
        <f>IF(OR(Main[[#This Row],[Std. Prod. Lead Time]]="N/A",Main[[#This Row],[Std. Prod. Lead Time]]=""), "",IF(AND(Main[[#This Row],[In Stock Date]]&lt;&gt;"",Main[[#This Row],[Revised Due Date]]&lt;&gt;"",Main[[#This Row],[In Stock Date]]&lt;&gt;""),Main[[#This Row],[In Stock Date]]-Main[[#This Row],[Revised Due Date]],""))</f>
        <v/>
      </c>
      <c r="I710" s="101" t="s">
        <v>4</v>
      </c>
      <c r="J710" s="95" t="s">
        <v>4</v>
      </c>
      <c r="K710" s="95" t="s">
        <v>4</v>
      </c>
      <c r="L710" s="85"/>
      <c r="M710" s="73" t="str">
        <f>IF(Main[[#This Row],[Tech Start Date]]&lt;1/1/1990,"",IF(Main[[#This Row],[Class]]="C",WORKDAY(Main[[#This Row],[Tech Start Date]],9),IF(Main[[#This Row],[Class]]="B", WORKDAY(Main[[#This Row],[Tech Start Date]],6),IF(Main[[#This Row],[Class]]="A",WORKDAY(Main[[#This Row],[Tech Start Date]],2),""))))</f>
        <v/>
      </c>
      <c r="N710" s="73" t="str">
        <f>IF(Main[[#This Row],[Tech Start Date]]&lt;1/1/1990,"",IF(Main[[#This Row],[Class]]="C",WORKDAY(Main[[#This Row],[Tech Start Date]],19),IF(Main[[#This Row],[Class]]="B", WORKDAY(Main[[#This Row],[Tech Start Date]],12),IF(Main[[#This Row],[Class]]="A",WORKDAY(Main[[#This Row],[Tech Start Date]],4),""))))</f>
        <v/>
      </c>
      <c r="O710" s="73" t="str">
        <f>IF(Main[[#This Row],[Tech Start Date]]&lt;1/1/1990,"",IF(Main[[#This Row],[Class]]="C",WORKDAY(Main[[#This Row],[Tech Start Date]],23),IF(Main[[#This Row],[Class]]="B", WORKDAY(Main[[#This Row],[Tech Start Date]],15),IF(Main[[#This Row],[Class]]="A",WORKDAY(Main[[#This Row],[Tech Start Date]],5),""))))</f>
        <v/>
      </c>
      <c r="P710" s="73" t="str">
        <f>IF(Main[[#This Row],[Tech Start Date]]&lt;1/1/1990,"",IF(Main[[#This Row],[Class]]="C",WORKDAY(Main[[#This Row],[Tech Start Date]],28),IF(Main[[#This Row],[Class]]="B", WORKDAY(Main[[#This Row],[Tech Start Date]],19),IF(Main[[#This Row],[Class]]="A",WORKDAY(Main[[#This Row],[Tech Start Date]],9),""))))</f>
        <v/>
      </c>
      <c r="Q710" s="85"/>
      <c r="R710" s="112"/>
      <c r="S710" s="95" t="s">
        <v>11</v>
      </c>
      <c r="T710" s="74" t="s">
        <v>4</v>
      </c>
      <c r="U710" s="95" t="s">
        <v>14</v>
      </c>
      <c r="V710" s="95" t="s">
        <v>1912</v>
      </c>
      <c r="W710" s="95" t="s">
        <v>1919</v>
      </c>
      <c r="X710" s="95" t="s">
        <v>2807</v>
      </c>
      <c r="Y710" s="72" t="s">
        <v>2926</v>
      </c>
      <c r="Z710" s="72" t="s">
        <v>4</v>
      </c>
      <c r="AA710" s="95" t="s">
        <v>2807</v>
      </c>
      <c r="AB710" s="132"/>
      <c r="AC710" s="132"/>
      <c r="AD710" s="132"/>
      <c r="AE710" s="63"/>
      <c r="AF710" s="63"/>
      <c r="AG710" s="63"/>
    </row>
    <row r="711" spans="1:33" ht="17.2" customHeight="1">
      <c r="A711" s="64" t="str">
        <f>IF(priority(Main[[#This Row],[Comments]])&lt;&gt;0, priority(Main[[#This Row],[Comments]]),"")</f>
        <v/>
      </c>
      <c r="B711" s="60" t="s">
        <v>1539</v>
      </c>
      <c r="C711" s="72" t="s">
        <v>4</v>
      </c>
      <c r="D711" s="59" t="s">
        <v>618</v>
      </c>
      <c r="E711" s="85">
        <v>40294.429988425924</v>
      </c>
      <c r="F711" s="85"/>
      <c r="G711" s="64" t="str">
        <f>IF(stdProdLT(Main[[#This Row],[Comments]])=0.1,"N/A",IF(stdProdLT(Main[[#This Row],[Comments]])=0,"",TRIM(stdProdLT(Main[[#This Row],[Comments]]))))</f>
        <v/>
      </c>
      <c r="H711" s="94" t="str">
        <f>IF(OR(Main[[#This Row],[Std. Prod. Lead Time]]="N/A",Main[[#This Row],[Std. Prod. Lead Time]]=""), "",IF(AND(Main[[#This Row],[In Stock Date]]&lt;&gt;"",Main[[#This Row],[Revised Due Date]]&lt;&gt;"",Main[[#This Row],[In Stock Date]]&lt;&gt;""),Main[[#This Row],[In Stock Date]]-Main[[#This Row],[Revised Due Date]],""))</f>
        <v/>
      </c>
      <c r="I711" s="101" t="s">
        <v>4</v>
      </c>
      <c r="J711" s="95" t="s">
        <v>4</v>
      </c>
      <c r="K711" s="96" t="s">
        <v>4</v>
      </c>
      <c r="L711" s="85"/>
      <c r="M711" s="73" t="str">
        <f>IF(Main[[#This Row],[Tech Start Date]]&lt;1/1/1990,"",IF(Main[[#This Row],[Class]]="C",WORKDAY(Main[[#This Row],[Tech Start Date]],9),IF(Main[[#This Row],[Class]]="B", WORKDAY(Main[[#This Row],[Tech Start Date]],6),IF(Main[[#This Row],[Class]]="A",WORKDAY(Main[[#This Row],[Tech Start Date]],2),""))))</f>
        <v/>
      </c>
      <c r="N711" s="73" t="str">
        <f>IF(Main[[#This Row],[Tech Start Date]]&lt;1/1/1990,"",IF(Main[[#This Row],[Class]]="C",WORKDAY(Main[[#This Row],[Tech Start Date]],19),IF(Main[[#This Row],[Class]]="B", WORKDAY(Main[[#This Row],[Tech Start Date]],12),IF(Main[[#This Row],[Class]]="A",WORKDAY(Main[[#This Row],[Tech Start Date]],4),""))))</f>
        <v/>
      </c>
      <c r="O711" s="73" t="str">
        <f>IF(Main[[#This Row],[Tech Start Date]]&lt;1/1/1990,"",IF(Main[[#This Row],[Class]]="C",WORKDAY(Main[[#This Row],[Tech Start Date]],23),IF(Main[[#This Row],[Class]]="B", WORKDAY(Main[[#This Row],[Tech Start Date]],15),IF(Main[[#This Row],[Class]]="A",WORKDAY(Main[[#This Row],[Tech Start Date]],5),""))))</f>
        <v/>
      </c>
      <c r="P711" s="73" t="str">
        <f>IF(Main[[#This Row],[Tech Start Date]]&lt;1/1/1990,"",IF(Main[[#This Row],[Class]]="C",WORKDAY(Main[[#This Row],[Tech Start Date]],28),IF(Main[[#This Row],[Class]]="B", WORKDAY(Main[[#This Row],[Tech Start Date]],19),IF(Main[[#This Row],[Class]]="A",WORKDAY(Main[[#This Row],[Tech Start Date]],9),""))))</f>
        <v/>
      </c>
      <c r="Q711" s="85">
        <v>40390</v>
      </c>
      <c r="R711" s="112"/>
      <c r="S711" s="95" t="s">
        <v>6</v>
      </c>
      <c r="T711" s="74" t="s">
        <v>4</v>
      </c>
      <c r="U711" s="95" t="s">
        <v>7</v>
      </c>
      <c r="V711" s="95" t="s">
        <v>1911</v>
      </c>
      <c r="W711" s="95" t="s">
        <v>4</v>
      </c>
      <c r="X711" s="95" t="s">
        <v>2799</v>
      </c>
      <c r="Y711" s="72" t="s">
        <v>2910</v>
      </c>
      <c r="Z711" s="72" t="s">
        <v>4</v>
      </c>
      <c r="AA711" s="95" t="s">
        <v>2799</v>
      </c>
      <c r="AB711" s="132"/>
      <c r="AC711" s="132"/>
      <c r="AD711" s="132"/>
      <c r="AE711" s="63"/>
      <c r="AF711" s="63"/>
      <c r="AG711" s="63"/>
    </row>
    <row r="712" spans="1:33" ht="17.2" customHeight="1">
      <c r="A712" s="64" t="str">
        <f>IF(priority(Main[[#This Row],[Comments]])&lt;&gt;0, priority(Main[[#This Row],[Comments]]),"")</f>
        <v/>
      </c>
      <c r="B712" s="60" t="s">
        <v>1540</v>
      </c>
      <c r="C712" s="72" t="s">
        <v>4</v>
      </c>
      <c r="D712" s="59" t="s">
        <v>619</v>
      </c>
      <c r="E712" s="85"/>
      <c r="F712" s="85"/>
      <c r="G712" s="64" t="str">
        <f>IF(stdProdLT(Main[[#This Row],[Comments]])=0.1,"N/A",IF(stdProdLT(Main[[#This Row],[Comments]])=0,"",TRIM(stdProdLT(Main[[#This Row],[Comments]]))))</f>
        <v/>
      </c>
      <c r="H712" s="94" t="str">
        <f>IF(OR(Main[[#This Row],[Std. Prod. Lead Time]]="N/A",Main[[#This Row],[Std. Prod. Lead Time]]=""), "",IF(AND(Main[[#This Row],[In Stock Date]]&lt;&gt;"",Main[[#This Row],[Revised Due Date]]&lt;&gt;"",Main[[#This Row],[In Stock Date]]&lt;&gt;""),Main[[#This Row],[In Stock Date]]-Main[[#This Row],[Revised Due Date]],""))</f>
        <v/>
      </c>
      <c r="I712" s="101" t="s">
        <v>4</v>
      </c>
      <c r="J712" s="95" t="s">
        <v>4</v>
      </c>
      <c r="K712" s="96" t="s">
        <v>4</v>
      </c>
      <c r="L712" s="85"/>
      <c r="M712" s="73" t="str">
        <f>IF(Main[[#This Row],[Tech Start Date]]&lt;1/1/1990,"",IF(Main[[#This Row],[Class]]="C",WORKDAY(Main[[#This Row],[Tech Start Date]],9),IF(Main[[#This Row],[Class]]="B", WORKDAY(Main[[#This Row],[Tech Start Date]],6),IF(Main[[#This Row],[Class]]="A",WORKDAY(Main[[#This Row],[Tech Start Date]],2),""))))</f>
        <v/>
      </c>
      <c r="N712" s="73" t="str">
        <f>IF(Main[[#This Row],[Tech Start Date]]&lt;1/1/1990,"",IF(Main[[#This Row],[Class]]="C",WORKDAY(Main[[#This Row],[Tech Start Date]],19),IF(Main[[#This Row],[Class]]="B", WORKDAY(Main[[#This Row],[Tech Start Date]],12),IF(Main[[#This Row],[Class]]="A",WORKDAY(Main[[#This Row],[Tech Start Date]],4),""))))</f>
        <v/>
      </c>
      <c r="O712" s="73" t="str">
        <f>IF(Main[[#This Row],[Tech Start Date]]&lt;1/1/1990,"",IF(Main[[#This Row],[Class]]="C",WORKDAY(Main[[#This Row],[Tech Start Date]],23),IF(Main[[#This Row],[Class]]="B", WORKDAY(Main[[#This Row],[Tech Start Date]],15),IF(Main[[#This Row],[Class]]="A",WORKDAY(Main[[#This Row],[Tech Start Date]],5),""))))</f>
        <v/>
      </c>
      <c r="P712" s="73" t="str">
        <f>IF(Main[[#This Row],[Tech Start Date]]&lt;1/1/1990,"",IF(Main[[#This Row],[Class]]="C",WORKDAY(Main[[#This Row],[Tech Start Date]],28),IF(Main[[#This Row],[Class]]="B", WORKDAY(Main[[#This Row],[Tech Start Date]],19),IF(Main[[#This Row],[Class]]="A",WORKDAY(Main[[#This Row],[Tech Start Date]],9),""))))</f>
        <v/>
      </c>
      <c r="Q712" s="85"/>
      <c r="R712" s="112"/>
      <c r="S712" s="95" t="s">
        <v>11</v>
      </c>
      <c r="T712" s="74" t="s">
        <v>4</v>
      </c>
      <c r="U712" s="95" t="s">
        <v>14</v>
      </c>
      <c r="V712" s="95" t="s">
        <v>1911</v>
      </c>
      <c r="W712" s="95" t="s">
        <v>1915</v>
      </c>
      <c r="X712" s="95" t="s">
        <v>922</v>
      </c>
      <c r="Y712" s="72" t="s">
        <v>2960</v>
      </c>
      <c r="Z712" s="72" t="s">
        <v>4</v>
      </c>
      <c r="AA712" s="95" t="s">
        <v>922</v>
      </c>
      <c r="AB712" s="132"/>
      <c r="AC712" s="132"/>
      <c r="AD712" s="132"/>
      <c r="AE712" s="63"/>
      <c r="AF712" s="63"/>
      <c r="AG712" s="63"/>
    </row>
    <row r="713" spans="1:33" ht="17.2" customHeight="1">
      <c r="A713" s="64" t="str">
        <f>IF(priority(Main[[#This Row],[Comments]])&lt;&gt;0, priority(Main[[#This Row],[Comments]]),"")</f>
        <v/>
      </c>
      <c r="B713" s="60" t="s">
        <v>1544</v>
      </c>
      <c r="C713" s="72" t="s">
        <v>4</v>
      </c>
      <c r="D713" s="59" t="s">
        <v>627</v>
      </c>
      <c r="E713" s="85"/>
      <c r="F713" s="85"/>
      <c r="G713" s="64" t="str">
        <f>IF(stdProdLT(Main[[#This Row],[Comments]])=0.1,"N/A",IF(stdProdLT(Main[[#This Row],[Comments]])=0,"",TRIM(stdProdLT(Main[[#This Row],[Comments]]))))</f>
        <v/>
      </c>
      <c r="H713" s="94" t="str">
        <f>IF(OR(Main[[#This Row],[Std. Prod. Lead Time]]="N/A",Main[[#This Row],[Std. Prod. Lead Time]]=""), "",IF(AND(Main[[#This Row],[In Stock Date]]&lt;&gt;"",Main[[#This Row],[Revised Due Date]]&lt;&gt;"",Main[[#This Row],[In Stock Date]]&lt;&gt;""),Main[[#This Row],[In Stock Date]]-Main[[#This Row],[Revised Due Date]],""))</f>
        <v/>
      </c>
      <c r="I713" s="101" t="s">
        <v>4</v>
      </c>
      <c r="J713" s="95" t="s">
        <v>4</v>
      </c>
      <c r="K713" s="95" t="s">
        <v>4</v>
      </c>
      <c r="L713" s="85"/>
      <c r="M713" s="73" t="str">
        <f>IF(Main[[#This Row],[Tech Start Date]]&lt;1/1/1990,"",IF(Main[[#This Row],[Class]]="C",WORKDAY(Main[[#This Row],[Tech Start Date]],9),IF(Main[[#This Row],[Class]]="B", WORKDAY(Main[[#This Row],[Tech Start Date]],6),IF(Main[[#This Row],[Class]]="A",WORKDAY(Main[[#This Row],[Tech Start Date]],2),""))))</f>
        <v/>
      </c>
      <c r="N713" s="73" t="str">
        <f>IF(Main[[#This Row],[Tech Start Date]]&lt;1/1/1990,"",IF(Main[[#This Row],[Class]]="C",WORKDAY(Main[[#This Row],[Tech Start Date]],19),IF(Main[[#This Row],[Class]]="B", WORKDAY(Main[[#This Row],[Tech Start Date]],12),IF(Main[[#This Row],[Class]]="A",WORKDAY(Main[[#This Row],[Tech Start Date]],4),""))))</f>
        <v/>
      </c>
      <c r="O713" s="73" t="str">
        <f>IF(Main[[#This Row],[Tech Start Date]]&lt;1/1/1990,"",IF(Main[[#This Row],[Class]]="C",WORKDAY(Main[[#This Row],[Tech Start Date]],23),IF(Main[[#This Row],[Class]]="B", WORKDAY(Main[[#This Row],[Tech Start Date]],15),IF(Main[[#This Row],[Class]]="A",WORKDAY(Main[[#This Row],[Tech Start Date]],5),""))))</f>
        <v/>
      </c>
      <c r="P713" s="73" t="str">
        <f>IF(Main[[#This Row],[Tech Start Date]]&lt;1/1/1990,"",IF(Main[[#This Row],[Class]]="C",WORKDAY(Main[[#This Row],[Tech Start Date]],28),IF(Main[[#This Row],[Class]]="B", WORKDAY(Main[[#This Row],[Tech Start Date]],19),IF(Main[[#This Row],[Class]]="A",WORKDAY(Main[[#This Row],[Tech Start Date]],9),""))))</f>
        <v/>
      </c>
      <c r="Q713" s="85"/>
      <c r="R713" s="112"/>
      <c r="S713" s="95" t="s">
        <v>6</v>
      </c>
      <c r="T713" s="74" t="s">
        <v>4</v>
      </c>
      <c r="U713" s="95" t="s">
        <v>12</v>
      </c>
      <c r="V713" s="95" t="s">
        <v>1911</v>
      </c>
      <c r="W713" s="95" t="s">
        <v>4</v>
      </c>
      <c r="X713" s="95" t="s">
        <v>708</v>
      </c>
      <c r="Y713" s="72" t="s">
        <v>3056</v>
      </c>
      <c r="Z713" s="72" t="s">
        <v>4</v>
      </c>
      <c r="AA713" s="95" t="s">
        <v>3385</v>
      </c>
      <c r="AB713" s="132"/>
      <c r="AC713" s="132"/>
      <c r="AD713" s="132"/>
      <c r="AE713" s="63"/>
      <c r="AF713" s="63"/>
      <c r="AG713" s="63"/>
    </row>
    <row r="714" spans="1:33" ht="17.2" customHeight="1">
      <c r="A714" s="64" t="str">
        <f>IF(priority(Main[[#This Row],[Comments]])&lt;&gt;0, priority(Main[[#This Row],[Comments]]),"")</f>
        <v/>
      </c>
      <c r="B714" s="60" t="s">
        <v>1545</v>
      </c>
      <c r="C714" s="72" t="s">
        <v>93</v>
      </c>
      <c r="D714" s="59" t="s">
        <v>628</v>
      </c>
      <c r="E714" s="85"/>
      <c r="F714" s="85">
        <v>40162</v>
      </c>
      <c r="G714" s="64" t="str">
        <f>IF(stdProdLT(Main[[#This Row],[Comments]])=0.1,"N/A",IF(stdProdLT(Main[[#This Row],[Comments]])=0,"",TRIM(stdProdLT(Main[[#This Row],[Comments]]))))</f>
        <v/>
      </c>
      <c r="H714" s="94" t="str">
        <f>IF(OR(Main[[#This Row],[Std. Prod. Lead Time]]="N/A",Main[[#This Row],[Std. Prod. Lead Time]]=""), "",IF(AND(Main[[#This Row],[In Stock Date]]&lt;&gt;"",Main[[#This Row],[Revised Due Date]]&lt;&gt;"",Main[[#This Row],[In Stock Date]]&lt;&gt;""),Main[[#This Row],[In Stock Date]]-Main[[#This Row],[Revised Due Date]],""))</f>
        <v/>
      </c>
      <c r="I714" s="101" t="s">
        <v>4</v>
      </c>
      <c r="J714" s="95" t="s">
        <v>4</v>
      </c>
      <c r="K714" s="95" t="s">
        <v>4</v>
      </c>
      <c r="L714" s="85"/>
      <c r="M714" s="73" t="str">
        <f>IF(Main[[#This Row],[Tech Start Date]]&lt;1/1/1990,"",IF(Main[[#This Row],[Class]]="C",WORKDAY(Main[[#This Row],[Tech Start Date]],9),IF(Main[[#This Row],[Class]]="B", WORKDAY(Main[[#This Row],[Tech Start Date]],6),IF(Main[[#This Row],[Class]]="A",WORKDAY(Main[[#This Row],[Tech Start Date]],2),""))))</f>
        <v/>
      </c>
      <c r="N714" s="73" t="str">
        <f>IF(Main[[#This Row],[Tech Start Date]]&lt;1/1/1990,"",IF(Main[[#This Row],[Class]]="C",WORKDAY(Main[[#This Row],[Tech Start Date]],19),IF(Main[[#This Row],[Class]]="B", WORKDAY(Main[[#This Row],[Tech Start Date]],12),IF(Main[[#This Row],[Class]]="A",WORKDAY(Main[[#This Row],[Tech Start Date]],4),""))))</f>
        <v/>
      </c>
      <c r="O714" s="73" t="str">
        <f>IF(Main[[#This Row],[Tech Start Date]]&lt;1/1/1990,"",IF(Main[[#This Row],[Class]]="C",WORKDAY(Main[[#This Row],[Tech Start Date]],23),IF(Main[[#This Row],[Class]]="B", WORKDAY(Main[[#This Row],[Tech Start Date]],15),IF(Main[[#This Row],[Class]]="A",WORKDAY(Main[[#This Row],[Tech Start Date]],5),""))))</f>
        <v/>
      </c>
      <c r="P714" s="73" t="str">
        <f>IF(Main[[#This Row],[Tech Start Date]]&lt;1/1/1990,"",IF(Main[[#This Row],[Class]]="C",WORKDAY(Main[[#This Row],[Tech Start Date]],28),IF(Main[[#This Row],[Class]]="B", WORKDAY(Main[[#This Row],[Tech Start Date]],19),IF(Main[[#This Row],[Class]]="A",WORKDAY(Main[[#This Row],[Tech Start Date]],9),""))))</f>
        <v/>
      </c>
      <c r="Q714" s="85">
        <v>40147</v>
      </c>
      <c r="R714" s="112"/>
      <c r="S714" s="95" t="s">
        <v>11</v>
      </c>
      <c r="T714" s="74" t="s">
        <v>4</v>
      </c>
      <c r="U714" s="95" t="s">
        <v>14</v>
      </c>
      <c r="V714" s="95" t="s">
        <v>1921</v>
      </c>
      <c r="W714" s="95" t="s">
        <v>1917</v>
      </c>
      <c r="X714" s="95" t="s">
        <v>2825</v>
      </c>
      <c r="Y714" s="72" t="s">
        <v>4</v>
      </c>
      <c r="Z714" s="72" t="s">
        <v>4</v>
      </c>
      <c r="AA714" s="95" t="s">
        <v>2825</v>
      </c>
      <c r="AB714" s="132"/>
      <c r="AC714" s="132"/>
      <c r="AD714" s="132"/>
      <c r="AE714" s="63"/>
      <c r="AF714" s="63"/>
      <c r="AG714" s="63"/>
    </row>
    <row r="715" spans="1:33" ht="17.2" customHeight="1">
      <c r="A715" s="64" t="str">
        <f>IF(priority(Main[[#This Row],[Comments]])&lt;&gt;0, priority(Main[[#This Row],[Comments]]),"")</f>
        <v/>
      </c>
      <c r="B715" s="60" t="s">
        <v>1546</v>
      </c>
      <c r="C715" s="72" t="s">
        <v>4</v>
      </c>
      <c r="D715" s="59" t="s">
        <v>629</v>
      </c>
      <c r="E715" s="85"/>
      <c r="F715" s="85"/>
      <c r="G715" s="64" t="str">
        <f>IF(stdProdLT(Main[[#This Row],[Comments]])=0.1,"N/A",IF(stdProdLT(Main[[#This Row],[Comments]])=0,"",TRIM(stdProdLT(Main[[#This Row],[Comments]]))))</f>
        <v/>
      </c>
      <c r="H715" s="94" t="str">
        <f>IF(OR(Main[[#This Row],[Std. Prod. Lead Time]]="N/A",Main[[#This Row],[Std. Prod. Lead Time]]=""), "",IF(AND(Main[[#This Row],[In Stock Date]]&lt;&gt;"",Main[[#This Row],[Revised Due Date]]&lt;&gt;"",Main[[#This Row],[In Stock Date]]&lt;&gt;""),Main[[#This Row],[In Stock Date]]-Main[[#This Row],[Revised Due Date]],""))</f>
        <v/>
      </c>
      <c r="I715" s="101" t="s">
        <v>4</v>
      </c>
      <c r="J715" s="95" t="s">
        <v>28</v>
      </c>
      <c r="K715" s="95" t="s">
        <v>1924</v>
      </c>
      <c r="L715" s="85"/>
      <c r="M715" s="73" t="str">
        <f>IF(Main[[#This Row],[Tech Start Date]]&lt;1/1/1990,"",IF(Main[[#This Row],[Class]]="C",WORKDAY(Main[[#This Row],[Tech Start Date]],9),IF(Main[[#This Row],[Class]]="B", WORKDAY(Main[[#This Row],[Tech Start Date]],6),IF(Main[[#This Row],[Class]]="A",WORKDAY(Main[[#This Row],[Tech Start Date]],2),""))))</f>
        <v/>
      </c>
      <c r="N715" s="73" t="str">
        <f>IF(Main[[#This Row],[Tech Start Date]]&lt;1/1/1990,"",IF(Main[[#This Row],[Class]]="C",WORKDAY(Main[[#This Row],[Tech Start Date]],19),IF(Main[[#This Row],[Class]]="B", WORKDAY(Main[[#This Row],[Tech Start Date]],12),IF(Main[[#This Row],[Class]]="A",WORKDAY(Main[[#This Row],[Tech Start Date]],4),""))))</f>
        <v/>
      </c>
      <c r="O715" s="73" t="str">
        <f>IF(Main[[#This Row],[Tech Start Date]]&lt;1/1/1990,"",IF(Main[[#This Row],[Class]]="C",WORKDAY(Main[[#This Row],[Tech Start Date]],23),IF(Main[[#This Row],[Class]]="B", WORKDAY(Main[[#This Row],[Tech Start Date]],15),IF(Main[[#This Row],[Class]]="A",WORKDAY(Main[[#This Row],[Tech Start Date]],5),""))))</f>
        <v/>
      </c>
      <c r="P715" s="73" t="str">
        <f>IF(Main[[#This Row],[Tech Start Date]]&lt;1/1/1990,"",IF(Main[[#This Row],[Class]]="C",WORKDAY(Main[[#This Row],[Tech Start Date]],28),IF(Main[[#This Row],[Class]]="B", WORKDAY(Main[[#This Row],[Tech Start Date]],19),IF(Main[[#This Row],[Class]]="A",WORKDAY(Main[[#This Row],[Tech Start Date]],9),""))))</f>
        <v/>
      </c>
      <c r="Q715" s="85"/>
      <c r="R715" s="112"/>
      <c r="S715" s="95" t="s">
        <v>11</v>
      </c>
      <c r="T715" s="74" t="s">
        <v>4</v>
      </c>
      <c r="U715" s="95" t="s">
        <v>14</v>
      </c>
      <c r="V715" s="95" t="s">
        <v>1911</v>
      </c>
      <c r="W715" s="95" t="s">
        <v>1915</v>
      </c>
      <c r="X715" s="95" t="s">
        <v>2046</v>
      </c>
      <c r="Y715" s="72" t="s">
        <v>2980</v>
      </c>
      <c r="Z715" s="72" t="s">
        <v>129</v>
      </c>
      <c r="AA715" s="95" t="s">
        <v>2046</v>
      </c>
      <c r="AB715" s="132"/>
      <c r="AC715" s="132"/>
      <c r="AD715" s="132"/>
      <c r="AE715" s="63"/>
      <c r="AF715" s="63"/>
      <c r="AG715" s="63"/>
    </row>
    <row r="716" spans="1:33" ht="17.2" customHeight="1">
      <c r="A716" s="64" t="str">
        <f>IF(priority(Main[[#This Row],[Comments]])&lt;&gt;0, priority(Main[[#This Row],[Comments]]),"")</f>
        <v/>
      </c>
      <c r="B716" s="60" t="s">
        <v>1119</v>
      </c>
      <c r="C716" s="72" t="s">
        <v>4</v>
      </c>
      <c r="D716" s="59" t="s">
        <v>168</v>
      </c>
      <c r="E716" s="85"/>
      <c r="F716" s="85"/>
      <c r="G716" s="64" t="str">
        <f>IF(stdProdLT(Main[[#This Row],[Comments]])=0.1,"N/A",IF(stdProdLT(Main[[#This Row],[Comments]])=0,"",TRIM(stdProdLT(Main[[#This Row],[Comments]]))))</f>
        <v/>
      </c>
      <c r="H716" s="94" t="str">
        <f>IF(OR(Main[[#This Row],[Std. Prod. Lead Time]]="N/A",Main[[#This Row],[Std. Prod. Lead Time]]=""), "",IF(AND(Main[[#This Row],[In Stock Date]]&lt;&gt;"",Main[[#This Row],[Revised Due Date]]&lt;&gt;"",Main[[#This Row],[In Stock Date]]&lt;&gt;""),Main[[#This Row],[In Stock Date]]-Main[[#This Row],[Revised Due Date]],""))</f>
        <v/>
      </c>
      <c r="I716" s="101" t="s">
        <v>4</v>
      </c>
      <c r="J716" s="95" t="s">
        <v>4</v>
      </c>
      <c r="K716" s="95" t="s">
        <v>4</v>
      </c>
      <c r="L716" s="85"/>
      <c r="M716" s="73" t="str">
        <f>IF(Main[[#This Row],[Tech Start Date]]&lt;1/1/1990,"",IF(Main[[#This Row],[Class]]="C",WORKDAY(Main[[#This Row],[Tech Start Date]],9),IF(Main[[#This Row],[Class]]="B", WORKDAY(Main[[#This Row],[Tech Start Date]],6),IF(Main[[#This Row],[Class]]="A",WORKDAY(Main[[#This Row],[Tech Start Date]],2),""))))</f>
        <v/>
      </c>
      <c r="N716" s="73" t="str">
        <f>IF(Main[[#This Row],[Tech Start Date]]&lt;1/1/1990,"",IF(Main[[#This Row],[Class]]="C",WORKDAY(Main[[#This Row],[Tech Start Date]],19),IF(Main[[#This Row],[Class]]="B", WORKDAY(Main[[#This Row],[Tech Start Date]],12),IF(Main[[#This Row],[Class]]="A",WORKDAY(Main[[#This Row],[Tech Start Date]],4),""))))</f>
        <v/>
      </c>
      <c r="O716" s="73" t="str">
        <f>IF(Main[[#This Row],[Tech Start Date]]&lt;1/1/1990,"",IF(Main[[#This Row],[Class]]="C",WORKDAY(Main[[#This Row],[Tech Start Date]],23),IF(Main[[#This Row],[Class]]="B", WORKDAY(Main[[#This Row],[Tech Start Date]],15),IF(Main[[#This Row],[Class]]="A",WORKDAY(Main[[#This Row],[Tech Start Date]],5),""))))</f>
        <v/>
      </c>
      <c r="P716" s="73" t="str">
        <f>IF(Main[[#This Row],[Tech Start Date]]&lt;1/1/1990,"",IF(Main[[#This Row],[Class]]="C",WORKDAY(Main[[#This Row],[Tech Start Date]],28),IF(Main[[#This Row],[Class]]="B", WORKDAY(Main[[#This Row],[Tech Start Date]],19),IF(Main[[#This Row],[Class]]="A",WORKDAY(Main[[#This Row],[Tech Start Date]],9),""))))</f>
        <v/>
      </c>
      <c r="Q716" s="85">
        <v>40737</v>
      </c>
      <c r="R716" s="112"/>
      <c r="S716" s="95" t="s">
        <v>6</v>
      </c>
      <c r="T716" s="74" t="s">
        <v>4</v>
      </c>
      <c r="U716" s="95" t="s">
        <v>14</v>
      </c>
      <c r="V716" s="95" t="s">
        <v>1914</v>
      </c>
      <c r="W716" s="95" t="s">
        <v>1915</v>
      </c>
      <c r="X716" s="95" t="s">
        <v>2816</v>
      </c>
      <c r="Y716" s="72" t="s">
        <v>2943</v>
      </c>
      <c r="Z716" s="72" t="s">
        <v>4</v>
      </c>
      <c r="AA716" s="95" t="s">
        <v>2816</v>
      </c>
      <c r="AB716" s="132"/>
      <c r="AC716" s="132"/>
      <c r="AD716" s="132"/>
      <c r="AE716" s="63"/>
      <c r="AF716" s="63"/>
      <c r="AG716" s="63"/>
    </row>
    <row r="717" spans="1:33" ht="17.2" customHeight="1">
      <c r="A717" s="64" t="str">
        <f>IF(priority(Main[[#This Row],[Comments]])&lt;&gt;0, priority(Main[[#This Row],[Comments]]),"")</f>
        <v/>
      </c>
      <c r="B717" s="60" t="s">
        <v>1896</v>
      </c>
      <c r="C717" s="72" t="s">
        <v>72</v>
      </c>
      <c r="D717" s="59" t="s">
        <v>2088</v>
      </c>
      <c r="E717" s="85">
        <v>40469.931226851855</v>
      </c>
      <c r="F717" s="85">
        <v>40487</v>
      </c>
      <c r="G717" s="64" t="str">
        <f>IF(stdProdLT(Main[[#This Row],[Comments]])=0.1,"N/A",IF(stdProdLT(Main[[#This Row],[Comments]])=0,"",TRIM(stdProdLT(Main[[#This Row],[Comments]]))))</f>
        <v/>
      </c>
      <c r="H717" s="94" t="str">
        <f>IF(OR(Main[[#This Row],[Std. Prod. Lead Time]]="N/A",Main[[#This Row],[Std. Prod. Lead Time]]=""), "",IF(AND(Main[[#This Row],[In Stock Date]]&lt;&gt;"",Main[[#This Row],[Revised Due Date]]&lt;&gt;"",Main[[#This Row],[In Stock Date]]&lt;&gt;""),Main[[#This Row],[In Stock Date]]-Main[[#This Row],[Revised Due Date]],""))</f>
        <v/>
      </c>
      <c r="I717" s="101" t="s">
        <v>2047</v>
      </c>
      <c r="J717" s="95" t="s">
        <v>52</v>
      </c>
      <c r="K717" s="96" t="s">
        <v>1918</v>
      </c>
      <c r="L717" s="85"/>
      <c r="M717" s="73" t="str">
        <f>IF(Main[[#This Row],[Tech Start Date]]&lt;1/1/1990,"",IF(Main[[#This Row],[Class]]="C",WORKDAY(Main[[#This Row],[Tech Start Date]],9),IF(Main[[#This Row],[Class]]="B", WORKDAY(Main[[#This Row],[Tech Start Date]],6),IF(Main[[#This Row],[Class]]="A",WORKDAY(Main[[#This Row],[Tech Start Date]],2),""))))</f>
        <v/>
      </c>
      <c r="N717" s="73" t="str">
        <f>IF(Main[[#This Row],[Tech Start Date]]&lt;1/1/1990,"",IF(Main[[#This Row],[Class]]="C",WORKDAY(Main[[#This Row],[Tech Start Date]],19),IF(Main[[#This Row],[Class]]="B", WORKDAY(Main[[#This Row],[Tech Start Date]],12),IF(Main[[#This Row],[Class]]="A",WORKDAY(Main[[#This Row],[Tech Start Date]],4),""))))</f>
        <v/>
      </c>
      <c r="O717" s="73" t="str">
        <f>IF(Main[[#This Row],[Tech Start Date]]&lt;1/1/1990,"",IF(Main[[#This Row],[Class]]="C",WORKDAY(Main[[#This Row],[Tech Start Date]],23),IF(Main[[#This Row],[Class]]="B", WORKDAY(Main[[#This Row],[Tech Start Date]],15),IF(Main[[#This Row],[Class]]="A",WORKDAY(Main[[#This Row],[Tech Start Date]],5),""))))</f>
        <v/>
      </c>
      <c r="P717" s="73" t="str">
        <f>IF(Main[[#This Row],[Tech Start Date]]&lt;1/1/1990,"",IF(Main[[#This Row],[Class]]="C",WORKDAY(Main[[#This Row],[Tech Start Date]],28),IF(Main[[#This Row],[Class]]="B", WORKDAY(Main[[#This Row],[Tech Start Date]],19),IF(Main[[#This Row],[Class]]="A",WORKDAY(Main[[#This Row],[Tech Start Date]],9),""))))</f>
        <v/>
      </c>
      <c r="Q717" s="85"/>
      <c r="R717" s="112">
        <v>40781</v>
      </c>
      <c r="S717" s="95" t="s">
        <v>6</v>
      </c>
      <c r="T717" s="74" t="s">
        <v>2089</v>
      </c>
      <c r="U717" s="95" t="s">
        <v>29</v>
      </c>
      <c r="V717" s="95" t="s">
        <v>1912</v>
      </c>
      <c r="W717" s="95" t="s">
        <v>1913</v>
      </c>
      <c r="X717" s="95" t="s">
        <v>2881</v>
      </c>
      <c r="Y717" s="72" t="s">
        <v>3057</v>
      </c>
      <c r="Z717" s="72" t="s">
        <v>108</v>
      </c>
      <c r="AA717" s="95" t="s">
        <v>2881</v>
      </c>
      <c r="AB717" s="132"/>
      <c r="AC717" s="132"/>
      <c r="AD717" s="132"/>
      <c r="AE717" s="63"/>
      <c r="AF717" s="63"/>
      <c r="AG717" s="63"/>
    </row>
    <row r="718" spans="1:33" ht="17.2" customHeight="1">
      <c r="A718" s="64" t="str">
        <f>IF(priority(Main[[#This Row],[Comments]])&lt;&gt;0, priority(Main[[#This Row],[Comments]]),"")</f>
        <v/>
      </c>
      <c r="B718" s="60" t="s">
        <v>1547</v>
      </c>
      <c r="C718" s="72" t="s">
        <v>4</v>
      </c>
      <c r="D718" s="59" t="s">
        <v>39</v>
      </c>
      <c r="E718" s="85"/>
      <c r="F718" s="85"/>
      <c r="G718" s="64" t="str">
        <f>IF(stdProdLT(Main[[#This Row],[Comments]])=0.1,"N/A",IF(stdProdLT(Main[[#This Row],[Comments]])=0,"",TRIM(stdProdLT(Main[[#This Row],[Comments]]))))</f>
        <v/>
      </c>
      <c r="H718" s="94" t="str">
        <f>IF(OR(Main[[#This Row],[Std. Prod. Lead Time]]="N/A",Main[[#This Row],[Std. Prod. Lead Time]]=""), "",IF(AND(Main[[#This Row],[In Stock Date]]&lt;&gt;"",Main[[#This Row],[Revised Due Date]]&lt;&gt;"",Main[[#This Row],[In Stock Date]]&lt;&gt;""),Main[[#This Row],[In Stock Date]]-Main[[#This Row],[Revised Due Date]],""))</f>
        <v/>
      </c>
      <c r="I718" s="101" t="s">
        <v>4</v>
      </c>
      <c r="J718" s="95" t="s">
        <v>4</v>
      </c>
      <c r="K718" s="96" t="s">
        <v>4</v>
      </c>
      <c r="L718" s="85"/>
      <c r="M718" s="73" t="str">
        <f>IF(Main[[#This Row],[Tech Start Date]]&lt;1/1/1990,"",IF(Main[[#This Row],[Class]]="C",WORKDAY(Main[[#This Row],[Tech Start Date]],9),IF(Main[[#This Row],[Class]]="B", WORKDAY(Main[[#This Row],[Tech Start Date]],6),IF(Main[[#This Row],[Class]]="A",WORKDAY(Main[[#This Row],[Tech Start Date]],2),""))))</f>
        <v/>
      </c>
      <c r="N718" s="73" t="str">
        <f>IF(Main[[#This Row],[Tech Start Date]]&lt;1/1/1990,"",IF(Main[[#This Row],[Class]]="C",WORKDAY(Main[[#This Row],[Tech Start Date]],19),IF(Main[[#This Row],[Class]]="B", WORKDAY(Main[[#This Row],[Tech Start Date]],12),IF(Main[[#This Row],[Class]]="A",WORKDAY(Main[[#This Row],[Tech Start Date]],4),""))))</f>
        <v/>
      </c>
      <c r="O718" s="73" t="str">
        <f>IF(Main[[#This Row],[Tech Start Date]]&lt;1/1/1990,"",IF(Main[[#This Row],[Class]]="C",WORKDAY(Main[[#This Row],[Tech Start Date]],23),IF(Main[[#This Row],[Class]]="B", WORKDAY(Main[[#This Row],[Tech Start Date]],15),IF(Main[[#This Row],[Class]]="A",WORKDAY(Main[[#This Row],[Tech Start Date]],5),""))))</f>
        <v/>
      </c>
      <c r="P718" s="73" t="str">
        <f>IF(Main[[#This Row],[Tech Start Date]]&lt;1/1/1990,"",IF(Main[[#This Row],[Class]]="C",WORKDAY(Main[[#This Row],[Tech Start Date]],28),IF(Main[[#This Row],[Class]]="B", WORKDAY(Main[[#This Row],[Tech Start Date]],19),IF(Main[[#This Row],[Class]]="A",WORKDAY(Main[[#This Row],[Tech Start Date]],9),""))))</f>
        <v/>
      </c>
      <c r="Q718" s="85">
        <v>40669</v>
      </c>
      <c r="R718" s="112"/>
      <c r="S718" s="95" t="s">
        <v>6</v>
      </c>
      <c r="T718" s="74" t="s">
        <v>4</v>
      </c>
      <c r="U718" s="95" t="s">
        <v>14</v>
      </c>
      <c r="V718" s="95" t="s">
        <v>1914</v>
      </c>
      <c r="W718" s="95" t="s">
        <v>4</v>
      </c>
      <c r="X718" s="95" t="s">
        <v>2798</v>
      </c>
      <c r="Y718" s="72" t="s">
        <v>2908</v>
      </c>
      <c r="Z718" s="72" t="s">
        <v>4</v>
      </c>
      <c r="AA718" s="95" t="s">
        <v>2798</v>
      </c>
      <c r="AB718" s="132"/>
      <c r="AC718" s="132"/>
      <c r="AD718" s="132"/>
      <c r="AE718" s="63"/>
      <c r="AF718" s="63"/>
      <c r="AG718" s="63"/>
    </row>
    <row r="719" spans="1:33" ht="17.2" customHeight="1">
      <c r="A719" s="64" t="str">
        <f>IF(priority(Main[[#This Row],[Comments]])&lt;&gt;0, priority(Main[[#This Row],[Comments]]),"")</f>
        <v/>
      </c>
      <c r="B719" s="60" t="s">
        <v>2709</v>
      </c>
      <c r="C719" s="72" t="s">
        <v>4</v>
      </c>
      <c r="D719" s="59" t="s">
        <v>3196</v>
      </c>
      <c r="E719" s="85">
        <v>40917.478506944448</v>
      </c>
      <c r="F719" s="85"/>
      <c r="G719" s="64" t="str">
        <f>IF(stdProdLT(Main[[#This Row],[Comments]])=0.1,"N/A",IF(stdProdLT(Main[[#This Row],[Comments]])=0,"",TRIM(stdProdLT(Main[[#This Row],[Comments]]))))</f>
        <v/>
      </c>
      <c r="H719" s="94" t="str">
        <f>IF(OR(Main[[#This Row],[Std. Prod. Lead Time]]="N/A",Main[[#This Row],[Std. Prod. Lead Time]]=""), "",IF(AND(Main[[#This Row],[In Stock Date]]&lt;&gt;"",Main[[#This Row],[Revised Due Date]]&lt;&gt;"",Main[[#This Row],[In Stock Date]]&lt;&gt;""),Main[[#This Row],[In Stock Date]]-Main[[#This Row],[Revised Due Date]],""))</f>
        <v/>
      </c>
      <c r="I719" s="101" t="s">
        <v>4</v>
      </c>
      <c r="J719" s="95" t="s">
        <v>4</v>
      </c>
      <c r="K719" s="95" t="s">
        <v>4</v>
      </c>
      <c r="L719" s="85"/>
      <c r="M719" s="73" t="str">
        <f>IF(Main[[#This Row],[Tech Start Date]]&lt;1/1/1990,"",IF(Main[[#This Row],[Class]]="C",WORKDAY(Main[[#This Row],[Tech Start Date]],9),IF(Main[[#This Row],[Class]]="B", WORKDAY(Main[[#This Row],[Tech Start Date]],6),IF(Main[[#This Row],[Class]]="A",WORKDAY(Main[[#This Row],[Tech Start Date]],2),""))))</f>
        <v/>
      </c>
      <c r="N719" s="73" t="str">
        <f>IF(Main[[#This Row],[Tech Start Date]]&lt;1/1/1990,"",IF(Main[[#This Row],[Class]]="C",WORKDAY(Main[[#This Row],[Tech Start Date]],19),IF(Main[[#This Row],[Class]]="B", WORKDAY(Main[[#This Row],[Tech Start Date]],12),IF(Main[[#This Row],[Class]]="A",WORKDAY(Main[[#This Row],[Tech Start Date]],4),""))))</f>
        <v/>
      </c>
      <c r="O719" s="73" t="str">
        <f>IF(Main[[#This Row],[Tech Start Date]]&lt;1/1/1990,"",IF(Main[[#This Row],[Class]]="C",WORKDAY(Main[[#This Row],[Tech Start Date]],23),IF(Main[[#This Row],[Class]]="B", WORKDAY(Main[[#This Row],[Tech Start Date]],15),IF(Main[[#This Row],[Class]]="A",WORKDAY(Main[[#This Row],[Tech Start Date]],5),""))))</f>
        <v/>
      </c>
      <c r="P719" s="73" t="str">
        <f>IF(Main[[#This Row],[Tech Start Date]]&lt;1/1/1990,"",IF(Main[[#This Row],[Class]]="C",WORKDAY(Main[[#This Row],[Tech Start Date]],28),IF(Main[[#This Row],[Class]]="B", WORKDAY(Main[[#This Row],[Tech Start Date]],19),IF(Main[[#This Row],[Class]]="A",WORKDAY(Main[[#This Row],[Tech Start Date]],9),""))))</f>
        <v/>
      </c>
      <c r="Q719" s="85"/>
      <c r="R719" s="112"/>
      <c r="S719" s="95" t="s">
        <v>6</v>
      </c>
      <c r="T719" s="74" t="s">
        <v>4</v>
      </c>
      <c r="U719" s="95" t="s">
        <v>7</v>
      </c>
      <c r="V719" s="95" t="s">
        <v>1911</v>
      </c>
      <c r="W719" s="95" t="s">
        <v>1915</v>
      </c>
      <c r="X719" s="95" t="s">
        <v>102</v>
      </c>
      <c r="Y719" s="72" t="s">
        <v>3058</v>
      </c>
      <c r="Z719" s="72" t="s">
        <v>4</v>
      </c>
      <c r="AA719" s="95" t="s">
        <v>3346</v>
      </c>
      <c r="AB719" s="132"/>
      <c r="AC719" s="132"/>
      <c r="AD719" s="132"/>
      <c r="AE719" s="63"/>
      <c r="AF719" s="63"/>
      <c r="AG719" s="63"/>
    </row>
    <row r="720" spans="1:33" ht="17.2" customHeight="1">
      <c r="A720" s="64" t="str">
        <f>IF(priority(Main[[#This Row],[Comments]])&lt;&gt;0, priority(Main[[#This Row],[Comments]]),"")</f>
        <v/>
      </c>
      <c r="B720" s="60" t="s">
        <v>1549</v>
      </c>
      <c r="C720" s="72" t="s">
        <v>4</v>
      </c>
      <c r="D720" s="59" t="s">
        <v>630</v>
      </c>
      <c r="E720" s="85">
        <v>40371.35765046296</v>
      </c>
      <c r="F720" s="85"/>
      <c r="G720" s="64" t="str">
        <f>IF(stdProdLT(Main[[#This Row],[Comments]])=0.1,"N/A",IF(stdProdLT(Main[[#This Row],[Comments]])=0,"",TRIM(stdProdLT(Main[[#This Row],[Comments]]))))</f>
        <v/>
      </c>
      <c r="H720" s="94" t="str">
        <f>IF(OR(Main[[#This Row],[Std. Prod. Lead Time]]="N/A",Main[[#This Row],[Std. Prod. Lead Time]]=""), "",IF(AND(Main[[#This Row],[In Stock Date]]&lt;&gt;"",Main[[#This Row],[Revised Due Date]]&lt;&gt;"",Main[[#This Row],[In Stock Date]]&lt;&gt;""),Main[[#This Row],[In Stock Date]]-Main[[#This Row],[Revised Due Date]],""))</f>
        <v/>
      </c>
      <c r="I720" s="101" t="s">
        <v>4</v>
      </c>
      <c r="J720" s="95" t="s">
        <v>4</v>
      </c>
      <c r="K720" s="95" t="s">
        <v>4</v>
      </c>
      <c r="L720" s="85"/>
      <c r="M720" s="73" t="str">
        <f>IF(Main[[#This Row],[Tech Start Date]]&lt;1/1/1990,"",IF(Main[[#This Row],[Class]]="C",WORKDAY(Main[[#This Row],[Tech Start Date]],9),IF(Main[[#This Row],[Class]]="B", WORKDAY(Main[[#This Row],[Tech Start Date]],6),IF(Main[[#This Row],[Class]]="A",WORKDAY(Main[[#This Row],[Tech Start Date]],2),""))))</f>
        <v/>
      </c>
      <c r="N720" s="73" t="str">
        <f>IF(Main[[#This Row],[Tech Start Date]]&lt;1/1/1990,"",IF(Main[[#This Row],[Class]]="C",WORKDAY(Main[[#This Row],[Tech Start Date]],19),IF(Main[[#This Row],[Class]]="B", WORKDAY(Main[[#This Row],[Tech Start Date]],12),IF(Main[[#This Row],[Class]]="A",WORKDAY(Main[[#This Row],[Tech Start Date]],4),""))))</f>
        <v/>
      </c>
      <c r="O720" s="73" t="str">
        <f>IF(Main[[#This Row],[Tech Start Date]]&lt;1/1/1990,"",IF(Main[[#This Row],[Class]]="C",WORKDAY(Main[[#This Row],[Tech Start Date]],23),IF(Main[[#This Row],[Class]]="B", WORKDAY(Main[[#This Row],[Tech Start Date]],15),IF(Main[[#This Row],[Class]]="A",WORKDAY(Main[[#This Row],[Tech Start Date]],5),""))))</f>
        <v/>
      </c>
      <c r="P720" s="73" t="str">
        <f>IF(Main[[#This Row],[Tech Start Date]]&lt;1/1/1990,"",IF(Main[[#This Row],[Class]]="C",WORKDAY(Main[[#This Row],[Tech Start Date]],28),IF(Main[[#This Row],[Class]]="B", WORKDAY(Main[[#This Row],[Tech Start Date]],19),IF(Main[[#This Row],[Class]]="A",WORKDAY(Main[[#This Row],[Tech Start Date]],9),""))))</f>
        <v/>
      </c>
      <c r="Q720" s="85">
        <v>40385</v>
      </c>
      <c r="R720" s="112"/>
      <c r="S720" s="95" t="s">
        <v>6</v>
      </c>
      <c r="T720" s="74" t="s">
        <v>4</v>
      </c>
      <c r="U720" s="95" t="s">
        <v>7</v>
      </c>
      <c r="V720" s="95" t="s">
        <v>1911</v>
      </c>
      <c r="W720" s="95" t="s">
        <v>1913</v>
      </c>
      <c r="X720" s="95" t="s">
        <v>102</v>
      </c>
      <c r="Y720" s="72" t="s">
        <v>3010</v>
      </c>
      <c r="Z720" s="72" t="s">
        <v>4</v>
      </c>
      <c r="AA720" s="95" t="s">
        <v>3357</v>
      </c>
      <c r="AB720" s="132"/>
      <c r="AC720" s="132"/>
      <c r="AD720" s="132"/>
      <c r="AE720" s="63"/>
      <c r="AF720" s="63"/>
      <c r="AG720" s="63"/>
    </row>
    <row r="721" spans="1:33" ht="17.2" customHeight="1">
      <c r="A721" s="64" t="str">
        <f>IF(priority(Main[[#This Row],[Comments]])&lt;&gt;0, priority(Main[[#This Row],[Comments]]),"")</f>
        <v/>
      </c>
      <c r="B721" s="60" t="s">
        <v>1550</v>
      </c>
      <c r="C721" s="72" t="s">
        <v>4</v>
      </c>
      <c r="D721" s="59" t="s">
        <v>631</v>
      </c>
      <c r="E721" s="85">
        <v>40371.37263888889</v>
      </c>
      <c r="F721" s="85"/>
      <c r="G721" s="64" t="str">
        <f>IF(stdProdLT(Main[[#This Row],[Comments]])=0.1,"N/A",IF(stdProdLT(Main[[#This Row],[Comments]])=0,"",TRIM(stdProdLT(Main[[#This Row],[Comments]]))))</f>
        <v/>
      </c>
      <c r="H721" s="94" t="str">
        <f>IF(OR(Main[[#This Row],[Std. Prod. Lead Time]]="N/A",Main[[#This Row],[Std. Prod. Lead Time]]=""), "",IF(AND(Main[[#This Row],[In Stock Date]]&lt;&gt;"",Main[[#This Row],[Revised Due Date]]&lt;&gt;"",Main[[#This Row],[In Stock Date]]&lt;&gt;""),Main[[#This Row],[In Stock Date]]-Main[[#This Row],[Revised Due Date]],""))</f>
        <v/>
      </c>
      <c r="I721" s="101" t="s">
        <v>4</v>
      </c>
      <c r="J721" s="95" t="s">
        <v>4</v>
      </c>
      <c r="K721" s="95" t="s">
        <v>4</v>
      </c>
      <c r="L721" s="85"/>
      <c r="M721" s="73" t="str">
        <f>IF(Main[[#This Row],[Tech Start Date]]&lt;1/1/1990,"",IF(Main[[#This Row],[Class]]="C",WORKDAY(Main[[#This Row],[Tech Start Date]],9),IF(Main[[#This Row],[Class]]="B", WORKDAY(Main[[#This Row],[Tech Start Date]],6),IF(Main[[#This Row],[Class]]="A",WORKDAY(Main[[#This Row],[Tech Start Date]],2),""))))</f>
        <v/>
      </c>
      <c r="N721" s="73" t="str">
        <f>IF(Main[[#This Row],[Tech Start Date]]&lt;1/1/1990,"",IF(Main[[#This Row],[Class]]="C",WORKDAY(Main[[#This Row],[Tech Start Date]],19),IF(Main[[#This Row],[Class]]="B", WORKDAY(Main[[#This Row],[Tech Start Date]],12),IF(Main[[#This Row],[Class]]="A",WORKDAY(Main[[#This Row],[Tech Start Date]],4),""))))</f>
        <v/>
      </c>
      <c r="O721" s="73" t="str">
        <f>IF(Main[[#This Row],[Tech Start Date]]&lt;1/1/1990,"",IF(Main[[#This Row],[Class]]="C",WORKDAY(Main[[#This Row],[Tech Start Date]],23),IF(Main[[#This Row],[Class]]="B", WORKDAY(Main[[#This Row],[Tech Start Date]],15),IF(Main[[#This Row],[Class]]="A",WORKDAY(Main[[#This Row],[Tech Start Date]],5),""))))</f>
        <v/>
      </c>
      <c r="P721" s="73" t="str">
        <f>IF(Main[[#This Row],[Tech Start Date]]&lt;1/1/1990,"",IF(Main[[#This Row],[Class]]="C",WORKDAY(Main[[#This Row],[Tech Start Date]],28),IF(Main[[#This Row],[Class]]="B", WORKDAY(Main[[#This Row],[Tech Start Date]],19),IF(Main[[#This Row],[Class]]="A",WORKDAY(Main[[#This Row],[Tech Start Date]],9),""))))</f>
        <v/>
      </c>
      <c r="Q721" s="85">
        <v>40385</v>
      </c>
      <c r="R721" s="112"/>
      <c r="S721" s="95" t="s">
        <v>6</v>
      </c>
      <c r="T721" s="74" t="s">
        <v>4</v>
      </c>
      <c r="U721" s="95" t="s">
        <v>7</v>
      </c>
      <c r="V721" s="95" t="s">
        <v>1911</v>
      </c>
      <c r="W721" s="95" t="s">
        <v>1913</v>
      </c>
      <c r="X721" s="95" t="s">
        <v>102</v>
      </c>
      <c r="Y721" s="72" t="s">
        <v>3010</v>
      </c>
      <c r="Z721" s="72" t="s">
        <v>4</v>
      </c>
      <c r="AA721" s="95" t="s">
        <v>3357</v>
      </c>
      <c r="AB721" s="132"/>
      <c r="AC721" s="132"/>
      <c r="AD721" s="132"/>
      <c r="AE721" s="63"/>
      <c r="AF721" s="63"/>
      <c r="AG721" s="63"/>
    </row>
    <row r="722" spans="1:33" ht="17.2" customHeight="1">
      <c r="A722" s="64" t="str">
        <f>IF(priority(Main[[#This Row],[Comments]])&lt;&gt;0, priority(Main[[#This Row],[Comments]]),"")</f>
        <v/>
      </c>
      <c r="B722" s="60" t="s">
        <v>1463</v>
      </c>
      <c r="C722" s="72" t="s">
        <v>93</v>
      </c>
      <c r="D722" s="59" t="s">
        <v>557</v>
      </c>
      <c r="E722" s="85"/>
      <c r="F722" s="85">
        <v>40299</v>
      </c>
      <c r="G722" s="64" t="str">
        <f>IF(stdProdLT(Main[[#This Row],[Comments]])=0.1,"N/A",IF(stdProdLT(Main[[#This Row],[Comments]])=0,"",TRIM(stdProdLT(Main[[#This Row],[Comments]]))))</f>
        <v/>
      </c>
      <c r="H722" s="94" t="str">
        <f>IF(OR(Main[[#This Row],[Std. Prod. Lead Time]]="N/A",Main[[#This Row],[Std. Prod. Lead Time]]=""), "",IF(AND(Main[[#This Row],[In Stock Date]]&lt;&gt;"",Main[[#This Row],[Revised Due Date]]&lt;&gt;"",Main[[#This Row],[In Stock Date]]&lt;&gt;""),Main[[#This Row],[In Stock Date]]-Main[[#This Row],[Revised Due Date]],""))</f>
        <v/>
      </c>
      <c r="I722" s="101" t="s">
        <v>4</v>
      </c>
      <c r="J722" s="95" t="s">
        <v>4</v>
      </c>
      <c r="K722" s="95" t="s">
        <v>4</v>
      </c>
      <c r="L722" s="85"/>
      <c r="M722" s="73" t="str">
        <f>IF(Main[[#This Row],[Tech Start Date]]&lt;1/1/1990,"",IF(Main[[#This Row],[Class]]="C",WORKDAY(Main[[#This Row],[Tech Start Date]],9),IF(Main[[#This Row],[Class]]="B", WORKDAY(Main[[#This Row],[Tech Start Date]],6),IF(Main[[#This Row],[Class]]="A",WORKDAY(Main[[#This Row],[Tech Start Date]],2),""))))</f>
        <v/>
      </c>
      <c r="N722" s="73" t="str">
        <f>IF(Main[[#This Row],[Tech Start Date]]&lt;1/1/1990,"",IF(Main[[#This Row],[Class]]="C",WORKDAY(Main[[#This Row],[Tech Start Date]],19),IF(Main[[#This Row],[Class]]="B", WORKDAY(Main[[#This Row],[Tech Start Date]],12),IF(Main[[#This Row],[Class]]="A",WORKDAY(Main[[#This Row],[Tech Start Date]],4),""))))</f>
        <v/>
      </c>
      <c r="O722" s="73" t="str">
        <f>IF(Main[[#This Row],[Tech Start Date]]&lt;1/1/1990,"",IF(Main[[#This Row],[Class]]="C",WORKDAY(Main[[#This Row],[Tech Start Date]],23),IF(Main[[#This Row],[Class]]="B", WORKDAY(Main[[#This Row],[Tech Start Date]],15),IF(Main[[#This Row],[Class]]="A",WORKDAY(Main[[#This Row],[Tech Start Date]],5),""))))</f>
        <v/>
      </c>
      <c r="P722" s="73" t="str">
        <f>IF(Main[[#This Row],[Tech Start Date]]&lt;1/1/1990,"",IF(Main[[#This Row],[Class]]="C",WORKDAY(Main[[#This Row],[Tech Start Date]],28),IF(Main[[#This Row],[Class]]="B", WORKDAY(Main[[#This Row],[Tech Start Date]],19),IF(Main[[#This Row],[Class]]="A",WORKDAY(Main[[#This Row],[Tech Start Date]],9),""))))</f>
        <v/>
      </c>
      <c r="Q722" s="85">
        <v>40171</v>
      </c>
      <c r="R722" s="112"/>
      <c r="S722" s="95" t="s">
        <v>11</v>
      </c>
      <c r="T722" s="74" t="s">
        <v>4</v>
      </c>
      <c r="U722" s="95" t="s">
        <v>14</v>
      </c>
      <c r="V722" s="95" t="s">
        <v>1914</v>
      </c>
      <c r="W722" s="95" t="s">
        <v>1917</v>
      </c>
      <c r="X722" s="95" t="s">
        <v>530</v>
      </c>
      <c r="Y722" s="72" t="s">
        <v>3031</v>
      </c>
      <c r="Z722" s="72" t="s">
        <v>4</v>
      </c>
      <c r="AA722" s="95" t="s">
        <v>3377</v>
      </c>
      <c r="AB722" s="132"/>
      <c r="AC722" s="132"/>
      <c r="AD722" s="132"/>
      <c r="AE722" s="63"/>
      <c r="AF722" s="63"/>
      <c r="AG722" s="63"/>
    </row>
    <row r="723" spans="1:33" ht="17.2" customHeight="1">
      <c r="A723" s="64" t="str">
        <f>IF(priority(Main[[#This Row],[Comments]])&lt;&gt;0, priority(Main[[#This Row],[Comments]]),"")</f>
        <v/>
      </c>
      <c r="B723" s="60" t="s">
        <v>1464</v>
      </c>
      <c r="C723" s="72" t="s">
        <v>47</v>
      </c>
      <c r="D723" s="59" t="s">
        <v>558</v>
      </c>
      <c r="E723" s="85">
        <v>39937.590590277781</v>
      </c>
      <c r="F723" s="85"/>
      <c r="G723" s="64" t="str">
        <f>IF(stdProdLT(Main[[#This Row],[Comments]])=0.1,"N/A",IF(stdProdLT(Main[[#This Row],[Comments]])=0,"",TRIM(stdProdLT(Main[[#This Row],[Comments]]))))</f>
        <v/>
      </c>
      <c r="H723" s="94" t="str">
        <f>IF(OR(Main[[#This Row],[Std. Prod. Lead Time]]="N/A",Main[[#This Row],[Std. Prod. Lead Time]]=""), "",IF(AND(Main[[#This Row],[In Stock Date]]&lt;&gt;"",Main[[#This Row],[Revised Due Date]]&lt;&gt;"",Main[[#This Row],[In Stock Date]]&lt;&gt;""),Main[[#This Row],[In Stock Date]]-Main[[#This Row],[Revised Due Date]],""))</f>
        <v/>
      </c>
      <c r="I723" s="101" t="s">
        <v>4</v>
      </c>
      <c r="J723" s="95" t="s">
        <v>4</v>
      </c>
      <c r="K723" s="95" t="s">
        <v>4</v>
      </c>
      <c r="L723" s="85"/>
      <c r="M723" s="73" t="str">
        <f>IF(Main[[#This Row],[Tech Start Date]]&lt;1/1/1990,"",IF(Main[[#This Row],[Class]]="C",WORKDAY(Main[[#This Row],[Tech Start Date]],9),IF(Main[[#This Row],[Class]]="B", WORKDAY(Main[[#This Row],[Tech Start Date]],6),IF(Main[[#This Row],[Class]]="A",WORKDAY(Main[[#This Row],[Tech Start Date]],2),""))))</f>
        <v/>
      </c>
      <c r="N723" s="73" t="str">
        <f>IF(Main[[#This Row],[Tech Start Date]]&lt;1/1/1990,"",IF(Main[[#This Row],[Class]]="C",WORKDAY(Main[[#This Row],[Tech Start Date]],19),IF(Main[[#This Row],[Class]]="B", WORKDAY(Main[[#This Row],[Tech Start Date]],12),IF(Main[[#This Row],[Class]]="A",WORKDAY(Main[[#This Row],[Tech Start Date]],4),""))))</f>
        <v/>
      </c>
      <c r="O723" s="73" t="str">
        <f>IF(Main[[#This Row],[Tech Start Date]]&lt;1/1/1990,"",IF(Main[[#This Row],[Class]]="C",WORKDAY(Main[[#This Row],[Tech Start Date]],23),IF(Main[[#This Row],[Class]]="B", WORKDAY(Main[[#This Row],[Tech Start Date]],15),IF(Main[[#This Row],[Class]]="A",WORKDAY(Main[[#This Row],[Tech Start Date]],5),""))))</f>
        <v/>
      </c>
      <c r="P723" s="73" t="str">
        <f>IF(Main[[#This Row],[Tech Start Date]]&lt;1/1/1990,"",IF(Main[[#This Row],[Class]]="C",WORKDAY(Main[[#This Row],[Tech Start Date]],28),IF(Main[[#This Row],[Class]]="B", WORKDAY(Main[[#This Row],[Tech Start Date]],19),IF(Main[[#This Row],[Class]]="A",WORKDAY(Main[[#This Row],[Tech Start Date]],9),""))))</f>
        <v/>
      </c>
      <c r="Q723" s="85"/>
      <c r="R723" s="112"/>
      <c r="S723" s="95" t="s">
        <v>17</v>
      </c>
      <c r="T723" s="74" t="s">
        <v>4</v>
      </c>
      <c r="U723" s="95" t="s">
        <v>7</v>
      </c>
      <c r="V723" s="95" t="s">
        <v>1914</v>
      </c>
      <c r="W723" s="95" t="s">
        <v>4</v>
      </c>
      <c r="X723" s="95" t="s">
        <v>2807</v>
      </c>
      <c r="Y723" s="72" t="s">
        <v>2926</v>
      </c>
      <c r="Z723" s="72" t="s">
        <v>4</v>
      </c>
      <c r="AA723" s="95" t="s">
        <v>2807</v>
      </c>
      <c r="AB723" s="132"/>
      <c r="AC723" s="132"/>
      <c r="AD723" s="132"/>
      <c r="AE723" s="63"/>
      <c r="AF723" s="63"/>
      <c r="AG723" s="63"/>
    </row>
    <row r="724" spans="1:33" ht="17.2" customHeight="1">
      <c r="A724" s="64" t="str">
        <f>IF(priority(Main[[#This Row],[Comments]])&lt;&gt;0, priority(Main[[#This Row],[Comments]]),"")</f>
        <v/>
      </c>
      <c r="B724" s="60" t="s">
        <v>1465</v>
      </c>
      <c r="C724" s="72" t="s">
        <v>277</v>
      </c>
      <c r="D724" s="59" t="s">
        <v>559</v>
      </c>
      <c r="E724" s="85"/>
      <c r="F724" s="85">
        <v>40567</v>
      </c>
      <c r="G724" s="64" t="str">
        <f>IF(stdProdLT(Main[[#This Row],[Comments]])=0.1,"N/A",IF(stdProdLT(Main[[#This Row],[Comments]])=0,"",TRIM(stdProdLT(Main[[#This Row],[Comments]]))))</f>
        <v/>
      </c>
      <c r="H724" s="94" t="str">
        <f>IF(OR(Main[[#This Row],[Std. Prod. Lead Time]]="N/A",Main[[#This Row],[Std. Prod. Lead Time]]=""), "",IF(AND(Main[[#This Row],[In Stock Date]]&lt;&gt;"",Main[[#This Row],[Revised Due Date]]&lt;&gt;"",Main[[#This Row],[In Stock Date]]&lt;&gt;""),Main[[#This Row],[In Stock Date]]-Main[[#This Row],[Revised Due Date]],""))</f>
        <v/>
      </c>
      <c r="I724" s="101" t="s">
        <v>4</v>
      </c>
      <c r="J724" s="95" t="s">
        <v>4</v>
      </c>
      <c r="K724" s="95" t="s">
        <v>4</v>
      </c>
      <c r="L724" s="85"/>
      <c r="M724" s="73" t="str">
        <f>IF(Main[[#This Row],[Tech Start Date]]&lt;1/1/1990,"",IF(Main[[#This Row],[Class]]="C",WORKDAY(Main[[#This Row],[Tech Start Date]],9),IF(Main[[#This Row],[Class]]="B", WORKDAY(Main[[#This Row],[Tech Start Date]],6),IF(Main[[#This Row],[Class]]="A",WORKDAY(Main[[#This Row],[Tech Start Date]],2),""))))</f>
        <v/>
      </c>
      <c r="N724" s="73" t="str">
        <f>IF(Main[[#This Row],[Tech Start Date]]&lt;1/1/1990,"",IF(Main[[#This Row],[Class]]="C",WORKDAY(Main[[#This Row],[Tech Start Date]],19),IF(Main[[#This Row],[Class]]="B", WORKDAY(Main[[#This Row],[Tech Start Date]],12),IF(Main[[#This Row],[Class]]="A",WORKDAY(Main[[#This Row],[Tech Start Date]],4),""))))</f>
        <v/>
      </c>
      <c r="O724" s="73" t="str">
        <f>IF(Main[[#This Row],[Tech Start Date]]&lt;1/1/1990,"",IF(Main[[#This Row],[Class]]="C",WORKDAY(Main[[#This Row],[Tech Start Date]],23),IF(Main[[#This Row],[Class]]="B", WORKDAY(Main[[#This Row],[Tech Start Date]],15),IF(Main[[#This Row],[Class]]="A",WORKDAY(Main[[#This Row],[Tech Start Date]],5),""))))</f>
        <v/>
      </c>
      <c r="P724" s="73" t="str">
        <f>IF(Main[[#This Row],[Tech Start Date]]&lt;1/1/1990,"",IF(Main[[#This Row],[Class]]="C",WORKDAY(Main[[#This Row],[Tech Start Date]],28),IF(Main[[#This Row],[Class]]="B", WORKDAY(Main[[#This Row],[Tech Start Date]],19),IF(Main[[#This Row],[Class]]="A",WORKDAY(Main[[#This Row],[Tech Start Date]],9),""))))</f>
        <v/>
      </c>
      <c r="Q724" s="85">
        <v>40427</v>
      </c>
      <c r="R724" s="112"/>
      <c r="S724" s="95" t="s">
        <v>11</v>
      </c>
      <c r="T724" s="74" t="s">
        <v>4</v>
      </c>
      <c r="U724" s="95" t="s">
        <v>14</v>
      </c>
      <c r="V724" s="95" t="s">
        <v>1911</v>
      </c>
      <c r="W724" s="95" t="s">
        <v>1919</v>
      </c>
      <c r="X724" s="95" t="s">
        <v>2823</v>
      </c>
      <c r="Y724" s="72" t="s">
        <v>4</v>
      </c>
      <c r="Z724" s="72" t="s">
        <v>4</v>
      </c>
      <c r="AA724" s="95" t="s">
        <v>2823</v>
      </c>
      <c r="AB724" s="132"/>
      <c r="AC724" s="132"/>
      <c r="AD724" s="132"/>
      <c r="AE724" s="63"/>
      <c r="AF724" s="63"/>
      <c r="AG724" s="63"/>
    </row>
    <row r="725" spans="1:33" ht="17.2" customHeight="1">
      <c r="A725" s="64" t="str">
        <f>IF(priority(Main[[#This Row],[Comments]])&lt;&gt;0, priority(Main[[#This Row],[Comments]]),"")</f>
        <v/>
      </c>
      <c r="B725" s="60" t="s">
        <v>1466</v>
      </c>
      <c r="C725" s="72" t="s">
        <v>4</v>
      </c>
      <c r="D725" s="59" t="s">
        <v>560</v>
      </c>
      <c r="E725" s="85">
        <v>40414.808692129627</v>
      </c>
      <c r="F725" s="85"/>
      <c r="G725" s="64" t="str">
        <f>IF(stdProdLT(Main[[#This Row],[Comments]])=0.1,"N/A",IF(stdProdLT(Main[[#This Row],[Comments]])=0,"",TRIM(stdProdLT(Main[[#This Row],[Comments]]))))</f>
        <v/>
      </c>
      <c r="H725" s="94" t="str">
        <f>IF(OR(Main[[#This Row],[Std. Prod. Lead Time]]="N/A",Main[[#This Row],[Std. Prod. Lead Time]]=""), "",IF(AND(Main[[#This Row],[In Stock Date]]&lt;&gt;"",Main[[#This Row],[Revised Due Date]]&lt;&gt;"",Main[[#This Row],[In Stock Date]]&lt;&gt;""),Main[[#This Row],[In Stock Date]]-Main[[#This Row],[Revised Due Date]],""))</f>
        <v/>
      </c>
      <c r="I725" s="101" t="s">
        <v>4</v>
      </c>
      <c r="J725" s="95" t="s">
        <v>28</v>
      </c>
      <c r="K725" s="95" t="s">
        <v>4</v>
      </c>
      <c r="L725" s="85"/>
      <c r="M725" s="73" t="str">
        <f>IF(Main[[#This Row],[Tech Start Date]]&lt;1/1/1990,"",IF(Main[[#This Row],[Class]]="C",WORKDAY(Main[[#This Row],[Tech Start Date]],9),IF(Main[[#This Row],[Class]]="B", WORKDAY(Main[[#This Row],[Tech Start Date]],6),IF(Main[[#This Row],[Class]]="A",WORKDAY(Main[[#This Row],[Tech Start Date]],2),""))))</f>
        <v/>
      </c>
      <c r="N725" s="73" t="str">
        <f>IF(Main[[#This Row],[Tech Start Date]]&lt;1/1/1990,"",IF(Main[[#This Row],[Class]]="C",WORKDAY(Main[[#This Row],[Tech Start Date]],19),IF(Main[[#This Row],[Class]]="B", WORKDAY(Main[[#This Row],[Tech Start Date]],12),IF(Main[[#This Row],[Class]]="A",WORKDAY(Main[[#This Row],[Tech Start Date]],4),""))))</f>
        <v/>
      </c>
      <c r="O725" s="73" t="str">
        <f>IF(Main[[#This Row],[Tech Start Date]]&lt;1/1/1990,"",IF(Main[[#This Row],[Class]]="C",WORKDAY(Main[[#This Row],[Tech Start Date]],23),IF(Main[[#This Row],[Class]]="B", WORKDAY(Main[[#This Row],[Tech Start Date]],15),IF(Main[[#This Row],[Class]]="A",WORKDAY(Main[[#This Row],[Tech Start Date]],5),""))))</f>
        <v/>
      </c>
      <c r="P725" s="73" t="str">
        <f>IF(Main[[#This Row],[Tech Start Date]]&lt;1/1/1990,"",IF(Main[[#This Row],[Class]]="C",WORKDAY(Main[[#This Row],[Tech Start Date]],28),IF(Main[[#This Row],[Class]]="B", WORKDAY(Main[[#This Row],[Tech Start Date]],19),IF(Main[[#This Row],[Class]]="A",WORKDAY(Main[[#This Row],[Tech Start Date]],9),""))))</f>
        <v/>
      </c>
      <c r="Q725" s="85">
        <v>40429</v>
      </c>
      <c r="R725" s="112"/>
      <c r="S725" s="95" t="s">
        <v>318</v>
      </c>
      <c r="T725" s="74" t="s">
        <v>4</v>
      </c>
      <c r="U725" s="95" t="s">
        <v>7</v>
      </c>
      <c r="V725" s="95" t="s">
        <v>1911</v>
      </c>
      <c r="W725" s="95" t="s">
        <v>1915</v>
      </c>
      <c r="X725" s="95" t="s">
        <v>2801</v>
      </c>
      <c r="Y725" s="72" t="s">
        <v>2914</v>
      </c>
      <c r="Z725" s="72" t="s">
        <v>129</v>
      </c>
      <c r="AA725" s="95" t="s">
        <v>2801</v>
      </c>
      <c r="AB725" s="132"/>
      <c r="AC725" s="132"/>
      <c r="AD725" s="132"/>
      <c r="AE725" s="63"/>
      <c r="AF725" s="63"/>
      <c r="AG725" s="63"/>
    </row>
    <row r="726" spans="1:33" ht="17.2" customHeight="1">
      <c r="A726" s="64" t="str">
        <f>IF(priority(Main[[#This Row],[Comments]])&lt;&gt;0, priority(Main[[#This Row],[Comments]]),"")</f>
        <v/>
      </c>
      <c r="B726" s="60" t="s">
        <v>1502</v>
      </c>
      <c r="C726" s="72" t="s">
        <v>58</v>
      </c>
      <c r="D726" s="59" t="s">
        <v>576</v>
      </c>
      <c r="E726" s="85"/>
      <c r="F726" s="85">
        <v>40697</v>
      </c>
      <c r="G726" s="64" t="str">
        <f>IF(stdProdLT(Main[[#This Row],[Comments]])=0.1,"N/A",IF(stdProdLT(Main[[#This Row],[Comments]])=0,"",TRIM(stdProdLT(Main[[#This Row],[Comments]]))))</f>
        <v/>
      </c>
      <c r="H726" s="94" t="str">
        <f>IF(OR(Main[[#This Row],[Std. Prod. Lead Time]]="N/A",Main[[#This Row],[Std. Prod. Lead Time]]=""), "",IF(AND(Main[[#This Row],[In Stock Date]]&lt;&gt;"",Main[[#This Row],[Revised Due Date]]&lt;&gt;"",Main[[#This Row],[In Stock Date]]&lt;&gt;""),Main[[#This Row],[In Stock Date]]-Main[[#This Row],[Revised Due Date]],""))</f>
        <v/>
      </c>
      <c r="I726" s="101" t="s">
        <v>417</v>
      </c>
      <c r="J726" s="95" t="s">
        <v>75</v>
      </c>
      <c r="K726" s="95" t="s">
        <v>1918</v>
      </c>
      <c r="L726" s="85"/>
      <c r="M726" s="73" t="str">
        <f>IF(Main[[#This Row],[Tech Start Date]]&lt;1/1/1990,"",IF(Main[[#This Row],[Class]]="C",WORKDAY(Main[[#This Row],[Tech Start Date]],9),IF(Main[[#This Row],[Class]]="B", WORKDAY(Main[[#This Row],[Tech Start Date]],6),IF(Main[[#This Row],[Class]]="A",WORKDAY(Main[[#This Row],[Tech Start Date]],2),""))))</f>
        <v/>
      </c>
      <c r="N726" s="73" t="str">
        <f>IF(Main[[#This Row],[Tech Start Date]]&lt;1/1/1990,"",IF(Main[[#This Row],[Class]]="C",WORKDAY(Main[[#This Row],[Tech Start Date]],19),IF(Main[[#This Row],[Class]]="B", WORKDAY(Main[[#This Row],[Tech Start Date]],12),IF(Main[[#This Row],[Class]]="A",WORKDAY(Main[[#This Row],[Tech Start Date]],4),""))))</f>
        <v/>
      </c>
      <c r="O726" s="73" t="str">
        <f>IF(Main[[#This Row],[Tech Start Date]]&lt;1/1/1990,"",IF(Main[[#This Row],[Class]]="C",WORKDAY(Main[[#This Row],[Tech Start Date]],23),IF(Main[[#This Row],[Class]]="B", WORKDAY(Main[[#This Row],[Tech Start Date]],15),IF(Main[[#This Row],[Class]]="A",WORKDAY(Main[[#This Row],[Tech Start Date]],5),""))))</f>
        <v/>
      </c>
      <c r="P726" s="73" t="str">
        <f>IF(Main[[#This Row],[Tech Start Date]]&lt;1/1/1990,"",IF(Main[[#This Row],[Class]]="C",WORKDAY(Main[[#This Row],[Tech Start Date]],28),IF(Main[[#This Row],[Class]]="B", WORKDAY(Main[[#This Row],[Tech Start Date]],19),IF(Main[[#This Row],[Class]]="A",WORKDAY(Main[[#This Row],[Tech Start Date]],9),""))))</f>
        <v/>
      </c>
      <c r="Q726" s="85">
        <v>40539</v>
      </c>
      <c r="R726" s="112"/>
      <c r="S726" s="95" t="s">
        <v>11</v>
      </c>
      <c r="T726" s="74" t="s">
        <v>4</v>
      </c>
      <c r="U726" s="95" t="s">
        <v>14</v>
      </c>
      <c r="V726" s="95" t="s">
        <v>1921</v>
      </c>
      <c r="W726" s="95" t="s">
        <v>1917</v>
      </c>
      <c r="X726" s="95" t="s">
        <v>2809</v>
      </c>
      <c r="Y726" s="72" t="s">
        <v>2929</v>
      </c>
      <c r="Z726" s="72" t="s">
        <v>306</v>
      </c>
      <c r="AA726" s="95" t="s">
        <v>2809</v>
      </c>
      <c r="AB726" s="132"/>
      <c r="AC726" s="132"/>
      <c r="AD726" s="132"/>
      <c r="AE726" s="63"/>
      <c r="AF726" s="63"/>
      <c r="AG726" s="63"/>
    </row>
    <row r="727" spans="1:33" ht="17.2" customHeight="1">
      <c r="A727" s="64" t="str">
        <f>IF(priority(Main[[#This Row],[Comments]])&lt;&gt;0, priority(Main[[#This Row],[Comments]]),"")</f>
        <v/>
      </c>
      <c r="B727" s="60" t="s">
        <v>1504</v>
      </c>
      <c r="C727" s="72" t="s">
        <v>578</v>
      </c>
      <c r="D727" s="59" t="s">
        <v>579</v>
      </c>
      <c r="E727" s="85"/>
      <c r="F727" s="85">
        <v>40596</v>
      </c>
      <c r="G727" s="64" t="str">
        <f>IF(stdProdLT(Main[[#This Row],[Comments]])=0.1,"N/A",IF(stdProdLT(Main[[#This Row],[Comments]])=0,"",TRIM(stdProdLT(Main[[#This Row],[Comments]]))))</f>
        <v/>
      </c>
      <c r="H727" s="94" t="str">
        <f>IF(OR(Main[[#This Row],[Std. Prod. Lead Time]]="N/A",Main[[#This Row],[Std. Prod. Lead Time]]=""), "",IF(AND(Main[[#This Row],[In Stock Date]]&lt;&gt;"",Main[[#This Row],[Revised Due Date]]&lt;&gt;"",Main[[#This Row],[In Stock Date]]&lt;&gt;""),Main[[#This Row],[In Stock Date]]-Main[[#This Row],[Revised Due Date]],""))</f>
        <v/>
      </c>
      <c r="I727" s="101" t="s">
        <v>4</v>
      </c>
      <c r="J727" s="95" t="s">
        <v>28</v>
      </c>
      <c r="K727" s="95" t="s">
        <v>4</v>
      </c>
      <c r="L727" s="85"/>
      <c r="M727" s="73" t="str">
        <f>IF(Main[[#This Row],[Tech Start Date]]&lt;1/1/1990,"",IF(Main[[#This Row],[Class]]="C",WORKDAY(Main[[#This Row],[Tech Start Date]],9),IF(Main[[#This Row],[Class]]="B", WORKDAY(Main[[#This Row],[Tech Start Date]],6),IF(Main[[#This Row],[Class]]="A",WORKDAY(Main[[#This Row],[Tech Start Date]],2),""))))</f>
        <v/>
      </c>
      <c r="N727" s="73" t="str">
        <f>IF(Main[[#This Row],[Tech Start Date]]&lt;1/1/1990,"",IF(Main[[#This Row],[Class]]="C",WORKDAY(Main[[#This Row],[Tech Start Date]],19),IF(Main[[#This Row],[Class]]="B", WORKDAY(Main[[#This Row],[Tech Start Date]],12),IF(Main[[#This Row],[Class]]="A",WORKDAY(Main[[#This Row],[Tech Start Date]],4),""))))</f>
        <v/>
      </c>
      <c r="O727" s="73" t="str">
        <f>IF(Main[[#This Row],[Tech Start Date]]&lt;1/1/1990,"",IF(Main[[#This Row],[Class]]="C",WORKDAY(Main[[#This Row],[Tech Start Date]],23),IF(Main[[#This Row],[Class]]="B", WORKDAY(Main[[#This Row],[Tech Start Date]],15),IF(Main[[#This Row],[Class]]="A",WORKDAY(Main[[#This Row],[Tech Start Date]],5),""))))</f>
        <v/>
      </c>
      <c r="P727" s="73" t="str">
        <f>IF(Main[[#This Row],[Tech Start Date]]&lt;1/1/1990,"",IF(Main[[#This Row],[Class]]="C",WORKDAY(Main[[#This Row],[Tech Start Date]],28),IF(Main[[#This Row],[Class]]="B", WORKDAY(Main[[#This Row],[Tech Start Date]],19),IF(Main[[#This Row],[Class]]="A",WORKDAY(Main[[#This Row],[Tech Start Date]],9),""))))</f>
        <v/>
      </c>
      <c r="Q727" s="85">
        <v>40414</v>
      </c>
      <c r="R727" s="112"/>
      <c r="S727" s="95" t="s">
        <v>11</v>
      </c>
      <c r="T727" s="74" t="s">
        <v>4</v>
      </c>
      <c r="U727" s="95" t="s">
        <v>14</v>
      </c>
      <c r="V727" s="95" t="s">
        <v>1914</v>
      </c>
      <c r="W727" s="95" t="s">
        <v>1916</v>
      </c>
      <c r="X727" s="95" t="s">
        <v>2806</v>
      </c>
      <c r="Y727" s="72" t="s">
        <v>2924</v>
      </c>
      <c r="Z727" s="72" t="s">
        <v>530</v>
      </c>
      <c r="AA727" s="95" t="s">
        <v>2806</v>
      </c>
      <c r="AB727" s="132"/>
      <c r="AC727" s="132"/>
      <c r="AD727" s="132"/>
      <c r="AE727" s="63"/>
      <c r="AF727" s="63"/>
      <c r="AG727" s="63"/>
    </row>
    <row r="728" spans="1:33" ht="17.2" customHeight="1">
      <c r="A728" s="64" t="str">
        <f>IF(priority(Main[[#This Row],[Comments]])&lt;&gt;0, priority(Main[[#This Row],[Comments]]),"")</f>
        <v/>
      </c>
      <c r="B728" s="60" t="s">
        <v>1505</v>
      </c>
      <c r="C728" s="72" t="s">
        <v>580</v>
      </c>
      <c r="D728" s="59" t="s">
        <v>581</v>
      </c>
      <c r="E728" s="85"/>
      <c r="F728" s="85"/>
      <c r="G728" s="64" t="str">
        <f>IF(stdProdLT(Main[[#This Row],[Comments]])=0.1,"N/A",IF(stdProdLT(Main[[#This Row],[Comments]])=0,"",TRIM(stdProdLT(Main[[#This Row],[Comments]]))))</f>
        <v/>
      </c>
      <c r="H728" s="94" t="str">
        <f>IF(OR(Main[[#This Row],[Std. Prod. Lead Time]]="N/A",Main[[#This Row],[Std. Prod. Lead Time]]=""), "",IF(AND(Main[[#This Row],[In Stock Date]]&lt;&gt;"",Main[[#This Row],[Revised Due Date]]&lt;&gt;"",Main[[#This Row],[In Stock Date]]&lt;&gt;""),Main[[#This Row],[In Stock Date]]-Main[[#This Row],[Revised Due Date]],""))</f>
        <v/>
      </c>
      <c r="I728" s="101" t="s">
        <v>4</v>
      </c>
      <c r="J728" s="95" t="s">
        <v>4</v>
      </c>
      <c r="K728" s="95" t="s">
        <v>4</v>
      </c>
      <c r="L728" s="85"/>
      <c r="M728" s="73" t="str">
        <f>IF(Main[[#This Row],[Tech Start Date]]&lt;1/1/1990,"",IF(Main[[#This Row],[Class]]="C",WORKDAY(Main[[#This Row],[Tech Start Date]],9),IF(Main[[#This Row],[Class]]="B", WORKDAY(Main[[#This Row],[Tech Start Date]],6),IF(Main[[#This Row],[Class]]="A",WORKDAY(Main[[#This Row],[Tech Start Date]],2),""))))</f>
        <v/>
      </c>
      <c r="N728" s="73" t="str">
        <f>IF(Main[[#This Row],[Tech Start Date]]&lt;1/1/1990,"",IF(Main[[#This Row],[Class]]="C",WORKDAY(Main[[#This Row],[Tech Start Date]],19),IF(Main[[#This Row],[Class]]="B", WORKDAY(Main[[#This Row],[Tech Start Date]],12),IF(Main[[#This Row],[Class]]="A",WORKDAY(Main[[#This Row],[Tech Start Date]],4),""))))</f>
        <v/>
      </c>
      <c r="O728" s="73" t="str">
        <f>IF(Main[[#This Row],[Tech Start Date]]&lt;1/1/1990,"",IF(Main[[#This Row],[Class]]="C",WORKDAY(Main[[#This Row],[Tech Start Date]],23),IF(Main[[#This Row],[Class]]="B", WORKDAY(Main[[#This Row],[Tech Start Date]],15),IF(Main[[#This Row],[Class]]="A",WORKDAY(Main[[#This Row],[Tech Start Date]],5),""))))</f>
        <v/>
      </c>
      <c r="P728" s="73" t="str">
        <f>IF(Main[[#This Row],[Tech Start Date]]&lt;1/1/1990,"",IF(Main[[#This Row],[Class]]="C",WORKDAY(Main[[#This Row],[Tech Start Date]],28),IF(Main[[#This Row],[Class]]="B", WORKDAY(Main[[#This Row],[Tech Start Date]],19),IF(Main[[#This Row],[Class]]="A",WORKDAY(Main[[#This Row],[Tech Start Date]],9),""))))</f>
        <v/>
      </c>
      <c r="Q728" s="85">
        <v>40476</v>
      </c>
      <c r="R728" s="112"/>
      <c r="S728" s="95" t="s">
        <v>11</v>
      </c>
      <c r="T728" s="74" t="s">
        <v>4</v>
      </c>
      <c r="U728" s="95" t="s">
        <v>14</v>
      </c>
      <c r="V728" s="95" t="s">
        <v>1911</v>
      </c>
      <c r="W728" s="95" t="s">
        <v>1919</v>
      </c>
      <c r="X728" s="95" t="s">
        <v>2859</v>
      </c>
      <c r="Y728" s="72" t="s">
        <v>3005</v>
      </c>
      <c r="Z728" s="72" t="s">
        <v>4</v>
      </c>
      <c r="AA728" s="95" t="s">
        <v>2859</v>
      </c>
      <c r="AB728" s="132"/>
      <c r="AC728" s="132"/>
      <c r="AD728" s="132"/>
      <c r="AE728" s="63"/>
      <c r="AF728" s="63"/>
      <c r="AG728" s="63"/>
    </row>
    <row r="729" spans="1:33" ht="17.2" customHeight="1">
      <c r="A729" s="64" t="str">
        <f>IF(priority(Main[[#This Row],[Comments]])&lt;&gt;0, priority(Main[[#This Row],[Comments]]),"")</f>
        <v/>
      </c>
      <c r="B729" s="60" t="s">
        <v>1506</v>
      </c>
      <c r="C729" s="72" t="s">
        <v>31</v>
      </c>
      <c r="D729" s="59" t="s">
        <v>582</v>
      </c>
      <c r="E729" s="85"/>
      <c r="F729" s="85">
        <v>40330</v>
      </c>
      <c r="G729" s="64" t="str">
        <f>IF(stdProdLT(Main[[#This Row],[Comments]])=0.1,"N/A",IF(stdProdLT(Main[[#This Row],[Comments]])=0,"",TRIM(stdProdLT(Main[[#This Row],[Comments]]))))</f>
        <v/>
      </c>
      <c r="H729" s="94" t="str">
        <f>IF(OR(Main[[#This Row],[Std. Prod. Lead Time]]="N/A",Main[[#This Row],[Std. Prod. Lead Time]]=""), "",IF(AND(Main[[#This Row],[In Stock Date]]&lt;&gt;"",Main[[#This Row],[Revised Due Date]]&lt;&gt;"",Main[[#This Row],[In Stock Date]]&lt;&gt;""),Main[[#This Row],[In Stock Date]]-Main[[#This Row],[Revised Due Date]],""))</f>
        <v/>
      </c>
      <c r="I729" s="101" t="s">
        <v>4</v>
      </c>
      <c r="J729" s="95" t="s">
        <v>4</v>
      </c>
      <c r="K729" s="95" t="s">
        <v>4</v>
      </c>
      <c r="L729" s="85"/>
      <c r="M729" s="73" t="str">
        <f>IF(Main[[#This Row],[Tech Start Date]]&lt;1/1/1990,"",IF(Main[[#This Row],[Class]]="C",WORKDAY(Main[[#This Row],[Tech Start Date]],9),IF(Main[[#This Row],[Class]]="B", WORKDAY(Main[[#This Row],[Tech Start Date]],6),IF(Main[[#This Row],[Class]]="A",WORKDAY(Main[[#This Row],[Tech Start Date]],2),""))))</f>
        <v/>
      </c>
      <c r="N729" s="73" t="str">
        <f>IF(Main[[#This Row],[Tech Start Date]]&lt;1/1/1990,"",IF(Main[[#This Row],[Class]]="C",WORKDAY(Main[[#This Row],[Tech Start Date]],19),IF(Main[[#This Row],[Class]]="B", WORKDAY(Main[[#This Row],[Tech Start Date]],12),IF(Main[[#This Row],[Class]]="A",WORKDAY(Main[[#This Row],[Tech Start Date]],4),""))))</f>
        <v/>
      </c>
      <c r="O729" s="73" t="str">
        <f>IF(Main[[#This Row],[Tech Start Date]]&lt;1/1/1990,"",IF(Main[[#This Row],[Class]]="C",WORKDAY(Main[[#This Row],[Tech Start Date]],23),IF(Main[[#This Row],[Class]]="B", WORKDAY(Main[[#This Row],[Tech Start Date]],15),IF(Main[[#This Row],[Class]]="A",WORKDAY(Main[[#This Row],[Tech Start Date]],5),""))))</f>
        <v/>
      </c>
      <c r="P729" s="73" t="str">
        <f>IF(Main[[#This Row],[Tech Start Date]]&lt;1/1/1990,"",IF(Main[[#This Row],[Class]]="C",WORKDAY(Main[[#This Row],[Tech Start Date]],28),IF(Main[[#This Row],[Class]]="B", WORKDAY(Main[[#This Row],[Tech Start Date]],19),IF(Main[[#This Row],[Class]]="A",WORKDAY(Main[[#This Row],[Tech Start Date]],9),""))))</f>
        <v/>
      </c>
      <c r="Q729" s="85">
        <v>40210</v>
      </c>
      <c r="R729" s="112"/>
      <c r="S729" s="95" t="s">
        <v>11</v>
      </c>
      <c r="T729" s="74" t="s">
        <v>4</v>
      </c>
      <c r="U729" s="95" t="s">
        <v>14</v>
      </c>
      <c r="V729" s="95" t="s">
        <v>1912</v>
      </c>
      <c r="W729" s="95" t="s">
        <v>1917</v>
      </c>
      <c r="X729" s="95" t="s">
        <v>2804</v>
      </c>
      <c r="Y729" s="72" t="s">
        <v>2921</v>
      </c>
      <c r="Z729" s="72" t="s">
        <v>4</v>
      </c>
      <c r="AA729" s="95" t="s">
        <v>2804</v>
      </c>
      <c r="AB729" s="132"/>
      <c r="AC729" s="132"/>
      <c r="AD729" s="132"/>
      <c r="AE729" s="63"/>
      <c r="AF729" s="63"/>
      <c r="AG729" s="63"/>
    </row>
    <row r="730" spans="1:33" ht="17.2" customHeight="1">
      <c r="A730" s="64" t="str">
        <f>IF(priority(Main[[#This Row],[Comments]])&lt;&gt;0, priority(Main[[#This Row],[Comments]]),"")</f>
        <v/>
      </c>
      <c r="B730" s="60" t="s">
        <v>1507</v>
      </c>
      <c r="C730" s="72" t="s">
        <v>4</v>
      </c>
      <c r="D730" s="59" t="s">
        <v>583</v>
      </c>
      <c r="E730" s="85"/>
      <c r="F730" s="85"/>
      <c r="G730" s="64" t="str">
        <f>IF(stdProdLT(Main[[#This Row],[Comments]])=0.1,"N/A",IF(stdProdLT(Main[[#This Row],[Comments]])=0,"",TRIM(stdProdLT(Main[[#This Row],[Comments]]))))</f>
        <v/>
      </c>
      <c r="H730" s="94" t="str">
        <f>IF(OR(Main[[#This Row],[Std. Prod. Lead Time]]="N/A",Main[[#This Row],[Std. Prod. Lead Time]]=""), "",IF(AND(Main[[#This Row],[In Stock Date]]&lt;&gt;"",Main[[#This Row],[Revised Due Date]]&lt;&gt;"",Main[[#This Row],[In Stock Date]]&lt;&gt;""),Main[[#This Row],[In Stock Date]]-Main[[#This Row],[Revised Due Date]],""))</f>
        <v/>
      </c>
      <c r="I730" s="101" t="s">
        <v>4</v>
      </c>
      <c r="J730" s="95" t="s">
        <v>4</v>
      </c>
      <c r="K730" s="95" t="s">
        <v>4</v>
      </c>
      <c r="L730" s="85"/>
      <c r="M730" s="73" t="str">
        <f>IF(Main[[#This Row],[Tech Start Date]]&lt;1/1/1990,"",IF(Main[[#This Row],[Class]]="C",WORKDAY(Main[[#This Row],[Tech Start Date]],9),IF(Main[[#This Row],[Class]]="B", WORKDAY(Main[[#This Row],[Tech Start Date]],6),IF(Main[[#This Row],[Class]]="A",WORKDAY(Main[[#This Row],[Tech Start Date]],2),""))))</f>
        <v/>
      </c>
      <c r="N730" s="73" t="str">
        <f>IF(Main[[#This Row],[Tech Start Date]]&lt;1/1/1990,"",IF(Main[[#This Row],[Class]]="C",WORKDAY(Main[[#This Row],[Tech Start Date]],19),IF(Main[[#This Row],[Class]]="B", WORKDAY(Main[[#This Row],[Tech Start Date]],12),IF(Main[[#This Row],[Class]]="A",WORKDAY(Main[[#This Row],[Tech Start Date]],4),""))))</f>
        <v/>
      </c>
      <c r="O730" s="73" t="str">
        <f>IF(Main[[#This Row],[Tech Start Date]]&lt;1/1/1990,"",IF(Main[[#This Row],[Class]]="C",WORKDAY(Main[[#This Row],[Tech Start Date]],23),IF(Main[[#This Row],[Class]]="B", WORKDAY(Main[[#This Row],[Tech Start Date]],15),IF(Main[[#This Row],[Class]]="A",WORKDAY(Main[[#This Row],[Tech Start Date]],5),""))))</f>
        <v/>
      </c>
      <c r="P730" s="73" t="str">
        <f>IF(Main[[#This Row],[Tech Start Date]]&lt;1/1/1990,"",IF(Main[[#This Row],[Class]]="C",WORKDAY(Main[[#This Row],[Tech Start Date]],28),IF(Main[[#This Row],[Class]]="B", WORKDAY(Main[[#This Row],[Tech Start Date]],19),IF(Main[[#This Row],[Class]]="A",WORKDAY(Main[[#This Row],[Tech Start Date]],9),""))))</f>
        <v/>
      </c>
      <c r="Q730" s="85">
        <v>40543</v>
      </c>
      <c r="R730" s="112"/>
      <c r="S730" s="95" t="s">
        <v>17</v>
      </c>
      <c r="T730" s="74" t="s">
        <v>4</v>
      </c>
      <c r="U730" s="95" t="s">
        <v>14</v>
      </c>
      <c r="V730" s="95" t="s">
        <v>1926</v>
      </c>
      <c r="W730" s="95" t="s">
        <v>1913</v>
      </c>
      <c r="X730" s="95" t="s">
        <v>129</v>
      </c>
      <c r="Y730" s="72" t="s">
        <v>2911</v>
      </c>
      <c r="Z730" s="72" t="s">
        <v>4</v>
      </c>
      <c r="AA730" s="95" t="s">
        <v>129</v>
      </c>
      <c r="AB730" s="132"/>
      <c r="AC730" s="132"/>
      <c r="AD730" s="132"/>
      <c r="AE730" s="63"/>
      <c r="AF730" s="63"/>
      <c r="AG730" s="63"/>
    </row>
    <row r="731" spans="1:33" ht="17.2" customHeight="1">
      <c r="A731" s="64" t="str">
        <f>IF(priority(Main[[#This Row],[Comments]])&lt;&gt;0, priority(Main[[#This Row],[Comments]]),"")</f>
        <v/>
      </c>
      <c r="B731" s="60" t="s">
        <v>1508</v>
      </c>
      <c r="C731" s="72" t="s">
        <v>378</v>
      </c>
      <c r="D731" s="59" t="s">
        <v>584</v>
      </c>
      <c r="E731" s="85"/>
      <c r="F731" s="85">
        <v>40228</v>
      </c>
      <c r="G731" s="64" t="str">
        <f>IF(stdProdLT(Main[[#This Row],[Comments]])=0.1,"N/A",IF(stdProdLT(Main[[#This Row],[Comments]])=0,"",TRIM(stdProdLT(Main[[#This Row],[Comments]]))))</f>
        <v/>
      </c>
      <c r="H731" s="94" t="str">
        <f>IF(OR(Main[[#This Row],[Std. Prod. Lead Time]]="N/A",Main[[#This Row],[Std. Prod. Lead Time]]=""), "",IF(AND(Main[[#This Row],[In Stock Date]]&lt;&gt;"",Main[[#This Row],[Revised Due Date]]&lt;&gt;"",Main[[#This Row],[In Stock Date]]&lt;&gt;""),Main[[#This Row],[In Stock Date]]-Main[[#This Row],[Revised Due Date]],""))</f>
        <v/>
      </c>
      <c r="I731" s="101" t="s">
        <v>4</v>
      </c>
      <c r="J731" s="95" t="s">
        <v>4</v>
      </c>
      <c r="K731" s="95" t="s">
        <v>4</v>
      </c>
      <c r="L731" s="85"/>
      <c r="M731" s="73" t="str">
        <f>IF(Main[[#This Row],[Tech Start Date]]&lt;1/1/1990,"",IF(Main[[#This Row],[Class]]="C",WORKDAY(Main[[#This Row],[Tech Start Date]],9),IF(Main[[#This Row],[Class]]="B", WORKDAY(Main[[#This Row],[Tech Start Date]],6),IF(Main[[#This Row],[Class]]="A",WORKDAY(Main[[#This Row],[Tech Start Date]],2),""))))</f>
        <v/>
      </c>
      <c r="N731" s="73" t="str">
        <f>IF(Main[[#This Row],[Tech Start Date]]&lt;1/1/1990,"",IF(Main[[#This Row],[Class]]="C",WORKDAY(Main[[#This Row],[Tech Start Date]],19),IF(Main[[#This Row],[Class]]="B", WORKDAY(Main[[#This Row],[Tech Start Date]],12),IF(Main[[#This Row],[Class]]="A",WORKDAY(Main[[#This Row],[Tech Start Date]],4),""))))</f>
        <v/>
      </c>
      <c r="O731" s="73" t="str">
        <f>IF(Main[[#This Row],[Tech Start Date]]&lt;1/1/1990,"",IF(Main[[#This Row],[Class]]="C",WORKDAY(Main[[#This Row],[Tech Start Date]],23),IF(Main[[#This Row],[Class]]="B", WORKDAY(Main[[#This Row],[Tech Start Date]],15),IF(Main[[#This Row],[Class]]="A",WORKDAY(Main[[#This Row],[Tech Start Date]],5),""))))</f>
        <v/>
      </c>
      <c r="P731" s="73" t="str">
        <f>IF(Main[[#This Row],[Tech Start Date]]&lt;1/1/1990,"",IF(Main[[#This Row],[Class]]="C",WORKDAY(Main[[#This Row],[Tech Start Date]],28),IF(Main[[#This Row],[Class]]="B", WORKDAY(Main[[#This Row],[Tech Start Date]],19),IF(Main[[#This Row],[Class]]="A",WORKDAY(Main[[#This Row],[Tech Start Date]],9),""))))</f>
        <v/>
      </c>
      <c r="Q731" s="85">
        <v>40153</v>
      </c>
      <c r="R731" s="112"/>
      <c r="S731" s="95" t="s">
        <v>11</v>
      </c>
      <c r="T731" s="74" t="s">
        <v>4</v>
      </c>
      <c r="U731" s="95" t="s">
        <v>14</v>
      </c>
      <c r="V731" s="95" t="s">
        <v>1914</v>
      </c>
      <c r="W731" s="95" t="s">
        <v>1919</v>
      </c>
      <c r="X731" s="95" t="s">
        <v>2843</v>
      </c>
      <c r="Y731" s="72" t="s">
        <v>4</v>
      </c>
      <c r="Z731" s="72" t="s">
        <v>4</v>
      </c>
      <c r="AA731" s="95" t="s">
        <v>2843</v>
      </c>
      <c r="AB731" s="132"/>
      <c r="AC731" s="132"/>
      <c r="AD731" s="132"/>
      <c r="AE731" s="63"/>
      <c r="AF731" s="63"/>
      <c r="AG731" s="63"/>
    </row>
    <row r="732" spans="1:33" ht="17.2" customHeight="1">
      <c r="A732" s="64" t="str">
        <f>IF(priority(Main[[#This Row],[Comments]])&lt;&gt;0, priority(Main[[#This Row],[Comments]]),"")</f>
        <v/>
      </c>
      <c r="B732" s="60" t="s">
        <v>1509</v>
      </c>
      <c r="C732" s="72" t="s">
        <v>275</v>
      </c>
      <c r="D732" s="59" t="s">
        <v>585</v>
      </c>
      <c r="E732" s="85"/>
      <c r="F732" s="85">
        <v>40186</v>
      </c>
      <c r="G732" s="64" t="str">
        <f>IF(stdProdLT(Main[[#This Row],[Comments]])=0.1,"N/A",IF(stdProdLT(Main[[#This Row],[Comments]])=0,"",TRIM(stdProdLT(Main[[#This Row],[Comments]]))))</f>
        <v/>
      </c>
      <c r="H732" s="94" t="str">
        <f>IF(OR(Main[[#This Row],[Std. Prod. Lead Time]]="N/A",Main[[#This Row],[Std. Prod. Lead Time]]=""), "",IF(AND(Main[[#This Row],[In Stock Date]]&lt;&gt;"",Main[[#This Row],[Revised Due Date]]&lt;&gt;"",Main[[#This Row],[In Stock Date]]&lt;&gt;""),Main[[#This Row],[In Stock Date]]-Main[[#This Row],[Revised Due Date]],""))</f>
        <v/>
      </c>
      <c r="I732" s="101" t="s">
        <v>4</v>
      </c>
      <c r="J732" s="95" t="s">
        <v>4</v>
      </c>
      <c r="K732" s="95" t="s">
        <v>4</v>
      </c>
      <c r="L732" s="85"/>
      <c r="M732" s="73" t="str">
        <f>IF(Main[[#This Row],[Tech Start Date]]&lt;1/1/1990,"",IF(Main[[#This Row],[Class]]="C",WORKDAY(Main[[#This Row],[Tech Start Date]],9),IF(Main[[#This Row],[Class]]="B", WORKDAY(Main[[#This Row],[Tech Start Date]],6),IF(Main[[#This Row],[Class]]="A",WORKDAY(Main[[#This Row],[Tech Start Date]],2),""))))</f>
        <v/>
      </c>
      <c r="N732" s="73" t="str">
        <f>IF(Main[[#This Row],[Tech Start Date]]&lt;1/1/1990,"",IF(Main[[#This Row],[Class]]="C",WORKDAY(Main[[#This Row],[Tech Start Date]],19),IF(Main[[#This Row],[Class]]="B", WORKDAY(Main[[#This Row],[Tech Start Date]],12),IF(Main[[#This Row],[Class]]="A",WORKDAY(Main[[#This Row],[Tech Start Date]],4),""))))</f>
        <v/>
      </c>
      <c r="O732" s="73" t="str">
        <f>IF(Main[[#This Row],[Tech Start Date]]&lt;1/1/1990,"",IF(Main[[#This Row],[Class]]="C",WORKDAY(Main[[#This Row],[Tech Start Date]],23),IF(Main[[#This Row],[Class]]="B", WORKDAY(Main[[#This Row],[Tech Start Date]],15),IF(Main[[#This Row],[Class]]="A",WORKDAY(Main[[#This Row],[Tech Start Date]],5),""))))</f>
        <v/>
      </c>
      <c r="P732" s="73" t="str">
        <f>IF(Main[[#This Row],[Tech Start Date]]&lt;1/1/1990,"",IF(Main[[#This Row],[Class]]="C",WORKDAY(Main[[#This Row],[Tech Start Date]],28),IF(Main[[#This Row],[Class]]="B", WORKDAY(Main[[#This Row],[Tech Start Date]],19),IF(Main[[#This Row],[Class]]="A",WORKDAY(Main[[#This Row],[Tech Start Date]],9),""))))</f>
        <v/>
      </c>
      <c r="Q732" s="85">
        <v>40186</v>
      </c>
      <c r="R732" s="112"/>
      <c r="S732" s="95" t="s">
        <v>11</v>
      </c>
      <c r="T732" s="74" t="s">
        <v>4</v>
      </c>
      <c r="U732" s="95" t="s">
        <v>14</v>
      </c>
      <c r="V732" s="95" t="s">
        <v>1914</v>
      </c>
      <c r="W732" s="95" t="s">
        <v>1919</v>
      </c>
      <c r="X732" s="95" t="s">
        <v>2822</v>
      </c>
      <c r="Y732" s="72" t="s">
        <v>4</v>
      </c>
      <c r="Z732" s="72" t="s">
        <v>4</v>
      </c>
      <c r="AA732" s="95" t="s">
        <v>2822</v>
      </c>
      <c r="AB732" s="132"/>
      <c r="AC732" s="132"/>
      <c r="AD732" s="132"/>
      <c r="AE732" s="63"/>
      <c r="AF732" s="63"/>
      <c r="AG732" s="63"/>
    </row>
    <row r="733" spans="1:33" ht="17.2" customHeight="1">
      <c r="A733" s="64" t="str">
        <f>IF(priority(Main[[#This Row],[Comments]])&lt;&gt;0, priority(Main[[#This Row],[Comments]]),"")</f>
        <v/>
      </c>
      <c r="B733" s="60" t="s">
        <v>2252</v>
      </c>
      <c r="C733" s="72" t="s">
        <v>2248</v>
      </c>
      <c r="D733" s="59" t="s">
        <v>2249</v>
      </c>
      <c r="E733" s="85"/>
      <c r="F733" s="85"/>
      <c r="G733" s="64" t="str">
        <f>IF(stdProdLT(Main[[#This Row],[Comments]])=0.1,"N/A",IF(stdProdLT(Main[[#This Row],[Comments]])=0,"",TRIM(stdProdLT(Main[[#This Row],[Comments]]))))</f>
        <v/>
      </c>
      <c r="H733" s="94" t="str">
        <f>IF(OR(Main[[#This Row],[Std. Prod. Lead Time]]="N/A",Main[[#This Row],[Std. Prod. Lead Time]]=""), "",IF(AND(Main[[#This Row],[In Stock Date]]&lt;&gt;"",Main[[#This Row],[Revised Due Date]]&lt;&gt;"",Main[[#This Row],[In Stock Date]]&lt;&gt;""),Main[[#This Row],[In Stock Date]]-Main[[#This Row],[Revised Due Date]],""))</f>
        <v/>
      </c>
      <c r="I733" s="101" t="s">
        <v>4</v>
      </c>
      <c r="J733" s="95" t="s">
        <v>4</v>
      </c>
      <c r="K733" s="95" t="s">
        <v>4</v>
      </c>
      <c r="L733" s="85"/>
      <c r="M733" s="73" t="str">
        <f>IF(Main[[#This Row],[Tech Start Date]]&lt;1/1/1990,"",IF(Main[[#This Row],[Class]]="C",WORKDAY(Main[[#This Row],[Tech Start Date]],9),IF(Main[[#This Row],[Class]]="B", WORKDAY(Main[[#This Row],[Tech Start Date]],6),IF(Main[[#This Row],[Class]]="A",WORKDAY(Main[[#This Row],[Tech Start Date]],2),""))))</f>
        <v/>
      </c>
      <c r="N733" s="73" t="str">
        <f>IF(Main[[#This Row],[Tech Start Date]]&lt;1/1/1990,"",IF(Main[[#This Row],[Class]]="C",WORKDAY(Main[[#This Row],[Tech Start Date]],19),IF(Main[[#This Row],[Class]]="B", WORKDAY(Main[[#This Row],[Tech Start Date]],12),IF(Main[[#This Row],[Class]]="A",WORKDAY(Main[[#This Row],[Tech Start Date]],4),""))))</f>
        <v/>
      </c>
      <c r="O733" s="73" t="str">
        <f>IF(Main[[#This Row],[Tech Start Date]]&lt;1/1/1990,"",IF(Main[[#This Row],[Class]]="C",WORKDAY(Main[[#This Row],[Tech Start Date]],23),IF(Main[[#This Row],[Class]]="B", WORKDAY(Main[[#This Row],[Tech Start Date]],15),IF(Main[[#This Row],[Class]]="A",WORKDAY(Main[[#This Row],[Tech Start Date]],5),""))))</f>
        <v/>
      </c>
      <c r="P733" s="73" t="str">
        <f>IF(Main[[#This Row],[Tech Start Date]]&lt;1/1/1990,"",IF(Main[[#This Row],[Class]]="C",WORKDAY(Main[[#This Row],[Tech Start Date]],28),IF(Main[[#This Row],[Class]]="B", WORKDAY(Main[[#This Row],[Tech Start Date]],19),IF(Main[[#This Row],[Class]]="A",WORKDAY(Main[[#This Row],[Tech Start Date]],9),""))))</f>
        <v/>
      </c>
      <c r="Q733" s="85">
        <v>40806</v>
      </c>
      <c r="R733" s="112"/>
      <c r="S733" s="95" t="s">
        <v>6</v>
      </c>
      <c r="T733" s="74" t="s">
        <v>4</v>
      </c>
      <c r="U733" s="95" t="s">
        <v>12</v>
      </c>
      <c r="V733" s="95" t="s">
        <v>1912</v>
      </c>
      <c r="W733" s="95" t="s">
        <v>1919</v>
      </c>
      <c r="X733" s="95" t="s">
        <v>2859</v>
      </c>
      <c r="Y733" s="72" t="s">
        <v>3005</v>
      </c>
      <c r="Z733" s="72" t="s">
        <v>4</v>
      </c>
      <c r="AA733" s="95" t="s">
        <v>2859</v>
      </c>
      <c r="AB733" s="132"/>
      <c r="AC733" s="132"/>
      <c r="AD733" s="132"/>
      <c r="AE733" s="63"/>
      <c r="AF733" s="63"/>
      <c r="AG733" s="63"/>
    </row>
    <row r="734" spans="1:33" ht="17.2" customHeight="1">
      <c r="A734" s="64" t="str">
        <f>IF(priority(Main[[#This Row],[Comments]])&lt;&gt;0, priority(Main[[#This Row],[Comments]]),"")</f>
        <v/>
      </c>
      <c r="B734" s="60" t="s">
        <v>1510</v>
      </c>
      <c r="C734" s="72" t="s">
        <v>93</v>
      </c>
      <c r="D734" s="59" t="s">
        <v>586</v>
      </c>
      <c r="E734" s="85"/>
      <c r="F734" s="85">
        <v>40302</v>
      </c>
      <c r="G734" s="64" t="str">
        <f>IF(stdProdLT(Main[[#This Row],[Comments]])=0.1,"N/A",IF(stdProdLT(Main[[#This Row],[Comments]])=0,"",TRIM(stdProdLT(Main[[#This Row],[Comments]]))))</f>
        <v/>
      </c>
      <c r="H734" s="94" t="str">
        <f>IF(OR(Main[[#This Row],[Std. Prod. Lead Time]]="N/A",Main[[#This Row],[Std. Prod. Lead Time]]=""), "",IF(AND(Main[[#This Row],[In Stock Date]]&lt;&gt;"",Main[[#This Row],[Revised Due Date]]&lt;&gt;"",Main[[#This Row],[In Stock Date]]&lt;&gt;""),Main[[#This Row],[In Stock Date]]-Main[[#This Row],[Revised Due Date]],""))</f>
        <v/>
      </c>
      <c r="I734" s="101" t="s">
        <v>4</v>
      </c>
      <c r="J734" s="95" t="s">
        <v>4</v>
      </c>
      <c r="K734" s="95" t="s">
        <v>4</v>
      </c>
      <c r="L734" s="85"/>
      <c r="M734" s="73" t="str">
        <f>IF(Main[[#This Row],[Tech Start Date]]&lt;1/1/1990,"",IF(Main[[#This Row],[Class]]="C",WORKDAY(Main[[#This Row],[Tech Start Date]],9),IF(Main[[#This Row],[Class]]="B", WORKDAY(Main[[#This Row],[Tech Start Date]],6),IF(Main[[#This Row],[Class]]="A",WORKDAY(Main[[#This Row],[Tech Start Date]],2),""))))</f>
        <v/>
      </c>
      <c r="N734" s="73" t="str">
        <f>IF(Main[[#This Row],[Tech Start Date]]&lt;1/1/1990,"",IF(Main[[#This Row],[Class]]="C",WORKDAY(Main[[#This Row],[Tech Start Date]],19),IF(Main[[#This Row],[Class]]="B", WORKDAY(Main[[#This Row],[Tech Start Date]],12),IF(Main[[#This Row],[Class]]="A",WORKDAY(Main[[#This Row],[Tech Start Date]],4),""))))</f>
        <v/>
      </c>
      <c r="O734" s="73" t="str">
        <f>IF(Main[[#This Row],[Tech Start Date]]&lt;1/1/1990,"",IF(Main[[#This Row],[Class]]="C",WORKDAY(Main[[#This Row],[Tech Start Date]],23),IF(Main[[#This Row],[Class]]="B", WORKDAY(Main[[#This Row],[Tech Start Date]],15),IF(Main[[#This Row],[Class]]="A",WORKDAY(Main[[#This Row],[Tech Start Date]],5),""))))</f>
        <v/>
      </c>
      <c r="P734" s="73" t="str">
        <f>IF(Main[[#This Row],[Tech Start Date]]&lt;1/1/1990,"",IF(Main[[#This Row],[Class]]="C",WORKDAY(Main[[#This Row],[Tech Start Date]],28),IF(Main[[#This Row],[Class]]="B", WORKDAY(Main[[#This Row],[Tech Start Date]],19),IF(Main[[#This Row],[Class]]="A",WORKDAY(Main[[#This Row],[Tech Start Date]],9),""))))</f>
        <v/>
      </c>
      <c r="Q734" s="85">
        <v>40190</v>
      </c>
      <c r="R734" s="112"/>
      <c r="S734" s="95" t="s">
        <v>11</v>
      </c>
      <c r="T734" s="74" t="s">
        <v>4</v>
      </c>
      <c r="U734" s="95" t="s">
        <v>12</v>
      </c>
      <c r="V734" s="95" t="s">
        <v>1921</v>
      </c>
      <c r="W734" s="95" t="s">
        <v>1917</v>
      </c>
      <c r="X734" s="95" t="s">
        <v>2878</v>
      </c>
      <c r="Y734" s="72" t="s">
        <v>4</v>
      </c>
      <c r="Z734" s="72" t="s">
        <v>4</v>
      </c>
      <c r="AA734" s="95" t="s">
        <v>2878</v>
      </c>
      <c r="AB734" s="132"/>
      <c r="AC734" s="132"/>
      <c r="AD734" s="132"/>
      <c r="AE734" s="63"/>
      <c r="AF734" s="63"/>
      <c r="AG734" s="63"/>
    </row>
    <row r="735" spans="1:33" ht="17.2" customHeight="1">
      <c r="A735" s="64" t="str">
        <f>IF(priority(Main[[#This Row],[Comments]])&lt;&gt;0, priority(Main[[#This Row],[Comments]]),"")</f>
        <v/>
      </c>
      <c r="B735" s="60" t="s">
        <v>1511</v>
      </c>
      <c r="C735" s="72" t="s">
        <v>4</v>
      </c>
      <c r="D735" s="59" t="s">
        <v>587</v>
      </c>
      <c r="E735" s="85"/>
      <c r="F735" s="85">
        <v>40330</v>
      </c>
      <c r="G735" s="64" t="str">
        <f>IF(stdProdLT(Main[[#This Row],[Comments]])=0.1,"N/A",IF(stdProdLT(Main[[#This Row],[Comments]])=0,"",TRIM(stdProdLT(Main[[#This Row],[Comments]]))))</f>
        <v/>
      </c>
      <c r="H735" s="94" t="str">
        <f>IF(OR(Main[[#This Row],[Std. Prod. Lead Time]]="N/A",Main[[#This Row],[Std. Prod. Lead Time]]=""), "",IF(AND(Main[[#This Row],[In Stock Date]]&lt;&gt;"",Main[[#This Row],[Revised Due Date]]&lt;&gt;"",Main[[#This Row],[In Stock Date]]&lt;&gt;""),Main[[#This Row],[In Stock Date]]-Main[[#This Row],[Revised Due Date]],""))</f>
        <v/>
      </c>
      <c r="I735" s="101" t="s">
        <v>4</v>
      </c>
      <c r="J735" s="95" t="s">
        <v>4</v>
      </c>
      <c r="K735" s="95" t="s">
        <v>4</v>
      </c>
      <c r="L735" s="85"/>
      <c r="M735" s="73" t="str">
        <f>IF(Main[[#This Row],[Tech Start Date]]&lt;1/1/1990,"",IF(Main[[#This Row],[Class]]="C",WORKDAY(Main[[#This Row],[Tech Start Date]],9),IF(Main[[#This Row],[Class]]="B", WORKDAY(Main[[#This Row],[Tech Start Date]],6),IF(Main[[#This Row],[Class]]="A",WORKDAY(Main[[#This Row],[Tech Start Date]],2),""))))</f>
        <v/>
      </c>
      <c r="N735" s="73" t="str">
        <f>IF(Main[[#This Row],[Tech Start Date]]&lt;1/1/1990,"",IF(Main[[#This Row],[Class]]="C",WORKDAY(Main[[#This Row],[Tech Start Date]],19),IF(Main[[#This Row],[Class]]="B", WORKDAY(Main[[#This Row],[Tech Start Date]],12),IF(Main[[#This Row],[Class]]="A",WORKDAY(Main[[#This Row],[Tech Start Date]],4),""))))</f>
        <v/>
      </c>
      <c r="O735" s="73" t="str">
        <f>IF(Main[[#This Row],[Tech Start Date]]&lt;1/1/1990,"",IF(Main[[#This Row],[Class]]="C",WORKDAY(Main[[#This Row],[Tech Start Date]],23),IF(Main[[#This Row],[Class]]="B", WORKDAY(Main[[#This Row],[Tech Start Date]],15),IF(Main[[#This Row],[Class]]="A",WORKDAY(Main[[#This Row],[Tech Start Date]],5),""))))</f>
        <v/>
      </c>
      <c r="P735" s="73" t="str">
        <f>IF(Main[[#This Row],[Tech Start Date]]&lt;1/1/1990,"",IF(Main[[#This Row],[Class]]="C",WORKDAY(Main[[#This Row],[Tech Start Date]],28),IF(Main[[#This Row],[Class]]="B", WORKDAY(Main[[#This Row],[Tech Start Date]],19),IF(Main[[#This Row],[Class]]="A",WORKDAY(Main[[#This Row],[Tech Start Date]],9),""))))</f>
        <v/>
      </c>
      <c r="Q735" s="85">
        <v>40210</v>
      </c>
      <c r="R735" s="112"/>
      <c r="S735" s="95" t="s">
        <v>11</v>
      </c>
      <c r="T735" s="74" t="s">
        <v>4</v>
      </c>
      <c r="U735" s="95" t="s">
        <v>12</v>
      </c>
      <c r="V735" s="95" t="s">
        <v>1912</v>
      </c>
      <c r="W735" s="95" t="s">
        <v>1917</v>
      </c>
      <c r="X735" s="95" t="s">
        <v>2804</v>
      </c>
      <c r="Y735" s="72" t="s">
        <v>2921</v>
      </c>
      <c r="Z735" s="72" t="s">
        <v>4</v>
      </c>
      <c r="AA735" s="95" t="s">
        <v>2804</v>
      </c>
      <c r="AB735" s="132"/>
      <c r="AC735" s="132"/>
      <c r="AD735" s="132"/>
      <c r="AE735" s="63"/>
      <c r="AF735" s="63"/>
      <c r="AG735" s="63"/>
    </row>
    <row r="736" spans="1:33" ht="17.2" customHeight="1">
      <c r="A736" s="64" t="str">
        <f>IF(priority(Main[[#This Row],[Comments]])&lt;&gt;0, priority(Main[[#This Row],[Comments]]),"")</f>
        <v/>
      </c>
      <c r="B736" s="60" t="s">
        <v>1512</v>
      </c>
      <c r="C736" s="72" t="s">
        <v>4</v>
      </c>
      <c r="D736" s="59" t="s">
        <v>588</v>
      </c>
      <c r="E736" s="85">
        <v>40217.626817129632</v>
      </c>
      <c r="F736" s="85"/>
      <c r="G736" s="64" t="str">
        <f>IF(stdProdLT(Main[[#This Row],[Comments]])=0.1,"N/A",IF(stdProdLT(Main[[#This Row],[Comments]])=0,"",TRIM(stdProdLT(Main[[#This Row],[Comments]]))))</f>
        <v/>
      </c>
      <c r="H736" s="94" t="str">
        <f>IF(OR(Main[[#This Row],[Std. Prod. Lead Time]]="N/A",Main[[#This Row],[Std. Prod. Lead Time]]=""), "",IF(AND(Main[[#This Row],[In Stock Date]]&lt;&gt;"",Main[[#This Row],[Revised Due Date]]&lt;&gt;"",Main[[#This Row],[In Stock Date]]&lt;&gt;""),Main[[#This Row],[In Stock Date]]-Main[[#This Row],[Revised Due Date]],""))</f>
        <v/>
      </c>
      <c r="I736" s="101" t="s">
        <v>4</v>
      </c>
      <c r="J736" s="95" t="s">
        <v>4</v>
      </c>
      <c r="K736" s="96" t="s">
        <v>4</v>
      </c>
      <c r="L736" s="85"/>
      <c r="M736" s="73" t="str">
        <f>IF(Main[[#This Row],[Tech Start Date]]&lt;1/1/1990,"",IF(Main[[#This Row],[Class]]="C",WORKDAY(Main[[#This Row],[Tech Start Date]],9),IF(Main[[#This Row],[Class]]="B", WORKDAY(Main[[#This Row],[Tech Start Date]],6),IF(Main[[#This Row],[Class]]="A",WORKDAY(Main[[#This Row],[Tech Start Date]],2),""))))</f>
        <v/>
      </c>
      <c r="N736" s="73" t="str">
        <f>IF(Main[[#This Row],[Tech Start Date]]&lt;1/1/1990,"",IF(Main[[#This Row],[Class]]="C",WORKDAY(Main[[#This Row],[Tech Start Date]],19),IF(Main[[#This Row],[Class]]="B", WORKDAY(Main[[#This Row],[Tech Start Date]],12),IF(Main[[#This Row],[Class]]="A",WORKDAY(Main[[#This Row],[Tech Start Date]],4),""))))</f>
        <v/>
      </c>
      <c r="O736" s="73" t="str">
        <f>IF(Main[[#This Row],[Tech Start Date]]&lt;1/1/1990,"",IF(Main[[#This Row],[Class]]="C",WORKDAY(Main[[#This Row],[Tech Start Date]],23),IF(Main[[#This Row],[Class]]="B", WORKDAY(Main[[#This Row],[Tech Start Date]],15),IF(Main[[#This Row],[Class]]="A",WORKDAY(Main[[#This Row],[Tech Start Date]],5),""))))</f>
        <v/>
      </c>
      <c r="P736" s="73" t="str">
        <f>IF(Main[[#This Row],[Tech Start Date]]&lt;1/1/1990,"",IF(Main[[#This Row],[Class]]="C",WORKDAY(Main[[#This Row],[Tech Start Date]],28),IF(Main[[#This Row],[Class]]="B", WORKDAY(Main[[#This Row],[Tech Start Date]],19),IF(Main[[#This Row],[Class]]="A",WORKDAY(Main[[#This Row],[Tech Start Date]],9),""))))</f>
        <v/>
      </c>
      <c r="Q736" s="85">
        <v>40229</v>
      </c>
      <c r="R736" s="112"/>
      <c r="S736" s="95" t="s">
        <v>6</v>
      </c>
      <c r="T736" s="74" t="s">
        <v>4</v>
      </c>
      <c r="U736" s="95" t="s">
        <v>7</v>
      </c>
      <c r="V736" s="95" t="s">
        <v>1911</v>
      </c>
      <c r="W736" s="95" t="s">
        <v>1915</v>
      </c>
      <c r="X736" s="95" t="s">
        <v>2801</v>
      </c>
      <c r="Y736" s="72" t="s">
        <v>2914</v>
      </c>
      <c r="Z736" s="72" t="s">
        <v>4</v>
      </c>
      <c r="AA736" s="95" t="s">
        <v>2801</v>
      </c>
      <c r="AB736" s="132"/>
      <c r="AC736" s="132"/>
      <c r="AD736" s="132"/>
      <c r="AE736" s="63"/>
      <c r="AF736" s="63"/>
      <c r="AG736" s="63"/>
    </row>
    <row r="737" spans="1:33" ht="17.2" customHeight="1">
      <c r="A737" s="64" t="str">
        <f>IF(priority(Main[[#This Row],[Comments]])&lt;&gt;0, priority(Main[[#This Row],[Comments]]),"")</f>
        <v/>
      </c>
      <c r="B737" s="60" t="s">
        <v>1577</v>
      </c>
      <c r="C737" s="72" t="s">
        <v>79</v>
      </c>
      <c r="D737" s="59" t="s">
        <v>657</v>
      </c>
      <c r="E737" s="85"/>
      <c r="F737" s="85"/>
      <c r="G737" s="64" t="str">
        <f>IF(stdProdLT(Main[[#This Row],[Comments]])=0.1,"N/A",IF(stdProdLT(Main[[#This Row],[Comments]])=0,"",TRIM(stdProdLT(Main[[#This Row],[Comments]]))))</f>
        <v/>
      </c>
      <c r="H737" s="94" t="str">
        <f>IF(OR(Main[[#This Row],[Std. Prod. Lead Time]]="N/A",Main[[#This Row],[Std. Prod. Lead Time]]=""), "",IF(AND(Main[[#This Row],[In Stock Date]]&lt;&gt;"",Main[[#This Row],[Revised Due Date]]&lt;&gt;"",Main[[#This Row],[In Stock Date]]&lt;&gt;""),Main[[#This Row],[In Stock Date]]-Main[[#This Row],[Revised Due Date]],""))</f>
        <v/>
      </c>
      <c r="I737" s="101" t="s">
        <v>4</v>
      </c>
      <c r="J737" s="95" t="s">
        <v>28</v>
      </c>
      <c r="K737" s="95" t="s">
        <v>4</v>
      </c>
      <c r="L737" s="85"/>
      <c r="M737" s="73" t="str">
        <f>IF(Main[[#This Row],[Tech Start Date]]&lt;1/1/1990,"",IF(Main[[#This Row],[Class]]="C",WORKDAY(Main[[#This Row],[Tech Start Date]],9),IF(Main[[#This Row],[Class]]="B", WORKDAY(Main[[#This Row],[Tech Start Date]],6),IF(Main[[#This Row],[Class]]="A",WORKDAY(Main[[#This Row],[Tech Start Date]],2),""))))</f>
        <v/>
      </c>
      <c r="N737" s="73" t="str">
        <f>IF(Main[[#This Row],[Tech Start Date]]&lt;1/1/1990,"",IF(Main[[#This Row],[Class]]="C",WORKDAY(Main[[#This Row],[Tech Start Date]],19),IF(Main[[#This Row],[Class]]="B", WORKDAY(Main[[#This Row],[Tech Start Date]],12),IF(Main[[#This Row],[Class]]="A",WORKDAY(Main[[#This Row],[Tech Start Date]],4),""))))</f>
        <v/>
      </c>
      <c r="O737" s="73" t="str">
        <f>IF(Main[[#This Row],[Tech Start Date]]&lt;1/1/1990,"",IF(Main[[#This Row],[Class]]="C",WORKDAY(Main[[#This Row],[Tech Start Date]],23),IF(Main[[#This Row],[Class]]="B", WORKDAY(Main[[#This Row],[Tech Start Date]],15),IF(Main[[#This Row],[Class]]="A",WORKDAY(Main[[#This Row],[Tech Start Date]],5),""))))</f>
        <v/>
      </c>
      <c r="P737" s="73" t="str">
        <f>IF(Main[[#This Row],[Tech Start Date]]&lt;1/1/1990,"",IF(Main[[#This Row],[Class]]="C",WORKDAY(Main[[#This Row],[Tech Start Date]],28),IF(Main[[#This Row],[Class]]="B", WORKDAY(Main[[#This Row],[Tech Start Date]],19),IF(Main[[#This Row],[Class]]="A",WORKDAY(Main[[#This Row],[Tech Start Date]],9),""))))</f>
        <v/>
      </c>
      <c r="Q737" s="85"/>
      <c r="R737" s="112"/>
      <c r="S737" s="95" t="s">
        <v>6</v>
      </c>
      <c r="T737" s="74" t="s">
        <v>658</v>
      </c>
      <c r="U737" s="95" t="s">
        <v>14</v>
      </c>
      <c r="V737" s="95" t="s">
        <v>1912</v>
      </c>
      <c r="W737" s="95" t="s">
        <v>1913</v>
      </c>
      <c r="X737" s="95" t="s">
        <v>2841</v>
      </c>
      <c r="Y737" s="72" t="s">
        <v>2983</v>
      </c>
      <c r="Z737" s="72" t="s">
        <v>108</v>
      </c>
      <c r="AA737" s="95" t="s">
        <v>2841</v>
      </c>
      <c r="AB737" s="132"/>
      <c r="AC737" s="132"/>
      <c r="AD737" s="132"/>
      <c r="AE737" s="63"/>
      <c r="AF737" s="63"/>
      <c r="AG737" s="63"/>
    </row>
    <row r="738" spans="1:33" ht="17.2" customHeight="1">
      <c r="A738" s="64" t="str">
        <f>IF(priority(Main[[#This Row],[Comments]])&lt;&gt;0, priority(Main[[#This Row],[Comments]]),"")</f>
        <v/>
      </c>
      <c r="B738" s="60" t="s">
        <v>1175</v>
      </c>
      <c r="C738" s="72" t="s">
        <v>4</v>
      </c>
      <c r="D738" s="59" t="s">
        <v>1000</v>
      </c>
      <c r="E738" s="85">
        <v>40718.691643518519</v>
      </c>
      <c r="F738" s="85"/>
      <c r="G738" s="64" t="str">
        <f>IF(stdProdLT(Main[[#This Row],[Comments]])=0.1,"N/A",IF(stdProdLT(Main[[#This Row],[Comments]])=0,"",TRIM(stdProdLT(Main[[#This Row],[Comments]]))))</f>
        <v/>
      </c>
      <c r="H738" s="94" t="str">
        <f>IF(OR(Main[[#This Row],[Std. Prod. Lead Time]]="N/A",Main[[#This Row],[Std. Prod. Lead Time]]=""), "",IF(AND(Main[[#This Row],[In Stock Date]]&lt;&gt;"",Main[[#This Row],[Revised Due Date]]&lt;&gt;"",Main[[#This Row],[In Stock Date]]&lt;&gt;""),Main[[#This Row],[In Stock Date]]-Main[[#This Row],[Revised Due Date]],""))</f>
        <v/>
      </c>
      <c r="I738" s="101" t="s">
        <v>130</v>
      </c>
      <c r="J738" s="95" t="s">
        <v>70</v>
      </c>
      <c r="K738" s="95" t="s">
        <v>1920</v>
      </c>
      <c r="L738" s="85"/>
      <c r="M738" s="73" t="str">
        <f>IF(Main[[#This Row],[Tech Start Date]]&lt;1/1/1990,"",IF(Main[[#This Row],[Class]]="C",WORKDAY(Main[[#This Row],[Tech Start Date]],9),IF(Main[[#This Row],[Class]]="B", WORKDAY(Main[[#This Row],[Tech Start Date]],6),IF(Main[[#This Row],[Class]]="A",WORKDAY(Main[[#This Row],[Tech Start Date]],2),""))))</f>
        <v/>
      </c>
      <c r="N738" s="73" t="str">
        <f>IF(Main[[#This Row],[Tech Start Date]]&lt;1/1/1990,"",IF(Main[[#This Row],[Class]]="C",WORKDAY(Main[[#This Row],[Tech Start Date]],19),IF(Main[[#This Row],[Class]]="B", WORKDAY(Main[[#This Row],[Tech Start Date]],12),IF(Main[[#This Row],[Class]]="A",WORKDAY(Main[[#This Row],[Tech Start Date]],4),""))))</f>
        <v/>
      </c>
      <c r="O738" s="73" t="str">
        <f>IF(Main[[#This Row],[Tech Start Date]]&lt;1/1/1990,"",IF(Main[[#This Row],[Class]]="C",WORKDAY(Main[[#This Row],[Tech Start Date]],23),IF(Main[[#This Row],[Class]]="B", WORKDAY(Main[[#This Row],[Tech Start Date]],15),IF(Main[[#This Row],[Class]]="A",WORKDAY(Main[[#This Row],[Tech Start Date]],5),""))))</f>
        <v/>
      </c>
      <c r="P738" s="73" t="str">
        <f>IF(Main[[#This Row],[Tech Start Date]]&lt;1/1/1990,"",IF(Main[[#This Row],[Class]]="C",WORKDAY(Main[[#This Row],[Tech Start Date]],28),IF(Main[[#This Row],[Class]]="B", WORKDAY(Main[[#This Row],[Tech Start Date]],19),IF(Main[[#This Row],[Class]]="A",WORKDAY(Main[[#This Row],[Tech Start Date]],9),""))))</f>
        <v/>
      </c>
      <c r="Q738" s="85">
        <v>40753</v>
      </c>
      <c r="R738" s="112"/>
      <c r="S738" s="95" t="s">
        <v>6</v>
      </c>
      <c r="T738" s="74" t="s">
        <v>4</v>
      </c>
      <c r="U738" s="95" t="s">
        <v>29</v>
      </c>
      <c r="V738" s="95" t="s">
        <v>1914</v>
      </c>
      <c r="W738" s="95" t="s">
        <v>1915</v>
      </c>
      <c r="X738" s="95" t="s">
        <v>2799</v>
      </c>
      <c r="Y738" s="72" t="s">
        <v>2910</v>
      </c>
      <c r="Z738" s="72" t="s">
        <v>44</v>
      </c>
      <c r="AA738" s="95" t="s">
        <v>2799</v>
      </c>
      <c r="AB738" s="132"/>
      <c r="AC738" s="132"/>
      <c r="AD738" s="132"/>
      <c r="AE738" s="63"/>
      <c r="AF738" s="63"/>
      <c r="AG738" s="63"/>
    </row>
    <row r="739" spans="1:33" ht="17.2" customHeight="1">
      <c r="A739" s="64" t="str">
        <f>IF(priority(Main[[#This Row],[Comments]])&lt;&gt;0, priority(Main[[#This Row],[Comments]]),"")</f>
        <v/>
      </c>
      <c r="B739" s="60" t="s">
        <v>1554</v>
      </c>
      <c r="C739" s="72" t="s">
        <v>211</v>
      </c>
      <c r="D739" s="59" t="s">
        <v>413</v>
      </c>
      <c r="E739" s="85"/>
      <c r="F739" s="85">
        <v>40452</v>
      </c>
      <c r="G739" s="64" t="str">
        <f>IF(stdProdLT(Main[[#This Row],[Comments]])=0.1,"N/A",IF(stdProdLT(Main[[#This Row],[Comments]])=0,"",TRIM(stdProdLT(Main[[#This Row],[Comments]]))))</f>
        <v/>
      </c>
      <c r="H739" s="94" t="str">
        <f>IF(OR(Main[[#This Row],[Std. Prod. Lead Time]]="N/A",Main[[#This Row],[Std. Prod. Lead Time]]=""), "",IF(AND(Main[[#This Row],[In Stock Date]]&lt;&gt;"",Main[[#This Row],[Revised Due Date]]&lt;&gt;"",Main[[#This Row],[In Stock Date]]&lt;&gt;""),Main[[#This Row],[In Stock Date]]-Main[[#This Row],[Revised Due Date]],""))</f>
        <v/>
      </c>
      <c r="I739" s="101" t="s">
        <v>4</v>
      </c>
      <c r="J739" s="95" t="s">
        <v>4</v>
      </c>
      <c r="K739" s="95" t="s">
        <v>4</v>
      </c>
      <c r="L739" s="85"/>
      <c r="M739" s="73" t="str">
        <f>IF(Main[[#This Row],[Tech Start Date]]&lt;1/1/1990,"",IF(Main[[#This Row],[Class]]="C",WORKDAY(Main[[#This Row],[Tech Start Date]],9),IF(Main[[#This Row],[Class]]="B", WORKDAY(Main[[#This Row],[Tech Start Date]],6),IF(Main[[#This Row],[Class]]="A",WORKDAY(Main[[#This Row],[Tech Start Date]],2),""))))</f>
        <v/>
      </c>
      <c r="N739" s="73" t="str">
        <f>IF(Main[[#This Row],[Tech Start Date]]&lt;1/1/1990,"",IF(Main[[#This Row],[Class]]="C",WORKDAY(Main[[#This Row],[Tech Start Date]],19),IF(Main[[#This Row],[Class]]="B", WORKDAY(Main[[#This Row],[Tech Start Date]],12),IF(Main[[#This Row],[Class]]="A",WORKDAY(Main[[#This Row],[Tech Start Date]],4),""))))</f>
        <v/>
      </c>
      <c r="O739" s="73" t="str">
        <f>IF(Main[[#This Row],[Tech Start Date]]&lt;1/1/1990,"",IF(Main[[#This Row],[Class]]="C",WORKDAY(Main[[#This Row],[Tech Start Date]],23),IF(Main[[#This Row],[Class]]="B", WORKDAY(Main[[#This Row],[Tech Start Date]],15),IF(Main[[#This Row],[Class]]="A",WORKDAY(Main[[#This Row],[Tech Start Date]],5),""))))</f>
        <v/>
      </c>
      <c r="P739" s="73" t="str">
        <f>IF(Main[[#This Row],[Tech Start Date]]&lt;1/1/1990,"",IF(Main[[#This Row],[Class]]="C",WORKDAY(Main[[#This Row],[Tech Start Date]],28),IF(Main[[#This Row],[Class]]="B", WORKDAY(Main[[#This Row],[Tech Start Date]],19),IF(Main[[#This Row],[Class]]="A",WORKDAY(Main[[#This Row],[Tech Start Date]],9),""))))</f>
        <v/>
      </c>
      <c r="Q739" s="85">
        <v>40357</v>
      </c>
      <c r="R739" s="112"/>
      <c r="S739" s="95" t="s">
        <v>11</v>
      </c>
      <c r="T739" s="74" t="s">
        <v>4</v>
      </c>
      <c r="U739" s="95" t="s">
        <v>12</v>
      </c>
      <c r="V739" s="95" t="s">
        <v>1911</v>
      </c>
      <c r="W739" s="95" t="s">
        <v>1919</v>
      </c>
      <c r="X739" s="95" t="s">
        <v>2813</v>
      </c>
      <c r="Y739" s="72" t="s">
        <v>4</v>
      </c>
      <c r="Z739" s="72" t="s">
        <v>4</v>
      </c>
      <c r="AA739" s="95" t="s">
        <v>2813</v>
      </c>
      <c r="AB739" s="132"/>
      <c r="AC739" s="132"/>
      <c r="AD739" s="132"/>
      <c r="AE739" s="63"/>
      <c r="AF739" s="63"/>
      <c r="AG739" s="63"/>
    </row>
    <row r="740" spans="1:33" ht="17.2" customHeight="1">
      <c r="A740" s="64" t="str">
        <f>IF(priority(Main[[#This Row],[Comments]])&lt;&gt;0, priority(Main[[#This Row],[Comments]]),"")</f>
        <v/>
      </c>
      <c r="B740" s="60" t="s">
        <v>1980</v>
      </c>
      <c r="C740" s="72" t="s">
        <v>4</v>
      </c>
      <c r="D740" s="59" t="s">
        <v>2372</v>
      </c>
      <c r="E740" s="85"/>
      <c r="F740" s="85"/>
      <c r="G740" s="64" t="str">
        <f>IF(stdProdLT(Main[[#This Row],[Comments]])=0.1,"N/A",IF(stdProdLT(Main[[#This Row],[Comments]])=0,"",TRIM(stdProdLT(Main[[#This Row],[Comments]]))))</f>
        <v/>
      </c>
      <c r="H740" s="94" t="str">
        <f>IF(OR(Main[[#This Row],[Std. Prod. Lead Time]]="N/A",Main[[#This Row],[Std. Prod. Lead Time]]=""), "",IF(AND(Main[[#This Row],[In Stock Date]]&lt;&gt;"",Main[[#This Row],[Revised Due Date]]&lt;&gt;"",Main[[#This Row],[In Stock Date]]&lt;&gt;""),Main[[#This Row],[In Stock Date]]-Main[[#This Row],[Revised Due Date]],""))</f>
        <v/>
      </c>
      <c r="I740" s="101" t="s">
        <v>4</v>
      </c>
      <c r="J740" s="95" t="s">
        <v>4</v>
      </c>
      <c r="K740" s="95" t="s">
        <v>4</v>
      </c>
      <c r="L740" s="85"/>
      <c r="M740" s="73" t="str">
        <f>IF(Main[[#This Row],[Tech Start Date]]&lt;1/1/1990,"",IF(Main[[#This Row],[Class]]="C",WORKDAY(Main[[#This Row],[Tech Start Date]],9),IF(Main[[#This Row],[Class]]="B", WORKDAY(Main[[#This Row],[Tech Start Date]],6),IF(Main[[#This Row],[Class]]="A",WORKDAY(Main[[#This Row],[Tech Start Date]],2),""))))</f>
        <v/>
      </c>
      <c r="N740" s="73" t="str">
        <f>IF(Main[[#This Row],[Tech Start Date]]&lt;1/1/1990,"",IF(Main[[#This Row],[Class]]="C",WORKDAY(Main[[#This Row],[Tech Start Date]],19),IF(Main[[#This Row],[Class]]="B", WORKDAY(Main[[#This Row],[Tech Start Date]],12),IF(Main[[#This Row],[Class]]="A",WORKDAY(Main[[#This Row],[Tech Start Date]],4),""))))</f>
        <v/>
      </c>
      <c r="O740" s="73" t="str">
        <f>IF(Main[[#This Row],[Tech Start Date]]&lt;1/1/1990,"",IF(Main[[#This Row],[Class]]="C",WORKDAY(Main[[#This Row],[Tech Start Date]],23),IF(Main[[#This Row],[Class]]="B", WORKDAY(Main[[#This Row],[Tech Start Date]],15),IF(Main[[#This Row],[Class]]="A",WORKDAY(Main[[#This Row],[Tech Start Date]],5),""))))</f>
        <v/>
      </c>
      <c r="P740" s="73" t="str">
        <f>IF(Main[[#This Row],[Tech Start Date]]&lt;1/1/1990,"",IF(Main[[#This Row],[Class]]="C",WORKDAY(Main[[#This Row],[Tech Start Date]],28),IF(Main[[#This Row],[Class]]="B", WORKDAY(Main[[#This Row],[Tech Start Date]],19),IF(Main[[#This Row],[Class]]="A",WORKDAY(Main[[#This Row],[Tech Start Date]],9),""))))</f>
        <v/>
      </c>
      <c r="Q740" s="85"/>
      <c r="R740" s="112"/>
      <c r="S740" s="95" t="s">
        <v>6</v>
      </c>
      <c r="T740" s="74" t="s">
        <v>4</v>
      </c>
      <c r="U740" s="95" t="s">
        <v>14</v>
      </c>
      <c r="V740" s="95" t="s">
        <v>1911</v>
      </c>
      <c r="W740" s="95" t="s">
        <v>1915</v>
      </c>
      <c r="X740" s="95" t="s">
        <v>922</v>
      </c>
      <c r="Y740" s="72" t="s">
        <v>2960</v>
      </c>
      <c r="Z740" s="72" t="s">
        <v>4</v>
      </c>
      <c r="AA740" s="95" t="s">
        <v>922</v>
      </c>
      <c r="AB740" s="132"/>
      <c r="AC740" s="132"/>
      <c r="AD740" s="132"/>
      <c r="AE740" s="63"/>
      <c r="AF740" s="63"/>
      <c r="AG740" s="63"/>
    </row>
    <row r="741" spans="1:33" ht="17.2" customHeight="1">
      <c r="A741" s="64" t="str">
        <f>IF(priority(Main[[#This Row],[Comments]])&lt;&gt;0, priority(Main[[#This Row],[Comments]]),"")</f>
        <v/>
      </c>
      <c r="B741" s="60" t="s">
        <v>1555</v>
      </c>
      <c r="C741" s="72" t="s">
        <v>4</v>
      </c>
      <c r="D741" s="59" t="s">
        <v>635</v>
      </c>
      <c r="E741" s="85">
        <v>40413.550520833334</v>
      </c>
      <c r="F741" s="85"/>
      <c r="G741" s="64" t="str">
        <f>IF(stdProdLT(Main[[#This Row],[Comments]])=0.1,"N/A",IF(stdProdLT(Main[[#This Row],[Comments]])=0,"",TRIM(stdProdLT(Main[[#This Row],[Comments]]))))</f>
        <v/>
      </c>
      <c r="H741" s="94" t="str">
        <f>IF(OR(Main[[#This Row],[Std. Prod. Lead Time]]="N/A",Main[[#This Row],[Std. Prod. Lead Time]]=""), "",IF(AND(Main[[#This Row],[In Stock Date]]&lt;&gt;"",Main[[#This Row],[Revised Due Date]]&lt;&gt;"",Main[[#This Row],[In Stock Date]]&lt;&gt;""),Main[[#This Row],[In Stock Date]]-Main[[#This Row],[Revised Due Date]],""))</f>
        <v/>
      </c>
      <c r="I741" s="101" t="s">
        <v>4</v>
      </c>
      <c r="J741" s="95" t="s">
        <v>28</v>
      </c>
      <c r="K741" s="95" t="s">
        <v>4</v>
      </c>
      <c r="L741" s="85"/>
      <c r="M741" s="73" t="str">
        <f>IF(Main[[#This Row],[Tech Start Date]]&lt;1/1/1990,"",IF(Main[[#This Row],[Class]]="C",WORKDAY(Main[[#This Row],[Tech Start Date]],9),IF(Main[[#This Row],[Class]]="B", WORKDAY(Main[[#This Row],[Tech Start Date]],6),IF(Main[[#This Row],[Class]]="A",WORKDAY(Main[[#This Row],[Tech Start Date]],2),""))))</f>
        <v/>
      </c>
      <c r="N741" s="73" t="str">
        <f>IF(Main[[#This Row],[Tech Start Date]]&lt;1/1/1990,"",IF(Main[[#This Row],[Class]]="C",WORKDAY(Main[[#This Row],[Tech Start Date]],19),IF(Main[[#This Row],[Class]]="B", WORKDAY(Main[[#This Row],[Tech Start Date]],12),IF(Main[[#This Row],[Class]]="A",WORKDAY(Main[[#This Row],[Tech Start Date]],4),""))))</f>
        <v/>
      </c>
      <c r="O741" s="73" t="str">
        <f>IF(Main[[#This Row],[Tech Start Date]]&lt;1/1/1990,"",IF(Main[[#This Row],[Class]]="C",WORKDAY(Main[[#This Row],[Tech Start Date]],23),IF(Main[[#This Row],[Class]]="B", WORKDAY(Main[[#This Row],[Tech Start Date]],15),IF(Main[[#This Row],[Class]]="A",WORKDAY(Main[[#This Row],[Tech Start Date]],5),""))))</f>
        <v/>
      </c>
      <c r="P741" s="73" t="str">
        <f>IF(Main[[#This Row],[Tech Start Date]]&lt;1/1/1990,"",IF(Main[[#This Row],[Class]]="C",WORKDAY(Main[[#This Row],[Tech Start Date]],28),IF(Main[[#This Row],[Class]]="B", WORKDAY(Main[[#This Row],[Tech Start Date]],19),IF(Main[[#This Row],[Class]]="A",WORKDAY(Main[[#This Row],[Tech Start Date]],9),""))))</f>
        <v/>
      </c>
      <c r="Q741" s="85">
        <v>40451</v>
      </c>
      <c r="R741" s="112"/>
      <c r="S741" s="95" t="s">
        <v>6</v>
      </c>
      <c r="T741" s="74" t="s">
        <v>4</v>
      </c>
      <c r="U741" s="95" t="s">
        <v>7</v>
      </c>
      <c r="V741" s="95" t="s">
        <v>1911</v>
      </c>
      <c r="W741" s="95" t="s">
        <v>1913</v>
      </c>
      <c r="X741" s="95" t="s">
        <v>2867</v>
      </c>
      <c r="Y741" s="72" t="s">
        <v>3021</v>
      </c>
      <c r="Z741" s="72" t="s">
        <v>129</v>
      </c>
      <c r="AA741" s="95" t="s">
        <v>2867</v>
      </c>
      <c r="AB741" s="132"/>
      <c r="AC741" s="132"/>
      <c r="AD741" s="132"/>
      <c r="AE741" s="63"/>
      <c r="AF741" s="63"/>
      <c r="AG741" s="63"/>
    </row>
    <row r="742" spans="1:33" ht="17.2" customHeight="1">
      <c r="A742" s="64" t="str">
        <f>IF(priority(Main[[#This Row],[Comments]])&lt;&gt;0, priority(Main[[#This Row],[Comments]]),"")</f>
        <v/>
      </c>
      <c r="B742" s="60" t="s">
        <v>1343</v>
      </c>
      <c r="C742" s="72" t="s">
        <v>4</v>
      </c>
      <c r="D742" s="59" t="s">
        <v>2011</v>
      </c>
      <c r="E742" s="85"/>
      <c r="F742" s="85"/>
      <c r="G742" s="64" t="str">
        <f>IF(stdProdLT(Main[[#This Row],[Comments]])=0.1,"N/A",IF(stdProdLT(Main[[#This Row],[Comments]])=0,"",TRIM(stdProdLT(Main[[#This Row],[Comments]]))))</f>
        <v/>
      </c>
      <c r="H742" s="94" t="str">
        <f>IF(OR(Main[[#This Row],[Std. Prod. Lead Time]]="N/A",Main[[#This Row],[Std. Prod. Lead Time]]=""), "",IF(AND(Main[[#This Row],[In Stock Date]]&lt;&gt;"",Main[[#This Row],[Revised Due Date]]&lt;&gt;"",Main[[#This Row],[In Stock Date]]&lt;&gt;""),Main[[#This Row],[In Stock Date]]-Main[[#This Row],[Revised Due Date]],""))</f>
        <v/>
      </c>
      <c r="I742" s="101" t="s">
        <v>429</v>
      </c>
      <c r="J742" s="95" t="s">
        <v>70</v>
      </c>
      <c r="K742" s="95" t="s">
        <v>1920</v>
      </c>
      <c r="L742" s="85"/>
      <c r="M742" s="73" t="str">
        <f>IF(Main[[#This Row],[Tech Start Date]]&lt;1/1/1990,"",IF(Main[[#This Row],[Class]]="C",WORKDAY(Main[[#This Row],[Tech Start Date]],9),IF(Main[[#This Row],[Class]]="B", WORKDAY(Main[[#This Row],[Tech Start Date]],6),IF(Main[[#This Row],[Class]]="A",WORKDAY(Main[[#This Row],[Tech Start Date]],2),""))))</f>
        <v/>
      </c>
      <c r="N742" s="73" t="str">
        <f>IF(Main[[#This Row],[Tech Start Date]]&lt;1/1/1990,"",IF(Main[[#This Row],[Class]]="C",WORKDAY(Main[[#This Row],[Tech Start Date]],19),IF(Main[[#This Row],[Class]]="B", WORKDAY(Main[[#This Row],[Tech Start Date]],12),IF(Main[[#This Row],[Class]]="A",WORKDAY(Main[[#This Row],[Tech Start Date]],4),""))))</f>
        <v/>
      </c>
      <c r="O742" s="73" t="str">
        <f>IF(Main[[#This Row],[Tech Start Date]]&lt;1/1/1990,"",IF(Main[[#This Row],[Class]]="C",WORKDAY(Main[[#This Row],[Tech Start Date]],23),IF(Main[[#This Row],[Class]]="B", WORKDAY(Main[[#This Row],[Tech Start Date]],15),IF(Main[[#This Row],[Class]]="A",WORKDAY(Main[[#This Row],[Tech Start Date]],5),""))))</f>
        <v/>
      </c>
      <c r="P742" s="73" t="str">
        <f>IF(Main[[#This Row],[Tech Start Date]]&lt;1/1/1990,"",IF(Main[[#This Row],[Class]]="C",WORKDAY(Main[[#This Row],[Tech Start Date]],28),IF(Main[[#This Row],[Class]]="B", WORKDAY(Main[[#This Row],[Tech Start Date]],19),IF(Main[[#This Row],[Class]]="A",WORKDAY(Main[[#This Row],[Tech Start Date]],9),""))))</f>
        <v/>
      </c>
      <c r="Q742" s="85">
        <v>40717</v>
      </c>
      <c r="R742" s="112"/>
      <c r="S742" s="95" t="s">
        <v>6</v>
      </c>
      <c r="T742" s="74" t="s">
        <v>4</v>
      </c>
      <c r="U742" s="95" t="s">
        <v>14</v>
      </c>
      <c r="V742" s="95" t="s">
        <v>1914</v>
      </c>
      <c r="W742" s="95" t="s">
        <v>1915</v>
      </c>
      <c r="X742" s="95" t="s">
        <v>2802</v>
      </c>
      <c r="Y742" s="72" t="s">
        <v>2916</v>
      </c>
      <c r="Z742" s="72" t="s">
        <v>30</v>
      </c>
      <c r="AA742" s="95" t="s">
        <v>2802</v>
      </c>
      <c r="AB742" s="132"/>
      <c r="AC742" s="132"/>
      <c r="AD742" s="132"/>
      <c r="AE742" s="63"/>
      <c r="AF742" s="63"/>
      <c r="AG742" s="63"/>
    </row>
    <row r="743" spans="1:33" ht="17.2" customHeight="1">
      <c r="A743" s="64" t="str">
        <f>IF(priority(Main[[#This Row],[Comments]])&lt;&gt;0, priority(Main[[#This Row],[Comments]]),"")</f>
        <v/>
      </c>
      <c r="B743" s="60" t="s">
        <v>1557</v>
      </c>
      <c r="C743" s="72" t="s">
        <v>180</v>
      </c>
      <c r="D743" s="59" t="s">
        <v>636</v>
      </c>
      <c r="E743" s="85"/>
      <c r="F743" s="85">
        <v>40389</v>
      </c>
      <c r="G743" s="64" t="str">
        <f>IF(stdProdLT(Main[[#This Row],[Comments]])=0.1,"N/A",IF(stdProdLT(Main[[#This Row],[Comments]])=0,"",TRIM(stdProdLT(Main[[#This Row],[Comments]]))))</f>
        <v/>
      </c>
      <c r="H743" s="94" t="str">
        <f>IF(OR(Main[[#This Row],[Std. Prod. Lead Time]]="N/A",Main[[#This Row],[Std. Prod. Lead Time]]=""), "",IF(AND(Main[[#This Row],[In Stock Date]]&lt;&gt;"",Main[[#This Row],[Revised Due Date]]&lt;&gt;"",Main[[#This Row],[In Stock Date]]&lt;&gt;""),Main[[#This Row],[In Stock Date]]-Main[[#This Row],[Revised Due Date]],""))</f>
        <v/>
      </c>
      <c r="I743" s="101" t="s">
        <v>4</v>
      </c>
      <c r="J743" s="95" t="s">
        <v>4</v>
      </c>
      <c r="K743" s="95" t="s">
        <v>4</v>
      </c>
      <c r="L743" s="85"/>
      <c r="M743" s="73" t="str">
        <f>IF(Main[[#This Row],[Tech Start Date]]&lt;1/1/1990,"",IF(Main[[#This Row],[Class]]="C",WORKDAY(Main[[#This Row],[Tech Start Date]],9),IF(Main[[#This Row],[Class]]="B", WORKDAY(Main[[#This Row],[Tech Start Date]],6),IF(Main[[#This Row],[Class]]="A",WORKDAY(Main[[#This Row],[Tech Start Date]],2),""))))</f>
        <v/>
      </c>
      <c r="N743" s="73" t="str">
        <f>IF(Main[[#This Row],[Tech Start Date]]&lt;1/1/1990,"",IF(Main[[#This Row],[Class]]="C",WORKDAY(Main[[#This Row],[Tech Start Date]],19),IF(Main[[#This Row],[Class]]="B", WORKDAY(Main[[#This Row],[Tech Start Date]],12),IF(Main[[#This Row],[Class]]="A",WORKDAY(Main[[#This Row],[Tech Start Date]],4),""))))</f>
        <v/>
      </c>
      <c r="O743" s="73" t="str">
        <f>IF(Main[[#This Row],[Tech Start Date]]&lt;1/1/1990,"",IF(Main[[#This Row],[Class]]="C",WORKDAY(Main[[#This Row],[Tech Start Date]],23),IF(Main[[#This Row],[Class]]="B", WORKDAY(Main[[#This Row],[Tech Start Date]],15),IF(Main[[#This Row],[Class]]="A",WORKDAY(Main[[#This Row],[Tech Start Date]],5),""))))</f>
        <v/>
      </c>
      <c r="P743" s="73" t="str">
        <f>IF(Main[[#This Row],[Tech Start Date]]&lt;1/1/1990,"",IF(Main[[#This Row],[Class]]="C",WORKDAY(Main[[#This Row],[Tech Start Date]],28),IF(Main[[#This Row],[Class]]="B", WORKDAY(Main[[#This Row],[Tech Start Date]],19),IF(Main[[#This Row],[Class]]="A",WORKDAY(Main[[#This Row],[Tech Start Date]],9),""))))</f>
        <v/>
      </c>
      <c r="Q743" s="85">
        <v>40298</v>
      </c>
      <c r="R743" s="112"/>
      <c r="S743" s="95" t="s">
        <v>11</v>
      </c>
      <c r="T743" s="74" t="s">
        <v>4</v>
      </c>
      <c r="U743" s="95" t="s">
        <v>12</v>
      </c>
      <c r="V743" s="95" t="s">
        <v>1911</v>
      </c>
      <c r="W743" s="95" t="s">
        <v>1917</v>
      </c>
      <c r="X743" s="95" t="s">
        <v>2804</v>
      </c>
      <c r="Y743" s="72" t="s">
        <v>2921</v>
      </c>
      <c r="Z743" s="72" t="s">
        <v>4</v>
      </c>
      <c r="AA743" s="95" t="s">
        <v>2804</v>
      </c>
      <c r="AB743" s="132"/>
      <c r="AC743" s="132"/>
      <c r="AD743" s="132"/>
      <c r="AE743" s="63"/>
      <c r="AF743" s="63"/>
      <c r="AG743" s="63"/>
    </row>
    <row r="744" spans="1:33" ht="17.2" customHeight="1">
      <c r="A744" s="64" t="str">
        <f>IF(priority(Main[[#This Row],[Comments]])&lt;&gt;0, priority(Main[[#This Row],[Comments]]),"")</f>
        <v/>
      </c>
      <c r="B744" s="60" t="s">
        <v>1558</v>
      </c>
      <c r="C744" s="72" t="s">
        <v>290</v>
      </c>
      <c r="D744" s="59" t="s">
        <v>637</v>
      </c>
      <c r="E744" s="85"/>
      <c r="F744" s="85"/>
      <c r="G744" s="64" t="str">
        <f>IF(stdProdLT(Main[[#This Row],[Comments]])=0.1,"N/A",IF(stdProdLT(Main[[#This Row],[Comments]])=0,"",TRIM(stdProdLT(Main[[#This Row],[Comments]]))))</f>
        <v/>
      </c>
      <c r="H744" s="94" t="str">
        <f>IF(OR(Main[[#This Row],[Std. Prod. Lead Time]]="N/A",Main[[#This Row],[Std. Prod. Lead Time]]=""), "",IF(AND(Main[[#This Row],[In Stock Date]]&lt;&gt;"",Main[[#This Row],[Revised Due Date]]&lt;&gt;"",Main[[#This Row],[In Stock Date]]&lt;&gt;""),Main[[#This Row],[In Stock Date]]-Main[[#This Row],[Revised Due Date]],""))</f>
        <v/>
      </c>
      <c r="I744" s="101" t="s">
        <v>4</v>
      </c>
      <c r="J744" s="95" t="s">
        <v>4</v>
      </c>
      <c r="K744" s="95" t="s">
        <v>4</v>
      </c>
      <c r="L744" s="85"/>
      <c r="M744" s="73" t="str">
        <f>IF(Main[[#This Row],[Tech Start Date]]&lt;1/1/1990,"",IF(Main[[#This Row],[Class]]="C",WORKDAY(Main[[#This Row],[Tech Start Date]],9),IF(Main[[#This Row],[Class]]="B", WORKDAY(Main[[#This Row],[Tech Start Date]],6),IF(Main[[#This Row],[Class]]="A",WORKDAY(Main[[#This Row],[Tech Start Date]],2),""))))</f>
        <v/>
      </c>
      <c r="N744" s="73" t="str">
        <f>IF(Main[[#This Row],[Tech Start Date]]&lt;1/1/1990,"",IF(Main[[#This Row],[Class]]="C",WORKDAY(Main[[#This Row],[Tech Start Date]],19),IF(Main[[#This Row],[Class]]="B", WORKDAY(Main[[#This Row],[Tech Start Date]],12),IF(Main[[#This Row],[Class]]="A",WORKDAY(Main[[#This Row],[Tech Start Date]],4),""))))</f>
        <v/>
      </c>
      <c r="O744" s="73" t="str">
        <f>IF(Main[[#This Row],[Tech Start Date]]&lt;1/1/1990,"",IF(Main[[#This Row],[Class]]="C",WORKDAY(Main[[#This Row],[Tech Start Date]],23),IF(Main[[#This Row],[Class]]="B", WORKDAY(Main[[#This Row],[Tech Start Date]],15),IF(Main[[#This Row],[Class]]="A",WORKDAY(Main[[#This Row],[Tech Start Date]],5),""))))</f>
        <v/>
      </c>
      <c r="P744" s="73" t="str">
        <f>IF(Main[[#This Row],[Tech Start Date]]&lt;1/1/1990,"",IF(Main[[#This Row],[Class]]="C",WORKDAY(Main[[#This Row],[Tech Start Date]],28),IF(Main[[#This Row],[Class]]="B", WORKDAY(Main[[#This Row],[Tech Start Date]],19),IF(Main[[#This Row],[Class]]="A",WORKDAY(Main[[#This Row],[Tech Start Date]],9),""))))</f>
        <v/>
      </c>
      <c r="Q744" s="85">
        <v>40052</v>
      </c>
      <c r="R744" s="112"/>
      <c r="S744" s="95" t="s">
        <v>11</v>
      </c>
      <c r="T744" s="74" t="s">
        <v>4</v>
      </c>
      <c r="U744" s="95" t="s">
        <v>14</v>
      </c>
      <c r="V744" s="95" t="s">
        <v>1914</v>
      </c>
      <c r="W744" s="95" t="s">
        <v>1913</v>
      </c>
      <c r="X744" s="95" t="s">
        <v>2814</v>
      </c>
      <c r="Y744" s="72" t="s">
        <v>4</v>
      </c>
      <c r="Z744" s="72" t="s">
        <v>4</v>
      </c>
      <c r="AA744" s="95" t="s">
        <v>2814</v>
      </c>
      <c r="AB744" s="132"/>
      <c r="AC744" s="132"/>
      <c r="AD744" s="132"/>
      <c r="AE744" s="63"/>
      <c r="AF744" s="63"/>
      <c r="AG744" s="63"/>
    </row>
    <row r="745" spans="1:33" ht="17.2" customHeight="1">
      <c r="A745" s="64" t="str">
        <f>IF(priority(Main[[#This Row],[Comments]])&lt;&gt;0, priority(Main[[#This Row],[Comments]]),"")</f>
        <v/>
      </c>
      <c r="B745" s="60" t="s">
        <v>1559</v>
      </c>
      <c r="C745" s="72" t="s">
        <v>93</v>
      </c>
      <c r="D745" s="59" t="s">
        <v>638</v>
      </c>
      <c r="E745" s="85"/>
      <c r="F745" s="85">
        <v>40132</v>
      </c>
      <c r="G745" s="64" t="str">
        <f>IF(stdProdLT(Main[[#This Row],[Comments]])=0.1,"N/A",IF(stdProdLT(Main[[#This Row],[Comments]])=0,"",TRIM(stdProdLT(Main[[#This Row],[Comments]]))))</f>
        <v/>
      </c>
      <c r="H745" s="94" t="str">
        <f>IF(OR(Main[[#This Row],[Std. Prod. Lead Time]]="N/A",Main[[#This Row],[Std. Prod. Lead Time]]=""), "",IF(AND(Main[[#This Row],[In Stock Date]]&lt;&gt;"",Main[[#This Row],[Revised Due Date]]&lt;&gt;"",Main[[#This Row],[In Stock Date]]&lt;&gt;""),Main[[#This Row],[In Stock Date]]-Main[[#This Row],[Revised Due Date]],""))</f>
        <v/>
      </c>
      <c r="I745" s="101" t="s">
        <v>4</v>
      </c>
      <c r="J745" s="95" t="s">
        <v>4</v>
      </c>
      <c r="K745" s="95" t="s">
        <v>4</v>
      </c>
      <c r="L745" s="85"/>
      <c r="M745" s="73" t="str">
        <f>IF(Main[[#This Row],[Tech Start Date]]&lt;1/1/1990,"",IF(Main[[#This Row],[Class]]="C",WORKDAY(Main[[#This Row],[Tech Start Date]],9),IF(Main[[#This Row],[Class]]="B", WORKDAY(Main[[#This Row],[Tech Start Date]],6),IF(Main[[#This Row],[Class]]="A",WORKDAY(Main[[#This Row],[Tech Start Date]],2),""))))</f>
        <v/>
      </c>
      <c r="N745" s="73" t="str">
        <f>IF(Main[[#This Row],[Tech Start Date]]&lt;1/1/1990,"",IF(Main[[#This Row],[Class]]="C",WORKDAY(Main[[#This Row],[Tech Start Date]],19),IF(Main[[#This Row],[Class]]="B", WORKDAY(Main[[#This Row],[Tech Start Date]],12),IF(Main[[#This Row],[Class]]="A",WORKDAY(Main[[#This Row],[Tech Start Date]],4),""))))</f>
        <v/>
      </c>
      <c r="O745" s="73" t="str">
        <f>IF(Main[[#This Row],[Tech Start Date]]&lt;1/1/1990,"",IF(Main[[#This Row],[Class]]="C",WORKDAY(Main[[#This Row],[Tech Start Date]],23),IF(Main[[#This Row],[Class]]="B", WORKDAY(Main[[#This Row],[Tech Start Date]],15),IF(Main[[#This Row],[Class]]="A",WORKDAY(Main[[#This Row],[Tech Start Date]],5),""))))</f>
        <v/>
      </c>
      <c r="P745" s="73" t="str">
        <f>IF(Main[[#This Row],[Tech Start Date]]&lt;1/1/1990,"",IF(Main[[#This Row],[Class]]="C",WORKDAY(Main[[#This Row],[Tech Start Date]],28),IF(Main[[#This Row],[Class]]="B", WORKDAY(Main[[#This Row],[Tech Start Date]],19),IF(Main[[#This Row],[Class]]="A",WORKDAY(Main[[#This Row],[Tech Start Date]],9),""))))</f>
        <v/>
      </c>
      <c r="Q745" s="85">
        <v>40132</v>
      </c>
      <c r="R745" s="112"/>
      <c r="S745" s="95" t="s">
        <v>11</v>
      </c>
      <c r="T745" s="74" t="s">
        <v>4</v>
      </c>
      <c r="U745" s="95" t="s">
        <v>14</v>
      </c>
      <c r="V745" s="95" t="s">
        <v>1914</v>
      </c>
      <c r="W745" s="95" t="s">
        <v>1922</v>
      </c>
      <c r="X745" s="95" t="s">
        <v>2836</v>
      </c>
      <c r="Y745" s="72" t="s">
        <v>4</v>
      </c>
      <c r="Z745" s="72" t="s">
        <v>4</v>
      </c>
      <c r="AA745" s="95" t="s">
        <v>2836</v>
      </c>
      <c r="AB745" s="132"/>
      <c r="AC745" s="132"/>
      <c r="AD745" s="132"/>
      <c r="AE745" s="63"/>
      <c r="AF745" s="63"/>
      <c r="AG745" s="63"/>
    </row>
    <row r="746" spans="1:33" ht="17.2" customHeight="1">
      <c r="A746" s="64" t="str">
        <f>IF(priority(Main[[#This Row],[Comments]])&lt;&gt;0, priority(Main[[#This Row],[Comments]]),"")</f>
        <v/>
      </c>
      <c r="B746" s="60" t="s">
        <v>3218</v>
      </c>
      <c r="C746" s="72" t="s">
        <v>3219</v>
      </c>
      <c r="D746" s="59" t="s">
        <v>3220</v>
      </c>
      <c r="E746" s="85">
        <v>40931.373113425929</v>
      </c>
      <c r="F746" s="85"/>
      <c r="G746" s="64" t="str">
        <f>IF(stdProdLT(Main[[#This Row],[Comments]])=0.1,"N/A",IF(stdProdLT(Main[[#This Row],[Comments]])=0,"",TRIM(stdProdLT(Main[[#This Row],[Comments]]))))</f>
        <v/>
      </c>
      <c r="H746" s="94" t="str">
        <f>IF(OR(Main[[#This Row],[Std. Prod. Lead Time]]="N/A",Main[[#This Row],[Std. Prod. Lead Time]]=""), "",IF(AND(Main[[#This Row],[In Stock Date]]&lt;&gt;"",Main[[#This Row],[Revised Due Date]]&lt;&gt;"",Main[[#This Row],[In Stock Date]]&lt;&gt;""),Main[[#This Row],[In Stock Date]]-Main[[#This Row],[Revised Due Date]],""))</f>
        <v/>
      </c>
      <c r="I746" s="101" t="s">
        <v>941</v>
      </c>
      <c r="J746" s="95" t="s">
        <v>28</v>
      </c>
      <c r="K746" s="95" t="s">
        <v>1920</v>
      </c>
      <c r="L746" s="85"/>
      <c r="M746" s="73" t="str">
        <f>IF(Main[[#This Row],[Tech Start Date]]&lt;1/1/1990,"",IF(Main[[#This Row],[Class]]="C",WORKDAY(Main[[#This Row],[Tech Start Date]],9),IF(Main[[#This Row],[Class]]="B", WORKDAY(Main[[#This Row],[Tech Start Date]],6),IF(Main[[#This Row],[Class]]="A",WORKDAY(Main[[#This Row],[Tech Start Date]],2),""))))</f>
        <v/>
      </c>
      <c r="N746" s="73" t="str">
        <f>IF(Main[[#This Row],[Tech Start Date]]&lt;1/1/1990,"",IF(Main[[#This Row],[Class]]="C",WORKDAY(Main[[#This Row],[Tech Start Date]],19),IF(Main[[#This Row],[Class]]="B", WORKDAY(Main[[#This Row],[Tech Start Date]],12),IF(Main[[#This Row],[Class]]="A",WORKDAY(Main[[#This Row],[Tech Start Date]],4),""))))</f>
        <v/>
      </c>
      <c r="O746" s="73" t="str">
        <f>IF(Main[[#This Row],[Tech Start Date]]&lt;1/1/1990,"",IF(Main[[#This Row],[Class]]="C",WORKDAY(Main[[#This Row],[Tech Start Date]],23),IF(Main[[#This Row],[Class]]="B", WORKDAY(Main[[#This Row],[Tech Start Date]],15),IF(Main[[#This Row],[Class]]="A",WORKDAY(Main[[#This Row],[Tech Start Date]],5),""))))</f>
        <v/>
      </c>
      <c r="P746" s="73" t="str">
        <f>IF(Main[[#This Row],[Tech Start Date]]&lt;1/1/1990,"",IF(Main[[#This Row],[Class]]="C",WORKDAY(Main[[#This Row],[Tech Start Date]],28),IF(Main[[#This Row],[Class]]="B", WORKDAY(Main[[#This Row],[Tech Start Date]],19),IF(Main[[#This Row],[Class]]="A",WORKDAY(Main[[#This Row],[Tech Start Date]],9),""))))</f>
        <v/>
      </c>
      <c r="Q746" s="85"/>
      <c r="R746" s="112"/>
      <c r="S746" s="95" t="s">
        <v>6</v>
      </c>
      <c r="T746" s="74" t="s">
        <v>3221</v>
      </c>
      <c r="U746" s="95" t="s">
        <v>29</v>
      </c>
      <c r="V746" s="95" t="s">
        <v>1912</v>
      </c>
      <c r="W746" s="95" t="s">
        <v>1915</v>
      </c>
      <c r="X746" s="95" t="s">
        <v>2796</v>
      </c>
      <c r="Y746" s="72" t="s">
        <v>2971</v>
      </c>
      <c r="Z746" s="72" t="s">
        <v>2047</v>
      </c>
      <c r="AA746" s="95" t="s">
        <v>2796</v>
      </c>
      <c r="AB746" s="132"/>
      <c r="AC746" s="132"/>
      <c r="AD746" s="132"/>
      <c r="AE746" s="63"/>
      <c r="AF746" s="63"/>
      <c r="AG746" s="63"/>
    </row>
    <row r="747" spans="1:33" ht="17.2" customHeight="1">
      <c r="A747" s="64" t="str">
        <f>IF(priority(Main[[#This Row],[Comments]])&lt;&gt;0, priority(Main[[#This Row],[Comments]]),"")</f>
        <v/>
      </c>
      <c r="B747" s="60" t="s">
        <v>1560</v>
      </c>
      <c r="C747" s="72" t="s">
        <v>4</v>
      </c>
      <c r="D747" s="59" t="s">
        <v>639</v>
      </c>
      <c r="E747" s="85"/>
      <c r="F747" s="85">
        <v>40602</v>
      </c>
      <c r="G747" s="64" t="str">
        <f>IF(stdProdLT(Main[[#This Row],[Comments]])=0.1,"N/A",IF(stdProdLT(Main[[#This Row],[Comments]])=0,"",TRIM(stdProdLT(Main[[#This Row],[Comments]]))))</f>
        <v/>
      </c>
      <c r="H747" s="94" t="str">
        <f>IF(OR(Main[[#This Row],[Std. Prod. Lead Time]]="N/A",Main[[#This Row],[Std. Prod. Lead Time]]=""), "",IF(AND(Main[[#This Row],[In Stock Date]]&lt;&gt;"",Main[[#This Row],[Revised Due Date]]&lt;&gt;"",Main[[#This Row],[In Stock Date]]&lt;&gt;""),Main[[#This Row],[In Stock Date]]-Main[[#This Row],[Revised Due Date]],""))</f>
        <v/>
      </c>
      <c r="I747" s="101" t="s">
        <v>399</v>
      </c>
      <c r="J747" s="95" t="s">
        <v>75</v>
      </c>
      <c r="K747" s="95" t="s">
        <v>1920</v>
      </c>
      <c r="L747" s="85"/>
      <c r="M747" s="73" t="str">
        <f>IF(Main[[#This Row],[Tech Start Date]]&lt;1/1/1990,"",IF(Main[[#This Row],[Class]]="C",WORKDAY(Main[[#This Row],[Tech Start Date]],9),IF(Main[[#This Row],[Class]]="B", WORKDAY(Main[[#This Row],[Tech Start Date]],6),IF(Main[[#This Row],[Class]]="A",WORKDAY(Main[[#This Row],[Tech Start Date]],2),""))))</f>
        <v/>
      </c>
      <c r="N747" s="73" t="str">
        <f>IF(Main[[#This Row],[Tech Start Date]]&lt;1/1/1990,"",IF(Main[[#This Row],[Class]]="C",WORKDAY(Main[[#This Row],[Tech Start Date]],19),IF(Main[[#This Row],[Class]]="B", WORKDAY(Main[[#This Row],[Tech Start Date]],12),IF(Main[[#This Row],[Class]]="A",WORKDAY(Main[[#This Row],[Tech Start Date]],4),""))))</f>
        <v/>
      </c>
      <c r="O747" s="73" t="str">
        <f>IF(Main[[#This Row],[Tech Start Date]]&lt;1/1/1990,"",IF(Main[[#This Row],[Class]]="C",WORKDAY(Main[[#This Row],[Tech Start Date]],23),IF(Main[[#This Row],[Class]]="B", WORKDAY(Main[[#This Row],[Tech Start Date]],15),IF(Main[[#This Row],[Class]]="A",WORKDAY(Main[[#This Row],[Tech Start Date]],5),""))))</f>
        <v/>
      </c>
      <c r="P747" s="73" t="str">
        <f>IF(Main[[#This Row],[Tech Start Date]]&lt;1/1/1990,"",IF(Main[[#This Row],[Class]]="C",WORKDAY(Main[[#This Row],[Tech Start Date]],28),IF(Main[[#This Row],[Class]]="B", WORKDAY(Main[[#This Row],[Tech Start Date]],19),IF(Main[[#This Row],[Class]]="A",WORKDAY(Main[[#This Row],[Tech Start Date]],9),""))))</f>
        <v/>
      </c>
      <c r="Q747" s="85"/>
      <c r="R747" s="112"/>
      <c r="S747" s="95" t="s">
        <v>11</v>
      </c>
      <c r="T747" s="74" t="s">
        <v>4</v>
      </c>
      <c r="U747" s="95" t="s">
        <v>14</v>
      </c>
      <c r="V747" s="95" t="s">
        <v>1914</v>
      </c>
      <c r="W747" s="95" t="s">
        <v>1917</v>
      </c>
      <c r="X747" s="95" t="s">
        <v>50</v>
      </c>
      <c r="Y747" s="72" t="s">
        <v>2939</v>
      </c>
      <c r="Z747" s="72" t="s">
        <v>306</v>
      </c>
      <c r="AA747" s="95" t="s">
        <v>50</v>
      </c>
      <c r="AB747" s="132">
        <v>40602</v>
      </c>
      <c r="AC747" s="132">
        <v>40602</v>
      </c>
      <c r="AD747" s="132"/>
      <c r="AE747" s="63"/>
      <c r="AF747" s="63"/>
      <c r="AG747" s="63"/>
    </row>
    <row r="748" spans="1:33" ht="17.2" customHeight="1">
      <c r="A748" s="64" t="str">
        <f>IF(priority(Main[[#This Row],[Comments]])&lt;&gt;0, priority(Main[[#This Row],[Comments]]),"")</f>
        <v/>
      </c>
      <c r="B748" s="60" t="s">
        <v>1561</v>
      </c>
      <c r="C748" s="72" t="s">
        <v>4</v>
      </c>
      <c r="D748" s="59" t="s">
        <v>640</v>
      </c>
      <c r="E748" s="85"/>
      <c r="F748" s="85">
        <v>40711</v>
      </c>
      <c r="G748" s="64" t="str">
        <f>IF(stdProdLT(Main[[#This Row],[Comments]])=0.1,"N/A",IF(stdProdLT(Main[[#This Row],[Comments]])=0,"",TRIM(stdProdLT(Main[[#This Row],[Comments]]))))</f>
        <v/>
      </c>
      <c r="H748" s="94" t="str">
        <f>IF(OR(Main[[#This Row],[Std. Prod. Lead Time]]="N/A",Main[[#This Row],[Std. Prod. Lead Time]]=""), "",IF(AND(Main[[#This Row],[In Stock Date]]&lt;&gt;"",Main[[#This Row],[Revised Due Date]]&lt;&gt;"",Main[[#This Row],[In Stock Date]]&lt;&gt;""),Main[[#This Row],[In Stock Date]]-Main[[#This Row],[Revised Due Date]],""))</f>
        <v/>
      </c>
      <c r="I748" s="101" t="s">
        <v>4</v>
      </c>
      <c r="J748" s="95" t="s">
        <v>4</v>
      </c>
      <c r="K748" s="95" t="s">
        <v>4</v>
      </c>
      <c r="L748" s="85"/>
      <c r="M748" s="73" t="str">
        <f>IF(Main[[#This Row],[Tech Start Date]]&lt;1/1/1990,"",IF(Main[[#This Row],[Class]]="C",WORKDAY(Main[[#This Row],[Tech Start Date]],9),IF(Main[[#This Row],[Class]]="B", WORKDAY(Main[[#This Row],[Tech Start Date]],6),IF(Main[[#This Row],[Class]]="A",WORKDAY(Main[[#This Row],[Tech Start Date]],2),""))))</f>
        <v/>
      </c>
      <c r="N748" s="73" t="str">
        <f>IF(Main[[#This Row],[Tech Start Date]]&lt;1/1/1990,"",IF(Main[[#This Row],[Class]]="C",WORKDAY(Main[[#This Row],[Tech Start Date]],19),IF(Main[[#This Row],[Class]]="B", WORKDAY(Main[[#This Row],[Tech Start Date]],12),IF(Main[[#This Row],[Class]]="A",WORKDAY(Main[[#This Row],[Tech Start Date]],4),""))))</f>
        <v/>
      </c>
      <c r="O748" s="73" t="str">
        <f>IF(Main[[#This Row],[Tech Start Date]]&lt;1/1/1990,"",IF(Main[[#This Row],[Class]]="C",WORKDAY(Main[[#This Row],[Tech Start Date]],23),IF(Main[[#This Row],[Class]]="B", WORKDAY(Main[[#This Row],[Tech Start Date]],15),IF(Main[[#This Row],[Class]]="A",WORKDAY(Main[[#This Row],[Tech Start Date]],5),""))))</f>
        <v/>
      </c>
      <c r="P748" s="73" t="str">
        <f>IF(Main[[#This Row],[Tech Start Date]]&lt;1/1/1990,"",IF(Main[[#This Row],[Class]]="C",WORKDAY(Main[[#This Row],[Tech Start Date]],28),IF(Main[[#This Row],[Class]]="B", WORKDAY(Main[[#This Row],[Tech Start Date]],19),IF(Main[[#This Row],[Class]]="A",WORKDAY(Main[[#This Row],[Tech Start Date]],9),""))))</f>
        <v/>
      </c>
      <c r="Q748" s="85"/>
      <c r="R748" s="112"/>
      <c r="S748" s="95" t="s">
        <v>11</v>
      </c>
      <c r="T748" s="74" t="s">
        <v>4</v>
      </c>
      <c r="U748" s="95" t="s">
        <v>14</v>
      </c>
      <c r="V748" s="95" t="s">
        <v>1912</v>
      </c>
      <c r="W748" s="95" t="s">
        <v>1916</v>
      </c>
      <c r="X748" s="95" t="s">
        <v>941</v>
      </c>
      <c r="Y748" s="72" t="s">
        <v>2973</v>
      </c>
      <c r="Z748" s="72" t="s">
        <v>4</v>
      </c>
      <c r="AA748" s="95" t="s">
        <v>941</v>
      </c>
      <c r="AB748" s="132"/>
      <c r="AC748" s="132"/>
      <c r="AD748" s="132"/>
      <c r="AE748" s="63"/>
      <c r="AF748" s="63"/>
      <c r="AG748" s="63"/>
    </row>
    <row r="749" spans="1:33" ht="17.2" customHeight="1">
      <c r="A749" s="64" t="str">
        <f>IF(priority(Main[[#This Row],[Comments]])&lt;&gt;0, priority(Main[[#This Row],[Comments]]),"")</f>
        <v/>
      </c>
      <c r="B749" s="60" t="s">
        <v>1562</v>
      </c>
      <c r="C749" s="72" t="s">
        <v>180</v>
      </c>
      <c r="D749" s="59" t="s">
        <v>641</v>
      </c>
      <c r="E749" s="85"/>
      <c r="F749" s="85">
        <v>40389</v>
      </c>
      <c r="G749" s="64" t="str">
        <f>IF(stdProdLT(Main[[#This Row],[Comments]])=0.1,"N/A",IF(stdProdLT(Main[[#This Row],[Comments]])=0,"",TRIM(stdProdLT(Main[[#This Row],[Comments]]))))</f>
        <v/>
      </c>
      <c r="H749" s="94" t="str">
        <f>IF(OR(Main[[#This Row],[Std. Prod. Lead Time]]="N/A",Main[[#This Row],[Std. Prod. Lead Time]]=""), "",IF(AND(Main[[#This Row],[In Stock Date]]&lt;&gt;"",Main[[#This Row],[Revised Due Date]]&lt;&gt;"",Main[[#This Row],[In Stock Date]]&lt;&gt;""),Main[[#This Row],[In Stock Date]]-Main[[#This Row],[Revised Due Date]],""))</f>
        <v/>
      </c>
      <c r="I749" s="101" t="s">
        <v>4</v>
      </c>
      <c r="J749" s="95" t="s">
        <v>4</v>
      </c>
      <c r="K749" s="95" t="s">
        <v>4</v>
      </c>
      <c r="L749" s="85"/>
      <c r="M749" s="73" t="str">
        <f>IF(Main[[#This Row],[Tech Start Date]]&lt;1/1/1990,"",IF(Main[[#This Row],[Class]]="C",WORKDAY(Main[[#This Row],[Tech Start Date]],9),IF(Main[[#This Row],[Class]]="B", WORKDAY(Main[[#This Row],[Tech Start Date]],6),IF(Main[[#This Row],[Class]]="A",WORKDAY(Main[[#This Row],[Tech Start Date]],2),""))))</f>
        <v/>
      </c>
      <c r="N749" s="73" t="str">
        <f>IF(Main[[#This Row],[Tech Start Date]]&lt;1/1/1990,"",IF(Main[[#This Row],[Class]]="C",WORKDAY(Main[[#This Row],[Tech Start Date]],19),IF(Main[[#This Row],[Class]]="B", WORKDAY(Main[[#This Row],[Tech Start Date]],12),IF(Main[[#This Row],[Class]]="A",WORKDAY(Main[[#This Row],[Tech Start Date]],4),""))))</f>
        <v/>
      </c>
      <c r="O749" s="73" t="str">
        <f>IF(Main[[#This Row],[Tech Start Date]]&lt;1/1/1990,"",IF(Main[[#This Row],[Class]]="C",WORKDAY(Main[[#This Row],[Tech Start Date]],23),IF(Main[[#This Row],[Class]]="B", WORKDAY(Main[[#This Row],[Tech Start Date]],15),IF(Main[[#This Row],[Class]]="A",WORKDAY(Main[[#This Row],[Tech Start Date]],5),""))))</f>
        <v/>
      </c>
      <c r="P749" s="73" t="str">
        <f>IF(Main[[#This Row],[Tech Start Date]]&lt;1/1/1990,"",IF(Main[[#This Row],[Class]]="C",WORKDAY(Main[[#This Row],[Tech Start Date]],28),IF(Main[[#This Row],[Class]]="B", WORKDAY(Main[[#This Row],[Tech Start Date]],19),IF(Main[[#This Row],[Class]]="A",WORKDAY(Main[[#This Row],[Tech Start Date]],9),""))))</f>
        <v/>
      </c>
      <c r="Q749" s="85">
        <v>40298</v>
      </c>
      <c r="R749" s="112"/>
      <c r="S749" s="95" t="s">
        <v>11</v>
      </c>
      <c r="T749" s="74" t="s">
        <v>4</v>
      </c>
      <c r="U749" s="95" t="s">
        <v>14</v>
      </c>
      <c r="V749" s="95" t="s">
        <v>1911</v>
      </c>
      <c r="W749" s="95" t="s">
        <v>1917</v>
      </c>
      <c r="X749" s="95" t="s">
        <v>2804</v>
      </c>
      <c r="Y749" s="72" t="s">
        <v>2921</v>
      </c>
      <c r="Z749" s="72" t="s">
        <v>4</v>
      </c>
      <c r="AA749" s="95" t="s">
        <v>2804</v>
      </c>
      <c r="AB749" s="132"/>
      <c r="AC749" s="132"/>
      <c r="AD749" s="132"/>
      <c r="AE749" s="63"/>
      <c r="AF749" s="63"/>
      <c r="AG749" s="63"/>
    </row>
    <row r="750" spans="1:33" ht="17.2" customHeight="1">
      <c r="A750" s="64" t="str">
        <f>IF(priority(Main[[#This Row],[Comments]])&lt;&gt;0, priority(Main[[#This Row],[Comments]]),"")</f>
        <v/>
      </c>
      <c r="B750" s="60" t="s">
        <v>1563</v>
      </c>
      <c r="C750" s="72" t="s">
        <v>4</v>
      </c>
      <c r="D750" s="59" t="s">
        <v>642</v>
      </c>
      <c r="E750" s="85"/>
      <c r="F750" s="85"/>
      <c r="G750" s="64" t="str">
        <f>IF(stdProdLT(Main[[#This Row],[Comments]])=0.1,"N/A",IF(stdProdLT(Main[[#This Row],[Comments]])=0,"",TRIM(stdProdLT(Main[[#This Row],[Comments]]))))</f>
        <v/>
      </c>
      <c r="H750" s="94" t="str">
        <f>IF(OR(Main[[#This Row],[Std. Prod. Lead Time]]="N/A",Main[[#This Row],[Std. Prod. Lead Time]]=""), "",IF(AND(Main[[#This Row],[In Stock Date]]&lt;&gt;"",Main[[#This Row],[Revised Due Date]]&lt;&gt;"",Main[[#This Row],[In Stock Date]]&lt;&gt;""),Main[[#This Row],[In Stock Date]]-Main[[#This Row],[Revised Due Date]],""))</f>
        <v/>
      </c>
      <c r="I750" s="101" t="s">
        <v>4</v>
      </c>
      <c r="J750" s="95" t="s">
        <v>4</v>
      </c>
      <c r="K750" s="95" t="s">
        <v>4</v>
      </c>
      <c r="L750" s="85"/>
      <c r="M750" s="73" t="str">
        <f>IF(Main[[#This Row],[Tech Start Date]]&lt;1/1/1990,"",IF(Main[[#This Row],[Class]]="C",WORKDAY(Main[[#This Row],[Tech Start Date]],9),IF(Main[[#This Row],[Class]]="B", WORKDAY(Main[[#This Row],[Tech Start Date]],6),IF(Main[[#This Row],[Class]]="A",WORKDAY(Main[[#This Row],[Tech Start Date]],2),""))))</f>
        <v/>
      </c>
      <c r="N750" s="73" t="str">
        <f>IF(Main[[#This Row],[Tech Start Date]]&lt;1/1/1990,"",IF(Main[[#This Row],[Class]]="C",WORKDAY(Main[[#This Row],[Tech Start Date]],19),IF(Main[[#This Row],[Class]]="B", WORKDAY(Main[[#This Row],[Tech Start Date]],12),IF(Main[[#This Row],[Class]]="A",WORKDAY(Main[[#This Row],[Tech Start Date]],4),""))))</f>
        <v/>
      </c>
      <c r="O750" s="73" t="str">
        <f>IF(Main[[#This Row],[Tech Start Date]]&lt;1/1/1990,"",IF(Main[[#This Row],[Class]]="C",WORKDAY(Main[[#This Row],[Tech Start Date]],23),IF(Main[[#This Row],[Class]]="B", WORKDAY(Main[[#This Row],[Tech Start Date]],15),IF(Main[[#This Row],[Class]]="A",WORKDAY(Main[[#This Row],[Tech Start Date]],5),""))))</f>
        <v/>
      </c>
      <c r="P750" s="73" t="str">
        <f>IF(Main[[#This Row],[Tech Start Date]]&lt;1/1/1990,"",IF(Main[[#This Row],[Class]]="C",WORKDAY(Main[[#This Row],[Tech Start Date]],28),IF(Main[[#This Row],[Class]]="B", WORKDAY(Main[[#This Row],[Tech Start Date]],19),IF(Main[[#This Row],[Class]]="A",WORKDAY(Main[[#This Row],[Tech Start Date]],9),""))))</f>
        <v/>
      </c>
      <c r="Q750" s="85"/>
      <c r="R750" s="112"/>
      <c r="S750" s="95" t="s">
        <v>11</v>
      </c>
      <c r="T750" s="74" t="s">
        <v>4</v>
      </c>
      <c r="U750" s="95" t="s">
        <v>12</v>
      </c>
      <c r="V750" s="95" t="s">
        <v>1911</v>
      </c>
      <c r="W750" s="95" t="s">
        <v>1915</v>
      </c>
      <c r="X750" s="95" t="s">
        <v>886</v>
      </c>
      <c r="Y750" s="72" t="s">
        <v>3060</v>
      </c>
      <c r="Z750" s="72" t="s">
        <v>4</v>
      </c>
      <c r="AA750" s="95" t="s">
        <v>886</v>
      </c>
      <c r="AB750" s="132"/>
      <c r="AC750" s="132"/>
      <c r="AD750" s="132"/>
      <c r="AE750" s="63"/>
      <c r="AF750" s="63"/>
      <c r="AG750" s="63"/>
    </row>
    <row r="751" spans="1:33" ht="17.2" customHeight="1">
      <c r="A751" s="64" t="str">
        <f>IF(priority(Main[[#This Row],[Comments]])&lt;&gt;0, priority(Main[[#This Row],[Comments]]),"")</f>
        <v/>
      </c>
      <c r="B751" s="60" t="s">
        <v>2342</v>
      </c>
      <c r="C751" s="72" t="s">
        <v>4</v>
      </c>
      <c r="D751" s="59" t="s">
        <v>3505</v>
      </c>
      <c r="E751" s="85">
        <v>40849.308981481481</v>
      </c>
      <c r="F751" s="85"/>
      <c r="G751" s="64" t="str">
        <f>IF(stdProdLT(Main[[#This Row],[Comments]])=0.1,"N/A",IF(stdProdLT(Main[[#This Row],[Comments]])=0,"",TRIM(stdProdLT(Main[[#This Row],[Comments]]))))</f>
        <v/>
      </c>
      <c r="H751" s="94" t="str">
        <f>IF(OR(Main[[#This Row],[Std. Prod. Lead Time]]="N/A",Main[[#This Row],[Std. Prod. Lead Time]]=""), "",IF(AND(Main[[#This Row],[In Stock Date]]&lt;&gt;"",Main[[#This Row],[Revised Due Date]]&lt;&gt;"",Main[[#This Row],[In Stock Date]]&lt;&gt;""),Main[[#This Row],[In Stock Date]]-Main[[#This Row],[Revised Due Date]],""))</f>
        <v/>
      </c>
      <c r="I751" s="101" t="s">
        <v>937</v>
      </c>
      <c r="J751" s="95" t="s">
        <v>21</v>
      </c>
      <c r="K751" s="95" t="s">
        <v>1918</v>
      </c>
      <c r="L751" s="85"/>
      <c r="M751" s="73" t="str">
        <f>IF(Main[[#This Row],[Tech Start Date]]&lt;1/1/1990,"",IF(Main[[#This Row],[Class]]="C",WORKDAY(Main[[#This Row],[Tech Start Date]],9),IF(Main[[#This Row],[Class]]="B", WORKDAY(Main[[#This Row],[Tech Start Date]],6),IF(Main[[#This Row],[Class]]="A",WORKDAY(Main[[#This Row],[Tech Start Date]],2),""))))</f>
        <v/>
      </c>
      <c r="N751" s="73" t="str">
        <f>IF(Main[[#This Row],[Tech Start Date]]&lt;1/1/1990,"",IF(Main[[#This Row],[Class]]="C",WORKDAY(Main[[#This Row],[Tech Start Date]],19),IF(Main[[#This Row],[Class]]="B", WORKDAY(Main[[#This Row],[Tech Start Date]],12),IF(Main[[#This Row],[Class]]="A",WORKDAY(Main[[#This Row],[Tech Start Date]],4),""))))</f>
        <v/>
      </c>
      <c r="O751" s="73" t="str">
        <f>IF(Main[[#This Row],[Tech Start Date]]&lt;1/1/1990,"",IF(Main[[#This Row],[Class]]="C",WORKDAY(Main[[#This Row],[Tech Start Date]],23),IF(Main[[#This Row],[Class]]="B", WORKDAY(Main[[#This Row],[Tech Start Date]],15),IF(Main[[#This Row],[Class]]="A",WORKDAY(Main[[#This Row],[Tech Start Date]],5),""))))</f>
        <v/>
      </c>
      <c r="P751" s="73" t="str">
        <f>IF(Main[[#This Row],[Tech Start Date]]&lt;1/1/1990,"",IF(Main[[#This Row],[Class]]="C",WORKDAY(Main[[#This Row],[Tech Start Date]],28),IF(Main[[#This Row],[Class]]="B", WORKDAY(Main[[#This Row],[Tech Start Date]],19),IF(Main[[#This Row],[Class]]="A",WORKDAY(Main[[#This Row],[Tech Start Date]],9),""))))</f>
        <v/>
      </c>
      <c r="Q751" s="85"/>
      <c r="R751" s="112"/>
      <c r="S751" s="95" t="s">
        <v>6</v>
      </c>
      <c r="T751" s="74" t="s">
        <v>4</v>
      </c>
      <c r="U751" s="95" t="s">
        <v>29</v>
      </c>
      <c r="V751" s="95" t="s">
        <v>1911</v>
      </c>
      <c r="W751" s="95" t="s">
        <v>1915</v>
      </c>
      <c r="X751" s="95" t="s">
        <v>937</v>
      </c>
      <c r="Y751" s="72" t="s">
        <v>2962</v>
      </c>
      <c r="Z751" s="72" t="s">
        <v>937</v>
      </c>
      <c r="AA751" s="95" t="s">
        <v>937</v>
      </c>
      <c r="AB751" s="132"/>
      <c r="AC751" s="132"/>
      <c r="AD751" s="132"/>
      <c r="AE751" s="63"/>
      <c r="AF751" s="63"/>
      <c r="AG751" s="63"/>
    </row>
    <row r="752" spans="1:33" ht="17.2" customHeight="1">
      <c r="A752" s="64" t="str">
        <f>IF(priority(Main[[#This Row],[Comments]])&lt;&gt;0, priority(Main[[#This Row],[Comments]]),"")</f>
        <v/>
      </c>
      <c r="B752" s="60" t="s">
        <v>1564</v>
      </c>
      <c r="C752" s="72" t="s">
        <v>643</v>
      </c>
      <c r="D752" s="59" t="s">
        <v>644</v>
      </c>
      <c r="E752" s="85"/>
      <c r="F752" s="85">
        <v>40632</v>
      </c>
      <c r="G752" s="64" t="str">
        <f>IF(stdProdLT(Main[[#This Row],[Comments]])=0.1,"N/A",IF(stdProdLT(Main[[#This Row],[Comments]])=0,"",TRIM(stdProdLT(Main[[#This Row],[Comments]]))))</f>
        <v/>
      </c>
      <c r="H752" s="94" t="str">
        <f>IF(OR(Main[[#This Row],[Std. Prod. Lead Time]]="N/A",Main[[#This Row],[Std. Prod. Lead Time]]=""), "",IF(AND(Main[[#This Row],[In Stock Date]]&lt;&gt;"",Main[[#This Row],[Revised Due Date]]&lt;&gt;"",Main[[#This Row],[In Stock Date]]&lt;&gt;""),Main[[#This Row],[In Stock Date]]-Main[[#This Row],[Revised Due Date]],""))</f>
        <v/>
      </c>
      <c r="I752" s="101" t="s">
        <v>4</v>
      </c>
      <c r="J752" s="95" t="s">
        <v>4</v>
      </c>
      <c r="K752" s="95" t="s">
        <v>4</v>
      </c>
      <c r="L752" s="85"/>
      <c r="M752" s="73" t="str">
        <f>IF(Main[[#This Row],[Tech Start Date]]&lt;1/1/1990,"",IF(Main[[#This Row],[Class]]="C",WORKDAY(Main[[#This Row],[Tech Start Date]],9),IF(Main[[#This Row],[Class]]="B", WORKDAY(Main[[#This Row],[Tech Start Date]],6),IF(Main[[#This Row],[Class]]="A",WORKDAY(Main[[#This Row],[Tech Start Date]],2),""))))</f>
        <v/>
      </c>
      <c r="N752" s="73" t="str">
        <f>IF(Main[[#This Row],[Tech Start Date]]&lt;1/1/1990,"",IF(Main[[#This Row],[Class]]="C",WORKDAY(Main[[#This Row],[Tech Start Date]],19),IF(Main[[#This Row],[Class]]="B", WORKDAY(Main[[#This Row],[Tech Start Date]],12),IF(Main[[#This Row],[Class]]="A",WORKDAY(Main[[#This Row],[Tech Start Date]],4),""))))</f>
        <v/>
      </c>
      <c r="O752" s="73" t="str">
        <f>IF(Main[[#This Row],[Tech Start Date]]&lt;1/1/1990,"",IF(Main[[#This Row],[Class]]="C",WORKDAY(Main[[#This Row],[Tech Start Date]],23),IF(Main[[#This Row],[Class]]="B", WORKDAY(Main[[#This Row],[Tech Start Date]],15),IF(Main[[#This Row],[Class]]="A",WORKDAY(Main[[#This Row],[Tech Start Date]],5),""))))</f>
        <v/>
      </c>
      <c r="P752" s="73" t="str">
        <f>IF(Main[[#This Row],[Tech Start Date]]&lt;1/1/1990,"",IF(Main[[#This Row],[Class]]="C",WORKDAY(Main[[#This Row],[Tech Start Date]],28),IF(Main[[#This Row],[Class]]="B", WORKDAY(Main[[#This Row],[Tech Start Date]],19),IF(Main[[#This Row],[Class]]="A",WORKDAY(Main[[#This Row],[Tech Start Date]],9),""))))</f>
        <v/>
      </c>
      <c r="Q752" s="85">
        <v>40613</v>
      </c>
      <c r="R752" s="112"/>
      <c r="S752" s="95" t="s">
        <v>11</v>
      </c>
      <c r="T752" s="74" t="s">
        <v>4</v>
      </c>
      <c r="U752" s="95" t="s">
        <v>14</v>
      </c>
      <c r="V752" s="95" t="s">
        <v>1914</v>
      </c>
      <c r="W752" s="95" t="s">
        <v>1919</v>
      </c>
      <c r="X752" s="95" t="s">
        <v>2848</v>
      </c>
      <c r="Y752" s="72" t="s">
        <v>2990</v>
      </c>
      <c r="Z752" s="72" t="s">
        <v>4</v>
      </c>
      <c r="AA752" s="95" t="s">
        <v>2848</v>
      </c>
      <c r="AB752" s="132"/>
      <c r="AC752" s="132"/>
      <c r="AD752" s="132"/>
      <c r="AE752" s="63"/>
      <c r="AF752" s="63"/>
      <c r="AG752" s="63"/>
    </row>
    <row r="753" spans="1:33" ht="17.2" customHeight="1">
      <c r="A753" s="64" t="str">
        <f>IF(priority(Main[[#This Row],[Comments]])&lt;&gt;0, priority(Main[[#This Row],[Comments]]),"")</f>
        <v/>
      </c>
      <c r="B753" s="60" t="s">
        <v>1588</v>
      </c>
      <c r="C753" s="72" t="s">
        <v>4</v>
      </c>
      <c r="D753" s="59" t="s">
        <v>97</v>
      </c>
      <c r="E753" s="85"/>
      <c r="F753" s="85"/>
      <c r="G753" s="64" t="str">
        <f>IF(stdProdLT(Main[[#This Row],[Comments]])=0.1,"N/A",IF(stdProdLT(Main[[#This Row],[Comments]])=0,"",TRIM(stdProdLT(Main[[#This Row],[Comments]]))))</f>
        <v/>
      </c>
      <c r="H753" s="94" t="str">
        <f>IF(OR(Main[[#This Row],[Std. Prod. Lead Time]]="N/A",Main[[#This Row],[Std. Prod. Lead Time]]=""), "",IF(AND(Main[[#This Row],[In Stock Date]]&lt;&gt;"",Main[[#This Row],[Revised Due Date]]&lt;&gt;"",Main[[#This Row],[In Stock Date]]&lt;&gt;""),Main[[#This Row],[In Stock Date]]-Main[[#This Row],[Revised Due Date]],""))</f>
        <v/>
      </c>
      <c r="I753" s="101" t="s">
        <v>4</v>
      </c>
      <c r="J753" s="95" t="s">
        <v>4</v>
      </c>
      <c r="K753" s="95" t="s">
        <v>4</v>
      </c>
      <c r="L753" s="85"/>
      <c r="M753" s="73" t="str">
        <f>IF(Main[[#This Row],[Tech Start Date]]&lt;1/1/1990,"",IF(Main[[#This Row],[Class]]="C",WORKDAY(Main[[#This Row],[Tech Start Date]],9),IF(Main[[#This Row],[Class]]="B", WORKDAY(Main[[#This Row],[Tech Start Date]],6),IF(Main[[#This Row],[Class]]="A",WORKDAY(Main[[#This Row],[Tech Start Date]],2),""))))</f>
        <v/>
      </c>
      <c r="N753" s="73" t="str">
        <f>IF(Main[[#This Row],[Tech Start Date]]&lt;1/1/1990,"",IF(Main[[#This Row],[Class]]="C",WORKDAY(Main[[#This Row],[Tech Start Date]],19),IF(Main[[#This Row],[Class]]="B", WORKDAY(Main[[#This Row],[Tech Start Date]],12),IF(Main[[#This Row],[Class]]="A",WORKDAY(Main[[#This Row],[Tech Start Date]],4),""))))</f>
        <v/>
      </c>
      <c r="O753" s="73" t="str">
        <f>IF(Main[[#This Row],[Tech Start Date]]&lt;1/1/1990,"",IF(Main[[#This Row],[Class]]="C",WORKDAY(Main[[#This Row],[Tech Start Date]],23),IF(Main[[#This Row],[Class]]="B", WORKDAY(Main[[#This Row],[Tech Start Date]],15),IF(Main[[#This Row],[Class]]="A",WORKDAY(Main[[#This Row],[Tech Start Date]],5),""))))</f>
        <v/>
      </c>
      <c r="P753" s="73" t="str">
        <f>IF(Main[[#This Row],[Tech Start Date]]&lt;1/1/1990,"",IF(Main[[#This Row],[Class]]="C",WORKDAY(Main[[#This Row],[Tech Start Date]],28),IF(Main[[#This Row],[Class]]="B", WORKDAY(Main[[#This Row],[Tech Start Date]],19),IF(Main[[#This Row],[Class]]="A",WORKDAY(Main[[#This Row],[Tech Start Date]],9),""))))</f>
        <v/>
      </c>
      <c r="Q753" s="85">
        <v>40858</v>
      </c>
      <c r="R753" s="112"/>
      <c r="S753" s="95" t="s">
        <v>17</v>
      </c>
      <c r="T753" s="74" t="s">
        <v>4</v>
      </c>
      <c r="U753" s="95" t="s">
        <v>14</v>
      </c>
      <c r="V753" s="95" t="s">
        <v>1911</v>
      </c>
      <c r="W753" s="95" t="s">
        <v>1916</v>
      </c>
      <c r="X753" s="95" t="s">
        <v>50</v>
      </c>
      <c r="Y753" s="72" t="s">
        <v>2937</v>
      </c>
      <c r="Z753" s="72" t="s">
        <v>4</v>
      </c>
      <c r="AA753" s="95" t="s">
        <v>2808</v>
      </c>
      <c r="AB753" s="132"/>
      <c r="AC753" s="132"/>
      <c r="AD753" s="132"/>
      <c r="AE753" s="63"/>
      <c r="AF753" s="63"/>
      <c r="AG753" s="63"/>
    </row>
    <row r="754" spans="1:33" ht="17.2" customHeight="1">
      <c r="A754" s="64" t="str">
        <f>IF(priority(Main[[#This Row],[Comments]])&lt;&gt;0, priority(Main[[#This Row],[Comments]]),"")</f>
        <v/>
      </c>
      <c r="B754" s="60" t="s">
        <v>1591</v>
      </c>
      <c r="C754" s="72" t="s">
        <v>668</v>
      </c>
      <c r="D754" s="59" t="s">
        <v>669</v>
      </c>
      <c r="E754" s="85"/>
      <c r="F754" s="85">
        <v>40633</v>
      </c>
      <c r="G754" s="64" t="str">
        <f>IF(stdProdLT(Main[[#This Row],[Comments]])=0.1,"N/A",IF(stdProdLT(Main[[#This Row],[Comments]])=0,"",TRIM(stdProdLT(Main[[#This Row],[Comments]]))))</f>
        <v/>
      </c>
      <c r="H754" s="94" t="str">
        <f>IF(OR(Main[[#This Row],[Std. Prod. Lead Time]]="N/A",Main[[#This Row],[Std. Prod. Lead Time]]=""), "",IF(AND(Main[[#This Row],[In Stock Date]]&lt;&gt;"",Main[[#This Row],[Revised Due Date]]&lt;&gt;"",Main[[#This Row],[In Stock Date]]&lt;&gt;""),Main[[#This Row],[In Stock Date]]-Main[[#This Row],[Revised Due Date]],""))</f>
        <v/>
      </c>
      <c r="I754" s="101" t="s">
        <v>4</v>
      </c>
      <c r="J754" s="95" t="s">
        <v>4</v>
      </c>
      <c r="K754" s="95" t="s">
        <v>4</v>
      </c>
      <c r="L754" s="85"/>
      <c r="M754" s="73" t="str">
        <f>IF(Main[[#This Row],[Tech Start Date]]&lt;1/1/1990,"",IF(Main[[#This Row],[Class]]="C",WORKDAY(Main[[#This Row],[Tech Start Date]],9),IF(Main[[#This Row],[Class]]="B", WORKDAY(Main[[#This Row],[Tech Start Date]],6),IF(Main[[#This Row],[Class]]="A",WORKDAY(Main[[#This Row],[Tech Start Date]],2),""))))</f>
        <v/>
      </c>
      <c r="N754" s="73" t="str">
        <f>IF(Main[[#This Row],[Tech Start Date]]&lt;1/1/1990,"",IF(Main[[#This Row],[Class]]="C",WORKDAY(Main[[#This Row],[Tech Start Date]],19),IF(Main[[#This Row],[Class]]="B", WORKDAY(Main[[#This Row],[Tech Start Date]],12),IF(Main[[#This Row],[Class]]="A",WORKDAY(Main[[#This Row],[Tech Start Date]],4),""))))</f>
        <v/>
      </c>
      <c r="O754" s="73" t="str">
        <f>IF(Main[[#This Row],[Tech Start Date]]&lt;1/1/1990,"",IF(Main[[#This Row],[Class]]="C",WORKDAY(Main[[#This Row],[Tech Start Date]],23),IF(Main[[#This Row],[Class]]="B", WORKDAY(Main[[#This Row],[Tech Start Date]],15),IF(Main[[#This Row],[Class]]="A",WORKDAY(Main[[#This Row],[Tech Start Date]],5),""))))</f>
        <v/>
      </c>
      <c r="P754" s="73" t="str">
        <f>IF(Main[[#This Row],[Tech Start Date]]&lt;1/1/1990,"",IF(Main[[#This Row],[Class]]="C",WORKDAY(Main[[#This Row],[Tech Start Date]],28),IF(Main[[#This Row],[Class]]="B", WORKDAY(Main[[#This Row],[Tech Start Date]],19),IF(Main[[#This Row],[Class]]="A",WORKDAY(Main[[#This Row],[Tech Start Date]],9),""))))</f>
        <v/>
      </c>
      <c r="Q754" s="85">
        <v>40574</v>
      </c>
      <c r="R754" s="112"/>
      <c r="S754" s="95" t="s">
        <v>11</v>
      </c>
      <c r="T754" s="74" t="s">
        <v>4</v>
      </c>
      <c r="U754" s="95" t="s">
        <v>14</v>
      </c>
      <c r="V754" s="95" t="s">
        <v>1914</v>
      </c>
      <c r="W754" s="95" t="s">
        <v>1917</v>
      </c>
      <c r="X754" s="95" t="s">
        <v>2836</v>
      </c>
      <c r="Y754" s="72" t="s">
        <v>2975</v>
      </c>
      <c r="Z754" s="72" t="s">
        <v>4</v>
      </c>
      <c r="AA754" s="95" t="s">
        <v>2836</v>
      </c>
      <c r="AB754" s="132"/>
      <c r="AC754" s="132"/>
      <c r="AD754" s="132"/>
      <c r="AE754" s="63"/>
      <c r="AF754" s="63"/>
      <c r="AG754" s="63"/>
    </row>
    <row r="755" spans="1:33" ht="17.2" customHeight="1">
      <c r="A755" s="64" t="str">
        <f>IF(priority(Main[[#This Row],[Comments]])&lt;&gt;0, priority(Main[[#This Row],[Comments]]),"")</f>
        <v/>
      </c>
      <c r="B755" s="60" t="s">
        <v>2178</v>
      </c>
      <c r="C755" s="72" t="s">
        <v>2170</v>
      </c>
      <c r="D755" s="59" t="s">
        <v>2179</v>
      </c>
      <c r="E755" s="85"/>
      <c r="F755" s="85">
        <v>40829</v>
      </c>
      <c r="G755" s="64" t="str">
        <f>IF(stdProdLT(Main[[#This Row],[Comments]])=0.1,"N/A",IF(stdProdLT(Main[[#This Row],[Comments]])=0,"",TRIM(stdProdLT(Main[[#This Row],[Comments]]))))</f>
        <v/>
      </c>
      <c r="H755" s="94" t="str">
        <f>IF(OR(Main[[#This Row],[Std. Prod. Lead Time]]="N/A",Main[[#This Row],[Std. Prod. Lead Time]]=""), "",IF(AND(Main[[#This Row],[In Stock Date]]&lt;&gt;"",Main[[#This Row],[Revised Due Date]]&lt;&gt;"",Main[[#This Row],[In Stock Date]]&lt;&gt;""),Main[[#This Row],[In Stock Date]]-Main[[#This Row],[Revised Due Date]],""))</f>
        <v/>
      </c>
      <c r="I755" s="101" t="s">
        <v>4</v>
      </c>
      <c r="J755" s="95" t="s">
        <v>4</v>
      </c>
      <c r="K755" s="95" t="s">
        <v>4</v>
      </c>
      <c r="L755" s="85"/>
      <c r="M755" s="73" t="str">
        <f>IF(Main[[#This Row],[Tech Start Date]]&lt;1/1/1990,"",IF(Main[[#This Row],[Class]]="C",WORKDAY(Main[[#This Row],[Tech Start Date]],9),IF(Main[[#This Row],[Class]]="B", WORKDAY(Main[[#This Row],[Tech Start Date]],6),IF(Main[[#This Row],[Class]]="A",WORKDAY(Main[[#This Row],[Tech Start Date]],2),""))))</f>
        <v/>
      </c>
      <c r="N755" s="73" t="str">
        <f>IF(Main[[#This Row],[Tech Start Date]]&lt;1/1/1990,"",IF(Main[[#This Row],[Class]]="C",WORKDAY(Main[[#This Row],[Tech Start Date]],19),IF(Main[[#This Row],[Class]]="B", WORKDAY(Main[[#This Row],[Tech Start Date]],12),IF(Main[[#This Row],[Class]]="A",WORKDAY(Main[[#This Row],[Tech Start Date]],4),""))))</f>
        <v/>
      </c>
      <c r="O755" s="73" t="str">
        <f>IF(Main[[#This Row],[Tech Start Date]]&lt;1/1/1990,"",IF(Main[[#This Row],[Class]]="C",WORKDAY(Main[[#This Row],[Tech Start Date]],23),IF(Main[[#This Row],[Class]]="B", WORKDAY(Main[[#This Row],[Tech Start Date]],15),IF(Main[[#This Row],[Class]]="A",WORKDAY(Main[[#This Row],[Tech Start Date]],5),""))))</f>
        <v/>
      </c>
      <c r="P755" s="73" t="str">
        <f>IF(Main[[#This Row],[Tech Start Date]]&lt;1/1/1990,"",IF(Main[[#This Row],[Class]]="C",WORKDAY(Main[[#This Row],[Tech Start Date]],28),IF(Main[[#This Row],[Class]]="B", WORKDAY(Main[[#This Row],[Tech Start Date]],19),IF(Main[[#This Row],[Class]]="A",WORKDAY(Main[[#This Row],[Tech Start Date]],9),""))))</f>
        <v/>
      </c>
      <c r="Q755" s="85">
        <v>40801</v>
      </c>
      <c r="R755" s="112"/>
      <c r="S755" s="95" t="s">
        <v>11</v>
      </c>
      <c r="T755" s="74" t="s">
        <v>4</v>
      </c>
      <c r="U755" s="95" t="s">
        <v>14</v>
      </c>
      <c r="V755" s="95" t="s">
        <v>1912</v>
      </c>
      <c r="W755" s="95" t="s">
        <v>1919</v>
      </c>
      <c r="X755" s="95" t="s">
        <v>2818</v>
      </c>
      <c r="Y755" s="72" t="s">
        <v>2946</v>
      </c>
      <c r="Z755" s="72" t="s">
        <v>4</v>
      </c>
      <c r="AA755" s="95" t="s">
        <v>2818</v>
      </c>
      <c r="AB755" s="132"/>
      <c r="AC755" s="132"/>
      <c r="AD755" s="132"/>
      <c r="AE755" s="63"/>
      <c r="AF755" s="63"/>
      <c r="AG755" s="63"/>
    </row>
    <row r="756" spans="1:33" ht="17.2" customHeight="1">
      <c r="A756" s="64" t="str">
        <f>IF(priority(Main[[#This Row],[Comments]])&lt;&gt;0, priority(Main[[#This Row],[Comments]]),"")</f>
        <v/>
      </c>
      <c r="B756" s="60" t="s">
        <v>1592</v>
      </c>
      <c r="C756" s="72" t="s">
        <v>4</v>
      </c>
      <c r="D756" s="59" t="s">
        <v>2299</v>
      </c>
      <c r="E756" s="85">
        <v>40515.590300925927</v>
      </c>
      <c r="F756" s="85"/>
      <c r="G756" s="64" t="str">
        <f>IF(stdProdLT(Main[[#This Row],[Comments]])=0.1,"N/A",IF(stdProdLT(Main[[#This Row],[Comments]])=0,"",TRIM(stdProdLT(Main[[#This Row],[Comments]]))))</f>
        <v/>
      </c>
      <c r="H756" s="94" t="str">
        <f>IF(OR(Main[[#This Row],[Std. Prod. Lead Time]]="N/A",Main[[#This Row],[Std. Prod. Lead Time]]=""), "",IF(AND(Main[[#This Row],[In Stock Date]]&lt;&gt;"",Main[[#This Row],[Revised Due Date]]&lt;&gt;"",Main[[#This Row],[In Stock Date]]&lt;&gt;""),Main[[#This Row],[In Stock Date]]-Main[[#This Row],[Revised Due Date]],""))</f>
        <v/>
      </c>
      <c r="I756" s="101" t="s">
        <v>912</v>
      </c>
      <c r="J756" s="95" t="s">
        <v>52</v>
      </c>
      <c r="K756" s="95" t="s">
        <v>1918</v>
      </c>
      <c r="L756" s="85"/>
      <c r="M756" s="73" t="str">
        <f>IF(Main[[#This Row],[Tech Start Date]]&lt;1/1/1990,"",IF(Main[[#This Row],[Class]]="C",WORKDAY(Main[[#This Row],[Tech Start Date]],9),IF(Main[[#This Row],[Class]]="B", WORKDAY(Main[[#This Row],[Tech Start Date]],6),IF(Main[[#This Row],[Class]]="A",WORKDAY(Main[[#This Row],[Tech Start Date]],2),""))))</f>
        <v/>
      </c>
      <c r="N756" s="73" t="str">
        <f>IF(Main[[#This Row],[Tech Start Date]]&lt;1/1/1990,"",IF(Main[[#This Row],[Class]]="C",WORKDAY(Main[[#This Row],[Tech Start Date]],19),IF(Main[[#This Row],[Class]]="B", WORKDAY(Main[[#This Row],[Tech Start Date]],12),IF(Main[[#This Row],[Class]]="A",WORKDAY(Main[[#This Row],[Tech Start Date]],4),""))))</f>
        <v/>
      </c>
      <c r="O756" s="73" t="str">
        <f>IF(Main[[#This Row],[Tech Start Date]]&lt;1/1/1990,"",IF(Main[[#This Row],[Class]]="C",WORKDAY(Main[[#This Row],[Tech Start Date]],23),IF(Main[[#This Row],[Class]]="B", WORKDAY(Main[[#This Row],[Tech Start Date]],15),IF(Main[[#This Row],[Class]]="A",WORKDAY(Main[[#This Row],[Tech Start Date]],5),""))))</f>
        <v/>
      </c>
      <c r="P756" s="73" t="str">
        <f>IF(Main[[#This Row],[Tech Start Date]]&lt;1/1/1990,"",IF(Main[[#This Row],[Class]]="C",WORKDAY(Main[[#This Row],[Tech Start Date]],28),IF(Main[[#This Row],[Class]]="B", WORKDAY(Main[[#This Row],[Tech Start Date]],19),IF(Main[[#This Row],[Class]]="A",WORKDAY(Main[[#This Row],[Tech Start Date]],9),""))))</f>
        <v/>
      </c>
      <c r="Q756" s="85">
        <v>40574</v>
      </c>
      <c r="R756" s="112"/>
      <c r="S756" s="95" t="s">
        <v>6</v>
      </c>
      <c r="T756" s="74" t="s">
        <v>4</v>
      </c>
      <c r="U756" s="95" t="s">
        <v>29</v>
      </c>
      <c r="V756" s="95" t="s">
        <v>1911</v>
      </c>
      <c r="W756" s="95" t="s">
        <v>1913</v>
      </c>
      <c r="X756" s="95" t="s">
        <v>2867</v>
      </c>
      <c r="Y756" s="72" t="s">
        <v>3021</v>
      </c>
      <c r="Z756" s="72" t="s">
        <v>129</v>
      </c>
      <c r="AA756" s="95" t="s">
        <v>2867</v>
      </c>
      <c r="AB756" s="132"/>
      <c r="AC756" s="132"/>
      <c r="AD756" s="132"/>
      <c r="AE756" s="63"/>
      <c r="AF756" s="63"/>
      <c r="AG756" s="63"/>
    </row>
    <row r="757" spans="1:33" ht="17.2" customHeight="1">
      <c r="A757" s="64" t="str">
        <f>IF(priority(Main[[#This Row],[Comments]])&lt;&gt;0, priority(Main[[#This Row],[Comments]]),"")</f>
        <v/>
      </c>
      <c r="B757" s="60" t="s">
        <v>1593</v>
      </c>
      <c r="C757" s="72" t="s">
        <v>436</v>
      </c>
      <c r="D757" s="59" t="s">
        <v>670</v>
      </c>
      <c r="E757" s="85"/>
      <c r="F757" s="85"/>
      <c r="G757" s="64" t="str">
        <f>IF(stdProdLT(Main[[#This Row],[Comments]])=0.1,"N/A",IF(stdProdLT(Main[[#This Row],[Comments]])=0,"",TRIM(stdProdLT(Main[[#This Row],[Comments]]))))</f>
        <v/>
      </c>
      <c r="H757" s="94" t="str">
        <f>IF(OR(Main[[#This Row],[Std. Prod. Lead Time]]="N/A",Main[[#This Row],[Std. Prod. Lead Time]]=""), "",IF(AND(Main[[#This Row],[In Stock Date]]&lt;&gt;"",Main[[#This Row],[Revised Due Date]]&lt;&gt;"",Main[[#This Row],[In Stock Date]]&lt;&gt;""),Main[[#This Row],[In Stock Date]]-Main[[#This Row],[Revised Due Date]],""))</f>
        <v/>
      </c>
      <c r="I757" s="101" t="s">
        <v>4</v>
      </c>
      <c r="J757" s="95" t="s">
        <v>4</v>
      </c>
      <c r="K757" s="95" t="s">
        <v>4</v>
      </c>
      <c r="L757" s="85"/>
      <c r="M757" s="73" t="str">
        <f>IF(Main[[#This Row],[Tech Start Date]]&lt;1/1/1990,"",IF(Main[[#This Row],[Class]]="C",WORKDAY(Main[[#This Row],[Tech Start Date]],9),IF(Main[[#This Row],[Class]]="B", WORKDAY(Main[[#This Row],[Tech Start Date]],6),IF(Main[[#This Row],[Class]]="A",WORKDAY(Main[[#This Row],[Tech Start Date]],2),""))))</f>
        <v/>
      </c>
      <c r="N757" s="73" t="str">
        <f>IF(Main[[#This Row],[Tech Start Date]]&lt;1/1/1990,"",IF(Main[[#This Row],[Class]]="C",WORKDAY(Main[[#This Row],[Tech Start Date]],19),IF(Main[[#This Row],[Class]]="B", WORKDAY(Main[[#This Row],[Tech Start Date]],12),IF(Main[[#This Row],[Class]]="A",WORKDAY(Main[[#This Row],[Tech Start Date]],4),""))))</f>
        <v/>
      </c>
      <c r="O757" s="73" t="str">
        <f>IF(Main[[#This Row],[Tech Start Date]]&lt;1/1/1990,"",IF(Main[[#This Row],[Class]]="C",WORKDAY(Main[[#This Row],[Tech Start Date]],23),IF(Main[[#This Row],[Class]]="B", WORKDAY(Main[[#This Row],[Tech Start Date]],15),IF(Main[[#This Row],[Class]]="A",WORKDAY(Main[[#This Row],[Tech Start Date]],5),""))))</f>
        <v/>
      </c>
      <c r="P757" s="73" t="str">
        <f>IF(Main[[#This Row],[Tech Start Date]]&lt;1/1/1990,"",IF(Main[[#This Row],[Class]]="C",WORKDAY(Main[[#This Row],[Tech Start Date]],28),IF(Main[[#This Row],[Class]]="B", WORKDAY(Main[[#This Row],[Tech Start Date]],19),IF(Main[[#This Row],[Class]]="A",WORKDAY(Main[[#This Row],[Tech Start Date]],9),""))))</f>
        <v/>
      </c>
      <c r="Q757" s="85"/>
      <c r="R757" s="112"/>
      <c r="S757" s="95" t="s">
        <v>11</v>
      </c>
      <c r="T757" s="74" t="s">
        <v>4</v>
      </c>
      <c r="U757" s="95" t="s">
        <v>14</v>
      </c>
      <c r="V757" s="95" t="s">
        <v>1912</v>
      </c>
      <c r="W757" s="95" t="s">
        <v>1919</v>
      </c>
      <c r="X757" s="95" t="s">
        <v>2807</v>
      </c>
      <c r="Y757" s="72" t="s">
        <v>2926</v>
      </c>
      <c r="Z757" s="72" t="s">
        <v>4</v>
      </c>
      <c r="AA757" s="95" t="s">
        <v>2807</v>
      </c>
      <c r="AB757" s="132"/>
      <c r="AC757" s="132"/>
      <c r="AD757" s="132"/>
      <c r="AE757" s="63"/>
      <c r="AF757" s="63"/>
      <c r="AG757" s="63"/>
    </row>
    <row r="758" spans="1:33" ht="17.2" customHeight="1">
      <c r="A758" s="64" t="str">
        <f>IF(priority(Main[[#This Row],[Comments]])&lt;&gt;0, priority(Main[[#This Row],[Comments]]),"")</f>
        <v/>
      </c>
      <c r="B758" s="60" t="s">
        <v>3303</v>
      </c>
      <c r="C758" s="72" t="s">
        <v>4</v>
      </c>
      <c r="D758" s="59" t="s">
        <v>3304</v>
      </c>
      <c r="E758" s="85"/>
      <c r="F758" s="85"/>
      <c r="G758" s="64" t="str">
        <f>IF(stdProdLT(Main[[#This Row],[Comments]])=0.1,"N/A",IF(stdProdLT(Main[[#This Row],[Comments]])=0,"",TRIM(stdProdLT(Main[[#This Row],[Comments]]))))</f>
        <v/>
      </c>
      <c r="H758" s="94" t="str">
        <f>IF(OR(Main[[#This Row],[Std. Prod. Lead Time]]="N/A",Main[[#This Row],[Std. Prod. Lead Time]]=""), "",IF(AND(Main[[#This Row],[In Stock Date]]&lt;&gt;"",Main[[#This Row],[Revised Due Date]]&lt;&gt;"",Main[[#This Row],[In Stock Date]]&lt;&gt;""),Main[[#This Row],[In Stock Date]]-Main[[#This Row],[Revised Due Date]],""))</f>
        <v/>
      </c>
      <c r="I758" s="101" t="s">
        <v>4</v>
      </c>
      <c r="J758" s="95" t="s">
        <v>4</v>
      </c>
      <c r="K758" s="96" t="s">
        <v>4</v>
      </c>
      <c r="L758" s="85"/>
      <c r="M758" s="73" t="str">
        <f>IF(Main[[#This Row],[Tech Start Date]]&lt;1/1/1990,"",IF(Main[[#This Row],[Class]]="C",WORKDAY(Main[[#This Row],[Tech Start Date]],9),IF(Main[[#This Row],[Class]]="B", WORKDAY(Main[[#This Row],[Tech Start Date]],6),IF(Main[[#This Row],[Class]]="A",WORKDAY(Main[[#This Row],[Tech Start Date]],2),""))))</f>
        <v/>
      </c>
      <c r="N758" s="73" t="str">
        <f>IF(Main[[#This Row],[Tech Start Date]]&lt;1/1/1990,"",IF(Main[[#This Row],[Class]]="C",WORKDAY(Main[[#This Row],[Tech Start Date]],19),IF(Main[[#This Row],[Class]]="B", WORKDAY(Main[[#This Row],[Tech Start Date]],12),IF(Main[[#This Row],[Class]]="A",WORKDAY(Main[[#This Row],[Tech Start Date]],4),""))))</f>
        <v/>
      </c>
      <c r="O758" s="73" t="str">
        <f>IF(Main[[#This Row],[Tech Start Date]]&lt;1/1/1990,"",IF(Main[[#This Row],[Class]]="C",WORKDAY(Main[[#This Row],[Tech Start Date]],23),IF(Main[[#This Row],[Class]]="B", WORKDAY(Main[[#This Row],[Tech Start Date]],15),IF(Main[[#This Row],[Class]]="A",WORKDAY(Main[[#This Row],[Tech Start Date]],5),""))))</f>
        <v/>
      </c>
      <c r="P758" s="73" t="str">
        <f>IF(Main[[#This Row],[Tech Start Date]]&lt;1/1/1990,"",IF(Main[[#This Row],[Class]]="C",WORKDAY(Main[[#This Row],[Tech Start Date]],28),IF(Main[[#This Row],[Class]]="B", WORKDAY(Main[[#This Row],[Tech Start Date]],19),IF(Main[[#This Row],[Class]]="A",WORKDAY(Main[[#This Row],[Tech Start Date]],9),""))))</f>
        <v/>
      </c>
      <c r="Q758" s="85"/>
      <c r="R758" s="112"/>
      <c r="S758" s="95" t="s">
        <v>6</v>
      </c>
      <c r="T758" s="74" t="s">
        <v>4</v>
      </c>
      <c r="U758" s="95" t="s">
        <v>14</v>
      </c>
      <c r="V758" s="95" t="s">
        <v>1914</v>
      </c>
      <c r="W758" s="95" t="s">
        <v>4</v>
      </c>
      <c r="X758" s="95" t="s">
        <v>2821</v>
      </c>
      <c r="Y758" s="72" t="s">
        <v>2949</v>
      </c>
      <c r="Z758" s="72" t="s">
        <v>4</v>
      </c>
      <c r="AA758" s="95" t="s">
        <v>2821</v>
      </c>
      <c r="AB758" s="132"/>
      <c r="AC758" s="132"/>
      <c r="AD758" s="132"/>
      <c r="AE758" s="63"/>
      <c r="AF758" s="63"/>
      <c r="AG758" s="63"/>
    </row>
    <row r="759" spans="1:33" ht="17.2" customHeight="1">
      <c r="A759" s="64" t="str">
        <f>IF(priority(Main[[#This Row],[Comments]])&lt;&gt;0, priority(Main[[#This Row],[Comments]]),"")</f>
        <v/>
      </c>
      <c r="B759" s="60" t="s">
        <v>1594</v>
      </c>
      <c r="C759" s="72" t="s">
        <v>4</v>
      </c>
      <c r="D759" s="59" t="s">
        <v>671</v>
      </c>
      <c r="E759" s="85"/>
      <c r="F759" s="85"/>
      <c r="G759" s="64" t="str">
        <f>IF(stdProdLT(Main[[#This Row],[Comments]])=0.1,"N/A",IF(stdProdLT(Main[[#This Row],[Comments]])=0,"",TRIM(stdProdLT(Main[[#This Row],[Comments]]))))</f>
        <v/>
      </c>
      <c r="H759" s="94" t="str">
        <f>IF(OR(Main[[#This Row],[Std. Prod. Lead Time]]="N/A",Main[[#This Row],[Std. Prod. Lead Time]]=""), "",IF(AND(Main[[#This Row],[In Stock Date]]&lt;&gt;"",Main[[#This Row],[Revised Due Date]]&lt;&gt;"",Main[[#This Row],[In Stock Date]]&lt;&gt;""),Main[[#This Row],[In Stock Date]]-Main[[#This Row],[Revised Due Date]],""))</f>
        <v/>
      </c>
      <c r="I759" s="101" t="s">
        <v>4</v>
      </c>
      <c r="J759" s="95" t="s">
        <v>28</v>
      </c>
      <c r="K759" s="96" t="s">
        <v>4</v>
      </c>
      <c r="L759" s="85"/>
      <c r="M759" s="73" t="str">
        <f>IF(Main[[#This Row],[Tech Start Date]]&lt;1/1/1990,"",IF(Main[[#This Row],[Class]]="C",WORKDAY(Main[[#This Row],[Tech Start Date]],9),IF(Main[[#This Row],[Class]]="B", WORKDAY(Main[[#This Row],[Tech Start Date]],6),IF(Main[[#This Row],[Class]]="A",WORKDAY(Main[[#This Row],[Tech Start Date]],2),""))))</f>
        <v/>
      </c>
      <c r="N759" s="73" t="str">
        <f>IF(Main[[#This Row],[Tech Start Date]]&lt;1/1/1990,"",IF(Main[[#This Row],[Class]]="C",WORKDAY(Main[[#This Row],[Tech Start Date]],19),IF(Main[[#This Row],[Class]]="B", WORKDAY(Main[[#This Row],[Tech Start Date]],12),IF(Main[[#This Row],[Class]]="A",WORKDAY(Main[[#This Row],[Tech Start Date]],4),""))))</f>
        <v/>
      </c>
      <c r="O759" s="73" t="str">
        <f>IF(Main[[#This Row],[Tech Start Date]]&lt;1/1/1990,"",IF(Main[[#This Row],[Class]]="C",WORKDAY(Main[[#This Row],[Tech Start Date]],23),IF(Main[[#This Row],[Class]]="B", WORKDAY(Main[[#This Row],[Tech Start Date]],15),IF(Main[[#This Row],[Class]]="A",WORKDAY(Main[[#This Row],[Tech Start Date]],5),""))))</f>
        <v/>
      </c>
      <c r="P759" s="73" t="str">
        <f>IF(Main[[#This Row],[Tech Start Date]]&lt;1/1/1990,"",IF(Main[[#This Row],[Class]]="C",WORKDAY(Main[[#This Row],[Tech Start Date]],28),IF(Main[[#This Row],[Class]]="B", WORKDAY(Main[[#This Row],[Tech Start Date]],19),IF(Main[[#This Row],[Class]]="A",WORKDAY(Main[[#This Row],[Tech Start Date]],9),""))))</f>
        <v/>
      </c>
      <c r="Q759" s="85">
        <v>40471</v>
      </c>
      <c r="R759" s="112"/>
      <c r="S759" s="95" t="s">
        <v>296</v>
      </c>
      <c r="T759" s="74" t="s">
        <v>4</v>
      </c>
      <c r="U759" s="95" t="s">
        <v>14</v>
      </c>
      <c r="V759" s="95" t="s">
        <v>1921</v>
      </c>
      <c r="W759" s="95" t="s">
        <v>1913</v>
      </c>
      <c r="X759" s="95" t="s">
        <v>2827</v>
      </c>
      <c r="Y759" s="72" t="s">
        <v>2956</v>
      </c>
      <c r="Z759" s="72" t="s">
        <v>530</v>
      </c>
      <c r="AA759" s="95" t="s">
        <v>2827</v>
      </c>
      <c r="AB759" s="132"/>
      <c r="AC759" s="132"/>
      <c r="AD759" s="132"/>
      <c r="AE759" s="63"/>
      <c r="AF759" s="63"/>
      <c r="AG759" s="63"/>
    </row>
    <row r="760" spans="1:33" ht="17.2" customHeight="1">
      <c r="A760" s="64" t="str">
        <f>IF(priority(Main[[#This Row],[Comments]])&lt;&gt;0, priority(Main[[#This Row],[Comments]]),"")</f>
        <v/>
      </c>
      <c r="B760" s="60" t="s">
        <v>1608</v>
      </c>
      <c r="C760" s="72" t="s">
        <v>4</v>
      </c>
      <c r="D760" s="59" t="s">
        <v>682</v>
      </c>
      <c r="E760" s="85"/>
      <c r="F760" s="85"/>
      <c r="G760" s="64" t="str">
        <f>IF(stdProdLT(Main[[#This Row],[Comments]])=0.1,"N/A",IF(stdProdLT(Main[[#This Row],[Comments]])=0,"",TRIM(stdProdLT(Main[[#This Row],[Comments]]))))</f>
        <v/>
      </c>
      <c r="H760" s="94" t="str">
        <f>IF(OR(Main[[#This Row],[Std. Prod. Lead Time]]="N/A",Main[[#This Row],[Std. Prod. Lead Time]]=""), "",IF(AND(Main[[#This Row],[In Stock Date]]&lt;&gt;"",Main[[#This Row],[Revised Due Date]]&lt;&gt;"",Main[[#This Row],[In Stock Date]]&lt;&gt;""),Main[[#This Row],[In Stock Date]]-Main[[#This Row],[Revised Due Date]],""))</f>
        <v/>
      </c>
      <c r="I760" s="101" t="s">
        <v>4</v>
      </c>
      <c r="J760" s="95" t="s">
        <v>4</v>
      </c>
      <c r="K760" s="95" t="s">
        <v>4</v>
      </c>
      <c r="L760" s="85"/>
      <c r="M760" s="73" t="str">
        <f>IF(Main[[#This Row],[Tech Start Date]]&lt;1/1/1990,"",IF(Main[[#This Row],[Class]]="C",WORKDAY(Main[[#This Row],[Tech Start Date]],9),IF(Main[[#This Row],[Class]]="B", WORKDAY(Main[[#This Row],[Tech Start Date]],6),IF(Main[[#This Row],[Class]]="A",WORKDAY(Main[[#This Row],[Tech Start Date]],2),""))))</f>
        <v/>
      </c>
      <c r="N760" s="73" t="str">
        <f>IF(Main[[#This Row],[Tech Start Date]]&lt;1/1/1990,"",IF(Main[[#This Row],[Class]]="C",WORKDAY(Main[[#This Row],[Tech Start Date]],19),IF(Main[[#This Row],[Class]]="B", WORKDAY(Main[[#This Row],[Tech Start Date]],12),IF(Main[[#This Row],[Class]]="A",WORKDAY(Main[[#This Row],[Tech Start Date]],4),""))))</f>
        <v/>
      </c>
      <c r="O760" s="73" t="str">
        <f>IF(Main[[#This Row],[Tech Start Date]]&lt;1/1/1990,"",IF(Main[[#This Row],[Class]]="C",WORKDAY(Main[[#This Row],[Tech Start Date]],23),IF(Main[[#This Row],[Class]]="B", WORKDAY(Main[[#This Row],[Tech Start Date]],15),IF(Main[[#This Row],[Class]]="A",WORKDAY(Main[[#This Row],[Tech Start Date]],5),""))))</f>
        <v/>
      </c>
      <c r="P760" s="73" t="str">
        <f>IF(Main[[#This Row],[Tech Start Date]]&lt;1/1/1990,"",IF(Main[[#This Row],[Class]]="C",WORKDAY(Main[[#This Row],[Tech Start Date]],28),IF(Main[[#This Row],[Class]]="B", WORKDAY(Main[[#This Row],[Tech Start Date]],19),IF(Main[[#This Row],[Class]]="A",WORKDAY(Main[[#This Row],[Tech Start Date]],9),""))))</f>
        <v/>
      </c>
      <c r="Q760" s="85"/>
      <c r="R760" s="112"/>
      <c r="S760" s="95" t="s">
        <v>23</v>
      </c>
      <c r="T760" s="74" t="s">
        <v>4</v>
      </c>
      <c r="U760" s="95" t="s">
        <v>14</v>
      </c>
      <c r="V760" s="95" t="s">
        <v>1921</v>
      </c>
      <c r="W760" s="95" t="s">
        <v>1915</v>
      </c>
      <c r="X760" s="95" t="s">
        <v>102</v>
      </c>
      <c r="Y760" s="72" t="s">
        <v>3065</v>
      </c>
      <c r="Z760" s="72" t="s">
        <v>4</v>
      </c>
      <c r="AA760" s="95" t="s">
        <v>3388</v>
      </c>
      <c r="AB760" s="132"/>
      <c r="AC760" s="132"/>
      <c r="AD760" s="132"/>
      <c r="AE760" s="63"/>
      <c r="AF760" s="63"/>
      <c r="AG760" s="63"/>
    </row>
    <row r="761" spans="1:33" ht="17.2" customHeight="1">
      <c r="A761" s="64" t="str">
        <f>IF(priority(Main[[#This Row],[Comments]])&lt;&gt;0, priority(Main[[#This Row],[Comments]]),"")</f>
        <v/>
      </c>
      <c r="B761" s="60" t="s">
        <v>1609</v>
      </c>
      <c r="C761" s="72" t="s">
        <v>4</v>
      </c>
      <c r="D761" s="59" t="s">
        <v>683</v>
      </c>
      <c r="E761" s="85">
        <v>40464.400208333333</v>
      </c>
      <c r="F761" s="85"/>
      <c r="G761" s="64" t="str">
        <f>IF(stdProdLT(Main[[#This Row],[Comments]])=0.1,"N/A",IF(stdProdLT(Main[[#This Row],[Comments]])=0,"",TRIM(stdProdLT(Main[[#This Row],[Comments]]))))</f>
        <v/>
      </c>
      <c r="H761" s="94" t="str">
        <f>IF(OR(Main[[#This Row],[Std. Prod. Lead Time]]="N/A",Main[[#This Row],[Std. Prod. Lead Time]]=""), "",IF(AND(Main[[#This Row],[In Stock Date]]&lt;&gt;"",Main[[#This Row],[Revised Due Date]]&lt;&gt;"",Main[[#This Row],[In Stock Date]]&lt;&gt;""),Main[[#This Row],[In Stock Date]]-Main[[#This Row],[Revised Due Date]],""))</f>
        <v/>
      </c>
      <c r="I761" s="101" t="s">
        <v>4</v>
      </c>
      <c r="J761" s="95" t="s">
        <v>4</v>
      </c>
      <c r="K761" s="95" t="s">
        <v>4</v>
      </c>
      <c r="L761" s="85"/>
      <c r="M761" s="73" t="str">
        <f>IF(Main[[#This Row],[Tech Start Date]]&lt;1/1/1990,"",IF(Main[[#This Row],[Class]]="C",WORKDAY(Main[[#This Row],[Tech Start Date]],9),IF(Main[[#This Row],[Class]]="B", WORKDAY(Main[[#This Row],[Tech Start Date]],6),IF(Main[[#This Row],[Class]]="A",WORKDAY(Main[[#This Row],[Tech Start Date]],2),""))))</f>
        <v/>
      </c>
      <c r="N761" s="73" t="str">
        <f>IF(Main[[#This Row],[Tech Start Date]]&lt;1/1/1990,"",IF(Main[[#This Row],[Class]]="C",WORKDAY(Main[[#This Row],[Tech Start Date]],19),IF(Main[[#This Row],[Class]]="B", WORKDAY(Main[[#This Row],[Tech Start Date]],12),IF(Main[[#This Row],[Class]]="A",WORKDAY(Main[[#This Row],[Tech Start Date]],4),""))))</f>
        <v/>
      </c>
      <c r="O761" s="73" t="str">
        <f>IF(Main[[#This Row],[Tech Start Date]]&lt;1/1/1990,"",IF(Main[[#This Row],[Class]]="C",WORKDAY(Main[[#This Row],[Tech Start Date]],23),IF(Main[[#This Row],[Class]]="B", WORKDAY(Main[[#This Row],[Tech Start Date]],15),IF(Main[[#This Row],[Class]]="A",WORKDAY(Main[[#This Row],[Tech Start Date]],5),""))))</f>
        <v/>
      </c>
      <c r="P761" s="73" t="str">
        <f>IF(Main[[#This Row],[Tech Start Date]]&lt;1/1/1990,"",IF(Main[[#This Row],[Class]]="C",WORKDAY(Main[[#This Row],[Tech Start Date]],28),IF(Main[[#This Row],[Class]]="B", WORKDAY(Main[[#This Row],[Tech Start Date]],19),IF(Main[[#This Row],[Class]]="A",WORKDAY(Main[[#This Row],[Tech Start Date]],9),""))))</f>
        <v/>
      </c>
      <c r="Q761" s="85">
        <v>40512</v>
      </c>
      <c r="R761" s="112"/>
      <c r="S761" s="95" t="s">
        <v>6</v>
      </c>
      <c r="T761" s="74" t="s">
        <v>4</v>
      </c>
      <c r="U761" s="95" t="s">
        <v>7</v>
      </c>
      <c r="V761" s="95" t="s">
        <v>1911</v>
      </c>
      <c r="W761" s="95" t="s">
        <v>4</v>
      </c>
      <c r="X761" s="95" t="s">
        <v>2799</v>
      </c>
      <c r="Y761" s="72" t="s">
        <v>2910</v>
      </c>
      <c r="Z761" s="72" t="s">
        <v>4</v>
      </c>
      <c r="AA761" s="95" t="s">
        <v>2799</v>
      </c>
      <c r="AB761" s="132"/>
      <c r="AC761" s="132"/>
      <c r="AD761" s="132"/>
      <c r="AE761" s="63"/>
      <c r="AF761" s="63"/>
      <c r="AG761" s="63"/>
    </row>
    <row r="762" spans="1:33" ht="17.2" customHeight="1">
      <c r="A762" s="64" t="str">
        <f>IF(priority(Main[[#This Row],[Comments]])&lt;&gt;0, priority(Main[[#This Row],[Comments]]),"")</f>
        <v/>
      </c>
      <c r="B762" s="60" t="s">
        <v>1842</v>
      </c>
      <c r="C762" s="72" t="s">
        <v>67</v>
      </c>
      <c r="D762" s="59" t="s">
        <v>901</v>
      </c>
      <c r="E762" s="85"/>
      <c r="F762" s="85"/>
      <c r="G762" s="64" t="str">
        <f>IF(stdProdLT(Main[[#This Row],[Comments]])=0.1,"N/A",IF(stdProdLT(Main[[#This Row],[Comments]])=0,"",TRIM(stdProdLT(Main[[#This Row],[Comments]]))))</f>
        <v/>
      </c>
      <c r="H762" s="94" t="str">
        <f>IF(OR(Main[[#This Row],[Std. Prod. Lead Time]]="N/A",Main[[#This Row],[Std. Prod. Lead Time]]=""), "",IF(AND(Main[[#This Row],[In Stock Date]]&lt;&gt;"",Main[[#This Row],[Revised Due Date]]&lt;&gt;"",Main[[#This Row],[In Stock Date]]&lt;&gt;""),Main[[#This Row],[In Stock Date]]-Main[[#This Row],[Revised Due Date]],""))</f>
        <v/>
      </c>
      <c r="I762" s="101" t="s">
        <v>163</v>
      </c>
      <c r="J762" s="95" t="s">
        <v>4</v>
      </c>
      <c r="K762" s="95" t="s">
        <v>1923</v>
      </c>
      <c r="L762" s="85"/>
      <c r="M762" s="73" t="str">
        <f>IF(Main[[#This Row],[Tech Start Date]]&lt;1/1/1990,"",IF(Main[[#This Row],[Class]]="C",WORKDAY(Main[[#This Row],[Tech Start Date]],9),IF(Main[[#This Row],[Class]]="B", WORKDAY(Main[[#This Row],[Tech Start Date]],6),IF(Main[[#This Row],[Class]]="A",WORKDAY(Main[[#This Row],[Tech Start Date]],2),""))))</f>
        <v/>
      </c>
      <c r="N762" s="73" t="str">
        <f>IF(Main[[#This Row],[Tech Start Date]]&lt;1/1/1990,"",IF(Main[[#This Row],[Class]]="C",WORKDAY(Main[[#This Row],[Tech Start Date]],19),IF(Main[[#This Row],[Class]]="B", WORKDAY(Main[[#This Row],[Tech Start Date]],12),IF(Main[[#This Row],[Class]]="A",WORKDAY(Main[[#This Row],[Tech Start Date]],4),""))))</f>
        <v/>
      </c>
      <c r="O762" s="73" t="str">
        <f>IF(Main[[#This Row],[Tech Start Date]]&lt;1/1/1990,"",IF(Main[[#This Row],[Class]]="C",WORKDAY(Main[[#This Row],[Tech Start Date]],23),IF(Main[[#This Row],[Class]]="B", WORKDAY(Main[[#This Row],[Tech Start Date]],15),IF(Main[[#This Row],[Class]]="A",WORKDAY(Main[[#This Row],[Tech Start Date]],5),""))))</f>
        <v/>
      </c>
      <c r="P762" s="73" t="str">
        <f>IF(Main[[#This Row],[Tech Start Date]]&lt;1/1/1990,"",IF(Main[[#This Row],[Class]]="C",WORKDAY(Main[[#This Row],[Tech Start Date]],28),IF(Main[[#This Row],[Class]]="B", WORKDAY(Main[[#This Row],[Tech Start Date]],19),IF(Main[[#This Row],[Class]]="A",WORKDAY(Main[[#This Row],[Tech Start Date]],9),""))))</f>
        <v/>
      </c>
      <c r="Q762" s="85">
        <v>39990</v>
      </c>
      <c r="R762" s="112">
        <v>40497</v>
      </c>
      <c r="S762" s="95" t="s">
        <v>17</v>
      </c>
      <c r="T762" s="74" t="s">
        <v>4</v>
      </c>
      <c r="U762" s="95" t="s">
        <v>14</v>
      </c>
      <c r="V762" s="95" t="s">
        <v>1914</v>
      </c>
      <c r="W762" s="95" t="s">
        <v>1916</v>
      </c>
      <c r="X762" s="95" t="s">
        <v>2800</v>
      </c>
      <c r="Y762" s="72" t="s">
        <v>2912</v>
      </c>
      <c r="Z762" s="72" t="s">
        <v>415</v>
      </c>
      <c r="AA762" s="95" t="s">
        <v>3341</v>
      </c>
      <c r="AB762" s="132"/>
      <c r="AC762" s="132"/>
      <c r="AD762" s="132"/>
      <c r="AE762" s="63"/>
      <c r="AF762" s="63"/>
      <c r="AG762" s="63"/>
    </row>
    <row r="763" spans="1:33" ht="17.2" customHeight="1">
      <c r="A763" s="64" t="str">
        <f>IF(priority(Main[[#This Row],[Comments]])&lt;&gt;0, priority(Main[[#This Row],[Comments]]),"")</f>
        <v/>
      </c>
      <c r="B763" s="60" t="s">
        <v>1595</v>
      </c>
      <c r="C763" s="72" t="s">
        <v>31</v>
      </c>
      <c r="D763" s="59" t="s">
        <v>672</v>
      </c>
      <c r="E763" s="85"/>
      <c r="F763" s="85">
        <v>40725</v>
      </c>
      <c r="G763" s="64" t="str">
        <f>IF(stdProdLT(Main[[#This Row],[Comments]])=0.1,"N/A",IF(stdProdLT(Main[[#This Row],[Comments]])=0,"",TRIM(stdProdLT(Main[[#This Row],[Comments]]))))</f>
        <v/>
      </c>
      <c r="H763" s="94" t="str">
        <f>IF(OR(Main[[#This Row],[Std. Prod. Lead Time]]="N/A",Main[[#This Row],[Std. Prod. Lead Time]]=""), "",IF(AND(Main[[#This Row],[In Stock Date]]&lt;&gt;"",Main[[#This Row],[Revised Due Date]]&lt;&gt;"",Main[[#This Row],[In Stock Date]]&lt;&gt;""),Main[[#This Row],[In Stock Date]]-Main[[#This Row],[Revised Due Date]],""))</f>
        <v/>
      </c>
      <c r="I763" s="101" t="s">
        <v>4</v>
      </c>
      <c r="J763" s="95" t="s">
        <v>4</v>
      </c>
      <c r="K763" s="95" t="s">
        <v>4</v>
      </c>
      <c r="L763" s="85"/>
      <c r="M763" s="73" t="str">
        <f>IF(Main[[#This Row],[Tech Start Date]]&lt;1/1/1990,"",IF(Main[[#This Row],[Class]]="C",WORKDAY(Main[[#This Row],[Tech Start Date]],9),IF(Main[[#This Row],[Class]]="B", WORKDAY(Main[[#This Row],[Tech Start Date]],6),IF(Main[[#This Row],[Class]]="A",WORKDAY(Main[[#This Row],[Tech Start Date]],2),""))))</f>
        <v/>
      </c>
      <c r="N763" s="73" t="str">
        <f>IF(Main[[#This Row],[Tech Start Date]]&lt;1/1/1990,"",IF(Main[[#This Row],[Class]]="C",WORKDAY(Main[[#This Row],[Tech Start Date]],19),IF(Main[[#This Row],[Class]]="B", WORKDAY(Main[[#This Row],[Tech Start Date]],12),IF(Main[[#This Row],[Class]]="A",WORKDAY(Main[[#This Row],[Tech Start Date]],4),""))))</f>
        <v/>
      </c>
      <c r="O763" s="73" t="str">
        <f>IF(Main[[#This Row],[Tech Start Date]]&lt;1/1/1990,"",IF(Main[[#This Row],[Class]]="C",WORKDAY(Main[[#This Row],[Tech Start Date]],23),IF(Main[[#This Row],[Class]]="B", WORKDAY(Main[[#This Row],[Tech Start Date]],15),IF(Main[[#This Row],[Class]]="A",WORKDAY(Main[[#This Row],[Tech Start Date]],5),""))))</f>
        <v/>
      </c>
      <c r="P763" s="73" t="str">
        <f>IF(Main[[#This Row],[Tech Start Date]]&lt;1/1/1990,"",IF(Main[[#This Row],[Class]]="C",WORKDAY(Main[[#This Row],[Tech Start Date]],28),IF(Main[[#This Row],[Class]]="B", WORKDAY(Main[[#This Row],[Tech Start Date]],19),IF(Main[[#This Row],[Class]]="A",WORKDAY(Main[[#This Row],[Tech Start Date]],9),""))))</f>
        <v/>
      </c>
      <c r="Q763" s="85">
        <v>40634</v>
      </c>
      <c r="R763" s="112"/>
      <c r="S763" s="95" t="s">
        <v>11</v>
      </c>
      <c r="T763" s="74" t="s">
        <v>4</v>
      </c>
      <c r="U763" s="95" t="s">
        <v>14</v>
      </c>
      <c r="V763" s="95" t="s">
        <v>1914</v>
      </c>
      <c r="W763" s="95" t="s">
        <v>1917</v>
      </c>
      <c r="X763" s="95" t="s">
        <v>2825</v>
      </c>
      <c r="Y763" s="72" t="s">
        <v>3043</v>
      </c>
      <c r="Z763" s="72" t="s">
        <v>4</v>
      </c>
      <c r="AA763" s="95" t="s">
        <v>2825</v>
      </c>
      <c r="AB763" s="132"/>
      <c r="AC763" s="132"/>
      <c r="AD763" s="132"/>
      <c r="AE763" s="63"/>
      <c r="AF763" s="63"/>
      <c r="AG763" s="63"/>
    </row>
    <row r="764" spans="1:33" ht="17.2" customHeight="1">
      <c r="A764" s="64" t="str">
        <f>IF(priority(Main[[#This Row],[Comments]])&lt;&gt;0, priority(Main[[#This Row],[Comments]]),"")</f>
        <v/>
      </c>
      <c r="B764" s="60" t="s">
        <v>1707</v>
      </c>
      <c r="C764" s="72" t="s">
        <v>31</v>
      </c>
      <c r="D764" s="59" t="s">
        <v>768</v>
      </c>
      <c r="E764" s="85"/>
      <c r="F764" s="85">
        <v>40664</v>
      </c>
      <c r="G764" s="64" t="str">
        <f>IF(stdProdLT(Main[[#This Row],[Comments]])=0.1,"N/A",IF(stdProdLT(Main[[#This Row],[Comments]])=0,"",TRIM(stdProdLT(Main[[#This Row],[Comments]]))))</f>
        <v/>
      </c>
      <c r="H764" s="94" t="str">
        <f>IF(OR(Main[[#This Row],[Std. Prod. Lead Time]]="N/A",Main[[#This Row],[Std. Prod. Lead Time]]=""), "",IF(AND(Main[[#This Row],[In Stock Date]]&lt;&gt;"",Main[[#This Row],[Revised Due Date]]&lt;&gt;"",Main[[#This Row],[In Stock Date]]&lt;&gt;""),Main[[#This Row],[In Stock Date]]-Main[[#This Row],[Revised Due Date]],""))</f>
        <v/>
      </c>
      <c r="I764" s="101" t="s">
        <v>4</v>
      </c>
      <c r="J764" s="95" t="s">
        <v>28</v>
      </c>
      <c r="K764" s="95" t="s">
        <v>4</v>
      </c>
      <c r="L764" s="85"/>
      <c r="M764" s="73" t="str">
        <f>IF(Main[[#This Row],[Tech Start Date]]&lt;1/1/1990,"",IF(Main[[#This Row],[Class]]="C",WORKDAY(Main[[#This Row],[Tech Start Date]],9),IF(Main[[#This Row],[Class]]="B", WORKDAY(Main[[#This Row],[Tech Start Date]],6),IF(Main[[#This Row],[Class]]="A",WORKDAY(Main[[#This Row],[Tech Start Date]],2),""))))</f>
        <v/>
      </c>
      <c r="N764" s="73" t="str">
        <f>IF(Main[[#This Row],[Tech Start Date]]&lt;1/1/1990,"",IF(Main[[#This Row],[Class]]="C",WORKDAY(Main[[#This Row],[Tech Start Date]],19),IF(Main[[#This Row],[Class]]="B", WORKDAY(Main[[#This Row],[Tech Start Date]],12),IF(Main[[#This Row],[Class]]="A",WORKDAY(Main[[#This Row],[Tech Start Date]],4),""))))</f>
        <v/>
      </c>
      <c r="O764" s="73" t="str">
        <f>IF(Main[[#This Row],[Tech Start Date]]&lt;1/1/1990,"",IF(Main[[#This Row],[Class]]="C",WORKDAY(Main[[#This Row],[Tech Start Date]],23),IF(Main[[#This Row],[Class]]="B", WORKDAY(Main[[#This Row],[Tech Start Date]],15),IF(Main[[#This Row],[Class]]="A",WORKDAY(Main[[#This Row],[Tech Start Date]],5),""))))</f>
        <v/>
      </c>
      <c r="P764" s="73" t="str">
        <f>IF(Main[[#This Row],[Tech Start Date]]&lt;1/1/1990,"",IF(Main[[#This Row],[Class]]="C",WORKDAY(Main[[#This Row],[Tech Start Date]],28),IF(Main[[#This Row],[Class]]="B", WORKDAY(Main[[#This Row],[Tech Start Date]],19),IF(Main[[#This Row],[Class]]="A",WORKDAY(Main[[#This Row],[Tech Start Date]],9),""))))</f>
        <v/>
      </c>
      <c r="Q764" s="85">
        <v>40589</v>
      </c>
      <c r="R764" s="112"/>
      <c r="S764" s="95" t="s">
        <v>11</v>
      </c>
      <c r="T764" s="74" t="s">
        <v>4</v>
      </c>
      <c r="U764" s="95" t="s">
        <v>14</v>
      </c>
      <c r="V764" s="95" t="s">
        <v>1914</v>
      </c>
      <c r="W764" s="95" t="s">
        <v>1917</v>
      </c>
      <c r="X764" s="95" t="s">
        <v>50</v>
      </c>
      <c r="Y764" s="72" t="s">
        <v>3098</v>
      </c>
      <c r="Z764" s="72" t="s">
        <v>30</v>
      </c>
      <c r="AA764" s="95" t="s">
        <v>2805</v>
      </c>
      <c r="AB764" s="132"/>
      <c r="AC764" s="132"/>
      <c r="AD764" s="132"/>
      <c r="AE764" s="63"/>
      <c r="AF764" s="63"/>
      <c r="AG764" s="63"/>
    </row>
    <row r="765" spans="1:33" ht="17.2" customHeight="1">
      <c r="A765" s="64" t="str">
        <f>IF(priority(Main[[#This Row],[Comments]])&lt;&gt;0, priority(Main[[#This Row],[Comments]]),"")</f>
        <v/>
      </c>
      <c r="B765" s="60" t="s">
        <v>1596</v>
      </c>
      <c r="C765" s="72" t="s">
        <v>4</v>
      </c>
      <c r="D765" s="59" t="s">
        <v>673</v>
      </c>
      <c r="E765" s="85"/>
      <c r="F765" s="85"/>
      <c r="G765" s="64" t="str">
        <f>IF(stdProdLT(Main[[#This Row],[Comments]])=0.1,"N/A",IF(stdProdLT(Main[[#This Row],[Comments]])=0,"",TRIM(stdProdLT(Main[[#This Row],[Comments]]))))</f>
        <v/>
      </c>
      <c r="H765" s="94" t="str">
        <f>IF(OR(Main[[#This Row],[Std. Prod. Lead Time]]="N/A",Main[[#This Row],[Std. Prod. Lead Time]]=""), "",IF(AND(Main[[#This Row],[In Stock Date]]&lt;&gt;"",Main[[#This Row],[Revised Due Date]]&lt;&gt;"",Main[[#This Row],[In Stock Date]]&lt;&gt;""),Main[[#This Row],[In Stock Date]]-Main[[#This Row],[Revised Due Date]],""))</f>
        <v/>
      </c>
      <c r="I765" s="101" t="s">
        <v>102</v>
      </c>
      <c r="J765" s="95" t="s">
        <v>4</v>
      </c>
      <c r="K765" s="95" t="s">
        <v>1918</v>
      </c>
      <c r="L765" s="85"/>
      <c r="M765" s="73" t="str">
        <f>IF(Main[[#This Row],[Tech Start Date]]&lt;1/1/1990,"",IF(Main[[#This Row],[Class]]="C",WORKDAY(Main[[#This Row],[Tech Start Date]],9),IF(Main[[#This Row],[Class]]="B", WORKDAY(Main[[#This Row],[Tech Start Date]],6),IF(Main[[#This Row],[Class]]="A",WORKDAY(Main[[#This Row],[Tech Start Date]],2),""))))</f>
        <v/>
      </c>
      <c r="N765" s="73" t="str">
        <f>IF(Main[[#This Row],[Tech Start Date]]&lt;1/1/1990,"",IF(Main[[#This Row],[Class]]="C",WORKDAY(Main[[#This Row],[Tech Start Date]],19),IF(Main[[#This Row],[Class]]="B", WORKDAY(Main[[#This Row],[Tech Start Date]],12),IF(Main[[#This Row],[Class]]="A",WORKDAY(Main[[#This Row],[Tech Start Date]],4),""))))</f>
        <v/>
      </c>
      <c r="O765" s="73" t="str">
        <f>IF(Main[[#This Row],[Tech Start Date]]&lt;1/1/1990,"",IF(Main[[#This Row],[Class]]="C",WORKDAY(Main[[#This Row],[Tech Start Date]],23),IF(Main[[#This Row],[Class]]="B", WORKDAY(Main[[#This Row],[Tech Start Date]],15),IF(Main[[#This Row],[Class]]="A",WORKDAY(Main[[#This Row],[Tech Start Date]],5),""))))</f>
        <v/>
      </c>
      <c r="P765" s="73" t="str">
        <f>IF(Main[[#This Row],[Tech Start Date]]&lt;1/1/1990,"",IF(Main[[#This Row],[Class]]="C",WORKDAY(Main[[#This Row],[Tech Start Date]],28),IF(Main[[#This Row],[Class]]="B", WORKDAY(Main[[#This Row],[Tech Start Date]],19),IF(Main[[#This Row],[Class]]="A",WORKDAY(Main[[#This Row],[Tech Start Date]],9),""))))</f>
        <v/>
      </c>
      <c r="Q765" s="85"/>
      <c r="R765" s="112"/>
      <c r="S765" s="95" t="s">
        <v>23</v>
      </c>
      <c r="T765" s="74" t="s">
        <v>4</v>
      </c>
      <c r="U765" s="95" t="s">
        <v>14</v>
      </c>
      <c r="V765" s="95" t="s">
        <v>1911</v>
      </c>
      <c r="W765" s="95" t="s">
        <v>1915</v>
      </c>
      <c r="X765" s="95" t="s">
        <v>306</v>
      </c>
      <c r="Y765" s="72" t="s">
        <v>4</v>
      </c>
      <c r="Z765" s="72" t="s">
        <v>4</v>
      </c>
      <c r="AA765" s="95" t="s">
        <v>3388</v>
      </c>
      <c r="AB765" s="132">
        <v>40465</v>
      </c>
      <c r="AC765" s="132">
        <v>40466</v>
      </c>
      <c r="AD765" s="132"/>
      <c r="AE765" s="63"/>
      <c r="AF765" s="63"/>
      <c r="AG765" s="63"/>
    </row>
    <row r="766" spans="1:33" ht="17.2" customHeight="1">
      <c r="A766" s="64" t="str">
        <f>IF(priority(Main[[#This Row],[Comments]])&lt;&gt;0, priority(Main[[#This Row],[Comments]]),"")</f>
        <v/>
      </c>
      <c r="B766" s="60" t="s">
        <v>1597</v>
      </c>
      <c r="C766" s="72" t="s">
        <v>4</v>
      </c>
      <c r="D766" s="59" t="s">
        <v>674</v>
      </c>
      <c r="E766" s="85">
        <v>40491.714780092596</v>
      </c>
      <c r="F766" s="85"/>
      <c r="G766" s="64" t="str">
        <f>IF(stdProdLT(Main[[#This Row],[Comments]])=0.1,"N/A",IF(stdProdLT(Main[[#This Row],[Comments]])=0,"",TRIM(stdProdLT(Main[[#This Row],[Comments]]))))</f>
        <v/>
      </c>
      <c r="H766" s="94" t="str">
        <f>IF(OR(Main[[#This Row],[Std. Prod. Lead Time]]="N/A",Main[[#This Row],[Std. Prod. Lead Time]]=""), "",IF(AND(Main[[#This Row],[In Stock Date]]&lt;&gt;"",Main[[#This Row],[Revised Due Date]]&lt;&gt;"",Main[[#This Row],[In Stock Date]]&lt;&gt;""),Main[[#This Row],[In Stock Date]]-Main[[#This Row],[Revised Due Date]],""))</f>
        <v/>
      </c>
      <c r="I766" s="101" t="s">
        <v>4</v>
      </c>
      <c r="J766" s="95" t="s">
        <v>28</v>
      </c>
      <c r="K766" s="95" t="s">
        <v>1918</v>
      </c>
      <c r="L766" s="85"/>
      <c r="M766" s="73" t="str">
        <f>IF(Main[[#This Row],[Tech Start Date]]&lt;1/1/1990,"",IF(Main[[#This Row],[Class]]="C",WORKDAY(Main[[#This Row],[Tech Start Date]],9),IF(Main[[#This Row],[Class]]="B", WORKDAY(Main[[#This Row],[Tech Start Date]],6),IF(Main[[#This Row],[Class]]="A",WORKDAY(Main[[#This Row],[Tech Start Date]],2),""))))</f>
        <v/>
      </c>
      <c r="N766" s="73" t="str">
        <f>IF(Main[[#This Row],[Tech Start Date]]&lt;1/1/1990,"",IF(Main[[#This Row],[Class]]="C",WORKDAY(Main[[#This Row],[Tech Start Date]],19),IF(Main[[#This Row],[Class]]="B", WORKDAY(Main[[#This Row],[Tech Start Date]],12),IF(Main[[#This Row],[Class]]="A",WORKDAY(Main[[#This Row],[Tech Start Date]],4),""))))</f>
        <v/>
      </c>
      <c r="O766" s="73" t="str">
        <f>IF(Main[[#This Row],[Tech Start Date]]&lt;1/1/1990,"",IF(Main[[#This Row],[Class]]="C",WORKDAY(Main[[#This Row],[Tech Start Date]],23),IF(Main[[#This Row],[Class]]="B", WORKDAY(Main[[#This Row],[Tech Start Date]],15),IF(Main[[#This Row],[Class]]="A",WORKDAY(Main[[#This Row],[Tech Start Date]],5),""))))</f>
        <v/>
      </c>
      <c r="P766" s="73" t="str">
        <f>IF(Main[[#This Row],[Tech Start Date]]&lt;1/1/1990,"",IF(Main[[#This Row],[Class]]="C",WORKDAY(Main[[#This Row],[Tech Start Date]],28),IF(Main[[#This Row],[Class]]="B", WORKDAY(Main[[#This Row],[Tech Start Date]],19),IF(Main[[#This Row],[Class]]="A",WORKDAY(Main[[#This Row],[Tech Start Date]],9),""))))</f>
        <v/>
      </c>
      <c r="Q766" s="85">
        <v>40520</v>
      </c>
      <c r="R766" s="112"/>
      <c r="S766" s="95" t="s">
        <v>6</v>
      </c>
      <c r="T766" s="74" t="s">
        <v>4</v>
      </c>
      <c r="U766" s="95" t="s">
        <v>7</v>
      </c>
      <c r="V766" s="95" t="s">
        <v>1911</v>
      </c>
      <c r="W766" s="95" t="s">
        <v>1913</v>
      </c>
      <c r="X766" s="95" t="s">
        <v>2801</v>
      </c>
      <c r="Y766" s="72" t="s">
        <v>2914</v>
      </c>
      <c r="Z766" s="72" t="s">
        <v>129</v>
      </c>
      <c r="AA766" s="95" t="s">
        <v>2801</v>
      </c>
      <c r="AB766" s="132"/>
      <c r="AC766" s="132"/>
      <c r="AD766" s="132"/>
      <c r="AE766" s="63"/>
      <c r="AF766" s="63"/>
      <c r="AG766" s="63"/>
    </row>
    <row r="767" spans="1:33" ht="17.2" customHeight="1">
      <c r="A767" s="64" t="str">
        <f>IF(priority(Main[[#This Row],[Comments]])&lt;&gt;0, priority(Main[[#This Row],[Comments]]),"")</f>
        <v/>
      </c>
      <c r="B767" s="60" t="s">
        <v>1598</v>
      </c>
      <c r="C767" s="72" t="s">
        <v>47</v>
      </c>
      <c r="D767" s="59" t="s">
        <v>675</v>
      </c>
      <c r="E767" s="85"/>
      <c r="F767" s="85"/>
      <c r="G767" s="64" t="str">
        <f>IF(stdProdLT(Main[[#This Row],[Comments]])=0.1,"N/A",IF(stdProdLT(Main[[#This Row],[Comments]])=0,"",TRIM(stdProdLT(Main[[#This Row],[Comments]]))))</f>
        <v/>
      </c>
      <c r="H767" s="94" t="str">
        <f>IF(OR(Main[[#This Row],[Std. Prod. Lead Time]]="N/A",Main[[#This Row],[Std. Prod. Lead Time]]=""), "",IF(AND(Main[[#This Row],[In Stock Date]]&lt;&gt;"",Main[[#This Row],[Revised Due Date]]&lt;&gt;"",Main[[#This Row],[In Stock Date]]&lt;&gt;""),Main[[#This Row],[In Stock Date]]-Main[[#This Row],[Revised Due Date]],""))</f>
        <v/>
      </c>
      <c r="I767" s="101" t="s">
        <v>4</v>
      </c>
      <c r="J767" s="95" t="s">
        <v>4</v>
      </c>
      <c r="K767" s="95" t="s">
        <v>4</v>
      </c>
      <c r="L767" s="85"/>
      <c r="M767" s="73" t="str">
        <f>IF(Main[[#This Row],[Tech Start Date]]&lt;1/1/1990,"",IF(Main[[#This Row],[Class]]="C",WORKDAY(Main[[#This Row],[Tech Start Date]],9),IF(Main[[#This Row],[Class]]="B", WORKDAY(Main[[#This Row],[Tech Start Date]],6),IF(Main[[#This Row],[Class]]="A",WORKDAY(Main[[#This Row],[Tech Start Date]],2),""))))</f>
        <v/>
      </c>
      <c r="N767" s="73" t="str">
        <f>IF(Main[[#This Row],[Tech Start Date]]&lt;1/1/1990,"",IF(Main[[#This Row],[Class]]="C",WORKDAY(Main[[#This Row],[Tech Start Date]],19),IF(Main[[#This Row],[Class]]="B", WORKDAY(Main[[#This Row],[Tech Start Date]],12),IF(Main[[#This Row],[Class]]="A",WORKDAY(Main[[#This Row],[Tech Start Date]],4),""))))</f>
        <v/>
      </c>
      <c r="O767" s="73" t="str">
        <f>IF(Main[[#This Row],[Tech Start Date]]&lt;1/1/1990,"",IF(Main[[#This Row],[Class]]="C",WORKDAY(Main[[#This Row],[Tech Start Date]],23),IF(Main[[#This Row],[Class]]="B", WORKDAY(Main[[#This Row],[Tech Start Date]],15),IF(Main[[#This Row],[Class]]="A",WORKDAY(Main[[#This Row],[Tech Start Date]],5),""))))</f>
        <v/>
      </c>
      <c r="P767" s="73" t="str">
        <f>IF(Main[[#This Row],[Tech Start Date]]&lt;1/1/1990,"",IF(Main[[#This Row],[Class]]="C",WORKDAY(Main[[#This Row],[Tech Start Date]],28),IF(Main[[#This Row],[Class]]="B", WORKDAY(Main[[#This Row],[Tech Start Date]],19),IF(Main[[#This Row],[Class]]="A",WORKDAY(Main[[#This Row],[Tech Start Date]],9),""))))</f>
        <v/>
      </c>
      <c r="Q767" s="85"/>
      <c r="R767" s="112"/>
      <c r="S767" s="95" t="s">
        <v>11</v>
      </c>
      <c r="T767" s="74" t="s">
        <v>4</v>
      </c>
      <c r="U767" s="95" t="s">
        <v>14</v>
      </c>
      <c r="V767" s="95" t="s">
        <v>1912</v>
      </c>
      <c r="W767" s="95" t="s">
        <v>1915</v>
      </c>
      <c r="X767" s="95" t="s">
        <v>306</v>
      </c>
      <c r="Y767" s="72" t="s">
        <v>2919</v>
      </c>
      <c r="Z767" s="72" t="s">
        <v>4</v>
      </c>
      <c r="AA767" s="95" t="s">
        <v>3337</v>
      </c>
      <c r="AB767" s="132"/>
      <c r="AC767" s="132"/>
      <c r="AD767" s="132"/>
      <c r="AE767" s="63"/>
      <c r="AF767" s="63"/>
      <c r="AG767" s="63"/>
    </row>
    <row r="768" spans="1:33" ht="17.2" customHeight="1">
      <c r="A768" s="64" t="str">
        <f>IF(priority(Main[[#This Row],[Comments]])&lt;&gt;0, priority(Main[[#This Row],[Comments]]),"")</f>
        <v/>
      </c>
      <c r="B768" s="60" t="s">
        <v>1599</v>
      </c>
      <c r="C768" s="72" t="s">
        <v>275</v>
      </c>
      <c r="D768" s="59" t="s">
        <v>585</v>
      </c>
      <c r="E768" s="85"/>
      <c r="F768" s="85">
        <v>40186</v>
      </c>
      <c r="G768" s="64" t="str">
        <f>IF(stdProdLT(Main[[#This Row],[Comments]])=0.1,"N/A",IF(stdProdLT(Main[[#This Row],[Comments]])=0,"",TRIM(stdProdLT(Main[[#This Row],[Comments]]))))</f>
        <v/>
      </c>
      <c r="H768" s="94" t="str">
        <f>IF(OR(Main[[#This Row],[Std. Prod. Lead Time]]="N/A",Main[[#This Row],[Std. Prod. Lead Time]]=""), "",IF(AND(Main[[#This Row],[In Stock Date]]&lt;&gt;"",Main[[#This Row],[Revised Due Date]]&lt;&gt;"",Main[[#This Row],[In Stock Date]]&lt;&gt;""),Main[[#This Row],[In Stock Date]]-Main[[#This Row],[Revised Due Date]],""))</f>
        <v/>
      </c>
      <c r="I768" s="101" t="s">
        <v>4</v>
      </c>
      <c r="J768" s="95" t="s">
        <v>4</v>
      </c>
      <c r="K768" s="96" t="s">
        <v>4</v>
      </c>
      <c r="L768" s="85"/>
      <c r="M768" s="73" t="str">
        <f>IF(Main[[#This Row],[Tech Start Date]]&lt;1/1/1990,"",IF(Main[[#This Row],[Class]]="C",WORKDAY(Main[[#This Row],[Tech Start Date]],9),IF(Main[[#This Row],[Class]]="B", WORKDAY(Main[[#This Row],[Tech Start Date]],6),IF(Main[[#This Row],[Class]]="A",WORKDAY(Main[[#This Row],[Tech Start Date]],2),""))))</f>
        <v/>
      </c>
      <c r="N768" s="73" t="str">
        <f>IF(Main[[#This Row],[Tech Start Date]]&lt;1/1/1990,"",IF(Main[[#This Row],[Class]]="C",WORKDAY(Main[[#This Row],[Tech Start Date]],19),IF(Main[[#This Row],[Class]]="B", WORKDAY(Main[[#This Row],[Tech Start Date]],12),IF(Main[[#This Row],[Class]]="A",WORKDAY(Main[[#This Row],[Tech Start Date]],4),""))))</f>
        <v/>
      </c>
      <c r="O768" s="73" t="str">
        <f>IF(Main[[#This Row],[Tech Start Date]]&lt;1/1/1990,"",IF(Main[[#This Row],[Class]]="C",WORKDAY(Main[[#This Row],[Tech Start Date]],23),IF(Main[[#This Row],[Class]]="B", WORKDAY(Main[[#This Row],[Tech Start Date]],15),IF(Main[[#This Row],[Class]]="A",WORKDAY(Main[[#This Row],[Tech Start Date]],5),""))))</f>
        <v/>
      </c>
      <c r="P768" s="73" t="str">
        <f>IF(Main[[#This Row],[Tech Start Date]]&lt;1/1/1990,"",IF(Main[[#This Row],[Class]]="C",WORKDAY(Main[[#This Row],[Tech Start Date]],28),IF(Main[[#This Row],[Class]]="B", WORKDAY(Main[[#This Row],[Tech Start Date]],19),IF(Main[[#This Row],[Class]]="A",WORKDAY(Main[[#This Row],[Tech Start Date]],9),""))))</f>
        <v/>
      </c>
      <c r="Q768" s="85">
        <v>40186</v>
      </c>
      <c r="R768" s="112"/>
      <c r="S768" s="95" t="s">
        <v>11</v>
      </c>
      <c r="T768" s="74" t="s">
        <v>4</v>
      </c>
      <c r="U768" s="95" t="s">
        <v>14</v>
      </c>
      <c r="V768" s="95" t="s">
        <v>1914</v>
      </c>
      <c r="W768" s="95" t="s">
        <v>1919</v>
      </c>
      <c r="X768" s="95" t="s">
        <v>2822</v>
      </c>
      <c r="Y768" s="72" t="s">
        <v>4</v>
      </c>
      <c r="Z768" s="72" t="s">
        <v>4</v>
      </c>
      <c r="AA768" s="95" t="s">
        <v>2822</v>
      </c>
      <c r="AB768" s="132"/>
      <c r="AC768" s="132"/>
      <c r="AD768" s="132"/>
      <c r="AE768" s="63"/>
      <c r="AF768" s="63"/>
      <c r="AG768" s="63"/>
    </row>
    <row r="769" spans="1:33" ht="17.2" customHeight="1">
      <c r="A769" s="64" t="str">
        <f>IF(priority(Main[[#This Row],[Comments]])&lt;&gt;0, priority(Main[[#This Row],[Comments]]),"")</f>
        <v/>
      </c>
      <c r="B769" s="60" t="s">
        <v>1055</v>
      </c>
      <c r="C769" s="72" t="s">
        <v>4</v>
      </c>
      <c r="D769" s="59" t="s">
        <v>39</v>
      </c>
      <c r="E769" s="85"/>
      <c r="F769" s="85"/>
      <c r="G769" s="64" t="str">
        <f>IF(stdProdLT(Main[[#This Row],[Comments]])=0.1,"N/A",IF(stdProdLT(Main[[#This Row],[Comments]])=0,"",TRIM(stdProdLT(Main[[#This Row],[Comments]]))))</f>
        <v/>
      </c>
      <c r="H769" s="94" t="str">
        <f>IF(OR(Main[[#This Row],[Std. Prod. Lead Time]]="N/A",Main[[#This Row],[Std. Prod. Lead Time]]=""), "",IF(AND(Main[[#This Row],[In Stock Date]]&lt;&gt;"",Main[[#This Row],[Revised Due Date]]&lt;&gt;"",Main[[#This Row],[In Stock Date]]&lt;&gt;""),Main[[#This Row],[In Stock Date]]-Main[[#This Row],[Revised Due Date]],""))</f>
        <v/>
      </c>
      <c r="I769" s="101" t="s">
        <v>489</v>
      </c>
      <c r="J769" s="95" t="s">
        <v>70</v>
      </c>
      <c r="K769" s="95" t="s">
        <v>1920</v>
      </c>
      <c r="L769" s="85"/>
      <c r="M769" s="73" t="str">
        <f>IF(Main[[#This Row],[Tech Start Date]]&lt;1/1/1990,"",IF(Main[[#This Row],[Class]]="C",WORKDAY(Main[[#This Row],[Tech Start Date]],9),IF(Main[[#This Row],[Class]]="B", WORKDAY(Main[[#This Row],[Tech Start Date]],6),IF(Main[[#This Row],[Class]]="A",WORKDAY(Main[[#This Row],[Tech Start Date]],2),""))))</f>
        <v/>
      </c>
      <c r="N769" s="73" t="str">
        <f>IF(Main[[#This Row],[Tech Start Date]]&lt;1/1/1990,"",IF(Main[[#This Row],[Class]]="C",WORKDAY(Main[[#This Row],[Tech Start Date]],19),IF(Main[[#This Row],[Class]]="B", WORKDAY(Main[[#This Row],[Tech Start Date]],12),IF(Main[[#This Row],[Class]]="A",WORKDAY(Main[[#This Row],[Tech Start Date]],4),""))))</f>
        <v/>
      </c>
      <c r="O769" s="73" t="str">
        <f>IF(Main[[#This Row],[Tech Start Date]]&lt;1/1/1990,"",IF(Main[[#This Row],[Class]]="C",WORKDAY(Main[[#This Row],[Tech Start Date]],23),IF(Main[[#This Row],[Class]]="B", WORKDAY(Main[[#This Row],[Tech Start Date]],15),IF(Main[[#This Row],[Class]]="A",WORKDAY(Main[[#This Row],[Tech Start Date]],5),""))))</f>
        <v/>
      </c>
      <c r="P769" s="73" t="str">
        <f>IF(Main[[#This Row],[Tech Start Date]]&lt;1/1/1990,"",IF(Main[[#This Row],[Class]]="C",WORKDAY(Main[[#This Row],[Tech Start Date]],28),IF(Main[[#This Row],[Class]]="B", WORKDAY(Main[[#This Row],[Tech Start Date]],19),IF(Main[[#This Row],[Class]]="A",WORKDAY(Main[[#This Row],[Tech Start Date]],9),""))))</f>
        <v/>
      </c>
      <c r="Q769" s="85">
        <v>40704</v>
      </c>
      <c r="R769" s="112"/>
      <c r="S769" s="95" t="s">
        <v>6</v>
      </c>
      <c r="T769" s="74" t="s">
        <v>4</v>
      </c>
      <c r="U769" s="95" t="s">
        <v>14</v>
      </c>
      <c r="V769" s="95" t="s">
        <v>1914</v>
      </c>
      <c r="W769" s="95" t="s">
        <v>1915</v>
      </c>
      <c r="X769" s="95" t="s">
        <v>2798</v>
      </c>
      <c r="Y769" s="72" t="s">
        <v>2908</v>
      </c>
      <c r="Z769" s="72" t="s">
        <v>30</v>
      </c>
      <c r="AA769" s="95" t="s">
        <v>2798</v>
      </c>
      <c r="AB769" s="132"/>
      <c r="AC769" s="132"/>
      <c r="AD769" s="132"/>
      <c r="AE769" s="63"/>
      <c r="AF769" s="63"/>
      <c r="AG769" s="63"/>
    </row>
    <row r="770" spans="1:33" ht="17.2" customHeight="1">
      <c r="A770" s="64" t="str">
        <f>IF(priority(Main[[#This Row],[Comments]])&lt;&gt;0, priority(Main[[#This Row],[Comments]]),"")</f>
        <v/>
      </c>
      <c r="B770" s="60" t="s">
        <v>1601</v>
      </c>
      <c r="C770" s="72" t="s">
        <v>4</v>
      </c>
      <c r="D770" s="59" t="s">
        <v>677</v>
      </c>
      <c r="E770" s="85">
        <v>40497.338240740741</v>
      </c>
      <c r="F770" s="85"/>
      <c r="G770" s="64" t="str">
        <f>IF(stdProdLT(Main[[#This Row],[Comments]])=0.1,"N/A",IF(stdProdLT(Main[[#This Row],[Comments]])=0,"",TRIM(stdProdLT(Main[[#This Row],[Comments]]))))</f>
        <v/>
      </c>
      <c r="H770" s="94" t="str">
        <f>IF(OR(Main[[#This Row],[Std. Prod. Lead Time]]="N/A",Main[[#This Row],[Std. Prod. Lead Time]]=""), "",IF(AND(Main[[#This Row],[In Stock Date]]&lt;&gt;"",Main[[#This Row],[Revised Due Date]]&lt;&gt;"",Main[[#This Row],[In Stock Date]]&lt;&gt;""),Main[[#This Row],[In Stock Date]]-Main[[#This Row],[Revised Due Date]],""))</f>
        <v/>
      </c>
      <c r="I770" s="101" t="s">
        <v>4</v>
      </c>
      <c r="J770" s="95" t="s">
        <v>4</v>
      </c>
      <c r="K770" s="95" t="s">
        <v>4</v>
      </c>
      <c r="L770" s="85"/>
      <c r="M770" s="73" t="str">
        <f>IF(Main[[#This Row],[Tech Start Date]]&lt;1/1/1990,"",IF(Main[[#This Row],[Class]]="C",WORKDAY(Main[[#This Row],[Tech Start Date]],9),IF(Main[[#This Row],[Class]]="B", WORKDAY(Main[[#This Row],[Tech Start Date]],6),IF(Main[[#This Row],[Class]]="A",WORKDAY(Main[[#This Row],[Tech Start Date]],2),""))))</f>
        <v/>
      </c>
      <c r="N770" s="73" t="str">
        <f>IF(Main[[#This Row],[Tech Start Date]]&lt;1/1/1990,"",IF(Main[[#This Row],[Class]]="C",WORKDAY(Main[[#This Row],[Tech Start Date]],19),IF(Main[[#This Row],[Class]]="B", WORKDAY(Main[[#This Row],[Tech Start Date]],12),IF(Main[[#This Row],[Class]]="A",WORKDAY(Main[[#This Row],[Tech Start Date]],4),""))))</f>
        <v/>
      </c>
      <c r="O770" s="73" t="str">
        <f>IF(Main[[#This Row],[Tech Start Date]]&lt;1/1/1990,"",IF(Main[[#This Row],[Class]]="C",WORKDAY(Main[[#This Row],[Tech Start Date]],23),IF(Main[[#This Row],[Class]]="B", WORKDAY(Main[[#This Row],[Tech Start Date]],15),IF(Main[[#This Row],[Class]]="A",WORKDAY(Main[[#This Row],[Tech Start Date]],5),""))))</f>
        <v/>
      </c>
      <c r="P770" s="73" t="str">
        <f>IF(Main[[#This Row],[Tech Start Date]]&lt;1/1/1990,"",IF(Main[[#This Row],[Class]]="C",WORKDAY(Main[[#This Row],[Tech Start Date]],28),IF(Main[[#This Row],[Class]]="B", WORKDAY(Main[[#This Row],[Tech Start Date]],19),IF(Main[[#This Row],[Class]]="A",WORKDAY(Main[[#This Row],[Tech Start Date]],9),""))))</f>
        <v/>
      </c>
      <c r="Q770" s="85">
        <v>40529</v>
      </c>
      <c r="R770" s="112"/>
      <c r="S770" s="95" t="s">
        <v>4</v>
      </c>
      <c r="T770" s="74" t="s">
        <v>4</v>
      </c>
      <c r="U770" s="95" t="s">
        <v>7</v>
      </c>
      <c r="V770" s="95" t="s">
        <v>1911</v>
      </c>
      <c r="W770" s="95" t="s">
        <v>4</v>
      </c>
      <c r="X770" s="95" t="s">
        <v>2798</v>
      </c>
      <c r="Y770" s="72" t="s">
        <v>2908</v>
      </c>
      <c r="Z770" s="72" t="s">
        <v>4</v>
      </c>
      <c r="AA770" s="95" t="s">
        <v>2798</v>
      </c>
      <c r="AB770" s="132"/>
      <c r="AC770" s="132"/>
      <c r="AD770" s="132"/>
      <c r="AE770" s="63"/>
      <c r="AF770" s="63"/>
      <c r="AG770" s="63"/>
    </row>
    <row r="771" spans="1:33" ht="17.2" customHeight="1">
      <c r="A771" s="64" t="str">
        <f>IF(priority(Main[[#This Row],[Comments]])&lt;&gt;0, priority(Main[[#This Row],[Comments]]),"")</f>
        <v/>
      </c>
      <c r="B771" s="60" t="s">
        <v>1602</v>
      </c>
      <c r="C771" s="72" t="s">
        <v>72</v>
      </c>
      <c r="D771" s="59" t="s">
        <v>645</v>
      </c>
      <c r="E771" s="85"/>
      <c r="F771" s="85"/>
      <c r="G771" s="64" t="str">
        <f>IF(stdProdLT(Main[[#This Row],[Comments]])=0.1,"N/A",IF(stdProdLT(Main[[#This Row],[Comments]])=0,"",TRIM(stdProdLT(Main[[#This Row],[Comments]]))))</f>
        <v/>
      </c>
      <c r="H771" s="94" t="str">
        <f>IF(OR(Main[[#This Row],[Std. Prod. Lead Time]]="N/A",Main[[#This Row],[Std. Prod. Lead Time]]=""), "",IF(AND(Main[[#This Row],[In Stock Date]]&lt;&gt;"",Main[[#This Row],[Revised Due Date]]&lt;&gt;"",Main[[#This Row],[In Stock Date]]&lt;&gt;""),Main[[#This Row],[In Stock Date]]-Main[[#This Row],[Revised Due Date]],""))</f>
        <v/>
      </c>
      <c r="I771" s="101" t="s">
        <v>4</v>
      </c>
      <c r="J771" s="95" t="s">
        <v>4</v>
      </c>
      <c r="K771" s="95" t="s">
        <v>4</v>
      </c>
      <c r="L771" s="85"/>
      <c r="M771" s="73" t="str">
        <f>IF(Main[[#This Row],[Tech Start Date]]&lt;1/1/1990,"",IF(Main[[#This Row],[Class]]="C",WORKDAY(Main[[#This Row],[Tech Start Date]],9),IF(Main[[#This Row],[Class]]="B", WORKDAY(Main[[#This Row],[Tech Start Date]],6),IF(Main[[#This Row],[Class]]="A",WORKDAY(Main[[#This Row],[Tech Start Date]],2),""))))</f>
        <v/>
      </c>
      <c r="N771" s="73" t="str">
        <f>IF(Main[[#This Row],[Tech Start Date]]&lt;1/1/1990,"",IF(Main[[#This Row],[Class]]="C",WORKDAY(Main[[#This Row],[Tech Start Date]],19),IF(Main[[#This Row],[Class]]="B", WORKDAY(Main[[#This Row],[Tech Start Date]],12),IF(Main[[#This Row],[Class]]="A",WORKDAY(Main[[#This Row],[Tech Start Date]],4),""))))</f>
        <v/>
      </c>
      <c r="O771" s="73" t="str">
        <f>IF(Main[[#This Row],[Tech Start Date]]&lt;1/1/1990,"",IF(Main[[#This Row],[Class]]="C",WORKDAY(Main[[#This Row],[Tech Start Date]],23),IF(Main[[#This Row],[Class]]="B", WORKDAY(Main[[#This Row],[Tech Start Date]],15),IF(Main[[#This Row],[Class]]="A",WORKDAY(Main[[#This Row],[Tech Start Date]],5),""))))</f>
        <v/>
      </c>
      <c r="P771" s="73" t="str">
        <f>IF(Main[[#This Row],[Tech Start Date]]&lt;1/1/1990,"",IF(Main[[#This Row],[Class]]="C",WORKDAY(Main[[#This Row],[Tech Start Date]],28),IF(Main[[#This Row],[Class]]="B", WORKDAY(Main[[#This Row],[Tech Start Date]],19),IF(Main[[#This Row],[Class]]="A",WORKDAY(Main[[#This Row],[Tech Start Date]],9),""))))</f>
        <v/>
      </c>
      <c r="Q771" s="85"/>
      <c r="R771" s="112"/>
      <c r="S771" s="95" t="s">
        <v>49</v>
      </c>
      <c r="T771" s="74" t="s">
        <v>4</v>
      </c>
      <c r="U771" s="95" t="s">
        <v>12</v>
      </c>
      <c r="V771" s="95" t="s">
        <v>1912</v>
      </c>
      <c r="W771" s="95" t="s">
        <v>1913</v>
      </c>
      <c r="X771" s="95" t="s">
        <v>2881</v>
      </c>
      <c r="Y771" s="72" t="s">
        <v>3057</v>
      </c>
      <c r="Z771" s="72" t="s">
        <v>4</v>
      </c>
      <c r="AA771" s="95" t="s">
        <v>2881</v>
      </c>
      <c r="AB771" s="132"/>
      <c r="AC771" s="132"/>
      <c r="AD771" s="132"/>
      <c r="AE771" s="63"/>
      <c r="AF771" s="63"/>
      <c r="AG771" s="63"/>
    </row>
    <row r="772" spans="1:33" ht="17.2" customHeight="1">
      <c r="A772" s="64" t="str">
        <f>IF(priority(Main[[#This Row],[Comments]])&lt;&gt;0, priority(Main[[#This Row],[Comments]]),"")</f>
        <v/>
      </c>
      <c r="B772" s="60" t="s">
        <v>1605</v>
      </c>
      <c r="C772" s="72" t="s">
        <v>4</v>
      </c>
      <c r="D772" s="59" t="s">
        <v>679</v>
      </c>
      <c r="E772" s="85">
        <v>40603.482094907406</v>
      </c>
      <c r="F772" s="85"/>
      <c r="G772" s="64" t="str">
        <f>IF(stdProdLT(Main[[#This Row],[Comments]])=0.1,"N/A",IF(stdProdLT(Main[[#This Row],[Comments]])=0,"",TRIM(stdProdLT(Main[[#This Row],[Comments]]))))</f>
        <v/>
      </c>
      <c r="H772" s="94" t="str">
        <f>IF(OR(Main[[#This Row],[Std. Prod. Lead Time]]="N/A",Main[[#This Row],[Std. Prod. Lead Time]]=""), "",IF(AND(Main[[#This Row],[In Stock Date]]&lt;&gt;"",Main[[#This Row],[Revised Due Date]]&lt;&gt;"",Main[[#This Row],[In Stock Date]]&lt;&gt;""),Main[[#This Row],[In Stock Date]]-Main[[#This Row],[Revised Due Date]],""))</f>
        <v/>
      </c>
      <c r="I772" s="101" t="s">
        <v>44</v>
      </c>
      <c r="J772" s="95" t="s">
        <v>28</v>
      </c>
      <c r="K772" s="95" t="s">
        <v>1920</v>
      </c>
      <c r="L772" s="85"/>
      <c r="M772" s="73" t="str">
        <f>IF(Main[[#This Row],[Tech Start Date]]&lt;1/1/1990,"",IF(Main[[#This Row],[Class]]="C",WORKDAY(Main[[#This Row],[Tech Start Date]],9),IF(Main[[#This Row],[Class]]="B", WORKDAY(Main[[#This Row],[Tech Start Date]],6),IF(Main[[#This Row],[Class]]="A",WORKDAY(Main[[#This Row],[Tech Start Date]],2),""))))</f>
        <v/>
      </c>
      <c r="N772" s="73" t="str">
        <f>IF(Main[[#This Row],[Tech Start Date]]&lt;1/1/1990,"",IF(Main[[#This Row],[Class]]="C",WORKDAY(Main[[#This Row],[Tech Start Date]],19),IF(Main[[#This Row],[Class]]="B", WORKDAY(Main[[#This Row],[Tech Start Date]],12),IF(Main[[#This Row],[Class]]="A",WORKDAY(Main[[#This Row],[Tech Start Date]],4),""))))</f>
        <v/>
      </c>
      <c r="O772" s="73" t="str">
        <f>IF(Main[[#This Row],[Tech Start Date]]&lt;1/1/1990,"",IF(Main[[#This Row],[Class]]="C",WORKDAY(Main[[#This Row],[Tech Start Date]],23),IF(Main[[#This Row],[Class]]="B", WORKDAY(Main[[#This Row],[Tech Start Date]],15),IF(Main[[#This Row],[Class]]="A",WORKDAY(Main[[#This Row],[Tech Start Date]],5),""))))</f>
        <v/>
      </c>
      <c r="P772" s="73" t="str">
        <f>IF(Main[[#This Row],[Tech Start Date]]&lt;1/1/1990,"",IF(Main[[#This Row],[Class]]="C",WORKDAY(Main[[#This Row],[Tech Start Date]],28),IF(Main[[#This Row],[Class]]="B", WORKDAY(Main[[#This Row],[Tech Start Date]],19),IF(Main[[#This Row],[Class]]="A",WORKDAY(Main[[#This Row],[Tech Start Date]],9),""))))</f>
        <v/>
      </c>
      <c r="Q772" s="85">
        <v>40637</v>
      </c>
      <c r="R772" s="112"/>
      <c r="S772" s="95" t="s">
        <v>6</v>
      </c>
      <c r="T772" s="74" t="s">
        <v>4</v>
      </c>
      <c r="U772" s="95" t="s">
        <v>7</v>
      </c>
      <c r="V772" s="95" t="s">
        <v>1911</v>
      </c>
      <c r="W772" s="95" t="s">
        <v>1913</v>
      </c>
      <c r="X772" s="95" t="s">
        <v>2802</v>
      </c>
      <c r="Y772" s="72" t="s">
        <v>2916</v>
      </c>
      <c r="Z772" s="72" t="s">
        <v>44</v>
      </c>
      <c r="AA772" s="95" t="s">
        <v>2802</v>
      </c>
      <c r="AB772" s="132"/>
      <c r="AC772" s="132"/>
      <c r="AD772" s="132"/>
      <c r="AE772" s="63"/>
      <c r="AF772" s="63"/>
      <c r="AG772" s="63"/>
    </row>
    <row r="773" spans="1:33" ht="17.2" customHeight="1">
      <c r="A773" s="64" t="str">
        <f>IF(priority(Main[[#This Row],[Comments]])&lt;&gt;0, priority(Main[[#This Row],[Comments]]),"")</f>
        <v/>
      </c>
      <c r="B773" s="60" t="s">
        <v>1606</v>
      </c>
      <c r="C773" s="72" t="s">
        <v>113</v>
      </c>
      <c r="D773" s="59" t="s">
        <v>680</v>
      </c>
      <c r="E773" s="85"/>
      <c r="F773" s="85">
        <v>40193</v>
      </c>
      <c r="G773" s="64" t="str">
        <f>IF(stdProdLT(Main[[#This Row],[Comments]])=0.1,"N/A",IF(stdProdLT(Main[[#This Row],[Comments]])=0,"",TRIM(stdProdLT(Main[[#This Row],[Comments]]))))</f>
        <v/>
      </c>
      <c r="H773" s="94" t="str">
        <f>IF(OR(Main[[#This Row],[Std. Prod. Lead Time]]="N/A",Main[[#This Row],[Std. Prod. Lead Time]]=""), "",IF(AND(Main[[#This Row],[In Stock Date]]&lt;&gt;"",Main[[#This Row],[Revised Due Date]]&lt;&gt;"",Main[[#This Row],[In Stock Date]]&lt;&gt;""),Main[[#This Row],[In Stock Date]]-Main[[#This Row],[Revised Due Date]],""))</f>
        <v/>
      </c>
      <c r="I773" s="101" t="s">
        <v>4</v>
      </c>
      <c r="J773" s="95" t="s">
        <v>4</v>
      </c>
      <c r="K773" s="95" t="s">
        <v>4</v>
      </c>
      <c r="L773" s="85"/>
      <c r="M773" s="73" t="str">
        <f>IF(Main[[#This Row],[Tech Start Date]]&lt;1/1/1990,"",IF(Main[[#This Row],[Class]]="C",WORKDAY(Main[[#This Row],[Tech Start Date]],9),IF(Main[[#This Row],[Class]]="B", WORKDAY(Main[[#This Row],[Tech Start Date]],6),IF(Main[[#This Row],[Class]]="A",WORKDAY(Main[[#This Row],[Tech Start Date]],2),""))))</f>
        <v/>
      </c>
      <c r="N773" s="73" t="str">
        <f>IF(Main[[#This Row],[Tech Start Date]]&lt;1/1/1990,"",IF(Main[[#This Row],[Class]]="C",WORKDAY(Main[[#This Row],[Tech Start Date]],19),IF(Main[[#This Row],[Class]]="B", WORKDAY(Main[[#This Row],[Tech Start Date]],12),IF(Main[[#This Row],[Class]]="A",WORKDAY(Main[[#This Row],[Tech Start Date]],4),""))))</f>
        <v/>
      </c>
      <c r="O773" s="73" t="str">
        <f>IF(Main[[#This Row],[Tech Start Date]]&lt;1/1/1990,"",IF(Main[[#This Row],[Class]]="C",WORKDAY(Main[[#This Row],[Tech Start Date]],23),IF(Main[[#This Row],[Class]]="B", WORKDAY(Main[[#This Row],[Tech Start Date]],15),IF(Main[[#This Row],[Class]]="A",WORKDAY(Main[[#This Row],[Tech Start Date]],5),""))))</f>
        <v/>
      </c>
      <c r="P773" s="73" t="str">
        <f>IF(Main[[#This Row],[Tech Start Date]]&lt;1/1/1990,"",IF(Main[[#This Row],[Class]]="C",WORKDAY(Main[[#This Row],[Tech Start Date]],28),IF(Main[[#This Row],[Class]]="B", WORKDAY(Main[[#This Row],[Tech Start Date]],19),IF(Main[[#This Row],[Class]]="A",WORKDAY(Main[[#This Row],[Tech Start Date]],9),""))))</f>
        <v/>
      </c>
      <c r="Q773" s="85">
        <v>40470</v>
      </c>
      <c r="R773" s="112"/>
      <c r="S773" s="95" t="s">
        <v>11</v>
      </c>
      <c r="T773" s="74" t="s">
        <v>4</v>
      </c>
      <c r="U773" s="95" t="s">
        <v>14</v>
      </c>
      <c r="V773" s="95" t="s">
        <v>1921</v>
      </c>
      <c r="W773" s="95" t="s">
        <v>1917</v>
      </c>
      <c r="X773" s="95" t="s">
        <v>2824</v>
      </c>
      <c r="Y773" s="72" t="s">
        <v>2955</v>
      </c>
      <c r="Z773" s="72" t="s">
        <v>4</v>
      </c>
      <c r="AA773" s="95" t="s">
        <v>2824</v>
      </c>
      <c r="AB773" s="132"/>
      <c r="AC773" s="132"/>
      <c r="AD773" s="132"/>
      <c r="AE773" s="63"/>
      <c r="AF773" s="63"/>
      <c r="AG773" s="63"/>
    </row>
    <row r="774" spans="1:33" ht="17.2" customHeight="1">
      <c r="A774" s="64" t="str">
        <f>IF(priority(Main[[#This Row],[Comments]])&lt;&gt;0, priority(Main[[#This Row],[Comments]]),"")</f>
        <v/>
      </c>
      <c r="B774" s="60" t="s">
        <v>1607</v>
      </c>
      <c r="C774" s="72" t="s">
        <v>4</v>
      </c>
      <c r="D774" s="59" t="s">
        <v>681</v>
      </c>
      <c r="E774" s="85"/>
      <c r="F774" s="85"/>
      <c r="G774" s="64" t="str">
        <f>IF(stdProdLT(Main[[#This Row],[Comments]])=0.1,"N/A",IF(stdProdLT(Main[[#This Row],[Comments]])=0,"",TRIM(stdProdLT(Main[[#This Row],[Comments]]))))</f>
        <v/>
      </c>
      <c r="H774" s="94" t="str">
        <f>IF(OR(Main[[#This Row],[Std. Prod. Lead Time]]="N/A",Main[[#This Row],[Std. Prod. Lead Time]]=""), "",IF(AND(Main[[#This Row],[In Stock Date]]&lt;&gt;"",Main[[#This Row],[Revised Due Date]]&lt;&gt;"",Main[[#This Row],[In Stock Date]]&lt;&gt;""),Main[[#This Row],[In Stock Date]]-Main[[#This Row],[Revised Due Date]],""))</f>
        <v/>
      </c>
      <c r="I774" s="101" t="s">
        <v>417</v>
      </c>
      <c r="J774" s="95" t="s">
        <v>4</v>
      </c>
      <c r="K774" s="95" t="s">
        <v>4</v>
      </c>
      <c r="L774" s="85"/>
      <c r="M774" s="73" t="str">
        <f>IF(Main[[#This Row],[Tech Start Date]]&lt;1/1/1990,"",IF(Main[[#This Row],[Class]]="C",WORKDAY(Main[[#This Row],[Tech Start Date]],9),IF(Main[[#This Row],[Class]]="B", WORKDAY(Main[[#This Row],[Tech Start Date]],6),IF(Main[[#This Row],[Class]]="A",WORKDAY(Main[[#This Row],[Tech Start Date]],2),""))))</f>
        <v/>
      </c>
      <c r="N774" s="73" t="str">
        <f>IF(Main[[#This Row],[Tech Start Date]]&lt;1/1/1990,"",IF(Main[[#This Row],[Class]]="C",WORKDAY(Main[[#This Row],[Tech Start Date]],19),IF(Main[[#This Row],[Class]]="B", WORKDAY(Main[[#This Row],[Tech Start Date]],12),IF(Main[[#This Row],[Class]]="A",WORKDAY(Main[[#This Row],[Tech Start Date]],4),""))))</f>
        <v/>
      </c>
      <c r="O774" s="73" t="str">
        <f>IF(Main[[#This Row],[Tech Start Date]]&lt;1/1/1990,"",IF(Main[[#This Row],[Class]]="C",WORKDAY(Main[[#This Row],[Tech Start Date]],23),IF(Main[[#This Row],[Class]]="B", WORKDAY(Main[[#This Row],[Tech Start Date]],15),IF(Main[[#This Row],[Class]]="A",WORKDAY(Main[[#This Row],[Tech Start Date]],5),""))))</f>
        <v/>
      </c>
      <c r="P774" s="73" t="str">
        <f>IF(Main[[#This Row],[Tech Start Date]]&lt;1/1/1990,"",IF(Main[[#This Row],[Class]]="C",WORKDAY(Main[[#This Row],[Tech Start Date]],28),IF(Main[[#This Row],[Class]]="B", WORKDAY(Main[[#This Row],[Tech Start Date]],19),IF(Main[[#This Row],[Class]]="A",WORKDAY(Main[[#This Row],[Tech Start Date]],9),""))))</f>
        <v/>
      </c>
      <c r="Q774" s="85"/>
      <c r="R774" s="112"/>
      <c r="S774" s="95" t="s">
        <v>23</v>
      </c>
      <c r="T774" s="74" t="s">
        <v>4</v>
      </c>
      <c r="U774" s="95" t="s">
        <v>14</v>
      </c>
      <c r="V774" s="95" t="s">
        <v>1914</v>
      </c>
      <c r="W774" s="95" t="s">
        <v>1915</v>
      </c>
      <c r="X774" s="95" t="s">
        <v>417</v>
      </c>
      <c r="Y774" s="72" t="s">
        <v>3066</v>
      </c>
      <c r="Z774" s="72" t="s">
        <v>30</v>
      </c>
      <c r="AA774" s="95" t="s">
        <v>3389</v>
      </c>
      <c r="AB774" s="132"/>
      <c r="AC774" s="132"/>
      <c r="AD774" s="132"/>
      <c r="AE774" s="63"/>
      <c r="AF774" s="63"/>
      <c r="AG774" s="63"/>
    </row>
    <row r="775" spans="1:33" ht="17.2" customHeight="1">
      <c r="A775" s="64" t="str">
        <f>IF(priority(Main[[#This Row],[Comments]])&lt;&gt;0, priority(Main[[#This Row],[Comments]]),"")</f>
        <v/>
      </c>
      <c r="B775" s="60" t="s">
        <v>1611</v>
      </c>
      <c r="C775" s="72" t="s">
        <v>685</v>
      </c>
      <c r="D775" s="59" t="s">
        <v>686</v>
      </c>
      <c r="E775" s="85"/>
      <c r="F775" s="85">
        <v>40527</v>
      </c>
      <c r="G775" s="64" t="str">
        <f>IF(stdProdLT(Main[[#This Row],[Comments]])=0.1,"N/A",IF(stdProdLT(Main[[#This Row],[Comments]])=0,"",TRIM(stdProdLT(Main[[#This Row],[Comments]]))))</f>
        <v/>
      </c>
      <c r="H775" s="94" t="str">
        <f>IF(OR(Main[[#This Row],[Std. Prod. Lead Time]]="N/A",Main[[#This Row],[Std. Prod. Lead Time]]=""), "",IF(AND(Main[[#This Row],[In Stock Date]]&lt;&gt;"",Main[[#This Row],[Revised Due Date]]&lt;&gt;"",Main[[#This Row],[In Stock Date]]&lt;&gt;""),Main[[#This Row],[In Stock Date]]-Main[[#This Row],[Revised Due Date]],""))</f>
        <v/>
      </c>
      <c r="I775" s="101" t="s">
        <v>4</v>
      </c>
      <c r="J775" s="95" t="s">
        <v>4</v>
      </c>
      <c r="K775" s="95" t="s">
        <v>4</v>
      </c>
      <c r="L775" s="85"/>
      <c r="M775" s="73" t="str">
        <f>IF(Main[[#This Row],[Tech Start Date]]&lt;1/1/1990,"",IF(Main[[#This Row],[Class]]="C",WORKDAY(Main[[#This Row],[Tech Start Date]],9),IF(Main[[#This Row],[Class]]="B", WORKDAY(Main[[#This Row],[Tech Start Date]],6),IF(Main[[#This Row],[Class]]="A",WORKDAY(Main[[#This Row],[Tech Start Date]],2),""))))</f>
        <v/>
      </c>
      <c r="N775" s="73" t="str">
        <f>IF(Main[[#This Row],[Tech Start Date]]&lt;1/1/1990,"",IF(Main[[#This Row],[Class]]="C",WORKDAY(Main[[#This Row],[Tech Start Date]],19),IF(Main[[#This Row],[Class]]="B", WORKDAY(Main[[#This Row],[Tech Start Date]],12),IF(Main[[#This Row],[Class]]="A",WORKDAY(Main[[#This Row],[Tech Start Date]],4),""))))</f>
        <v/>
      </c>
      <c r="O775" s="73" t="str">
        <f>IF(Main[[#This Row],[Tech Start Date]]&lt;1/1/1990,"",IF(Main[[#This Row],[Class]]="C",WORKDAY(Main[[#This Row],[Tech Start Date]],23),IF(Main[[#This Row],[Class]]="B", WORKDAY(Main[[#This Row],[Tech Start Date]],15),IF(Main[[#This Row],[Class]]="A",WORKDAY(Main[[#This Row],[Tech Start Date]],5),""))))</f>
        <v/>
      </c>
      <c r="P775" s="73" t="str">
        <f>IF(Main[[#This Row],[Tech Start Date]]&lt;1/1/1990,"",IF(Main[[#This Row],[Class]]="C",WORKDAY(Main[[#This Row],[Tech Start Date]],28),IF(Main[[#This Row],[Class]]="B", WORKDAY(Main[[#This Row],[Tech Start Date]],19),IF(Main[[#This Row],[Class]]="A",WORKDAY(Main[[#This Row],[Tech Start Date]],9),""))))</f>
        <v/>
      </c>
      <c r="Q775" s="85">
        <v>40480</v>
      </c>
      <c r="R775" s="112"/>
      <c r="S775" s="95" t="s">
        <v>11</v>
      </c>
      <c r="T775" s="74" t="s">
        <v>4</v>
      </c>
      <c r="U775" s="95" t="s">
        <v>14</v>
      </c>
      <c r="V775" s="95" t="s">
        <v>1912</v>
      </c>
      <c r="W775" s="95" t="s">
        <v>1917</v>
      </c>
      <c r="X775" s="95" t="s">
        <v>2859</v>
      </c>
      <c r="Y775" s="72" t="s">
        <v>3005</v>
      </c>
      <c r="Z775" s="72" t="s">
        <v>4</v>
      </c>
      <c r="AA775" s="95" t="s">
        <v>2859</v>
      </c>
      <c r="AB775" s="132"/>
      <c r="AC775" s="132"/>
      <c r="AD775" s="132"/>
      <c r="AE775" s="63"/>
      <c r="AF775" s="63"/>
      <c r="AG775" s="63"/>
    </row>
    <row r="776" spans="1:33" ht="17.2" customHeight="1">
      <c r="A776" s="64" t="str">
        <f>IF(priority(Main[[#This Row],[Comments]])&lt;&gt;0, priority(Main[[#This Row],[Comments]]),"")</f>
        <v/>
      </c>
      <c r="B776" s="60" t="s">
        <v>1612</v>
      </c>
      <c r="C776" s="72" t="s">
        <v>4</v>
      </c>
      <c r="D776" s="59" t="s">
        <v>687</v>
      </c>
      <c r="E776" s="85"/>
      <c r="F776" s="85"/>
      <c r="G776" s="64" t="str">
        <f>IF(stdProdLT(Main[[#This Row],[Comments]])=0.1,"N/A",IF(stdProdLT(Main[[#This Row],[Comments]])=0,"",TRIM(stdProdLT(Main[[#This Row],[Comments]]))))</f>
        <v/>
      </c>
      <c r="H776" s="94" t="str">
        <f>IF(OR(Main[[#This Row],[Std. Prod. Lead Time]]="N/A",Main[[#This Row],[Std. Prod. Lead Time]]=""), "",IF(AND(Main[[#This Row],[In Stock Date]]&lt;&gt;"",Main[[#This Row],[Revised Due Date]]&lt;&gt;"",Main[[#This Row],[In Stock Date]]&lt;&gt;""),Main[[#This Row],[In Stock Date]]-Main[[#This Row],[Revised Due Date]],""))</f>
        <v/>
      </c>
      <c r="I776" s="101" t="s">
        <v>4</v>
      </c>
      <c r="J776" s="95" t="s">
        <v>4</v>
      </c>
      <c r="K776" s="95" t="s">
        <v>4</v>
      </c>
      <c r="L776" s="85"/>
      <c r="M776" s="73" t="str">
        <f>IF(Main[[#This Row],[Tech Start Date]]&lt;1/1/1990,"",IF(Main[[#This Row],[Class]]="C",WORKDAY(Main[[#This Row],[Tech Start Date]],9),IF(Main[[#This Row],[Class]]="B", WORKDAY(Main[[#This Row],[Tech Start Date]],6),IF(Main[[#This Row],[Class]]="A",WORKDAY(Main[[#This Row],[Tech Start Date]],2),""))))</f>
        <v/>
      </c>
      <c r="N776" s="73" t="str">
        <f>IF(Main[[#This Row],[Tech Start Date]]&lt;1/1/1990,"",IF(Main[[#This Row],[Class]]="C",WORKDAY(Main[[#This Row],[Tech Start Date]],19),IF(Main[[#This Row],[Class]]="B", WORKDAY(Main[[#This Row],[Tech Start Date]],12),IF(Main[[#This Row],[Class]]="A",WORKDAY(Main[[#This Row],[Tech Start Date]],4),""))))</f>
        <v/>
      </c>
      <c r="O776" s="73" t="str">
        <f>IF(Main[[#This Row],[Tech Start Date]]&lt;1/1/1990,"",IF(Main[[#This Row],[Class]]="C",WORKDAY(Main[[#This Row],[Tech Start Date]],23),IF(Main[[#This Row],[Class]]="B", WORKDAY(Main[[#This Row],[Tech Start Date]],15),IF(Main[[#This Row],[Class]]="A",WORKDAY(Main[[#This Row],[Tech Start Date]],5),""))))</f>
        <v/>
      </c>
      <c r="P776" s="73" t="str">
        <f>IF(Main[[#This Row],[Tech Start Date]]&lt;1/1/1990,"",IF(Main[[#This Row],[Class]]="C",WORKDAY(Main[[#This Row],[Tech Start Date]],28),IF(Main[[#This Row],[Class]]="B", WORKDAY(Main[[#This Row],[Tech Start Date]],19),IF(Main[[#This Row],[Class]]="A",WORKDAY(Main[[#This Row],[Tech Start Date]],9),""))))</f>
        <v/>
      </c>
      <c r="Q776" s="85"/>
      <c r="R776" s="112"/>
      <c r="S776" s="95" t="s">
        <v>6</v>
      </c>
      <c r="T776" s="74" t="s">
        <v>4</v>
      </c>
      <c r="U776" s="95" t="s">
        <v>14</v>
      </c>
      <c r="V776" s="95" t="s">
        <v>1911</v>
      </c>
      <c r="W776" s="95" t="s">
        <v>1919</v>
      </c>
      <c r="X776" s="95" t="s">
        <v>2046</v>
      </c>
      <c r="Y776" s="72" t="s">
        <v>2980</v>
      </c>
      <c r="Z776" s="72" t="s">
        <v>4</v>
      </c>
      <c r="AA776" s="95" t="s">
        <v>2046</v>
      </c>
      <c r="AB776" s="132"/>
      <c r="AC776" s="132"/>
      <c r="AD776" s="132"/>
      <c r="AE776" s="63"/>
      <c r="AF776" s="63"/>
      <c r="AG776" s="63"/>
    </row>
    <row r="777" spans="1:33" ht="17.2" customHeight="1">
      <c r="A777" s="64" t="str">
        <f>IF(priority(Main[[#This Row],[Comments]])&lt;&gt;0, priority(Main[[#This Row],[Comments]]),"")</f>
        <v/>
      </c>
      <c r="B777" s="60" t="s">
        <v>2373</v>
      </c>
      <c r="C777" s="72" t="s">
        <v>4</v>
      </c>
      <c r="D777" s="59" t="s">
        <v>2374</v>
      </c>
      <c r="E777" s="85"/>
      <c r="F777" s="85"/>
      <c r="G777" s="64" t="str">
        <f>IF(stdProdLT(Main[[#This Row],[Comments]])=0.1,"N/A",IF(stdProdLT(Main[[#This Row],[Comments]])=0,"",TRIM(stdProdLT(Main[[#This Row],[Comments]]))))</f>
        <v/>
      </c>
      <c r="H777" s="94" t="str">
        <f>IF(OR(Main[[#This Row],[Std. Prod. Lead Time]]="N/A",Main[[#This Row],[Std. Prod. Lead Time]]=""), "",IF(AND(Main[[#This Row],[In Stock Date]]&lt;&gt;"",Main[[#This Row],[Revised Due Date]]&lt;&gt;"",Main[[#This Row],[In Stock Date]]&lt;&gt;""),Main[[#This Row],[In Stock Date]]-Main[[#This Row],[Revised Due Date]],""))</f>
        <v/>
      </c>
      <c r="I777" s="101" t="s">
        <v>4</v>
      </c>
      <c r="J777" s="95" t="s">
        <v>70</v>
      </c>
      <c r="K777" s="96" t="s">
        <v>4</v>
      </c>
      <c r="L777" s="85"/>
      <c r="M777" s="73" t="str">
        <f>IF(Main[[#This Row],[Tech Start Date]]&lt;1/1/1990,"",IF(Main[[#This Row],[Class]]="C",WORKDAY(Main[[#This Row],[Tech Start Date]],9),IF(Main[[#This Row],[Class]]="B", WORKDAY(Main[[#This Row],[Tech Start Date]],6),IF(Main[[#This Row],[Class]]="A",WORKDAY(Main[[#This Row],[Tech Start Date]],2),""))))</f>
        <v/>
      </c>
      <c r="N777" s="73" t="str">
        <f>IF(Main[[#This Row],[Tech Start Date]]&lt;1/1/1990,"",IF(Main[[#This Row],[Class]]="C",WORKDAY(Main[[#This Row],[Tech Start Date]],19),IF(Main[[#This Row],[Class]]="B", WORKDAY(Main[[#This Row],[Tech Start Date]],12),IF(Main[[#This Row],[Class]]="A",WORKDAY(Main[[#This Row],[Tech Start Date]],4),""))))</f>
        <v/>
      </c>
      <c r="O777" s="73" t="str">
        <f>IF(Main[[#This Row],[Tech Start Date]]&lt;1/1/1990,"",IF(Main[[#This Row],[Class]]="C",WORKDAY(Main[[#This Row],[Tech Start Date]],23),IF(Main[[#This Row],[Class]]="B", WORKDAY(Main[[#This Row],[Tech Start Date]],15),IF(Main[[#This Row],[Class]]="A",WORKDAY(Main[[#This Row],[Tech Start Date]],5),""))))</f>
        <v/>
      </c>
      <c r="P777" s="73" t="str">
        <f>IF(Main[[#This Row],[Tech Start Date]]&lt;1/1/1990,"",IF(Main[[#This Row],[Class]]="C",WORKDAY(Main[[#This Row],[Tech Start Date]],28),IF(Main[[#This Row],[Class]]="B", WORKDAY(Main[[#This Row],[Tech Start Date]],19),IF(Main[[#This Row],[Class]]="A",WORKDAY(Main[[#This Row],[Tech Start Date]],9),""))))</f>
        <v/>
      </c>
      <c r="Q777" s="85">
        <v>40877</v>
      </c>
      <c r="R777" s="112"/>
      <c r="S777" s="95" t="s">
        <v>6</v>
      </c>
      <c r="T777" s="74" t="s">
        <v>4</v>
      </c>
      <c r="U777" s="95" t="s">
        <v>14</v>
      </c>
      <c r="V777" s="95" t="s">
        <v>1914</v>
      </c>
      <c r="W777" s="95" t="s">
        <v>1915</v>
      </c>
      <c r="X777" s="95" t="s">
        <v>30</v>
      </c>
      <c r="Y777" s="72" t="s">
        <v>3068</v>
      </c>
      <c r="Z777" s="72" t="s">
        <v>30</v>
      </c>
      <c r="AA777" s="95" t="s">
        <v>74</v>
      </c>
      <c r="AB777" s="132"/>
      <c r="AC777" s="132"/>
      <c r="AD777" s="132"/>
      <c r="AE777" s="63"/>
      <c r="AF777" s="63"/>
      <c r="AG777" s="63"/>
    </row>
    <row r="778" spans="1:33" ht="17.2" customHeight="1">
      <c r="A778" s="64" t="str">
        <f>IF(priority(Main[[#This Row],[Comments]])&lt;&gt;0, priority(Main[[#This Row],[Comments]]),"")</f>
        <v/>
      </c>
      <c r="B778" s="60" t="s">
        <v>1613</v>
      </c>
      <c r="C778" s="72" t="s">
        <v>4</v>
      </c>
      <c r="D778" s="59" t="s">
        <v>688</v>
      </c>
      <c r="E778" s="85"/>
      <c r="F778" s="85"/>
      <c r="G778" s="64" t="str">
        <f>IF(stdProdLT(Main[[#This Row],[Comments]])=0.1,"N/A",IF(stdProdLT(Main[[#This Row],[Comments]])=0,"",TRIM(stdProdLT(Main[[#This Row],[Comments]]))))</f>
        <v/>
      </c>
      <c r="H778" s="94" t="str">
        <f>IF(OR(Main[[#This Row],[Std. Prod. Lead Time]]="N/A",Main[[#This Row],[Std. Prod. Lead Time]]=""), "",IF(AND(Main[[#This Row],[In Stock Date]]&lt;&gt;"",Main[[#This Row],[Revised Due Date]]&lt;&gt;"",Main[[#This Row],[In Stock Date]]&lt;&gt;""),Main[[#This Row],[In Stock Date]]-Main[[#This Row],[Revised Due Date]],""))</f>
        <v/>
      </c>
      <c r="I778" s="101" t="s">
        <v>4</v>
      </c>
      <c r="J778" s="95" t="s">
        <v>4</v>
      </c>
      <c r="K778" s="95" t="s">
        <v>4</v>
      </c>
      <c r="L778" s="85"/>
      <c r="M778" s="73" t="str">
        <f>IF(Main[[#This Row],[Tech Start Date]]&lt;1/1/1990,"",IF(Main[[#This Row],[Class]]="C",WORKDAY(Main[[#This Row],[Tech Start Date]],9),IF(Main[[#This Row],[Class]]="B", WORKDAY(Main[[#This Row],[Tech Start Date]],6),IF(Main[[#This Row],[Class]]="A",WORKDAY(Main[[#This Row],[Tech Start Date]],2),""))))</f>
        <v/>
      </c>
      <c r="N778" s="73" t="str">
        <f>IF(Main[[#This Row],[Tech Start Date]]&lt;1/1/1990,"",IF(Main[[#This Row],[Class]]="C",WORKDAY(Main[[#This Row],[Tech Start Date]],19),IF(Main[[#This Row],[Class]]="B", WORKDAY(Main[[#This Row],[Tech Start Date]],12),IF(Main[[#This Row],[Class]]="A",WORKDAY(Main[[#This Row],[Tech Start Date]],4),""))))</f>
        <v/>
      </c>
      <c r="O778" s="73" t="str">
        <f>IF(Main[[#This Row],[Tech Start Date]]&lt;1/1/1990,"",IF(Main[[#This Row],[Class]]="C",WORKDAY(Main[[#This Row],[Tech Start Date]],23),IF(Main[[#This Row],[Class]]="B", WORKDAY(Main[[#This Row],[Tech Start Date]],15),IF(Main[[#This Row],[Class]]="A",WORKDAY(Main[[#This Row],[Tech Start Date]],5),""))))</f>
        <v/>
      </c>
      <c r="P778" s="73" t="str">
        <f>IF(Main[[#This Row],[Tech Start Date]]&lt;1/1/1990,"",IF(Main[[#This Row],[Class]]="C",WORKDAY(Main[[#This Row],[Tech Start Date]],28),IF(Main[[#This Row],[Class]]="B", WORKDAY(Main[[#This Row],[Tech Start Date]],19),IF(Main[[#This Row],[Class]]="A",WORKDAY(Main[[#This Row],[Tech Start Date]],9),""))))</f>
        <v/>
      </c>
      <c r="Q778" s="85"/>
      <c r="R778" s="112"/>
      <c r="S778" s="95" t="s">
        <v>6</v>
      </c>
      <c r="T778" s="74" t="s">
        <v>4</v>
      </c>
      <c r="U778" s="95" t="s">
        <v>14</v>
      </c>
      <c r="V778" s="95" t="s">
        <v>1911</v>
      </c>
      <c r="W778" s="95" t="s">
        <v>4</v>
      </c>
      <c r="X778" s="95" t="s">
        <v>708</v>
      </c>
      <c r="Y778" s="72" t="s">
        <v>3048</v>
      </c>
      <c r="Z778" s="72" t="s">
        <v>4</v>
      </c>
      <c r="AA778" s="95" t="s">
        <v>708</v>
      </c>
      <c r="AB778" s="132"/>
      <c r="AC778" s="132"/>
      <c r="AD778" s="132"/>
      <c r="AE778" s="63"/>
      <c r="AF778" s="63"/>
      <c r="AG778" s="63"/>
    </row>
    <row r="779" spans="1:33" ht="17.2" customHeight="1">
      <c r="A779" s="64" t="str">
        <f>IF(priority(Main[[#This Row],[Comments]])&lt;&gt;0, priority(Main[[#This Row],[Comments]]),"")</f>
        <v/>
      </c>
      <c r="B779" s="60" t="s">
        <v>1614</v>
      </c>
      <c r="C779" s="72" t="s">
        <v>689</v>
      </c>
      <c r="D779" s="59" t="s">
        <v>690</v>
      </c>
      <c r="E779" s="85"/>
      <c r="F779" s="85">
        <v>40664</v>
      </c>
      <c r="G779" s="64" t="str">
        <f>IF(stdProdLT(Main[[#This Row],[Comments]])=0.1,"N/A",IF(stdProdLT(Main[[#This Row],[Comments]])=0,"",TRIM(stdProdLT(Main[[#This Row],[Comments]]))))</f>
        <v/>
      </c>
      <c r="H779" s="94" t="str">
        <f>IF(OR(Main[[#This Row],[Std. Prod. Lead Time]]="N/A",Main[[#This Row],[Std. Prod. Lead Time]]=""), "",IF(AND(Main[[#This Row],[In Stock Date]]&lt;&gt;"",Main[[#This Row],[Revised Due Date]]&lt;&gt;"",Main[[#This Row],[In Stock Date]]&lt;&gt;""),Main[[#This Row],[In Stock Date]]-Main[[#This Row],[Revised Due Date]],""))</f>
        <v/>
      </c>
      <c r="I779" s="101" t="s">
        <v>4</v>
      </c>
      <c r="J779" s="95" t="s">
        <v>4</v>
      </c>
      <c r="K779" s="95" t="s">
        <v>4</v>
      </c>
      <c r="L779" s="85"/>
      <c r="M779" s="73" t="str">
        <f>IF(Main[[#This Row],[Tech Start Date]]&lt;1/1/1990,"",IF(Main[[#This Row],[Class]]="C",WORKDAY(Main[[#This Row],[Tech Start Date]],9),IF(Main[[#This Row],[Class]]="B", WORKDAY(Main[[#This Row],[Tech Start Date]],6),IF(Main[[#This Row],[Class]]="A",WORKDAY(Main[[#This Row],[Tech Start Date]],2),""))))</f>
        <v/>
      </c>
      <c r="N779" s="73" t="str">
        <f>IF(Main[[#This Row],[Tech Start Date]]&lt;1/1/1990,"",IF(Main[[#This Row],[Class]]="C",WORKDAY(Main[[#This Row],[Tech Start Date]],19),IF(Main[[#This Row],[Class]]="B", WORKDAY(Main[[#This Row],[Tech Start Date]],12),IF(Main[[#This Row],[Class]]="A",WORKDAY(Main[[#This Row],[Tech Start Date]],4),""))))</f>
        <v/>
      </c>
      <c r="O779" s="73" t="str">
        <f>IF(Main[[#This Row],[Tech Start Date]]&lt;1/1/1990,"",IF(Main[[#This Row],[Class]]="C",WORKDAY(Main[[#This Row],[Tech Start Date]],23),IF(Main[[#This Row],[Class]]="B", WORKDAY(Main[[#This Row],[Tech Start Date]],15),IF(Main[[#This Row],[Class]]="A",WORKDAY(Main[[#This Row],[Tech Start Date]],5),""))))</f>
        <v/>
      </c>
      <c r="P779" s="73" t="str">
        <f>IF(Main[[#This Row],[Tech Start Date]]&lt;1/1/1990,"",IF(Main[[#This Row],[Class]]="C",WORKDAY(Main[[#This Row],[Tech Start Date]],28),IF(Main[[#This Row],[Class]]="B", WORKDAY(Main[[#This Row],[Tech Start Date]],19),IF(Main[[#This Row],[Class]]="A",WORKDAY(Main[[#This Row],[Tech Start Date]],9),""))))</f>
        <v/>
      </c>
      <c r="Q779" s="85">
        <v>40557</v>
      </c>
      <c r="R779" s="112"/>
      <c r="S779" s="95" t="s">
        <v>11</v>
      </c>
      <c r="T779" s="74" t="s">
        <v>4</v>
      </c>
      <c r="U779" s="95" t="s">
        <v>14</v>
      </c>
      <c r="V779" s="95" t="s">
        <v>1911</v>
      </c>
      <c r="W779" s="95" t="s">
        <v>1919</v>
      </c>
      <c r="X779" s="95" t="s">
        <v>2808</v>
      </c>
      <c r="Y779" s="72" t="s">
        <v>3069</v>
      </c>
      <c r="Z779" s="72" t="s">
        <v>4</v>
      </c>
      <c r="AA779" s="95" t="s">
        <v>2808</v>
      </c>
      <c r="AB779" s="132"/>
      <c r="AC779" s="132"/>
      <c r="AD779" s="132"/>
      <c r="AE779" s="63"/>
      <c r="AF779" s="63"/>
      <c r="AG779" s="63"/>
    </row>
    <row r="780" spans="1:33" ht="17.2" customHeight="1">
      <c r="A780" s="64" t="str">
        <f>IF(priority(Main[[#This Row],[Comments]])&lt;&gt;0, priority(Main[[#This Row],[Comments]]),"")</f>
        <v/>
      </c>
      <c r="B780" s="60" t="s">
        <v>3879</v>
      </c>
      <c r="C780" s="72" t="s">
        <v>4</v>
      </c>
      <c r="D780" s="59" t="s">
        <v>3880</v>
      </c>
      <c r="E780" s="85">
        <v>40975.112534722219</v>
      </c>
      <c r="F780" s="85"/>
      <c r="G780" s="64" t="str">
        <f>IF(stdProdLT(Main[[#This Row],[Comments]])=0.1,"N/A",IF(stdProdLT(Main[[#This Row],[Comments]])=0,"",TRIM(stdProdLT(Main[[#This Row],[Comments]]))))</f>
        <v/>
      </c>
      <c r="H780" s="94" t="str">
        <f>IF(OR(Main[[#This Row],[Std. Prod. Lead Time]]="N/A",Main[[#This Row],[Std. Prod. Lead Time]]=""), "",IF(AND(Main[[#This Row],[In Stock Date]]&lt;&gt;"",Main[[#This Row],[Revised Due Date]]&lt;&gt;"",Main[[#This Row],[In Stock Date]]&lt;&gt;""),Main[[#This Row],[In Stock Date]]-Main[[#This Row],[Revised Due Date]],""))</f>
        <v/>
      </c>
      <c r="I780" s="101" t="s">
        <v>4</v>
      </c>
      <c r="J780" s="95" t="s">
        <v>4</v>
      </c>
      <c r="K780" s="95" t="s">
        <v>4</v>
      </c>
      <c r="L780" s="85"/>
      <c r="M780" s="73" t="str">
        <f>IF(Main[[#This Row],[Tech Start Date]]&lt;1/1/1990,"",IF(Main[[#This Row],[Class]]="C",WORKDAY(Main[[#This Row],[Tech Start Date]],9),IF(Main[[#This Row],[Class]]="B", WORKDAY(Main[[#This Row],[Tech Start Date]],6),IF(Main[[#This Row],[Class]]="A",WORKDAY(Main[[#This Row],[Tech Start Date]],2),""))))</f>
        <v/>
      </c>
      <c r="N780" s="73" t="str">
        <f>IF(Main[[#This Row],[Tech Start Date]]&lt;1/1/1990,"",IF(Main[[#This Row],[Class]]="C",WORKDAY(Main[[#This Row],[Tech Start Date]],19),IF(Main[[#This Row],[Class]]="B", WORKDAY(Main[[#This Row],[Tech Start Date]],12),IF(Main[[#This Row],[Class]]="A",WORKDAY(Main[[#This Row],[Tech Start Date]],4),""))))</f>
        <v/>
      </c>
      <c r="O780" s="73" t="str">
        <f>IF(Main[[#This Row],[Tech Start Date]]&lt;1/1/1990,"",IF(Main[[#This Row],[Class]]="C",WORKDAY(Main[[#This Row],[Tech Start Date]],23),IF(Main[[#This Row],[Class]]="B", WORKDAY(Main[[#This Row],[Tech Start Date]],15),IF(Main[[#This Row],[Class]]="A",WORKDAY(Main[[#This Row],[Tech Start Date]],5),""))))</f>
        <v/>
      </c>
      <c r="P780" s="73" t="str">
        <f>IF(Main[[#This Row],[Tech Start Date]]&lt;1/1/1990,"",IF(Main[[#This Row],[Class]]="C",WORKDAY(Main[[#This Row],[Tech Start Date]],28),IF(Main[[#This Row],[Class]]="B", WORKDAY(Main[[#This Row],[Tech Start Date]],19),IF(Main[[#This Row],[Class]]="A",WORKDAY(Main[[#This Row],[Tech Start Date]],9),""))))</f>
        <v/>
      </c>
      <c r="Q780" s="85">
        <v>41008</v>
      </c>
      <c r="R780" s="112"/>
      <c r="S780" s="95" t="s">
        <v>6</v>
      </c>
      <c r="T780" s="74" t="s">
        <v>4</v>
      </c>
      <c r="U780" s="95" t="s">
        <v>7</v>
      </c>
      <c r="V780" s="95" t="s">
        <v>1914</v>
      </c>
      <c r="W780" s="95" t="s">
        <v>4</v>
      </c>
      <c r="X780" s="95" t="s">
        <v>2802</v>
      </c>
      <c r="Y780" s="72" t="s">
        <v>2916</v>
      </c>
      <c r="Z780" s="72" t="s">
        <v>4</v>
      </c>
      <c r="AA780" s="95" t="s">
        <v>2802</v>
      </c>
      <c r="AB780" s="132"/>
      <c r="AC780" s="132"/>
      <c r="AD780" s="132"/>
      <c r="AE780" s="63"/>
      <c r="AF780" s="63"/>
      <c r="AG780" s="63"/>
    </row>
    <row r="781" spans="1:33" ht="17.2" customHeight="1">
      <c r="A781" s="64" t="str">
        <f>IF(priority(Main[[#This Row],[Comments]])&lt;&gt;0, priority(Main[[#This Row],[Comments]]),"")</f>
        <v/>
      </c>
      <c r="B781" s="60" t="s">
        <v>1615</v>
      </c>
      <c r="C781" s="72" t="s">
        <v>4</v>
      </c>
      <c r="D781" s="59" t="s">
        <v>691</v>
      </c>
      <c r="E781" s="85"/>
      <c r="F781" s="85"/>
      <c r="G781" s="64" t="str">
        <f>IF(stdProdLT(Main[[#This Row],[Comments]])=0.1,"N/A",IF(stdProdLT(Main[[#This Row],[Comments]])=0,"",TRIM(stdProdLT(Main[[#This Row],[Comments]]))))</f>
        <v/>
      </c>
      <c r="H781" s="94" t="str">
        <f>IF(OR(Main[[#This Row],[Std. Prod. Lead Time]]="N/A",Main[[#This Row],[Std. Prod. Lead Time]]=""), "",IF(AND(Main[[#This Row],[In Stock Date]]&lt;&gt;"",Main[[#This Row],[Revised Due Date]]&lt;&gt;"",Main[[#This Row],[In Stock Date]]&lt;&gt;""),Main[[#This Row],[In Stock Date]]-Main[[#This Row],[Revised Due Date]],""))</f>
        <v/>
      </c>
      <c r="I781" s="101" t="s">
        <v>4</v>
      </c>
      <c r="J781" s="95" t="s">
        <v>4</v>
      </c>
      <c r="K781" s="95" t="s">
        <v>4</v>
      </c>
      <c r="L781" s="85"/>
      <c r="M781" s="73" t="str">
        <f>IF(Main[[#This Row],[Tech Start Date]]&lt;1/1/1990,"",IF(Main[[#This Row],[Class]]="C",WORKDAY(Main[[#This Row],[Tech Start Date]],9),IF(Main[[#This Row],[Class]]="B", WORKDAY(Main[[#This Row],[Tech Start Date]],6),IF(Main[[#This Row],[Class]]="A",WORKDAY(Main[[#This Row],[Tech Start Date]],2),""))))</f>
        <v/>
      </c>
      <c r="N781" s="73" t="str">
        <f>IF(Main[[#This Row],[Tech Start Date]]&lt;1/1/1990,"",IF(Main[[#This Row],[Class]]="C",WORKDAY(Main[[#This Row],[Tech Start Date]],19),IF(Main[[#This Row],[Class]]="B", WORKDAY(Main[[#This Row],[Tech Start Date]],12),IF(Main[[#This Row],[Class]]="A",WORKDAY(Main[[#This Row],[Tech Start Date]],4),""))))</f>
        <v/>
      </c>
      <c r="O781" s="73" t="str">
        <f>IF(Main[[#This Row],[Tech Start Date]]&lt;1/1/1990,"",IF(Main[[#This Row],[Class]]="C",WORKDAY(Main[[#This Row],[Tech Start Date]],23),IF(Main[[#This Row],[Class]]="B", WORKDAY(Main[[#This Row],[Tech Start Date]],15),IF(Main[[#This Row],[Class]]="A",WORKDAY(Main[[#This Row],[Tech Start Date]],5),""))))</f>
        <v/>
      </c>
      <c r="P781" s="73" t="str">
        <f>IF(Main[[#This Row],[Tech Start Date]]&lt;1/1/1990,"",IF(Main[[#This Row],[Class]]="C",WORKDAY(Main[[#This Row],[Tech Start Date]],28),IF(Main[[#This Row],[Class]]="B", WORKDAY(Main[[#This Row],[Tech Start Date]],19),IF(Main[[#This Row],[Class]]="A",WORKDAY(Main[[#This Row],[Tech Start Date]],9),""))))</f>
        <v/>
      </c>
      <c r="Q781" s="85"/>
      <c r="R781" s="112"/>
      <c r="S781" s="95" t="s">
        <v>11</v>
      </c>
      <c r="T781" s="74" t="s">
        <v>4</v>
      </c>
      <c r="U781" s="95" t="s">
        <v>14</v>
      </c>
      <c r="V781" s="95" t="s">
        <v>1911</v>
      </c>
      <c r="W781" s="95" t="s">
        <v>4</v>
      </c>
      <c r="X781" s="95" t="s">
        <v>708</v>
      </c>
      <c r="Y781" s="72" t="s">
        <v>3000</v>
      </c>
      <c r="Z781" s="72" t="s">
        <v>4</v>
      </c>
      <c r="AA781" s="95" t="s">
        <v>3362</v>
      </c>
      <c r="AB781" s="132"/>
      <c r="AC781" s="132"/>
      <c r="AD781" s="132"/>
      <c r="AE781" s="63"/>
      <c r="AF781" s="63"/>
      <c r="AG781" s="63"/>
    </row>
    <row r="782" spans="1:33" ht="17.2" customHeight="1">
      <c r="A782" s="64" t="str">
        <f>IF(priority(Main[[#This Row],[Comments]])&lt;&gt;0, priority(Main[[#This Row],[Comments]]),"")</f>
        <v/>
      </c>
      <c r="B782" s="60" t="s">
        <v>1803</v>
      </c>
      <c r="C782" s="72" t="s">
        <v>4</v>
      </c>
      <c r="D782" s="59" t="s">
        <v>836</v>
      </c>
      <c r="E782" s="85">
        <v>40430.597812499997</v>
      </c>
      <c r="F782" s="85">
        <v>40574</v>
      </c>
      <c r="G782" s="64" t="str">
        <f>IF(stdProdLT(Main[[#This Row],[Comments]])=0.1,"N/A",IF(stdProdLT(Main[[#This Row],[Comments]])=0,"",TRIM(stdProdLT(Main[[#This Row],[Comments]]))))</f>
        <v/>
      </c>
      <c r="H782" s="94" t="str">
        <f>IF(OR(Main[[#This Row],[Std. Prod. Lead Time]]="N/A",Main[[#This Row],[Std. Prod. Lead Time]]=""), "",IF(AND(Main[[#This Row],[In Stock Date]]&lt;&gt;"",Main[[#This Row],[Revised Due Date]]&lt;&gt;"",Main[[#This Row],[In Stock Date]]&lt;&gt;""),Main[[#This Row],[In Stock Date]]-Main[[#This Row],[Revised Due Date]],""))</f>
        <v/>
      </c>
      <c r="I782" s="101" t="s">
        <v>81</v>
      </c>
      <c r="J782" s="95" t="s">
        <v>52</v>
      </c>
      <c r="K782" s="95" t="s">
        <v>1923</v>
      </c>
      <c r="L782" s="85"/>
      <c r="M782" s="73" t="str">
        <f>IF(Main[[#This Row],[Tech Start Date]]&lt;1/1/1990,"",IF(Main[[#This Row],[Class]]="C",WORKDAY(Main[[#This Row],[Tech Start Date]],9),IF(Main[[#This Row],[Class]]="B", WORKDAY(Main[[#This Row],[Tech Start Date]],6),IF(Main[[#This Row],[Class]]="A",WORKDAY(Main[[#This Row],[Tech Start Date]],2),""))))</f>
        <v/>
      </c>
      <c r="N782" s="73" t="str">
        <f>IF(Main[[#This Row],[Tech Start Date]]&lt;1/1/1990,"",IF(Main[[#This Row],[Class]]="C",WORKDAY(Main[[#This Row],[Tech Start Date]],19),IF(Main[[#This Row],[Class]]="B", WORKDAY(Main[[#This Row],[Tech Start Date]],12),IF(Main[[#This Row],[Class]]="A",WORKDAY(Main[[#This Row],[Tech Start Date]],4),""))))</f>
        <v/>
      </c>
      <c r="O782" s="73" t="str">
        <f>IF(Main[[#This Row],[Tech Start Date]]&lt;1/1/1990,"",IF(Main[[#This Row],[Class]]="C",WORKDAY(Main[[#This Row],[Tech Start Date]],23),IF(Main[[#This Row],[Class]]="B", WORKDAY(Main[[#This Row],[Tech Start Date]],15),IF(Main[[#This Row],[Class]]="A",WORKDAY(Main[[#This Row],[Tech Start Date]],5),""))))</f>
        <v/>
      </c>
      <c r="P782" s="73" t="str">
        <f>IF(Main[[#This Row],[Tech Start Date]]&lt;1/1/1990,"",IF(Main[[#This Row],[Class]]="C",WORKDAY(Main[[#This Row],[Tech Start Date]],28),IF(Main[[#This Row],[Class]]="B", WORKDAY(Main[[#This Row],[Tech Start Date]],19),IF(Main[[#This Row],[Class]]="A",WORKDAY(Main[[#This Row],[Tech Start Date]],9),""))))</f>
        <v/>
      </c>
      <c r="Q782" s="85">
        <v>40190</v>
      </c>
      <c r="R782" s="112">
        <v>40190</v>
      </c>
      <c r="S782" s="95" t="s">
        <v>17</v>
      </c>
      <c r="T782" s="74" t="s">
        <v>4</v>
      </c>
      <c r="U782" s="95" t="s">
        <v>29</v>
      </c>
      <c r="V782" s="95" t="s">
        <v>1914</v>
      </c>
      <c r="W782" s="95" t="s">
        <v>1916</v>
      </c>
      <c r="X782" s="95" t="s">
        <v>50</v>
      </c>
      <c r="Y782" s="72" t="s">
        <v>2963</v>
      </c>
      <c r="Z782" s="72" t="s">
        <v>81</v>
      </c>
      <c r="AA782" s="95" t="s">
        <v>65</v>
      </c>
      <c r="AB782" s="132"/>
      <c r="AC782" s="132"/>
      <c r="AD782" s="132"/>
      <c r="AE782" s="63"/>
      <c r="AF782" s="63"/>
      <c r="AG782" s="63"/>
    </row>
    <row r="783" spans="1:33" ht="17.2" customHeight="1">
      <c r="A783" s="64" t="str">
        <f>IF(priority(Main[[#This Row],[Comments]])&lt;&gt;0, priority(Main[[#This Row],[Comments]]),"")</f>
        <v/>
      </c>
      <c r="B783" s="60" t="s">
        <v>2097</v>
      </c>
      <c r="C783" s="72" t="s">
        <v>2082</v>
      </c>
      <c r="D783" s="59" t="s">
        <v>2083</v>
      </c>
      <c r="E783" s="85"/>
      <c r="F783" s="85">
        <v>40831</v>
      </c>
      <c r="G783" s="64" t="str">
        <f>IF(stdProdLT(Main[[#This Row],[Comments]])=0.1,"N/A",IF(stdProdLT(Main[[#This Row],[Comments]])=0,"",TRIM(stdProdLT(Main[[#This Row],[Comments]]))))</f>
        <v/>
      </c>
      <c r="H783" s="94" t="str">
        <f>IF(OR(Main[[#This Row],[Std. Prod. Lead Time]]="N/A",Main[[#This Row],[Std. Prod. Lead Time]]=""), "",IF(AND(Main[[#This Row],[In Stock Date]]&lt;&gt;"",Main[[#This Row],[Revised Due Date]]&lt;&gt;"",Main[[#This Row],[In Stock Date]]&lt;&gt;""),Main[[#This Row],[In Stock Date]]-Main[[#This Row],[Revised Due Date]],""))</f>
        <v/>
      </c>
      <c r="I783" s="101" t="s">
        <v>4</v>
      </c>
      <c r="J783" s="95" t="s">
        <v>4</v>
      </c>
      <c r="K783" s="95" t="s">
        <v>4</v>
      </c>
      <c r="L783" s="85"/>
      <c r="M783" s="73" t="str">
        <f>IF(Main[[#This Row],[Tech Start Date]]&lt;1/1/1990,"",IF(Main[[#This Row],[Class]]="C",WORKDAY(Main[[#This Row],[Tech Start Date]],9),IF(Main[[#This Row],[Class]]="B", WORKDAY(Main[[#This Row],[Tech Start Date]],6),IF(Main[[#This Row],[Class]]="A",WORKDAY(Main[[#This Row],[Tech Start Date]],2),""))))</f>
        <v/>
      </c>
      <c r="N783" s="73" t="str">
        <f>IF(Main[[#This Row],[Tech Start Date]]&lt;1/1/1990,"",IF(Main[[#This Row],[Class]]="C",WORKDAY(Main[[#This Row],[Tech Start Date]],19),IF(Main[[#This Row],[Class]]="B", WORKDAY(Main[[#This Row],[Tech Start Date]],12),IF(Main[[#This Row],[Class]]="A",WORKDAY(Main[[#This Row],[Tech Start Date]],4),""))))</f>
        <v/>
      </c>
      <c r="O783" s="73" t="str">
        <f>IF(Main[[#This Row],[Tech Start Date]]&lt;1/1/1990,"",IF(Main[[#This Row],[Class]]="C",WORKDAY(Main[[#This Row],[Tech Start Date]],23),IF(Main[[#This Row],[Class]]="B", WORKDAY(Main[[#This Row],[Tech Start Date]],15),IF(Main[[#This Row],[Class]]="A",WORKDAY(Main[[#This Row],[Tech Start Date]],5),""))))</f>
        <v/>
      </c>
      <c r="P783" s="73" t="str">
        <f>IF(Main[[#This Row],[Tech Start Date]]&lt;1/1/1990,"",IF(Main[[#This Row],[Class]]="C",WORKDAY(Main[[#This Row],[Tech Start Date]],28),IF(Main[[#This Row],[Class]]="B", WORKDAY(Main[[#This Row],[Tech Start Date]],19),IF(Main[[#This Row],[Class]]="A",WORKDAY(Main[[#This Row],[Tech Start Date]],9),""))))</f>
        <v/>
      </c>
      <c r="Q783" s="85">
        <v>40786</v>
      </c>
      <c r="R783" s="112"/>
      <c r="S783" s="95" t="s">
        <v>11</v>
      </c>
      <c r="T783" s="74" t="s">
        <v>4</v>
      </c>
      <c r="U783" s="95" t="s">
        <v>12</v>
      </c>
      <c r="V783" s="95" t="s">
        <v>1914</v>
      </c>
      <c r="W783" s="95" t="s">
        <v>1919</v>
      </c>
      <c r="X783" s="95" t="s">
        <v>2811</v>
      </c>
      <c r="Y783" s="72" t="s">
        <v>2932</v>
      </c>
      <c r="Z783" s="72" t="s">
        <v>4</v>
      </c>
      <c r="AA783" s="95" t="s">
        <v>2811</v>
      </c>
      <c r="AB783" s="132"/>
      <c r="AC783" s="132"/>
      <c r="AD783" s="132"/>
      <c r="AE783" s="63"/>
      <c r="AF783" s="63"/>
      <c r="AG783" s="63"/>
    </row>
    <row r="784" spans="1:33" ht="17.2" customHeight="1">
      <c r="A784" s="64" t="str">
        <f>IF(priority(Main[[#This Row],[Comments]])&lt;&gt;0, priority(Main[[#This Row],[Comments]]),"")</f>
        <v/>
      </c>
      <c r="B784" s="60" t="s">
        <v>2075</v>
      </c>
      <c r="C784" s="72" t="s">
        <v>4</v>
      </c>
      <c r="D784" s="59" t="s">
        <v>2076</v>
      </c>
      <c r="E784" s="85"/>
      <c r="F784" s="85"/>
      <c r="G784" s="64" t="str">
        <f>IF(stdProdLT(Main[[#This Row],[Comments]])=0.1,"N/A",IF(stdProdLT(Main[[#This Row],[Comments]])=0,"",TRIM(stdProdLT(Main[[#This Row],[Comments]]))))</f>
        <v/>
      </c>
      <c r="H784" s="94" t="str">
        <f>IF(OR(Main[[#This Row],[Std. Prod. Lead Time]]="N/A",Main[[#This Row],[Std. Prod. Lead Time]]=""), "",IF(AND(Main[[#This Row],[In Stock Date]]&lt;&gt;"",Main[[#This Row],[Revised Due Date]]&lt;&gt;"",Main[[#This Row],[In Stock Date]]&lt;&gt;""),Main[[#This Row],[In Stock Date]]-Main[[#This Row],[Revised Due Date]],""))</f>
        <v/>
      </c>
      <c r="I784" s="101" t="s">
        <v>530</v>
      </c>
      <c r="J784" s="95" t="s">
        <v>28</v>
      </c>
      <c r="K784" s="95" t="s">
        <v>1920</v>
      </c>
      <c r="L784" s="85"/>
      <c r="M784" s="73" t="str">
        <f>IF(Main[[#This Row],[Tech Start Date]]&lt;1/1/1990,"",IF(Main[[#This Row],[Class]]="C",WORKDAY(Main[[#This Row],[Tech Start Date]],9),IF(Main[[#This Row],[Class]]="B", WORKDAY(Main[[#This Row],[Tech Start Date]],6),IF(Main[[#This Row],[Class]]="A",WORKDAY(Main[[#This Row],[Tech Start Date]],2),""))))</f>
        <v/>
      </c>
      <c r="N784" s="73" t="str">
        <f>IF(Main[[#This Row],[Tech Start Date]]&lt;1/1/1990,"",IF(Main[[#This Row],[Class]]="C",WORKDAY(Main[[#This Row],[Tech Start Date]],19),IF(Main[[#This Row],[Class]]="B", WORKDAY(Main[[#This Row],[Tech Start Date]],12),IF(Main[[#This Row],[Class]]="A",WORKDAY(Main[[#This Row],[Tech Start Date]],4),""))))</f>
        <v/>
      </c>
      <c r="O784" s="73" t="str">
        <f>IF(Main[[#This Row],[Tech Start Date]]&lt;1/1/1990,"",IF(Main[[#This Row],[Class]]="C",WORKDAY(Main[[#This Row],[Tech Start Date]],23),IF(Main[[#This Row],[Class]]="B", WORKDAY(Main[[#This Row],[Tech Start Date]],15),IF(Main[[#This Row],[Class]]="A",WORKDAY(Main[[#This Row],[Tech Start Date]],5),""))))</f>
        <v/>
      </c>
      <c r="P784" s="73" t="str">
        <f>IF(Main[[#This Row],[Tech Start Date]]&lt;1/1/1990,"",IF(Main[[#This Row],[Class]]="C",WORKDAY(Main[[#This Row],[Tech Start Date]],28),IF(Main[[#This Row],[Class]]="B", WORKDAY(Main[[#This Row],[Tech Start Date]],19),IF(Main[[#This Row],[Class]]="A",WORKDAY(Main[[#This Row],[Tech Start Date]],9),""))))</f>
        <v/>
      </c>
      <c r="Q784" s="85"/>
      <c r="R784" s="112"/>
      <c r="S784" s="95" t="s">
        <v>6</v>
      </c>
      <c r="T784" s="74" t="s">
        <v>4</v>
      </c>
      <c r="U784" s="95" t="s">
        <v>14</v>
      </c>
      <c r="V784" s="95" t="s">
        <v>1914</v>
      </c>
      <c r="W784" s="95" t="s">
        <v>1915</v>
      </c>
      <c r="X784" s="95" t="s">
        <v>2846</v>
      </c>
      <c r="Y784" s="72" t="s">
        <v>2978</v>
      </c>
      <c r="Z784" s="72" t="s">
        <v>44</v>
      </c>
      <c r="AA784" s="95" t="s">
        <v>2846</v>
      </c>
      <c r="AB784" s="132"/>
      <c r="AC784" s="132"/>
      <c r="AD784" s="132"/>
      <c r="AE784" s="63"/>
      <c r="AF784" s="63"/>
      <c r="AG784" s="63"/>
    </row>
    <row r="785" spans="1:33" ht="17.2" customHeight="1">
      <c r="A785" s="64" t="str">
        <f>IF(priority(Main[[#This Row],[Comments]])&lt;&gt;0, priority(Main[[#This Row],[Comments]]),"")</f>
        <v/>
      </c>
      <c r="B785" s="60" t="s">
        <v>1397</v>
      </c>
      <c r="C785" s="72" t="s">
        <v>4</v>
      </c>
      <c r="D785" s="59" t="s">
        <v>481</v>
      </c>
      <c r="E785" s="85">
        <v>40485.329618055555</v>
      </c>
      <c r="F785" s="85"/>
      <c r="G785" s="64" t="str">
        <f>IF(stdProdLT(Main[[#This Row],[Comments]])=0.1,"N/A",IF(stdProdLT(Main[[#This Row],[Comments]])=0,"",TRIM(stdProdLT(Main[[#This Row],[Comments]]))))</f>
        <v/>
      </c>
      <c r="H785" s="94" t="str">
        <f>IF(OR(Main[[#This Row],[Std. Prod. Lead Time]]="N/A",Main[[#This Row],[Std. Prod. Lead Time]]=""), "",IF(AND(Main[[#This Row],[In Stock Date]]&lt;&gt;"",Main[[#This Row],[Revised Due Date]]&lt;&gt;"",Main[[#This Row],[In Stock Date]]&lt;&gt;""),Main[[#This Row],[In Stock Date]]-Main[[#This Row],[Revised Due Date]],""))</f>
        <v/>
      </c>
      <c r="I785" s="101" t="s">
        <v>4</v>
      </c>
      <c r="J785" s="95" t="s">
        <v>28</v>
      </c>
      <c r="K785" s="95" t="s">
        <v>1923</v>
      </c>
      <c r="L785" s="85"/>
      <c r="M785" s="73" t="str">
        <f>IF(Main[[#This Row],[Tech Start Date]]&lt;1/1/1990,"",IF(Main[[#This Row],[Class]]="C",WORKDAY(Main[[#This Row],[Tech Start Date]],9),IF(Main[[#This Row],[Class]]="B", WORKDAY(Main[[#This Row],[Tech Start Date]],6),IF(Main[[#This Row],[Class]]="A",WORKDAY(Main[[#This Row],[Tech Start Date]],2),""))))</f>
        <v/>
      </c>
      <c r="N785" s="73" t="str">
        <f>IF(Main[[#This Row],[Tech Start Date]]&lt;1/1/1990,"",IF(Main[[#This Row],[Class]]="C",WORKDAY(Main[[#This Row],[Tech Start Date]],19),IF(Main[[#This Row],[Class]]="B", WORKDAY(Main[[#This Row],[Tech Start Date]],12),IF(Main[[#This Row],[Class]]="A",WORKDAY(Main[[#This Row],[Tech Start Date]],4),""))))</f>
        <v/>
      </c>
      <c r="O785" s="73" t="str">
        <f>IF(Main[[#This Row],[Tech Start Date]]&lt;1/1/1990,"",IF(Main[[#This Row],[Class]]="C",WORKDAY(Main[[#This Row],[Tech Start Date]],23),IF(Main[[#This Row],[Class]]="B", WORKDAY(Main[[#This Row],[Tech Start Date]],15),IF(Main[[#This Row],[Class]]="A",WORKDAY(Main[[#This Row],[Tech Start Date]],5),""))))</f>
        <v/>
      </c>
      <c r="P785" s="73" t="str">
        <f>IF(Main[[#This Row],[Tech Start Date]]&lt;1/1/1990,"",IF(Main[[#This Row],[Class]]="C",WORKDAY(Main[[#This Row],[Tech Start Date]],28),IF(Main[[#This Row],[Class]]="B", WORKDAY(Main[[#This Row],[Tech Start Date]],19),IF(Main[[#This Row],[Class]]="A",WORKDAY(Main[[#This Row],[Tech Start Date]],9),""))))</f>
        <v/>
      </c>
      <c r="Q785" s="85"/>
      <c r="R785" s="112"/>
      <c r="S785" s="95" t="s">
        <v>17</v>
      </c>
      <c r="T785" s="74" t="s">
        <v>4</v>
      </c>
      <c r="U785" s="95" t="s">
        <v>29</v>
      </c>
      <c r="V785" s="95" t="s">
        <v>1911</v>
      </c>
      <c r="W785" s="95" t="s">
        <v>1925</v>
      </c>
      <c r="X785" s="95" t="s">
        <v>2046</v>
      </c>
      <c r="Y785" s="72" t="s">
        <v>2980</v>
      </c>
      <c r="Z785" s="72" t="s">
        <v>4</v>
      </c>
      <c r="AA785" s="95" t="s">
        <v>2046</v>
      </c>
      <c r="AB785" s="132"/>
      <c r="AC785" s="132"/>
      <c r="AD785" s="132"/>
      <c r="AE785" s="63"/>
      <c r="AF785" s="63"/>
      <c r="AG785" s="63"/>
    </row>
    <row r="786" spans="1:33" ht="17.2" customHeight="1">
      <c r="A786" s="64" t="str">
        <f>IF(priority(Main[[#This Row],[Comments]])&lt;&gt;0, priority(Main[[#This Row],[Comments]]),"")</f>
        <v/>
      </c>
      <c r="B786" s="60" t="s">
        <v>1815</v>
      </c>
      <c r="C786" s="72" t="s">
        <v>42</v>
      </c>
      <c r="D786" s="59" t="s">
        <v>869</v>
      </c>
      <c r="E786" s="85">
        <v>39932.455243055556</v>
      </c>
      <c r="F786" s="85"/>
      <c r="G786" s="64" t="str">
        <f>IF(stdProdLT(Main[[#This Row],[Comments]])=0.1,"N/A",IF(stdProdLT(Main[[#This Row],[Comments]])=0,"",TRIM(stdProdLT(Main[[#This Row],[Comments]]))))</f>
        <v/>
      </c>
      <c r="H786" s="94" t="str">
        <f>IF(OR(Main[[#This Row],[Std. Prod. Lead Time]]="N/A",Main[[#This Row],[Std. Prod. Lead Time]]=""), "",IF(AND(Main[[#This Row],[In Stock Date]]&lt;&gt;"",Main[[#This Row],[Revised Due Date]]&lt;&gt;"",Main[[#This Row],[In Stock Date]]&lt;&gt;""),Main[[#This Row],[In Stock Date]]-Main[[#This Row],[Revised Due Date]],""))</f>
        <v/>
      </c>
      <c r="I786" s="101" t="s">
        <v>4</v>
      </c>
      <c r="J786" s="95" t="s">
        <v>4</v>
      </c>
      <c r="K786" s="95" t="s">
        <v>4</v>
      </c>
      <c r="L786" s="85"/>
      <c r="M786" s="73" t="str">
        <f>IF(Main[[#This Row],[Tech Start Date]]&lt;1/1/1990,"",IF(Main[[#This Row],[Class]]="C",WORKDAY(Main[[#This Row],[Tech Start Date]],9),IF(Main[[#This Row],[Class]]="B", WORKDAY(Main[[#This Row],[Tech Start Date]],6),IF(Main[[#This Row],[Class]]="A",WORKDAY(Main[[#This Row],[Tech Start Date]],2),""))))</f>
        <v/>
      </c>
      <c r="N786" s="73" t="str">
        <f>IF(Main[[#This Row],[Tech Start Date]]&lt;1/1/1990,"",IF(Main[[#This Row],[Class]]="C",WORKDAY(Main[[#This Row],[Tech Start Date]],19),IF(Main[[#This Row],[Class]]="B", WORKDAY(Main[[#This Row],[Tech Start Date]],12),IF(Main[[#This Row],[Class]]="A",WORKDAY(Main[[#This Row],[Tech Start Date]],4),""))))</f>
        <v/>
      </c>
      <c r="O786" s="73" t="str">
        <f>IF(Main[[#This Row],[Tech Start Date]]&lt;1/1/1990,"",IF(Main[[#This Row],[Class]]="C",WORKDAY(Main[[#This Row],[Tech Start Date]],23),IF(Main[[#This Row],[Class]]="B", WORKDAY(Main[[#This Row],[Tech Start Date]],15),IF(Main[[#This Row],[Class]]="A",WORKDAY(Main[[#This Row],[Tech Start Date]],5),""))))</f>
        <v/>
      </c>
      <c r="P786" s="73" t="str">
        <f>IF(Main[[#This Row],[Tech Start Date]]&lt;1/1/1990,"",IF(Main[[#This Row],[Class]]="C",WORKDAY(Main[[#This Row],[Tech Start Date]],28),IF(Main[[#This Row],[Class]]="B", WORKDAY(Main[[#This Row],[Tech Start Date]],19),IF(Main[[#This Row],[Class]]="A",WORKDAY(Main[[#This Row],[Tech Start Date]],9),""))))</f>
        <v/>
      </c>
      <c r="Q786" s="85">
        <v>40165</v>
      </c>
      <c r="R786" s="112">
        <v>40298</v>
      </c>
      <c r="S786" s="95" t="s">
        <v>17</v>
      </c>
      <c r="T786" s="74" t="s">
        <v>4</v>
      </c>
      <c r="U786" s="95" t="s">
        <v>29</v>
      </c>
      <c r="V786" s="95" t="s">
        <v>1912</v>
      </c>
      <c r="W786" s="95" t="s">
        <v>1915</v>
      </c>
      <c r="X786" s="95" t="s">
        <v>399</v>
      </c>
      <c r="Y786" s="72" t="s">
        <v>4</v>
      </c>
      <c r="Z786" s="72" t="s">
        <v>4</v>
      </c>
      <c r="AA786" s="95" t="s">
        <v>3391</v>
      </c>
      <c r="AB786" s="132"/>
      <c r="AC786" s="132"/>
      <c r="AD786" s="132"/>
      <c r="AE786" s="63"/>
      <c r="AF786" s="63"/>
      <c r="AG786" s="63"/>
    </row>
    <row r="787" spans="1:33" ht="17.2" customHeight="1">
      <c r="A787" s="64" t="str">
        <f>IF(priority(Main[[#This Row],[Comments]])&lt;&gt;0, priority(Main[[#This Row],[Comments]]),"")</f>
        <v/>
      </c>
      <c r="B787" s="60" t="s">
        <v>1718</v>
      </c>
      <c r="C787" s="72" t="s">
        <v>4</v>
      </c>
      <c r="D787" s="59" t="s">
        <v>775</v>
      </c>
      <c r="E787" s="85"/>
      <c r="F787" s="85"/>
      <c r="G787" s="64" t="str">
        <f>IF(stdProdLT(Main[[#This Row],[Comments]])=0.1,"N/A",IF(stdProdLT(Main[[#This Row],[Comments]])=0,"",TRIM(stdProdLT(Main[[#This Row],[Comments]]))))</f>
        <v/>
      </c>
      <c r="H787" s="94" t="str">
        <f>IF(OR(Main[[#This Row],[Std. Prod. Lead Time]]="N/A",Main[[#This Row],[Std. Prod. Lead Time]]=""), "",IF(AND(Main[[#This Row],[In Stock Date]]&lt;&gt;"",Main[[#This Row],[Revised Due Date]]&lt;&gt;"",Main[[#This Row],[In Stock Date]]&lt;&gt;""),Main[[#This Row],[In Stock Date]]-Main[[#This Row],[Revised Due Date]],""))</f>
        <v/>
      </c>
      <c r="I787" s="101" t="s">
        <v>4</v>
      </c>
      <c r="J787" s="95" t="s">
        <v>4</v>
      </c>
      <c r="K787" s="95" t="s">
        <v>4</v>
      </c>
      <c r="L787" s="85"/>
      <c r="M787" s="73" t="str">
        <f>IF(Main[[#This Row],[Tech Start Date]]&lt;1/1/1990,"",IF(Main[[#This Row],[Class]]="C",WORKDAY(Main[[#This Row],[Tech Start Date]],9),IF(Main[[#This Row],[Class]]="B", WORKDAY(Main[[#This Row],[Tech Start Date]],6),IF(Main[[#This Row],[Class]]="A",WORKDAY(Main[[#This Row],[Tech Start Date]],2),""))))</f>
        <v/>
      </c>
      <c r="N787" s="73" t="str">
        <f>IF(Main[[#This Row],[Tech Start Date]]&lt;1/1/1990,"",IF(Main[[#This Row],[Class]]="C",WORKDAY(Main[[#This Row],[Tech Start Date]],19),IF(Main[[#This Row],[Class]]="B", WORKDAY(Main[[#This Row],[Tech Start Date]],12),IF(Main[[#This Row],[Class]]="A",WORKDAY(Main[[#This Row],[Tech Start Date]],4),""))))</f>
        <v/>
      </c>
      <c r="O787" s="73" t="str">
        <f>IF(Main[[#This Row],[Tech Start Date]]&lt;1/1/1990,"",IF(Main[[#This Row],[Class]]="C",WORKDAY(Main[[#This Row],[Tech Start Date]],23),IF(Main[[#This Row],[Class]]="B", WORKDAY(Main[[#This Row],[Tech Start Date]],15),IF(Main[[#This Row],[Class]]="A",WORKDAY(Main[[#This Row],[Tech Start Date]],5),""))))</f>
        <v/>
      </c>
      <c r="P787" s="73" t="str">
        <f>IF(Main[[#This Row],[Tech Start Date]]&lt;1/1/1990,"",IF(Main[[#This Row],[Class]]="C",WORKDAY(Main[[#This Row],[Tech Start Date]],28),IF(Main[[#This Row],[Class]]="B", WORKDAY(Main[[#This Row],[Tech Start Date]],19),IF(Main[[#This Row],[Class]]="A",WORKDAY(Main[[#This Row],[Tech Start Date]],9),""))))</f>
        <v/>
      </c>
      <c r="Q787" s="85"/>
      <c r="R787" s="112"/>
      <c r="S787" s="95" t="s">
        <v>4</v>
      </c>
      <c r="T787" s="74" t="s">
        <v>4</v>
      </c>
      <c r="U787" s="95" t="s">
        <v>14</v>
      </c>
      <c r="V787" s="95" t="s">
        <v>1914</v>
      </c>
      <c r="W787" s="95" t="s">
        <v>4</v>
      </c>
      <c r="X787" s="95" t="s">
        <v>50</v>
      </c>
      <c r="Y787" s="72" t="s">
        <v>4</v>
      </c>
      <c r="Z787" s="72" t="s">
        <v>4</v>
      </c>
      <c r="AA787" s="95" t="s">
        <v>4</v>
      </c>
      <c r="AB787" s="132"/>
      <c r="AC787" s="132"/>
      <c r="AD787" s="132"/>
      <c r="AE787" s="63"/>
      <c r="AF787" s="63"/>
      <c r="AG787" s="63"/>
    </row>
    <row r="788" spans="1:33" ht="17.2" customHeight="1">
      <c r="A788" s="64" t="str">
        <f>IF(priority(Main[[#This Row],[Comments]])&lt;&gt;0, priority(Main[[#This Row],[Comments]]),"")</f>
        <v/>
      </c>
      <c r="B788" s="60" t="s">
        <v>1565</v>
      </c>
      <c r="C788" s="72" t="s">
        <v>72</v>
      </c>
      <c r="D788" s="59" t="s">
        <v>645</v>
      </c>
      <c r="E788" s="85"/>
      <c r="F788" s="85"/>
      <c r="G788" s="64" t="str">
        <f>IF(stdProdLT(Main[[#This Row],[Comments]])=0.1,"N/A",IF(stdProdLT(Main[[#This Row],[Comments]])=0,"",TRIM(stdProdLT(Main[[#This Row],[Comments]]))))</f>
        <v/>
      </c>
      <c r="H788" s="94" t="str">
        <f>IF(OR(Main[[#This Row],[Std. Prod. Lead Time]]="N/A",Main[[#This Row],[Std. Prod. Lead Time]]=""), "",IF(AND(Main[[#This Row],[In Stock Date]]&lt;&gt;"",Main[[#This Row],[Revised Due Date]]&lt;&gt;"",Main[[#This Row],[In Stock Date]]&lt;&gt;""),Main[[#This Row],[In Stock Date]]-Main[[#This Row],[Revised Due Date]],""))</f>
        <v/>
      </c>
      <c r="I788" s="101" t="s">
        <v>4</v>
      </c>
      <c r="J788" s="95" t="s">
        <v>4</v>
      </c>
      <c r="K788" s="95" t="s">
        <v>4</v>
      </c>
      <c r="L788" s="85"/>
      <c r="M788" s="73" t="str">
        <f>IF(Main[[#This Row],[Tech Start Date]]&lt;1/1/1990,"",IF(Main[[#This Row],[Class]]="C",WORKDAY(Main[[#This Row],[Tech Start Date]],9),IF(Main[[#This Row],[Class]]="B", WORKDAY(Main[[#This Row],[Tech Start Date]],6),IF(Main[[#This Row],[Class]]="A",WORKDAY(Main[[#This Row],[Tech Start Date]],2),""))))</f>
        <v/>
      </c>
      <c r="N788" s="73" t="str">
        <f>IF(Main[[#This Row],[Tech Start Date]]&lt;1/1/1990,"",IF(Main[[#This Row],[Class]]="C",WORKDAY(Main[[#This Row],[Tech Start Date]],19),IF(Main[[#This Row],[Class]]="B", WORKDAY(Main[[#This Row],[Tech Start Date]],12),IF(Main[[#This Row],[Class]]="A",WORKDAY(Main[[#This Row],[Tech Start Date]],4),""))))</f>
        <v/>
      </c>
      <c r="O788" s="73" t="str">
        <f>IF(Main[[#This Row],[Tech Start Date]]&lt;1/1/1990,"",IF(Main[[#This Row],[Class]]="C",WORKDAY(Main[[#This Row],[Tech Start Date]],23),IF(Main[[#This Row],[Class]]="B", WORKDAY(Main[[#This Row],[Tech Start Date]],15),IF(Main[[#This Row],[Class]]="A",WORKDAY(Main[[#This Row],[Tech Start Date]],5),""))))</f>
        <v/>
      </c>
      <c r="P788" s="73" t="str">
        <f>IF(Main[[#This Row],[Tech Start Date]]&lt;1/1/1990,"",IF(Main[[#This Row],[Class]]="C",WORKDAY(Main[[#This Row],[Tech Start Date]],28),IF(Main[[#This Row],[Class]]="B", WORKDAY(Main[[#This Row],[Tech Start Date]],19),IF(Main[[#This Row],[Class]]="A",WORKDAY(Main[[#This Row],[Tech Start Date]],9),""))))</f>
        <v/>
      </c>
      <c r="Q788" s="85"/>
      <c r="R788" s="112"/>
      <c r="S788" s="95" t="s">
        <v>49</v>
      </c>
      <c r="T788" s="74" t="s">
        <v>4</v>
      </c>
      <c r="U788" s="95" t="s">
        <v>12</v>
      </c>
      <c r="V788" s="95" t="s">
        <v>1912</v>
      </c>
      <c r="W788" s="95" t="s">
        <v>1913</v>
      </c>
      <c r="X788" s="95" t="s">
        <v>2881</v>
      </c>
      <c r="Y788" s="72" t="s">
        <v>3057</v>
      </c>
      <c r="Z788" s="72" t="s">
        <v>4</v>
      </c>
      <c r="AA788" s="95" t="s">
        <v>2881</v>
      </c>
      <c r="AB788" s="132"/>
      <c r="AC788" s="132"/>
      <c r="AD788" s="132"/>
      <c r="AE788" s="63"/>
      <c r="AF788" s="63"/>
      <c r="AG788" s="63"/>
    </row>
    <row r="789" spans="1:33" ht="17.2" customHeight="1">
      <c r="A789" s="64" t="str">
        <f>IF(priority(Main[[#This Row],[Comments]])&lt;&gt;0, priority(Main[[#This Row],[Comments]]),"")</f>
        <v/>
      </c>
      <c r="B789" s="60" t="s">
        <v>1566</v>
      </c>
      <c r="C789" s="72" t="s">
        <v>72</v>
      </c>
      <c r="D789" s="59" t="s">
        <v>646</v>
      </c>
      <c r="E789" s="85"/>
      <c r="F789" s="85">
        <v>40313</v>
      </c>
      <c r="G789" s="64" t="str">
        <f>IF(stdProdLT(Main[[#This Row],[Comments]])=0.1,"N/A",IF(stdProdLT(Main[[#This Row],[Comments]])=0,"",TRIM(stdProdLT(Main[[#This Row],[Comments]]))))</f>
        <v/>
      </c>
      <c r="H789" s="94" t="str">
        <f>IF(OR(Main[[#This Row],[Std. Prod. Lead Time]]="N/A",Main[[#This Row],[Std. Prod. Lead Time]]=""), "",IF(AND(Main[[#This Row],[In Stock Date]]&lt;&gt;"",Main[[#This Row],[Revised Due Date]]&lt;&gt;"",Main[[#This Row],[In Stock Date]]&lt;&gt;""),Main[[#This Row],[In Stock Date]]-Main[[#This Row],[Revised Due Date]],""))</f>
        <v/>
      </c>
      <c r="I789" s="101" t="s">
        <v>4</v>
      </c>
      <c r="J789" s="95" t="s">
        <v>4</v>
      </c>
      <c r="K789" s="95" t="s">
        <v>4</v>
      </c>
      <c r="L789" s="85"/>
      <c r="M789" s="73" t="str">
        <f>IF(Main[[#This Row],[Tech Start Date]]&lt;1/1/1990,"",IF(Main[[#This Row],[Class]]="C",WORKDAY(Main[[#This Row],[Tech Start Date]],9),IF(Main[[#This Row],[Class]]="B", WORKDAY(Main[[#This Row],[Tech Start Date]],6),IF(Main[[#This Row],[Class]]="A",WORKDAY(Main[[#This Row],[Tech Start Date]],2),""))))</f>
        <v/>
      </c>
      <c r="N789" s="73" t="str">
        <f>IF(Main[[#This Row],[Tech Start Date]]&lt;1/1/1990,"",IF(Main[[#This Row],[Class]]="C",WORKDAY(Main[[#This Row],[Tech Start Date]],19),IF(Main[[#This Row],[Class]]="B", WORKDAY(Main[[#This Row],[Tech Start Date]],12),IF(Main[[#This Row],[Class]]="A",WORKDAY(Main[[#This Row],[Tech Start Date]],4),""))))</f>
        <v/>
      </c>
      <c r="O789" s="73" t="str">
        <f>IF(Main[[#This Row],[Tech Start Date]]&lt;1/1/1990,"",IF(Main[[#This Row],[Class]]="C",WORKDAY(Main[[#This Row],[Tech Start Date]],23),IF(Main[[#This Row],[Class]]="B", WORKDAY(Main[[#This Row],[Tech Start Date]],15),IF(Main[[#This Row],[Class]]="A",WORKDAY(Main[[#This Row],[Tech Start Date]],5),""))))</f>
        <v/>
      </c>
      <c r="P789" s="73" t="str">
        <f>IF(Main[[#This Row],[Tech Start Date]]&lt;1/1/1990,"",IF(Main[[#This Row],[Class]]="C",WORKDAY(Main[[#This Row],[Tech Start Date]],28),IF(Main[[#This Row],[Class]]="B", WORKDAY(Main[[#This Row],[Tech Start Date]],19),IF(Main[[#This Row],[Class]]="A",WORKDAY(Main[[#This Row],[Tech Start Date]],9),""))))</f>
        <v/>
      </c>
      <c r="Q789" s="85">
        <v>40233</v>
      </c>
      <c r="R789" s="112"/>
      <c r="S789" s="95" t="s">
        <v>11</v>
      </c>
      <c r="T789" s="74" t="s">
        <v>4</v>
      </c>
      <c r="U789" s="95" t="s">
        <v>14</v>
      </c>
      <c r="V789" s="95" t="s">
        <v>1914</v>
      </c>
      <c r="W789" s="95" t="s">
        <v>1919</v>
      </c>
      <c r="X789" s="95" t="s">
        <v>2804</v>
      </c>
      <c r="Y789" s="72" t="s">
        <v>2921</v>
      </c>
      <c r="Z789" s="72" t="s">
        <v>4</v>
      </c>
      <c r="AA789" s="95" t="s">
        <v>2804</v>
      </c>
      <c r="AB789" s="132"/>
      <c r="AC789" s="132"/>
      <c r="AD789" s="132"/>
      <c r="AE789" s="63"/>
      <c r="AF789" s="63"/>
      <c r="AG789" s="63"/>
    </row>
    <row r="790" spans="1:33" ht="17.2" customHeight="1">
      <c r="A790" s="64" t="str">
        <f>IF(priority(Main[[#This Row],[Comments]])&lt;&gt;0, priority(Main[[#This Row],[Comments]]),"")</f>
        <v/>
      </c>
      <c r="B790" s="60" t="s">
        <v>1567</v>
      </c>
      <c r="C790" s="72" t="s">
        <v>159</v>
      </c>
      <c r="D790" s="59" t="s">
        <v>647</v>
      </c>
      <c r="E790" s="85"/>
      <c r="F790" s="85">
        <v>40513</v>
      </c>
      <c r="G790" s="64" t="str">
        <f>IF(stdProdLT(Main[[#This Row],[Comments]])=0.1,"N/A",IF(stdProdLT(Main[[#This Row],[Comments]])=0,"",TRIM(stdProdLT(Main[[#This Row],[Comments]]))))</f>
        <v/>
      </c>
      <c r="H790" s="94" t="str">
        <f>IF(OR(Main[[#This Row],[Std. Prod. Lead Time]]="N/A",Main[[#This Row],[Std. Prod. Lead Time]]=""), "",IF(AND(Main[[#This Row],[In Stock Date]]&lt;&gt;"",Main[[#This Row],[Revised Due Date]]&lt;&gt;"",Main[[#This Row],[In Stock Date]]&lt;&gt;""),Main[[#This Row],[In Stock Date]]-Main[[#This Row],[Revised Due Date]],""))</f>
        <v/>
      </c>
      <c r="I790" s="101" t="s">
        <v>4</v>
      </c>
      <c r="J790" s="95" t="s">
        <v>28</v>
      </c>
      <c r="K790" s="95" t="s">
        <v>4</v>
      </c>
      <c r="L790" s="85"/>
      <c r="M790" s="73" t="str">
        <f>IF(Main[[#This Row],[Tech Start Date]]&lt;1/1/1990,"",IF(Main[[#This Row],[Class]]="C",WORKDAY(Main[[#This Row],[Tech Start Date]],9),IF(Main[[#This Row],[Class]]="B", WORKDAY(Main[[#This Row],[Tech Start Date]],6),IF(Main[[#This Row],[Class]]="A",WORKDAY(Main[[#This Row],[Tech Start Date]],2),""))))</f>
        <v/>
      </c>
      <c r="N790" s="73" t="str">
        <f>IF(Main[[#This Row],[Tech Start Date]]&lt;1/1/1990,"",IF(Main[[#This Row],[Class]]="C",WORKDAY(Main[[#This Row],[Tech Start Date]],19),IF(Main[[#This Row],[Class]]="B", WORKDAY(Main[[#This Row],[Tech Start Date]],12),IF(Main[[#This Row],[Class]]="A",WORKDAY(Main[[#This Row],[Tech Start Date]],4),""))))</f>
        <v/>
      </c>
      <c r="O790" s="73" t="str">
        <f>IF(Main[[#This Row],[Tech Start Date]]&lt;1/1/1990,"",IF(Main[[#This Row],[Class]]="C",WORKDAY(Main[[#This Row],[Tech Start Date]],23),IF(Main[[#This Row],[Class]]="B", WORKDAY(Main[[#This Row],[Tech Start Date]],15),IF(Main[[#This Row],[Class]]="A",WORKDAY(Main[[#This Row],[Tech Start Date]],5),""))))</f>
        <v/>
      </c>
      <c r="P790" s="73" t="str">
        <f>IF(Main[[#This Row],[Tech Start Date]]&lt;1/1/1990,"",IF(Main[[#This Row],[Class]]="C",WORKDAY(Main[[#This Row],[Tech Start Date]],28),IF(Main[[#This Row],[Class]]="B", WORKDAY(Main[[#This Row],[Tech Start Date]],19),IF(Main[[#This Row],[Class]]="A",WORKDAY(Main[[#This Row],[Tech Start Date]],9),""))))</f>
        <v/>
      </c>
      <c r="Q790" s="85">
        <v>40382</v>
      </c>
      <c r="R790" s="112"/>
      <c r="S790" s="95" t="s">
        <v>11</v>
      </c>
      <c r="T790" s="74" t="s">
        <v>4</v>
      </c>
      <c r="U790" s="95" t="s">
        <v>14</v>
      </c>
      <c r="V790" s="95" t="s">
        <v>1911</v>
      </c>
      <c r="W790" s="95" t="s">
        <v>1919</v>
      </c>
      <c r="X790" s="95" t="s">
        <v>2835</v>
      </c>
      <c r="Y790" s="72" t="s">
        <v>2972</v>
      </c>
      <c r="Z790" s="72" t="s">
        <v>129</v>
      </c>
      <c r="AA790" s="95" t="s">
        <v>2835</v>
      </c>
      <c r="AB790" s="132"/>
      <c r="AC790" s="132"/>
      <c r="AD790" s="132"/>
      <c r="AE790" s="63"/>
      <c r="AF790" s="63"/>
      <c r="AG790" s="63"/>
    </row>
    <row r="791" spans="1:33" ht="17.2" customHeight="1">
      <c r="A791" s="64" t="str">
        <f>IF(priority(Main[[#This Row],[Comments]])&lt;&gt;0, priority(Main[[#This Row],[Comments]]),"")</f>
        <v/>
      </c>
      <c r="B791" s="60" t="s">
        <v>1568</v>
      </c>
      <c r="C791" s="72" t="s">
        <v>4</v>
      </c>
      <c r="D791" s="59" t="s">
        <v>648</v>
      </c>
      <c r="E791" s="85">
        <v>40477.486574074072</v>
      </c>
      <c r="F791" s="85"/>
      <c r="G791" s="64" t="str">
        <f>IF(stdProdLT(Main[[#This Row],[Comments]])=0.1,"N/A",IF(stdProdLT(Main[[#This Row],[Comments]])=0,"",TRIM(stdProdLT(Main[[#This Row],[Comments]]))))</f>
        <v/>
      </c>
      <c r="H791" s="94" t="str">
        <f>IF(OR(Main[[#This Row],[Std. Prod. Lead Time]]="N/A",Main[[#This Row],[Std. Prod. Lead Time]]=""), "",IF(AND(Main[[#This Row],[In Stock Date]]&lt;&gt;"",Main[[#This Row],[Revised Due Date]]&lt;&gt;"",Main[[#This Row],[In Stock Date]]&lt;&gt;""),Main[[#This Row],[In Stock Date]]-Main[[#This Row],[Revised Due Date]],""))</f>
        <v/>
      </c>
      <c r="I791" s="101" t="s">
        <v>4</v>
      </c>
      <c r="J791" s="95" t="s">
        <v>4</v>
      </c>
      <c r="K791" s="96" t="s">
        <v>4</v>
      </c>
      <c r="L791" s="85"/>
      <c r="M791" s="73" t="str">
        <f>IF(Main[[#This Row],[Tech Start Date]]&lt;1/1/1990,"",IF(Main[[#This Row],[Class]]="C",WORKDAY(Main[[#This Row],[Tech Start Date]],9),IF(Main[[#This Row],[Class]]="B", WORKDAY(Main[[#This Row],[Tech Start Date]],6),IF(Main[[#This Row],[Class]]="A",WORKDAY(Main[[#This Row],[Tech Start Date]],2),""))))</f>
        <v/>
      </c>
      <c r="N791" s="73" t="str">
        <f>IF(Main[[#This Row],[Tech Start Date]]&lt;1/1/1990,"",IF(Main[[#This Row],[Class]]="C",WORKDAY(Main[[#This Row],[Tech Start Date]],19),IF(Main[[#This Row],[Class]]="B", WORKDAY(Main[[#This Row],[Tech Start Date]],12),IF(Main[[#This Row],[Class]]="A",WORKDAY(Main[[#This Row],[Tech Start Date]],4),""))))</f>
        <v/>
      </c>
      <c r="O791" s="73" t="str">
        <f>IF(Main[[#This Row],[Tech Start Date]]&lt;1/1/1990,"",IF(Main[[#This Row],[Class]]="C",WORKDAY(Main[[#This Row],[Tech Start Date]],23),IF(Main[[#This Row],[Class]]="B", WORKDAY(Main[[#This Row],[Tech Start Date]],15),IF(Main[[#This Row],[Class]]="A",WORKDAY(Main[[#This Row],[Tech Start Date]],5),""))))</f>
        <v/>
      </c>
      <c r="P791" s="73" t="str">
        <f>IF(Main[[#This Row],[Tech Start Date]]&lt;1/1/1990,"",IF(Main[[#This Row],[Class]]="C",WORKDAY(Main[[#This Row],[Tech Start Date]],28),IF(Main[[#This Row],[Class]]="B", WORKDAY(Main[[#This Row],[Tech Start Date]],19),IF(Main[[#This Row],[Class]]="A",WORKDAY(Main[[#This Row],[Tech Start Date]],9),""))))</f>
        <v/>
      </c>
      <c r="Q791" s="85">
        <v>40511</v>
      </c>
      <c r="R791" s="112"/>
      <c r="S791" s="95" t="s">
        <v>6</v>
      </c>
      <c r="T791" s="74" t="s">
        <v>4</v>
      </c>
      <c r="U791" s="95" t="s">
        <v>7</v>
      </c>
      <c r="V791" s="95" t="s">
        <v>1911</v>
      </c>
      <c r="W791" s="95" t="s">
        <v>4</v>
      </c>
      <c r="X791" s="95" t="s">
        <v>2798</v>
      </c>
      <c r="Y791" s="72" t="s">
        <v>2908</v>
      </c>
      <c r="Z791" s="72" t="s">
        <v>4</v>
      </c>
      <c r="AA791" s="95" t="s">
        <v>2798</v>
      </c>
      <c r="AB791" s="132"/>
      <c r="AC791" s="132"/>
      <c r="AD791" s="132"/>
      <c r="AE791" s="63"/>
      <c r="AF791" s="63"/>
      <c r="AG791" s="63"/>
    </row>
    <row r="792" spans="1:33" ht="17.2" customHeight="1">
      <c r="A792" s="64" t="str">
        <f>IF(priority(Main[[#This Row],[Comments]])&lt;&gt;0, priority(Main[[#This Row],[Comments]]),"")</f>
        <v/>
      </c>
      <c r="B792" s="60" t="s">
        <v>1569</v>
      </c>
      <c r="C792" s="72" t="s">
        <v>4</v>
      </c>
      <c r="D792" s="59" t="s">
        <v>649</v>
      </c>
      <c r="E792" s="85"/>
      <c r="F792" s="85"/>
      <c r="G792" s="64" t="str">
        <f>IF(stdProdLT(Main[[#This Row],[Comments]])=0.1,"N/A",IF(stdProdLT(Main[[#This Row],[Comments]])=0,"",TRIM(stdProdLT(Main[[#This Row],[Comments]]))))</f>
        <v/>
      </c>
      <c r="H792" s="94" t="str">
        <f>IF(OR(Main[[#This Row],[Std. Prod. Lead Time]]="N/A",Main[[#This Row],[Std. Prod. Lead Time]]=""), "",IF(AND(Main[[#This Row],[In Stock Date]]&lt;&gt;"",Main[[#This Row],[Revised Due Date]]&lt;&gt;"",Main[[#This Row],[In Stock Date]]&lt;&gt;""),Main[[#This Row],[In Stock Date]]-Main[[#This Row],[Revised Due Date]],""))</f>
        <v/>
      </c>
      <c r="I792" s="101" t="s">
        <v>4</v>
      </c>
      <c r="J792" s="95" t="s">
        <v>4</v>
      </c>
      <c r="K792" s="95" t="s">
        <v>4</v>
      </c>
      <c r="L792" s="85"/>
      <c r="M792" s="73" t="str">
        <f>IF(Main[[#This Row],[Tech Start Date]]&lt;1/1/1990,"",IF(Main[[#This Row],[Class]]="C",WORKDAY(Main[[#This Row],[Tech Start Date]],9),IF(Main[[#This Row],[Class]]="B", WORKDAY(Main[[#This Row],[Tech Start Date]],6),IF(Main[[#This Row],[Class]]="A",WORKDAY(Main[[#This Row],[Tech Start Date]],2),""))))</f>
        <v/>
      </c>
      <c r="N792" s="73" t="str">
        <f>IF(Main[[#This Row],[Tech Start Date]]&lt;1/1/1990,"",IF(Main[[#This Row],[Class]]="C",WORKDAY(Main[[#This Row],[Tech Start Date]],19),IF(Main[[#This Row],[Class]]="B", WORKDAY(Main[[#This Row],[Tech Start Date]],12),IF(Main[[#This Row],[Class]]="A",WORKDAY(Main[[#This Row],[Tech Start Date]],4),""))))</f>
        <v/>
      </c>
      <c r="O792" s="73" t="str">
        <f>IF(Main[[#This Row],[Tech Start Date]]&lt;1/1/1990,"",IF(Main[[#This Row],[Class]]="C",WORKDAY(Main[[#This Row],[Tech Start Date]],23),IF(Main[[#This Row],[Class]]="B", WORKDAY(Main[[#This Row],[Tech Start Date]],15),IF(Main[[#This Row],[Class]]="A",WORKDAY(Main[[#This Row],[Tech Start Date]],5),""))))</f>
        <v/>
      </c>
      <c r="P792" s="73" t="str">
        <f>IF(Main[[#This Row],[Tech Start Date]]&lt;1/1/1990,"",IF(Main[[#This Row],[Class]]="C",WORKDAY(Main[[#This Row],[Tech Start Date]],28),IF(Main[[#This Row],[Class]]="B", WORKDAY(Main[[#This Row],[Tech Start Date]],19),IF(Main[[#This Row],[Class]]="A",WORKDAY(Main[[#This Row],[Tech Start Date]],9),""))))</f>
        <v/>
      </c>
      <c r="Q792" s="85">
        <v>40619</v>
      </c>
      <c r="R792" s="112"/>
      <c r="S792" s="95" t="s">
        <v>6</v>
      </c>
      <c r="T792" s="74" t="s">
        <v>4</v>
      </c>
      <c r="U792" s="95" t="s">
        <v>14</v>
      </c>
      <c r="V792" s="95" t="s">
        <v>1921</v>
      </c>
      <c r="W792" s="95" t="s">
        <v>4</v>
      </c>
      <c r="X792" s="95" t="s">
        <v>2883</v>
      </c>
      <c r="Y792" s="72" t="s">
        <v>3061</v>
      </c>
      <c r="Z792" s="72" t="s">
        <v>4</v>
      </c>
      <c r="AA792" s="95" t="s">
        <v>2883</v>
      </c>
      <c r="AB792" s="132"/>
      <c r="AC792" s="132"/>
      <c r="AD792" s="132"/>
      <c r="AE792" s="63"/>
      <c r="AF792" s="63"/>
      <c r="AG792" s="63"/>
    </row>
    <row r="793" spans="1:33" ht="17.2" customHeight="1">
      <c r="A793" s="64" t="str">
        <f>IF(priority(Main[[#This Row],[Comments]])&lt;&gt;0, priority(Main[[#This Row],[Comments]]),"")</f>
        <v/>
      </c>
      <c r="B793" s="60" t="s">
        <v>2100</v>
      </c>
      <c r="C793" s="72" t="s">
        <v>4</v>
      </c>
      <c r="D793" s="59" t="s">
        <v>2101</v>
      </c>
      <c r="E793" s="85">
        <v>40772.421967592592</v>
      </c>
      <c r="F793" s="85"/>
      <c r="G793" s="64" t="str">
        <f>IF(stdProdLT(Main[[#This Row],[Comments]])=0.1,"N/A",IF(stdProdLT(Main[[#This Row],[Comments]])=0,"",TRIM(stdProdLT(Main[[#This Row],[Comments]]))))</f>
        <v/>
      </c>
      <c r="H793" s="94" t="str">
        <f>IF(OR(Main[[#This Row],[Std. Prod. Lead Time]]="N/A",Main[[#This Row],[Std. Prod. Lead Time]]=""), "",IF(AND(Main[[#This Row],[In Stock Date]]&lt;&gt;"",Main[[#This Row],[Revised Due Date]]&lt;&gt;"",Main[[#This Row],[In Stock Date]]&lt;&gt;""),Main[[#This Row],[In Stock Date]]-Main[[#This Row],[Revised Due Date]],""))</f>
        <v/>
      </c>
      <c r="I793" s="101" t="s">
        <v>912</v>
      </c>
      <c r="J793" s="95" t="s">
        <v>52</v>
      </c>
      <c r="K793" s="95" t="s">
        <v>4</v>
      </c>
      <c r="L793" s="85"/>
      <c r="M793" s="73" t="str">
        <f>IF(Main[[#This Row],[Tech Start Date]]&lt;1/1/1990,"",IF(Main[[#This Row],[Class]]="C",WORKDAY(Main[[#This Row],[Tech Start Date]],9),IF(Main[[#This Row],[Class]]="B", WORKDAY(Main[[#This Row],[Tech Start Date]],6),IF(Main[[#This Row],[Class]]="A",WORKDAY(Main[[#This Row],[Tech Start Date]],2),""))))</f>
        <v/>
      </c>
      <c r="N793" s="73" t="str">
        <f>IF(Main[[#This Row],[Tech Start Date]]&lt;1/1/1990,"",IF(Main[[#This Row],[Class]]="C",WORKDAY(Main[[#This Row],[Tech Start Date]],19),IF(Main[[#This Row],[Class]]="B", WORKDAY(Main[[#This Row],[Tech Start Date]],12),IF(Main[[#This Row],[Class]]="A",WORKDAY(Main[[#This Row],[Tech Start Date]],4),""))))</f>
        <v/>
      </c>
      <c r="O793" s="73" t="str">
        <f>IF(Main[[#This Row],[Tech Start Date]]&lt;1/1/1990,"",IF(Main[[#This Row],[Class]]="C",WORKDAY(Main[[#This Row],[Tech Start Date]],23),IF(Main[[#This Row],[Class]]="B", WORKDAY(Main[[#This Row],[Tech Start Date]],15),IF(Main[[#This Row],[Class]]="A",WORKDAY(Main[[#This Row],[Tech Start Date]],5),""))))</f>
        <v/>
      </c>
      <c r="P793" s="73" t="str">
        <f>IF(Main[[#This Row],[Tech Start Date]]&lt;1/1/1990,"",IF(Main[[#This Row],[Class]]="C",WORKDAY(Main[[#This Row],[Tech Start Date]],28),IF(Main[[#This Row],[Class]]="B", WORKDAY(Main[[#This Row],[Tech Start Date]],19),IF(Main[[#This Row],[Class]]="A",WORKDAY(Main[[#This Row],[Tech Start Date]],9),""))))</f>
        <v/>
      </c>
      <c r="Q793" s="85"/>
      <c r="R793" s="112"/>
      <c r="S793" s="95" t="s">
        <v>6</v>
      </c>
      <c r="T793" s="74" t="s">
        <v>4</v>
      </c>
      <c r="U793" s="95" t="s">
        <v>29</v>
      </c>
      <c r="V793" s="95" t="s">
        <v>1911</v>
      </c>
      <c r="W793" s="95" t="s">
        <v>1915</v>
      </c>
      <c r="X793" s="95" t="s">
        <v>937</v>
      </c>
      <c r="Y793" s="72" t="s">
        <v>2962</v>
      </c>
      <c r="Z793" s="72" t="s">
        <v>129</v>
      </c>
      <c r="AA793" s="95" t="s">
        <v>937</v>
      </c>
      <c r="AB793" s="132"/>
      <c r="AC793" s="132"/>
      <c r="AD793" s="132"/>
      <c r="AE793" s="63"/>
      <c r="AF793" s="63"/>
      <c r="AG793" s="63"/>
    </row>
    <row r="794" spans="1:33" ht="17.2" customHeight="1">
      <c r="A794" s="64" t="str">
        <f>IF(priority(Main[[#This Row],[Comments]])&lt;&gt;0, priority(Main[[#This Row],[Comments]]),"")</f>
        <v/>
      </c>
      <c r="B794" s="60" t="s">
        <v>2377</v>
      </c>
      <c r="C794" s="72" t="s">
        <v>47</v>
      </c>
      <c r="D794" s="59" t="s">
        <v>2378</v>
      </c>
      <c r="E794" s="85">
        <v>40847.703090277777</v>
      </c>
      <c r="F794" s="85"/>
      <c r="G794" s="64" t="str">
        <f>IF(stdProdLT(Main[[#This Row],[Comments]])=0.1,"N/A",IF(stdProdLT(Main[[#This Row],[Comments]])=0,"",TRIM(stdProdLT(Main[[#This Row],[Comments]]))))</f>
        <v/>
      </c>
      <c r="H794" s="94" t="str">
        <f>IF(OR(Main[[#This Row],[Std. Prod. Lead Time]]="N/A",Main[[#This Row],[Std. Prod. Lead Time]]=""), "",IF(AND(Main[[#This Row],[In Stock Date]]&lt;&gt;"",Main[[#This Row],[Revised Due Date]]&lt;&gt;"",Main[[#This Row],[In Stock Date]]&lt;&gt;""),Main[[#This Row],[In Stock Date]]-Main[[#This Row],[Revised Due Date]],""))</f>
        <v/>
      </c>
      <c r="I794" s="101" t="s">
        <v>69</v>
      </c>
      <c r="J794" s="95" t="s">
        <v>28</v>
      </c>
      <c r="K794" s="96" t="s">
        <v>1920</v>
      </c>
      <c r="L794" s="85"/>
      <c r="M794" s="73" t="str">
        <f>IF(Main[[#This Row],[Tech Start Date]]&lt;1/1/1990,"",IF(Main[[#This Row],[Class]]="C",WORKDAY(Main[[#This Row],[Tech Start Date]],9),IF(Main[[#This Row],[Class]]="B", WORKDAY(Main[[#This Row],[Tech Start Date]],6),IF(Main[[#This Row],[Class]]="A",WORKDAY(Main[[#This Row],[Tech Start Date]],2),""))))</f>
        <v/>
      </c>
      <c r="N794" s="73" t="str">
        <f>IF(Main[[#This Row],[Tech Start Date]]&lt;1/1/1990,"",IF(Main[[#This Row],[Class]]="C",WORKDAY(Main[[#This Row],[Tech Start Date]],19),IF(Main[[#This Row],[Class]]="B", WORKDAY(Main[[#This Row],[Tech Start Date]],12),IF(Main[[#This Row],[Class]]="A",WORKDAY(Main[[#This Row],[Tech Start Date]],4),""))))</f>
        <v/>
      </c>
      <c r="O794" s="73" t="str">
        <f>IF(Main[[#This Row],[Tech Start Date]]&lt;1/1/1990,"",IF(Main[[#This Row],[Class]]="C",WORKDAY(Main[[#This Row],[Tech Start Date]],23),IF(Main[[#This Row],[Class]]="B", WORKDAY(Main[[#This Row],[Tech Start Date]],15),IF(Main[[#This Row],[Class]]="A",WORKDAY(Main[[#This Row],[Tech Start Date]],5),""))))</f>
        <v/>
      </c>
      <c r="P794" s="73" t="str">
        <f>IF(Main[[#This Row],[Tech Start Date]]&lt;1/1/1990,"",IF(Main[[#This Row],[Class]]="C",WORKDAY(Main[[#This Row],[Tech Start Date]],28),IF(Main[[#This Row],[Class]]="B", WORKDAY(Main[[#This Row],[Tech Start Date]],19),IF(Main[[#This Row],[Class]]="A",WORKDAY(Main[[#This Row],[Tech Start Date]],9),""))))</f>
        <v/>
      </c>
      <c r="Q794" s="85">
        <v>40862</v>
      </c>
      <c r="R794" s="112"/>
      <c r="S794" s="95" t="s">
        <v>6</v>
      </c>
      <c r="T794" s="74" t="s">
        <v>4</v>
      </c>
      <c r="U794" s="95" t="s">
        <v>29</v>
      </c>
      <c r="V794" s="95" t="s">
        <v>1914</v>
      </c>
      <c r="W794" s="95" t="s">
        <v>1915</v>
      </c>
      <c r="X794" s="95" t="s">
        <v>2845</v>
      </c>
      <c r="Y794" s="72" t="s">
        <v>2988</v>
      </c>
      <c r="Z794" s="72" t="s">
        <v>30</v>
      </c>
      <c r="AA794" s="95" t="s">
        <v>2845</v>
      </c>
      <c r="AB794" s="132"/>
      <c r="AC794" s="132"/>
      <c r="AD794" s="132"/>
      <c r="AE794" s="63"/>
      <c r="AF794" s="63"/>
      <c r="AG794" s="63"/>
    </row>
    <row r="795" spans="1:33" ht="17.2" customHeight="1">
      <c r="A795" s="64" t="str">
        <f>IF(priority(Main[[#This Row],[Comments]])&lt;&gt;0, priority(Main[[#This Row],[Comments]]),"")</f>
        <v/>
      </c>
      <c r="B795" s="60" t="s">
        <v>1633</v>
      </c>
      <c r="C795" s="72" t="s">
        <v>4</v>
      </c>
      <c r="D795" s="59" t="s">
        <v>2108</v>
      </c>
      <c r="E795" s="85">
        <v>40696.439942129633</v>
      </c>
      <c r="F795" s="85"/>
      <c r="G795" s="64" t="str">
        <f>IF(stdProdLT(Main[[#This Row],[Comments]])=0.1,"N/A",IF(stdProdLT(Main[[#This Row],[Comments]])=0,"",TRIM(stdProdLT(Main[[#This Row],[Comments]]))))</f>
        <v/>
      </c>
      <c r="H795" s="94" t="str">
        <f>IF(OR(Main[[#This Row],[Std. Prod. Lead Time]]="N/A",Main[[#This Row],[Std. Prod. Lead Time]]=""), "",IF(AND(Main[[#This Row],[In Stock Date]]&lt;&gt;"",Main[[#This Row],[Revised Due Date]]&lt;&gt;"",Main[[#This Row],[In Stock Date]]&lt;&gt;""),Main[[#This Row],[In Stock Date]]-Main[[#This Row],[Revised Due Date]],""))</f>
        <v/>
      </c>
      <c r="I795" s="101" t="s">
        <v>941</v>
      </c>
      <c r="J795" s="95" t="s">
        <v>4</v>
      </c>
      <c r="K795" s="95" t="s">
        <v>4</v>
      </c>
      <c r="L795" s="85"/>
      <c r="M795" s="73" t="str">
        <f>IF(Main[[#This Row],[Tech Start Date]]&lt;1/1/1990,"",IF(Main[[#This Row],[Class]]="C",WORKDAY(Main[[#This Row],[Tech Start Date]],9),IF(Main[[#This Row],[Class]]="B", WORKDAY(Main[[#This Row],[Tech Start Date]],6),IF(Main[[#This Row],[Class]]="A",WORKDAY(Main[[#This Row],[Tech Start Date]],2),""))))</f>
        <v/>
      </c>
      <c r="N795" s="73" t="str">
        <f>IF(Main[[#This Row],[Tech Start Date]]&lt;1/1/1990,"",IF(Main[[#This Row],[Class]]="C",WORKDAY(Main[[#This Row],[Tech Start Date]],19),IF(Main[[#This Row],[Class]]="B", WORKDAY(Main[[#This Row],[Tech Start Date]],12),IF(Main[[#This Row],[Class]]="A",WORKDAY(Main[[#This Row],[Tech Start Date]],4),""))))</f>
        <v/>
      </c>
      <c r="O795" s="73" t="str">
        <f>IF(Main[[#This Row],[Tech Start Date]]&lt;1/1/1990,"",IF(Main[[#This Row],[Class]]="C",WORKDAY(Main[[#This Row],[Tech Start Date]],23),IF(Main[[#This Row],[Class]]="B", WORKDAY(Main[[#This Row],[Tech Start Date]],15),IF(Main[[#This Row],[Class]]="A",WORKDAY(Main[[#This Row],[Tech Start Date]],5),""))))</f>
        <v/>
      </c>
      <c r="P795" s="73" t="str">
        <f>IF(Main[[#This Row],[Tech Start Date]]&lt;1/1/1990,"",IF(Main[[#This Row],[Class]]="C",WORKDAY(Main[[#This Row],[Tech Start Date]],28),IF(Main[[#This Row],[Class]]="B", WORKDAY(Main[[#This Row],[Tech Start Date]],19),IF(Main[[#This Row],[Class]]="A",WORKDAY(Main[[#This Row],[Tech Start Date]],9),""))))</f>
        <v/>
      </c>
      <c r="Q795" s="85"/>
      <c r="R795" s="112">
        <v>40815</v>
      </c>
      <c r="S795" s="95" t="s">
        <v>6</v>
      </c>
      <c r="T795" s="74" t="s">
        <v>4</v>
      </c>
      <c r="U795" s="95" t="s">
        <v>29</v>
      </c>
      <c r="V795" s="95" t="s">
        <v>1912</v>
      </c>
      <c r="W795" s="95" t="s">
        <v>1919</v>
      </c>
      <c r="X795" s="95" t="s">
        <v>941</v>
      </c>
      <c r="Y795" s="72" t="s">
        <v>2973</v>
      </c>
      <c r="Z795" s="72" t="s">
        <v>2047</v>
      </c>
      <c r="AA795" s="95" t="s">
        <v>941</v>
      </c>
      <c r="AB795" s="132"/>
      <c r="AC795" s="132"/>
      <c r="AD795" s="132"/>
      <c r="AE795" s="63"/>
      <c r="AF795" s="63"/>
      <c r="AG795" s="63"/>
    </row>
    <row r="796" spans="1:33" ht="17.2" customHeight="1">
      <c r="A796" s="64" t="str">
        <f>IF(priority(Main[[#This Row],[Comments]])&lt;&gt;0, priority(Main[[#This Row],[Comments]]),"")</f>
        <v/>
      </c>
      <c r="B796" s="60" t="s">
        <v>1425</v>
      </c>
      <c r="C796" s="72" t="s">
        <v>4</v>
      </c>
      <c r="D796" s="59" t="s">
        <v>2379</v>
      </c>
      <c r="E796" s="85">
        <v>40561.285520833335</v>
      </c>
      <c r="F796" s="85"/>
      <c r="G796" s="64" t="str">
        <f>IF(stdProdLT(Main[[#This Row],[Comments]])=0.1,"N/A",IF(stdProdLT(Main[[#This Row],[Comments]])=0,"",TRIM(stdProdLT(Main[[#This Row],[Comments]]))))</f>
        <v/>
      </c>
      <c r="H796" s="94" t="str">
        <f>IF(OR(Main[[#This Row],[Std. Prod. Lead Time]]="N/A",Main[[#This Row],[Std. Prod. Lead Time]]=""), "",IF(AND(Main[[#This Row],[In Stock Date]]&lt;&gt;"",Main[[#This Row],[Revised Due Date]]&lt;&gt;"",Main[[#This Row],[In Stock Date]]&lt;&gt;""),Main[[#This Row],[In Stock Date]]-Main[[#This Row],[Revised Due Date]],""))</f>
        <v/>
      </c>
      <c r="I796" s="101" t="s">
        <v>912</v>
      </c>
      <c r="J796" s="95" t="s">
        <v>52</v>
      </c>
      <c r="K796" s="96" t="s">
        <v>1918</v>
      </c>
      <c r="L796" s="85"/>
      <c r="M796" s="73" t="str">
        <f>IF(Main[[#This Row],[Tech Start Date]]&lt;1/1/1990,"",IF(Main[[#This Row],[Class]]="C",WORKDAY(Main[[#This Row],[Tech Start Date]],9),IF(Main[[#This Row],[Class]]="B", WORKDAY(Main[[#This Row],[Tech Start Date]],6),IF(Main[[#This Row],[Class]]="A",WORKDAY(Main[[#This Row],[Tech Start Date]],2),""))))</f>
        <v/>
      </c>
      <c r="N796" s="73" t="str">
        <f>IF(Main[[#This Row],[Tech Start Date]]&lt;1/1/1990,"",IF(Main[[#This Row],[Class]]="C",WORKDAY(Main[[#This Row],[Tech Start Date]],19),IF(Main[[#This Row],[Class]]="B", WORKDAY(Main[[#This Row],[Tech Start Date]],12),IF(Main[[#This Row],[Class]]="A",WORKDAY(Main[[#This Row],[Tech Start Date]],4),""))))</f>
        <v/>
      </c>
      <c r="O796" s="73" t="str">
        <f>IF(Main[[#This Row],[Tech Start Date]]&lt;1/1/1990,"",IF(Main[[#This Row],[Class]]="C",WORKDAY(Main[[#This Row],[Tech Start Date]],23),IF(Main[[#This Row],[Class]]="B", WORKDAY(Main[[#This Row],[Tech Start Date]],15),IF(Main[[#This Row],[Class]]="A",WORKDAY(Main[[#This Row],[Tech Start Date]],5),""))))</f>
        <v/>
      </c>
      <c r="P796" s="73" t="str">
        <f>IF(Main[[#This Row],[Tech Start Date]]&lt;1/1/1990,"",IF(Main[[#This Row],[Class]]="C",WORKDAY(Main[[#This Row],[Tech Start Date]],28),IF(Main[[#This Row],[Class]]="B", WORKDAY(Main[[#This Row],[Tech Start Date]],19),IF(Main[[#This Row],[Class]]="A",WORKDAY(Main[[#This Row],[Tech Start Date]],9),""))))</f>
        <v/>
      </c>
      <c r="Q796" s="85">
        <v>40595</v>
      </c>
      <c r="R796" s="112"/>
      <c r="S796" s="95" t="s">
        <v>6</v>
      </c>
      <c r="T796" s="74" t="s">
        <v>4</v>
      </c>
      <c r="U796" s="95" t="s">
        <v>29</v>
      </c>
      <c r="V796" s="95" t="s">
        <v>1911</v>
      </c>
      <c r="W796" s="95" t="s">
        <v>1913</v>
      </c>
      <c r="X796" s="95" t="s">
        <v>2802</v>
      </c>
      <c r="Y796" s="72" t="s">
        <v>2916</v>
      </c>
      <c r="Z796" s="72" t="s">
        <v>129</v>
      </c>
      <c r="AA796" s="95" t="s">
        <v>2802</v>
      </c>
      <c r="AB796" s="132"/>
      <c r="AC796" s="132"/>
      <c r="AD796" s="132"/>
      <c r="AE796" s="63"/>
      <c r="AF796" s="63"/>
      <c r="AG796" s="63"/>
    </row>
    <row r="797" spans="1:33" ht="17.2" customHeight="1">
      <c r="A797" s="64" t="str">
        <f>IF(priority(Main[[#This Row],[Comments]])&lt;&gt;0, priority(Main[[#This Row],[Comments]]),"")</f>
        <v/>
      </c>
      <c r="B797" s="60" t="s">
        <v>1573</v>
      </c>
      <c r="C797" s="72" t="s">
        <v>4</v>
      </c>
      <c r="D797" s="59" t="s">
        <v>654</v>
      </c>
      <c r="E797" s="85"/>
      <c r="F797" s="85"/>
      <c r="G797" s="64" t="str">
        <f>IF(stdProdLT(Main[[#This Row],[Comments]])=0.1,"N/A",IF(stdProdLT(Main[[#This Row],[Comments]])=0,"",TRIM(stdProdLT(Main[[#This Row],[Comments]]))))</f>
        <v/>
      </c>
      <c r="H797" s="94" t="str">
        <f>IF(OR(Main[[#This Row],[Std. Prod. Lead Time]]="N/A",Main[[#This Row],[Std. Prod. Lead Time]]=""), "",IF(AND(Main[[#This Row],[In Stock Date]]&lt;&gt;"",Main[[#This Row],[Revised Due Date]]&lt;&gt;"",Main[[#This Row],[In Stock Date]]&lt;&gt;""),Main[[#This Row],[In Stock Date]]-Main[[#This Row],[Revised Due Date]],""))</f>
        <v/>
      </c>
      <c r="I797" s="101" t="s">
        <v>4</v>
      </c>
      <c r="J797" s="95" t="s">
        <v>4</v>
      </c>
      <c r="K797" s="95" t="s">
        <v>4</v>
      </c>
      <c r="L797" s="85"/>
      <c r="M797" s="73" t="str">
        <f>IF(Main[[#This Row],[Tech Start Date]]&lt;1/1/1990,"",IF(Main[[#This Row],[Class]]="C",WORKDAY(Main[[#This Row],[Tech Start Date]],9),IF(Main[[#This Row],[Class]]="B", WORKDAY(Main[[#This Row],[Tech Start Date]],6),IF(Main[[#This Row],[Class]]="A",WORKDAY(Main[[#This Row],[Tech Start Date]],2),""))))</f>
        <v/>
      </c>
      <c r="N797" s="73" t="str">
        <f>IF(Main[[#This Row],[Tech Start Date]]&lt;1/1/1990,"",IF(Main[[#This Row],[Class]]="C",WORKDAY(Main[[#This Row],[Tech Start Date]],19),IF(Main[[#This Row],[Class]]="B", WORKDAY(Main[[#This Row],[Tech Start Date]],12),IF(Main[[#This Row],[Class]]="A",WORKDAY(Main[[#This Row],[Tech Start Date]],4),""))))</f>
        <v/>
      </c>
      <c r="O797" s="73" t="str">
        <f>IF(Main[[#This Row],[Tech Start Date]]&lt;1/1/1990,"",IF(Main[[#This Row],[Class]]="C",WORKDAY(Main[[#This Row],[Tech Start Date]],23),IF(Main[[#This Row],[Class]]="B", WORKDAY(Main[[#This Row],[Tech Start Date]],15),IF(Main[[#This Row],[Class]]="A",WORKDAY(Main[[#This Row],[Tech Start Date]],5),""))))</f>
        <v/>
      </c>
      <c r="P797" s="73" t="str">
        <f>IF(Main[[#This Row],[Tech Start Date]]&lt;1/1/1990,"",IF(Main[[#This Row],[Class]]="C",WORKDAY(Main[[#This Row],[Tech Start Date]],28),IF(Main[[#This Row],[Class]]="B", WORKDAY(Main[[#This Row],[Tech Start Date]],19),IF(Main[[#This Row],[Class]]="A",WORKDAY(Main[[#This Row],[Tech Start Date]],9),""))))</f>
        <v/>
      </c>
      <c r="Q797" s="85"/>
      <c r="R797" s="112"/>
      <c r="S797" s="95" t="s">
        <v>6</v>
      </c>
      <c r="T797" s="74" t="s">
        <v>4</v>
      </c>
      <c r="U797" s="95" t="s">
        <v>12</v>
      </c>
      <c r="V797" s="95" t="s">
        <v>1911</v>
      </c>
      <c r="W797" s="95" t="s">
        <v>4</v>
      </c>
      <c r="X797" s="95" t="s">
        <v>708</v>
      </c>
      <c r="Y797" s="72" t="s">
        <v>3048</v>
      </c>
      <c r="Z797" s="72" t="s">
        <v>4</v>
      </c>
      <c r="AA797" s="95" t="s">
        <v>708</v>
      </c>
      <c r="AB797" s="132"/>
      <c r="AC797" s="132"/>
      <c r="AD797" s="132"/>
      <c r="AE797" s="63"/>
      <c r="AF797" s="63"/>
      <c r="AG797" s="63"/>
    </row>
    <row r="798" spans="1:33" ht="17.2" customHeight="1">
      <c r="A798" s="64" t="str">
        <f>IF(priority(Main[[#This Row],[Comments]])&lt;&gt;0, priority(Main[[#This Row],[Comments]]),"")</f>
        <v/>
      </c>
      <c r="B798" s="60" t="s">
        <v>1574</v>
      </c>
      <c r="C798" s="72" t="s">
        <v>4</v>
      </c>
      <c r="D798" s="59" t="s">
        <v>655</v>
      </c>
      <c r="E798" s="85"/>
      <c r="F798" s="85"/>
      <c r="G798" s="64" t="str">
        <f>IF(stdProdLT(Main[[#This Row],[Comments]])=0.1,"N/A",IF(stdProdLT(Main[[#This Row],[Comments]])=0,"",TRIM(stdProdLT(Main[[#This Row],[Comments]]))))</f>
        <v/>
      </c>
      <c r="H798" s="94" t="str">
        <f>IF(OR(Main[[#This Row],[Std. Prod. Lead Time]]="N/A",Main[[#This Row],[Std. Prod. Lead Time]]=""), "",IF(AND(Main[[#This Row],[In Stock Date]]&lt;&gt;"",Main[[#This Row],[Revised Due Date]]&lt;&gt;"",Main[[#This Row],[In Stock Date]]&lt;&gt;""),Main[[#This Row],[In Stock Date]]-Main[[#This Row],[Revised Due Date]],""))</f>
        <v/>
      </c>
      <c r="I798" s="101" t="s">
        <v>4</v>
      </c>
      <c r="J798" s="95" t="s">
        <v>4</v>
      </c>
      <c r="K798" s="95" t="s">
        <v>4</v>
      </c>
      <c r="L798" s="85"/>
      <c r="M798" s="73" t="str">
        <f>IF(Main[[#This Row],[Tech Start Date]]&lt;1/1/1990,"",IF(Main[[#This Row],[Class]]="C",WORKDAY(Main[[#This Row],[Tech Start Date]],9),IF(Main[[#This Row],[Class]]="B", WORKDAY(Main[[#This Row],[Tech Start Date]],6),IF(Main[[#This Row],[Class]]="A",WORKDAY(Main[[#This Row],[Tech Start Date]],2),""))))</f>
        <v/>
      </c>
      <c r="N798" s="73" t="str">
        <f>IF(Main[[#This Row],[Tech Start Date]]&lt;1/1/1990,"",IF(Main[[#This Row],[Class]]="C",WORKDAY(Main[[#This Row],[Tech Start Date]],19),IF(Main[[#This Row],[Class]]="B", WORKDAY(Main[[#This Row],[Tech Start Date]],12),IF(Main[[#This Row],[Class]]="A",WORKDAY(Main[[#This Row],[Tech Start Date]],4),""))))</f>
        <v/>
      </c>
      <c r="O798" s="73" t="str">
        <f>IF(Main[[#This Row],[Tech Start Date]]&lt;1/1/1990,"",IF(Main[[#This Row],[Class]]="C",WORKDAY(Main[[#This Row],[Tech Start Date]],23),IF(Main[[#This Row],[Class]]="B", WORKDAY(Main[[#This Row],[Tech Start Date]],15),IF(Main[[#This Row],[Class]]="A",WORKDAY(Main[[#This Row],[Tech Start Date]],5),""))))</f>
        <v/>
      </c>
      <c r="P798" s="73" t="str">
        <f>IF(Main[[#This Row],[Tech Start Date]]&lt;1/1/1990,"",IF(Main[[#This Row],[Class]]="C",WORKDAY(Main[[#This Row],[Tech Start Date]],28),IF(Main[[#This Row],[Class]]="B", WORKDAY(Main[[#This Row],[Tech Start Date]],19),IF(Main[[#This Row],[Class]]="A",WORKDAY(Main[[#This Row],[Tech Start Date]],9),""))))</f>
        <v/>
      </c>
      <c r="Q798" s="85"/>
      <c r="R798" s="112"/>
      <c r="S798" s="95" t="s">
        <v>6</v>
      </c>
      <c r="T798" s="74" t="s">
        <v>4</v>
      </c>
      <c r="U798" s="95" t="s">
        <v>14</v>
      </c>
      <c r="V798" s="95" t="s">
        <v>1911</v>
      </c>
      <c r="W798" s="95" t="s">
        <v>1919</v>
      </c>
      <c r="X798" s="95" t="s">
        <v>708</v>
      </c>
      <c r="Y798" s="72" t="s">
        <v>3062</v>
      </c>
      <c r="Z798" s="72" t="s">
        <v>4</v>
      </c>
      <c r="AA798" s="95" t="s">
        <v>3386</v>
      </c>
      <c r="AB798" s="132"/>
      <c r="AC798" s="132"/>
      <c r="AD798" s="132"/>
      <c r="AE798" s="63"/>
      <c r="AF798" s="63"/>
      <c r="AG798" s="63"/>
    </row>
    <row r="799" spans="1:33" ht="17.2" customHeight="1">
      <c r="A799" s="64" t="str">
        <f>IF(priority(Main[[#This Row],[Comments]])&lt;&gt;0, priority(Main[[#This Row],[Comments]]),"")</f>
        <v/>
      </c>
      <c r="B799" s="60" t="s">
        <v>1575</v>
      </c>
      <c r="C799" s="72" t="s">
        <v>4</v>
      </c>
      <c r="D799" s="59" t="s">
        <v>656</v>
      </c>
      <c r="E799" s="85"/>
      <c r="F799" s="85"/>
      <c r="G799" s="64" t="str">
        <f>IF(stdProdLT(Main[[#This Row],[Comments]])=0.1,"N/A",IF(stdProdLT(Main[[#This Row],[Comments]])=0,"",TRIM(stdProdLT(Main[[#This Row],[Comments]]))))</f>
        <v/>
      </c>
      <c r="H799" s="94" t="str">
        <f>IF(OR(Main[[#This Row],[Std. Prod. Lead Time]]="N/A",Main[[#This Row],[Std. Prod. Lead Time]]=""), "",IF(AND(Main[[#This Row],[In Stock Date]]&lt;&gt;"",Main[[#This Row],[Revised Due Date]]&lt;&gt;"",Main[[#This Row],[In Stock Date]]&lt;&gt;""),Main[[#This Row],[In Stock Date]]-Main[[#This Row],[Revised Due Date]],""))</f>
        <v/>
      </c>
      <c r="I799" s="101" t="s">
        <v>4</v>
      </c>
      <c r="J799" s="95" t="s">
        <v>4</v>
      </c>
      <c r="K799" s="95" t="s">
        <v>4</v>
      </c>
      <c r="L799" s="85"/>
      <c r="M799" s="73" t="str">
        <f>IF(Main[[#This Row],[Tech Start Date]]&lt;1/1/1990,"",IF(Main[[#This Row],[Class]]="C",WORKDAY(Main[[#This Row],[Tech Start Date]],9),IF(Main[[#This Row],[Class]]="B", WORKDAY(Main[[#This Row],[Tech Start Date]],6),IF(Main[[#This Row],[Class]]="A",WORKDAY(Main[[#This Row],[Tech Start Date]],2),""))))</f>
        <v/>
      </c>
      <c r="N799" s="73" t="str">
        <f>IF(Main[[#This Row],[Tech Start Date]]&lt;1/1/1990,"",IF(Main[[#This Row],[Class]]="C",WORKDAY(Main[[#This Row],[Tech Start Date]],19),IF(Main[[#This Row],[Class]]="B", WORKDAY(Main[[#This Row],[Tech Start Date]],12),IF(Main[[#This Row],[Class]]="A",WORKDAY(Main[[#This Row],[Tech Start Date]],4),""))))</f>
        <v/>
      </c>
      <c r="O799" s="73" t="str">
        <f>IF(Main[[#This Row],[Tech Start Date]]&lt;1/1/1990,"",IF(Main[[#This Row],[Class]]="C",WORKDAY(Main[[#This Row],[Tech Start Date]],23),IF(Main[[#This Row],[Class]]="B", WORKDAY(Main[[#This Row],[Tech Start Date]],15),IF(Main[[#This Row],[Class]]="A",WORKDAY(Main[[#This Row],[Tech Start Date]],5),""))))</f>
        <v/>
      </c>
      <c r="P799" s="73" t="str">
        <f>IF(Main[[#This Row],[Tech Start Date]]&lt;1/1/1990,"",IF(Main[[#This Row],[Class]]="C",WORKDAY(Main[[#This Row],[Tech Start Date]],28),IF(Main[[#This Row],[Class]]="B", WORKDAY(Main[[#This Row],[Tech Start Date]],19),IF(Main[[#This Row],[Class]]="A",WORKDAY(Main[[#This Row],[Tech Start Date]],9),""))))</f>
        <v/>
      </c>
      <c r="Q799" s="85"/>
      <c r="R799" s="112"/>
      <c r="S799" s="95" t="s">
        <v>11</v>
      </c>
      <c r="T799" s="74" t="s">
        <v>4</v>
      </c>
      <c r="U799" s="95" t="s">
        <v>12</v>
      </c>
      <c r="V799" s="95" t="s">
        <v>1911</v>
      </c>
      <c r="W799" s="95" t="s">
        <v>1915</v>
      </c>
      <c r="X799" s="95" t="s">
        <v>922</v>
      </c>
      <c r="Y799" s="72" t="s">
        <v>2970</v>
      </c>
      <c r="Z799" s="72" t="s">
        <v>4</v>
      </c>
      <c r="AA799" s="95" t="s">
        <v>3387</v>
      </c>
      <c r="AB799" s="132"/>
      <c r="AC799" s="132"/>
      <c r="AD799" s="132"/>
      <c r="AE799" s="63"/>
      <c r="AF799" s="63"/>
      <c r="AG799" s="63"/>
    </row>
    <row r="800" spans="1:33" ht="17.2" customHeight="1">
      <c r="A800" s="64" t="str">
        <f>IF(priority(Main[[#This Row],[Comments]])&lt;&gt;0, priority(Main[[#This Row],[Comments]]),"")</f>
        <v/>
      </c>
      <c r="B800" s="60" t="s">
        <v>1576</v>
      </c>
      <c r="C800" s="72" t="s">
        <v>4</v>
      </c>
      <c r="D800" s="59" t="s">
        <v>97</v>
      </c>
      <c r="E800" s="85"/>
      <c r="F800" s="85"/>
      <c r="G800" s="64" t="str">
        <f>IF(stdProdLT(Main[[#This Row],[Comments]])=0.1,"N/A",IF(stdProdLT(Main[[#This Row],[Comments]])=0,"",TRIM(stdProdLT(Main[[#This Row],[Comments]]))))</f>
        <v/>
      </c>
      <c r="H800" s="94" t="str">
        <f>IF(OR(Main[[#This Row],[Std. Prod. Lead Time]]="N/A",Main[[#This Row],[Std. Prod. Lead Time]]=""), "",IF(AND(Main[[#This Row],[In Stock Date]]&lt;&gt;"",Main[[#This Row],[Revised Due Date]]&lt;&gt;"",Main[[#This Row],[In Stock Date]]&lt;&gt;""),Main[[#This Row],[In Stock Date]]-Main[[#This Row],[Revised Due Date]],""))</f>
        <v/>
      </c>
      <c r="I800" s="101" t="s">
        <v>4</v>
      </c>
      <c r="J800" s="95" t="s">
        <v>4</v>
      </c>
      <c r="K800" s="96" t="s">
        <v>4</v>
      </c>
      <c r="L800" s="85"/>
      <c r="M800" s="73" t="str">
        <f>IF(Main[[#This Row],[Tech Start Date]]&lt;1/1/1990,"",IF(Main[[#This Row],[Class]]="C",WORKDAY(Main[[#This Row],[Tech Start Date]],9),IF(Main[[#This Row],[Class]]="B", WORKDAY(Main[[#This Row],[Tech Start Date]],6),IF(Main[[#This Row],[Class]]="A",WORKDAY(Main[[#This Row],[Tech Start Date]],2),""))))</f>
        <v/>
      </c>
      <c r="N800" s="73" t="str">
        <f>IF(Main[[#This Row],[Tech Start Date]]&lt;1/1/1990,"",IF(Main[[#This Row],[Class]]="C",WORKDAY(Main[[#This Row],[Tech Start Date]],19),IF(Main[[#This Row],[Class]]="B", WORKDAY(Main[[#This Row],[Tech Start Date]],12),IF(Main[[#This Row],[Class]]="A",WORKDAY(Main[[#This Row],[Tech Start Date]],4),""))))</f>
        <v/>
      </c>
      <c r="O800" s="73" t="str">
        <f>IF(Main[[#This Row],[Tech Start Date]]&lt;1/1/1990,"",IF(Main[[#This Row],[Class]]="C",WORKDAY(Main[[#This Row],[Tech Start Date]],23),IF(Main[[#This Row],[Class]]="B", WORKDAY(Main[[#This Row],[Tech Start Date]],15),IF(Main[[#This Row],[Class]]="A",WORKDAY(Main[[#This Row],[Tech Start Date]],5),""))))</f>
        <v/>
      </c>
      <c r="P800" s="73" t="str">
        <f>IF(Main[[#This Row],[Tech Start Date]]&lt;1/1/1990,"",IF(Main[[#This Row],[Class]]="C",WORKDAY(Main[[#This Row],[Tech Start Date]],28),IF(Main[[#This Row],[Class]]="B", WORKDAY(Main[[#This Row],[Tech Start Date]],19),IF(Main[[#This Row],[Class]]="A",WORKDAY(Main[[#This Row],[Tech Start Date]],9),""))))</f>
        <v/>
      </c>
      <c r="Q800" s="85">
        <v>40858</v>
      </c>
      <c r="R800" s="112"/>
      <c r="S800" s="95" t="s">
        <v>17</v>
      </c>
      <c r="T800" s="74" t="s">
        <v>4</v>
      </c>
      <c r="U800" s="95" t="s">
        <v>14</v>
      </c>
      <c r="V800" s="95" t="s">
        <v>1911</v>
      </c>
      <c r="W800" s="95" t="s">
        <v>1916</v>
      </c>
      <c r="X800" s="95" t="s">
        <v>50</v>
      </c>
      <c r="Y800" s="72" t="s">
        <v>2937</v>
      </c>
      <c r="Z800" s="72" t="s">
        <v>4</v>
      </c>
      <c r="AA800" s="95" t="s">
        <v>2808</v>
      </c>
      <c r="AB800" s="132"/>
      <c r="AC800" s="132"/>
      <c r="AD800" s="132"/>
      <c r="AE800" s="63"/>
      <c r="AF800" s="63"/>
      <c r="AG800" s="63"/>
    </row>
    <row r="801" spans="1:33" ht="17.2" customHeight="1">
      <c r="A801" s="64" t="str">
        <f>IF(priority(Main[[#This Row],[Comments]])&lt;&gt;0, priority(Main[[#This Row],[Comments]]),"")</f>
        <v/>
      </c>
      <c r="B801" s="60" t="s">
        <v>1848</v>
      </c>
      <c r="C801" s="72" t="s">
        <v>67</v>
      </c>
      <c r="D801" s="59" t="s">
        <v>906</v>
      </c>
      <c r="E801" s="85">
        <v>39981.49428240741</v>
      </c>
      <c r="F801" s="85"/>
      <c r="G801" s="64" t="str">
        <f>IF(stdProdLT(Main[[#This Row],[Comments]])=0.1,"N/A",IF(stdProdLT(Main[[#This Row],[Comments]])=0,"",TRIM(stdProdLT(Main[[#This Row],[Comments]]))))</f>
        <v/>
      </c>
      <c r="H801" s="94" t="str">
        <f>IF(OR(Main[[#This Row],[Std. Prod. Lead Time]]="N/A",Main[[#This Row],[Std. Prod. Lead Time]]=""), "",IF(AND(Main[[#This Row],[In Stock Date]]&lt;&gt;"",Main[[#This Row],[Revised Due Date]]&lt;&gt;"",Main[[#This Row],[In Stock Date]]&lt;&gt;""),Main[[#This Row],[In Stock Date]]-Main[[#This Row],[Revised Due Date]],""))</f>
        <v/>
      </c>
      <c r="I801" s="101" t="s">
        <v>974</v>
      </c>
      <c r="J801" s="95" t="s">
        <v>4</v>
      </c>
      <c r="K801" s="95" t="s">
        <v>1923</v>
      </c>
      <c r="L801" s="85"/>
      <c r="M801" s="73" t="str">
        <f>IF(Main[[#This Row],[Tech Start Date]]&lt;1/1/1990,"",IF(Main[[#This Row],[Class]]="C",WORKDAY(Main[[#This Row],[Tech Start Date]],9),IF(Main[[#This Row],[Class]]="B", WORKDAY(Main[[#This Row],[Tech Start Date]],6),IF(Main[[#This Row],[Class]]="A",WORKDAY(Main[[#This Row],[Tech Start Date]],2),""))))</f>
        <v/>
      </c>
      <c r="N801" s="73" t="str">
        <f>IF(Main[[#This Row],[Tech Start Date]]&lt;1/1/1990,"",IF(Main[[#This Row],[Class]]="C",WORKDAY(Main[[#This Row],[Tech Start Date]],19),IF(Main[[#This Row],[Class]]="B", WORKDAY(Main[[#This Row],[Tech Start Date]],12),IF(Main[[#This Row],[Class]]="A",WORKDAY(Main[[#This Row],[Tech Start Date]],4),""))))</f>
        <v/>
      </c>
      <c r="O801" s="73" t="str">
        <f>IF(Main[[#This Row],[Tech Start Date]]&lt;1/1/1990,"",IF(Main[[#This Row],[Class]]="C",WORKDAY(Main[[#This Row],[Tech Start Date]],23),IF(Main[[#This Row],[Class]]="B", WORKDAY(Main[[#This Row],[Tech Start Date]],15),IF(Main[[#This Row],[Class]]="A",WORKDAY(Main[[#This Row],[Tech Start Date]],5),""))))</f>
        <v/>
      </c>
      <c r="P801" s="73" t="str">
        <f>IF(Main[[#This Row],[Tech Start Date]]&lt;1/1/1990,"",IF(Main[[#This Row],[Class]]="C",WORKDAY(Main[[#This Row],[Tech Start Date]],28),IF(Main[[#This Row],[Class]]="B", WORKDAY(Main[[#This Row],[Tech Start Date]],19),IF(Main[[#This Row],[Class]]="A",WORKDAY(Main[[#This Row],[Tech Start Date]],9),""))))</f>
        <v/>
      </c>
      <c r="Q801" s="85">
        <v>40057</v>
      </c>
      <c r="R801" s="112">
        <v>40908</v>
      </c>
      <c r="S801" s="95" t="s">
        <v>17</v>
      </c>
      <c r="T801" s="74" t="s">
        <v>4</v>
      </c>
      <c r="U801" s="95" t="s">
        <v>29</v>
      </c>
      <c r="V801" s="95" t="s">
        <v>1914</v>
      </c>
      <c r="W801" s="95" t="s">
        <v>1916</v>
      </c>
      <c r="X801" s="95" t="s">
        <v>2800</v>
      </c>
      <c r="Y801" s="72" t="s">
        <v>3006</v>
      </c>
      <c r="Z801" s="72" t="s">
        <v>415</v>
      </c>
      <c r="AA801" s="95" t="s">
        <v>2838</v>
      </c>
      <c r="AB801" s="132"/>
      <c r="AC801" s="132"/>
      <c r="AD801" s="132"/>
      <c r="AE801" s="63"/>
      <c r="AF801" s="63"/>
      <c r="AG801" s="63"/>
    </row>
    <row r="802" spans="1:33" ht="17.2" customHeight="1">
      <c r="A802" s="64" t="str">
        <f>IF(priority(Main[[#This Row],[Comments]])&lt;&gt;0, priority(Main[[#This Row],[Comments]]),"")</f>
        <v/>
      </c>
      <c r="B802" s="60" t="s">
        <v>1830</v>
      </c>
      <c r="C802" s="72" t="s">
        <v>4</v>
      </c>
      <c r="D802" s="59" t="s">
        <v>885</v>
      </c>
      <c r="E802" s="85">
        <v>40045.443194444444</v>
      </c>
      <c r="F802" s="85"/>
      <c r="G802" s="64" t="str">
        <f>IF(stdProdLT(Main[[#This Row],[Comments]])=0.1,"N/A",IF(stdProdLT(Main[[#This Row],[Comments]])=0,"",TRIM(stdProdLT(Main[[#This Row],[Comments]]))))</f>
        <v/>
      </c>
      <c r="H802" s="94" t="str">
        <f>IF(OR(Main[[#This Row],[Std. Prod. Lead Time]]="N/A",Main[[#This Row],[Std. Prod. Lead Time]]=""), "",IF(AND(Main[[#This Row],[In Stock Date]]&lt;&gt;"",Main[[#This Row],[Revised Due Date]]&lt;&gt;"",Main[[#This Row],[In Stock Date]]&lt;&gt;""),Main[[#This Row],[In Stock Date]]-Main[[#This Row],[Revised Due Date]],""))</f>
        <v/>
      </c>
      <c r="I802" s="101" t="s">
        <v>886</v>
      </c>
      <c r="J802" s="95" t="s">
        <v>4</v>
      </c>
      <c r="K802" s="95" t="s">
        <v>1923</v>
      </c>
      <c r="L802" s="85"/>
      <c r="M802" s="73" t="str">
        <f>IF(Main[[#This Row],[Tech Start Date]]&lt;1/1/1990,"",IF(Main[[#This Row],[Class]]="C",WORKDAY(Main[[#This Row],[Tech Start Date]],9),IF(Main[[#This Row],[Class]]="B", WORKDAY(Main[[#This Row],[Tech Start Date]],6),IF(Main[[#This Row],[Class]]="A",WORKDAY(Main[[#This Row],[Tech Start Date]],2),""))))</f>
        <v/>
      </c>
      <c r="N802" s="73" t="str">
        <f>IF(Main[[#This Row],[Tech Start Date]]&lt;1/1/1990,"",IF(Main[[#This Row],[Class]]="C",WORKDAY(Main[[#This Row],[Tech Start Date]],19),IF(Main[[#This Row],[Class]]="B", WORKDAY(Main[[#This Row],[Tech Start Date]],12),IF(Main[[#This Row],[Class]]="A",WORKDAY(Main[[#This Row],[Tech Start Date]],4),""))))</f>
        <v/>
      </c>
      <c r="O802" s="73" t="str">
        <f>IF(Main[[#This Row],[Tech Start Date]]&lt;1/1/1990,"",IF(Main[[#This Row],[Class]]="C",WORKDAY(Main[[#This Row],[Tech Start Date]],23),IF(Main[[#This Row],[Class]]="B", WORKDAY(Main[[#This Row],[Tech Start Date]],15),IF(Main[[#This Row],[Class]]="A",WORKDAY(Main[[#This Row],[Tech Start Date]],5),""))))</f>
        <v/>
      </c>
      <c r="P802" s="73" t="str">
        <f>IF(Main[[#This Row],[Tech Start Date]]&lt;1/1/1990,"",IF(Main[[#This Row],[Class]]="C",WORKDAY(Main[[#This Row],[Tech Start Date]],28),IF(Main[[#This Row],[Class]]="B", WORKDAY(Main[[#This Row],[Tech Start Date]],19),IF(Main[[#This Row],[Class]]="A",WORKDAY(Main[[#This Row],[Tech Start Date]],9),""))))</f>
        <v/>
      </c>
      <c r="Q802" s="85">
        <v>40359</v>
      </c>
      <c r="R802" s="112">
        <v>40420</v>
      </c>
      <c r="S802" s="95" t="s">
        <v>6</v>
      </c>
      <c r="T802" s="74" t="s">
        <v>4</v>
      </c>
      <c r="U802" s="95" t="s">
        <v>29</v>
      </c>
      <c r="V802" s="95" t="s">
        <v>1911</v>
      </c>
      <c r="W802" s="95" t="s">
        <v>1915</v>
      </c>
      <c r="X802" s="95" t="s">
        <v>969</v>
      </c>
      <c r="Y802" s="72" t="s">
        <v>3063</v>
      </c>
      <c r="Z802" s="72" t="s">
        <v>4</v>
      </c>
      <c r="AA802" s="95" t="s">
        <v>969</v>
      </c>
      <c r="AB802" s="132"/>
      <c r="AC802" s="132"/>
      <c r="AD802" s="132"/>
      <c r="AE802" s="63"/>
      <c r="AF802" s="63"/>
      <c r="AG802" s="63"/>
    </row>
    <row r="803" spans="1:33" ht="17.2" customHeight="1">
      <c r="A803" s="64" t="str">
        <f>IF(priority(Main[[#This Row],[Comments]])&lt;&gt;0, priority(Main[[#This Row],[Comments]]),"")</f>
        <v/>
      </c>
      <c r="B803" s="60" t="s">
        <v>1578</v>
      </c>
      <c r="C803" s="72" t="s">
        <v>47</v>
      </c>
      <c r="D803" s="59" t="s">
        <v>659</v>
      </c>
      <c r="E803" s="85"/>
      <c r="F803" s="85"/>
      <c r="G803" s="64" t="str">
        <f>IF(stdProdLT(Main[[#This Row],[Comments]])=0.1,"N/A",IF(stdProdLT(Main[[#This Row],[Comments]])=0,"",TRIM(stdProdLT(Main[[#This Row],[Comments]]))))</f>
        <v/>
      </c>
      <c r="H803" s="94" t="str">
        <f>IF(OR(Main[[#This Row],[Std. Prod. Lead Time]]="N/A",Main[[#This Row],[Std. Prod. Lead Time]]=""), "",IF(AND(Main[[#This Row],[In Stock Date]]&lt;&gt;"",Main[[#This Row],[Revised Due Date]]&lt;&gt;"",Main[[#This Row],[In Stock Date]]&lt;&gt;""),Main[[#This Row],[In Stock Date]]-Main[[#This Row],[Revised Due Date]],""))</f>
        <v/>
      </c>
      <c r="I803" s="101" t="s">
        <v>4</v>
      </c>
      <c r="J803" s="95" t="s">
        <v>4</v>
      </c>
      <c r="K803" s="95" t="s">
        <v>4</v>
      </c>
      <c r="L803" s="85"/>
      <c r="M803" s="73" t="str">
        <f>IF(Main[[#This Row],[Tech Start Date]]&lt;1/1/1990,"",IF(Main[[#This Row],[Class]]="C",WORKDAY(Main[[#This Row],[Tech Start Date]],9),IF(Main[[#This Row],[Class]]="B", WORKDAY(Main[[#This Row],[Tech Start Date]],6),IF(Main[[#This Row],[Class]]="A",WORKDAY(Main[[#This Row],[Tech Start Date]],2),""))))</f>
        <v/>
      </c>
      <c r="N803" s="73" t="str">
        <f>IF(Main[[#This Row],[Tech Start Date]]&lt;1/1/1990,"",IF(Main[[#This Row],[Class]]="C",WORKDAY(Main[[#This Row],[Tech Start Date]],19),IF(Main[[#This Row],[Class]]="B", WORKDAY(Main[[#This Row],[Tech Start Date]],12),IF(Main[[#This Row],[Class]]="A",WORKDAY(Main[[#This Row],[Tech Start Date]],4),""))))</f>
        <v/>
      </c>
      <c r="O803" s="73" t="str">
        <f>IF(Main[[#This Row],[Tech Start Date]]&lt;1/1/1990,"",IF(Main[[#This Row],[Class]]="C",WORKDAY(Main[[#This Row],[Tech Start Date]],23),IF(Main[[#This Row],[Class]]="B", WORKDAY(Main[[#This Row],[Tech Start Date]],15),IF(Main[[#This Row],[Class]]="A",WORKDAY(Main[[#This Row],[Tech Start Date]],5),""))))</f>
        <v/>
      </c>
      <c r="P803" s="73" t="str">
        <f>IF(Main[[#This Row],[Tech Start Date]]&lt;1/1/1990,"",IF(Main[[#This Row],[Class]]="C",WORKDAY(Main[[#This Row],[Tech Start Date]],28),IF(Main[[#This Row],[Class]]="B", WORKDAY(Main[[#This Row],[Tech Start Date]],19),IF(Main[[#This Row],[Class]]="A",WORKDAY(Main[[#This Row],[Tech Start Date]],9),""))))</f>
        <v/>
      </c>
      <c r="Q803" s="85"/>
      <c r="R803" s="112"/>
      <c r="S803" s="95" t="s">
        <v>17</v>
      </c>
      <c r="T803" s="74" t="s">
        <v>4</v>
      </c>
      <c r="U803" s="95" t="s">
        <v>14</v>
      </c>
      <c r="V803" s="95" t="s">
        <v>1914</v>
      </c>
      <c r="W803" s="95" t="s">
        <v>4</v>
      </c>
      <c r="X803" s="95" t="s">
        <v>2839</v>
      </c>
      <c r="Y803" s="72" t="s">
        <v>2926</v>
      </c>
      <c r="Z803" s="72" t="s">
        <v>4</v>
      </c>
      <c r="AA803" s="95" t="s">
        <v>2839</v>
      </c>
      <c r="AB803" s="132"/>
      <c r="AC803" s="132"/>
      <c r="AD803" s="132"/>
      <c r="AE803" s="63"/>
      <c r="AF803" s="63"/>
      <c r="AG803" s="63"/>
    </row>
    <row r="804" spans="1:33" ht="17.2" customHeight="1">
      <c r="A804" s="64" t="str">
        <f>IF(priority(Main[[#This Row],[Comments]])&lt;&gt;0, priority(Main[[#This Row],[Comments]]),"")</f>
        <v/>
      </c>
      <c r="B804" s="60" t="s">
        <v>1579</v>
      </c>
      <c r="C804" s="72" t="s">
        <v>277</v>
      </c>
      <c r="D804" s="59" t="s">
        <v>660</v>
      </c>
      <c r="E804" s="85"/>
      <c r="F804" s="85">
        <v>40567</v>
      </c>
      <c r="G804" s="64" t="str">
        <f>IF(stdProdLT(Main[[#This Row],[Comments]])=0.1,"N/A",IF(stdProdLT(Main[[#This Row],[Comments]])=0,"",TRIM(stdProdLT(Main[[#This Row],[Comments]]))))</f>
        <v/>
      </c>
      <c r="H804" s="94" t="str">
        <f>IF(OR(Main[[#This Row],[Std. Prod. Lead Time]]="N/A",Main[[#This Row],[Std. Prod. Lead Time]]=""), "",IF(AND(Main[[#This Row],[In Stock Date]]&lt;&gt;"",Main[[#This Row],[Revised Due Date]]&lt;&gt;"",Main[[#This Row],[In Stock Date]]&lt;&gt;""),Main[[#This Row],[In Stock Date]]-Main[[#This Row],[Revised Due Date]],""))</f>
        <v/>
      </c>
      <c r="I804" s="101" t="s">
        <v>4</v>
      </c>
      <c r="J804" s="95" t="s">
        <v>4</v>
      </c>
      <c r="K804" s="96" t="s">
        <v>4</v>
      </c>
      <c r="L804" s="85"/>
      <c r="M804" s="73" t="str">
        <f>IF(Main[[#This Row],[Tech Start Date]]&lt;1/1/1990,"",IF(Main[[#This Row],[Class]]="C",WORKDAY(Main[[#This Row],[Tech Start Date]],9),IF(Main[[#This Row],[Class]]="B", WORKDAY(Main[[#This Row],[Tech Start Date]],6),IF(Main[[#This Row],[Class]]="A",WORKDAY(Main[[#This Row],[Tech Start Date]],2),""))))</f>
        <v/>
      </c>
      <c r="N804" s="73" t="str">
        <f>IF(Main[[#This Row],[Tech Start Date]]&lt;1/1/1990,"",IF(Main[[#This Row],[Class]]="C",WORKDAY(Main[[#This Row],[Tech Start Date]],19),IF(Main[[#This Row],[Class]]="B", WORKDAY(Main[[#This Row],[Tech Start Date]],12),IF(Main[[#This Row],[Class]]="A",WORKDAY(Main[[#This Row],[Tech Start Date]],4),""))))</f>
        <v/>
      </c>
      <c r="O804" s="73" t="str">
        <f>IF(Main[[#This Row],[Tech Start Date]]&lt;1/1/1990,"",IF(Main[[#This Row],[Class]]="C",WORKDAY(Main[[#This Row],[Tech Start Date]],23),IF(Main[[#This Row],[Class]]="B", WORKDAY(Main[[#This Row],[Tech Start Date]],15),IF(Main[[#This Row],[Class]]="A",WORKDAY(Main[[#This Row],[Tech Start Date]],5),""))))</f>
        <v/>
      </c>
      <c r="P804" s="73" t="str">
        <f>IF(Main[[#This Row],[Tech Start Date]]&lt;1/1/1990,"",IF(Main[[#This Row],[Class]]="C",WORKDAY(Main[[#This Row],[Tech Start Date]],28),IF(Main[[#This Row],[Class]]="B", WORKDAY(Main[[#This Row],[Tech Start Date]],19),IF(Main[[#This Row],[Class]]="A",WORKDAY(Main[[#This Row],[Tech Start Date]],9),""))))</f>
        <v/>
      </c>
      <c r="Q804" s="85">
        <v>40427</v>
      </c>
      <c r="R804" s="112"/>
      <c r="S804" s="95" t="s">
        <v>11</v>
      </c>
      <c r="T804" s="74" t="s">
        <v>4</v>
      </c>
      <c r="U804" s="95" t="s">
        <v>12</v>
      </c>
      <c r="V804" s="95" t="s">
        <v>1911</v>
      </c>
      <c r="W804" s="95" t="s">
        <v>1919</v>
      </c>
      <c r="X804" s="95" t="s">
        <v>2823</v>
      </c>
      <c r="Y804" s="72" t="s">
        <v>4</v>
      </c>
      <c r="Z804" s="72" t="s">
        <v>4</v>
      </c>
      <c r="AA804" s="95" t="s">
        <v>2823</v>
      </c>
      <c r="AB804" s="132"/>
      <c r="AC804" s="132"/>
      <c r="AD804" s="132"/>
      <c r="AE804" s="63"/>
      <c r="AF804" s="63"/>
      <c r="AG804" s="63"/>
    </row>
    <row r="805" spans="1:33" ht="17.2" customHeight="1">
      <c r="A805" s="64" t="str">
        <f>IF(priority(Main[[#This Row],[Comments]])&lt;&gt;0, priority(Main[[#This Row],[Comments]]),"")</f>
        <v/>
      </c>
      <c r="B805" s="60" t="s">
        <v>2399</v>
      </c>
      <c r="C805" s="72" t="s">
        <v>4</v>
      </c>
      <c r="D805" s="59" t="s">
        <v>2712</v>
      </c>
      <c r="E805" s="85">
        <v>40905.580543981479</v>
      </c>
      <c r="F805" s="85"/>
      <c r="G805" s="64" t="str">
        <f>IF(stdProdLT(Main[[#This Row],[Comments]])=0.1,"N/A",IF(stdProdLT(Main[[#This Row],[Comments]])=0,"",TRIM(stdProdLT(Main[[#This Row],[Comments]]))))</f>
        <v/>
      </c>
      <c r="H805" s="94" t="str">
        <f>IF(OR(Main[[#This Row],[Std. Prod. Lead Time]]="N/A",Main[[#This Row],[Std. Prod. Lead Time]]=""), "",IF(AND(Main[[#This Row],[In Stock Date]]&lt;&gt;"",Main[[#This Row],[Revised Due Date]]&lt;&gt;"",Main[[#This Row],[In Stock Date]]&lt;&gt;""),Main[[#This Row],[In Stock Date]]-Main[[#This Row],[Revised Due Date]],""))</f>
        <v/>
      </c>
      <c r="I805" s="101" t="s">
        <v>2038</v>
      </c>
      <c r="J805" s="95" t="s">
        <v>28</v>
      </c>
      <c r="K805" s="96" t="s">
        <v>1920</v>
      </c>
      <c r="L805" s="85"/>
      <c r="M805" s="73" t="str">
        <f>IF(Main[[#This Row],[Tech Start Date]]&lt;1/1/1990,"",IF(Main[[#This Row],[Class]]="C",WORKDAY(Main[[#This Row],[Tech Start Date]],9),IF(Main[[#This Row],[Class]]="B", WORKDAY(Main[[#This Row],[Tech Start Date]],6),IF(Main[[#This Row],[Class]]="A",WORKDAY(Main[[#This Row],[Tech Start Date]],2),""))))</f>
        <v/>
      </c>
      <c r="N805" s="73" t="str">
        <f>IF(Main[[#This Row],[Tech Start Date]]&lt;1/1/1990,"",IF(Main[[#This Row],[Class]]="C",WORKDAY(Main[[#This Row],[Tech Start Date]],19),IF(Main[[#This Row],[Class]]="B", WORKDAY(Main[[#This Row],[Tech Start Date]],12),IF(Main[[#This Row],[Class]]="A",WORKDAY(Main[[#This Row],[Tech Start Date]],4),""))))</f>
        <v/>
      </c>
      <c r="O805" s="73" t="str">
        <f>IF(Main[[#This Row],[Tech Start Date]]&lt;1/1/1990,"",IF(Main[[#This Row],[Class]]="C",WORKDAY(Main[[#This Row],[Tech Start Date]],23),IF(Main[[#This Row],[Class]]="B", WORKDAY(Main[[#This Row],[Tech Start Date]],15),IF(Main[[#This Row],[Class]]="A",WORKDAY(Main[[#This Row],[Tech Start Date]],5),""))))</f>
        <v/>
      </c>
      <c r="P805" s="73" t="str">
        <f>IF(Main[[#This Row],[Tech Start Date]]&lt;1/1/1990,"",IF(Main[[#This Row],[Class]]="C",WORKDAY(Main[[#This Row],[Tech Start Date]],28),IF(Main[[#This Row],[Class]]="B", WORKDAY(Main[[#This Row],[Tech Start Date]],19),IF(Main[[#This Row],[Class]]="A",WORKDAY(Main[[#This Row],[Tech Start Date]],9),""))))</f>
        <v/>
      </c>
      <c r="Q805" s="85">
        <v>40967</v>
      </c>
      <c r="R805" s="112"/>
      <c r="S805" s="95" t="s">
        <v>6</v>
      </c>
      <c r="T805" s="74" t="s">
        <v>4</v>
      </c>
      <c r="U805" s="95" t="s">
        <v>29</v>
      </c>
      <c r="V805" s="95" t="s">
        <v>1914</v>
      </c>
      <c r="W805" s="95" t="s">
        <v>1915</v>
      </c>
      <c r="X805" s="95" t="s">
        <v>30</v>
      </c>
      <c r="Y805" s="72" t="s">
        <v>2918</v>
      </c>
      <c r="Z805" s="72" t="s">
        <v>30</v>
      </c>
      <c r="AA805" s="95" t="s">
        <v>30</v>
      </c>
      <c r="AB805" s="132"/>
      <c r="AC805" s="132"/>
      <c r="AD805" s="132"/>
      <c r="AE805" s="63"/>
      <c r="AF805" s="63"/>
      <c r="AG805" s="63"/>
    </row>
    <row r="806" spans="1:33" ht="17.2" customHeight="1">
      <c r="A806" s="64" t="str">
        <f>IF(priority(Main[[#This Row],[Comments]])&lt;&gt;0, priority(Main[[#This Row],[Comments]]),"")</f>
        <v/>
      </c>
      <c r="B806" s="60" t="s">
        <v>1582</v>
      </c>
      <c r="C806" s="72" t="s">
        <v>72</v>
      </c>
      <c r="D806" s="59" t="s">
        <v>662</v>
      </c>
      <c r="E806" s="85"/>
      <c r="F806" s="85"/>
      <c r="G806" s="64" t="str">
        <f>IF(stdProdLT(Main[[#This Row],[Comments]])=0.1,"N/A",IF(stdProdLT(Main[[#This Row],[Comments]])=0,"",TRIM(stdProdLT(Main[[#This Row],[Comments]]))))</f>
        <v/>
      </c>
      <c r="H806" s="94" t="str">
        <f>IF(OR(Main[[#This Row],[Std. Prod. Lead Time]]="N/A",Main[[#This Row],[Std. Prod. Lead Time]]=""), "",IF(AND(Main[[#This Row],[In Stock Date]]&lt;&gt;"",Main[[#This Row],[Revised Due Date]]&lt;&gt;"",Main[[#This Row],[In Stock Date]]&lt;&gt;""),Main[[#This Row],[In Stock Date]]-Main[[#This Row],[Revised Due Date]],""))</f>
        <v/>
      </c>
      <c r="I806" s="101" t="s">
        <v>4</v>
      </c>
      <c r="J806" s="95" t="s">
        <v>4</v>
      </c>
      <c r="K806" s="95" t="s">
        <v>4</v>
      </c>
      <c r="L806" s="85"/>
      <c r="M806" s="73" t="str">
        <f>IF(Main[[#This Row],[Tech Start Date]]&lt;1/1/1990,"",IF(Main[[#This Row],[Class]]="C",WORKDAY(Main[[#This Row],[Tech Start Date]],9),IF(Main[[#This Row],[Class]]="B", WORKDAY(Main[[#This Row],[Tech Start Date]],6),IF(Main[[#This Row],[Class]]="A",WORKDAY(Main[[#This Row],[Tech Start Date]],2),""))))</f>
        <v/>
      </c>
      <c r="N806" s="73" t="str">
        <f>IF(Main[[#This Row],[Tech Start Date]]&lt;1/1/1990,"",IF(Main[[#This Row],[Class]]="C",WORKDAY(Main[[#This Row],[Tech Start Date]],19),IF(Main[[#This Row],[Class]]="B", WORKDAY(Main[[#This Row],[Tech Start Date]],12),IF(Main[[#This Row],[Class]]="A",WORKDAY(Main[[#This Row],[Tech Start Date]],4),""))))</f>
        <v/>
      </c>
      <c r="O806" s="73" t="str">
        <f>IF(Main[[#This Row],[Tech Start Date]]&lt;1/1/1990,"",IF(Main[[#This Row],[Class]]="C",WORKDAY(Main[[#This Row],[Tech Start Date]],23),IF(Main[[#This Row],[Class]]="B", WORKDAY(Main[[#This Row],[Tech Start Date]],15),IF(Main[[#This Row],[Class]]="A",WORKDAY(Main[[#This Row],[Tech Start Date]],5),""))))</f>
        <v/>
      </c>
      <c r="P806" s="73" t="str">
        <f>IF(Main[[#This Row],[Tech Start Date]]&lt;1/1/1990,"",IF(Main[[#This Row],[Class]]="C",WORKDAY(Main[[#This Row],[Tech Start Date]],28),IF(Main[[#This Row],[Class]]="B", WORKDAY(Main[[#This Row],[Tech Start Date]],19),IF(Main[[#This Row],[Class]]="A",WORKDAY(Main[[#This Row],[Tech Start Date]],9),""))))</f>
        <v/>
      </c>
      <c r="Q806" s="85"/>
      <c r="R806" s="112"/>
      <c r="S806" s="95" t="s">
        <v>49</v>
      </c>
      <c r="T806" s="74" t="s">
        <v>4</v>
      </c>
      <c r="U806" s="95" t="s">
        <v>12</v>
      </c>
      <c r="V806" s="95" t="s">
        <v>1912</v>
      </c>
      <c r="W806" s="95" t="s">
        <v>1913</v>
      </c>
      <c r="X806" s="95" t="s">
        <v>2881</v>
      </c>
      <c r="Y806" s="72" t="s">
        <v>3057</v>
      </c>
      <c r="Z806" s="72" t="s">
        <v>4</v>
      </c>
      <c r="AA806" s="95" t="s">
        <v>2881</v>
      </c>
      <c r="AB806" s="132"/>
      <c r="AC806" s="132"/>
      <c r="AD806" s="132"/>
      <c r="AE806" s="63"/>
      <c r="AF806" s="63"/>
      <c r="AG806" s="63"/>
    </row>
    <row r="807" spans="1:33" ht="17.2" customHeight="1">
      <c r="A807" s="64" t="str">
        <f>IF(priority(Main[[#This Row],[Comments]])&lt;&gt;0, priority(Main[[#This Row],[Comments]]),"")</f>
        <v/>
      </c>
      <c r="B807" s="60" t="s">
        <v>1583</v>
      </c>
      <c r="C807" s="72" t="s">
        <v>33</v>
      </c>
      <c r="D807" s="59" t="s">
        <v>663</v>
      </c>
      <c r="E807" s="85"/>
      <c r="F807" s="85">
        <v>40566</v>
      </c>
      <c r="G807" s="64" t="str">
        <f>IF(stdProdLT(Main[[#This Row],[Comments]])=0.1,"N/A",IF(stdProdLT(Main[[#This Row],[Comments]])=0,"",TRIM(stdProdLT(Main[[#This Row],[Comments]]))))</f>
        <v/>
      </c>
      <c r="H807" s="94" t="str">
        <f>IF(OR(Main[[#This Row],[Std. Prod. Lead Time]]="N/A",Main[[#This Row],[Std. Prod. Lead Time]]=""), "",IF(AND(Main[[#This Row],[In Stock Date]]&lt;&gt;"",Main[[#This Row],[Revised Due Date]]&lt;&gt;"",Main[[#This Row],[In Stock Date]]&lt;&gt;""),Main[[#This Row],[In Stock Date]]-Main[[#This Row],[Revised Due Date]],""))</f>
        <v/>
      </c>
      <c r="I807" s="101" t="s">
        <v>4</v>
      </c>
      <c r="J807" s="95" t="s">
        <v>4</v>
      </c>
      <c r="K807" s="95" t="s">
        <v>4</v>
      </c>
      <c r="L807" s="85"/>
      <c r="M807" s="73" t="str">
        <f>IF(Main[[#This Row],[Tech Start Date]]&lt;1/1/1990,"",IF(Main[[#This Row],[Class]]="C",WORKDAY(Main[[#This Row],[Tech Start Date]],9),IF(Main[[#This Row],[Class]]="B", WORKDAY(Main[[#This Row],[Tech Start Date]],6),IF(Main[[#This Row],[Class]]="A",WORKDAY(Main[[#This Row],[Tech Start Date]],2),""))))</f>
        <v/>
      </c>
      <c r="N807" s="73" t="str">
        <f>IF(Main[[#This Row],[Tech Start Date]]&lt;1/1/1990,"",IF(Main[[#This Row],[Class]]="C",WORKDAY(Main[[#This Row],[Tech Start Date]],19),IF(Main[[#This Row],[Class]]="B", WORKDAY(Main[[#This Row],[Tech Start Date]],12),IF(Main[[#This Row],[Class]]="A",WORKDAY(Main[[#This Row],[Tech Start Date]],4),""))))</f>
        <v/>
      </c>
      <c r="O807" s="73" t="str">
        <f>IF(Main[[#This Row],[Tech Start Date]]&lt;1/1/1990,"",IF(Main[[#This Row],[Class]]="C",WORKDAY(Main[[#This Row],[Tech Start Date]],23),IF(Main[[#This Row],[Class]]="B", WORKDAY(Main[[#This Row],[Tech Start Date]],15),IF(Main[[#This Row],[Class]]="A",WORKDAY(Main[[#This Row],[Tech Start Date]],5),""))))</f>
        <v/>
      </c>
      <c r="P807" s="73" t="str">
        <f>IF(Main[[#This Row],[Tech Start Date]]&lt;1/1/1990,"",IF(Main[[#This Row],[Class]]="C",WORKDAY(Main[[#This Row],[Tech Start Date]],28),IF(Main[[#This Row],[Class]]="B", WORKDAY(Main[[#This Row],[Tech Start Date]],19),IF(Main[[#This Row],[Class]]="A",WORKDAY(Main[[#This Row],[Tech Start Date]],9),""))))</f>
        <v/>
      </c>
      <c r="Q807" s="85">
        <v>40532</v>
      </c>
      <c r="R807" s="112"/>
      <c r="S807" s="95" t="s">
        <v>11</v>
      </c>
      <c r="T807" s="74" t="s">
        <v>4</v>
      </c>
      <c r="U807" s="95" t="s">
        <v>12</v>
      </c>
      <c r="V807" s="95" t="s">
        <v>1912</v>
      </c>
      <c r="W807" s="95" t="s">
        <v>1919</v>
      </c>
      <c r="X807" s="95" t="s">
        <v>2855</v>
      </c>
      <c r="Y807" s="72" t="s">
        <v>2999</v>
      </c>
      <c r="Z807" s="72" t="s">
        <v>4</v>
      </c>
      <c r="AA807" s="95" t="s">
        <v>2855</v>
      </c>
      <c r="AB807" s="132"/>
      <c r="AC807" s="132"/>
      <c r="AD807" s="132"/>
      <c r="AE807" s="63"/>
      <c r="AF807" s="63"/>
      <c r="AG807" s="63"/>
    </row>
    <row r="808" spans="1:33" ht="17.2" customHeight="1">
      <c r="A808" s="64" t="str">
        <f>IF(priority(Main[[#This Row],[Comments]])&lt;&gt;0, priority(Main[[#This Row],[Comments]]),"")</f>
        <v/>
      </c>
      <c r="B808" s="60" t="s">
        <v>1584</v>
      </c>
      <c r="C808" s="72" t="s">
        <v>347</v>
      </c>
      <c r="D808" s="59" t="s">
        <v>664</v>
      </c>
      <c r="E808" s="85"/>
      <c r="F808" s="85"/>
      <c r="G808" s="64" t="str">
        <f>IF(stdProdLT(Main[[#This Row],[Comments]])=0.1,"N/A",IF(stdProdLT(Main[[#This Row],[Comments]])=0,"",TRIM(stdProdLT(Main[[#This Row],[Comments]]))))</f>
        <v/>
      </c>
      <c r="H808" s="94" t="str">
        <f>IF(OR(Main[[#This Row],[Std. Prod. Lead Time]]="N/A",Main[[#This Row],[Std. Prod. Lead Time]]=""), "",IF(AND(Main[[#This Row],[In Stock Date]]&lt;&gt;"",Main[[#This Row],[Revised Due Date]]&lt;&gt;"",Main[[#This Row],[In Stock Date]]&lt;&gt;""),Main[[#This Row],[In Stock Date]]-Main[[#This Row],[Revised Due Date]],""))</f>
        <v/>
      </c>
      <c r="I808" s="101" t="s">
        <v>4</v>
      </c>
      <c r="J808" s="95" t="s">
        <v>4</v>
      </c>
      <c r="K808" s="95" t="s">
        <v>4</v>
      </c>
      <c r="L808" s="85"/>
      <c r="M808" s="73" t="str">
        <f>IF(Main[[#This Row],[Tech Start Date]]&lt;1/1/1990,"",IF(Main[[#This Row],[Class]]="C",WORKDAY(Main[[#This Row],[Tech Start Date]],9),IF(Main[[#This Row],[Class]]="B", WORKDAY(Main[[#This Row],[Tech Start Date]],6),IF(Main[[#This Row],[Class]]="A",WORKDAY(Main[[#This Row],[Tech Start Date]],2),""))))</f>
        <v/>
      </c>
      <c r="N808" s="73" t="str">
        <f>IF(Main[[#This Row],[Tech Start Date]]&lt;1/1/1990,"",IF(Main[[#This Row],[Class]]="C",WORKDAY(Main[[#This Row],[Tech Start Date]],19),IF(Main[[#This Row],[Class]]="B", WORKDAY(Main[[#This Row],[Tech Start Date]],12),IF(Main[[#This Row],[Class]]="A",WORKDAY(Main[[#This Row],[Tech Start Date]],4),""))))</f>
        <v/>
      </c>
      <c r="O808" s="73" t="str">
        <f>IF(Main[[#This Row],[Tech Start Date]]&lt;1/1/1990,"",IF(Main[[#This Row],[Class]]="C",WORKDAY(Main[[#This Row],[Tech Start Date]],23),IF(Main[[#This Row],[Class]]="B", WORKDAY(Main[[#This Row],[Tech Start Date]],15),IF(Main[[#This Row],[Class]]="A",WORKDAY(Main[[#This Row],[Tech Start Date]],5),""))))</f>
        <v/>
      </c>
      <c r="P808" s="73" t="str">
        <f>IF(Main[[#This Row],[Tech Start Date]]&lt;1/1/1990,"",IF(Main[[#This Row],[Class]]="C",WORKDAY(Main[[#This Row],[Tech Start Date]],28),IF(Main[[#This Row],[Class]]="B", WORKDAY(Main[[#This Row],[Tech Start Date]],19),IF(Main[[#This Row],[Class]]="A",WORKDAY(Main[[#This Row],[Tech Start Date]],9),""))))</f>
        <v/>
      </c>
      <c r="Q808" s="85">
        <v>40494</v>
      </c>
      <c r="R808" s="112"/>
      <c r="S808" s="95" t="s">
        <v>11</v>
      </c>
      <c r="T808" s="74" t="s">
        <v>4</v>
      </c>
      <c r="U808" s="95" t="s">
        <v>14</v>
      </c>
      <c r="V808" s="95" t="s">
        <v>1921</v>
      </c>
      <c r="W808" s="95" t="s">
        <v>4</v>
      </c>
      <c r="X808" s="95" t="s">
        <v>2804</v>
      </c>
      <c r="Y808" s="72" t="s">
        <v>2921</v>
      </c>
      <c r="Z808" s="72" t="s">
        <v>4</v>
      </c>
      <c r="AA808" s="95" t="s">
        <v>2804</v>
      </c>
      <c r="AB808" s="132"/>
      <c r="AC808" s="132"/>
      <c r="AD808" s="132"/>
      <c r="AE808" s="63"/>
      <c r="AF808" s="63"/>
      <c r="AG808" s="63"/>
    </row>
    <row r="809" spans="1:33" ht="17.2" customHeight="1">
      <c r="A809" s="64" t="str">
        <f>IF(priority(Main[[#This Row],[Comments]])&lt;&gt;0, priority(Main[[#This Row],[Comments]]),"")</f>
        <v/>
      </c>
      <c r="B809" s="60" t="s">
        <v>1585</v>
      </c>
      <c r="C809" s="72" t="s">
        <v>4</v>
      </c>
      <c r="D809" s="59" t="s">
        <v>665</v>
      </c>
      <c r="E809" s="85">
        <v>40462.471782407411</v>
      </c>
      <c r="F809" s="85"/>
      <c r="G809" s="64" t="str">
        <f>IF(stdProdLT(Main[[#This Row],[Comments]])=0.1,"N/A",IF(stdProdLT(Main[[#This Row],[Comments]])=0,"",TRIM(stdProdLT(Main[[#This Row],[Comments]]))))</f>
        <v/>
      </c>
      <c r="H809" s="94" t="str">
        <f>IF(OR(Main[[#This Row],[Std. Prod. Lead Time]]="N/A",Main[[#This Row],[Std. Prod. Lead Time]]=""), "",IF(AND(Main[[#This Row],[In Stock Date]]&lt;&gt;"",Main[[#This Row],[Revised Due Date]]&lt;&gt;"",Main[[#This Row],[In Stock Date]]&lt;&gt;""),Main[[#This Row],[In Stock Date]]-Main[[#This Row],[Revised Due Date]],""))</f>
        <v/>
      </c>
      <c r="I809" s="101" t="s">
        <v>4</v>
      </c>
      <c r="J809" s="95" t="s">
        <v>4</v>
      </c>
      <c r="K809" s="95" t="s">
        <v>4</v>
      </c>
      <c r="L809" s="85"/>
      <c r="M809" s="73" t="str">
        <f>IF(Main[[#This Row],[Tech Start Date]]&lt;1/1/1990,"",IF(Main[[#This Row],[Class]]="C",WORKDAY(Main[[#This Row],[Tech Start Date]],9),IF(Main[[#This Row],[Class]]="B", WORKDAY(Main[[#This Row],[Tech Start Date]],6),IF(Main[[#This Row],[Class]]="A",WORKDAY(Main[[#This Row],[Tech Start Date]],2),""))))</f>
        <v/>
      </c>
      <c r="N809" s="73" t="str">
        <f>IF(Main[[#This Row],[Tech Start Date]]&lt;1/1/1990,"",IF(Main[[#This Row],[Class]]="C",WORKDAY(Main[[#This Row],[Tech Start Date]],19),IF(Main[[#This Row],[Class]]="B", WORKDAY(Main[[#This Row],[Tech Start Date]],12),IF(Main[[#This Row],[Class]]="A",WORKDAY(Main[[#This Row],[Tech Start Date]],4),""))))</f>
        <v/>
      </c>
      <c r="O809" s="73" t="str">
        <f>IF(Main[[#This Row],[Tech Start Date]]&lt;1/1/1990,"",IF(Main[[#This Row],[Class]]="C",WORKDAY(Main[[#This Row],[Tech Start Date]],23),IF(Main[[#This Row],[Class]]="B", WORKDAY(Main[[#This Row],[Tech Start Date]],15),IF(Main[[#This Row],[Class]]="A",WORKDAY(Main[[#This Row],[Tech Start Date]],5),""))))</f>
        <v/>
      </c>
      <c r="P809" s="73" t="str">
        <f>IF(Main[[#This Row],[Tech Start Date]]&lt;1/1/1990,"",IF(Main[[#This Row],[Class]]="C",WORKDAY(Main[[#This Row],[Tech Start Date]],28),IF(Main[[#This Row],[Class]]="B", WORKDAY(Main[[#This Row],[Tech Start Date]],19),IF(Main[[#This Row],[Class]]="A",WORKDAY(Main[[#This Row],[Tech Start Date]],9),""))))</f>
        <v/>
      </c>
      <c r="Q809" s="85"/>
      <c r="R809" s="112"/>
      <c r="S809" s="95" t="s">
        <v>6</v>
      </c>
      <c r="T809" s="74" t="s">
        <v>4</v>
      </c>
      <c r="U809" s="95" t="s">
        <v>7</v>
      </c>
      <c r="V809" s="95" t="s">
        <v>1911</v>
      </c>
      <c r="W809" s="95" t="s">
        <v>1915</v>
      </c>
      <c r="X809" s="95" t="s">
        <v>2846</v>
      </c>
      <c r="Y809" s="72" t="s">
        <v>2978</v>
      </c>
      <c r="Z809" s="72" t="s">
        <v>4</v>
      </c>
      <c r="AA809" s="95" t="s">
        <v>2846</v>
      </c>
      <c r="AB809" s="132"/>
      <c r="AC809" s="132"/>
      <c r="AD809" s="132"/>
      <c r="AE809" s="63"/>
      <c r="AF809" s="63"/>
      <c r="AG809" s="63"/>
    </row>
    <row r="810" spans="1:33" ht="17.2" customHeight="1">
      <c r="A810" s="64" t="str">
        <f>IF(priority(Main[[#This Row],[Comments]])&lt;&gt;0, priority(Main[[#This Row],[Comments]]),"")</f>
        <v/>
      </c>
      <c r="B810" s="60" t="s">
        <v>1586</v>
      </c>
      <c r="C810" s="72" t="s">
        <v>4</v>
      </c>
      <c r="D810" s="59" t="s">
        <v>39</v>
      </c>
      <c r="E810" s="85"/>
      <c r="F810" s="85"/>
      <c r="G810" s="64" t="str">
        <f>IF(stdProdLT(Main[[#This Row],[Comments]])=0.1,"N/A",IF(stdProdLT(Main[[#This Row],[Comments]])=0,"",TRIM(stdProdLT(Main[[#This Row],[Comments]]))))</f>
        <v/>
      </c>
      <c r="H810" s="94" t="str">
        <f>IF(OR(Main[[#This Row],[Std. Prod. Lead Time]]="N/A",Main[[#This Row],[Std. Prod. Lead Time]]=""), "",IF(AND(Main[[#This Row],[In Stock Date]]&lt;&gt;"",Main[[#This Row],[Revised Due Date]]&lt;&gt;"",Main[[#This Row],[In Stock Date]]&lt;&gt;""),Main[[#This Row],[In Stock Date]]-Main[[#This Row],[Revised Due Date]],""))</f>
        <v/>
      </c>
      <c r="I810" s="101" t="s">
        <v>4</v>
      </c>
      <c r="J810" s="95" t="s">
        <v>4</v>
      </c>
      <c r="K810" s="95" t="s">
        <v>4</v>
      </c>
      <c r="L810" s="85"/>
      <c r="M810" s="73" t="str">
        <f>IF(Main[[#This Row],[Tech Start Date]]&lt;1/1/1990,"",IF(Main[[#This Row],[Class]]="C",WORKDAY(Main[[#This Row],[Tech Start Date]],9),IF(Main[[#This Row],[Class]]="B", WORKDAY(Main[[#This Row],[Tech Start Date]],6),IF(Main[[#This Row],[Class]]="A",WORKDAY(Main[[#This Row],[Tech Start Date]],2),""))))</f>
        <v/>
      </c>
      <c r="N810" s="73" t="str">
        <f>IF(Main[[#This Row],[Tech Start Date]]&lt;1/1/1990,"",IF(Main[[#This Row],[Class]]="C",WORKDAY(Main[[#This Row],[Tech Start Date]],19),IF(Main[[#This Row],[Class]]="B", WORKDAY(Main[[#This Row],[Tech Start Date]],12),IF(Main[[#This Row],[Class]]="A",WORKDAY(Main[[#This Row],[Tech Start Date]],4),""))))</f>
        <v/>
      </c>
      <c r="O810" s="73" t="str">
        <f>IF(Main[[#This Row],[Tech Start Date]]&lt;1/1/1990,"",IF(Main[[#This Row],[Class]]="C",WORKDAY(Main[[#This Row],[Tech Start Date]],23),IF(Main[[#This Row],[Class]]="B", WORKDAY(Main[[#This Row],[Tech Start Date]],15),IF(Main[[#This Row],[Class]]="A",WORKDAY(Main[[#This Row],[Tech Start Date]],5),""))))</f>
        <v/>
      </c>
      <c r="P810" s="73" t="str">
        <f>IF(Main[[#This Row],[Tech Start Date]]&lt;1/1/1990,"",IF(Main[[#This Row],[Class]]="C",WORKDAY(Main[[#This Row],[Tech Start Date]],28),IF(Main[[#This Row],[Class]]="B", WORKDAY(Main[[#This Row],[Tech Start Date]],19),IF(Main[[#This Row],[Class]]="A",WORKDAY(Main[[#This Row],[Tech Start Date]],9),""))))</f>
        <v/>
      </c>
      <c r="Q810" s="85">
        <v>40669</v>
      </c>
      <c r="R810" s="112"/>
      <c r="S810" s="95" t="s">
        <v>6</v>
      </c>
      <c r="T810" s="74" t="s">
        <v>4</v>
      </c>
      <c r="U810" s="95" t="s">
        <v>14</v>
      </c>
      <c r="V810" s="95" t="s">
        <v>1914</v>
      </c>
      <c r="W810" s="95" t="s">
        <v>4</v>
      </c>
      <c r="X810" s="95" t="s">
        <v>2798</v>
      </c>
      <c r="Y810" s="72" t="s">
        <v>2908</v>
      </c>
      <c r="Z810" s="72" t="s">
        <v>4</v>
      </c>
      <c r="AA810" s="95" t="s">
        <v>2798</v>
      </c>
      <c r="AB810" s="132"/>
      <c r="AC810" s="132"/>
      <c r="AD810" s="132"/>
      <c r="AE810" s="63"/>
      <c r="AF810" s="63"/>
      <c r="AG810" s="63"/>
    </row>
    <row r="811" spans="1:33" ht="17.2" customHeight="1">
      <c r="A811" s="64" t="str">
        <f>IF(priority(Main[[#This Row],[Comments]])&lt;&gt;0, priority(Main[[#This Row],[Comments]]),"")</f>
        <v/>
      </c>
      <c r="B811" s="60" t="s">
        <v>1835</v>
      </c>
      <c r="C811" s="72" t="s">
        <v>4</v>
      </c>
      <c r="D811" s="59" t="s">
        <v>1945</v>
      </c>
      <c r="E811" s="85"/>
      <c r="F811" s="85">
        <v>40445</v>
      </c>
      <c r="G811" s="64" t="str">
        <f>IF(stdProdLT(Main[[#This Row],[Comments]])=0.1,"N/A",IF(stdProdLT(Main[[#This Row],[Comments]])=0,"",TRIM(stdProdLT(Main[[#This Row],[Comments]]))))</f>
        <v/>
      </c>
      <c r="H811" s="94" t="str">
        <f>IF(OR(Main[[#This Row],[Std. Prod. Lead Time]]="N/A",Main[[#This Row],[Std. Prod. Lead Time]]=""), "",IF(AND(Main[[#This Row],[In Stock Date]]&lt;&gt;"",Main[[#This Row],[Revised Due Date]]&lt;&gt;"",Main[[#This Row],[In Stock Date]]&lt;&gt;""),Main[[#This Row],[In Stock Date]]-Main[[#This Row],[Revised Due Date]],""))</f>
        <v/>
      </c>
      <c r="I811" s="101" t="s">
        <v>4</v>
      </c>
      <c r="J811" s="95" t="s">
        <v>28</v>
      </c>
      <c r="K811" s="95" t="s">
        <v>1924</v>
      </c>
      <c r="L811" s="85"/>
      <c r="M811" s="73" t="str">
        <f>IF(Main[[#This Row],[Tech Start Date]]&lt;1/1/1990,"",IF(Main[[#This Row],[Class]]="C",WORKDAY(Main[[#This Row],[Tech Start Date]],9),IF(Main[[#This Row],[Class]]="B", WORKDAY(Main[[#This Row],[Tech Start Date]],6),IF(Main[[#This Row],[Class]]="A",WORKDAY(Main[[#This Row],[Tech Start Date]],2),""))))</f>
        <v/>
      </c>
      <c r="N811" s="73" t="str">
        <f>IF(Main[[#This Row],[Tech Start Date]]&lt;1/1/1990,"",IF(Main[[#This Row],[Class]]="C",WORKDAY(Main[[#This Row],[Tech Start Date]],19),IF(Main[[#This Row],[Class]]="B", WORKDAY(Main[[#This Row],[Tech Start Date]],12),IF(Main[[#This Row],[Class]]="A",WORKDAY(Main[[#This Row],[Tech Start Date]],4),""))))</f>
        <v/>
      </c>
      <c r="O811" s="73" t="str">
        <f>IF(Main[[#This Row],[Tech Start Date]]&lt;1/1/1990,"",IF(Main[[#This Row],[Class]]="C",WORKDAY(Main[[#This Row],[Tech Start Date]],23),IF(Main[[#This Row],[Class]]="B", WORKDAY(Main[[#This Row],[Tech Start Date]],15),IF(Main[[#This Row],[Class]]="A",WORKDAY(Main[[#This Row],[Tech Start Date]],5),""))))</f>
        <v/>
      </c>
      <c r="P811" s="73" t="str">
        <f>IF(Main[[#This Row],[Tech Start Date]]&lt;1/1/1990,"",IF(Main[[#This Row],[Class]]="C",WORKDAY(Main[[#This Row],[Tech Start Date]],28),IF(Main[[#This Row],[Class]]="B", WORKDAY(Main[[#This Row],[Tech Start Date]],19),IF(Main[[#This Row],[Class]]="A",WORKDAY(Main[[#This Row],[Tech Start Date]],9),""))))</f>
        <v/>
      </c>
      <c r="Q811" s="85">
        <v>40445</v>
      </c>
      <c r="R811" s="112">
        <v>40445</v>
      </c>
      <c r="S811" s="95" t="s">
        <v>11</v>
      </c>
      <c r="T811" s="74" t="s">
        <v>4</v>
      </c>
      <c r="U811" s="95" t="s">
        <v>14</v>
      </c>
      <c r="V811" s="95" t="s">
        <v>1912</v>
      </c>
      <c r="W811" s="95" t="s">
        <v>1916</v>
      </c>
      <c r="X811" s="95" t="s">
        <v>2842</v>
      </c>
      <c r="Y811" s="72" t="s">
        <v>3064</v>
      </c>
      <c r="Z811" s="72" t="s">
        <v>3136</v>
      </c>
      <c r="AA811" s="95" t="s">
        <v>2855</v>
      </c>
      <c r="AB811" s="132"/>
      <c r="AC811" s="132"/>
      <c r="AD811" s="132"/>
      <c r="AE811" s="63"/>
      <c r="AF811" s="63"/>
      <c r="AG811" s="63"/>
    </row>
    <row r="812" spans="1:33" ht="17.2" customHeight="1">
      <c r="A812" s="64" t="str">
        <f>IF(priority(Main[[#This Row],[Comments]])&lt;&gt;0, priority(Main[[#This Row],[Comments]]),"")</f>
        <v/>
      </c>
      <c r="B812" s="60" t="s">
        <v>1587</v>
      </c>
      <c r="C812" s="72" t="s">
        <v>4</v>
      </c>
      <c r="D812" s="59" t="s">
        <v>666</v>
      </c>
      <c r="E812" s="85"/>
      <c r="F812" s="85"/>
      <c r="G812" s="64" t="str">
        <f>IF(stdProdLT(Main[[#This Row],[Comments]])=0.1,"N/A",IF(stdProdLT(Main[[#This Row],[Comments]])=0,"",TRIM(stdProdLT(Main[[#This Row],[Comments]]))))</f>
        <v/>
      </c>
      <c r="H812" s="94" t="str">
        <f>IF(OR(Main[[#This Row],[Std. Prod. Lead Time]]="N/A",Main[[#This Row],[Std. Prod. Lead Time]]=""), "",IF(AND(Main[[#This Row],[In Stock Date]]&lt;&gt;"",Main[[#This Row],[Revised Due Date]]&lt;&gt;"",Main[[#This Row],[In Stock Date]]&lt;&gt;""),Main[[#This Row],[In Stock Date]]-Main[[#This Row],[Revised Due Date]],""))</f>
        <v/>
      </c>
      <c r="I812" s="101" t="s">
        <v>4</v>
      </c>
      <c r="J812" s="95" t="s">
        <v>4</v>
      </c>
      <c r="K812" s="95" t="s">
        <v>4</v>
      </c>
      <c r="L812" s="85"/>
      <c r="M812" s="73" t="str">
        <f>IF(Main[[#This Row],[Tech Start Date]]&lt;1/1/1990,"",IF(Main[[#This Row],[Class]]="C",WORKDAY(Main[[#This Row],[Tech Start Date]],9),IF(Main[[#This Row],[Class]]="B", WORKDAY(Main[[#This Row],[Tech Start Date]],6),IF(Main[[#This Row],[Class]]="A",WORKDAY(Main[[#This Row],[Tech Start Date]],2),""))))</f>
        <v/>
      </c>
      <c r="N812" s="73" t="str">
        <f>IF(Main[[#This Row],[Tech Start Date]]&lt;1/1/1990,"",IF(Main[[#This Row],[Class]]="C",WORKDAY(Main[[#This Row],[Tech Start Date]],19),IF(Main[[#This Row],[Class]]="B", WORKDAY(Main[[#This Row],[Tech Start Date]],12),IF(Main[[#This Row],[Class]]="A",WORKDAY(Main[[#This Row],[Tech Start Date]],4),""))))</f>
        <v/>
      </c>
      <c r="O812" s="73" t="str">
        <f>IF(Main[[#This Row],[Tech Start Date]]&lt;1/1/1990,"",IF(Main[[#This Row],[Class]]="C",WORKDAY(Main[[#This Row],[Tech Start Date]],23),IF(Main[[#This Row],[Class]]="B", WORKDAY(Main[[#This Row],[Tech Start Date]],15),IF(Main[[#This Row],[Class]]="A",WORKDAY(Main[[#This Row],[Tech Start Date]],5),""))))</f>
        <v/>
      </c>
      <c r="P812" s="73" t="str">
        <f>IF(Main[[#This Row],[Tech Start Date]]&lt;1/1/1990,"",IF(Main[[#This Row],[Class]]="C",WORKDAY(Main[[#This Row],[Tech Start Date]],28),IF(Main[[#This Row],[Class]]="B", WORKDAY(Main[[#This Row],[Tech Start Date]],19),IF(Main[[#This Row],[Class]]="A",WORKDAY(Main[[#This Row],[Tech Start Date]],9),""))))</f>
        <v/>
      </c>
      <c r="Q812" s="85"/>
      <c r="R812" s="112"/>
      <c r="S812" s="95" t="s">
        <v>6</v>
      </c>
      <c r="T812" s="74" t="s">
        <v>4</v>
      </c>
      <c r="U812" s="95" t="s">
        <v>14</v>
      </c>
      <c r="V812" s="95" t="s">
        <v>1911</v>
      </c>
      <c r="W812" s="95" t="s">
        <v>1915</v>
      </c>
      <c r="X812" s="95" t="s">
        <v>306</v>
      </c>
      <c r="Y812" s="72" t="s">
        <v>4</v>
      </c>
      <c r="Z812" s="72" t="s">
        <v>4</v>
      </c>
      <c r="AA812" s="95" t="s">
        <v>2831</v>
      </c>
      <c r="AB812" s="132"/>
      <c r="AC812" s="132"/>
      <c r="AD812" s="132"/>
      <c r="AE812" s="63"/>
      <c r="AF812" s="63"/>
      <c r="AG812" s="63"/>
    </row>
    <row r="813" spans="1:33" ht="17.2" customHeight="1">
      <c r="A813" s="64" t="str">
        <f>IF(priority(Main[[#This Row],[Comments]])&lt;&gt;0, priority(Main[[#This Row],[Comments]]),"")</f>
        <v/>
      </c>
      <c r="B813" s="60" t="s">
        <v>1617</v>
      </c>
      <c r="C813" s="72" t="s">
        <v>4</v>
      </c>
      <c r="D813" s="59" t="s">
        <v>695</v>
      </c>
      <c r="E813" s="85"/>
      <c r="F813" s="85"/>
      <c r="G813" s="64" t="str">
        <f>IF(stdProdLT(Main[[#This Row],[Comments]])=0.1,"N/A",IF(stdProdLT(Main[[#This Row],[Comments]])=0,"",TRIM(stdProdLT(Main[[#This Row],[Comments]]))))</f>
        <v/>
      </c>
      <c r="H813" s="94" t="str">
        <f>IF(OR(Main[[#This Row],[Std. Prod. Lead Time]]="N/A",Main[[#This Row],[Std. Prod. Lead Time]]=""), "",IF(AND(Main[[#This Row],[In Stock Date]]&lt;&gt;"",Main[[#This Row],[Revised Due Date]]&lt;&gt;"",Main[[#This Row],[In Stock Date]]&lt;&gt;""),Main[[#This Row],[In Stock Date]]-Main[[#This Row],[Revised Due Date]],""))</f>
        <v/>
      </c>
      <c r="I813" s="101" t="s">
        <v>4</v>
      </c>
      <c r="J813" s="95" t="s">
        <v>4</v>
      </c>
      <c r="K813" s="95" t="s">
        <v>4</v>
      </c>
      <c r="L813" s="85"/>
      <c r="M813" s="73" t="str">
        <f>IF(Main[[#This Row],[Tech Start Date]]&lt;1/1/1990,"",IF(Main[[#This Row],[Class]]="C",WORKDAY(Main[[#This Row],[Tech Start Date]],9),IF(Main[[#This Row],[Class]]="B", WORKDAY(Main[[#This Row],[Tech Start Date]],6),IF(Main[[#This Row],[Class]]="A",WORKDAY(Main[[#This Row],[Tech Start Date]],2),""))))</f>
        <v/>
      </c>
      <c r="N813" s="73" t="str">
        <f>IF(Main[[#This Row],[Tech Start Date]]&lt;1/1/1990,"",IF(Main[[#This Row],[Class]]="C",WORKDAY(Main[[#This Row],[Tech Start Date]],19),IF(Main[[#This Row],[Class]]="B", WORKDAY(Main[[#This Row],[Tech Start Date]],12),IF(Main[[#This Row],[Class]]="A",WORKDAY(Main[[#This Row],[Tech Start Date]],4),""))))</f>
        <v/>
      </c>
      <c r="O813" s="73" t="str">
        <f>IF(Main[[#This Row],[Tech Start Date]]&lt;1/1/1990,"",IF(Main[[#This Row],[Class]]="C",WORKDAY(Main[[#This Row],[Tech Start Date]],23),IF(Main[[#This Row],[Class]]="B", WORKDAY(Main[[#This Row],[Tech Start Date]],15),IF(Main[[#This Row],[Class]]="A",WORKDAY(Main[[#This Row],[Tech Start Date]],5),""))))</f>
        <v/>
      </c>
      <c r="P813" s="73" t="str">
        <f>IF(Main[[#This Row],[Tech Start Date]]&lt;1/1/1990,"",IF(Main[[#This Row],[Class]]="C",WORKDAY(Main[[#This Row],[Tech Start Date]],28),IF(Main[[#This Row],[Class]]="B", WORKDAY(Main[[#This Row],[Tech Start Date]],19),IF(Main[[#This Row],[Class]]="A",WORKDAY(Main[[#This Row],[Tech Start Date]],9),""))))</f>
        <v/>
      </c>
      <c r="Q813" s="85"/>
      <c r="R813" s="112"/>
      <c r="S813" s="95" t="s">
        <v>23</v>
      </c>
      <c r="T813" s="74" t="s">
        <v>4</v>
      </c>
      <c r="U813" s="95" t="s">
        <v>14</v>
      </c>
      <c r="V813" s="95" t="s">
        <v>1914</v>
      </c>
      <c r="W813" s="95" t="s">
        <v>1915</v>
      </c>
      <c r="X813" s="95" t="s">
        <v>399</v>
      </c>
      <c r="Y813" s="72" t="s">
        <v>4</v>
      </c>
      <c r="Z813" s="72" t="s">
        <v>4</v>
      </c>
      <c r="AA813" s="95" t="s">
        <v>3392</v>
      </c>
      <c r="AB813" s="132"/>
      <c r="AC813" s="132"/>
      <c r="AD813" s="132"/>
      <c r="AE813" s="63"/>
      <c r="AF813" s="63"/>
      <c r="AG813" s="63"/>
    </row>
    <row r="814" spans="1:33" ht="17.2" customHeight="1">
      <c r="A814" s="64" t="str">
        <f>IF(priority(Main[[#This Row],[Comments]])&lt;&gt;0, priority(Main[[#This Row],[Comments]]),"")</f>
        <v/>
      </c>
      <c r="B814" s="60" t="s">
        <v>1618</v>
      </c>
      <c r="C814" s="72" t="s">
        <v>122</v>
      </c>
      <c r="D814" s="59" t="s">
        <v>696</v>
      </c>
      <c r="E814" s="85"/>
      <c r="F814" s="85"/>
      <c r="G814" s="64" t="str">
        <f>IF(stdProdLT(Main[[#This Row],[Comments]])=0.1,"N/A",IF(stdProdLT(Main[[#This Row],[Comments]])=0,"",TRIM(stdProdLT(Main[[#This Row],[Comments]]))))</f>
        <v/>
      </c>
      <c r="H814" s="94" t="str">
        <f>IF(OR(Main[[#This Row],[Std. Prod. Lead Time]]="N/A",Main[[#This Row],[Std. Prod. Lead Time]]=""), "",IF(AND(Main[[#This Row],[In Stock Date]]&lt;&gt;"",Main[[#This Row],[Revised Due Date]]&lt;&gt;"",Main[[#This Row],[In Stock Date]]&lt;&gt;""),Main[[#This Row],[In Stock Date]]-Main[[#This Row],[Revised Due Date]],""))</f>
        <v/>
      </c>
      <c r="I814" s="101" t="s">
        <v>4</v>
      </c>
      <c r="J814" s="95" t="s">
        <v>4</v>
      </c>
      <c r="K814" s="95" t="s">
        <v>4</v>
      </c>
      <c r="L814" s="85"/>
      <c r="M814" s="73" t="str">
        <f>IF(Main[[#This Row],[Tech Start Date]]&lt;1/1/1990,"",IF(Main[[#This Row],[Class]]="C",WORKDAY(Main[[#This Row],[Tech Start Date]],9),IF(Main[[#This Row],[Class]]="B", WORKDAY(Main[[#This Row],[Tech Start Date]],6),IF(Main[[#This Row],[Class]]="A",WORKDAY(Main[[#This Row],[Tech Start Date]],2),""))))</f>
        <v/>
      </c>
      <c r="N814" s="73" t="str">
        <f>IF(Main[[#This Row],[Tech Start Date]]&lt;1/1/1990,"",IF(Main[[#This Row],[Class]]="C",WORKDAY(Main[[#This Row],[Tech Start Date]],19),IF(Main[[#This Row],[Class]]="B", WORKDAY(Main[[#This Row],[Tech Start Date]],12),IF(Main[[#This Row],[Class]]="A",WORKDAY(Main[[#This Row],[Tech Start Date]],4),""))))</f>
        <v/>
      </c>
      <c r="O814" s="73" t="str">
        <f>IF(Main[[#This Row],[Tech Start Date]]&lt;1/1/1990,"",IF(Main[[#This Row],[Class]]="C",WORKDAY(Main[[#This Row],[Tech Start Date]],23),IF(Main[[#This Row],[Class]]="B", WORKDAY(Main[[#This Row],[Tech Start Date]],15),IF(Main[[#This Row],[Class]]="A",WORKDAY(Main[[#This Row],[Tech Start Date]],5),""))))</f>
        <v/>
      </c>
      <c r="P814" s="73" t="str">
        <f>IF(Main[[#This Row],[Tech Start Date]]&lt;1/1/1990,"",IF(Main[[#This Row],[Class]]="C",WORKDAY(Main[[#This Row],[Tech Start Date]],28),IF(Main[[#This Row],[Class]]="B", WORKDAY(Main[[#This Row],[Tech Start Date]],19),IF(Main[[#This Row],[Class]]="A",WORKDAY(Main[[#This Row],[Tech Start Date]],9),""))))</f>
        <v/>
      </c>
      <c r="Q814" s="85"/>
      <c r="R814" s="112"/>
      <c r="S814" s="95" t="s">
        <v>11</v>
      </c>
      <c r="T814" s="74" t="s">
        <v>4</v>
      </c>
      <c r="U814" s="95" t="s">
        <v>14</v>
      </c>
      <c r="V814" s="95" t="s">
        <v>1911</v>
      </c>
      <c r="W814" s="95" t="s">
        <v>1922</v>
      </c>
      <c r="X814" s="95" t="s">
        <v>2800</v>
      </c>
      <c r="Y814" s="72" t="s">
        <v>3070</v>
      </c>
      <c r="Z814" s="72" t="s">
        <v>4</v>
      </c>
      <c r="AA814" s="95" t="s">
        <v>3393</v>
      </c>
      <c r="AB814" s="132"/>
      <c r="AC814" s="132"/>
      <c r="AD814" s="132"/>
      <c r="AE814" s="63"/>
      <c r="AF814" s="63"/>
      <c r="AG814" s="63"/>
    </row>
    <row r="815" spans="1:33" ht="17.2" customHeight="1">
      <c r="A815" s="64" t="str">
        <f>IF(priority(Main[[#This Row],[Comments]])&lt;&gt;0, priority(Main[[#This Row],[Comments]]),"")</f>
        <v/>
      </c>
      <c r="B815" s="60" t="s">
        <v>1619</v>
      </c>
      <c r="C815" s="72" t="s">
        <v>4</v>
      </c>
      <c r="D815" s="59" t="s">
        <v>697</v>
      </c>
      <c r="E815" s="85"/>
      <c r="F815" s="85">
        <v>40598</v>
      </c>
      <c r="G815" s="64" t="str">
        <f>IF(stdProdLT(Main[[#This Row],[Comments]])=0.1,"N/A",IF(stdProdLT(Main[[#This Row],[Comments]])=0,"",TRIM(stdProdLT(Main[[#This Row],[Comments]]))))</f>
        <v/>
      </c>
      <c r="H815" s="94" t="str">
        <f>IF(OR(Main[[#This Row],[Std. Prod. Lead Time]]="N/A",Main[[#This Row],[Std. Prod. Lead Time]]=""), "",IF(AND(Main[[#This Row],[In Stock Date]]&lt;&gt;"",Main[[#This Row],[Revised Due Date]]&lt;&gt;"",Main[[#This Row],[In Stock Date]]&lt;&gt;""),Main[[#This Row],[In Stock Date]]-Main[[#This Row],[Revised Due Date]],""))</f>
        <v/>
      </c>
      <c r="I815" s="101" t="s">
        <v>399</v>
      </c>
      <c r="J815" s="95" t="s">
        <v>75</v>
      </c>
      <c r="K815" s="95" t="s">
        <v>4</v>
      </c>
      <c r="L815" s="85"/>
      <c r="M815" s="73" t="str">
        <f>IF(Main[[#This Row],[Tech Start Date]]&lt;1/1/1990,"",IF(Main[[#This Row],[Class]]="C",WORKDAY(Main[[#This Row],[Tech Start Date]],9),IF(Main[[#This Row],[Class]]="B", WORKDAY(Main[[#This Row],[Tech Start Date]],6),IF(Main[[#This Row],[Class]]="A",WORKDAY(Main[[#This Row],[Tech Start Date]],2),""))))</f>
        <v/>
      </c>
      <c r="N815" s="73" t="str">
        <f>IF(Main[[#This Row],[Tech Start Date]]&lt;1/1/1990,"",IF(Main[[#This Row],[Class]]="C",WORKDAY(Main[[#This Row],[Tech Start Date]],19),IF(Main[[#This Row],[Class]]="B", WORKDAY(Main[[#This Row],[Tech Start Date]],12),IF(Main[[#This Row],[Class]]="A",WORKDAY(Main[[#This Row],[Tech Start Date]],4),""))))</f>
        <v/>
      </c>
      <c r="O815" s="73" t="str">
        <f>IF(Main[[#This Row],[Tech Start Date]]&lt;1/1/1990,"",IF(Main[[#This Row],[Class]]="C",WORKDAY(Main[[#This Row],[Tech Start Date]],23),IF(Main[[#This Row],[Class]]="B", WORKDAY(Main[[#This Row],[Tech Start Date]],15),IF(Main[[#This Row],[Class]]="A",WORKDAY(Main[[#This Row],[Tech Start Date]],5),""))))</f>
        <v/>
      </c>
      <c r="P815" s="73" t="str">
        <f>IF(Main[[#This Row],[Tech Start Date]]&lt;1/1/1990,"",IF(Main[[#This Row],[Class]]="C",WORKDAY(Main[[#This Row],[Tech Start Date]],28),IF(Main[[#This Row],[Class]]="B", WORKDAY(Main[[#This Row],[Tech Start Date]],19),IF(Main[[#This Row],[Class]]="A",WORKDAY(Main[[#This Row],[Tech Start Date]],9),""))))</f>
        <v/>
      </c>
      <c r="Q815" s="85">
        <v>40598</v>
      </c>
      <c r="R815" s="112"/>
      <c r="S815" s="95" t="s">
        <v>6</v>
      </c>
      <c r="T815" s="74" t="s">
        <v>4</v>
      </c>
      <c r="U815" s="95" t="s">
        <v>14</v>
      </c>
      <c r="V815" s="95" t="s">
        <v>1921</v>
      </c>
      <c r="W815" s="95" t="s">
        <v>1917</v>
      </c>
      <c r="X815" s="95" t="s">
        <v>2828</v>
      </c>
      <c r="Y815" s="72" t="s">
        <v>2957</v>
      </c>
      <c r="Z815" s="72" t="s">
        <v>306</v>
      </c>
      <c r="AA815" s="95" t="s">
        <v>2828</v>
      </c>
      <c r="AB815" s="132">
        <v>40591</v>
      </c>
      <c r="AC815" s="132">
        <v>40598</v>
      </c>
      <c r="AD815" s="132"/>
      <c r="AE815" s="63"/>
      <c r="AF815" s="63"/>
      <c r="AG815" s="63"/>
    </row>
    <row r="816" spans="1:33" ht="17.2" customHeight="1">
      <c r="A816" s="64" t="str">
        <f>IF(priority(Main[[#This Row],[Comments]])&lt;&gt;0, priority(Main[[#This Row],[Comments]]),"")</f>
        <v/>
      </c>
      <c r="B816" s="60" t="s">
        <v>2159</v>
      </c>
      <c r="C816" s="72" t="s">
        <v>2154</v>
      </c>
      <c r="D816" s="59" t="s">
        <v>2713</v>
      </c>
      <c r="E816" s="85">
        <v>40781.401631944442</v>
      </c>
      <c r="F816" s="85"/>
      <c r="G816" s="64" t="str">
        <f>IF(stdProdLT(Main[[#This Row],[Comments]])=0.1,"N/A",IF(stdProdLT(Main[[#This Row],[Comments]])=0,"",TRIM(stdProdLT(Main[[#This Row],[Comments]]))))</f>
        <v/>
      </c>
      <c r="H816" s="94" t="str">
        <f>IF(OR(Main[[#This Row],[Std. Prod. Lead Time]]="N/A",Main[[#This Row],[Std. Prod. Lead Time]]=""), "",IF(AND(Main[[#This Row],[In Stock Date]]&lt;&gt;"",Main[[#This Row],[Revised Due Date]]&lt;&gt;"",Main[[#This Row],[In Stock Date]]&lt;&gt;""),Main[[#This Row],[In Stock Date]]-Main[[#This Row],[Revised Due Date]],""))</f>
        <v/>
      </c>
      <c r="I816" s="101" t="s">
        <v>2045</v>
      </c>
      <c r="J816" s="95" t="s">
        <v>70</v>
      </c>
      <c r="K816" s="95" t="s">
        <v>1920</v>
      </c>
      <c r="L816" s="85"/>
      <c r="M816" s="73" t="str">
        <f>IF(Main[[#This Row],[Tech Start Date]]&lt;1/1/1990,"",IF(Main[[#This Row],[Class]]="C",WORKDAY(Main[[#This Row],[Tech Start Date]],9),IF(Main[[#This Row],[Class]]="B", WORKDAY(Main[[#This Row],[Tech Start Date]],6),IF(Main[[#This Row],[Class]]="A",WORKDAY(Main[[#This Row],[Tech Start Date]],2),""))))</f>
        <v/>
      </c>
      <c r="N816" s="73" t="str">
        <f>IF(Main[[#This Row],[Tech Start Date]]&lt;1/1/1990,"",IF(Main[[#This Row],[Class]]="C",WORKDAY(Main[[#This Row],[Tech Start Date]],19),IF(Main[[#This Row],[Class]]="B", WORKDAY(Main[[#This Row],[Tech Start Date]],12),IF(Main[[#This Row],[Class]]="A",WORKDAY(Main[[#This Row],[Tech Start Date]],4),""))))</f>
        <v/>
      </c>
      <c r="O816" s="73" t="str">
        <f>IF(Main[[#This Row],[Tech Start Date]]&lt;1/1/1990,"",IF(Main[[#This Row],[Class]]="C",WORKDAY(Main[[#This Row],[Tech Start Date]],23),IF(Main[[#This Row],[Class]]="B", WORKDAY(Main[[#This Row],[Tech Start Date]],15),IF(Main[[#This Row],[Class]]="A",WORKDAY(Main[[#This Row],[Tech Start Date]],5),""))))</f>
        <v/>
      </c>
      <c r="P816" s="73" t="str">
        <f>IF(Main[[#This Row],[Tech Start Date]]&lt;1/1/1990,"",IF(Main[[#This Row],[Class]]="C",WORKDAY(Main[[#This Row],[Tech Start Date]],28),IF(Main[[#This Row],[Class]]="B", WORKDAY(Main[[#This Row],[Tech Start Date]],19),IF(Main[[#This Row],[Class]]="A",WORKDAY(Main[[#This Row],[Tech Start Date]],9),""))))</f>
        <v/>
      </c>
      <c r="Q816" s="85">
        <v>40836</v>
      </c>
      <c r="R816" s="112"/>
      <c r="S816" s="95" t="s">
        <v>6</v>
      </c>
      <c r="T816" s="74" t="s">
        <v>4</v>
      </c>
      <c r="U816" s="95" t="s">
        <v>29</v>
      </c>
      <c r="V816" s="95" t="s">
        <v>1914</v>
      </c>
      <c r="W816" s="95" t="s">
        <v>1915</v>
      </c>
      <c r="X816" s="95" t="s">
        <v>2816</v>
      </c>
      <c r="Y816" s="72" t="s">
        <v>2943</v>
      </c>
      <c r="Z816" s="72" t="s">
        <v>30</v>
      </c>
      <c r="AA816" s="95" t="s">
        <v>2816</v>
      </c>
      <c r="AB816" s="132"/>
      <c r="AC816" s="132"/>
      <c r="AD816" s="132"/>
      <c r="AE816" s="63"/>
      <c r="AF816" s="63"/>
      <c r="AG816" s="63"/>
    </row>
    <row r="817" spans="1:33" ht="17.2" customHeight="1">
      <c r="A817" s="64" t="str">
        <f>IF(priority(Main[[#This Row],[Comments]])&lt;&gt;0, priority(Main[[#This Row],[Comments]]),"")</f>
        <v/>
      </c>
      <c r="B817" s="60" t="s">
        <v>2068</v>
      </c>
      <c r="C817" s="72" t="s">
        <v>4</v>
      </c>
      <c r="D817" s="59" t="s">
        <v>2380</v>
      </c>
      <c r="E817" s="85">
        <v>40760.554780092592</v>
      </c>
      <c r="F817" s="85"/>
      <c r="G817" s="64" t="str">
        <f>IF(stdProdLT(Main[[#This Row],[Comments]])=0.1,"N/A",IF(stdProdLT(Main[[#This Row],[Comments]])=0,"",TRIM(stdProdLT(Main[[#This Row],[Comments]]))))</f>
        <v/>
      </c>
      <c r="H817" s="94" t="str">
        <f>IF(OR(Main[[#This Row],[Std. Prod. Lead Time]]="N/A",Main[[#This Row],[Std. Prod. Lead Time]]=""), "",IF(AND(Main[[#This Row],[In Stock Date]]&lt;&gt;"",Main[[#This Row],[Revised Due Date]]&lt;&gt;"",Main[[#This Row],[In Stock Date]]&lt;&gt;""),Main[[#This Row],[In Stock Date]]-Main[[#This Row],[Revised Due Date]],""))</f>
        <v/>
      </c>
      <c r="I817" s="101" t="s">
        <v>4</v>
      </c>
      <c r="J817" s="95" t="s">
        <v>4</v>
      </c>
      <c r="K817" s="95" t="s">
        <v>4</v>
      </c>
      <c r="L817" s="85"/>
      <c r="M817" s="73" t="str">
        <f>IF(Main[[#This Row],[Tech Start Date]]&lt;1/1/1990,"",IF(Main[[#This Row],[Class]]="C",WORKDAY(Main[[#This Row],[Tech Start Date]],9),IF(Main[[#This Row],[Class]]="B", WORKDAY(Main[[#This Row],[Tech Start Date]],6),IF(Main[[#This Row],[Class]]="A",WORKDAY(Main[[#This Row],[Tech Start Date]],2),""))))</f>
        <v/>
      </c>
      <c r="N817" s="73" t="str">
        <f>IF(Main[[#This Row],[Tech Start Date]]&lt;1/1/1990,"",IF(Main[[#This Row],[Class]]="C",WORKDAY(Main[[#This Row],[Tech Start Date]],19),IF(Main[[#This Row],[Class]]="B", WORKDAY(Main[[#This Row],[Tech Start Date]],12),IF(Main[[#This Row],[Class]]="A",WORKDAY(Main[[#This Row],[Tech Start Date]],4),""))))</f>
        <v/>
      </c>
      <c r="O817" s="73" t="str">
        <f>IF(Main[[#This Row],[Tech Start Date]]&lt;1/1/1990,"",IF(Main[[#This Row],[Class]]="C",WORKDAY(Main[[#This Row],[Tech Start Date]],23),IF(Main[[#This Row],[Class]]="B", WORKDAY(Main[[#This Row],[Tech Start Date]],15),IF(Main[[#This Row],[Class]]="A",WORKDAY(Main[[#This Row],[Tech Start Date]],5),""))))</f>
        <v/>
      </c>
      <c r="P817" s="73" t="str">
        <f>IF(Main[[#This Row],[Tech Start Date]]&lt;1/1/1990,"",IF(Main[[#This Row],[Class]]="C",WORKDAY(Main[[#This Row],[Tech Start Date]],28),IF(Main[[#This Row],[Class]]="B", WORKDAY(Main[[#This Row],[Tech Start Date]],19),IF(Main[[#This Row],[Class]]="A",WORKDAY(Main[[#This Row],[Tech Start Date]],9),""))))</f>
        <v/>
      </c>
      <c r="Q817" s="85"/>
      <c r="R817" s="112"/>
      <c r="S817" s="95" t="s">
        <v>6</v>
      </c>
      <c r="T817" s="74" t="s">
        <v>4</v>
      </c>
      <c r="U817" s="95" t="s">
        <v>7</v>
      </c>
      <c r="V817" s="95" t="s">
        <v>1911</v>
      </c>
      <c r="W817" s="95" t="s">
        <v>1915</v>
      </c>
      <c r="X817" s="95" t="s">
        <v>306</v>
      </c>
      <c r="Y817" s="72" t="s">
        <v>4</v>
      </c>
      <c r="Z817" s="72" t="s">
        <v>4</v>
      </c>
      <c r="AA817" s="95" t="s">
        <v>4</v>
      </c>
      <c r="AB817" s="132"/>
      <c r="AC817" s="132"/>
      <c r="AD817" s="132"/>
      <c r="AE817" s="63"/>
      <c r="AF817" s="63"/>
      <c r="AG817" s="63"/>
    </row>
    <row r="818" spans="1:33" ht="17.2" customHeight="1">
      <c r="A818" s="64" t="str">
        <f>IF(priority(Main[[#This Row],[Comments]])&lt;&gt;0, priority(Main[[#This Row],[Comments]]),"")</f>
        <v/>
      </c>
      <c r="B818" s="60" t="s">
        <v>1620</v>
      </c>
      <c r="C818" s="72" t="s">
        <v>4</v>
      </c>
      <c r="D818" s="59" t="s">
        <v>698</v>
      </c>
      <c r="E818" s="85"/>
      <c r="F818" s="85"/>
      <c r="G818" s="64" t="str">
        <f>IF(stdProdLT(Main[[#This Row],[Comments]])=0.1,"N/A",IF(stdProdLT(Main[[#This Row],[Comments]])=0,"",TRIM(stdProdLT(Main[[#This Row],[Comments]]))))</f>
        <v/>
      </c>
      <c r="H818" s="94" t="str">
        <f>IF(OR(Main[[#This Row],[Std. Prod. Lead Time]]="N/A",Main[[#This Row],[Std. Prod. Lead Time]]=""), "",IF(AND(Main[[#This Row],[In Stock Date]]&lt;&gt;"",Main[[#This Row],[Revised Due Date]]&lt;&gt;"",Main[[#This Row],[In Stock Date]]&lt;&gt;""),Main[[#This Row],[In Stock Date]]-Main[[#This Row],[Revised Due Date]],""))</f>
        <v/>
      </c>
      <c r="I818" s="101" t="s">
        <v>4</v>
      </c>
      <c r="J818" s="95" t="s">
        <v>4</v>
      </c>
      <c r="K818" s="95" t="s">
        <v>4</v>
      </c>
      <c r="L818" s="85"/>
      <c r="M818" s="73" t="str">
        <f>IF(Main[[#This Row],[Tech Start Date]]&lt;1/1/1990,"",IF(Main[[#This Row],[Class]]="C",WORKDAY(Main[[#This Row],[Tech Start Date]],9),IF(Main[[#This Row],[Class]]="B", WORKDAY(Main[[#This Row],[Tech Start Date]],6),IF(Main[[#This Row],[Class]]="A",WORKDAY(Main[[#This Row],[Tech Start Date]],2),""))))</f>
        <v/>
      </c>
      <c r="N818" s="73" t="str">
        <f>IF(Main[[#This Row],[Tech Start Date]]&lt;1/1/1990,"",IF(Main[[#This Row],[Class]]="C",WORKDAY(Main[[#This Row],[Tech Start Date]],19),IF(Main[[#This Row],[Class]]="B", WORKDAY(Main[[#This Row],[Tech Start Date]],12),IF(Main[[#This Row],[Class]]="A",WORKDAY(Main[[#This Row],[Tech Start Date]],4),""))))</f>
        <v/>
      </c>
      <c r="O818" s="73" t="str">
        <f>IF(Main[[#This Row],[Tech Start Date]]&lt;1/1/1990,"",IF(Main[[#This Row],[Class]]="C",WORKDAY(Main[[#This Row],[Tech Start Date]],23),IF(Main[[#This Row],[Class]]="B", WORKDAY(Main[[#This Row],[Tech Start Date]],15),IF(Main[[#This Row],[Class]]="A",WORKDAY(Main[[#This Row],[Tech Start Date]],5),""))))</f>
        <v/>
      </c>
      <c r="P818" s="73" t="str">
        <f>IF(Main[[#This Row],[Tech Start Date]]&lt;1/1/1990,"",IF(Main[[#This Row],[Class]]="C",WORKDAY(Main[[#This Row],[Tech Start Date]],28),IF(Main[[#This Row],[Class]]="B", WORKDAY(Main[[#This Row],[Tech Start Date]],19),IF(Main[[#This Row],[Class]]="A",WORKDAY(Main[[#This Row],[Tech Start Date]],9),""))))</f>
        <v/>
      </c>
      <c r="Q818" s="85"/>
      <c r="R818" s="112"/>
      <c r="S818" s="95" t="s">
        <v>49</v>
      </c>
      <c r="T818" s="74" t="s">
        <v>4</v>
      </c>
      <c r="U818" s="95" t="s">
        <v>14</v>
      </c>
      <c r="V818" s="95" t="s">
        <v>1911</v>
      </c>
      <c r="W818" s="95" t="s">
        <v>1915</v>
      </c>
      <c r="X818" s="95" t="s">
        <v>306</v>
      </c>
      <c r="Y818" s="72" t="s">
        <v>4</v>
      </c>
      <c r="Z818" s="72" t="s">
        <v>4</v>
      </c>
      <c r="AA818" s="95" t="s">
        <v>4</v>
      </c>
      <c r="AB818" s="132"/>
      <c r="AC818" s="132"/>
      <c r="AD818" s="132"/>
      <c r="AE818" s="63"/>
      <c r="AF818" s="63"/>
      <c r="AG818" s="63"/>
    </row>
    <row r="819" spans="1:33" ht="17.2" customHeight="1">
      <c r="A819" s="64" t="str">
        <f>IF(priority(Main[[#This Row],[Comments]])&lt;&gt;0, priority(Main[[#This Row],[Comments]]),"")</f>
        <v/>
      </c>
      <c r="B819" s="60" t="s">
        <v>1621</v>
      </c>
      <c r="C819" s="72" t="s">
        <v>4</v>
      </c>
      <c r="D819" s="59" t="s">
        <v>699</v>
      </c>
      <c r="E819" s="85"/>
      <c r="F819" s="85"/>
      <c r="G819" s="64" t="str">
        <f>IF(stdProdLT(Main[[#This Row],[Comments]])=0.1,"N/A",IF(stdProdLT(Main[[#This Row],[Comments]])=0,"",TRIM(stdProdLT(Main[[#This Row],[Comments]]))))</f>
        <v/>
      </c>
      <c r="H819" s="94" t="str">
        <f>IF(OR(Main[[#This Row],[Std. Prod. Lead Time]]="N/A",Main[[#This Row],[Std. Prod. Lead Time]]=""), "",IF(AND(Main[[#This Row],[In Stock Date]]&lt;&gt;"",Main[[#This Row],[Revised Due Date]]&lt;&gt;"",Main[[#This Row],[In Stock Date]]&lt;&gt;""),Main[[#This Row],[In Stock Date]]-Main[[#This Row],[Revised Due Date]],""))</f>
        <v/>
      </c>
      <c r="I819" s="101" t="s">
        <v>4</v>
      </c>
      <c r="J819" s="95" t="s">
        <v>4</v>
      </c>
      <c r="K819" s="95" t="s">
        <v>4</v>
      </c>
      <c r="L819" s="85"/>
      <c r="M819" s="73" t="str">
        <f>IF(Main[[#This Row],[Tech Start Date]]&lt;1/1/1990,"",IF(Main[[#This Row],[Class]]="C",WORKDAY(Main[[#This Row],[Tech Start Date]],9),IF(Main[[#This Row],[Class]]="B", WORKDAY(Main[[#This Row],[Tech Start Date]],6),IF(Main[[#This Row],[Class]]="A",WORKDAY(Main[[#This Row],[Tech Start Date]],2),""))))</f>
        <v/>
      </c>
      <c r="N819" s="73" t="str">
        <f>IF(Main[[#This Row],[Tech Start Date]]&lt;1/1/1990,"",IF(Main[[#This Row],[Class]]="C",WORKDAY(Main[[#This Row],[Tech Start Date]],19),IF(Main[[#This Row],[Class]]="B", WORKDAY(Main[[#This Row],[Tech Start Date]],12),IF(Main[[#This Row],[Class]]="A",WORKDAY(Main[[#This Row],[Tech Start Date]],4),""))))</f>
        <v/>
      </c>
      <c r="O819" s="73" t="str">
        <f>IF(Main[[#This Row],[Tech Start Date]]&lt;1/1/1990,"",IF(Main[[#This Row],[Class]]="C",WORKDAY(Main[[#This Row],[Tech Start Date]],23),IF(Main[[#This Row],[Class]]="B", WORKDAY(Main[[#This Row],[Tech Start Date]],15),IF(Main[[#This Row],[Class]]="A",WORKDAY(Main[[#This Row],[Tech Start Date]],5),""))))</f>
        <v/>
      </c>
      <c r="P819" s="73" t="str">
        <f>IF(Main[[#This Row],[Tech Start Date]]&lt;1/1/1990,"",IF(Main[[#This Row],[Class]]="C",WORKDAY(Main[[#This Row],[Tech Start Date]],28),IF(Main[[#This Row],[Class]]="B", WORKDAY(Main[[#This Row],[Tech Start Date]],19),IF(Main[[#This Row],[Class]]="A",WORKDAY(Main[[#This Row],[Tech Start Date]],9),""))))</f>
        <v/>
      </c>
      <c r="Q819" s="85"/>
      <c r="R819" s="112"/>
      <c r="S819" s="95" t="s">
        <v>11</v>
      </c>
      <c r="T819" s="74" t="s">
        <v>4</v>
      </c>
      <c r="U819" s="95" t="s">
        <v>14</v>
      </c>
      <c r="V819" s="95" t="s">
        <v>1914</v>
      </c>
      <c r="W819" s="95" t="s">
        <v>1919</v>
      </c>
      <c r="X819" s="95" t="s">
        <v>306</v>
      </c>
      <c r="Y819" s="72" t="s">
        <v>4</v>
      </c>
      <c r="Z819" s="72" t="s">
        <v>4</v>
      </c>
      <c r="AA819" s="95" t="s">
        <v>4</v>
      </c>
      <c r="AB819" s="132"/>
      <c r="AC819" s="132"/>
      <c r="AD819" s="132"/>
      <c r="AE819" s="63"/>
      <c r="AF819" s="63"/>
      <c r="AG819" s="63"/>
    </row>
    <row r="820" spans="1:33" ht="17.2" customHeight="1">
      <c r="A820" s="64" t="str">
        <f>IF(priority(Main[[#This Row],[Comments]])&lt;&gt;0, priority(Main[[#This Row],[Comments]]),"")</f>
        <v/>
      </c>
      <c r="B820" s="60" t="s">
        <v>1622</v>
      </c>
      <c r="C820" s="72" t="s">
        <v>211</v>
      </c>
      <c r="D820" s="59" t="s">
        <v>212</v>
      </c>
      <c r="E820" s="85"/>
      <c r="F820" s="85">
        <v>40452</v>
      </c>
      <c r="G820" s="64" t="str">
        <f>IF(stdProdLT(Main[[#This Row],[Comments]])=0.1,"N/A",IF(stdProdLT(Main[[#This Row],[Comments]])=0,"",TRIM(stdProdLT(Main[[#This Row],[Comments]]))))</f>
        <v/>
      </c>
      <c r="H820" s="94" t="str">
        <f>IF(OR(Main[[#This Row],[Std. Prod. Lead Time]]="N/A",Main[[#This Row],[Std. Prod. Lead Time]]=""), "",IF(AND(Main[[#This Row],[In Stock Date]]&lt;&gt;"",Main[[#This Row],[Revised Due Date]]&lt;&gt;"",Main[[#This Row],[In Stock Date]]&lt;&gt;""),Main[[#This Row],[In Stock Date]]-Main[[#This Row],[Revised Due Date]],""))</f>
        <v/>
      </c>
      <c r="I820" s="101" t="s">
        <v>4</v>
      </c>
      <c r="J820" s="95" t="s">
        <v>4</v>
      </c>
      <c r="K820" s="95" t="s">
        <v>4</v>
      </c>
      <c r="L820" s="85"/>
      <c r="M820" s="73" t="str">
        <f>IF(Main[[#This Row],[Tech Start Date]]&lt;1/1/1990,"",IF(Main[[#This Row],[Class]]="C",WORKDAY(Main[[#This Row],[Tech Start Date]],9),IF(Main[[#This Row],[Class]]="B", WORKDAY(Main[[#This Row],[Tech Start Date]],6),IF(Main[[#This Row],[Class]]="A",WORKDAY(Main[[#This Row],[Tech Start Date]],2),""))))</f>
        <v/>
      </c>
      <c r="N820" s="73" t="str">
        <f>IF(Main[[#This Row],[Tech Start Date]]&lt;1/1/1990,"",IF(Main[[#This Row],[Class]]="C",WORKDAY(Main[[#This Row],[Tech Start Date]],19),IF(Main[[#This Row],[Class]]="B", WORKDAY(Main[[#This Row],[Tech Start Date]],12),IF(Main[[#This Row],[Class]]="A",WORKDAY(Main[[#This Row],[Tech Start Date]],4),""))))</f>
        <v/>
      </c>
      <c r="O820" s="73" t="str">
        <f>IF(Main[[#This Row],[Tech Start Date]]&lt;1/1/1990,"",IF(Main[[#This Row],[Class]]="C",WORKDAY(Main[[#This Row],[Tech Start Date]],23),IF(Main[[#This Row],[Class]]="B", WORKDAY(Main[[#This Row],[Tech Start Date]],15),IF(Main[[#This Row],[Class]]="A",WORKDAY(Main[[#This Row],[Tech Start Date]],5),""))))</f>
        <v/>
      </c>
      <c r="P820" s="73" t="str">
        <f>IF(Main[[#This Row],[Tech Start Date]]&lt;1/1/1990,"",IF(Main[[#This Row],[Class]]="C",WORKDAY(Main[[#This Row],[Tech Start Date]],28),IF(Main[[#This Row],[Class]]="B", WORKDAY(Main[[#This Row],[Tech Start Date]],19),IF(Main[[#This Row],[Class]]="A",WORKDAY(Main[[#This Row],[Tech Start Date]],9),""))))</f>
        <v/>
      </c>
      <c r="Q820" s="85">
        <v>40357</v>
      </c>
      <c r="R820" s="112"/>
      <c r="S820" s="95" t="s">
        <v>11</v>
      </c>
      <c r="T820" s="74" t="s">
        <v>4</v>
      </c>
      <c r="U820" s="95" t="s">
        <v>12</v>
      </c>
      <c r="V820" s="95" t="s">
        <v>1911</v>
      </c>
      <c r="W820" s="95" t="s">
        <v>1919</v>
      </c>
      <c r="X820" s="95" t="s">
        <v>2813</v>
      </c>
      <c r="Y820" s="72" t="s">
        <v>4</v>
      </c>
      <c r="Z820" s="72" t="s">
        <v>4</v>
      </c>
      <c r="AA820" s="95" t="s">
        <v>2813</v>
      </c>
      <c r="AB820" s="132"/>
      <c r="AC820" s="132"/>
      <c r="AD820" s="132"/>
      <c r="AE820" s="63"/>
      <c r="AF820" s="63"/>
      <c r="AG820" s="63"/>
    </row>
    <row r="821" spans="1:33" ht="17.2" customHeight="1">
      <c r="A821" s="64" t="str">
        <f>IF(priority(Main[[#This Row],[Comments]])&lt;&gt;0, priority(Main[[#This Row],[Comments]]),"")</f>
        <v/>
      </c>
      <c r="B821" s="60" t="s">
        <v>2220</v>
      </c>
      <c r="C821" s="72" t="s">
        <v>4</v>
      </c>
      <c r="D821" s="59" t="s">
        <v>2221</v>
      </c>
      <c r="E821" s="85">
        <v>40802.257071759261</v>
      </c>
      <c r="F821" s="85"/>
      <c r="G821" s="64" t="str">
        <f>IF(stdProdLT(Main[[#This Row],[Comments]])=0.1,"N/A",IF(stdProdLT(Main[[#This Row],[Comments]])=0,"",TRIM(stdProdLT(Main[[#This Row],[Comments]]))))</f>
        <v/>
      </c>
      <c r="H821" s="94" t="str">
        <f>IF(OR(Main[[#This Row],[Std. Prod. Lead Time]]="N/A",Main[[#This Row],[Std. Prod. Lead Time]]=""), "",IF(AND(Main[[#This Row],[In Stock Date]]&lt;&gt;"",Main[[#This Row],[Revised Due Date]]&lt;&gt;"",Main[[#This Row],[In Stock Date]]&lt;&gt;""),Main[[#This Row],[In Stock Date]]-Main[[#This Row],[Revised Due Date]],""))</f>
        <v/>
      </c>
      <c r="I821" s="101" t="s">
        <v>4</v>
      </c>
      <c r="J821" s="95" t="s">
        <v>4</v>
      </c>
      <c r="K821" s="95" t="s">
        <v>4</v>
      </c>
      <c r="L821" s="85"/>
      <c r="M821" s="73" t="str">
        <f>IF(Main[[#This Row],[Tech Start Date]]&lt;1/1/1990,"",IF(Main[[#This Row],[Class]]="C",WORKDAY(Main[[#This Row],[Tech Start Date]],9),IF(Main[[#This Row],[Class]]="B", WORKDAY(Main[[#This Row],[Tech Start Date]],6),IF(Main[[#This Row],[Class]]="A",WORKDAY(Main[[#This Row],[Tech Start Date]],2),""))))</f>
        <v/>
      </c>
      <c r="N821" s="73" t="str">
        <f>IF(Main[[#This Row],[Tech Start Date]]&lt;1/1/1990,"",IF(Main[[#This Row],[Class]]="C",WORKDAY(Main[[#This Row],[Tech Start Date]],19),IF(Main[[#This Row],[Class]]="B", WORKDAY(Main[[#This Row],[Tech Start Date]],12),IF(Main[[#This Row],[Class]]="A",WORKDAY(Main[[#This Row],[Tech Start Date]],4),""))))</f>
        <v/>
      </c>
      <c r="O821" s="73" t="str">
        <f>IF(Main[[#This Row],[Tech Start Date]]&lt;1/1/1990,"",IF(Main[[#This Row],[Class]]="C",WORKDAY(Main[[#This Row],[Tech Start Date]],23),IF(Main[[#This Row],[Class]]="B", WORKDAY(Main[[#This Row],[Tech Start Date]],15),IF(Main[[#This Row],[Class]]="A",WORKDAY(Main[[#This Row],[Tech Start Date]],5),""))))</f>
        <v/>
      </c>
      <c r="P821" s="73" t="str">
        <f>IF(Main[[#This Row],[Tech Start Date]]&lt;1/1/1990,"",IF(Main[[#This Row],[Class]]="C",WORKDAY(Main[[#This Row],[Tech Start Date]],28),IF(Main[[#This Row],[Class]]="B", WORKDAY(Main[[#This Row],[Tech Start Date]],19),IF(Main[[#This Row],[Class]]="A",WORKDAY(Main[[#This Row],[Tech Start Date]],9),""))))</f>
        <v/>
      </c>
      <c r="Q821" s="85">
        <v>40816</v>
      </c>
      <c r="R821" s="112"/>
      <c r="S821" s="95" t="s">
        <v>6</v>
      </c>
      <c r="T821" s="74" t="s">
        <v>4</v>
      </c>
      <c r="U821" s="95" t="s">
        <v>7</v>
      </c>
      <c r="V821" s="95" t="s">
        <v>1911</v>
      </c>
      <c r="W821" s="95" t="s">
        <v>1919</v>
      </c>
      <c r="X821" s="95" t="s">
        <v>2801</v>
      </c>
      <c r="Y821" s="72" t="s">
        <v>2914</v>
      </c>
      <c r="Z821" s="72" t="s">
        <v>4</v>
      </c>
      <c r="AA821" s="95" t="s">
        <v>2801</v>
      </c>
      <c r="AB821" s="132"/>
      <c r="AC821" s="132"/>
      <c r="AD821" s="132"/>
      <c r="AE821" s="63"/>
      <c r="AF821" s="63"/>
      <c r="AG821" s="63"/>
    </row>
    <row r="822" spans="1:33" ht="17.2" customHeight="1">
      <c r="A822" s="64" t="str">
        <f>IF(priority(Main[[#This Row],[Comments]])&lt;&gt;0, priority(Main[[#This Row],[Comments]]),"")</f>
        <v/>
      </c>
      <c r="B822" s="60" t="s">
        <v>1624</v>
      </c>
      <c r="C822" s="72" t="s">
        <v>347</v>
      </c>
      <c r="D822" s="59" t="s">
        <v>701</v>
      </c>
      <c r="E822" s="85"/>
      <c r="F822" s="85">
        <v>40664</v>
      </c>
      <c r="G822" s="64" t="str">
        <f>IF(stdProdLT(Main[[#This Row],[Comments]])=0.1,"N/A",IF(stdProdLT(Main[[#This Row],[Comments]])=0,"",TRIM(stdProdLT(Main[[#This Row],[Comments]]))))</f>
        <v/>
      </c>
      <c r="H822" s="94" t="str">
        <f>IF(OR(Main[[#This Row],[Std. Prod. Lead Time]]="N/A",Main[[#This Row],[Std. Prod. Lead Time]]=""), "",IF(AND(Main[[#This Row],[In Stock Date]]&lt;&gt;"",Main[[#This Row],[Revised Due Date]]&lt;&gt;"",Main[[#This Row],[In Stock Date]]&lt;&gt;""),Main[[#This Row],[In Stock Date]]-Main[[#This Row],[Revised Due Date]],""))</f>
        <v/>
      </c>
      <c r="I822" s="101" t="s">
        <v>399</v>
      </c>
      <c r="J822" s="95" t="s">
        <v>75</v>
      </c>
      <c r="K822" s="95" t="s">
        <v>1918</v>
      </c>
      <c r="L822" s="85"/>
      <c r="M822" s="73" t="str">
        <f>IF(Main[[#This Row],[Tech Start Date]]&lt;1/1/1990,"",IF(Main[[#This Row],[Class]]="C",WORKDAY(Main[[#This Row],[Tech Start Date]],9),IF(Main[[#This Row],[Class]]="B", WORKDAY(Main[[#This Row],[Tech Start Date]],6),IF(Main[[#This Row],[Class]]="A",WORKDAY(Main[[#This Row],[Tech Start Date]],2),""))))</f>
        <v/>
      </c>
      <c r="N822" s="73" t="str">
        <f>IF(Main[[#This Row],[Tech Start Date]]&lt;1/1/1990,"",IF(Main[[#This Row],[Class]]="C",WORKDAY(Main[[#This Row],[Tech Start Date]],19),IF(Main[[#This Row],[Class]]="B", WORKDAY(Main[[#This Row],[Tech Start Date]],12),IF(Main[[#This Row],[Class]]="A",WORKDAY(Main[[#This Row],[Tech Start Date]],4),""))))</f>
        <v/>
      </c>
      <c r="O822" s="73" t="str">
        <f>IF(Main[[#This Row],[Tech Start Date]]&lt;1/1/1990,"",IF(Main[[#This Row],[Class]]="C",WORKDAY(Main[[#This Row],[Tech Start Date]],23),IF(Main[[#This Row],[Class]]="B", WORKDAY(Main[[#This Row],[Tech Start Date]],15),IF(Main[[#This Row],[Class]]="A",WORKDAY(Main[[#This Row],[Tech Start Date]],5),""))))</f>
        <v/>
      </c>
      <c r="P822" s="73" t="str">
        <f>IF(Main[[#This Row],[Tech Start Date]]&lt;1/1/1990,"",IF(Main[[#This Row],[Class]]="C",WORKDAY(Main[[#This Row],[Tech Start Date]],28),IF(Main[[#This Row],[Class]]="B", WORKDAY(Main[[#This Row],[Tech Start Date]],19),IF(Main[[#This Row],[Class]]="A",WORKDAY(Main[[#This Row],[Tech Start Date]],9),""))))</f>
        <v/>
      </c>
      <c r="Q822" s="85"/>
      <c r="R822" s="112"/>
      <c r="S822" s="95" t="s">
        <v>11</v>
      </c>
      <c r="T822" s="74" t="s">
        <v>4</v>
      </c>
      <c r="U822" s="95" t="s">
        <v>14</v>
      </c>
      <c r="V822" s="95" t="s">
        <v>1914</v>
      </c>
      <c r="W822" s="95" t="s">
        <v>1917</v>
      </c>
      <c r="X822" s="95" t="s">
        <v>50</v>
      </c>
      <c r="Y822" s="72" t="s">
        <v>3071</v>
      </c>
      <c r="Z822" s="72" t="s">
        <v>306</v>
      </c>
      <c r="AA822" s="95" t="s">
        <v>2852</v>
      </c>
      <c r="AB822" s="132">
        <v>40555</v>
      </c>
      <c r="AC822" s="132">
        <v>40561</v>
      </c>
      <c r="AD822" s="132"/>
      <c r="AE822" s="63"/>
      <c r="AF822" s="63"/>
      <c r="AG822" s="63"/>
    </row>
    <row r="823" spans="1:33" ht="17.2" customHeight="1">
      <c r="A823" s="64" t="str">
        <f>IF(priority(Main[[#This Row],[Comments]])&lt;&gt;0, priority(Main[[#This Row],[Comments]]),"")</f>
        <v/>
      </c>
      <c r="B823" s="60" t="s">
        <v>1625</v>
      </c>
      <c r="C823" s="72" t="s">
        <v>4</v>
      </c>
      <c r="D823" s="59" t="s">
        <v>97</v>
      </c>
      <c r="E823" s="85"/>
      <c r="F823" s="85"/>
      <c r="G823" s="64" t="str">
        <f>IF(stdProdLT(Main[[#This Row],[Comments]])=0.1,"N/A",IF(stdProdLT(Main[[#This Row],[Comments]])=0,"",TRIM(stdProdLT(Main[[#This Row],[Comments]]))))</f>
        <v/>
      </c>
      <c r="H823" s="94" t="str">
        <f>IF(OR(Main[[#This Row],[Std. Prod. Lead Time]]="N/A",Main[[#This Row],[Std. Prod. Lead Time]]=""), "",IF(AND(Main[[#This Row],[In Stock Date]]&lt;&gt;"",Main[[#This Row],[Revised Due Date]]&lt;&gt;"",Main[[#This Row],[In Stock Date]]&lt;&gt;""),Main[[#This Row],[In Stock Date]]-Main[[#This Row],[Revised Due Date]],""))</f>
        <v/>
      </c>
      <c r="I823" s="101" t="s">
        <v>4</v>
      </c>
      <c r="J823" s="95" t="s">
        <v>4</v>
      </c>
      <c r="K823" s="95" t="s">
        <v>4</v>
      </c>
      <c r="L823" s="85"/>
      <c r="M823" s="73" t="str">
        <f>IF(Main[[#This Row],[Tech Start Date]]&lt;1/1/1990,"",IF(Main[[#This Row],[Class]]="C",WORKDAY(Main[[#This Row],[Tech Start Date]],9),IF(Main[[#This Row],[Class]]="B", WORKDAY(Main[[#This Row],[Tech Start Date]],6),IF(Main[[#This Row],[Class]]="A",WORKDAY(Main[[#This Row],[Tech Start Date]],2),""))))</f>
        <v/>
      </c>
      <c r="N823" s="73" t="str">
        <f>IF(Main[[#This Row],[Tech Start Date]]&lt;1/1/1990,"",IF(Main[[#This Row],[Class]]="C",WORKDAY(Main[[#This Row],[Tech Start Date]],19),IF(Main[[#This Row],[Class]]="B", WORKDAY(Main[[#This Row],[Tech Start Date]],12),IF(Main[[#This Row],[Class]]="A",WORKDAY(Main[[#This Row],[Tech Start Date]],4),""))))</f>
        <v/>
      </c>
      <c r="O823" s="73" t="str">
        <f>IF(Main[[#This Row],[Tech Start Date]]&lt;1/1/1990,"",IF(Main[[#This Row],[Class]]="C",WORKDAY(Main[[#This Row],[Tech Start Date]],23),IF(Main[[#This Row],[Class]]="B", WORKDAY(Main[[#This Row],[Tech Start Date]],15),IF(Main[[#This Row],[Class]]="A",WORKDAY(Main[[#This Row],[Tech Start Date]],5),""))))</f>
        <v/>
      </c>
      <c r="P823" s="73" t="str">
        <f>IF(Main[[#This Row],[Tech Start Date]]&lt;1/1/1990,"",IF(Main[[#This Row],[Class]]="C",WORKDAY(Main[[#This Row],[Tech Start Date]],28),IF(Main[[#This Row],[Class]]="B", WORKDAY(Main[[#This Row],[Tech Start Date]],19),IF(Main[[#This Row],[Class]]="A",WORKDAY(Main[[#This Row],[Tech Start Date]],9),""))))</f>
        <v/>
      </c>
      <c r="Q823" s="85">
        <v>40858</v>
      </c>
      <c r="R823" s="112"/>
      <c r="S823" s="95" t="s">
        <v>17</v>
      </c>
      <c r="T823" s="74" t="s">
        <v>4</v>
      </c>
      <c r="U823" s="95" t="s">
        <v>14</v>
      </c>
      <c r="V823" s="95" t="s">
        <v>1911</v>
      </c>
      <c r="W823" s="95" t="s">
        <v>1916</v>
      </c>
      <c r="X823" s="95" t="s">
        <v>50</v>
      </c>
      <c r="Y823" s="72" t="s">
        <v>2937</v>
      </c>
      <c r="Z823" s="72" t="s">
        <v>4</v>
      </c>
      <c r="AA823" s="95" t="s">
        <v>2808</v>
      </c>
      <c r="AB823" s="132"/>
      <c r="AC823" s="132"/>
      <c r="AD823" s="132"/>
      <c r="AE823" s="63"/>
      <c r="AF823" s="63"/>
      <c r="AG823" s="63"/>
    </row>
    <row r="824" spans="1:33" ht="17.2" customHeight="1">
      <c r="A824" s="64" t="str">
        <f>IF(priority(Main[[#This Row],[Comments]])&lt;&gt;0, priority(Main[[#This Row],[Comments]]),"")</f>
        <v/>
      </c>
      <c r="B824" s="60" t="s">
        <v>1626</v>
      </c>
      <c r="C824" s="72" t="s">
        <v>4</v>
      </c>
      <c r="D824" s="59" t="s">
        <v>97</v>
      </c>
      <c r="E824" s="85"/>
      <c r="F824" s="85"/>
      <c r="G824" s="64" t="str">
        <f>IF(stdProdLT(Main[[#This Row],[Comments]])=0.1,"N/A",IF(stdProdLT(Main[[#This Row],[Comments]])=0,"",TRIM(stdProdLT(Main[[#This Row],[Comments]]))))</f>
        <v/>
      </c>
      <c r="H824" s="94" t="str">
        <f>IF(OR(Main[[#This Row],[Std. Prod. Lead Time]]="N/A",Main[[#This Row],[Std. Prod. Lead Time]]=""), "",IF(AND(Main[[#This Row],[In Stock Date]]&lt;&gt;"",Main[[#This Row],[Revised Due Date]]&lt;&gt;"",Main[[#This Row],[In Stock Date]]&lt;&gt;""),Main[[#This Row],[In Stock Date]]-Main[[#This Row],[Revised Due Date]],""))</f>
        <v/>
      </c>
      <c r="I824" s="101" t="s">
        <v>4</v>
      </c>
      <c r="J824" s="95" t="s">
        <v>4</v>
      </c>
      <c r="K824" s="96" t="s">
        <v>4</v>
      </c>
      <c r="L824" s="85"/>
      <c r="M824" s="73" t="str">
        <f>IF(Main[[#This Row],[Tech Start Date]]&lt;1/1/1990,"",IF(Main[[#This Row],[Class]]="C",WORKDAY(Main[[#This Row],[Tech Start Date]],9),IF(Main[[#This Row],[Class]]="B", WORKDAY(Main[[#This Row],[Tech Start Date]],6),IF(Main[[#This Row],[Class]]="A",WORKDAY(Main[[#This Row],[Tech Start Date]],2),""))))</f>
        <v/>
      </c>
      <c r="N824" s="73" t="str">
        <f>IF(Main[[#This Row],[Tech Start Date]]&lt;1/1/1990,"",IF(Main[[#This Row],[Class]]="C",WORKDAY(Main[[#This Row],[Tech Start Date]],19),IF(Main[[#This Row],[Class]]="B", WORKDAY(Main[[#This Row],[Tech Start Date]],12),IF(Main[[#This Row],[Class]]="A",WORKDAY(Main[[#This Row],[Tech Start Date]],4),""))))</f>
        <v/>
      </c>
      <c r="O824" s="73" t="str">
        <f>IF(Main[[#This Row],[Tech Start Date]]&lt;1/1/1990,"",IF(Main[[#This Row],[Class]]="C",WORKDAY(Main[[#This Row],[Tech Start Date]],23),IF(Main[[#This Row],[Class]]="B", WORKDAY(Main[[#This Row],[Tech Start Date]],15),IF(Main[[#This Row],[Class]]="A",WORKDAY(Main[[#This Row],[Tech Start Date]],5),""))))</f>
        <v/>
      </c>
      <c r="P824" s="73" t="str">
        <f>IF(Main[[#This Row],[Tech Start Date]]&lt;1/1/1990,"",IF(Main[[#This Row],[Class]]="C",WORKDAY(Main[[#This Row],[Tech Start Date]],28),IF(Main[[#This Row],[Class]]="B", WORKDAY(Main[[#This Row],[Tech Start Date]],19),IF(Main[[#This Row],[Class]]="A",WORKDAY(Main[[#This Row],[Tech Start Date]],9),""))))</f>
        <v/>
      </c>
      <c r="Q824" s="85">
        <v>40858</v>
      </c>
      <c r="R824" s="112"/>
      <c r="S824" s="95" t="s">
        <v>17</v>
      </c>
      <c r="T824" s="74" t="s">
        <v>4</v>
      </c>
      <c r="U824" s="95" t="s">
        <v>12</v>
      </c>
      <c r="V824" s="95" t="s">
        <v>1911</v>
      </c>
      <c r="W824" s="95" t="s">
        <v>1916</v>
      </c>
      <c r="X824" s="95" t="s">
        <v>50</v>
      </c>
      <c r="Y824" s="72" t="s">
        <v>2937</v>
      </c>
      <c r="Z824" s="72" t="s">
        <v>4</v>
      </c>
      <c r="AA824" s="95" t="s">
        <v>2808</v>
      </c>
      <c r="AB824" s="132"/>
      <c r="AC824" s="132"/>
      <c r="AD824" s="132"/>
      <c r="AE824" s="63"/>
      <c r="AF824" s="63"/>
      <c r="AG824" s="63"/>
    </row>
    <row r="825" spans="1:33" ht="17.2" customHeight="1">
      <c r="A825" s="64" t="str">
        <f>IF(priority(Main[[#This Row],[Comments]])&lt;&gt;0, priority(Main[[#This Row],[Comments]]),"")</f>
        <v/>
      </c>
      <c r="B825" s="60" t="s">
        <v>1627</v>
      </c>
      <c r="C825" s="72" t="s">
        <v>4</v>
      </c>
      <c r="D825" s="59" t="s">
        <v>702</v>
      </c>
      <c r="E825" s="85">
        <v>40455.919641203705</v>
      </c>
      <c r="F825" s="85"/>
      <c r="G825" s="64" t="str">
        <f>IF(stdProdLT(Main[[#This Row],[Comments]])=0.1,"N/A",IF(stdProdLT(Main[[#This Row],[Comments]])=0,"",TRIM(stdProdLT(Main[[#This Row],[Comments]]))))</f>
        <v/>
      </c>
      <c r="H825" s="94" t="str">
        <f>IF(OR(Main[[#This Row],[Std. Prod. Lead Time]]="N/A",Main[[#This Row],[Std. Prod. Lead Time]]=""), "",IF(AND(Main[[#This Row],[In Stock Date]]&lt;&gt;"",Main[[#This Row],[Revised Due Date]]&lt;&gt;"",Main[[#This Row],[In Stock Date]]&lt;&gt;""),Main[[#This Row],[In Stock Date]]-Main[[#This Row],[Revised Due Date]],""))</f>
        <v/>
      </c>
      <c r="I825" s="101" t="s">
        <v>4</v>
      </c>
      <c r="J825" s="95" t="s">
        <v>28</v>
      </c>
      <c r="K825" s="95" t="s">
        <v>1923</v>
      </c>
      <c r="L825" s="85"/>
      <c r="M825" s="73" t="str">
        <f>IF(Main[[#This Row],[Tech Start Date]]&lt;1/1/1990,"",IF(Main[[#This Row],[Class]]="C",WORKDAY(Main[[#This Row],[Tech Start Date]],9),IF(Main[[#This Row],[Class]]="B", WORKDAY(Main[[#This Row],[Tech Start Date]],6),IF(Main[[#This Row],[Class]]="A",WORKDAY(Main[[#This Row],[Tech Start Date]],2),""))))</f>
        <v/>
      </c>
      <c r="N825" s="73" t="str">
        <f>IF(Main[[#This Row],[Tech Start Date]]&lt;1/1/1990,"",IF(Main[[#This Row],[Class]]="C",WORKDAY(Main[[#This Row],[Tech Start Date]],19),IF(Main[[#This Row],[Class]]="B", WORKDAY(Main[[#This Row],[Tech Start Date]],12),IF(Main[[#This Row],[Class]]="A",WORKDAY(Main[[#This Row],[Tech Start Date]],4),""))))</f>
        <v/>
      </c>
      <c r="O825" s="73" t="str">
        <f>IF(Main[[#This Row],[Tech Start Date]]&lt;1/1/1990,"",IF(Main[[#This Row],[Class]]="C",WORKDAY(Main[[#This Row],[Tech Start Date]],23),IF(Main[[#This Row],[Class]]="B", WORKDAY(Main[[#This Row],[Tech Start Date]],15),IF(Main[[#This Row],[Class]]="A",WORKDAY(Main[[#This Row],[Tech Start Date]],5),""))))</f>
        <v/>
      </c>
      <c r="P825" s="73" t="str">
        <f>IF(Main[[#This Row],[Tech Start Date]]&lt;1/1/1990,"",IF(Main[[#This Row],[Class]]="C",WORKDAY(Main[[#This Row],[Tech Start Date]],28),IF(Main[[#This Row],[Class]]="B", WORKDAY(Main[[#This Row],[Tech Start Date]],19),IF(Main[[#This Row],[Class]]="A",WORKDAY(Main[[#This Row],[Tech Start Date]],9),""))))</f>
        <v/>
      </c>
      <c r="Q825" s="85">
        <v>40543</v>
      </c>
      <c r="R825" s="112"/>
      <c r="S825" s="95" t="s">
        <v>17</v>
      </c>
      <c r="T825" s="74" t="s">
        <v>4</v>
      </c>
      <c r="U825" s="95" t="s">
        <v>7</v>
      </c>
      <c r="V825" s="95" t="s">
        <v>1911</v>
      </c>
      <c r="W825" s="95" t="s">
        <v>1915</v>
      </c>
      <c r="X825" s="95" t="s">
        <v>129</v>
      </c>
      <c r="Y825" s="72" t="s">
        <v>2911</v>
      </c>
      <c r="Z825" s="72" t="s">
        <v>129</v>
      </c>
      <c r="AA825" s="95" t="s">
        <v>129</v>
      </c>
      <c r="AB825" s="132"/>
      <c r="AC825" s="132"/>
      <c r="AD825" s="132"/>
      <c r="AE825" s="63"/>
      <c r="AF825" s="63"/>
      <c r="AG825" s="63"/>
    </row>
    <row r="826" spans="1:33" ht="17.2" customHeight="1">
      <c r="A826" s="64" t="str">
        <f>IF(priority(Main[[#This Row],[Comments]])&lt;&gt;0, priority(Main[[#This Row],[Comments]]),"")</f>
        <v/>
      </c>
      <c r="B826" s="60" t="s">
        <v>1628</v>
      </c>
      <c r="C826" s="72" t="s">
        <v>4</v>
      </c>
      <c r="D826" s="59" t="s">
        <v>703</v>
      </c>
      <c r="E826" s="85">
        <v>40711.477789351855</v>
      </c>
      <c r="F826" s="85"/>
      <c r="G826" s="64" t="str">
        <f>IF(stdProdLT(Main[[#This Row],[Comments]])=0.1,"N/A",IF(stdProdLT(Main[[#This Row],[Comments]])=0,"",TRIM(stdProdLT(Main[[#This Row],[Comments]]))))</f>
        <v/>
      </c>
      <c r="H826" s="94" t="str">
        <f>IF(OR(Main[[#This Row],[Std. Prod. Lead Time]]="N/A",Main[[#This Row],[Std. Prod. Lead Time]]=""), "",IF(AND(Main[[#This Row],[In Stock Date]]&lt;&gt;"",Main[[#This Row],[Revised Due Date]]&lt;&gt;"",Main[[#This Row],[In Stock Date]]&lt;&gt;""),Main[[#This Row],[In Stock Date]]-Main[[#This Row],[Revised Due Date]],""))</f>
        <v/>
      </c>
      <c r="I826" s="101" t="s">
        <v>4</v>
      </c>
      <c r="J826" s="95" t="s">
        <v>4</v>
      </c>
      <c r="K826" s="95" t="s">
        <v>4</v>
      </c>
      <c r="L826" s="85"/>
      <c r="M826" s="73" t="str">
        <f>IF(Main[[#This Row],[Tech Start Date]]&lt;1/1/1990,"",IF(Main[[#This Row],[Class]]="C",WORKDAY(Main[[#This Row],[Tech Start Date]],9),IF(Main[[#This Row],[Class]]="B", WORKDAY(Main[[#This Row],[Tech Start Date]],6),IF(Main[[#This Row],[Class]]="A",WORKDAY(Main[[#This Row],[Tech Start Date]],2),""))))</f>
        <v/>
      </c>
      <c r="N826" s="73" t="str">
        <f>IF(Main[[#This Row],[Tech Start Date]]&lt;1/1/1990,"",IF(Main[[#This Row],[Class]]="C",WORKDAY(Main[[#This Row],[Tech Start Date]],19),IF(Main[[#This Row],[Class]]="B", WORKDAY(Main[[#This Row],[Tech Start Date]],12),IF(Main[[#This Row],[Class]]="A",WORKDAY(Main[[#This Row],[Tech Start Date]],4),""))))</f>
        <v/>
      </c>
      <c r="O826" s="73" t="str">
        <f>IF(Main[[#This Row],[Tech Start Date]]&lt;1/1/1990,"",IF(Main[[#This Row],[Class]]="C",WORKDAY(Main[[#This Row],[Tech Start Date]],23),IF(Main[[#This Row],[Class]]="B", WORKDAY(Main[[#This Row],[Tech Start Date]],15),IF(Main[[#This Row],[Class]]="A",WORKDAY(Main[[#This Row],[Tech Start Date]],5),""))))</f>
        <v/>
      </c>
      <c r="P826" s="73" t="str">
        <f>IF(Main[[#This Row],[Tech Start Date]]&lt;1/1/1990,"",IF(Main[[#This Row],[Class]]="C",WORKDAY(Main[[#This Row],[Tech Start Date]],28),IF(Main[[#This Row],[Class]]="B", WORKDAY(Main[[#This Row],[Tech Start Date]],19),IF(Main[[#This Row],[Class]]="A",WORKDAY(Main[[#This Row],[Tech Start Date]],9),""))))</f>
        <v/>
      </c>
      <c r="Q826" s="85">
        <v>40753</v>
      </c>
      <c r="R826" s="112"/>
      <c r="S826" s="95" t="s">
        <v>6</v>
      </c>
      <c r="T826" s="74" t="s">
        <v>4</v>
      </c>
      <c r="U826" s="95" t="s">
        <v>7</v>
      </c>
      <c r="V826" s="95" t="s">
        <v>1911</v>
      </c>
      <c r="W826" s="95" t="s">
        <v>1919</v>
      </c>
      <c r="X826" s="95" t="s">
        <v>2801</v>
      </c>
      <c r="Y826" s="72" t="s">
        <v>2914</v>
      </c>
      <c r="Z826" s="72" t="s">
        <v>4</v>
      </c>
      <c r="AA826" s="95" t="s">
        <v>2801</v>
      </c>
      <c r="AB826" s="132"/>
      <c r="AC826" s="132"/>
      <c r="AD826" s="132"/>
      <c r="AE826" s="63"/>
      <c r="AF826" s="63"/>
      <c r="AG826" s="63"/>
    </row>
    <row r="827" spans="1:33" ht="17.2" customHeight="1">
      <c r="A827" s="64" t="str">
        <f>IF(priority(Main[[#This Row],[Comments]])&lt;&gt;0, priority(Main[[#This Row],[Comments]]),"")</f>
        <v/>
      </c>
      <c r="B827" s="60" t="s">
        <v>1630</v>
      </c>
      <c r="C827" s="72" t="s">
        <v>47</v>
      </c>
      <c r="D827" s="59" t="s">
        <v>705</v>
      </c>
      <c r="E827" s="85"/>
      <c r="F827" s="85"/>
      <c r="G827" s="64" t="str">
        <f>IF(stdProdLT(Main[[#This Row],[Comments]])=0.1,"N/A",IF(stdProdLT(Main[[#This Row],[Comments]])=0,"",TRIM(stdProdLT(Main[[#This Row],[Comments]]))))</f>
        <v/>
      </c>
      <c r="H827" s="94" t="str">
        <f>IF(OR(Main[[#This Row],[Std. Prod. Lead Time]]="N/A",Main[[#This Row],[Std. Prod. Lead Time]]=""), "",IF(AND(Main[[#This Row],[In Stock Date]]&lt;&gt;"",Main[[#This Row],[Revised Due Date]]&lt;&gt;"",Main[[#This Row],[In Stock Date]]&lt;&gt;""),Main[[#This Row],[In Stock Date]]-Main[[#This Row],[Revised Due Date]],""))</f>
        <v/>
      </c>
      <c r="I827" s="101" t="s">
        <v>4</v>
      </c>
      <c r="J827" s="95" t="s">
        <v>4</v>
      </c>
      <c r="K827" s="95" t="s">
        <v>4</v>
      </c>
      <c r="L827" s="85"/>
      <c r="M827" s="73" t="str">
        <f>IF(Main[[#This Row],[Tech Start Date]]&lt;1/1/1990,"",IF(Main[[#This Row],[Class]]="C",WORKDAY(Main[[#This Row],[Tech Start Date]],9),IF(Main[[#This Row],[Class]]="B", WORKDAY(Main[[#This Row],[Tech Start Date]],6),IF(Main[[#This Row],[Class]]="A",WORKDAY(Main[[#This Row],[Tech Start Date]],2),""))))</f>
        <v/>
      </c>
      <c r="N827" s="73" t="str">
        <f>IF(Main[[#This Row],[Tech Start Date]]&lt;1/1/1990,"",IF(Main[[#This Row],[Class]]="C",WORKDAY(Main[[#This Row],[Tech Start Date]],19),IF(Main[[#This Row],[Class]]="B", WORKDAY(Main[[#This Row],[Tech Start Date]],12),IF(Main[[#This Row],[Class]]="A",WORKDAY(Main[[#This Row],[Tech Start Date]],4),""))))</f>
        <v/>
      </c>
      <c r="O827" s="73" t="str">
        <f>IF(Main[[#This Row],[Tech Start Date]]&lt;1/1/1990,"",IF(Main[[#This Row],[Class]]="C",WORKDAY(Main[[#This Row],[Tech Start Date]],23),IF(Main[[#This Row],[Class]]="B", WORKDAY(Main[[#This Row],[Tech Start Date]],15),IF(Main[[#This Row],[Class]]="A",WORKDAY(Main[[#This Row],[Tech Start Date]],5),""))))</f>
        <v/>
      </c>
      <c r="P827" s="73" t="str">
        <f>IF(Main[[#This Row],[Tech Start Date]]&lt;1/1/1990,"",IF(Main[[#This Row],[Class]]="C",WORKDAY(Main[[#This Row],[Tech Start Date]],28),IF(Main[[#This Row],[Class]]="B", WORKDAY(Main[[#This Row],[Tech Start Date]],19),IF(Main[[#This Row],[Class]]="A",WORKDAY(Main[[#This Row],[Tech Start Date]],9),""))))</f>
        <v/>
      </c>
      <c r="Q827" s="85"/>
      <c r="R827" s="112"/>
      <c r="S827" s="95" t="s">
        <v>49</v>
      </c>
      <c r="T827" s="74" t="s">
        <v>4</v>
      </c>
      <c r="U827" s="95" t="s">
        <v>14</v>
      </c>
      <c r="V827" s="95" t="s">
        <v>1914</v>
      </c>
      <c r="W827" s="95" t="s">
        <v>1915</v>
      </c>
      <c r="X827" s="95" t="s">
        <v>306</v>
      </c>
      <c r="Y827" s="72" t="s">
        <v>2919</v>
      </c>
      <c r="Z827" s="72" t="s">
        <v>4</v>
      </c>
      <c r="AA827" s="95" t="s">
        <v>3337</v>
      </c>
      <c r="AB827" s="132"/>
      <c r="AC827" s="132"/>
      <c r="AD827" s="132"/>
      <c r="AE827" s="63"/>
      <c r="AF827" s="63"/>
      <c r="AG827" s="63"/>
    </row>
    <row r="828" spans="1:33" ht="17.2" customHeight="1">
      <c r="A828" s="64" t="str">
        <f>IF(priority(Main[[#This Row],[Comments]])&lt;&gt;0, priority(Main[[#This Row],[Comments]]),"")</f>
        <v/>
      </c>
      <c r="B828" s="60" t="s">
        <v>1457</v>
      </c>
      <c r="C828" s="72" t="s">
        <v>4</v>
      </c>
      <c r="D828" s="59" t="s">
        <v>524</v>
      </c>
      <c r="E828" s="85">
        <v>40926.590763888889</v>
      </c>
      <c r="F828" s="85"/>
      <c r="G828" s="64" t="str">
        <f>IF(stdProdLT(Main[[#This Row],[Comments]])=0.1,"N/A",IF(stdProdLT(Main[[#This Row],[Comments]])=0,"",TRIM(stdProdLT(Main[[#This Row],[Comments]]))))</f>
        <v/>
      </c>
      <c r="H828" s="94" t="str">
        <f>IF(OR(Main[[#This Row],[Std. Prod. Lead Time]]="N/A",Main[[#This Row],[Std. Prod. Lead Time]]=""), "",IF(AND(Main[[#This Row],[In Stock Date]]&lt;&gt;"",Main[[#This Row],[Revised Due Date]]&lt;&gt;"",Main[[#This Row],[In Stock Date]]&lt;&gt;""),Main[[#This Row],[In Stock Date]]-Main[[#This Row],[Revised Due Date]],""))</f>
        <v/>
      </c>
      <c r="I828" s="101" t="s">
        <v>530</v>
      </c>
      <c r="J828" s="95" t="s">
        <v>28</v>
      </c>
      <c r="K828" s="95" t="s">
        <v>1920</v>
      </c>
      <c r="L828" s="85"/>
      <c r="M828" s="73" t="str">
        <f>IF(Main[[#This Row],[Tech Start Date]]&lt;1/1/1990,"",IF(Main[[#This Row],[Class]]="C",WORKDAY(Main[[#This Row],[Tech Start Date]],9),IF(Main[[#This Row],[Class]]="B", WORKDAY(Main[[#This Row],[Tech Start Date]],6),IF(Main[[#This Row],[Class]]="A",WORKDAY(Main[[#This Row],[Tech Start Date]],2),""))))</f>
        <v/>
      </c>
      <c r="N828" s="73" t="str">
        <f>IF(Main[[#This Row],[Tech Start Date]]&lt;1/1/1990,"",IF(Main[[#This Row],[Class]]="C",WORKDAY(Main[[#This Row],[Tech Start Date]],19),IF(Main[[#This Row],[Class]]="B", WORKDAY(Main[[#This Row],[Tech Start Date]],12),IF(Main[[#This Row],[Class]]="A",WORKDAY(Main[[#This Row],[Tech Start Date]],4),""))))</f>
        <v/>
      </c>
      <c r="O828" s="73" t="str">
        <f>IF(Main[[#This Row],[Tech Start Date]]&lt;1/1/1990,"",IF(Main[[#This Row],[Class]]="C",WORKDAY(Main[[#This Row],[Tech Start Date]],23),IF(Main[[#This Row],[Class]]="B", WORKDAY(Main[[#This Row],[Tech Start Date]],15),IF(Main[[#This Row],[Class]]="A",WORKDAY(Main[[#This Row],[Tech Start Date]],5),""))))</f>
        <v/>
      </c>
      <c r="P828" s="73" t="str">
        <f>IF(Main[[#This Row],[Tech Start Date]]&lt;1/1/1990,"",IF(Main[[#This Row],[Class]]="C",WORKDAY(Main[[#This Row],[Tech Start Date]],28),IF(Main[[#This Row],[Class]]="B", WORKDAY(Main[[#This Row],[Tech Start Date]],19),IF(Main[[#This Row],[Class]]="A",WORKDAY(Main[[#This Row],[Tech Start Date]],9),""))))</f>
        <v/>
      </c>
      <c r="Q828" s="85"/>
      <c r="R828" s="112"/>
      <c r="S828" s="95" t="s">
        <v>6</v>
      </c>
      <c r="T828" s="74" t="s">
        <v>4</v>
      </c>
      <c r="U828" s="95" t="s">
        <v>29</v>
      </c>
      <c r="V828" s="95" t="s">
        <v>1914</v>
      </c>
      <c r="W828" s="95" t="s">
        <v>1915</v>
      </c>
      <c r="X828" s="95" t="s">
        <v>2799</v>
      </c>
      <c r="Y828" s="72" t="s">
        <v>2910</v>
      </c>
      <c r="Z828" s="72" t="s">
        <v>30</v>
      </c>
      <c r="AA828" s="95" t="s">
        <v>2799</v>
      </c>
      <c r="AB828" s="132"/>
      <c r="AC828" s="132"/>
      <c r="AD828" s="132"/>
      <c r="AE828" s="63"/>
      <c r="AF828" s="63"/>
      <c r="AG828" s="63"/>
    </row>
    <row r="829" spans="1:33" ht="17.2" customHeight="1">
      <c r="A829" s="64" t="str">
        <f>IF(priority(Main[[#This Row],[Comments]])&lt;&gt;0, priority(Main[[#This Row],[Comments]]),"")</f>
        <v/>
      </c>
      <c r="B829" s="60" t="s">
        <v>2041</v>
      </c>
      <c r="C829" s="72" t="s">
        <v>4</v>
      </c>
      <c r="D829" s="59" t="s">
        <v>2042</v>
      </c>
      <c r="E829" s="85">
        <v>40753.114606481482</v>
      </c>
      <c r="F829" s="85"/>
      <c r="G829" s="64" t="str">
        <f>IF(stdProdLT(Main[[#This Row],[Comments]])=0.1,"N/A",IF(stdProdLT(Main[[#This Row],[Comments]])=0,"",TRIM(stdProdLT(Main[[#This Row],[Comments]]))))</f>
        <v/>
      </c>
      <c r="H829" s="94" t="str">
        <f>IF(OR(Main[[#This Row],[Std. Prod. Lead Time]]="N/A",Main[[#This Row],[Std. Prod. Lead Time]]=""), "",IF(AND(Main[[#This Row],[In Stock Date]]&lt;&gt;"",Main[[#This Row],[Revised Due Date]]&lt;&gt;"",Main[[#This Row],[In Stock Date]]&lt;&gt;""),Main[[#This Row],[In Stock Date]]-Main[[#This Row],[Revised Due Date]],""))</f>
        <v/>
      </c>
      <c r="I829" s="101" t="s">
        <v>4</v>
      </c>
      <c r="J829" s="95" t="s">
        <v>4</v>
      </c>
      <c r="K829" s="96" t="s">
        <v>4</v>
      </c>
      <c r="L829" s="85"/>
      <c r="M829" s="73" t="str">
        <f>IF(Main[[#This Row],[Tech Start Date]]&lt;1/1/1990,"",IF(Main[[#This Row],[Class]]="C",WORKDAY(Main[[#This Row],[Tech Start Date]],9),IF(Main[[#This Row],[Class]]="B", WORKDAY(Main[[#This Row],[Tech Start Date]],6),IF(Main[[#This Row],[Class]]="A",WORKDAY(Main[[#This Row],[Tech Start Date]],2),""))))</f>
        <v/>
      </c>
      <c r="N829" s="73" t="str">
        <f>IF(Main[[#This Row],[Tech Start Date]]&lt;1/1/1990,"",IF(Main[[#This Row],[Class]]="C",WORKDAY(Main[[#This Row],[Tech Start Date]],19),IF(Main[[#This Row],[Class]]="B", WORKDAY(Main[[#This Row],[Tech Start Date]],12),IF(Main[[#This Row],[Class]]="A",WORKDAY(Main[[#This Row],[Tech Start Date]],4),""))))</f>
        <v/>
      </c>
      <c r="O829" s="73" t="str">
        <f>IF(Main[[#This Row],[Tech Start Date]]&lt;1/1/1990,"",IF(Main[[#This Row],[Class]]="C",WORKDAY(Main[[#This Row],[Tech Start Date]],23),IF(Main[[#This Row],[Class]]="B", WORKDAY(Main[[#This Row],[Tech Start Date]],15),IF(Main[[#This Row],[Class]]="A",WORKDAY(Main[[#This Row],[Tech Start Date]],5),""))))</f>
        <v/>
      </c>
      <c r="P829" s="73" t="str">
        <f>IF(Main[[#This Row],[Tech Start Date]]&lt;1/1/1990,"",IF(Main[[#This Row],[Class]]="C",WORKDAY(Main[[#This Row],[Tech Start Date]],28),IF(Main[[#This Row],[Class]]="B", WORKDAY(Main[[#This Row],[Tech Start Date]],19),IF(Main[[#This Row],[Class]]="A",WORKDAY(Main[[#This Row],[Tech Start Date]],9),""))))</f>
        <v/>
      </c>
      <c r="Q829" s="85">
        <v>40786</v>
      </c>
      <c r="R829" s="112"/>
      <c r="S829" s="95" t="s">
        <v>6</v>
      </c>
      <c r="T829" s="74" t="s">
        <v>4</v>
      </c>
      <c r="U829" s="95" t="s">
        <v>7</v>
      </c>
      <c r="V829" s="95" t="s">
        <v>1911</v>
      </c>
      <c r="W829" s="95" t="s">
        <v>4</v>
      </c>
      <c r="X829" s="95" t="s">
        <v>2802</v>
      </c>
      <c r="Y829" s="72" t="s">
        <v>2916</v>
      </c>
      <c r="Z829" s="72" t="s">
        <v>4</v>
      </c>
      <c r="AA829" s="95" t="s">
        <v>2802</v>
      </c>
      <c r="AB829" s="132"/>
      <c r="AC829" s="132"/>
      <c r="AD829" s="132"/>
      <c r="AE829" s="63"/>
      <c r="AF829" s="63"/>
      <c r="AG829" s="63"/>
    </row>
    <row r="830" spans="1:33" ht="17.2" customHeight="1">
      <c r="A830" s="64" t="str">
        <f>IF(priority(Main[[#This Row],[Comments]])&lt;&gt;0, priority(Main[[#This Row],[Comments]]),"")</f>
        <v/>
      </c>
      <c r="B830" s="60" t="s">
        <v>1638</v>
      </c>
      <c r="C830" s="72" t="s">
        <v>4</v>
      </c>
      <c r="D830" s="59" t="s">
        <v>39</v>
      </c>
      <c r="E830" s="85"/>
      <c r="F830" s="85"/>
      <c r="G830" s="64" t="str">
        <f>IF(stdProdLT(Main[[#This Row],[Comments]])=0.1,"N/A",IF(stdProdLT(Main[[#This Row],[Comments]])=0,"",TRIM(stdProdLT(Main[[#This Row],[Comments]]))))</f>
        <v/>
      </c>
      <c r="H830" s="94" t="str">
        <f>IF(OR(Main[[#This Row],[Std. Prod. Lead Time]]="N/A",Main[[#This Row],[Std. Prod. Lead Time]]=""), "",IF(AND(Main[[#This Row],[In Stock Date]]&lt;&gt;"",Main[[#This Row],[Revised Due Date]]&lt;&gt;"",Main[[#This Row],[In Stock Date]]&lt;&gt;""),Main[[#This Row],[In Stock Date]]-Main[[#This Row],[Revised Due Date]],""))</f>
        <v/>
      </c>
      <c r="I830" s="101" t="s">
        <v>4</v>
      </c>
      <c r="J830" s="95" t="s">
        <v>4</v>
      </c>
      <c r="K830" s="95" t="s">
        <v>4</v>
      </c>
      <c r="L830" s="85"/>
      <c r="M830" s="73" t="str">
        <f>IF(Main[[#This Row],[Tech Start Date]]&lt;1/1/1990,"",IF(Main[[#This Row],[Class]]="C",WORKDAY(Main[[#This Row],[Tech Start Date]],9),IF(Main[[#This Row],[Class]]="B", WORKDAY(Main[[#This Row],[Tech Start Date]],6),IF(Main[[#This Row],[Class]]="A",WORKDAY(Main[[#This Row],[Tech Start Date]],2),""))))</f>
        <v/>
      </c>
      <c r="N830" s="73" t="str">
        <f>IF(Main[[#This Row],[Tech Start Date]]&lt;1/1/1990,"",IF(Main[[#This Row],[Class]]="C",WORKDAY(Main[[#This Row],[Tech Start Date]],19),IF(Main[[#This Row],[Class]]="B", WORKDAY(Main[[#This Row],[Tech Start Date]],12),IF(Main[[#This Row],[Class]]="A",WORKDAY(Main[[#This Row],[Tech Start Date]],4),""))))</f>
        <v/>
      </c>
      <c r="O830" s="73" t="str">
        <f>IF(Main[[#This Row],[Tech Start Date]]&lt;1/1/1990,"",IF(Main[[#This Row],[Class]]="C",WORKDAY(Main[[#This Row],[Tech Start Date]],23),IF(Main[[#This Row],[Class]]="B", WORKDAY(Main[[#This Row],[Tech Start Date]],15),IF(Main[[#This Row],[Class]]="A",WORKDAY(Main[[#This Row],[Tech Start Date]],5),""))))</f>
        <v/>
      </c>
      <c r="P830" s="73" t="str">
        <f>IF(Main[[#This Row],[Tech Start Date]]&lt;1/1/1990,"",IF(Main[[#This Row],[Class]]="C",WORKDAY(Main[[#This Row],[Tech Start Date]],28),IF(Main[[#This Row],[Class]]="B", WORKDAY(Main[[#This Row],[Tech Start Date]],19),IF(Main[[#This Row],[Class]]="A",WORKDAY(Main[[#This Row],[Tech Start Date]],9),""))))</f>
        <v/>
      </c>
      <c r="Q830" s="85">
        <v>40669</v>
      </c>
      <c r="R830" s="112"/>
      <c r="S830" s="95" t="s">
        <v>6</v>
      </c>
      <c r="T830" s="74" t="s">
        <v>4</v>
      </c>
      <c r="U830" s="95" t="s">
        <v>14</v>
      </c>
      <c r="V830" s="95" t="s">
        <v>1914</v>
      </c>
      <c r="W830" s="95" t="s">
        <v>4</v>
      </c>
      <c r="X830" s="95" t="s">
        <v>2798</v>
      </c>
      <c r="Y830" s="72" t="s">
        <v>2908</v>
      </c>
      <c r="Z830" s="72" t="s">
        <v>4</v>
      </c>
      <c r="AA830" s="95" t="s">
        <v>2798</v>
      </c>
      <c r="AB830" s="132"/>
      <c r="AC830" s="132"/>
      <c r="AD830" s="132"/>
      <c r="AE830" s="63"/>
      <c r="AF830" s="63"/>
      <c r="AG830" s="63"/>
    </row>
    <row r="831" spans="1:33" ht="17.2" customHeight="1">
      <c r="A831" s="64" t="str">
        <f>IF(priority(Main[[#This Row],[Comments]])&lt;&gt;0, priority(Main[[#This Row],[Comments]]),"")</f>
        <v/>
      </c>
      <c r="B831" s="60" t="s">
        <v>1636</v>
      </c>
      <c r="C831" s="72" t="s">
        <v>67</v>
      </c>
      <c r="D831" s="59" t="s">
        <v>709</v>
      </c>
      <c r="E831" s="85"/>
      <c r="F831" s="85">
        <v>40751</v>
      </c>
      <c r="G831" s="64" t="str">
        <f>IF(stdProdLT(Main[[#This Row],[Comments]])=0.1,"N/A",IF(stdProdLT(Main[[#This Row],[Comments]])=0,"",TRIM(stdProdLT(Main[[#This Row],[Comments]]))))</f>
        <v/>
      </c>
      <c r="H831" s="94" t="str">
        <f>IF(OR(Main[[#This Row],[Std. Prod. Lead Time]]="N/A",Main[[#This Row],[Std. Prod. Lead Time]]=""), "",IF(AND(Main[[#This Row],[In Stock Date]]&lt;&gt;"",Main[[#This Row],[Revised Due Date]]&lt;&gt;"",Main[[#This Row],[In Stock Date]]&lt;&gt;""),Main[[#This Row],[In Stock Date]]-Main[[#This Row],[Revised Due Date]],""))</f>
        <v/>
      </c>
      <c r="I831" s="101" t="s">
        <v>4</v>
      </c>
      <c r="J831" s="95" t="s">
        <v>28</v>
      </c>
      <c r="K831" s="95" t="s">
        <v>1923</v>
      </c>
      <c r="L831" s="85"/>
      <c r="M831" s="73" t="str">
        <f>IF(Main[[#This Row],[Tech Start Date]]&lt;1/1/1990,"",IF(Main[[#This Row],[Class]]="C",WORKDAY(Main[[#This Row],[Tech Start Date]],9),IF(Main[[#This Row],[Class]]="B", WORKDAY(Main[[#This Row],[Tech Start Date]],6),IF(Main[[#This Row],[Class]]="A",WORKDAY(Main[[#This Row],[Tech Start Date]],2),""))))</f>
        <v/>
      </c>
      <c r="N831" s="73" t="str">
        <f>IF(Main[[#This Row],[Tech Start Date]]&lt;1/1/1990,"",IF(Main[[#This Row],[Class]]="C",WORKDAY(Main[[#This Row],[Tech Start Date]],19),IF(Main[[#This Row],[Class]]="B", WORKDAY(Main[[#This Row],[Tech Start Date]],12),IF(Main[[#This Row],[Class]]="A",WORKDAY(Main[[#This Row],[Tech Start Date]],4),""))))</f>
        <v/>
      </c>
      <c r="O831" s="73" t="str">
        <f>IF(Main[[#This Row],[Tech Start Date]]&lt;1/1/1990,"",IF(Main[[#This Row],[Class]]="C",WORKDAY(Main[[#This Row],[Tech Start Date]],23),IF(Main[[#This Row],[Class]]="B", WORKDAY(Main[[#This Row],[Tech Start Date]],15),IF(Main[[#This Row],[Class]]="A",WORKDAY(Main[[#This Row],[Tech Start Date]],5),""))))</f>
        <v/>
      </c>
      <c r="P831" s="73" t="str">
        <f>IF(Main[[#This Row],[Tech Start Date]]&lt;1/1/1990,"",IF(Main[[#This Row],[Class]]="C",WORKDAY(Main[[#This Row],[Tech Start Date]],28),IF(Main[[#This Row],[Class]]="B", WORKDAY(Main[[#This Row],[Tech Start Date]],19),IF(Main[[#This Row],[Class]]="A",WORKDAY(Main[[#This Row],[Tech Start Date]],9),""))))</f>
        <v/>
      </c>
      <c r="Q831" s="85">
        <v>40581</v>
      </c>
      <c r="R831" s="112"/>
      <c r="S831" s="95" t="s">
        <v>17</v>
      </c>
      <c r="T831" s="74" t="s">
        <v>4</v>
      </c>
      <c r="U831" s="95" t="s">
        <v>14</v>
      </c>
      <c r="V831" s="95" t="s">
        <v>1914</v>
      </c>
      <c r="W831" s="95" t="s">
        <v>1917</v>
      </c>
      <c r="X831" s="95" t="s">
        <v>2809</v>
      </c>
      <c r="Y831" s="72" t="s">
        <v>2929</v>
      </c>
      <c r="Z831" s="72" t="s">
        <v>968</v>
      </c>
      <c r="AA831" s="95" t="s">
        <v>2809</v>
      </c>
      <c r="AB831" s="132"/>
      <c r="AC831" s="132"/>
      <c r="AD831" s="132"/>
      <c r="AE831" s="63"/>
      <c r="AF831" s="63"/>
      <c r="AG831" s="63"/>
    </row>
    <row r="832" spans="1:33" ht="17.2" customHeight="1">
      <c r="A832" s="64" t="str">
        <f>IF(priority(Main[[#This Row],[Comments]])&lt;&gt;0, priority(Main[[#This Row],[Comments]]),"")</f>
        <v/>
      </c>
      <c r="B832" s="60" t="s">
        <v>3813</v>
      </c>
      <c r="C832" s="72" t="s">
        <v>4</v>
      </c>
      <c r="D832" s="59" t="s">
        <v>3814</v>
      </c>
      <c r="E832" s="85">
        <v>40969.109456018516</v>
      </c>
      <c r="F832" s="85"/>
      <c r="G832" s="64" t="str">
        <f>IF(stdProdLT(Main[[#This Row],[Comments]])=0.1,"N/A",IF(stdProdLT(Main[[#This Row],[Comments]])=0,"",TRIM(stdProdLT(Main[[#This Row],[Comments]]))))</f>
        <v/>
      </c>
      <c r="H832" s="94" t="str">
        <f>IF(OR(Main[[#This Row],[Std. Prod. Lead Time]]="N/A",Main[[#This Row],[Std. Prod. Lead Time]]=""), "",IF(AND(Main[[#This Row],[In Stock Date]]&lt;&gt;"",Main[[#This Row],[Revised Due Date]]&lt;&gt;"",Main[[#This Row],[In Stock Date]]&lt;&gt;""),Main[[#This Row],[In Stock Date]]-Main[[#This Row],[Revised Due Date]],""))</f>
        <v/>
      </c>
      <c r="I832" s="101" t="s">
        <v>4</v>
      </c>
      <c r="J832" s="95" t="s">
        <v>4</v>
      </c>
      <c r="K832" s="95" t="s">
        <v>4</v>
      </c>
      <c r="L832" s="85"/>
      <c r="M832" s="73" t="str">
        <f>IF(Main[[#This Row],[Tech Start Date]]&lt;1/1/1990,"",IF(Main[[#This Row],[Class]]="C",WORKDAY(Main[[#This Row],[Tech Start Date]],9),IF(Main[[#This Row],[Class]]="B", WORKDAY(Main[[#This Row],[Tech Start Date]],6),IF(Main[[#This Row],[Class]]="A",WORKDAY(Main[[#This Row],[Tech Start Date]],2),""))))</f>
        <v/>
      </c>
      <c r="N832" s="73" t="str">
        <f>IF(Main[[#This Row],[Tech Start Date]]&lt;1/1/1990,"",IF(Main[[#This Row],[Class]]="C",WORKDAY(Main[[#This Row],[Tech Start Date]],19),IF(Main[[#This Row],[Class]]="B", WORKDAY(Main[[#This Row],[Tech Start Date]],12),IF(Main[[#This Row],[Class]]="A",WORKDAY(Main[[#This Row],[Tech Start Date]],4),""))))</f>
        <v/>
      </c>
      <c r="O832" s="73" t="str">
        <f>IF(Main[[#This Row],[Tech Start Date]]&lt;1/1/1990,"",IF(Main[[#This Row],[Class]]="C",WORKDAY(Main[[#This Row],[Tech Start Date]],23),IF(Main[[#This Row],[Class]]="B", WORKDAY(Main[[#This Row],[Tech Start Date]],15),IF(Main[[#This Row],[Class]]="A",WORKDAY(Main[[#This Row],[Tech Start Date]],5),""))))</f>
        <v/>
      </c>
      <c r="P832" s="73" t="str">
        <f>IF(Main[[#This Row],[Tech Start Date]]&lt;1/1/1990,"",IF(Main[[#This Row],[Class]]="C",WORKDAY(Main[[#This Row],[Tech Start Date]],28),IF(Main[[#This Row],[Class]]="B", WORKDAY(Main[[#This Row],[Tech Start Date]],19),IF(Main[[#This Row],[Class]]="A",WORKDAY(Main[[#This Row],[Tech Start Date]],9),""))))</f>
        <v/>
      </c>
      <c r="Q832" s="85">
        <v>41005</v>
      </c>
      <c r="R832" s="112"/>
      <c r="S832" s="95" t="s">
        <v>6</v>
      </c>
      <c r="T832" s="74" t="s">
        <v>4</v>
      </c>
      <c r="U832" s="95" t="s">
        <v>7</v>
      </c>
      <c r="V832" s="95" t="s">
        <v>1914</v>
      </c>
      <c r="W832" s="95" t="s">
        <v>1915</v>
      </c>
      <c r="X832" s="95" t="s">
        <v>2883</v>
      </c>
      <c r="Y832" s="72" t="s">
        <v>3061</v>
      </c>
      <c r="Z832" s="72" t="s">
        <v>4</v>
      </c>
      <c r="AA832" s="95" t="s">
        <v>2883</v>
      </c>
      <c r="AB832" s="132"/>
      <c r="AC832" s="132"/>
      <c r="AD832" s="132"/>
      <c r="AE832" s="63"/>
      <c r="AF832" s="63"/>
      <c r="AG832" s="63"/>
    </row>
    <row r="833" spans="1:33" ht="17.2" customHeight="1">
      <c r="A833" s="64" t="str">
        <f>IF(priority(Main[[#This Row],[Comments]])&lt;&gt;0, priority(Main[[#This Row],[Comments]]),"")</f>
        <v/>
      </c>
      <c r="B833" s="60" t="s">
        <v>1639</v>
      </c>
      <c r="C833" s="72" t="s">
        <v>4</v>
      </c>
      <c r="D833" s="59" t="s">
        <v>710</v>
      </c>
      <c r="E833" s="85"/>
      <c r="F833" s="85"/>
      <c r="G833" s="64" t="str">
        <f>IF(stdProdLT(Main[[#This Row],[Comments]])=0.1,"N/A",IF(stdProdLT(Main[[#This Row],[Comments]])=0,"",TRIM(stdProdLT(Main[[#This Row],[Comments]]))))</f>
        <v/>
      </c>
      <c r="H833" s="94" t="str">
        <f>IF(OR(Main[[#This Row],[Std. Prod. Lead Time]]="N/A",Main[[#This Row],[Std. Prod. Lead Time]]=""), "",IF(AND(Main[[#This Row],[In Stock Date]]&lt;&gt;"",Main[[#This Row],[Revised Due Date]]&lt;&gt;"",Main[[#This Row],[In Stock Date]]&lt;&gt;""),Main[[#This Row],[In Stock Date]]-Main[[#This Row],[Revised Due Date]],""))</f>
        <v/>
      </c>
      <c r="I833" s="101" t="s">
        <v>4</v>
      </c>
      <c r="J833" s="95" t="s">
        <v>28</v>
      </c>
      <c r="K833" s="95" t="s">
        <v>1920</v>
      </c>
      <c r="L833" s="85"/>
      <c r="M833" s="73" t="str">
        <f>IF(Main[[#This Row],[Tech Start Date]]&lt;1/1/1990,"",IF(Main[[#This Row],[Class]]="C",WORKDAY(Main[[#This Row],[Tech Start Date]],9),IF(Main[[#This Row],[Class]]="B", WORKDAY(Main[[#This Row],[Tech Start Date]],6),IF(Main[[#This Row],[Class]]="A",WORKDAY(Main[[#This Row],[Tech Start Date]],2),""))))</f>
        <v/>
      </c>
      <c r="N833" s="73" t="str">
        <f>IF(Main[[#This Row],[Tech Start Date]]&lt;1/1/1990,"",IF(Main[[#This Row],[Class]]="C",WORKDAY(Main[[#This Row],[Tech Start Date]],19),IF(Main[[#This Row],[Class]]="B", WORKDAY(Main[[#This Row],[Tech Start Date]],12),IF(Main[[#This Row],[Class]]="A",WORKDAY(Main[[#This Row],[Tech Start Date]],4),""))))</f>
        <v/>
      </c>
      <c r="O833" s="73" t="str">
        <f>IF(Main[[#This Row],[Tech Start Date]]&lt;1/1/1990,"",IF(Main[[#This Row],[Class]]="C",WORKDAY(Main[[#This Row],[Tech Start Date]],23),IF(Main[[#This Row],[Class]]="B", WORKDAY(Main[[#This Row],[Tech Start Date]],15),IF(Main[[#This Row],[Class]]="A",WORKDAY(Main[[#This Row],[Tech Start Date]],5),""))))</f>
        <v/>
      </c>
      <c r="P833" s="73" t="str">
        <f>IF(Main[[#This Row],[Tech Start Date]]&lt;1/1/1990,"",IF(Main[[#This Row],[Class]]="C",WORKDAY(Main[[#This Row],[Tech Start Date]],28),IF(Main[[#This Row],[Class]]="B", WORKDAY(Main[[#This Row],[Tech Start Date]],19),IF(Main[[#This Row],[Class]]="A",WORKDAY(Main[[#This Row],[Tech Start Date]],9),""))))</f>
        <v/>
      </c>
      <c r="Q833" s="85">
        <v>40647</v>
      </c>
      <c r="R833" s="112"/>
      <c r="S833" s="95" t="s">
        <v>6</v>
      </c>
      <c r="T833" s="74" t="s">
        <v>4</v>
      </c>
      <c r="U833" s="95" t="s">
        <v>14</v>
      </c>
      <c r="V833" s="95" t="s">
        <v>1911</v>
      </c>
      <c r="W833" s="95" t="s">
        <v>1915</v>
      </c>
      <c r="X833" s="95" t="s">
        <v>2801</v>
      </c>
      <c r="Y833" s="72" t="s">
        <v>2914</v>
      </c>
      <c r="Z833" s="72" t="s">
        <v>129</v>
      </c>
      <c r="AA833" s="95" t="s">
        <v>2801</v>
      </c>
      <c r="AB833" s="132"/>
      <c r="AC833" s="132"/>
      <c r="AD833" s="132"/>
      <c r="AE833" s="63"/>
      <c r="AF833" s="63"/>
      <c r="AG833" s="63"/>
    </row>
    <row r="834" spans="1:33" ht="17.2" customHeight="1">
      <c r="A834" s="64" t="str">
        <f>IF(priority(Main[[#This Row],[Comments]])&lt;&gt;0, priority(Main[[#This Row],[Comments]]),"")</f>
        <v/>
      </c>
      <c r="B834" s="60" t="s">
        <v>1641</v>
      </c>
      <c r="C834" s="72" t="s">
        <v>4</v>
      </c>
      <c r="D834" s="59" t="s">
        <v>712</v>
      </c>
      <c r="E834" s="85"/>
      <c r="F834" s="85"/>
      <c r="G834" s="64" t="str">
        <f>IF(stdProdLT(Main[[#This Row],[Comments]])=0.1,"N/A",IF(stdProdLT(Main[[#This Row],[Comments]])=0,"",TRIM(stdProdLT(Main[[#This Row],[Comments]]))))</f>
        <v/>
      </c>
      <c r="H834" s="94" t="str">
        <f>IF(OR(Main[[#This Row],[Std. Prod. Lead Time]]="N/A",Main[[#This Row],[Std. Prod. Lead Time]]=""), "",IF(AND(Main[[#This Row],[In Stock Date]]&lt;&gt;"",Main[[#This Row],[Revised Due Date]]&lt;&gt;"",Main[[#This Row],[In Stock Date]]&lt;&gt;""),Main[[#This Row],[In Stock Date]]-Main[[#This Row],[Revised Due Date]],""))</f>
        <v/>
      </c>
      <c r="I834" s="101" t="s">
        <v>4</v>
      </c>
      <c r="J834" s="95" t="s">
        <v>4</v>
      </c>
      <c r="K834" s="95" t="s">
        <v>4</v>
      </c>
      <c r="L834" s="85"/>
      <c r="M834" s="73" t="str">
        <f>IF(Main[[#This Row],[Tech Start Date]]&lt;1/1/1990,"",IF(Main[[#This Row],[Class]]="C",WORKDAY(Main[[#This Row],[Tech Start Date]],9),IF(Main[[#This Row],[Class]]="B", WORKDAY(Main[[#This Row],[Tech Start Date]],6),IF(Main[[#This Row],[Class]]="A",WORKDAY(Main[[#This Row],[Tech Start Date]],2),""))))</f>
        <v/>
      </c>
      <c r="N834" s="73" t="str">
        <f>IF(Main[[#This Row],[Tech Start Date]]&lt;1/1/1990,"",IF(Main[[#This Row],[Class]]="C",WORKDAY(Main[[#This Row],[Tech Start Date]],19),IF(Main[[#This Row],[Class]]="B", WORKDAY(Main[[#This Row],[Tech Start Date]],12),IF(Main[[#This Row],[Class]]="A",WORKDAY(Main[[#This Row],[Tech Start Date]],4),""))))</f>
        <v/>
      </c>
      <c r="O834" s="73" t="str">
        <f>IF(Main[[#This Row],[Tech Start Date]]&lt;1/1/1990,"",IF(Main[[#This Row],[Class]]="C",WORKDAY(Main[[#This Row],[Tech Start Date]],23),IF(Main[[#This Row],[Class]]="B", WORKDAY(Main[[#This Row],[Tech Start Date]],15),IF(Main[[#This Row],[Class]]="A",WORKDAY(Main[[#This Row],[Tech Start Date]],5),""))))</f>
        <v/>
      </c>
      <c r="P834" s="73" t="str">
        <f>IF(Main[[#This Row],[Tech Start Date]]&lt;1/1/1990,"",IF(Main[[#This Row],[Class]]="C",WORKDAY(Main[[#This Row],[Tech Start Date]],28),IF(Main[[#This Row],[Class]]="B", WORKDAY(Main[[#This Row],[Tech Start Date]],19),IF(Main[[#This Row],[Class]]="A",WORKDAY(Main[[#This Row],[Tech Start Date]],9),""))))</f>
        <v/>
      </c>
      <c r="Q834" s="85"/>
      <c r="R834" s="112"/>
      <c r="S834" s="95" t="s">
        <v>23</v>
      </c>
      <c r="T834" s="74" t="s">
        <v>4</v>
      </c>
      <c r="U834" s="95" t="s">
        <v>14</v>
      </c>
      <c r="V834" s="95" t="s">
        <v>1914</v>
      </c>
      <c r="W834" s="95" t="s">
        <v>1915</v>
      </c>
      <c r="X834" s="95" t="s">
        <v>399</v>
      </c>
      <c r="Y834" s="72" t="s">
        <v>4</v>
      </c>
      <c r="Z834" s="72" t="s">
        <v>4</v>
      </c>
      <c r="AA834" s="95" t="s">
        <v>3394</v>
      </c>
      <c r="AB834" s="132"/>
      <c r="AC834" s="132"/>
      <c r="AD834" s="132"/>
      <c r="AE834" s="63"/>
      <c r="AF834" s="63"/>
      <c r="AG834" s="63"/>
    </row>
    <row r="835" spans="1:33" ht="17.2" customHeight="1">
      <c r="A835" s="64" t="str">
        <f>IF(priority(Main[[#This Row],[Comments]])&lt;&gt;0, priority(Main[[#This Row],[Comments]]),"")</f>
        <v/>
      </c>
      <c r="B835" s="60" t="s">
        <v>1851</v>
      </c>
      <c r="C835" s="72" t="s">
        <v>4</v>
      </c>
      <c r="D835" s="59" t="s">
        <v>909</v>
      </c>
      <c r="E835" s="85"/>
      <c r="F835" s="85"/>
      <c r="G835" s="64" t="str">
        <f>IF(stdProdLT(Main[[#This Row],[Comments]])=0.1,"N/A",IF(stdProdLT(Main[[#This Row],[Comments]])=0,"",TRIM(stdProdLT(Main[[#This Row],[Comments]]))))</f>
        <v/>
      </c>
      <c r="H835" s="94" t="str">
        <f>IF(OR(Main[[#This Row],[Std. Prod. Lead Time]]="N/A",Main[[#This Row],[Std. Prod. Lead Time]]=""), "",IF(AND(Main[[#This Row],[In Stock Date]]&lt;&gt;"",Main[[#This Row],[Revised Due Date]]&lt;&gt;"",Main[[#This Row],[In Stock Date]]&lt;&gt;""),Main[[#This Row],[In Stock Date]]-Main[[#This Row],[Revised Due Date]],""))</f>
        <v/>
      </c>
      <c r="I835" s="101" t="s">
        <v>852</v>
      </c>
      <c r="J835" s="95" t="s">
        <v>4</v>
      </c>
      <c r="K835" s="95" t="s">
        <v>1923</v>
      </c>
      <c r="L835" s="85"/>
      <c r="M835" s="73" t="str">
        <f>IF(Main[[#This Row],[Tech Start Date]]&lt;1/1/1990,"",IF(Main[[#This Row],[Class]]="C",WORKDAY(Main[[#This Row],[Tech Start Date]],9),IF(Main[[#This Row],[Class]]="B", WORKDAY(Main[[#This Row],[Tech Start Date]],6),IF(Main[[#This Row],[Class]]="A",WORKDAY(Main[[#This Row],[Tech Start Date]],2),""))))</f>
        <v/>
      </c>
      <c r="N835" s="73" t="str">
        <f>IF(Main[[#This Row],[Tech Start Date]]&lt;1/1/1990,"",IF(Main[[#This Row],[Class]]="C",WORKDAY(Main[[#This Row],[Tech Start Date]],19),IF(Main[[#This Row],[Class]]="B", WORKDAY(Main[[#This Row],[Tech Start Date]],12),IF(Main[[#This Row],[Class]]="A",WORKDAY(Main[[#This Row],[Tech Start Date]],4),""))))</f>
        <v/>
      </c>
      <c r="O835" s="73" t="str">
        <f>IF(Main[[#This Row],[Tech Start Date]]&lt;1/1/1990,"",IF(Main[[#This Row],[Class]]="C",WORKDAY(Main[[#This Row],[Tech Start Date]],23),IF(Main[[#This Row],[Class]]="B", WORKDAY(Main[[#This Row],[Tech Start Date]],15),IF(Main[[#This Row],[Class]]="A",WORKDAY(Main[[#This Row],[Tech Start Date]],5),""))))</f>
        <v/>
      </c>
      <c r="P835" s="73" t="str">
        <f>IF(Main[[#This Row],[Tech Start Date]]&lt;1/1/1990,"",IF(Main[[#This Row],[Class]]="C",WORKDAY(Main[[#This Row],[Tech Start Date]],28),IF(Main[[#This Row],[Class]]="B", WORKDAY(Main[[#This Row],[Tech Start Date]],19),IF(Main[[#This Row],[Class]]="A",WORKDAY(Main[[#This Row],[Tech Start Date]],9),""))))</f>
        <v/>
      </c>
      <c r="Q835" s="85"/>
      <c r="R835" s="112">
        <v>40543</v>
      </c>
      <c r="S835" s="95" t="s">
        <v>17</v>
      </c>
      <c r="T835" s="74" t="s">
        <v>4</v>
      </c>
      <c r="U835" s="95" t="s">
        <v>14</v>
      </c>
      <c r="V835" s="95" t="s">
        <v>1914</v>
      </c>
      <c r="W835" s="95" t="s">
        <v>1919</v>
      </c>
      <c r="X835" s="95" t="s">
        <v>306</v>
      </c>
      <c r="Y835" s="72" t="s">
        <v>4</v>
      </c>
      <c r="Z835" s="72" t="s">
        <v>415</v>
      </c>
      <c r="AA835" s="95" t="s">
        <v>3395</v>
      </c>
      <c r="AB835" s="132"/>
      <c r="AC835" s="132"/>
      <c r="AD835" s="132"/>
      <c r="AE835" s="63"/>
      <c r="AF835" s="63"/>
      <c r="AG835" s="63"/>
    </row>
    <row r="836" spans="1:33" ht="17.2" customHeight="1">
      <c r="A836" s="64" t="str">
        <f>IF(priority(Main[[#This Row],[Comments]])&lt;&gt;0, priority(Main[[#This Row],[Comments]]),"")</f>
        <v/>
      </c>
      <c r="B836" s="60" t="s">
        <v>1642</v>
      </c>
      <c r="C836" s="72" t="s">
        <v>113</v>
      </c>
      <c r="D836" s="59" t="s">
        <v>713</v>
      </c>
      <c r="E836" s="85"/>
      <c r="F836" s="85">
        <v>40817</v>
      </c>
      <c r="G836" s="64" t="str">
        <f>IF(stdProdLT(Main[[#This Row],[Comments]])=0.1,"N/A",IF(stdProdLT(Main[[#This Row],[Comments]])=0,"",TRIM(stdProdLT(Main[[#This Row],[Comments]]))))</f>
        <v/>
      </c>
      <c r="H836" s="94" t="str">
        <f>IF(OR(Main[[#This Row],[Std. Prod. Lead Time]]="N/A",Main[[#This Row],[Std. Prod. Lead Time]]=""), "",IF(AND(Main[[#This Row],[In Stock Date]]&lt;&gt;"",Main[[#This Row],[Revised Due Date]]&lt;&gt;"",Main[[#This Row],[In Stock Date]]&lt;&gt;""),Main[[#This Row],[In Stock Date]]-Main[[#This Row],[Revised Due Date]],""))</f>
        <v/>
      </c>
      <c r="I836" s="101" t="s">
        <v>4</v>
      </c>
      <c r="J836" s="95" t="s">
        <v>28</v>
      </c>
      <c r="K836" s="95" t="s">
        <v>1924</v>
      </c>
      <c r="L836" s="85"/>
      <c r="M836" s="73" t="str">
        <f>IF(Main[[#This Row],[Tech Start Date]]&lt;1/1/1990,"",IF(Main[[#This Row],[Class]]="C",WORKDAY(Main[[#This Row],[Tech Start Date]],9),IF(Main[[#This Row],[Class]]="B", WORKDAY(Main[[#This Row],[Tech Start Date]],6),IF(Main[[#This Row],[Class]]="A",WORKDAY(Main[[#This Row],[Tech Start Date]],2),""))))</f>
        <v/>
      </c>
      <c r="N836" s="73" t="str">
        <f>IF(Main[[#This Row],[Tech Start Date]]&lt;1/1/1990,"",IF(Main[[#This Row],[Class]]="C",WORKDAY(Main[[#This Row],[Tech Start Date]],19),IF(Main[[#This Row],[Class]]="B", WORKDAY(Main[[#This Row],[Tech Start Date]],12),IF(Main[[#This Row],[Class]]="A",WORKDAY(Main[[#This Row],[Tech Start Date]],4),""))))</f>
        <v/>
      </c>
      <c r="O836" s="73" t="str">
        <f>IF(Main[[#This Row],[Tech Start Date]]&lt;1/1/1990,"",IF(Main[[#This Row],[Class]]="C",WORKDAY(Main[[#This Row],[Tech Start Date]],23),IF(Main[[#This Row],[Class]]="B", WORKDAY(Main[[#This Row],[Tech Start Date]],15),IF(Main[[#This Row],[Class]]="A",WORKDAY(Main[[#This Row],[Tech Start Date]],5),""))))</f>
        <v/>
      </c>
      <c r="P836" s="73" t="str">
        <f>IF(Main[[#This Row],[Tech Start Date]]&lt;1/1/1990,"",IF(Main[[#This Row],[Class]]="C",WORKDAY(Main[[#This Row],[Tech Start Date]],28),IF(Main[[#This Row],[Class]]="B", WORKDAY(Main[[#This Row],[Tech Start Date]],19),IF(Main[[#This Row],[Class]]="A",WORKDAY(Main[[#This Row],[Tech Start Date]],9),""))))</f>
        <v/>
      </c>
      <c r="Q836" s="85">
        <v>40634</v>
      </c>
      <c r="R836" s="112"/>
      <c r="S836" s="95" t="s">
        <v>11</v>
      </c>
      <c r="T836" s="74" t="s">
        <v>4</v>
      </c>
      <c r="U836" s="95" t="s">
        <v>14</v>
      </c>
      <c r="V836" s="95" t="s">
        <v>1911</v>
      </c>
      <c r="W836" s="95" t="s">
        <v>1917</v>
      </c>
      <c r="X836" s="95" t="s">
        <v>2813</v>
      </c>
      <c r="Y836" s="72" t="s">
        <v>2917</v>
      </c>
      <c r="Z836" s="72" t="s">
        <v>129</v>
      </c>
      <c r="AA836" s="95" t="s">
        <v>2813</v>
      </c>
      <c r="AB836" s="132"/>
      <c r="AC836" s="132"/>
      <c r="AD836" s="132"/>
      <c r="AE836" s="63"/>
      <c r="AF836" s="63"/>
      <c r="AG836" s="63"/>
    </row>
    <row r="837" spans="1:33" ht="17.2" customHeight="1">
      <c r="A837" s="64" t="str">
        <f>IF(priority(Main[[#This Row],[Comments]])&lt;&gt;0, priority(Main[[#This Row],[Comments]]),"")</f>
        <v/>
      </c>
      <c r="B837" s="60" t="s">
        <v>1643</v>
      </c>
      <c r="C837" s="72" t="s">
        <v>4</v>
      </c>
      <c r="D837" s="59" t="s">
        <v>39</v>
      </c>
      <c r="E837" s="85"/>
      <c r="F837" s="85"/>
      <c r="G837" s="64" t="str">
        <f>IF(stdProdLT(Main[[#This Row],[Comments]])=0.1,"N/A",IF(stdProdLT(Main[[#This Row],[Comments]])=0,"",TRIM(stdProdLT(Main[[#This Row],[Comments]]))))</f>
        <v/>
      </c>
      <c r="H837" s="94" t="str">
        <f>IF(OR(Main[[#This Row],[Std. Prod. Lead Time]]="N/A",Main[[#This Row],[Std. Prod. Lead Time]]=""), "",IF(AND(Main[[#This Row],[In Stock Date]]&lt;&gt;"",Main[[#This Row],[Revised Due Date]]&lt;&gt;"",Main[[#This Row],[In Stock Date]]&lt;&gt;""),Main[[#This Row],[In Stock Date]]-Main[[#This Row],[Revised Due Date]],""))</f>
        <v/>
      </c>
      <c r="I837" s="101" t="s">
        <v>4</v>
      </c>
      <c r="J837" s="95" t="s">
        <v>4</v>
      </c>
      <c r="K837" s="96" t="s">
        <v>4</v>
      </c>
      <c r="L837" s="85"/>
      <c r="M837" s="73" t="str">
        <f>IF(Main[[#This Row],[Tech Start Date]]&lt;1/1/1990,"",IF(Main[[#This Row],[Class]]="C",WORKDAY(Main[[#This Row],[Tech Start Date]],9),IF(Main[[#This Row],[Class]]="B", WORKDAY(Main[[#This Row],[Tech Start Date]],6),IF(Main[[#This Row],[Class]]="A",WORKDAY(Main[[#This Row],[Tech Start Date]],2),""))))</f>
        <v/>
      </c>
      <c r="N837" s="73" t="str">
        <f>IF(Main[[#This Row],[Tech Start Date]]&lt;1/1/1990,"",IF(Main[[#This Row],[Class]]="C",WORKDAY(Main[[#This Row],[Tech Start Date]],19),IF(Main[[#This Row],[Class]]="B", WORKDAY(Main[[#This Row],[Tech Start Date]],12),IF(Main[[#This Row],[Class]]="A",WORKDAY(Main[[#This Row],[Tech Start Date]],4),""))))</f>
        <v/>
      </c>
      <c r="O837" s="73" t="str">
        <f>IF(Main[[#This Row],[Tech Start Date]]&lt;1/1/1990,"",IF(Main[[#This Row],[Class]]="C",WORKDAY(Main[[#This Row],[Tech Start Date]],23),IF(Main[[#This Row],[Class]]="B", WORKDAY(Main[[#This Row],[Tech Start Date]],15),IF(Main[[#This Row],[Class]]="A",WORKDAY(Main[[#This Row],[Tech Start Date]],5),""))))</f>
        <v/>
      </c>
      <c r="P837" s="73" t="str">
        <f>IF(Main[[#This Row],[Tech Start Date]]&lt;1/1/1990,"",IF(Main[[#This Row],[Class]]="C",WORKDAY(Main[[#This Row],[Tech Start Date]],28),IF(Main[[#This Row],[Class]]="B", WORKDAY(Main[[#This Row],[Tech Start Date]],19),IF(Main[[#This Row],[Class]]="A",WORKDAY(Main[[#This Row],[Tech Start Date]],9),""))))</f>
        <v/>
      </c>
      <c r="Q837" s="85">
        <v>40669</v>
      </c>
      <c r="R837" s="112"/>
      <c r="S837" s="95" t="s">
        <v>6</v>
      </c>
      <c r="T837" s="74" t="s">
        <v>4</v>
      </c>
      <c r="U837" s="95" t="s">
        <v>14</v>
      </c>
      <c r="V837" s="95" t="s">
        <v>1914</v>
      </c>
      <c r="W837" s="95" t="s">
        <v>4</v>
      </c>
      <c r="X837" s="95" t="s">
        <v>2798</v>
      </c>
      <c r="Y837" s="72" t="s">
        <v>2908</v>
      </c>
      <c r="Z837" s="72" t="s">
        <v>4</v>
      </c>
      <c r="AA837" s="95" t="s">
        <v>2798</v>
      </c>
      <c r="AB837" s="132"/>
      <c r="AC837" s="132"/>
      <c r="AD837" s="132"/>
      <c r="AE837" s="63"/>
      <c r="AF837" s="63"/>
      <c r="AG837" s="63"/>
    </row>
    <row r="838" spans="1:33" ht="17.2" customHeight="1">
      <c r="A838" s="64" t="str">
        <f>IF(priority(Main[[#This Row],[Comments]])&lt;&gt;0, priority(Main[[#This Row],[Comments]]),"")</f>
        <v/>
      </c>
      <c r="B838" s="60" t="s">
        <v>1644</v>
      </c>
      <c r="C838" s="72" t="s">
        <v>4</v>
      </c>
      <c r="D838" s="59" t="s">
        <v>714</v>
      </c>
      <c r="E838" s="85"/>
      <c r="F838" s="85"/>
      <c r="G838" s="64" t="str">
        <f>IF(stdProdLT(Main[[#This Row],[Comments]])=0.1,"N/A",IF(stdProdLT(Main[[#This Row],[Comments]])=0,"",TRIM(stdProdLT(Main[[#This Row],[Comments]]))))</f>
        <v/>
      </c>
      <c r="H838" s="94" t="str">
        <f>IF(OR(Main[[#This Row],[Std. Prod. Lead Time]]="N/A",Main[[#This Row],[Std. Prod. Lead Time]]=""), "",IF(AND(Main[[#This Row],[In Stock Date]]&lt;&gt;"",Main[[#This Row],[Revised Due Date]]&lt;&gt;"",Main[[#This Row],[In Stock Date]]&lt;&gt;""),Main[[#This Row],[In Stock Date]]-Main[[#This Row],[Revised Due Date]],""))</f>
        <v/>
      </c>
      <c r="I838" s="101" t="s">
        <v>4</v>
      </c>
      <c r="J838" s="95" t="s">
        <v>4</v>
      </c>
      <c r="K838" s="96" t="s">
        <v>4</v>
      </c>
      <c r="L838" s="85"/>
      <c r="M838" s="73" t="str">
        <f>IF(Main[[#This Row],[Tech Start Date]]&lt;1/1/1990,"",IF(Main[[#This Row],[Class]]="C",WORKDAY(Main[[#This Row],[Tech Start Date]],9),IF(Main[[#This Row],[Class]]="B", WORKDAY(Main[[#This Row],[Tech Start Date]],6),IF(Main[[#This Row],[Class]]="A",WORKDAY(Main[[#This Row],[Tech Start Date]],2),""))))</f>
        <v/>
      </c>
      <c r="N838" s="73" t="str">
        <f>IF(Main[[#This Row],[Tech Start Date]]&lt;1/1/1990,"",IF(Main[[#This Row],[Class]]="C",WORKDAY(Main[[#This Row],[Tech Start Date]],19),IF(Main[[#This Row],[Class]]="B", WORKDAY(Main[[#This Row],[Tech Start Date]],12),IF(Main[[#This Row],[Class]]="A",WORKDAY(Main[[#This Row],[Tech Start Date]],4),""))))</f>
        <v/>
      </c>
      <c r="O838" s="73" t="str">
        <f>IF(Main[[#This Row],[Tech Start Date]]&lt;1/1/1990,"",IF(Main[[#This Row],[Class]]="C",WORKDAY(Main[[#This Row],[Tech Start Date]],23),IF(Main[[#This Row],[Class]]="B", WORKDAY(Main[[#This Row],[Tech Start Date]],15),IF(Main[[#This Row],[Class]]="A",WORKDAY(Main[[#This Row],[Tech Start Date]],5),""))))</f>
        <v/>
      </c>
      <c r="P838" s="73" t="str">
        <f>IF(Main[[#This Row],[Tech Start Date]]&lt;1/1/1990,"",IF(Main[[#This Row],[Class]]="C",WORKDAY(Main[[#This Row],[Tech Start Date]],28),IF(Main[[#This Row],[Class]]="B", WORKDAY(Main[[#This Row],[Tech Start Date]],19),IF(Main[[#This Row],[Class]]="A",WORKDAY(Main[[#This Row],[Tech Start Date]],9),""))))</f>
        <v/>
      </c>
      <c r="Q838" s="85"/>
      <c r="R838" s="112"/>
      <c r="S838" s="95" t="s">
        <v>11</v>
      </c>
      <c r="T838" s="74" t="s">
        <v>4</v>
      </c>
      <c r="U838" s="95" t="s">
        <v>12</v>
      </c>
      <c r="V838" s="95" t="s">
        <v>1912</v>
      </c>
      <c r="W838" s="95" t="s">
        <v>4</v>
      </c>
      <c r="X838" s="95" t="s">
        <v>2842</v>
      </c>
      <c r="Y838" s="72" t="s">
        <v>4</v>
      </c>
      <c r="Z838" s="72" t="s">
        <v>4</v>
      </c>
      <c r="AA838" s="95" t="s">
        <v>4</v>
      </c>
      <c r="AB838" s="132"/>
      <c r="AC838" s="132"/>
      <c r="AD838" s="132"/>
      <c r="AE838" s="63"/>
      <c r="AF838" s="63"/>
      <c r="AG838" s="63"/>
    </row>
    <row r="839" spans="1:33" ht="17.2" customHeight="1">
      <c r="A839" s="64" t="str">
        <f>IF(priority(Main[[#This Row],[Comments]])&lt;&gt;0, priority(Main[[#This Row],[Comments]]),"")</f>
        <v/>
      </c>
      <c r="B839" s="60" t="s">
        <v>1646</v>
      </c>
      <c r="C839" s="72" t="s">
        <v>4</v>
      </c>
      <c r="D839" s="59" t="s">
        <v>715</v>
      </c>
      <c r="E839" s="85">
        <v>40715.129143518519</v>
      </c>
      <c r="F839" s="85"/>
      <c r="G839" s="64" t="str">
        <f>IF(stdProdLT(Main[[#This Row],[Comments]])=0.1,"N/A",IF(stdProdLT(Main[[#This Row],[Comments]])=0,"",TRIM(stdProdLT(Main[[#This Row],[Comments]]))))</f>
        <v/>
      </c>
      <c r="H839" s="94" t="str">
        <f>IF(OR(Main[[#This Row],[Std. Prod. Lead Time]]="N/A",Main[[#This Row],[Std. Prod. Lead Time]]=""), "",IF(AND(Main[[#This Row],[In Stock Date]]&lt;&gt;"",Main[[#This Row],[Revised Due Date]]&lt;&gt;"",Main[[#This Row],[In Stock Date]]&lt;&gt;""),Main[[#This Row],[In Stock Date]]-Main[[#This Row],[Revised Due Date]],""))</f>
        <v/>
      </c>
      <c r="I839" s="101" t="s">
        <v>4</v>
      </c>
      <c r="J839" s="95" t="s">
        <v>4</v>
      </c>
      <c r="K839" s="95" t="s">
        <v>4</v>
      </c>
      <c r="L839" s="85"/>
      <c r="M839" s="73" t="str">
        <f>IF(Main[[#This Row],[Tech Start Date]]&lt;1/1/1990,"",IF(Main[[#This Row],[Class]]="C",WORKDAY(Main[[#This Row],[Tech Start Date]],9),IF(Main[[#This Row],[Class]]="B", WORKDAY(Main[[#This Row],[Tech Start Date]],6),IF(Main[[#This Row],[Class]]="A",WORKDAY(Main[[#This Row],[Tech Start Date]],2),""))))</f>
        <v/>
      </c>
      <c r="N839" s="73" t="str">
        <f>IF(Main[[#This Row],[Tech Start Date]]&lt;1/1/1990,"",IF(Main[[#This Row],[Class]]="C",WORKDAY(Main[[#This Row],[Tech Start Date]],19),IF(Main[[#This Row],[Class]]="B", WORKDAY(Main[[#This Row],[Tech Start Date]],12),IF(Main[[#This Row],[Class]]="A",WORKDAY(Main[[#This Row],[Tech Start Date]],4),""))))</f>
        <v/>
      </c>
      <c r="O839" s="73" t="str">
        <f>IF(Main[[#This Row],[Tech Start Date]]&lt;1/1/1990,"",IF(Main[[#This Row],[Class]]="C",WORKDAY(Main[[#This Row],[Tech Start Date]],23),IF(Main[[#This Row],[Class]]="B", WORKDAY(Main[[#This Row],[Tech Start Date]],15),IF(Main[[#This Row],[Class]]="A",WORKDAY(Main[[#This Row],[Tech Start Date]],5),""))))</f>
        <v/>
      </c>
      <c r="P839" s="73" t="str">
        <f>IF(Main[[#This Row],[Tech Start Date]]&lt;1/1/1990,"",IF(Main[[#This Row],[Class]]="C",WORKDAY(Main[[#This Row],[Tech Start Date]],28),IF(Main[[#This Row],[Class]]="B", WORKDAY(Main[[#This Row],[Tech Start Date]],19),IF(Main[[#This Row],[Class]]="A",WORKDAY(Main[[#This Row],[Tech Start Date]],9),""))))</f>
        <v/>
      </c>
      <c r="Q839" s="85">
        <v>40717</v>
      </c>
      <c r="R839" s="112"/>
      <c r="S839" s="95" t="s">
        <v>49</v>
      </c>
      <c r="T839" s="74" t="s">
        <v>4</v>
      </c>
      <c r="U839" s="95" t="s">
        <v>7</v>
      </c>
      <c r="V839" s="95" t="s">
        <v>1912</v>
      </c>
      <c r="W839" s="95" t="s">
        <v>1915</v>
      </c>
      <c r="X839" s="95" t="s">
        <v>2837</v>
      </c>
      <c r="Y839" s="72" t="s">
        <v>2976</v>
      </c>
      <c r="Z839" s="72" t="s">
        <v>4</v>
      </c>
      <c r="AA839" s="95" t="s">
        <v>2837</v>
      </c>
      <c r="AB839" s="132"/>
      <c r="AC839" s="132"/>
      <c r="AD839" s="132"/>
      <c r="AE839" s="63"/>
      <c r="AF839" s="63"/>
      <c r="AG839" s="63"/>
    </row>
    <row r="840" spans="1:33" ht="17.2" customHeight="1">
      <c r="A840" s="64" t="str">
        <f>IF(priority(Main[[#This Row],[Comments]])&lt;&gt;0, priority(Main[[#This Row],[Comments]]),"")</f>
        <v/>
      </c>
      <c r="B840" s="60" t="s">
        <v>2098</v>
      </c>
      <c r="C840" s="72" t="s">
        <v>4</v>
      </c>
      <c r="D840" s="59" t="s">
        <v>2099</v>
      </c>
      <c r="E840" s="85">
        <v>40770.430092592593</v>
      </c>
      <c r="F840" s="85"/>
      <c r="G840" s="64" t="str">
        <f>IF(stdProdLT(Main[[#This Row],[Comments]])=0.1,"N/A",IF(stdProdLT(Main[[#This Row],[Comments]])=0,"",TRIM(stdProdLT(Main[[#This Row],[Comments]]))))</f>
        <v/>
      </c>
      <c r="H840" s="94" t="str">
        <f>IF(OR(Main[[#This Row],[Std. Prod. Lead Time]]="N/A",Main[[#This Row],[Std. Prod. Lead Time]]=""), "",IF(AND(Main[[#This Row],[In Stock Date]]&lt;&gt;"",Main[[#This Row],[Revised Due Date]]&lt;&gt;"",Main[[#This Row],[In Stock Date]]&lt;&gt;""),Main[[#This Row],[In Stock Date]]-Main[[#This Row],[Revised Due Date]],""))</f>
        <v/>
      </c>
      <c r="I840" s="101" t="s">
        <v>4</v>
      </c>
      <c r="J840" s="95" t="s">
        <v>4</v>
      </c>
      <c r="K840" s="95" t="s">
        <v>4</v>
      </c>
      <c r="L840" s="85"/>
      <c r="M840" s="73" t="str">
        <f>IF(Main[[#This Row],[Tech Start Date]]&lt;1/1/1990,"",IF(Main[[#This Row],[Class]]="C",WORKDAY(Main[[#This Row],[Tech Start Date]],9),IF(Main[[#This Row],[Class]]="B", WORKDAY(Main[[#This Row],[Tech Start Date]],6),IF(Main[[#This Row],[Class]]="A",WORKDAY(Main[[#This Row],[Tech Start Date]],2),""))))</f>
        <v/>
      </c>
      <c r="N840" s="73" t="str">
        <f>IF(Main[[#This Row],[Tech Start Date]]&lt;1/1/1990,"",IF(Main[[#This Row],[Class]]="C",WORKDAY(Main[[#This Row],[Tech Start Date]],19),IF(Main[[#This Row],[Class]]="B", WORKDAY(Main[[#This Row],[Tech Start Date]],12),IF(Main[[#This Row],[Class]]="A",WORKDAY(Main[[#This Row],[Tech Start Date]],4),""))))</f>
        <v/>
      </c>
      <c r="O840" s="73" t="str">
        <f>IF(Main[[#This Row],[Tech Start Date]]&lt;1/1/1990,"",IF(Main[[#This Row],[Class]]="C",WORKDAY(Main[[#This Row],[Tech Start Date]],23),IF(Main[[#This Row],[Class]]="B", WORKDAY(Main[[#This Row],[Tech Start Date]],15),IF(Main[[#This Row],[Class]]="A",WORKDAY(Main[[#This Row],[Tech Start Date]],5),""))))</f>
        <v/>
      </c>
      <c r="P840" s="73" t="str">
        <f>IF(Main[[#This Row],[Tech Start Date]]&lt;1/1/1990,"",IF(Main[[#This Row],[Class]]="C",WORKDAY(Main[[#This Row],[Tech Start Date]],28),IF(Main[[#This Row],[Class]]="B", WORKDAY(Main[[#This Row],[Tech Start Date]],19),IF(Main[[#This Row],[Class]]="A",WORKDAY(Main[[#This Row],[Tech Start Date]],9),""))))</f>
        <v/>
      </c>
      <c r="Q840" s="85">
        <v>40791</v>
      </c>
      <c r="R840" s="112"/>
      <c r="S840" s="95" t="s">
        <v>6</v>
      </c>
      <c r="T840" s="74" t="s">
        <v>4</v>
      </c>
      <c r="U840" s="95" t="s">
        <v>7</v>
      </c>
      <c r="V840" s="95" t="s">
        <v>1911</v>
      </c>
      <c r="W840" s="95" t="s">
        <v>4</v>
      </c>
      <c r="X840" s="95" t="s">
        <v>2802</v>
      </c>
      <c r="Y840" s="72" t="s">
        <v>2916</v>
      </c>
      <c r="Z840" s="72" t="s">
        <v>4</v>
      </c>
      <c r="AA840" s="95" t="s">
        <v>2802</v>
      </c>
      <c r="AB840" s="132"/>
      <c r="AC840" s="132"/>
      <c r="AD840" s="132"/>
      <c r="AE840" s="63"/>
      <c r="AF840" s="63"/>
      <c r="AG840" s="63"/>
    </row>
    <row r="841" spans="1:33" ht="17.2" customHeight="1">
      <c r="A841" s="64" t="str">
        <f>IF(priority(Main[[#This Row],[Comments]])&lt;&gt;0, priority(Main[[#This Row],[Comments]]),"")</f>
        <v/>
      </c>
      <c r="B841" s="60" t="s">
        <v>1551</v>
      </c>
      <c r="C841" s="72" t="s">
        <v>95</v>
      </c>
      <c r="D841" s="59" t="s">
        <v>634</v>
      </c>
      <c r="E841" s="85"/>
      <c r="F841" s="85">
        <v>40195</v>
      </c>
      <c r="G841" s="64" t="str">
        <f>IF(stdProdLT(Main[[#This Row],[Comments]])=0.1,"N/A",IF(stdProdLT(Main[[#This Row],[Comments]])=0,"",TRIM(stdProdLT(Main[[#This Row],[Comments]]))))</f>
        <v/>
      </c>
      <c r="H841" s="94" t="str">
        <f>IF(OR(Main[[#This Row],[Std. Prod. Lead Time]]="N/A",Main[[#This Row],[Std. Prod. Lead Time]]=""), "",IF(AND(Main[[#This Row],[In Stock Date]]&lt;&gt;"",Main[[#This Row],[Revised Due Date]]&lt;&gt;"",Main[[#This Row],[In Stock Date]]&lt;&gt;""),Main[[#This Row],[In Stock Date]]-Main[[#This Row],[Revised Due Date]],""))</f>
        <v/>
      </c>
      <c r="I841" s="101" t="s">
        <v>4</v>
      </c>
      <c r="J841" s="95" t="s">
        <v>4</v>
      </c>
      <c r="K841" s="95" t="s">
        <v>4</v>
      </c>
      <c r="L841" s="85"/>
      <c r="M841" s="73" t="str">
        <f>IF(Main[[#This Row],[Tech Start Date]]&lt;1/1/1990,"",IF(Main[[#This Row],[Class]]="C",WORKDAY(Main[[#This Row],[Tech Start Date]],9),IF(Main[[#This Row],[Class]]="B", WORKDAY(Main[[#This Row],[Tech Start Date]],6),IF(Main[[#This Row],[Class]]="A",WORKDAY(Main[[#This Row],[Tech Start Date]],2),""))))</f>
        <v/>
      </c>
      <c r="N841" s="73" t="str">
        <f>IF(Main[[#This Row],[Tech Start Date]]&lt;1/1/1990,"",IF(Main[[#This Row],[Class]]="C",WORKDAY(Main[[#This Row],[Tech Start Date]],19),IF(Main[[#This Row],[Class]]="B", WORKDAY(Main[[#This Row],[Tech Start Date]],12),IF(Main[[#This Row],[Class]]="A",WORKDAY(Main[[#This Row],[Tech Start Date]],4),""))))</f>
        <v/>
      </c>
      <c r="O841" s="73" t="str">
        <f>IF(Main[[#This Row],[Tech Start Date]]&lt;1/1/1990,"",IF(Main[[#This Row],[Class]]="C",WORKDAY(Main[[#This Row],[Tech Start Date]],23),IF(Main[[#This Row],[Class]]="B", WORKDAY(Main[[#This Row],[Tech Start Date]],15),IF(Main[[#This Row],[Class]]="A",WORKDAY(Main[[#This Row],[Tech Start Date]],5),""))))</f>
        <v/>
      </c>
      <c r="P841" s="73" t="str">
        <f>IF(Main[[#This Row],[Tech Start Date]]&lt;1/1/1990,"",IF(Main[[#This Row],[Class]]="C",WORKDAY(Main[[#This Row],[Tech Start Date]],28),IF(Main[[#This Row],[Class]]="B", WORKDAY(Main[[#This Row],[Tech Start Date]],19),IF(Main[[#This Row],[Class]]="A",WORKDAY(Main[[#This Row],[Tech Start Date]],9),""))))</f>
        <v/>
      </c>
      <c r="Q841" s="85">
        <v>40070</v>
      </c>
      <c r="R841" s="112"/>
      <c r="S841" s="95" t="s">
        <v>11</v>
      </c>
      <c r="T841" s="74" t="s">
        <v>4</v>
      </c>
      <c r="U841" s="95" t="s">
        <v>14</v>
      </c>
      <c r="V841" s="95" t="s">
        <v>1914</v>
      </c>
      <c r="W841" s="95" t="s">
        <v>1917</v>
      </c>
      <c r="X841" s="95" t="s">
        <v>2856</v>
      </c>
      <c r="Y841" s="72" t="s">
        <v>4</v>
      </c>
      <c r="Z841" s="72" t="s">
        <v>4</v>
      </c>
      <c r="AA841" s="95" t="s">
        <v>3367</v>
      </c>
      <c r="AB841" s="132"/>
      <c r="AC841" s="132"/>
      <c r="AD841" s="132"/>
      <c r="AE841" s="63"/>
      <c r="AF841" s="63"/>
      <c r="AG841" s="63"/>
    </row>
    <row r="842" spans="1:33" ht="17.2" customHeight="1">
      <c r="A842" s="64" t="str">
        <f>IF(priority(Main[[#This Row],[Comments]])&lt;&gt;0, priority(Main[[#This Row],[Comments]]),"")</f>
        <v/>
      </c>
      <c r="B842" s="60" t="s">
        <v>1552</v>
      </c>
      <c r="C842" s="72" t="s">
        <v>4</v>
      </c>
      <c r="D842" s="59" t="s">
        <v>632</v>
      </c>
      <c r="E842" s="85"/>
      <c r="F842" s="85"/>
      <c r="G842" s="64" t="str">
        <f>IF(stdProdLT(Main[[#This Row],[Comments]])=0.1,"N/A",IF(stdProdLT(Main[[#This Row],[Comments]])=0,"",TRIM(stdProdLT(Main[[#This Row],[Comments]]))))</f>
        <v/>
      </c>
      <c r="H842" s="94" t="str">
        <f>IF(OR(Main[[#This Row],[Std. Prod. Lead Time]]="N/A",Main[[#This Row],[Std. Prod. Lead Time]]=""), "",IF(AND(Main[[#This Row],[In Stock Date]]&lt;&gt;"",Main[[#This Row],[Revised Due Date]]&lt;&gt;"",Main[[#This Row],[In Stock Date]]&lt;&gt;""),Main[[#This Row],[In Stock Date]]-Main[[#This Row],[Revised Due Date]],""))</f>
        <v/>
      </c>
      <c r="I842" s="101" t="s">
        <v>399</v>
      </c>
      <c r="J842" s="95" t="s">
        <v>75</v>
      </c>
      <c r="K842" s="95" t="s">
        <v>4</v>
      </c>
      <c r="L842" s="85"/>
      <c r="M842" s="73" t="str">
        <f>IF(Main[[#This Row],[Tech Start Date]]&lt;1/1/1990,"",IF(Main[[#This Row],[Class]]="C",WORKDAY(Main[[#This Row],[Tech Start Date]],9),IF(Main[[#This Row],[Class]]="B", WORKDAY(Main[[#This Row],[Tech Start Date]],6),IF(Main[[#This Row],[Class]]="A",WORKDAY(Main[[#This Row],[Tech Start Date]],2),""))))</f>
        <v/>
      </c>
      <c r="N842" s="73" t="str">
        <f>IF(Main[[#This Row],[Tech Start Date]]&lt;1/1/1990,"",IF(Main[[#This Row],[Class]]="C",WORKDAY(Main[[#This Row],[Tech Start Date]],19),IF(Main[[#This Row],[Class]]="B", WORKDAY(Main[[#This Row],[Tech Start Date]],12),IF(Main[[#This Row],[Class]]="A",WORKDAY(Main[[#This Row],[Tech Start Date]],4),""))))</f>
        <v/>
      </c>
      <c r="O842" s="73" t="str">
        <f>IF(Main[[#This Row],[Tech Start Date]]&lt;1/1/1990,"",IF(Main[[#This Row],[Class]]="C",WORKDAY(Main[[#This Row],[Tech Start Date]],23),IF(Main[[#This Row],[Class]]="B", WORKDAY(Main[[#This Row],[Tech Start Date]],15),IF(Main[[#This Row],[Class]]="A",WORKDAY(Main[[#This Row],[Tech Start Date]],5),""))))</f>
        <v/>
      </c>
      <c r="P842" s="73" t="str">
        <f>IF(Main[[#This Row],[Tech Start Date]]&lt;1/1/1990,"",IF(Main[[#This Row],[Class]]="C",WORKDAY(Main[[#This Row],[Tech Start Date]],28),IF(Main[[#This Row],[Class]]="B", WORKDAY(Main[[#This Row],[Tech Start Date]],19),IF(Main[[#This Row],[Class]]="A",WORKDAY(Main[[#This Row],[Tech Start Date]],9),""))))</f>
        <v/>
      </c>
      <c r="Q842" s="85">
        <v>40186</v>
      </c>
      <c r="R842" s="112"/>
      <c r="S842" s="95" t="s">
        <v>6</v>
      </c>
      <c r="T842" s="74" t="s">
        <v>4</v>
      </c>
      <c r="U842" s="95" t="s">
        <v>14</v>
      </c>
      <c r="V842" s="95" t="s">
        <v>1914</v>
      </c>
      <c r="W842" s="95" t="s">
        <v>1922</v>
      </c>
      <c r="X842" s="95" t="s">
        <v>883</v>
      </c>
      <c r="Y842" s="72" t="s">
        <v>2941</v>
      </c>
      <c r="Z842" s="72" t="s">
        <v>306</v>
      </c>
      <c r="AA842" s="95" t="s">
        <v>883</v>
      </c>
      <c r="AB842" s="132">
        <v>40624</v>
      </c>
      <c r="AC842" s="132">
        <v>40631</v>
      </c>
      <c r="AD842" s="132"/>
      <c r="AE842" s="63"/>
      <c r="AF842" s="63"/>
      <c r="AG842" s="63"/>
    </row>
    <row r="843" spans="1:33" ht="17.2" customHeight="1">
      <c r="A843" s="64" t="str">
        <f>IF(priority(Main[[#This Row],[Comments]])&lt;&gt;0, priority(Main[[#This Row],[Comments]]),"")</f>
        <v/>
      </c>
      <c r="B843" s="60" t="s">
        <v>1553</v>
      </c>
      <c r="C843" s="72" t="s">
        <v>4</v>
      </c>
      <c r="D843" s="59" t="s">
        <v>633</v>
      </c>
      <c r="E843" s="85"/>
      <c r="F843" s="85"/>
      <c r="G843" s="64" t="str">
        <f>IF(stdProdLT(Main[[#This Row],[Comments]])=0.1,"N/A",IF(stdProdLT(Main[[#This Row],[Comments]])=0,"",TRIM(stdProdLT(Main[[#This Row],[Comments]]))))</f>
        <v/>
      </c>
      <c r="H843" s="94" t="str">
        <f>IF(OR(Main[[#This Row],[Std. Prod. Lead Time]]="N/A",Main[[#This Row],[Std. Prod. Lead Time]]=""), "",IF(AND(Main[[#This Row],[In Stock Date]]&lt;&gt;"",Main[[#This Row],[Revised Due Date]]&lt;&gt;"",Main[[#This Row],[In Stock Date]]&lt;&gt;""),Main[[#This Row],[In Stock Date]]-Main[[#This Row],[Revised Due Date]],""))</f>
        <v/>
      </c>
      <c r="I843" s="101" t="s">
        <v>4</v>
      </c>
      <c r="J843" s="95" t="s">
        <v>4</v>
      </c>
      <c r="K843" s="95" t="s">
        <v>4</v>
      </c>
      <c r="L843" s="85"/>
      <c r="M843" s="73" t="str">
        <f>IF(Main[[#This Row],[Tech Start Date]]&lt;1/1/1990,"",IF(Main[[#This Row],[Class]]="C",WORKDAY(Main[[#This Row],[Tech Start Date]],9),IF(Main[[#This Row],[Class]]="B", WORKDAY(Main[[#This Row],[Tech Start Date]],6),IF(Main[[#This Row],[Class]]="A",WORKDAY(Main[[#This Row],[Tech Start Date]],2),""))))</f>
        <v/>
      </c>
      <c r="N843" s="73" t="str">
        <f>IF(Main[[#This Row],[Tech Start Date]]&lt;1/1/1990,"",IF(Main[[#This Row],[Class]]="C",WORKDAY(Main[[#This Row],[Tech Start Date]],19),IF(Main[[#This Row],[Class]]="B", WORKDAY(Main[[#This Row],[Tech Start Date]],12),IF(Main[[#This Row],[Class]]="A",WORKDAY(Main[[#This Row],[Tech Start Date]],4),""))))</f>
        <v/>
      </c>
      <c r="O843" s="73" t="str">
        <f>IF(Main[[#This Row],[Tech Start Date]]&lt;1/1/1990,"",IF(Main[[#This Row],[Class]]="C",WORKDAY(Main[[#This Row],[Tech Start Date]],23),IF(Main[[#This Row],[Class]]="B", WORKDAY(Main[[#This Row],[Tech Start Date]],15),IF(Main[[#This Row],[Class]]="A",WORKDAY(Main[[#This Row],[Tech Start Date]],5),""))))</f>
        <v/>
      </c>
      <c r="P843" s="73" t="str">
        <f>IF(Main[[#This Row],[Tech Start Date]]&lt;1/1/1990,"",IF(Main[[#This Row],[Class]]="C",WORKDAY(Main[[#This Row],[Tech Start Date]],28),IF(Main[[#This Row],[Class]]="B", WORKDAY(Main[[#This Row],[Tech Start Date]],19),IF(Main[[#This Row],[Class]]="A",WORKDAY(Main[[#This Row],[Tech Start Date]],9),""))))</f>
        <v/>
      </c>
      <c r="Q843" s="85">
        <v>40389</v>
      </c>
      <c r="R843" s="112"/>
      <c r="S843" s="95" t="s">
        <v>6</v>
      </c>
      <c r="T843" s="74" t="s">
        <v>4</v>
      </c>
      <c r="U843" s="95" t="s">
        <v>12</v>
      </c>
      <c r="V843" s="95" t="s">
        <v>1911</v>
      </c>
      <c r="W843" s="95" t="s">
        <v>4</v>
      </c>
      <c r="X843" s="95" t="s">
        <v>907</v>
      </c>
      <c r="Y843" s="72" t="s">
        <v>2995</v>
      </c>
      <c r="Z843" s="72" t="s">
        <v>4</v>
      </c>
      <c r="AA843" s="95" t="s">
        <v>907</v>
      </c>
      <c r="AB843" s="132"/>
      <c r="AC843" s="132"/>
      <c r="AD843" s="132"/>
      <c r="AE843" s="63"/>
      <c r="AF843" s="63"/>
      <c r="AG843" s="63"/>
    </row>
    <row r="844" spans="1:33" ht="17.2" customHeight="1">
      <c r="A844" s="64" t="str">
        <f>IF(priority(Main[[#This Row],[Comments]])&lt;&gt;0, priority(Main[[#This Row],[Comments]]),"")</f>
        <v/>
      </c>
      <c r="B844" s="60" t="s">
        <v>1647</v>
      </c>
      <c r="C844" s="72" t="s">
        <v>4</v>
      </c>
      <c r="D844" s="59" t="s">
        <v>716</v>
      </c>
      <c r="E844" s="85">
        <v>40651.462372685186</v>
      </c>
      <c r="F844" s="85"/>
      <c r="G844" s="64" t="str">
        <f>IF(stdProdLT(Main[[#This Row],[Comments]])=0.1,"N/A",IF(stdProdLT(Main[[#This Row],[Comments]])=0,"",TRIM(stdProdLT(Main[[#This Row],[Comments]]))))</f>
        <v/>
      </c>
      <c r="H844" s="94" t="str">
        <f>IF(OR(Main[[#This Row],[Std. Prod. Lead Time]]="N/A",Main[[#This Row],[Std. Prod. Lead Time]]=""), "",IF(AND(Main[[#This Row],[In Stock Date]]&lt;&gt;"",Main[[#This Row],[Revised Due Date]]&lt;&gt;"",Main[[#This Row],[In Stock Date]]&lt;&gt;""),Main[[#This Row],[In Stock Date]]-Main[[#This Row],[Revised Due Date]],""))</f>
        <v/>
      </c>
      <c r="I844" s="101" t="s">
        <v>30</v>
      </c>
      <c r="J844" s="95" t="s">
        <v>28</v>
      </c>
      <c r="K844" s="95" t="s">
        <v>1920</v>
      </c>
      <c r="L844" s="85"/>
      <c r="M844" s="73" t="str">
        <f>IF(Main[[#This Row],[Tech Start Date]]&lt;1/1/1990,"",IF(Main[[#This Row],[Class]]="C",WORKDAY(Main[[#This Row],[Tech Start Date]],9),IF(Main[[#This Row],[Class]]="B", WORKDAY(Main[[#This Row],[Tech Start Date]],6),IF(Main[[#This Row],[Class]]="A",WORKDAY(Main[[#This Row],[Tech Start Date]],2),""))))</f>
        <v/>
      </c>
      <c r="N844" s="73" t="str">
        <f>IF(Main[[#This Row],[Tech Start Date]]&lt;1/1/1990,"",IF(Main[[#This Row],[Class]]="C",WORKDAY(Main[[#This Row],[Tech Start Date]],19),IF(Main[[#This Row],[Class]]="B", WORKDAY(Main[[#This Row],[Tech Start Date]],12),IF(Main[[#This Row],[Class]]="A",WORKDAY(Main[[#This Row],[Tech Start Date]],4),""))))</f>
        <v/>
      </c>
      <c r="O844" s="73" t="str">
        <f>IF(Main[[#This Row],[Tech Start Date]]&lt;1/1/1990,"",IF(Main[[#This Row],[Class]]="C",WORKDAY(Main[[#This Row],[Tech Start Date]],23),IF(Main[[#This Row],[Class]]="B", WORKDAY(Main[[#This Row],[Tech Start Date]],15),IF(Main[[#This Row],[Class]]="A",WORKDAY(Main[[#This Row],[Tech Start Date]],5),""))))</f>
        <v/>
      </c>
      <c r="P844" s="73" t="str">
        <f>IF(Main[[#This Row],[Tech Start Date]]&lt;1/1/1990,"",IF(Main[[#This Row],[Class]]="C",WORKDAY(Main[[#This Row],[Tech Start Date]],28),IF(Main[[#This Row],[Class]]="B", WORKDAY(Main[[#This Row],[Tech Start Date]],19),IF(Main[[#This Row],[Class]]="A",WORKDAY(Main[[#This Row],[Tech Start Date]],9),""))))</f>
        <v/>
      </c>
      <c r="Q844" s="85">
        <v>40694</v>
      </c>
      <c r="R844" s="112"/>
      <c r="S844" s="95" t="s">
        <v>6</v>
      </c>
      <c r="T844" s="74" t="s">
        <v>4</v>
      </c>
      <c r="U844" s="95" t="s">
        <v>29</v>
      </c>
      <c r="V844" s="95" t="s">
        <v>1914</v>
      </c>
      <c r="W844" s="95" t="s">
        <v>1915</v>
      </c>
      <c r="X844" s="95" t="s">
        <v>30</v>
      </c>
      <c r="Y844" s="72" t="s">
        <v>2935</v>
      </c>
      <c r="Z844" s="72" t="s">
        <v>30</v>
      </c>
      <c r="AA844" s="95" t="s">
        <v>30</v>
      </c>
      <c r="AB844" s="132"/>
      <c r="AC844" s="132"/>
      <c r="AD844" s="132"/>
      <c r="AE844" s="63"/>
      <c r="AF844" s="63"/>
      <c r="AG844" s="63"/>
    </row>
    <row r="845" spans="1:33" ht="17.2" customHeight="1">
      <c r="A845" s="64" t="str">
        <f>IF(priority(Main[[#This Row],[Comments]])&lt;&gt;0, priority(Main[[#This Row],[Comments]]),"")</f>
        <v/>
      </c>
      <c r="B845" s="60" t="s">
        <v>2056</v>
      </c>
      <c r="C845" s="72" t="s">
        <v>4</v>
      </c>
      <c r="D845" s="59" t="s">
        <v>2057</v>
      </c>
      <c r="E845" s="85">
        <v>40759.465995370374</v>
      </c>
      <c r="F845" s="85"/>
      <c r="G845" s="64" t="str">
        <f>IF(stdProdLT(Main[[#This Row],[Comments]])=0.1,"N/A",IF(stdProdLT(Main[[#This Row],[Comments]])=0,"",TRIM(stdProdLT(Main[[#This Row],[Comments]]))))</f>
        <v/>
      </c>
      <c r="H845" s="94" t="str">
        <f>IF(OR(Main[[#This Row],[Std. Prod. Lead Time]]="N/A",Main[[#This Row],[Std. Prod. Lead Time]]=""), "",IF(AND(Main[[#This Row],[In Stock Date]]&lt;&gt;"",Main[[#This Row],[Revised Due Date]]&lt;&gt;"",Main[[#This Row],[In Stock Date]]&lt;&gt;""),Main[[#This Row],[In Stock Date]]-Main[[#This Row],[Revised Due Date]],""))</f>
        <v/>
      </c>
      <c r="I845" s="101" t="s">
        <v>912</v>
      </c>
      <c r="J845" s="95" t="s">
        <v>52</v>
      </c>
      <c r="K845" s="95" t="s">
        <v>4</v>
      </c>
      <c r="L845" s="85"/>
      <c r="M845" s="73" t="str">
        <f>IF(Main[[#This Row],[Tech Start Date]]&lt;1/1/1990,"",IF(Main[[#This Row],[Class]]="C",WORKDAY(Main[[#This Row],[Tech Start Date]],9),IF(Main[[#This Row],[Class]]="B", WORKDAY(Main[[#This Row],[Tech Start Date]],6),IF(Main[[#This Row],[Class]]="A",WORKDAY(Main[[#This Row],[Tech Start Date]],2),""))))</f>
        <v/>
      </c>
      <c r="N845" s="73" t="str">
        <f>IF(Main[[#This Row],[Tech Start Date]]&lt;1/1/1990,"",IF(Main[[#This Row],[Class]]="C",WORKDAY(Main[[#This Row],[Tech Start Date]],19),IF(Main[[#This Row],[Class]]="B", WORKDAY(Main[[#This Row],[Tech Start Date]],12),IF(Main[[#This Row],[Class]]="A",WORKDAY(Main[[#This Row],[Tech Start Date]],4),""))))</f>
        <v/>
      </c>
      <c r="O845" s="73" t="str">
        <f>IF(Main[[#This Row],[Tech Start Date]]&lt;1/1/1990,"",IF(Main[[#This Row],[Class]]="C",WORKDAY(Main[[#This Row],[Tech Start Date]],23),IF(Main[[#This Row],[Class]]="B", WORKDAY(Main[[#This Row],[Tech Start Date]],15),IF(Main[[#This Row],[Class]]="A",WORKDAY(Main[[#This Row],[Tech Start Date]],5),""))))</f>
        <v/>
      </c>
      <c r="P845" s="73" t="str">
        <f>IF(Main[[#This Row],[Tech Start Date]]&lt;1/1/1990,"",IF(Main[[#This Row],[Class]]="C",WORKDAY(Main[[#This Row],[Tech Start Date]],28),IF(Main[[#This Row],[Class]]="B", WORKDAY(Main[[#This Row],[Tech Start Date]],19),IF(Main[[#This Row],[Class]]="A",WORKDAY(Main[[#This Row],[Tech Start Date]],9),""))))</f>
        <v/>
      </c>
      <c r="Q845" s="85"/>
      <c r="R845" s="112"/>
      <c r="S845" s="95" t="s">
        <v>6</v>
      </c>
      <c r="T845" s="74" t="s">
        <v>4</v>
      </c>
      <c r="U845" s="95" t="s">
        <v>29</v>
      </c>
      <c r="V845" s="95" t="s">
        <v>1911</v>
      </c>
      <c r="W845" s="95" t="s">
        <v>1915</v>
      </c>
      <c r="X845" s="95" t="s">
        <v>912</v>
      </c>
      <c r="Y845" s="72" t="s">
        <v>3035</v>
      </c>
      <c r="Z845" s="72" t="s">
        <v>4</v>
      </c>
      <c r="AA845" s="95" t="s">
        <v>912</v>
      </c>
      <c r="AB845" s="132"/>
      <c r="AC845" s="132"/>
      <c r="AD845" s="132"/>
      <c r="AE845" s="63"/>
      <c r="AF845" s="63"/>
      <c r="AG845" s="63"/>
    </row>
    <row r="846" spans="1:33" ht="17.2" customHeight="1">
      <c r="A846" s="64" t="str">
        <f>IF(priority(Main[[#This Row],[Comments]])&lt;&gt;0, priority(Main[[#This Row],[Comments]]),"")</f>
        <v/>
      </c>
      <c r="B846" s="60" t="s">
        <v>1648</v>
      </c>
      <c r="C846" s="72" t="s">
        <v>33</v>
      </c>
      <c r="D846" s="138" t="s">
        <v>717</v>
      </c>
      <c r="E846" s="85"/>
      <c r="F846" s="85">
        <v>40530</v>
      </c>
      <c r="G846" s="64" t="str">
        <f>IF(stdProdLT(Main[[#This Row],[Comments]])=0.1,"N/A",IF(stdProdLT(Main[[#This Row],[Comments]])=0,"",TRIM(stdProdLT(Main[[#This Row],[Comments]]))))</f>
        <v/>
      </c>
      <c r="H846" s="94" t="str">
        <f>IF(OR(Main[[#This Row],[Std. Prod. Lead Time]]="N/A",Main[[#This Row],[Std. Prod. Lead Time]]=""), "",IF(AND(Main[[#This Row],[In Stock Date]]&lt;&gt;"",Main[[#This Row],[Revised Due Date]]&lt;&gt;"",Main[[#This Row],[In Stock Date]]&lt;&gt;""),Main[[#This Row],[In Stock Date]]-Main[[#This Row],[Revised Due Date]],""))</f>
        <v/>
      </c>
      <c r="I846" s="101" t="s">
        <v>74</v>
      </c>
      <c r="J846" s="95" t="s">
        <v>28</v>
      </c>
      <c r="K846" s="95" t="s">
        <v>1923</v>
      </c>
      <c r="L846" s="85"/>
      <c r="M846" s="73" t="str">
        <f>IF(Main[[#This Row],[Tech Start Date]]&lt;1/1/1990,"",IF(Main[[#This Row],[Class]]="C",WORKDAY(Main[[#This Row],[Tech Start Date]],9),IF(Main[[#This Row],[Class]]="B", WORKDAY(Main[[#This Row],[Tech Start Date]],6),IF(Main[[#This Row],[Class]]="A",WORKDAY(Main[[#This Row],[Tech Start Date]],2),""))))</f>
        <v/>
      </c>
      <c r="N846" s="73" t="str">
        <f>IF(Main[[#This Row],[Tech Start Date]]&lt;1/1/1990,"",IF(Main[[#This Row],[Class]]="C",WORKDAY(Main[[#This Row],[Tech Start Date]],19),IF(Main[[#This Row],[Class]]="B", WORKDAY(Main[[#This Row],[Tech Start Date]],12),IF(Main[[#This Row],[Class]]="A",WORKDAY(Main[[#This Row],[Tech Start Date]],4),""))))</f>
        <v/>
      </c>
      <c r="O846" s="73" t="str">
        <f>IF(Main[[#This Row],[Tech Start Date]]&lt;1/1/1990,"",IF(Main[[#This Row],[Class]]="C",WORKDAY(Main[[#This Row],[Tech Start Date]],23),IF(Main[[#This Row],[Class]]="B", WORKDAY(Main[[#This Row],[Tech Start Date]],15),IF(Main[[#This Row],[Class]]="A",WORKDAY(Main[[#This Row],[Tech Start Date]],5),""))))</f>
        <v/>
      </c>
      <c r="P846" s="73" t="str">
        <f>IF(Main[[#This Row],[Tech Start Date]]&lt;1/1/1990,"",IF(Main[[#This Row],[Class]]="C",WORKDAY(Main[[#This Row],[Tech Start Date]],28),IF(Main[[#This Row],[Class]]="B", WORKDAY(Main[[#This Row],[Tech Start Date]],19),IF(Main[[#This Row],[Class]]="A",WORKDAY(Main[[#This Row],[Tech Start Date]],9),""))))</f>
        <v/>
      </c>
      <c r="Q846" s="85">
        <v>40390</v>
      </c>
      <c r="R846" s="112"/>
      <c r="S846" s="95" t="s">
        <v>17</v>
      </c>
      <c r="T846" s="74" t="s">
        <v>4</v>
      </c>
      <c r="U846" s="95" t="s">
        <v>14</v>
      </c>
      <c r="V846" s="95" t="s">
        <v>1914</v>
      </c>
      <c r="W846" s="95" t="s">
        <v>1916</v>
      </c>
      <c r="X846" s="95" t="s">
        <v>2806</v>
      </c>
      <c r="Y846" s="72" t="s">
        <v>4</v>
      </c>
      <c r="Z846" s="72" t="s">
        <v>74</v>
      </c>
      <c r="AA846" s="95" t="s">
        <v>2806</v>
      </c>
      <c r="AB846" s="132"/>
      <c r="AC846" s="132"/>
      <c r="AD846" s="132"/>
      <c r="AE846" s="63"/>
      <c r="AF846" s="63"/>
      <c r="AG846" s="63"/>
    </row>
    <row r="847" spans="1:33" ht="17.2" customHeight="1">
      <c r="A847" s="64" t="str">
        <f>IF(priority(Main[[#This Row],[Comments]])&lt;&gt;0, priority(Main[[#This Row],[Comments]]),"")</f>
        <v/>
      </c>
      <c r="B847" s="60" t="s">
        <v>1649</v>
      </c>
      <c r="C847" s="72" t="s">
        <v>4</v>
      </c>
      <c r="D847" s="59" t="s">
        <v>537</v>
      </c>
      <c r="E847" s="85"/>
      <c r="F847" s="85"/>
      <c r="G847" s="64" t="str">
        <f>IF(stdProdLT(Main[[#This Row],[Comments]])=0.1,"N/A",IF(stdProdLT(Main[[#This Row],[Comments]])=0,"",TRIM(stdProdLT(Main[[#This Row],[Comments]]))))</f>
        <v/>
      </c>
      <c r="H847" s="94" t="str">
        <f>IF(OR(Main[[#This Row],[Std. Prod. Lead Time]]="N/A",Main[[#This Row],[Std. Prod. Lead Time]]=""), "",IF(AND(Main[[#This Row],[In Stock Date]]&lt;&gt;"",Main[[#This Row],[Revised Due Date]]&lt;&gt;"",Main[[#This Row],[In Stock Date]]&lt;&gt;""),Main[[#This Row],[In Stock Date]]-Main[[#This Row],[Revised Due Date]],""))</f>
        <v/>
      </c>
      <c r="I847" s="101" t="s">
        <v>4</v>
      </c>
      <c r="J847" s="95" t="s">
        <v>4</v>
      </c>
      <c r="K847" s="96" t="s">
        <v>4</v>
      </c>
      <c r="L847" s="85"/>
      <c r="M847" s="73" t="str">
        <f>IF(Main[[#This Row],[Tech Start Date]]&lt;1/1/1990,"",IF(Main[[#This Row],[Class]]="C",WORKDAY(Main[[#This Row],[Tech Start Date]],9),IF(Main[[#This Row],[Class]]="B", WORKDAY(Main[[#This Row],[Tech Start Date]],6),IF(Main[[#This Row],[Class]]="A",WORKDAY(Main[[#This Row],[Tech Start Date]],2),""))))</f>
        <v/>
      </c>
      <c r="N847" s="73" t="str">
        <f>IF(Main[[#This Row],[Tech Start Date]]&lt;1/1/1990,"",IF(Main[[#This Row],[Class]]="C",WORKDAY(Main[[#This Row],[Tech Start Date]],19),IF(Main[[#This Row],[Class]]="B", WORKDAY(Main[[#This Row],[Tech Start Date]],12),IF(Main[[#This Row],[Class]]="A",WORKDAY(Main[[#This Row],[Tech Start Date]],4),""))))</f>
        <v/>
      </c>
      <c r="O847" s="73" t="str">
        <f>IF(Main[[#This Row],[Tech Start Date]]&lt;1/1/1990,"",IF(Main[[#This Row],[Class]]="C",WORKDAY(Main[[#This Row],[Tech Start Date]],23),IF(Main[[#This Row],[Class]]="B", WORKDAY(Main[[#This Row],[Tech Start Date]],15),IF(Main[[#This Row],[Class]]="A",WORKDAY(Main[[#This Row],[Tech Start Date]],5),""))))</f>
        <v/>
      </c>
      <c r="P847" s="73" t="str">
        <f>IF(Main[[#This Row],[Tech Start Date]]&lt;1/1/1990,"",IF(Main[[#This Row],[Class]]="C",WORKDAY(Main[[#This Row],[Tech Start Date]],28),IF(Main[[#This Row],[Class]]="B", WORKDAY(Main[[#This Row],[Tech Start Date]],19),IF(Main[[#This Row],[Class]]="A",WORKDAY(Main[[#This Row],[Tech Start Date]],9),""))))</f>
        <v/>
      </c>
      <c r="Q847" s="85">
        <v>40606</v>
      </c>
      <c r="R847" s="112"/>
      <c r="S847" s="95" t="s">
        <v>6</v>
      </c>
      <c r="T847" s="74" t="s">
        <v>4</v>
      </c>
      <c r="U847" s="95" t="s">
        <v>14</v>
      </c>
      <c r="V847" s="95" t="s">
        <v>1914</v>
      </c>
      <c r="W847" s="95" t="s">
        <v>1915</v>
      </c>
      <c r="X847" s="95" t="s">
        <v>2816</v>
      </c>
      <c r="Y847" s="72" t="s">
        <v>2943</v>
      </c>
      <c r="Z847" s="72" t="s">
        <v>4</v>
      </c>
      <c r="AA847" s="95" t="s">
        <v>2816</v>
      </c>
      <c r="AB847" s="132"/>
      <c r="AC847" s="132"/>
      <c r="AD847" s="132"/>
      <c r="AE847" s="63"/>
      <c r="AF847" s="63"/>
      <c r="AG847" s="63"/>
    </row>
    <row r="848" spans="1:33" ht="17.2" customHeight="1">
      <c r="A848" s="64" t="str">
        <f>IF(priority(Main[[#This Row],[Comments]])&lt;&gt;0, priority(Main[[#This Row],[Comments]]),"")</f>
        <v/>
      </c>
      <c r="B848" s="60" t="s">
        <v>1407</v>
      </c>
      <c r="C848" s="72" t="s">
        <v>4</v>
      </c>
      <c r="D848" s="59" t="s">
        <v>1947</v>
      </c>
      <c r="E848" s="85"/>
      <c r="F848" s="85"/>
      <c r="G848" s="64" t="str">
        <f>IF(stdProdLT(Main[[#This Row],[Comments]])=0.1,"N/A",IF(stdProdLT(Main[[#This Row],[Comments]])=0,"",TRIM(stdProdLT(Main[[#This Row],[Comments]]))))</f>
        <v/>
      </c>
      <c r="H848" s="94" t="str">
        <f>IF(OR(Main[[#This Row],[Std. Prod. Lead Time]]="N/A",Main[[#This Row],[Std. Prod. Lead Time]]=""), "",IF(AND(Main[[#This Row],[In Stock Date]]&lt;&gt;"",Main[[#This Row],[Revised Due Date]]&lt;&gt;"",Main[[#This Row],[In Stock Date]]&lt;&gt;""),Main[[#This Row],[In Stock Date]]-Main[[#This Row],[Revised Due Date]],""))</f>
        <v/>
      </c>
      <c r="I848" s="101" t="s">
        <v>4</v>
      </c>
      <c r="J848" s="95" t="s">
        <v>4</v>
      </c>
      <c r="K848" s="95" t="s">
        <v>4</v>
      </c>
      <c r="L848" s="85"/>
      <c r="M848" s="73" t="str">
        <f>IF(Main[[#This Row],[Tech Start Date]]&lt;1/1/1990,"",IF(Main[[#This Row],[Class]]="C",WORKDAY(Main[[#This Row],[Tech Start Date]],9),IF(Main[[#This Row],[Class]]="B", WORKDAY(Main[[#This Row],[Tech Start Date]],6),IF(Main[[#This Row],[Class]]="A",WORKDAY(Main[[#This Row],[Tech Start Date]],2),""))))</f>
        <v/>
      </c>
      <c r="N848" s="73" t="str">
        <f>IF(Main[[#This Row],[Tech Start Date]]&lt;1/1/1990,"",IF(Main[[#This Row],[Class]]="C",WORKDAY(Main[[#This Row],[Tech Start Date]],19),IF(Main[[#This Row],[Class]]="B", WORKDAY(Main[[#This Row],[Tech Start Date]],12),IF(Main[[#This Row],[Class]]="A",WORKDAY(Main[[#This Row],[Tech Start Date]],4),""))))</f>
        <v/>
      </c>
      <c r="O848" s="73" t="str">
        <f>IF(Main[[#This Row],[Tech Start Date]]&lt;1/1/1990,"",IF(Main[[#This Row],[Class]]="C",WORKDAY(Main[[#This Row],[Tech Start Date]],23),IF(Main[[#This Row],[Class]]="B", WORKDAY(Main[[#This Row],[Tech Start Date]],15),IF(Main[[#This Row],[Class]]="A",WORKDAY(Main[[#This Row],[Tech Start Date]],5),""))))</f>
        <v/>
      </c>
      <c r="P848" s="73" t="str">
        <f>IF(Main[[#This Row],[Tech Start Date]]&lt;1/1/1990,"",IF(Main[[#This Row],[Class]]="C",WORKDAY(Main[[#This Row],[Tech Start Date]],28),IF(Main[[#This Row],[Class]]="B", WORKDAY(Main[[#This Row],[Tech Start Date]],19),IF(Main[[#This Row],[Class]]="A",WORKDAY(Main[[#This Row],[Tech Start Date]],9),""))))</f>
        <v/>
      </c>
      <c r="Q848" s="85"/>
      <c r="R848" s="112"/>
      <c r="S848" s="95" t="s">
        <v>6</v>
      </c>
      <c r="T848" s="74" t="s">
        <v>4</v>
      </c>
      <c r="U848" s="95" t="s">
        <v>14</v>
      </c>
      <c r="V848" s="95" t="s">
        <v>1912</v>
      </c>
      <c r="W848" s="95" t="s">
        <v>1913</v>
      </c>
      <c r="X848" s="95" t="s">
        <v>922</v>
      </c>
      <c r="Y848" s="72" t="s">
        <v>2998</v>
      </c>
      <c r="Z848" s="72" t="s">
        <v>4</v>
      </c>
      <c r="AA848" s="95" t="s">
        <v>3364</v>
      </c>
      <c r="AB848" s="132"/>
      <c r="AC848" s="132"/>
      <c r="AD848" s="132"/>
      <c r="AE848" s="63"/>
      <c r="AF848" s="63"/>
      <c r="AG848" s="63"/>
    </row>
    <row r="849" spans="1:33" ht="17.2" customHeight="1">
      <c r="A849" s="64" t="str">
        <f>IF(priority(Main[[#This Row],[Comments]])&lt;&gt;0, priority(Main[[#This Row],[Comments]]),"")</f>
        <v/>
      </c>
      <c r="B849" s="60" t="s">
        <v>1676</v>
      </c>
      <c r="C849" s="72" t="s">
        <v>4</v>
      </c>
      <c r="D849" s="59" t="s">
        <v>39</v>
      </c>
      <c r="E849" s="85"/>
      <c r="F849" s="85"/>
      <c r="G849" s="64" t="str">
        <f>IF(stdProdLT(Main[[#This Row],[Comments]])=0.1,"N/A",IF(stdProdLT(Main[[#This Row],[Comments]])=0,"",TRIM(stdProdLT(Main[[#This Row],[Comments]]))))</f>
        <v/>
      </c>
      <c r="H849" s="94" t="str">
        <f>IF(OR(Main[[#This Row],[Std. Prod. Lead Time]]="N/A",Main[[#This Row],[Std. Prod. Lead Time]]=""), "",IF(AND(Main[[#This Row],[In Stock Date]]&lt;&gt;"",Main[[#This Row],[Revised Due Date]]&lt;&gt;"",Main[[#This Row],[In Stock Date]]&lt;&gt;""),Main[[#This Row],[In Stock Date]]-Main[[#This Row],[Revised Due Date]],""))</f>
        <v/>
      </c>
      <c r="I849" s="101" t="s">
        <v>4</v>
      </c>
      <c r="J849" s="95" t="s">
        <v>4</v>
      </c>
      <c r="K849" s="95" t="s">
        <v>4</v>
      </c>
      <c r="L849" s="85"/>
      <c r="M849" s="73" t="str">
        <f>IF(Main[[#This Row],[Tech Start Date]]&lt;1/1/1990,"",IF(Main[[#This Row],[Class]]="C",WORKDAY(Main[[#This Row],[Tech Start Date]],9),IF(Main[[#This Row],[Class]]="B", WORKDAY(Main[[#This Row],[Tech Start Date]],6),IF(Main[[#This Row],[Class]]="A",WORKDAY(Main[[#This Row],[Tech Start Date]],2),""))))</f>
        <v/>
      </c>
      <c r="N849" s="73" t="str">
        <f>IF(Main[[#This Row],[Tech Start Date]]&lt;1/1/1990,"",IF(Main[[#This Row],[Class]]="C",WORKDAY(Main[[#This Row],[Tech Start Date]],19),IF(Main[[#This Row],[Class]]="B", WORKDAY(Main[[#This Row],[Tech Start Date]],12),IF(Main[[#This Row],[Class]]="A",WORKDAY(Main[[#This Row],[Tech Start Date]],4),""))))</f>
        <v/>
      </c>
      <c r="O849" s="73" t="str">
        <f>IF(Main[[#This Row],[Tech Start Date]]&lt;1/1/1990,"",IF(Main[[#This Row],[Class]]="C",WORKDAY(Main[[#This Row],[Tech Start Date]],23),IF(Main[[#This Row],[Class]]="B", WORKDAY(Main[[#This Row],[Tech Start Date]],15),IF(Main[[#This Row],[Class]]="A",WORKDAY(Main[[#This Row],[Tech Start Date]],5),""))))</f>
        <v/>
      </c>
      <c r="P849" s="73" t="str">
        <f>IF(Main[[#This Row],[Tech Start Date]]&lt;1/1/1990,"",IF(Main[[#This Row],[Class]]="C",WORKDAY(Main[[#This Row],[Tech Start Date]],28),IF(Main[[#This Row],[Class]]="B", WORKDAY(Main[[#This Row],[Tech Start Date]],19),IF(Main[[#This Row],[Class]]="A",WORKDAY(Main[[#This Row],[Tech Start Date]],9),""))))</f>
        <v/>
      </c>
      <c r="Q849" s="85">
        <v>40669</v>
      </c>
      <c r="R849" s="112"/>
      <c r="S849" s="95" t="s">
        <v>6</v>
      </c>
      <c r="T849" s="74" t="s">
        <v>4</v>
      </c>
      <c r="U849" s="95" t="s">
        <v>14</v>
      </c>
      <c r="V849" s="95" t="s">
        <v>1914</v>
      </c>
      <c r="W849" s="95" t="s">
        <v>4</v>
      </c>
      <c r="X849" s="95" t="s">
        <v>2798</v>
      </c>
      <c r="Y849" s="72" t="s">
        <v>2908</v>
      </c>
      <c r="Z849" s="72" t="s">
        <v>4</v>
      </c>
      <c r="AA849" s="95" t="s">
        <v>2798</v>
      </c>
      <c r="AB849" s="132"/>
      <c r="AC849" s="132"/>
      <c r="AD849" s="132"/>
      <c r="AE849" s="63"/>
      <c r="AF849" s="63"/>
      <c r="AG849" s="63"/>
    </row>
    <row r="850" spans="1:33" ht="17.2" customHeight="1">
      <c r="A850" s="64" t="str">
        <f>IF(priority(Main[[#This Row],[Comments]])&lt;&gt;0, priority(Main[[#This Row],[Comments]]),"")</f>
        <v/>
      </c>
      <c r="B850" s="60" t="s">
        <v>1657</v>
      </c>
      <c r="C850" s="72" t="s">
        <v>72</v>
      </c>
      <c r="D850" s="59" t="s">
        <v>723</v>
      </c>
      <c r="E850" s="85"/>
      <c r="F850" s="85"/>
      <c r="G850" s="64" t="str">
        <f>IF(stdProdLT(Main[[#This Row],[Comments]])=0.1,"N/A",IF(stdProdLT(Main[[#This Row],[Comments]])=0,"",TRIM(stdProdLT(Main[[#This Row],[Comments]]))))</f>
        <v/>
      </c>
      <c r="H850" s="94" t="str">
        <f>IF(OR(Main[[#This Row],[Std. Prod. Lead Time]]="N/A",Main[[#This Row],[Std. Prod. Lead Time]]=""), "",IF(AND(Main[[#This Row],[In Stock Date]]&lt;&gt;"",Main[[#This Row],[Revised Due Date]]&lt;&gt;"",Main[[#This Row],[In Stock Date]]&lt;&gt;""),Main[[#This Row],[In Stock Date]]-Main[[#This Row],[Revised Due Date]],""))</f>
        <v/>
      </c>
      <c r="I850" s="101" t="s">
        <v>4</v>
      </c>
      <c r="J850" s="95" t="s">
        <v>4</v>
      </c>
      <c r="K850" s="95" t="s">
        <v>4</v>
      </c>
      <c r="L850" s="85"/>
      <c r="M850" s="73" t="str">
        <f>IF(Main[[#This Row],[Tech Start Date]]&lt;1/1/1990,"",IF(Main[[#This Row],[Class]]="C",WORKDAY(Main[[#This Row],[Tech Start Date]],9),IF(Main[[#This Row],[Class]]="B", WORKDAY(Main[[#This Row],[Tech Start Date]],6),IF(Main[[#This Row],[Class]]="A",WORKDAY(Main[[#This Row],[Tech Start Date]],2),""))))</f>
        <v/>
      </c>
      <c r="N850" s="73" t="str">
        <f>IF(Main[[#This Row],[Tech Start Date]]&lt;1/1/1990,"",IF(Main[[#This Row],[Class]]="C",WORKDAY(Main[[#This Row],[Tech Start Date]],19),IF(Main[[#This Row],[Class]]="B", WORKDAY(Main[[#This Row],[Tech Start Date]],12),IF(Main[[#This Row],[Class]]="A",WORKDAY(Main[[#This Row],[Tech Start Date]],4),""))))</f>
        <v/>
      </c>
      <c r="O850" s="73" t="str">
        <f>IF(Main[[#This Row],[Tech Start Date]]&lt;1/1/1990,"",IF(Main[[#This Row],[Class]]="C",WORKDAY(Main[[#This Row],[Tech Start Date]],23),IF(Main[[#This Row],[Class]]="B", WORKDAY(Main[[#This Row],[Tech Start Date]],15),IF(Main[[#This Row],[Class]]="A",WORKDAY(Main[[#This Row],[Tech Start Date]],5),""))))</f>
        <v/>
      </c>
      <c r="P850" s="73" t="str">
        <f>IF(Main[[#This Row],[Tech Start Date]]&lt;1/1/1990,"",IF(Main[[#This Row],[Class]]="C",WORKDAY(Main[[#This Row],[Tech Start Date]],28),IF(Main[[#This Row],[Class]]="B", WORKDAY(Main[[#This Row],[Tech Start Date]],19),IF(Main[[#This Row],[Class]]="A",WORKDAY(Main[[#This Row],[Tech Start Date]],9),""))))</f>
        <v/>
      </c>
      <c r="Q850" s="85"/>
      <c r="R850" s="112"/>
      <c r="S850" s="95" t="s">
        <v>11</v>
      </c>
      <c r="T850" s="74" t="s">
        <v>4</v>
      </c>
      <c r="U850" s="95" t="s">
        <v>14</v>
      </c>
      <c r="V850" s="95" t="s">
        <v>1912</v>
      </c>
      <c r="W850" s="95" t="s">
        <v>1919</v>
      </c>
      <c r="X850" s="95" t="s">
        <v>2807</v>
      </c>
      <c r="Y850" s="72" t="s">
        <v>2926</v>
      </c>
      <c r="Z850" s="72" t="s">
        <v>4</v>
      </c>
      <c r="AA850" s="95" t="s">
        <v>2807</v>
      </c>
      <c r="AB850" s="132"/>
      <c r="AC850" s="132"/>
      <c r="AD850" s="132"/>
      <c r="AE850" s="63"/>
      <c r="AF850" s="63"/>
      <c r="AG850" s="63"/>
    </row>
    <row r="851" spans="1:33" ht="17.2" customHeight="1">
      <c r="A851" s="64" t="str">
        <f>IF(priority(Main[[#This Row],[Comments]])&lt;&gt;0, priority(Main[[#This Row],[Comments]]),"")</f>
        <v/>
      </c>
      <c r="B851" s="60" t="s">
        <v>2157</v>
      </c>
      <c r="C851" s="72" t="s">
        <v>4</v>
      </c>
      <c r="D851" s="59" t="s">
        <v>2381</v>
      </c>
      <c r="E851" s="85">
        <v>40780.672893518517</v>
      </c>
      <c r="F851" s="85"/>
      <c r="G851" s="64" t="str">
        <f>IF(stdProdLT(Main[[#This Row],[Comments]])=0.1,"N/A",IF(stdProdLT(Main[[#This Row],[Comments]])=0,"",TRIM(stdProdLT(Main[[#This Row],[Comments]]))))</f>
        <v/>
      </c>
      <c r="H851" s="94" t="str">
        <f>IF(OR(Main[[#This Row],[Std. Prod. Lead Time]]="N/A",Main[[#This Row],[Std. Prod. Lead Time]]=""), "",IF(AND(Main[[#This Row],[In Stock Date]]&lt;&gt;"",Main[[#This Row],[Revised Due Date]]&lt;&gt;"",Main[[#This Row],[In Stock Date]]&lt;&gt;""),Main[[#This Row],[In Stock Date]]-Main[[#This Row],[Revised Due Date]],""))</f>
        <v/>
      </c>
      <c r="I851" s="101" t="s">
        <v>912</v>
      </c>
      <c r="J851" s="95" t="s">
        <v>52</v>
      </c>
      <c r="K851" s="95" t="s">
        <v>4</v>
      </c>
      <c r="L851" s="85"/>
      <c r="M851" s="73" t="str">
        <f>IF(Main[[#This Row],[Tech Start Date]]&lt;1/1/1990,"",IF(Main[[#This Row],[Class]]="C",WORKDAY(Main[[#This Row],[Tech Start Date]],9),IF(Main[[#This Row],[Class]]="B", WORKDAY(Main[[#This Row],[Tech Start Date]],6),IF(Main[[#This Row],[Class]]="A",WORKDAY(Main[[#This Row],[Tech Start Date]],2),""))))</f>
        <v/>
      </c>
      <c r="N851" s="73" t="str">
        <f>IF(Main[[#This Row],[Tech Start Date]]&lt;1/1/1990,"",IF(Main[[#This Row],[Class]]="C",WORKDAY(Main[[#This Row],[Tech Start Date]],19),IF(Main[[#This Row],[Class]]="B", WORKDAY(Main[[#This Row],[Tech Start Date]],12),IF(Main[[#This Row],[Class]]="A",WORKDAY(Main[[#This Row],[Tech Start Date]],4),""))))</f>
        <v/>
      </c>
      <c r="O851" s="73" t="str">
        <f>IF(Main[[#This Row],[Tech Start Date]]&lt;1/1/1990,"",IF(Main[[#This Row],[Class]]="C",WORKDAY(Main[[#This Row],[Tech Start Date]],23),IF(Main[[#This Row],[Class]]="B", WORKDAY(Main[[#This Row],[Tech Start Date]],15),IF(Main[[#This Row],[Class]]="A",WORKDAY(Main[[#This Row],[Tech Start Date]],5),""))))</f>
        <v/>
      </c>
      <c r="P851" s="73" t="str">
        <f>IF(Main[[#This Row],[Tech Start Date]]&lt;1/1/1990,"",IF(Main[[#This Row],[Class]]="C",WORKDAY(Main[[#This Row],[Tech Start Date]],28),IF(Main[[#This Row],[Class]]="B", WORKDAY(Main[[#This Row],[Tech Start Date]],19),IF(Main[[#This Row],[Class]]="A",WORKDAY(Main[[#This Row],[Tech Start Date]],9),""))))</f>
        <v/>
      </c>
      <c r="Q851" s="85">
        <v>40794</v>
      </c>
      <c r="R851" s="112"/>
      <c r="S851" s="95" t="s">
        <v>6</v>
      </c>
      <c r="T851" s="74" t="s">
        <v>4</v>
      </c>
      <c r="U851" s="95" t="s">
        <v>29</v>
      </c>
      <c r="V851" s="95" t="s">
        <v>1911</v>
      </c>
      <c r="W851" s="95" t="s">
        <v>1919</v>
      </c>
      <c r="X851" s="95" t="s">
        <v>2801</v>
      </c>
      <c r="Y851" s="72" t="s">
        <v>2914</v>
      </c>
      <c r="Z851" s="72" t="s">
        <v>129</v>
      </c>
      <c r="AA851" s="95" t="s">
        <v>2801</v>
      </c>
      <c r="AB851" s="132"/>
      <c r="AC851" s="132"/>
      <c r="AD851" s="132"/>
      <c r="AE851" s="63"/>
      <c r="AF851" s="63"/>
      <c r="AG851" s="63"/>
    </row>
    <row r="852" spans="1:33" ht="17.2" customHeight="1">
      <c r="A852" s="64" t="str">
        <f>IF(priority(Main[[#This Row],[Comments]])&lt;&gt;0, priority(Main[[#This Row],[Comments]]),"")</f>
        <v/>
      </c>
      <c r="B852" s="60" t="s">
        <v>1658</v>
      </c>
      <c r="C852" s="72" t="s">
        <v>4</v>
      </c>
      <c r="D852" s="59" t="s">
        <v>724</v>
      </c>
      <c r="E852" s="85"/>
      <c r="F852" s="85"/>
      <c r="G852" s="64" t="str">
        <f>IF(stdProdLT(Main[[#This Row],[Comments]])=0.1,"N/A",IF(stdProdLT(Main[[#This Row],[Comments]])=0,"",TRIM(stdProdLT(Main[[#This Row],[Comments]]))))</f>
        <v/>
      </c>
      <c r="H852" s="94" t="str">
        <f>IF(OR(Main[[#This Row],[Std. Prod. Lead Time]]="N/A",Main[[#This Row],[Std. Prod. Lead Time]]=""), "",IF(AND(Main[[#This Row],[In Stock Date]]&lt;&gt;"",Main[[#This Row],[Revised Due Date]]&lt;&gt;"",Main[[#This Row],[In Stock Date]]&lt;&gt;""),Main[[#This Row],[In Stock Date]]-Main[[#This Row],[Revised Due Date]],""))</f>
        <v/>
      </c>
      <c r="I852" s="101" t="s">
        <v>4</v>
      </c>
      <c r="J852" s="95" t="s">
        <v>4</v>
      </c>
      <c r="K852" s="95" t="s">
        <v>4</v>
      </c>
      <c r="L852" s="85"/>
      <c r="M852" s="73" t="str">
        <f>IF(Main[[#This Row],[Tech Start Date]]&lt;1/1/1990,"",IF(Main[[#This Row],[Class]]="C",WORKDAY(Main[[#This Row],[Tech Start Date]],9),IF(Main[[#This Row],[Class]]="B", WORKDAY(Main[[#This Row],[Tech Start Date]],6),IF(Main[[#This Row],[Class]]="A",WORKDAY(Main[[#This Row],[Tech Start Date]],2),""))))</f>
        <v/>
      </c>
      <c r="N852" s="73" t="str">
        <f>IF(Main[[#This Row],[Tech Start Date]]&lt;1/1/1990,"",IF(Main[[#This Row],[Class]]="C",WORKDAY(Main[[#This Row],[Tech Start Date]],19),IF(Main[[#This Row],[Class]]="B", WORKDAY(Main[[#This Row],[Tech Start Date]],12),IF(Main[[#This Row],[Class]]="A",WORKDAY(Main[[#This Row],[Tech Start Date]],4),""))))</f>
        <v/>
      </c>
      <c r="O852" s="73" t="str">
        <f>IF(Main[[#This Row],[Tech Start Date]]&lt;1/1/1990,"",IF(Main[[#This Row],[Class]]="C",WORKDAY(Main[[#This Row],[Tech Start Date]],23),IF(Main[[#This Row],[Class]]="B", WORKDAY(Main[[#This Row],[Tech Start Date]],15),IF(Main[[#This Row],[Class]]="A",WORKDAY(Main[[#This Row],[Tech Start Date]],5),""))))</f>
        <v/>
      </c>
      <c r="P852" s="73" t="str">
        <f>IF(Main[[#This Row],[Tech Start Date]]&lt;1/1/1990,"",IF(Main[[#This Row],[Class]]="C",WORKDAY(Main[[#This Row],[Tech Start Date]],28),IF(Main[[#This Row],[Class]]="B", WORKDAY(Main[[#This Row],[Tech Start Date]],19),IF(Main[[#This Row],[Class]]="A",WORKDAY(Main[[#This Row],[Tech Start Date]],9),""))))</f>
        <v/>
      </c>
      <c r="Q852" s="85">
        <v>40403</v>
      </c>
      <c r="R852" s="112"/>
      <c r="S852" s="95" t="s">
        <v>17</v>
      </c>
      <c r="T852" s="74" t="s">
        <v>4</v>
      </c>
      <c r="U852" s="95" t="s">
        <v>14</v>
      </c>
      <c r="V852" s="95" t="s">
        <v>1911</v>
      </c>
      <c r="W852" s="95" t="s">
        <v>1919</v>
      </c>
      <c r="X852" s="95" t="s">
        <v>129</v>
      </c>
      <c r="Y852" s="72" t="s">
        <v>4</v>
      </c>
      <c r="Z852" s="72" t="s">
        <v>4</v>
      </c>
      <c r="AA852" s="95" t="s">
        <v>2808</v>
      </c>
      <c r="AB852" s="132"/>
      <c r="AC852" s="132"/>
      <c r="AD852" s="132"/>
      <c r="AE852" s="63"/>
      <c r="AF852" s="63"/>
      <c r="AG852" s="63"/>
    </row>
    <row r="853" spans="1:33" ht="17.2" customHeight="1">
      <c r="A853" s="64" t="str">
        <f>IF(priority(Main[[#This Row],[Comments]])&lt;&gt;0, priority(Main[[#This Row],[Comments]]),"")</f>
        <v/>
      </c>
      <c r="B853" s="60" t="s">
        <v>1659</v>
      </c>
      <c r="C853" s="72" t="s">
        <v>58</v>
      </c>
      <c r="D853" s="59" t="s">
        <v>202</v>
      </c>
      <c r="E853" s="85"/>
      <c r="F853" s="85">
        <v>40697</v>
      </c>
      <c r="G853" s="64" t="str">
        <f>IF(stdProdLT(Main[[#This Row],[Comments]])=0.1,"N/A",IF(stdProdLT(Main[[#This Row],[Comments]])=0,"",TRIM(stdProdLT(Main[[#This Row],[Comments]]))))</f>
        <v/>
      </c>
      <c r="H853" s="94" t="str">
        <f>IF(OR(Main[[#This Row],[Std. Prod. Lead Time]]="N/A",Main[[#This Row],[Std. Prod. Lead Time]]=""), "",IF(AND(Main[[#This Row],[In Stock Date]]&lt;&gt;"",Main[[#This Row],[Revised Due Date]]&lt;&gt;"",Main[[#This Row],[In Stock Date]]&lt;&gt;""),Main[[#This Row],[In Stock Date]]-Main[[#This Row],[Revised Due Date]],""))</f>
        <v/>
      </c>
      <c r="I853" s="101" t="s">
        <v>4</v>
      </c>
      <c r="J853" s="95" t="s">
        <v>4</v>
      </c>
      <c r="K853" s="95" t="s">
        <v>4</v>
      </c>
      <c r="L853" s="85"/>
      <c r="M853" s="73" t="str">
        <f>IF(Main[[#This Row],[Tech Start Date]]&lt;1/1/1990,"",IF(Main[[#This Row],[Class]]="C",WORKDAY(Main[[#This Row],[Tech Start Date]],9),IF(Main[[#This Row],[Class]]="B", WORKDAY(Main[[#This Row],[Tech Start Date]],6),IF(Main[[#This Row],[Class]]="A",WORKDAY(Main[[#This Row],[Tech Start Date]],2),""))))</f>
        <v/>
      </c>
      <c r="N853" s="73" t="str">
        <f>IF(Main[[#This Row],[Tech Start Date]]&lt;1/1/1990,"",IF(Main[[#This Row],[Class]]="C",WORKDAY(Main[[#This Row],[Tech Start Date]],19),IF(Main[[#This Row],[Class]]="B", WORKDAY(Main[[#This Row],[Tech Start Date]],12),IF(Main[[#This Row],[Class]]="A",WORKDAY(Main[[#This Row],[Tech Start Date]],4),""))))</f>
        <v/>
      </c>
      <c r="O853" s="73" t="str">
        <f>IF(Main[[#This Row],[Tech Start Date]]&lt;1/1/1990,"",IF(Main[[#This Row],[Class]]="C",WORKDAY(Main[[#This Row],[Tech Start Date]],23),IF(Main[[#This Row],[Class]]="B", WORKDAY(Main[[#This Row],[Tech Start Date]],15),IF(Main[[#This Row],[Class]]="A",WORKDAY(Main[[#This Row],[Tech Start Date]],5),""))))</f>
        <v/>
      </c>
      <c r="P853" s="73" t="str">
        <f>IF(Main[[#This Row],[Tech Start Date]]&lt;1/1/1990,"",IF(Main[[#This Row],[Class]]="C",WORKDAY(Main[[#This Row],[Tech Start Date]],28),IF(Main[[#This Row],[Class]]="B", WORKDAY(Main[[#This Row],[Tech Start Date]],19),IF(Main[[#This Row],[Class]]="A",WORKDAY(Main[[#This Row],[Tech Start Date]],9),""))))</f>
        <v/>
      </c>
      <c r="Q853" s="85">
        <v>40539</v>
      </c>
      <c r="R853" s="112"/>
      <c r="S853" s="95" t="s">
        <v>11</v>
      </c>
      <c r="T853" s="74" t="s">
        <v>4</v>
      </c>
      <c r="U853" s="95" t="s">
        <v>14</v>
      </c>
      <c r="V853" s="95" t="s">
        <v>1911</v>
      </c>
      <c r="W853" s="95" t="s">
        <v>1917</v>
      </c>
      <c r="X853" s="95" t="s">
        <v>2809</v>
      </c>
      <c r="Y853" s="72" t="s">
        <v>2929</v>
      </c>
      <c r="Z853" s="72" t="s">
        <v>4</v>
      </c>
      <c r="AA853" s="95" t="s">
        <v>2809</v>
      </c>
      <c r="AB853" s="132"/>
      <c r="AC853" s="132"/>
      <c r="AD853" s="132"/>
      <c r="AE853" s="63"/>
      <c r="AF853" s="63"/>
      <c r="AG853" s="63"/>
    </row>
    <row r="854" spans="1:33" ht="17.2" customHeight="1">
      <c r="A854" s="64" t="str">
        <f>IF(priority(Main[[#This Row],[Comments]])&lt;&gt;0, priority(Main[[#This Row],[Comments]]),"")</f>
        <v/>
      </c>
      <c r="B854" s="60" t="s">
        <v>1662</v>
      </c>
      <c r="C854" s="72" t="s">
        <v>726</v>
      </c>
      <c r="D854" s="59" t="s">
        <v>727</v>
      </c>
      <c r="E854" s="85"/>
      <c r="F854" s="85">
        <v>40633</v>
      </c>
      <c r="G854" s="64" t="str">
        <f>IF(stdProdLT(Main[[#This Row],[Comments]])=0.1,"N/A",IF(stdProdLT(Main[[#This Row],[Comments]])=0,"",TRIM(stdProdLT(Main[[#This Row],[Comments]]))))</f>
        <v/>
      </c>
      <c r="H854" s="94" t="str">
        <f>IF(OR(Main[[#This Row],[Std. Prod. Lead Time]]="N/A",Main[[#This Row],[Std. Prod. Lead Time]]=""), "",IF(AND(Main[[#This Row],[In Stock Date]]&lt;&gt;"",Main[[#This Row],[Revised Due Date]]&lt;&gt;"",Main[[#This Row],[In Stock Date]]&lt;&gt;""),Main[[#This Row],[In Stock Date]]-Main[[#This Row],[Revised Due Date]],""))</f>
        <v/>
      </c>
      <c r="I854" s="101" t="s">
        <v>4</v>
      </c>
      <c r="J854" s="95" t="s">
        <v>4</v>
      </c>
      <c r="K854" s="95" t="s">
        <v>4</v>
      </c>
      <c r="L854" s="85"/>
      <c r="M854" s="73" t="str">
        <f>IF(Main[[#This Row],[Tech Start Date]]&lt;1/1/1990,"",IF(Main[[#This Row],[Class]]="C",WORKDAY(Main[[#This Row],[Tech Start Date]],9),IF(Main[[#This Row],[Class]]="B", WORKDAY(Main[[#This Row],[Tech Start Date]],6),IF(Main[[#This Row],[Class]]="A",WORKDAY(Main[[#This Row],[Tech Start Date]],2),""))))</f>
        <v/>
      </c>
      <c r="N854" s="73" t="str">
        <f>IF(Main[[#This Row],[Tech Start Date]]&lt;1/1/1990,"",IF(Main[[#This Row],[Class]]="C",WORKDAY(Main[[#This Row],[Tech Start Date]],19),IF(Main[[#This Row],[Class]]="B", WORKDAY(Main[[#This Row],[Tech Start Date]],12),IF(Main[[#This Row],[Class]]="A",WORKDAY(Main[[#This Row],[Tech Start Date]],4),""))))</f>
        <v/>
      </c>
      <c r="O854" s="73" t="str">
        <f>IF(Main[[#This Row],[Tech Start Date]]&lt;1/1/1990,"",IF(Main[[#This Row],[Class]]="C",WORKDAY(Main[[#This Row],[Tech Start Date]],23),IF(Main[[#This Row],[Class]]="B", WORKDAY(Main[[#This Row],[Tech Start Date]],15),IF(Main[[#This Row],[Class]]="A",WORKDAY(Main[[#This Row],[Tech Start Date]],5),""))))</f>
        <v/>
      </c>
      <c r="P854" s="73" t="str">
        <f>IF(Main[[#This Row],[Tech Start Date]]&lt;1/1/1990,"",IF(Main[[#This Row],[Class]]="C",WORKDAY(Main[[#This Row],[Tech Start Date]],28),IF(Main[[#This Row],[Class]]="B", WORKDAY(Main[[#This Row],[Tech Start Date]],19),IF(Main[[#This Row],[Class]]="A",WORKDAY(Main[[#This Row],[Tech Start Date]],9),""))))</f>
        <v/>
      </c>
      <c r="Q854" s="85">
        <v>40623</v>
      </c>
      <c r="R854" s="112"/>
      <c r="S854" s="95" t="s">
        <v>11</v>
      </c>
      <c r="T854" s="74" t="s">
        <v>4</v>
      </c>
      <c r="U854" s="95" t="s">
        <v>14</v>
      </c>
      <c r="V854" s="95" t="s">
        <v>1912</v>
      </c>
      <c r="W854" s="95" t="s">
        <v>1919</v>
      </c>
      <c r="X854" s="95" t="s">
        <v>2843</v>
      </c>
      <c r="Y854" s="72" t="s">
        <v>4</v>
      </c>
      <c r="Z854" s="72" t="s">
        <v>4</v>
      </c>
      <c r="AA854" s="95" t="s">
        <v>2843</v>
      </c>
      <c r="AB854" s="132"/>
      <c r="AC854" s="132"/>
      <c r="AD854" s="132"/>
      <c r="AE854" s="63"/>
      <c r="AF854" s="63"/>
      <c r="AG854" s="63"/>
    </row>
    <row r="855" spans="1:33" ht="17.2" customHeight="1">
      <c r="A855" s="64" t="str">
        <f>IF(priority(Main[[#This Row],[Comments]])&lt;&gt;0, priority(Main[[#This Row],[Comments]]),"")</f>
        <v/>
      </c>
      <c r="B855" s="60" t="s">
        <v>1664</v>
      </c>
      <c r="C855" s="72" t="s">
        <v>4</v>
      </c>
      <c r="D855" s="59" t="s">
        <v>97</v>
      </c>
      <c r="E855" s="85"/>
      <c r="F855" s="85"/>
      <c r="G855" s="64" t="str">
        <f>IF(stdProdLT(Main[[#This Row],[Comments]])=0.1,"N/A",IF(stdProdLT(Main[[#This Row],[Comments]])=0,"",TRIM(stdProdLT(Main[[#This Row],[Comments]]))))</f>
        <v/>
      </c>
      <c r="H855" s="94" t="str">
        <f>IF(OR(Main[[#This Row],[Std. Prod. Lead Time]]="N/A",Main[[#This Row],[Std. Prod. Lead Time]]=""), "",IF(AND(Main[[#This Row],[In Stock Date]]&lt;&gt;"",Main[[#This Row],[Revised Due Date]]&lt;&gt;"",Main[[#This Row],[In Stock Date]]&lt;&gt;""),Main[[#This Row],[In Stock Date]]-Main[[#This Row],[Revised Due Date]],""))</f>
        <v/>
      </c>
      <c r="I855" s="101" t="s">
        <v>4</v>
      </c>
      <c r="J855" s="95" t="s">
        <v>4</v>
      </c>
      <c r="K855" s="95" t="s">
        <v>4</v>
      </c>
      <c r="L855" s="85"/>
      <c r="M855" s="73" t="str">
        <f>IF(Main[[#This Row],[Tech Start Date]]&lt;1/1/1990,"",IF(Main[[#This Row],[Class]]="C",WORKDAY(Main[[#This Row],[Tech Start Date]],9),IF(Main[[#This Row],[Class]]="B", WORKDAY(Main[[#This Row],[Tech Start Date]],6),IF(Main[[#This Row],[Class]]="A",WORKDAY(Main[[#This Row],[Tech Start Date]],2),""))))</f>
        <v/>
      </c>
      <c r="N855" s="73" t="str">
        <f>IF(Main[[#This Row],[Tech Start Date]]&lt;1/1/1990,"",IF(Main[[#This Row],[Class]]="C",WORKDAY(Main[[#This Row],[Tech Start Date]],19),IF(Main[[#This Row],[Class]]="B", WORKDAY(Main[[#This Row],[Tech Start Date]],12),IF(Main[[#This Row],[Class]]="A",WORKDAY(Main[[#This Row],[Tech Start Date]],4),""))))</f>
        <v/>
      </c>
      <c r="O855" s="73" t="str">
        <f>IF(Main[[#This Row],[Tech Start Date]]&lt;1/1/1990,"",IF(Main[[#This Row],[Class]]="C",WORKDAY(Main[[#This Row],[Tech Start Date]],23),IF(Main[[#This Row],[Class]]="B", WORKDAY(Main[[#This Row],[Tech Start Date]],15),IF(Main[[#This Row],[Class]]="A",WORKDAY(Main[[#This Row],[Tech Start Date]],5),""))))</f>
        <v/>
      </c>
      <c r="P855" s="73" t="str">
        <f>IF(Main[[#This Row],[Tech Start Date]]&lt;1/1/1990,"",IF(Main[[#This Row],[Class]]="C",WORKDAY(Main[[#This Row],[Tech Start Date]],28),IF(Main[[#This Row],[Class]]="B", WORKDAY(Main[[#This Row],[Tech Start Date]],19),IF(Main[[#This Row],[Class]]="A",WORKDAY(Main[[#This Row],[Tech Start Date]],9),""))))</f>
        <v/>
      </c>
      <c r="Q855" s="85">
        <v>40858</v>
      </c>
      <c r="R855" s="112"/>
      <c r="S855" s="95" t="s">
        <v>17</v>
      </c>
      <c r="T855" s="74" t="s">
        <v>4</v>
      </c>
      <c r="U855" s="95" t="s">
        <v>14</v>
      </c>
      <c r="V855" s="95" t="s">
        <v>1911</v>
      </c>
      <c r="W855" s="95" t="s">
        <v>1916</v>
      </c>
      <c r="X855" s="95" t="s">
        <v>50</v>
      </c>
      <c r="Y855" s="72" t="s">
        <v>2937</v>
      </c>
      <c r="Z855" s="72" t="s">
        <v>4</v>
      </c>
      <c r="AA855" s="95" t="s">
        <v>2808</v>
      </c>
      <c r="AB855" s="132"/>
      <c r="AC855" s="132"/>
      <c r="AD855" s="132"/>
      <c r="AE855" s="63"/>
      <c r="AF855" s="63"/>
      <c r="AG855" s="63"/>
    </row>
    <row r="856" spans="1:33" ht="17.2" customHeight="1">
      <c r="A856" s="64" t="str">
        <f>IF(priority(Main[[#This Row],[Comments]])&lt;&gt;0, priority(Main[[#This Row],[Comments]]),"")</f>
        <v/>
      </c>
      <c r="B856" s="60" t="s">
        <v>1665</v>
      </c>
      <c r="C856" s="72" t="s">
        <v>4</v>
      </c>
      <c r="D856" s="59" t="s">
        <v>97</v>
      </c>
      <c r="E856" s="85"/>
      <c r="F856" s="85"/>
      <c r="G856" s="64" t="str">
        <f>IF(stdProdLT(Main[[#This Row],[Comments]])=0.1,"N/A",IF(stdProdLT(Main[[#This Row],[Comments]])=0,"",TRIM(stdProdLT(Main[[#This Row],[Comments]]))))</f>
        <v/>
      </c>
      <c r="H856" s="94" t="str">
        <f>IF(OR(Main[[#This Row],[Std. Prod. Lead Time]]="N/A",Main[[#This Row],[Std. Prod. Lead Time]]=""), "",IF(AND(Main[[#This Row],[In Stock Date]]&lt;&gt;"",Main[[#This Row],[Revised Due Date]]&lt;&gt;"",Main[[#This Row],[In Stock Date]]&lt;&gt;""),Main[[#This Row],[In Stock Date]]-Main[[#This Row],[Revised Due Date]],""))</f>
        <v/>
      </c>
      <c r="I856" s="101" t="s">
        <v>4</v>
      </c>
      <c r="J856" s="95" t="s">
        <v>4</v>
      </c>
      <c r="K856" s="96" t="s">
        <v>4</v>
      </c>
      <c r="L856" s="85"/>
      <c r="M856" s="73" t="str">
        <f>IF(Main[[#This Row],[Tech Start Date]]&lt;1/1/1990,"",IF(Main[[#This Row],[Class]]="C",WORKDAY(Main[[#This Row],[Tech Start Date]],9),IF(Main[[#This Row],[Class]]="B", WORKDAY(Main[[#This Row],[Tech Start Date]],6),IF(Main[[#This Row],[Class]]="A",WORKDAY(Main[[#This Row],[Tech Start Date]],2),""))))</f>
        <v/>
      </c>
      <c r="N856" s="73" t="str">
        <f>IF(Main[[#This Row],[Tech Start Date]]&lt;1/1/1990,"",IF(Main[[#This Row],[Class]]="C",WORKDAY(Main[[#This Row],[Tech Start Date]],19),IF(Main[[#This Row],[Class]]="B", WORKDAY(Main[[#This Row],[Tech Start Date]],12),IF(Main[[#This Row],[Class]]="A",WORKDAY(Main[[#This Row],[Tech Start Date]],4),""))))</f>
        <v/>
      </c>
      <c r="O856" s="73" t="str">
        <f>IF(Main[[#This Row],[Tech Start Date]]&lt;1/1/1990,"",IF(Main[[#This Row],[Class]]="C",WORKDAY(Main[[#This Row],[Tech Start Date]],23),IF(Main[[#This Row],[Class]]="B", WORKDAY(Main[[#This Row],[Tech Start Date]],15),IF(Main[[#This Row],[Class]]="A",WORKDAY(Main[[#This Row],[Tech Start Date]],5),""))))</f>
        <v/>
      </c>
      <c r="P856" s="73" t="str">
        <f>IF(Main[[#This Row],[Tech Start Date]]&lt;1/1/1990,"",IF(Main[[#This Row],[Class]]="C",WORKDAY(Main[[#This Row],[Tech Start Date]],28),IF(Main[[#This Row],[Class]]="B", WORKDAY(Main[[#This Row],[Tech Start Date]],19),IF(Main[[#This Row],[Class]]="A",WORKDAY(Main[[#This Row],[Tech Start Date]],9),""))))</f>
        <v/>
      </c>
      <c r="Q856" s="85">
        <v>40858</v>
      </c>
      <c r="R856" s="112"/>
      <c r="S856" s="95" t="s">
        <v>17</v>
      </c>
      <c r="T856" s="74" t="s">
        <v>4</v>
      </c>
      <c r="U856" s="95" t="s">
        <v>14</v>
      </c>
      <c r="V856" s="95" t="s">
        <v>1911</v>
      </c>
      <c r="W856" s="95" t="s">
        <v>1916</v>
      </c>
      <c r="X856" s="95" t="s">
        <v>50</v>
      </c>
      <c r="Y856" s="72" t="s">
        <v>2937</v>
      </c>
      <c r="Z856" s="72" t="s">
        <v>4</v>
      </c>
      <c r="AA856" s="95" t="s">
        <v>2808</v>
      </c>
      <c r="AB856" s="132"/>
      <c r="AC856" s="132"/>
      <c r="AD856" s="132"/>
      <c r="AE856" s="63"/>
      <c r="AF856" s="63"/>
      <c r="AG856" s="63"/>
    </row>
    <row r="857" spans="1:33" ht="17.2" customHeight="1">
      <c r="A857" s="64" t="str">
        <f>IF(priority(Main[[#This Row],[Comments]])&lt;&gt;0, priority(Main[[#This Row],[Comments]]),"")</f>
        <v/>
      </c>
      <c r="B857" s="60" t="s">
        <v>1666</v>
      </c>
      <c r="C857" s="72" t="s">
        <v>4</v>
      </c>
      <c r="D857" s="59" t="s">
        <v>97</v>
      </c>
      <c r="E857" s="85"/>
      <c r="F857" s="85"/>
      <c r="G857" s="64" t="str">
        <f>IF(stdProdLT(Main[[#This Row],[Comments]])=0.1,"N/A",IF(stdProdLT(Main[[#This Row],[Comments]])=0,"",TRIM(stdProdLT(Main[[#This Row],[Comments]]))))</f>
        <v/>
      </c>
      <c r="H857" s="94" t="str">
        <f>IF(OR(Main[[#This Row],[Std. Prod. Lead Time]]="N/A",Main[[#This Row],[Std. Prod. Lead Time]]=""), "",IF(AND(Main[[#This Row],[In Stock Date]]&lt;&gt;"",Main[[#This Row],[Revised Due Date]]&lt;&gt;"",Main[[#This Row],[In Stock Date]]&lt;&gt;""),Main[[#This Row],[In Stock Date]]-Main[[#This Row],[Revised Due Date]],""))</f>
        <v/>
      </c>
      <c r="I857" s="101" t="s">
        <v>4</v>
      </c>
      <c r="J857" s="95" t="s">
        <v>4</v>
      </c>
      <c r="K857" s="95" t="s">
        <v>4</v>
      </c>
      <c r="L857" s="85"/>
      <c r="M857" s="73" t="str">
        <f>IF(Main[[#This Row],[Tech Start Date]]&lt;1/1/1990,"",IF(Main[[#This Row],[Class]]="C",WORKDAY(Main[[#This Row],[Tech Start Date]],9),IF(Main[[#This Row],[Class]]="B", WORKDAY(Main[[#This Row],[Tech Start Date]],6),IF(Main[[#This Row],[Class]]="A",WORKDAY(Main[[#This Row],[Tech Start Date]],2),""))))</f>
        <v/>
      </c>
      <c r="N857" s="73" t="str">
        <f>IF(Main[[#This Row],[Tech Start Date]]&lt;1/1/1990,"",IF(Main[[#This Row],[Class]]="C",WORKDAY(Main[[#This Row],[Tech Start Date]],19),IF(Main[[#This Row],[Class]]="B", WORKDAY(Main[[#This Row],[Tech Start Date]],12),IF(Main[[#This Row],[Class]]="A",WORKDAY(Main[[#This Row],[Tech Start Date]],4),""))))</f>
        <v/>
      </c>
      <c r="O857" s="73" t="str">
        <f>IF(Main[[#This Row],[Tech Start Date]]&lt;1/1/1990,"",IF(Main[[#This Row],[Class]]="C",WORKDAY(Main[[#This Row],[Tech Start Date]],23),IF(Main[[#This Row],[Class]]="B", WORKDAY(Main[[#This Row],[Tech Start Date]],15),IF(Main[[#This Row],[Class]]="A",WORKDAY(Main[[#This Row],[Tech Start Date]],5),""))))</f>
        <v/>
      </c>
      <c r="P857" s="73" t="str">
        <f>IF(Main[[#This Row],[Tech Start Date]]&lt;1/1/1990,"",IF(Main[[#This Row],[Class]]="C",WORKDAY(Main[[#This Row],[Tech Start Date]],28),IF(Main[[#This Row],[Class]]="B", WORKDAY(Main[[#This Row],[Tech Start Date]],19),IF(Main[[#This Row],[Class]]="A",WORKDAY(Main[[#This Row],[Tech Start Date]],9),""))))</f>
        <v/>
      </c>
      <c r="Q857" s="85">
        <v>40858</v>
      </c>
      <c r="R857" s="112"/>
      <c r="S857" s="95" t="s">
        <v>17</v>
      </c>
      <c r="T857" s="74" t="s">
        <v>4</v>
      </c>
      <c r="U857" s="95" t="s">
        <v>14</v>
      </c>
      <c r="V857" s="95" t="s">
        <v>1911</v>
      </c>
      <c r="W857" s="95" t="s">
        <v>1916</v>
      </c>
      <c r="X857" s="95" t="s">
        <v>50</v>
      </c>
      <c r="Y857" s="72" t="s">
        <v>2937</v>
      </c>
      <c r="Z857" s="72" t="s">
        <v>4</v>
      </c>
      <c r="AA857" s="95" t="s">
        <v>2808</v>
      </c>
      <c r="AB857" s="132"/>
      <c r="AC857" s="132"/>
      <c r="AD857" s="132"/>
      <c r="AE857" s="63"/>
      <c r="AF857" s="63"/>
      <c r="AG857" s="63"/>
    </row>
    <row r="858" spans="1:33" ht="17.2" customHeight="1">
      <c r="A858" s="64" t="str">
        <f>IF(priority(Main[[#This Row],[Comments]])&lt;&gt;0, priority(Main[[#This Row],[Comments]]),"")</f>
        <v/>
      </c>
      <c r="B858" s="60" t="s">
        <v>1251</v>
      </c>
      <c r="C858" s="72" t="s">
        <v>4</v>
      </c>
      <c r="D858" s="59" t="s">
        <v>316</v>
      </c>
      <c r="E858" s="85"/>
      <c r="F858" s="85"/>
      <c r="G858" s="64" t="str">
        <f>IF(stdProdLT(Main[[#This Row],[Comments]])=0.1,"N/A",IF(stdProdLT(Main[[#This Row],[Comments]])=0,"",TRIM(stdProdLT(Main[[#This Row],[Comments]]))))</f>
        <v/>
      </c>
      <c r="H858" s="94" t="str">
        <f>IF(OR(Main[[#This Row],[Std. Prod. Lead Time]]="N/A",Main[[#This Row],[Std. Prod. Lead Time]]=""), "",IF(AND(Main[[#This Row],[In Stock Date]]&lt;&gt;"",Main[[#This Row],[Revised Due Date]]&lt;&gt;"",Main[[#This Row],[In Stock Date]]&lt;&gt;""),Main[[#This Row],[In Stock Date]]-Main[[#This Row],[Revised Due Date]],""))</f>
        <v/>
      </c>
      <c r="I858" s="101" t="s">
        <v>4</v>
      </c>
      <c r="J858" s="95" t="s">
        <v>4</v>
      </c>
      <c r="K858" s="95" t="s">
        <v>4</v>
      </c>
      <c r="L858" s="85"/>
      <c r="M858" s="73" t="str">
        <f>IF(Main[[#This Row],[Tech Start Date]]&lt;1/1/1990,"",IF(Main[[#This Row],[Class]]="C",WORKDAY(Main[[#This Row],[Tech Start Date]],9),IF(Main[[#This Row],[Class]]="B", WORKDAY(Main[[#This Row],[Tech Start Date]],6),IF(Main[[#This Row],[Class]]="A",WORKDAY(Main[[#This Row],[Tech Start Date]],2),""))))</f>
        <v/>
      </c>
      <c r="N858" s="73" t="str">
        <f>IF(Main[[#This Row],[Tech Start Date]]&lt;1/1/1990,"",IF(Main[[#This Row],[Class]]="C",WORKDAY(Main[[#This Row],[Tech Start Date]],19),IF(Main[[#This Row],[Class]]="B", WORKDAY(Main[[#This Row],[Tech Start Date]],12),IF(Main[[#This Row],[Class]]="A",WORKDAY(Main[[#This Row],[Tech Start Date]],4),""))))</f>
        <v/>
      </c>
      <c r="O858" s="73" t="str">
        <f>IF(Main[[#This Row],[Tech Start Date]]&lt;1/1/1990,"",IF(Main[[#This Row],[Class]]="C",WORKDAY(Main[[#This Row],[Tech Start Date]],23),IF(Main[[#This Row],[Class]]="B", WORKDAY(Main[[#This Row],[Tech Start Date]],15),IF(Main[[#This Row],[Class]]="A",WORKDAY(Main[[#This Row],[Tech Start Date]],5),""))))</f>
        <v/>
      </c>
      <c r="P858" s="73" t="str">
        <f>IF(Main[[#This Row],[Tech Start Date]]&lt;1/1/1990,"",IF(Main[[#This Row],[Class]]="C",WORKDAY(Main[[#This Row],[Tech Start Date]],28),IF(Main[[#This Row],[Class]]="B", WORKDAY(Main[[#This Row],[Tech Start Date]],19),IF(Main[[#This Row],[Class]]="A",WORKDAY(Main[[#This Row],[Tech Start Date]],9),""))))</f>
        <v/>
      </c>
      <c r="Q858" s="85">
        <v>40229</v>
      </c>
      <c r="R858" s="112"/>
      <c r="S858" s="95" t="s">
        <v>6</v>
      </c>
      <c r="T858" s="74" t="s">
        <v>4</v>
      </c>
      <c r="U858" s="95" t="s">
        <v>14</v>
      </c>
      <c r="V858" s="95" t="s">
        <v>1911</v>
      </c>
      <c r="W858" s="95" t="s">
        <v>1915</v>
      </c>
      <c r="X858" s="95" t="s">
        <v>2801</v>
      </c>
      <c r="Y858" s="72" t="s">
        <v>2914</v>
      </c>
      <c r="Z858" s="72" t="s">
        <v>4</v>
      </c>
      <c r="AA858" s="95" t="s">
        <v>2801</v>
      </c>
      <c r="AB858" s="132"/>
      <c r="AC858" s="132"/>
      <c r="AD858" s="132"/>
      <c r="AE858" s="63"/>
      <c r="AF858" s="63"/>
      <c r="AG858" s="63"/>
    </row>
    <row r="859" spans="1:33" ht="17.2" customHeight="1">
      <c r="A859" s="64" t="str">
        <f>IF(priority(Main[[#This Row],[Comments]])&lt;&gt;0, priority(Main[[#This Row],[Comments]]),"")</f>
        <v/>
      </c>
      <c r="B859" s="60" t="s">
        <v>2716</v>
      </c>
      <c r="C859" s="72" t="s">
        <v>4</v>
      </c>
      <c r="D859" s="59" t="s">
        <v>3185</v>
      </c>
      <c r="E859" s="85">
        <v>40912.464259259257</v>
      </c>
      <c r="F859" s="85"/>
      <c r="G859" s="64" t="str">
        <f>IF(stdProdLT(Main[[#This Row],[Comments]])=0.1,"N/A",IF(stdProdLT(Main[[#This Row],[Comments]])=0,"",TRIM(stdProdLT(Main[[#This Row],[Comments]]))))</f>
        <v/>
      </c>
      <c r="H859" s="94" t="str">
        <f>IF(OR(Main[[#This Row],[Std. Prod. Lead Time]]="N/A",Main[[#This Row],[Std. Prod. Lead Time]]=""), "",IF(AND(Main[[#This Row],[In Stock Date]]&lt;&gt;"",Main[[#This Row],[Revised Due Date]]&lt;&gt;"",Main[[#This Row],[In Stock Date]]&lt;&gt;""),Main[[#This Row],[In Stock Date]]-Main[[#This Row],[Revised Due Date]],""))</f>
        <v/>
      </c>
      <c r="I859" s="101" t="s">
        <v>30</v>
      </c>
      <c r="J859" s="95" t="s">
        <v>28</v>
      </c>
      <c r="K859" s="95" t="s">
        <v>1920</v>
      </c>
      <c r="L859" s="85"/>
      <c r="M859" s="73" t="str">
        <f>IF(Main[[#This Row],[Tech Start Date]]&lt;1/1/1990,"",IF(Main[[#This Row],[Class]]="C",WORKDAY(Main[[#This Row],[Tech Start Date]],9),IF(Main[[#This Row],[Class]]="B", WORKDAY(Main[[#This Row],[Tech Start Date]],6),IF(Main[[#This Row],[Class]]="A",WORKDAY(Main[[#This Row],[Tech Start Date]],2),""))))</f>
        <v/>
      </c>
      <c r="N859" s="73" t="str">
        <f>IF(Main[[#This Row],[Tech Start Date]]&lt;1/1/1990,"",IF(Main[[#This Row],[Class]]="C",WORKDAY(Main[[#This Row],[Tech Start Date]],19),IF(Main[[#This Row],[Class]]="B", WORKDAY(Main[[#This Row],[Tech Start Date]],12),IF(Main[[#This Row],[Class]]="A",WORKDAY(Main[[#This Row],[Tech Start Date]],4),""))))</f>
        <v/>
      </c>
      <c r="O859" s="73" t="str">
        <f>IF(Main[[#This Row],[Tech Start Date]]&lt;1/1/1990,"",IF(Main[[#This Row],[Class]]="C",WORKDAY(Main[[#This Row],[Tech Start Date]],23),IF(Main[[#This Row],[Class]]="B", WORKDAY(Main[[#This Row],[Tech Start Date]],15),IF(Main[[#This Row],[Class]]="A",WORKDAY(Main[[#This Row],[Tech Start Date]],5),""))))</f>
        <v/>
      </c>
      <c r="P859" s="73" t="str">
        <f>IF(Main[[#This Row],[Tech Start Date]]&lt;1/1/1990,"",IF(Main[[#This Row],[Class]]="C",WORKDAY(Main[[#This Row],[Tech Start Date]],28),IF(Main[[#This Row],[Class]]="B", WORKDAY(Main[[#This Row],[Tech Start Date]],19),IF(Main[[#This Row],[Class]]="A",WORKDAY(Main[[#This Row],[Tech Start Date]],9),""))))</f>
        <v/>
      </c>
      <c r="Q859" s="85">
        <v>40942</v>
      </c>
      <c r="R859" s="112"/>
      <c r="S859" s="95" t="s">
        <v>6</v>
      </c>
      <c r="T859" s="74" t="s">
        <v>4</v>
      </c>
      <c r="U859" s="95" t="s">
        <v>29</v>
      </c>
      <c r="V859" s="95" t="s">
        <v>1914</v>
      </c>
      <c r="W859" s="95" t="s">
        <v>1915</v>
      </c>
      <c r="X859" s="95" t="s">
        <v>2799</v>
      </c>
      <c r="Y859" s="72" t="s">
        <v>2910</v>
      </c>
      <c r="Z859" s="72" t="s">
        <v>30</v>
      </c>
      <c r="AA859" s="95" t="s">
        <v>2799</v>
      </c>
      <c r="AB859" s="132"/>
      <c r="AC859" s="132"/>
      <c r="AD859" s="132"/>
      <c r="AE859" s="63"/>
      <c r="AF859" s="63"/>
      <c r="AG859" s="63"/>
    </row>
    <row r="860" spans="1:33" ht="17.2" customHeight="1">
      <c r="A860" s="64" t="str">
        <f>IF(priority(Main[[#This Row],[Comments]])&lt;&gt;0, priority(Main[[#This Row],[Comments]]),"")</f>
        <v/>
      </c>
      <c r="B860" s="60" t="s">
        <v>1870</v>
      </c>
      <c r="C860" s="72" t="s">
        <v>4</v>
      </c>
      <c r="D860" s="59" t="s">
        <v>2717</v>
      </c>
      <c r="E860" s="85">
        <v>40624.37060185185</v>
      </c>
      <c r="F860" s="85"/>
      <c r="G860" s="64" t="str">
        <f>IF(stdProdLT(Main[[#This Row],[Comments]])=0.1,"N/A",IF(stdProdLT(Main[[#This Row],[Comments]])=0,"",TRIM(stdProdLT(Main[[#This Row],[Comments]]))))</f>
        <v/>
      </c>
      <c r="H860" s="94" t="str">
        <f>IF(OR(Main[[#This Row],[Std. Prod. Lead Time]]="N/A",Main[[#This Row],[Std. Prod. Lead Time]]=""), "",IF(AND(Main[[#This Row],[In Stock Date]]&lt;&gt;"",Main[[#This Row],[Revised Due Date]]&lt;&gt;"",Main[[#This Row],[In Stock Date]]&lt;&gt;""),Main[[#This Row],[In Stock Date]]-Main[[#This Row],[Revised Due Date]],""))</f>
        <v/>
      </c>
      <c r="I860" s="101" t="s">
        <v>877</v>
      </c>
      <c r="J860" s="95" t="s">
        <v>28</v>
      </c>
      <c r="K860" s="96" t="s">
        <v>1924</v>
      </c>
      <c r="L860" s="85"/>
      <c r="M860" s="73" t="str">
        <f>IF(Main[[#This Row],[Tech Start Date]]&lt;1/1/1990,"",IF(Main[[#This Row],[Class]]="C",WORKDAY(Main[[#This Row],[Tech Start Date]],9),IF(Main[[#This Row],[Class]]="B", WORKDAY(Main[[#This Row],[Tech Start Date]],6),IF(Main[[#This Row],[Class]]="A",WORKDAY(Main[[#This Row],[Tech Start Date]],2),""))))</f>
        <v/>
      </c>
      <c r="N860" s="73" t="str">
        <f>IF(Main[[#This Row],[Tech Start Date]]&lt;1/1/1990,"",IF(Main[[#This Row],[Class]]="C",WORKDAY(Main[[#This Row],[Tech Start Date]],19),IF(Main[[#This Row],[Class]]="B", WORKDAY(Main[[#This Row],[Tech Start Date]],12),IF(Main[[#This Row],[Class]]="A",WORKDAY(Main[[#This Row],[Tech Start Date]],4),""))))</f>
        <v/>
      </c>
      <c r="O860" s="73" t="str">
        <f>IF(Main[[#This Row],[Tech Start Date]]&lt;1/1/1990,"",IF(Main[[#This Row],[Class]]="C",WORKDAY(Main[[#This Row],[Tech Start Date]],23),IF(Main[[#This Row],[Class]]="B", WORKDAY(Main[[#This Row],[Tech Start Date]],15),IF(Main[[#This Row],[Class]]="A",WORKDAY(Main[[#This Row],[Tech Start Date]],5),""))))</f>
        <v/>
      </c>
      <c r="P860" s="73" t="str">
        <f>IF(Main[[#This Row],[Tech Start Date]]&lt;1/1/1990,"",IF(Main[[#This Row],[Class]]="C",WORKDAY(Main[[#This Row],[Tech Start Date]],28),IF(Main[[#This Row],[Class]]="B", WORKDAY(Main[[#This Row],[Tech Start Date]],19),IF(Main[[#This Row],[Class]]="A",WORKDAY(Main[[#This Row],[Tech Start Date]],9),""))))</f>
        <v/>
      </c>
      <c r="Q860" s="85">
        <v>40648</v>
      </c>
      <c r="R860" s="112">
        <v>40967</v>
      </c>
      <c r="S860" s="95" t="s">
        <v>6</v>
      </c>
      <c r="T860" s="74" t="s">
        <v>4</v>
      </c>
      <c r="U860" s="95" t="s">
        <v>29</v>
      </c>
      <c r="V860" s="95" t="s">
        <v>1911</v>
      </c>
      <c r="W860" s="95" t="s">
        <v>1915</v>
      </c>
      <c r="X860" s="95" t="s">
        <v>877</v>
      </c>
      <c r="Y860" s="72" t="s">
        <v>4</v>
      </c>
      <c r="Z860" s="72" t="s">
        <v>129</v>
      </c>
      <c r="AA860" s="95" t="s">
        <v>3396</v>
      </c>
      <c r="AB860" s="132"/>
      <c r="AC860" s="132"/>
      <c r="AD860" s="132"/>
      <c r="AE860" s="63"/>
      <c r="AF860" s="63"/>
      <c r="AG860" s="63"/>
    </row>
    <row r="861" spans="1:33" ht="17.2" customHeight="1">
      <c r="A861" s="64" t="str">
        <f>IF(priority(Main[[#This Row],[Comments]])&lt;&gt;0, priority(Main[[#This Row],[Comments]]),"")</f>
        <v/>
      </c>
      <c r="B861" s="60" t="s">
        <v>1667</v>
      </c>
      <c r="C861" s="72" t="s">
        <v>4</v>
      </c>
      <c r="D861" s="59" t="s">
        <v>729</v>
      </c>
      <c r="E861" s="85"/>
      <c r="F861" s="85"/>
      <c r="G861" s="64" t="str">
        <f>IF(stdProdLT(Main[[#This Row],[Comments]])=0.1,"N/A",IF(stdProdLT(Main[[#This Row],[Comments]])=0,"",TRIM(stdProdLT(Main[[#This Row],[Comments]]))))</f>
        <v/>
      </c>
      <c r="H861" s="94" t="str">
        <f>IF(OR(Main[[#This Row],[Std. Prod. Lead Time]]="N/A",Main[[#This Row],[Std. Prod. Lead Time]]=""), "",IF(AND(Main[[#This Row],[In Stock Date]]&lt;&gt;"",Main[[#This Row],[Revised Due Date]]&lt;&gt;"",Main[[#This Row],[In Stock Date]]&lt;&gt;""),Main[[#This Row],[In Stock Date]]-Main[[#This Row],[Revised Due Date]],""))</f>
        <v/>
      </c>
      <c r="I861" s="101" t="s">
        <v>4</v>
      </c>
      <c r="J861" s="95" t="s">
        <v>4</v>
      </c>
      <c r="K861" s="95" t="s">
        <v>4</v>
      </c>
      <c r="L861" s="85"/>
      <c r="M861" s="73" t="str">
        <f>IF(Main[[#This Row],[Tech Start Date]]&lt;1/1/1990,"",IF(Main[[#This Row],[Class]]="C",WORKDAY(Main[[#This Row],[Tech Start Date]],9),IF(Main[[#This Row],[Class]]="B", WORKDAY(Main[[#This Row],[Tech Start Date]],6),IF(Main[[#This Row],[Class]]="A",WORKDAY(Main[[#This Row],[Tech Start Date]],2),""))))</f>
        <v/>
      </c>
      <c r="N861" s="73" t="str">
        <f>IF(Main[[#This Row],[Tech Start Date]]&lt;1/1/1990,"",IF(Main[[#This Row],[Class]]="C",WORKDAY(Main[[#This Row],[Tech Start Date]],19),IF(Main[[#This Row],[Class]]="B", WORKDAY(Main[[#This Row],[Tech Start Date]],12),IF(Main[[#This Row],[Class]]="A",WORKDAY(Main[[#This Row],[Tech Start Date]],4),""))))</f>
        <v/>
      </c>
      <c r="O861" s="73" t="str">
        <f>IF(Main[[#This Row],[Tech Start Date]]&lt;1/1/1990,"",IF(Main[[#This Row],[Class]]="C",WORKDAY(Main[[#This Row],[Tech Start Date]],23),IF(Main[[#This Row],[Class]]="B", WORKDAY(Main[[#This Row],[Tech Start Date]],15),IF(Main[[#This Row],[Class]]="A",WORKDAY(Main[[#This Row],[Tech Start Date]],5),""))))</f>
        <v/>
      </c>
      <c r="P861" s="73" t="str">
        <f>IF(Main[[#This Row],[Tech Start Date]]&lt;1/1/1990,"",IF(Main[[#This Row],[Class]]="C",WORKDAY(Main[[#This Row],[Tech Start Date]],28),IF(Main[[#This Row],[Class]]="B", WORKDAY(Main[[#This Row],[Tech Start Date]],19),IF(Main[[#This Row],[Class]]="A",WORKDAY(Main[[#This Row],[Tech Start Date]],9),""))))</f>
        <v/>
      </c>
      <c r="Q861" s="85"/>
      <c r="R861" s="112"/>
      <c r="S861" s="95" t="s">
        <v>23</v>
      </c>
      <c r="T861" s="74" t="s">
        <v>4</v>
      </c>
      <c r="U861" s="95" t="s">
        <v>14</v>
      </c>
      <c r="V861" s="95" t="s">
        <v>1911</v>
      </c>
      <c r="W861" s="95" t="s">
        <v>1915</v>
      </c>
      <c r="X861" s="95" t="s">
        <v>399</v>
      </c>
      <c r="Y861" s="72" t="s">
        <v>4</v>
      </c>
      <c r="Z861" s="72" t="s">
        <v>4</v>
      </c>
      <c r="AA861" s="95" t="s">
        <v>3010</v>
      </c>
      <c r="AB861" s="132"/>
      <c r="AC861" s="132"/>
      <c r="AD861" s="132"/>
      <c r="AE861" s="63"/>
      <c r="AF861" s="63"/>
      <c r="AG861" s="63"/>
    </row>
    <row r="862" spans="1:33" ht="17.2" customHeight="1">
      <c r="A862" s="64" t="str">
        <f>IF(priority(Main[[#This Row],[Comments]])&lt;&gt;0, priority(Main[[#This Row],[Comments]]),"")</f>
        <v/>
      </c>
      <c r="B862" s="60" t="s">
        <v>1669</v>
      </c>
      <c r="C862" s="72" t="s">
        <v>4</v>
      </c>
      <c r="D862" s="59" t="s">
        <v>731</v>
      </c>
      <c r="E862" s="85">
        <v>40679.253067129626</v>
      </c>
      <c r="F862" s="85"/>
      <c r="G862" s="64" t="str">
        <f>IF(stdProdLT(Main[[#This Row],[Comments]])=0.1,"N/A",IF(stdProdLT(Main[[#This Row],[Comments]])=0,"",TRIM(stdProdLT(Main[[#This Row],[Comments]]))))</f>
        <v/>
      </c>
      <c r="H862" s="94" t="str">
        <f>IF(OR(Main[[#This Row],[Std. Prod. Lead Time]]="N/A",Main[[#This Row],[Std. Prod. Lead Time]]=""), "",IF(AND(Main[[#This Row],[In Stock Date]]&lt;&gt;"",Main[[#This Row],[Revised Due Date]]&lt;&gt;"",Main[[#This Row],[In Stock Date]]&lt;&gt;""),Main[[#This Row],[In Stock Date]]-Main[[#This Row],[Revised Due Date]],""))</f>
        <v/>
      </c>
      <c r="I862" s="101" t="s">
        <v>4</v>
      </c>
      <c r="J862" s="95" t="s">
        <v>4</v>
      </c>
      <c r="K862" s="95" t="s">
        <v>4</v>
      </c>
      <c r="L862" s="85"/>
      <c r="M862" s="73" t="str">
        <f>IF(Main[[#This Row],[Tech Start Date]]&lt;1/1/1990,"",IF(Main[[#This Row],[Class]]="C",WORKDAY(Main[[#This Row],[Tech Start Date]],9),IF(Main[[#This Row],[Class]]="B", WORKDAY(Main[[#This Row],[Tech Start Date]],6),IF(Main[[#This Row],[Class]]="A",WORKDAY(Main[[#This Row],[Tech Start Date]],2),""))))</f>
        <v/>
      </c>
      <c r="N862" s="73" t="str">
        <f>IF(Main[[#This Row],[Tech Start Date]]&lt;1/1/1990,"",IF(Main[[#This Row],[Class]]="C",WORKDAY(Main[[#This Row],[Tech Start Date]],19),IF(Main[[#This Row],[Class]]="B", WORKDAY(Main[[#This Row],[Tech Start Date]],12),IF(Main[[#This Row],[Class]]="A",WORKDAY(Main[[#This Row],[Tech Start Date]],4),""))))</f>
        <v/>
      </c>
      <c r="O862" s="73" t="str">
        <f>IF(Main[[#This Row],[Tech Start Date]]&lt;1/1/1990,"",IF(Main[[#This Row],[Class]]="C",WORKDAY(Main[[#This Row],[Tech Start Date]],23),IF(Main[[#This Row],[Class]]="B", WORKDAY(Main[[#This Row],[Tech Start Date]],15),IF(Main[[#This Row],[Class]]="A",WORKDAY(Main[[#This Row],[Tech Start Date]],5),""))))</f>
        <v/>
      </c>
      <c r="P862" s="73" t="str">
        <f>IF(Main[[#This Row],[Tech Start Date]]&lt;1/1/1990,"",IF(Main[[#This Row],[Class]]="C",WORKDAY(Main[[#This Row],[Tech Start Date]],28),IF(Main[[#This Row],[Class]]="B", WORKDAY(Main[[#This Row],[Tech Start Date]],19),IF(Main[[#This Row],[Class]]="A",WORKDAY(Main[[#This Row],[Tech Start Date]],9),""))))</f>
        <v/>
      </c>
      <c r="Q862" s="85">
        <v>40724</v>
      </c>
      <c r="R862" s="112"/>
      <c r="S862" s="95" t="s">
        <v>6</v>
      </c>
      <c r="T862" s="74" t="s">
        <v>4</v>
      </c>
      <c r="U862" s="95" t="s">
        <v>7</v>
      </c>
      <c r="V862" s="95" t="s">
        <v>1911</v>
      </c>
      <c r="W862" s="95" t="s">
        <v>4</v>
      </c>
      <c r="X862" s="95" t="s">
        <v>2802</v>
      </c>
      <c r="Y862" s="72" t="s">
        <v>2916</v>
      </c>
      <c r="Z862" s="72" t="s">
        <v>4</v>
      </c>
      <c r="AA862" s="95" t="s">
        <v>2802</v>
      </c>
      <c r="AB862" s="132"/>
      <c r="AC862" s="132"/>
      <c r="AD862" s="132"/>
      <c r="AE862" s="63"/>
      <c r="AF862" s="63"/>
      <c r="AG862" s="63"/>
    </row>
    <row r="863" spans="1:33" ht="17.2" customHeight="1">
      <c r="A863" s="64" t="str">
        <f>IF(priority(Main[[#This Row],[Comments]])&lt;&gt;0, priority(Main[[#This Row],[Comments]]),"")</f>
        <v/>
      </c>
      <c r="B863" s="60" t="s">
        <v>1670</v>
      </c>
      <c r="C863" s="72" t="s">
        <v>4</v>
      </c>
      <c r="D863" s="59" t="s">
        <v>732</v>
      </c>
      <c r="E863" s="85">
        <v>40679.252465277779</v>
      </c>
      <c r="F863" s="85"/>
      <c r="G863" s="64" t="str">
        <f>IF(stdProdLT(Main[[#This Row],[Comments]])=0.1,"N/A",IF(stdProdLT(Main[[#This Row],[Comments]])=0,"",TRIM(stdProdLT(Main[[#This Row],[Comments]]))))</f>
        <v/>
      </c>
      <c r="H863" s="94" t="str">
        <f>IF(OR(Main[[#This Row],[Std. Prod. Lead Time]]="N/A",Main[[#This Row],[Std. Prod. Lead Time]]=""), "",IF(AND(Main[[#This Row],[In Stock Date]]&lt;&gt;"",Main[[#This Row],[Revised Due Date]]&lt;&gt;"",Main[[#This Row],[In Stock Date]]&lt;&gt;""),Main[[#This Row],[In Stock Date]]-Main[[#This Row],[Revised Due Date]],""))</f>
        <v/>
      </c>
      <c r="I863" s="101" t="s">
        <v>4</v>
      </c>
      <c r="J863" s="95" t="s">
        <v>4</v>
      </c>
      <c r="K863" s="95" t="s">
        <v>4</v>
      </c>
      <c r="L863" s="85"/>
      <c r="M863" s="73" t="str">
        <f>IF(Main[[#This Row],[Tech Start Date]]&lt;1/1/1990,"",IF(Main[[#This Row],[Class]]="C",WORKDAY(Main[[#This Row],[Tech Start Date]],9),IF(Main[[#This Row],[Class]]="B", WORKDAY(Main[[#This Row],[Tech Start Date]],6),IF(Main[[#This Row],[Class]]="A",WORKDAY(Main[[#This Row],[Tech Start Date]],2),""))))</f>
        <v/>
      </c>
      <c r="N863" s="73" t="str">
        <f>IF(Main[[#This Row],[Tech Start Date]]&lt;1/1/1990,"",IF(Main[[#This Row],[Class]]="C",WORKDAY(Main[[#This Row],[Tech Start Date]],19),IF(Main[[#This Row],[Class]]="B", WORKDAY(Main[[#This Row],[Tech Start Date]],12),IF(Main[[#This Row],[Class]]="A",WORKDAY(Main[[#This Row],[Tech Start Date]],4),""))))</f>
        <v/>
      </c>
      <c r="O863" s="73" t="str">
        <f>IF(Main[[#This Row],[Tech Start Date]]&lt;1/1/1990,"",IF(Main[[#This Row],[Class]]="C",WORKDAY(Main[[#This Row],[Tech Start Date]],23),IF(Main[[#This Row],[Class]]="B", WORKDAY(Main[[#This Row],[Tech Start Date]],15),IF(Main[[#This Row],[Class]]="A",WORKDAY(Main[[#This Row],[Tech Start Date]],5),""))))</f>
        <v/>
      </c>
      <c r="P863" s="73" t="str">
        <f>IF(Main[[#This Row],[Tech Start Date]]&lt;1/1/1990,"",IF(Main[[#This Row],[Class]]="C",WORKDAY(Main[[#This Row],[Tech Start Date]],28),IF(Main[[#This Row],[Class]]="B", WORKDAY(Main[[#This Row],[Tech Start Date]],19),IF(Main[[#This Row],[Class]]="A",WORKDAY(Main[[#This Row],[Tech Start Date]],9),""))))</f>
        <v/>
      </c>
      <c r="Q863" s="85">
        <v>40724</v>
      </c>
      <c r="R863" s="112"/>
      <c r="S863" s="95" t="s">
        <v>6</v>
      </c>
      <c r="T863" s="74" t="s">
        <v>4</v>
      </c>
      <c r="U863" s="95" t="s">
        <v>7</v>
      </c>
      <c r="V863" s="95" t="s">
        <v>1911</v>
      </c>
      <c r="W863" s="95" t="s">
        <v>4</v>
      </c>
      <c r="X863" s="95" t="s">
        <v>2802</v>
      </c>
      <c r="Y863" s="72" t="s">
        <v>2916</v>
      </c>
      <c r="Z863" s="72" t="s">
        <v>4</v>
      </c>
      <c r="AA863" s="95" t="s">
        <v>2802</v>
      </c>
      <c r="AB863" s="132"/>
      <c r="AC863" s="132"/>
      <c r="AD863" s="132"/>
      <c r="AE863" s="63"/>
      <c r="AF863" s="63"/>
      <c r="AG863" s="63"/>
    </row>
    <row r="864" spans="1:33" ht="17.2" customHeight="1">
      <c r="A864" s="64" t="str">
        <f>IF(priority(Main[[#This Row],[Comments]])&lt;&gt;0, priority(Main[[#This Row],[Comments]]),"")</f>
        <v/>
      </c>
      <c r="B864" s="60" t="s">
        <v>1671</v>
      </c>
      <c r="C864" s="72" t="s">
        <v>4</v>
      </c>
      <c r="D864" s="59" t="s">
        <v>733</v>
      </c>
      <c r="E864" s="85">
        <v>40679.253668981481</v>
      </c>
      <c r="F864" s="85"/>
      <c r="G864" s="64" t="str">
        <f>IF(stdProdLT(Main[[#This Row],[Comments]])=0.1,"N/A",IF(stdProdLT(Main[[#This Row],[Comments]])=0,"",TRIM(stdProdLT(Main[[#This Row],[Comments]]))))</f>
        <v/>
      </c>
      <c r="H864" s="94" t="str">
        <f>IF(OR(Main[[#This Row],[Std. Prod. Lead Time]]="N/A",Main[[#This Row],[Std. Prod. Lead Time]]=""), "",IF(AND(Main[[#This Row],[In Stock Date]]&lt;&gt;"",Main[[#This Row],[Revised Due Date]]&lt;&gt;"",Main[[#This Row],[In Stock Date]]&lt;&gt;""),Main[[#This Row],[In Stock Date]]-Main[[#This Row],[Revised Due Date]],""))</f>
        <v/>
      </c>
      <c r="I864" s="101" t="s">
        <v>4</v>
      </c>
      <c r="J864" s="95" t="s">
        <v>4</v>
      </c>
      <c r="K864" s="96" t="s">
        <v>4</v>
      </c>
      <c r="L864" s="85"/>
      <c r="M864" s="73" t="str">
        <f>IF(Main[[#This Row],[Tech Start Date]]&lt;1/1/1990,"",IF(Main[[#This Row],[Class]]="C",WORKDAY(Main[[#This Row],[Tech Start Date]],9),IF(Main[[#This Row],[Class]]="B", WORKDAY(Main[[#This Row],[Tech Start Date]],6),IF(Main[[#This Row],[Class]]="A",WORKDAY(Main[[#This Row],[Tech Start Date]],2),""))))</f>
        <v/>
      </c>
      <c r="N864" s="73" t="str">
        <f>IF(Main[[#This Row],[Tech Start Date]]&lt;1/1/1990,"",IF(Main[[#This Row],[Class]]="C",WORKDAY(Main[[#This Row],[Tech Start Date]],19),IF(Main[[#This Row],[Class]]="B", WORKDAY(Main[[#This Row],[Tech Start Date]],12),IF(Main[[#This Row],[Class]]="A",WORKDAY(Main[[#This Row],[Tech Start Date]],4),""))))</f>
        <v/>
      </c>
      <c r="O864" s="73" t="str">
        <f>IF(Main[[#This Row],[Tech Start Date]]&lt;1/1/1990,"",IF(Main[[#This Row],[Class]]="C",WORKDAY(Main[[#This Row],[Tech Start Date]],23),IF(Main[[#This Row],[Class]]="B", WORKDAY(Main[[#This Row],[Tech Start Date]],15),IF(Main[[#This Row],[Class]]="A",WORKDAY(Main[[#This Row],[Tech Start Date]],5),""))))</f>
        <v/>
      </c>
      <c r="P864" s="73" t="str">
        <f>IF(Main[[#This Row],[Tech Start Date]]&lt;1/1/1990,"",IF(Main[[#This Row],[Class]]="C",WORKDAY(Main[[#This Row],[Tech Start Date]],28),IF(Main[[#This Row],[Class]]="B", WORKDAY(Main[[#This Row],[Tech Start Date]],19),IF(Main[[#This Row],[Class]]="A",WORKDAY(Main[[#This Row],[Tech Start Date]],9),""))))</f>
        <v/>
      </c>
      <c r="Q864" s="85">
        <v>40724</v>
      </c>
      <c r="R864" s="112"/>
      <c r="S864" s="95" t="s">
        <v>6</v>
      </c>
      <c r="T864" s="74" t="s">
        <v>4</v>
      </c>
      <c r="U864" s="95" t="s">
        <v>7</v>
      </c>
      <c r="V864" s="95" t="s">
        <v>1911</v>
      </c>
      <c r="W864" s="95" t="s">
        <v>4</v>
      </c>
      <c r="X864" s="95" t="s">
        <v>2802</v>
      </c>
      <c r="Y864" s="72" t="s">
        <v>2916</v>
      </c>
      <c r="Z864" s="72" t="s">
        <v>4</v>
      </c>
      <c r="AA864" s="95" t="s">
        <v>2802</v>
      </c>
      <c r="AB864" s="132"/>
      <c r="AC864" s="132"/>
      <c r="AD864" s="132"/>
      <c r="AE864" s="63"/>
      <c r="AF864" s="63"/>
      <c r="AG864" s="63"/>
    </row>
    <row r="865" spans="1:33" ht="17.2" customHeight="1">
      <c r="A865" s="64" t="str">
        <f>IF(priority(Main[[#This Row],[Comments]])&lt;&gt;0, priority(Main[[#This Row],[Comments]]),"")</f>
        <v/>
      </c>
      <c r="B865" s="60" t="s">
        <v>1677</v>
      </c>
      <c r="C865" s="72" t="s">
        <v>4</v>
      </c>
      <c r="D865" s="59" t="s">
        <v>736</v>
      </c>
      <c r="E865" s="85"/>
      <c r="F865" s="85">
        <v>40598</v>
      </c>
      <c r="G865" s="64" t="str">
        <f>IF(stdProdLT(Main[[#This Row],[Comments]])=0.1,"N/A",IF(stdProdLT(Main[[#This Row],[Comments]])=0,"",TRIM(stdProdLT(Main[[#This Row],[Comments]]))))</f>
        <v/>
      </c>
      <c r="H865" s="94" t="str">
        <f>IF(OR(Main[[#This Row],[Std. Prod. Lead Time]]="N/A",Main[[#This Row],[Std. Prod. Lead Time]]=""), "",IF(AND(Main[[#This Row],[In Stock Date]]&lt;&gt;"",Main[[#This Row],[Revised Due Date]]&lt;&gt;"",Main[[#This Row],[In Stock Date]]&lt;&gt;""),Main[[#This Row],[In Stock Date]]-Main[[#This Row],[Revised Due Date]],""))</f>
        <v/>
      </c>
      <c r="I865" s="101" t="s">
        <v>4</v>
      </c>
      <c r="J865" s="95" t="s">
        <v>4</v>
      </c>
      <c r="K865" s="95" t="s">
        <v>4</v>
      </c>
      <c r="L865" s="85"/>
      <c r="M865" s="73" t="str">
        <f>IF(Main[[#This Row],[Tech Start Date]]&lt;1/1/1990,"",IF(Main[[#This Row],[Class]]="C",WORKDAY(Main[[#This Row],[Tech Start Date]],9),IF(Main[[#This Row],[Class]]="B", WORKDAY(Main[[#This Row],[Tech Start Date]],6),IF(Main[[#This Row],[Class]]="A",WORKDAY(Main[[#This Row],[Tech Start Date]],2),""))))</f>
        <v/>
      </c>
      <c r="N865" s="73" t="str">
        <f>IF(Main[[#This Row],[Tech Start Date]]&lt;1/1/1990,"",IF(Main[[#This Row],[Class]]="C",WORKDAY(Main[[#This Row],[Tech Start Date]],19),IF(Main[[#This Row],[Class]]="B", WORKDAY(Main[[#This Row],[Tech Start Date]],12),IF(Main[[#This Row],[Class]]="A",WORKDAY(Main[[#This Row],[Tech Start Date]],4),""))))</f>
        <v/>
      </c>
      <c r="O865" s="73" t="str">
        <f>IF(Main[[#This Row],[Tech Start Date]]&lt;1/1/1990,"",IF(Main[[#This Row],[Class]]="C",WORKDAY(Main[[#This Row],[Tech Start Date]],23),IF(Main[[#This Row],[Class]]="B", WORKDAY(Main[[#This Row],[Tech Start Date]],15),IF(Main[[#This Row],[Class]]="A",WORKDAY(Main[[#This Row],[Tech Start Date]],5),""))))</f>
        <v/>
      </c>
      <c r="P865" s="73" t="str">
        <f>IF(Main[[#This Row],[Tech Start Date]]&lt;1/1/1990,"",IF(Main[[#This Row],[Class]]="C",WORKDAY(Main[[#This Row],[Tech Start Date]],28),IF(Main[[#This Row],[Class]]="B", WORKDAY(Main[[#This Row],[Tech Start Date]],19),IF(Main[[#This Row],[Class]]="A",WORKDAY(Main[[#This Row],[Tech Start Date]],9),""))))</f>
        <v/>
      </c>
      <c r="Q865" s="85">
        <v>40598</v>
      </c>
      <c r="R865" s="112"/>
      <c r="S865" s="95" t="s">
        <v>11</v>
      </c>
      <c r="T865" s="74" t="s">
        <v>4</v>
      </c>
      <c r="U865" s="95" t="s">
        <v>14</v>
      </c>
      <c r="V865" s="95" t="s">
        <v>1921</v>
      </c>
      <c r="W865" s="95" t="s">
        <v>1917</v>
      </c>
      <c r="X865" s="95" t="s">
        <v>2828</v>
      </c>
      <c r="Y865" s="72" t="s">
        <v>2957</v>
      </c>
      <c r="Z865" s="72" t="s">
        <v>4</v>
      </c>
      <c r="AA865" s="95" t="s">
        <v>2828</v>
      </c>
      <c r="AB865" s="132"/>
      <c r="AC865" s="132"/>
      <c r="AD865" s="132"/>
      <c r="AE865" s="63"/>
      <c r="AF865" s="63"/>
      <c r="AG865" s="63"/>
    </row>
    <row r="866" spans="1:33" ht="17.2" customHeight="1">
      <c r="A866" s="64" t="str">
        <f>IF(priority(Main[[#This Row],[Comments]])&lt;&gt;0, priority(Main[[#This Row],[Comments]]),"")</f>
        <v/>
      </c>
      <c r="B866" s="60" t="s">
        <v>1680</v>
      </c>
      <c r="C866" s="72" t="s">
        <v>4</v>
      </c>
      <c r="D866" s="59" t="s">
        <v>740</v>
      </c>
      <c r="E866" s="85">
        <v>40591.815474537034</v>
      </c>
      <c r="F866" s="85"/>
      <c r="G866" s="64" t="str">
        <f>IF(stdProdLT(Main[[#This Row],[Comments]])=0.1,"N/A",IF(stdProdLT(Main[[#This Row],[Comments]])=0,"",TRIM(stdProdLT(Main[[#This Row],[Comments]]))))</f>
        <v/>
      </c>
      <c r="H866" s="94" t="str">
        <f>IF(OR(Main[[#This Row],[Std. Prod. Lead Time]]="N/A",Main[[#This Row],[Std. Prod. Lead Time]]=""), "",IF(AND(Main[[#This Row],[In Stock Date]]&lt;&gt;"",Main[[#This Row],[Revised Due Date]]&lt;&gt;"",Main[[#This Row],[In Stock Date]]&lt;&gt;""),Main[[#This Row],[In Stock Date]]-Main[[#This Row],[Revised Due Date]],""))</f>
        <v/>
      </c>
      <c r="I866" s="101" t="s">
        <v>130</v>
      </c>
      <c r="J866" s="95" t="s">
        <v>70</v>
      </c>
      <c r="K866" s="95" t="s">
        <v>1920</v>
      </c>
      <c r="L866" s="85"/>
      <c r="M866" s="73" t="str">
        <f>IF(Main[[#This Row],[Tech Start Date]]&lt;1/1/1990,"",IF(Main[[#This Row],[Class]]="C",WORKDAY(Main[[#This Row],[Tech Start Date]],9),IF(Main[[#This Row],[Class]]="B", WORKDAY(Main[[#This Row],[Tech Start Date]],6),IF(Main[[#This Row],[Class]]="A",WORKDAY(Main[[#This Row],[Tech Start Date]],2),""))))</f>
        <v/>
      </c>
      <c r="N866" s="73" t="str">
        <f>IF(Main[[#This Row],[Tech Start Date]]&lt;1/1/1990,"",IF(Main[[#This Row],[Class]]="C",WORKDAY(Main[[#This Row],[Tech Start Date]],19),IF(Main[[#This Row],[Class]]="B", WORKDAY(Main[[#This Row],[Tech Start Date]],12),IF(Main[[#This Row],[Class]]="A",WORKDAY(Main[[#This Row],[Tech Start Date]],4),""))))</f>
        <v/>
      </c>
      <c r="O866" s="73" t="str">
        <f>IF(Main[[#This Row],[Tech Start Date]]&lt;1/1/1990,"",IF(Main[[#This Row],[Class]]="C",WORKDAY(Main[[#This Row],[Tech Start Date]],23),IF(Main[[#This Row],[Class]]="B", WORKDAY(Main[[#This Row],[Tech Start Date]],15),IF(Main[[#This Row],[Class]]="A",WORKDAY(Main[[#This Row],[Tech Start Date]],5),""))))</f>
        <v/>
      </c>
      <c r="P866" s="73" t="str">
        <f>IF(Main[[#This Row],[Tech Start Date]]&lt;1/1/1990,"",IF(Main[[#This Row],[Class]]="C",WORKDAY(Main[[#This Row],[Tech Start Date]],28),IF(Main[[#This Row],[Class]]="B", WORKDAY(Main[[#This Row],[Tech Start Date]],19),IF(Main[[#This Row],[Class]]="A",WORKDAY(Main[[#This Row],[Tech Start Date]],9),""))))</f>
        <v/>
      </c>
      <c r="Q866" s="85">
        <v>40736</v>
      </c>
      <c r="R866" s="112"/>
      <c r="S866" s="95" t="s">
        <v>6</v>
      </c>
      <c r="T866" s="74" t="s">
        <v>4</v>
      </c>
      <c r="U866" s="95" t="s">
        <v>29</v>
      </c>
      <c r="V866" s="95" t="s">
        <v>1914</v>
      </c>
      <c r="W866" s="95" t="s">
        <v>1915</v>
      </c>
      <c r="X866" s="95" t="s">
        <v>30</v>
      </c>
      <c r="Y866" s="72" t="s">
        <v>2935</v>
      </c>
      <c r="Z866" s="72" t="s">
        <v>30</v>
      </c>
      <c r="AA866" s="95" t="s">
        <v>30</v>
      </c>
      <c r="AB866" s="132"/>
      <c r="AC866" s="132"/>
      <c r="AD866" s="132"/>
      <c r="AE866" s="63"/>
      <c r="AF866" s="63"/>
      <c r="AG866" s="63"/>
    </row>
    <row r="867" spans="1:33" ht="17.2" customHeight="1">
      <c r="A867" s="64" t="str">
        <f>IF(priority(Main[[#This Row],[Comments]])&lt;&gt;0, priority(Main[[#This Row],[Comments]]),"")</f>
        <v/>
      </c>
      <c r="B867" s="60" t="s">
        <v>2028</v>
      </c>
      <c r="C867" s="72" t="s">
        <v>37</v>
      </c>
      <c r="D867" s="59" t="s">
        <v>485</v>
      </c>
      <c r="E867" s="85"/>
      <c r="F867" s="85"/>
      <c r="G867" s="64" t="str">
        <f>IF(stdProdLT(Main[[#This Row],[Comments]])=0.1,"N/A",IF(stdProdLT(Main[[#This Row],[Comments]])=0,"",TRIM(stdProdLT(Main[[#This Row],[Comments]]))))</f>
        <v/>
      </c>
      <c r="H867" s="94" t="str">
        <f>IF(OR(Main[[#This Row],[Std. Prod. Lead Time]]="N/A",Main[[#This Row],[Std. Prod. Lead Time]]=""), "",IF(AND(Main[[#This Row],[In Stock Date]]&lt;&gt;"",Main[[#This Row],[Revised Due Date]]&lt;&gt;"",Main[[#This Row],[In Stock Date]]&lt;&gt;""),Main[[#This Row],[In Stock Date]]-Main[[#This Row],[Revised Due Date]],""))</f>
        <v/>
      </c>
      <c r="I867" s="101" t="s">
        <v>4</v>
      </c>
      <c r="J867" s="95" t="s">
        <v>21</v>
      </c>
      <c r="K867" s="96" t="s">
        <v>4</v>
      </c>
      <c r="L867" s="85"/>
      <c r="M867" s="73" t="str">
        <f>IF(Main[[#This Row],[Tech Start Date]]&lt;1/1/1990,"",IF(Main[[#This Row],[Class]]="C",WORKDAY(Main[[#This Row],[Tech Start Date]],9),IF(Main[[#This Row],[Class]]="B", WORKDAY(Main[[#This Row],[Tech Start Date]],6),IF(Main[[#This Row],[Class]]="A",WORKDAY(Main[[#This Row],[Tech Start Date]],2),""))))</f>
        <v/>
      </c>
      <c r="N867" s="73" t="str">
        <f>IF(Main[[#This Row],[Tech Start Date]]&lt;1/1/1990,"",IF(Main[[#This Row],[Class]]="C",WORKDAY(Main[[#This Row],[Tech Start Date]],19),IF(Main[[#This Row],[Class]]="B", WORKDAY(Main[[#This Row],[Tech Start Date]],12),IF(Main[[#This Row],[Class]]="A",WORKDAY(Main[[#This Row],[Tech Start Date]],4),""))))</f>
        <v/>
      </c>
      <c r="O867" s="73" t="str">
        <f>IF(Main[[#This Row],[Tech Start Date]]&lt;1/1/1990,"",IF(Main[[#This Row],[Class]]="C",WORKDAY(Main[[#This Row],[Tech Start Date]],23),IF(Main[[#This Row],[Class]]="B", WORKDAY(Main[[#This Row],[Tech Start Date]],15),IF(Main[[#This Row],[Class]]="A",WORKDAY(Main[[#This Row],[Tech Start Date]],5),""))))</f>
        <v/>
      </c>
      <c r="P867" s="73" t="str">
        <f>IF(Main[[#This Row],[Tech Start Date]]&lt;1/1/1990,"",IF(Main[[#This Row],[Class]]="C",WORKDAY(Main[[#This Row],[Tech Start Date]],28),IF(Main[[#This Row],[Class]]="B", WORKDAY(Main[[#This Row],[Tech Start Date]],19),IF(Main[[#This Row],[Class]]="A",WORKDAY(Main[[#This Row],[Tech Start Date]],9),""))))</f>
        <v/>
      </c>
      <c r="Q867" s="85">
        <v>40696</v>
      </c>
      <c r="R867" s="112"/>
      <c r="S867" s="95" t="s">
        <v>6</v>
      </c>
      <c r="T867" s="74" t="s">
        <v>4</v>
      </c>
      <c r="U867" s="95" t="s">
        <v>12</v>
      </c>
      <c r="V867" s="95" t="s">
        <v>1911</v>
      </c>
      <c r="W867" s="95" t="s">
        <v>1922</v>
      </c>
      <c r="X867" s="95" t="s">
        <v>50</v>
      </c>
      <c r="Y867" s="72" t="s">
        <v>3075</v>
      </c>
      <c r="Z867" s="72" t="s">
        <v>3137</v>
      </c>
      <c r="AA867" s="95" t="s">
        <v>970</v>
      </c>
      <c r="AB867" s="132"/>
      <c r="AC867" s="132"/>
      <c r="AD867" s="132"/>
      <c r="AE867" s="63"/>
      <c r="AF867" s="63"/>
      <c r="AG867" s="63"/>
    </row>
    <row r="868" spans="1:33" ht="17.2" customHeight="1">
      <c r="A868" s="64" t="str">
        <f>IF(priority(Main[[#This Row],[Comments]])&lt;&gt;0, priority(Main[[#This Row],[Comments]]),"")</f>
        <v/>
      </c>
      <c r="B868" s="60" t="s">
        <v>2186</v>
      </c>
      <c r="C868" s="72" t="s">
        <v>4</v>
      </c>
      <c r="D868" s="59" t="s">
        <v>2187</v>
      </c>
      <c r="E868" s="85"/>
      <c r="F868" s="85">
        <v>40848</v>
      </c>
      <c r="G868" s="64" t="str">
        <f>IF(stdProdLT(Main[[#This Row],[Comments]])=0.1,"N/A",IF(stdProdLT(Main[[#This Row],[Comments]])=0,"",TRIM(stdProdLT(Main[[#This Row],[Comments]]))))</f>
        <v/>
      </c>
      <c r="H868" s="94" t="str">
        <f>IF(OR(Main[[#This Row],[Std. Prod. Lead Time]]="N/A",Main[[#This Row],[Std. Prod. Lead Time]]=""), "",IF(AND(Main[[#This Row],[In Stock Date]]&lt;&gt;"",Main[[#This Row],[Revised Due Date]]&lt;&gt;"",Main[[#This Row],[In Stock Date]]&lt;&gt;""),Main[[#This Row],[In Stock Date]]-Main[[#This Row],[Revised Due Date]],""))</f>
        <v/>
      </c>
      <c r="I868" s="101" t="s">
        <v>4</v>
      </c>
      <c r="J868" s="95" t="s">
        <v>4</v>
      </c>
      <c r="K868" s="95" t="s">
        <v>4</v>
      </c>
      <c r="L868" s="85"/>
      <c r="M868" s="73" t="str">
        <f>IF(Main[[#This Row],[Tech Start Date]]&lt;1/1/1990,"",IF(Main[[#This Row],[Class]]="C",WORKDAY(Main[[#This Row],[Tech Start Date]],9),IF(Main[[#This Row],[Class]]="B", WORKDAY(Main[[#This Row],[Tech Start Date]],6),IF(Main[[#This Row],[Class]]="A",WORKDAY(Main[[#This Row],[Tech Start Date]],2),""))))</f>
        <v/>
      </c>
      <c r="N868" s="73" t="str">
        <f>IF(Main[[#This Row],[Tech Start Date]]&lt;1/1/1990,"",IF(Main[[#This Row],[Class]]="C",WORKDAY(Main[[#This Row],[Tech Start Date]],19),IF(Main[[#This Row],[Class]]="B", WORKDAY(Main[[#This Row],[Tech Start Date]],12),IF(Main[[#This Row],[Class]]="A",WORKDAY(Main[[#This Row],[Tech Start Date]],4),""))))</f>
        <v/>
      </c>
      <c r="O868" s="73" t="str">
        <f>IF(Main[[#This Row],[Tech Start Date]]&lt;1/1/1990,"",IF(Main[[#This Row],[Class]]="C",WORKDAY(Main[[#This Row],[Tech Start Date]],23),IF(Main[[#This Row],[Class]]="B", WORKDAY(Main[[#This Row],[Tech Start Date]],15),IF(Main[[#This Row],[Class]]="A",WORKDAY(Main[[#This Row],[Tech Start Date]],5),""))))</f>
        <v/>
      </c>
      <c r="P868" s="73" t="str">
        <f>IF(Main[[#This Row],[Tech Start Date]]&lt;1/1/1990,"",IF(Main[[#This Row],[Class]]="C",WORKDAY(Main[[#This Row],[Tech Start Date]],28),IF(Main[[#This Row],[Class]]="B", WORKDAY(Main[[#This Row],[Tech Start Date]],19),IF(Main[[#This Row],[Class]]="A",WORKDAY(Main[[#This Row],[Tech Start Date]],9),""))))</f>
        <v/>
      </c>
      <c r="Q868" s="85">
        <v>40800</v>
      </c>
      <c r="R868" s="112"/>
      <c r="S868" s="95" t="s">
        <v>11</v>
      </c>
      <c r="T868" s="74" t="s">
        <v>4</v>
      </c>
      <c r="U868" s="95" t="s">
        <v>14</v>
      </c>
      <c r="V868" s="95" t="s">
        <v>1921</v>
      </c>
      <c r="W868" s="95" t="s">
        <v>1919</v>
      </c>
      <c r="X868" s="95" t="s">
        <v>2885</v>
      </c>
      <c r="Y868" s="72" t="s">
        <v>3076</v>
      </c>
      <c r="Z868" s="72" t="s">
        <v>4</v>
      </c>
      <c r="AA868" s="95" t="s">
        <v>2885</v>
      </c>
      <c r="AB868" s="132"/>
      <c r="AC868" s="132"/>
      <c r="AD868" s="132"/>
      <c r="AE868" s="63"/>
      <c r="AF868" s="63"/>
      <c r="AG868" s="63"/>
    </row>
    <row r="869" spans="1:33" ht="17.2" customHeight="1">
      <c r="A869" s="64" t="str">
        <f>IF(priority(Main[[#This Row],[Comments]])&lt;&gt;0, priority(Main[[#This Row],[Comments]]),"")</f>
        <v/>
      </c>
      <c r="B869" s="60" t="s">
        <v>1458</v>
      </c>
      <c r="C869" s="72" t="s">
        <v>197</v>
      </c>
      <c r="D869" s="59" t="s">
        <v>2507</v>
      </c>
      <c r="E869" s="85">
        <v>40711.410266203704</v>
      </c>
      <c r="F869" s="85"/>
      <c r="G869" s="64" t="str">
        <f>IF(stdProdLT(Main[[#This Row],[Comments]])=0.1,"N/A",IF(stdProdLT(Main[[#This Row],[Comments]])=0,"",TRIM(stdProdLT(Main[[#This Row],[Comments]]))))</f>
        <v/>
      </c>
      <c r="H869" s="94" t="str">
        <f>IF(OR(Main[[#This Row],[Std. Prod. Lead Time]]="N/A",Main[[#This Row],[Std. Prod. Lead Time]]=""), "",IF(AND(Main[[#This Row],[In Stock Date]]&lt;&gt;"",Main[[#This Row],[Revised Due Date]]&lt;&gt;"",Main[[#This Row],[In Stock Date]]&lt;&gt;""),Main[[#This Row],[In Stock Date]]-Main[[#This Row],[Revised Due Date]],""))</f>
        <v/>
      </c>
      <c r="I869" s="101" t="s">
        <v>4</v>
      </c>
      <c r="J869" s="95" t="s">
        <v>4</v>
      </c>
      <c r="K869" s="95" t="s">
        <v>4</v>
      </c>
      <c r="L869" s="85"/>
      <c r="M869" s="73" t="str">
        <f>IF(Main[[#This Row],[Tech Start Date]]&lt;1/1/1990,"",IF(Main[[#This Row],[Class]]="C",WORKDAY(Main[[#This Row],[Tech Start Date]],9),IF(Main[[#This Row],[Class]]="B", WORKDAY(Main[[#This Row],[Tech Start Date]],6),IF(Main[[#This Row],[Class]]="A",WORKDAY(Main[[#This Row],[Tech Start Date]],2),""))))</f>
        <v/>
      </c>
      <c r="N869" s="73" t="str">
        <f>IF(Main[[#This Row],[Tech Start Date]]&lt;1/1/1990,"",IF(Main[[#This Row],[Class]]="C",WORKDAY(Main[[#This Row],[Tech Start Date]],19),IF(Main[[#This Row],[Class]]="B", WORKDAY(Main[[#This Row],[Tech Start Date]],12),IF(Main[[#This Row],[Class]]="A",WORKDAY(Main[[#This Row],[Tech Start Date]],4),""))))</f>
        <v/>
      </c>
      <c r="O869" s="73" t="str">
        <f>IF(Main[[#This Row],[Tech Start Date]]&lt;1/1/1990,"",IF(Main[[#This Row],[Class]]="C",WORKDAY(Main[[#This Row],[Tech Start Date]],23),IF(Main[[#This Row],[Class]]="B", WORKDAY(Main[[#This Row],[Tech Start Date]],15),IF(Main[[#This Row],[Class]]="A",WORKDAY(Main[[#This Row],[Tech Start Date]],5),""))))</f>
        <v/>
      </c>
      <c r="P869" s="73" t="str">
        <f>IF(Main[[#This Row],[Tech Start Date]]&lt;1/1/1990,"",IF(Main[[#This Row],[Class]]="C",WORKDAY(Main[[#This Row],[Tech Start Date]],28),IF(Main[[#This Row],[Class]]="B", WORKDAY(Main[[#This Row],[Tech Start Date]],19),IF(Main[[#This Row],[Class]]="A",WORKDAY(Main[[#This Row],[Tech Start Date]],9),""))))</f>
        <v/>
      </c>
      <c r="Q869" s="85">
        <v>40846</v>
      </c>
      <c r="R869" s="112"/>
      <c r="S869" s="95" t="s">
        <v>17</v>
      </c>
      <c r="T869" s="74" t="s">
        <v>4</v>
      </c>
      <c r="U869" s="95" t="s">
        <v>29</v>
      </c>
      <c r="V869" s="95" t="s">
        <v>1914</v>
      </c>
      <c r="W869" s="95" t="s">
        <v>1919</v>
      </c>
      <c r="X869" s="95" t="s">
        <v>553</v>
      </c>
      <c r="Y869" s="72" t="s">
        <v>2930</v>
      </c>
      <c r="Z869" s="72" t="s">
        <v>4</v>
      </c>
      <c r="AA869" s="95" t="s">
        <v>553</v>
      </c>
      <c r="AB869" s="132"/>
      <c r="AC869" s="132"/>
      <c r="AD869" s="132"/>
      <c r="AE869" s="63"/>
      <c r="AF869" s="63"/>
      <c r="AG869" s="63"/>
    </row>
    <row r="870" spans="1:33" ht="17.2" customHeight="1">
      <c r="A870" s="64" t="str">
        <f>IF(priority(Main[[#This Row],[Comments]])&lt;&gt;0, priority(Main[[#This Row],[Comments]]),"")</f>
        <v/>
      </c>
      <c r="B870" s="60" t="s">
        <v>1681</v>
      </c>
      <c r="C870" s="72" t="s">
        <v>4</v>
      </c>
      <c r="D870" s="59" t="s">
        <v>737</v>
      </c>
      <c r="E870" s="85">
        <v>40520.411597222221</v>
      </c>
      <c r="F870" s="85"/>
      <c r="G870" s="64" t="str">
        <f>IF(stdProdLT(Main[[#This Row],[Comments]])=0.1,"N/A",IF(stdProdLT(Main[[#This Row],[Comments]])=0,"",TRIM(stdProdLT(Main[[#This Row],[Comments]]))))</f>
        <v/>
      </c>
      <c r="H870" s="94" t="str">
        <f>IF(OR(Main[[#This Row],[Std. Prod. Lead Time]]="N/A",Main[[#This Row],[Std. Prod. Lead Time]]=""), "",IF(AND(Main[[#This Row],[In Stock Date]]&lt;&gt;"",Main[[#This Row],[Revised Due Date]]&lt;&gt;"",Main[[#This Row],[In Stock Date]]&lt;&gt;""),Main[[#This Row],[In Stock Date]]-Main[[#This Row],[Revised Due Date]],""))</f>
        <v/>
      </c>
      <c r="I870" s="101" t="s">
        <v>4</v>
      </c>
      <c r="J870" s="95" t="s">
        <v>28</v>
      </c>
      <c r="K870" s="95" t="s">
        <v>4</v>
      </c>
      <c r="L870" s="85"/>
      <c r="M870" s="73" t="str">
        <f>IF(Main[[#This Row],[Tech Start Date]]&lt;1/1/1990,"",IF(Main[[#This Row],[Class]]="C",WORKDAY(Main[[#This Row],[Tech Start Date]],9),IF(Main[[#This Row],[Class]]="B", WORKDAY(Main[[#This Row],[Tech Start Date]],6),IF(Main[[#This Row],[Class]]="A",WORKDAY(Main[[#This Row],[Tech Start Date]],2),""))))</f>
        <v/>
      </c>
      <c r="N870" s="73" t="str">
        <f>IF(Main[[#This Row],[Tech Start Date]]&lt;1/1/1990,"",IF(Main[[#This Row],[Class]]="C",WORKDAY(Main[[#This Row],[Tech Start Date]],19),IF(Main[[#This Row],[Class]]="B", WORKDAY(Main[[#This Row],[Tech Start Date]],12),IF(Main[[#This Row],[Class]]="A",WORKDAY(Main[[#This Row],[Tech Start Date]],4),""))))</f>
        <v/>
      </c>
      <c r="O870" s="73" t="str">
        <f>IF(Main[[#This Row],[Tech Start Date]]&lt;1/1/1990,"",IF(Main[[#This Row],[Class]]="C",WORKDAY(Main[[#This Row],[Tech Start Date]],23),IF(Main[[#This Row],[Class]]="B", WORKDAY(Main[[#This Row],[Tech Start Date]],15),IF(Main[[#This Row],[Class]]="A",WORKDAY(Main[[#This Row],[Tech Start Date]],5),""))))</f>
        <v/>
      </c>
      <c r="P870" s="73" t="str">
        <f>IF(Main[[#This Row],[Tech Start Date]]&lt;1/1/1990,"",IF(Main[[#This Row],[Class]]="C",WORKDAY(Main[[#This Row],[Tech Start Date]],28),IF(Main[[#This Row],[Class]]="B", WORKDAY(Main[[#This Row],[Tech Start Date]],19),IF(Main[[#This Row],[Class]]="A",WORKDAY(Main[[#This Row],[Tech Start Date]],9),""))))</f>
        <v/>
      </c>
      <c r="Q870" s="85">
        <v>40571</v>
      </c>
      <c r="R870" s="112"/>
      <c r="S870" s="95" t="s">
        <v>6</v>
      </c>
      <c r="T870" s="74" t="s">
        <v>4</v>
      </c>
      <c r="U870" s="95" t="s">
        <v>7</v>
      </c>
      <c r="V870" s="95" t="s">
        <v>1911</v>
      </c>
      <c r="W870" s="95" t="s">
        <v>1913</v>
      </c>
      <c r="X870" s="95" t="s">
        <v>2798</v>
      </c>
      <c r="Y870" s="72" t="s">
        <v>2908</v>
      </c>
      <c r="Z870" s="72" t="s">
        <v>129</v>
      </c>
      <c r="AA870" s="95" t="s">
        <v>2798</v>
      </c>
      <c r="AB870" s="132"/>
      <c r="AC870" s="132"/>
      <c r="AD870" s="132"/>
      <c r="AE870" s="63"/>
      <c r="AF870" s="63"/>
      <c r="AG870" s="63"/>
    </row>
    <row r="871" spans="1:33" ht="17.2" customHeight="1">
      <c r="A871" s="64" t="str">
        <f>IF(priority(Main[[#This Row],[Comments]])&lt;&gt;0, priority(Main[[#This Row],[Comments]]),"")</f>
        <v/>
      </c>
      <c r="B871" s="60" t="s">
        <v>1682</v>
      </c>
      <c r="C871" s="72" t="s">
        <v>4</v>
      </c>
      <c r="D871" s="59" t="s">
        <v>738</v>
      </c>
      <c r="E871" s="85"/>
      <c r="F871" s="85"/>
      <c r="G871" s="64" t="str">
        <f>IF(stdProdLT(Main[[#This Row],[Comments]])=0.1,"N/A",IF(stdProdLT(Main[[#This Row],[Comments]])=0,"",TRIM(stdProdLT(Main[[#This Row],[Comments]]))))</f>
        <v/>
      </c>
      <c r="H871" s="94" t="str">
        <f>IF(OR(Main[[#This Row],[Std. Prod. Lead Time]]="N/A",Main[[#This Row],[Std. Prod. Lead Time]]=""), "",IF(AND(Main[[#This Row],[In Stock Date]]&lt;&gt;"",Main[[#This Row],[Revised Due Date]]&lt;&gt;"",Main[[#This Row],[In Stock Date]]&lt;&gt;""),Main[[#This Row],[In Stock Date]]-Main[[#This Row],[Revised Due Date]],""))</f>
        <v/>
      </c>
      <c r="I871" s="101" t="s">
        <v>4</v>
      </c>
      <c r="J871" s="95" t="s">
        <v>28</v>
      </c>
      <c r="K871" s="95" t="s">
        <v>4</v>
      </c>
      <c r="L871" s="85"/>
      <c r="M871" s="73" t="str">
        <f>IF(Main[[#This Row],[Tech Start Date]]&lt;1/1/1990,"",IF(Main[[#This Row],[Class]]="C",WORKDAY(Main[[#This Row],[Tech Start Date]],9),IF(Main[[#This Row],[Class]]="B", WORKDAY(Main[[#This Row],[Tech Start Date]],6),IF(Main[[#This Row],[Class]]="A",WORKDAY(Main[[#This Row],[Tech Start Date]],2),""))))</f>
        <v/>
      </c>
      <c r="N871" s="73" t="str">
        <f>IF(Main[[#This Row],[Tech Start Date]]&lt;1/1/1990,"",IF(Main[[#This Row],[Class]]="C",WORKDAY(Main[[#This Row],[Tech Start Date]],19),IF(Main[[#This Row],[Class]]="B", WORKDAY(Main[[#This Row],[Tech Start Date]],12),IF(Main[[#This Row],[Class]]="A",WORKDAY(Main[[#This Row],[Tech Start Date]],4),""))))</f>
        <v/>
      </c>
      <c r="O871" s="73" t="str">
        <f>IF(Main[[#This Row],[Tech Start Date]]&lt;1/1/1990,"",IF(Main[[#This Row],[Class]]="C",WORKDAY(Main[[#This Row],[Tech Start Date]],23),IF(Main[[#This Row],[Class]]="B", WORKDAY(Main[[#This Row],[Tech Start Date]],15),IF(Main[[#This Row],[Class]]="A",WORKDAY(Main[[#This Row],[Tech Start Date]],5),""))))</f>
        <v/>
      </c>
      <c r="P871" s="73" t="str">
        <f>IF(Main[[#This Row],[Tech Start Date]]&lt;1/1/1990,"",IF(Main[[#This Row],[Class]]="C",WORKDAY(Main[[#This Row],[Tech Start Date]],28),IF(Main[[#This Row],[Class]]="B", WORKDAY(Main[[#This Row],[Tech Start Date]],19),IF(Main[[#This Row],[Class]]="A",WORKDAY(Main[[#This Row],[Tech Start Date]],9),""))))</f>
        <v/>
      </c>
      <c r="Q871" s="85"/>
      <c r="R871" s="112"/>
      <c r="S871" s="95" t="s">
        <v>17</v>
      </c>
      <c r="T871" s="74" t="s">
        <v>4</v>
      </c>
      <c r="U871" s="95" t="s">
        <v>14</v>
      </c>
      <c r="V871" s="95" t="s">
        <v>1911</v>
      </c>
      <c r="W871" s="95" t="s">
        <v>1919</v>
      </c>
      <c r="X871" s="95" t="s">
        <v>922</v>
      </c>
      <c r="Y871" s="72" t="s">
        <v>2960</v>
      </c>
      <c r="Z871" s="72" t="s">
        <v>129</v>
      </c>
      <c r="AA871" s="95" t="s">
        <v>922</v>
      </c>
      <c r="AB871" s="132"/>
      <c r="AC871" s="132"/>
      <c r="AD871" s="132"/>
      <c r="AE871" s="63"/>
      <c r="AF871" s="63"/>
      <c r="AG871" s="63"/>
    </row>
    <row r="872" spans="1:33" ht="17.2" customHeight="1">
      <c r="A872" s="64" t="str">
        <f>IF(priority(Main[[#This Row],[Comments]])&lt;&gt;0, priority(Main[[#This Row],[Comments]]),"")</f>
        <v/>
      </c>
      <c r="B872" s="60" t="s">
        <v>1685</v>
      </c>
      <c r="C872" s="72" t="s">
        <v>4</v>
      </c>
      <c r="D872" s="59" t="s">
        <v>742</v>
      </c>
      <c r="E872" s="85"/>
      <c r="F872" s="85"/>
      <c r="G872" s="64" t="str">
        <f>IF(stdProdLT(Main[[#This Row],[Comments]])=0.1,"N/A",IF(stdProdLT(Main[[#This Row],[Comments]])=0,"",TRIM(stdProdLT(Main[[#This Row],[Comments]]))))</f>
        <v/>
      </c>
      <c r="H872" s="94" t="str">
        <f>IF(OR(Main[[#This Row],[Std. Prod. Lead Time]]="N/A",Main[[#This Row],[Std. Prod. Lead Time]]=""), "",IF(AND(Main[[#This Row],[In Stock Date]]&lt;&gt;"",Main[[#This Row],[Revised Due Date]]&lt;&gt;"",Main[[#This Row],[In Stock Date]]&lt;&gt;""),Main[[#This Row],[In Stock Date]]-Main[[#This Row],[Revised Due Date]],""))</f>
        <v/>
      </c>
      <c r="I872" s="101" t="s">
        <v>4</v>
      </c>
      <c r="J872" s="95" t="s">
        <v>4</v>
      </c>
      <c r="K872" s="95" t="s">
        <v>4</v>
      </c>
      <c r="L872" s="85"/>
      <c r="M872" s="73" t="str">
        <f>IF(Main[[#This Row],[Tech Start Date]]&lt;1/1/1990,"",IF(Main[[#This Row],[Class]]="C",WORKDAY(Main[[#This Row],[Tech Start Date]],9),IF(Main[[#This Row],[Class]]="B", WORKDAY(Main[[#This Row],[Tech Start Date]],6),IF(Main[[#This Row],[Class]]="A",WORKDAY(Main[[#This Row],[Tech Start Date]],2),""))))</f>
        <v/>
      </c>
      <c r="N872" s="73" t="str">
        <f>IF(Main[[#This Row],[Tech Start Date]]&lt;1/1/1990,"",IF(Main[[#This Row],[Class]]="C",WORKDAY(Main[[#This Row],[Tech Start Date]],19),IF(Main[[#This Row],[Class]]="B", WORKDAY(Main[[#This Row],[Tech Start Date]],12),IF(Main[[#This Row],[Class]]="A",WORKDAY(Main[[#This Row],[Tech Start Date]],4),""))))</f>
        <v/>
      </c>
      <c r="O872" s="73" t="str">
        <f>IF(Main[[#This Row],[Tech Start Date]]&lt;1/1/1990,"",IF(Main[[#This Row],[Class]]="C",WORKDAY(Main[[#This Row],[Tech Start Date]],23),IF(Main[[#This Row],[Class]]="B", WORKDAY(Main[[#This Row],[Tech Start Date]],15),IF(Main[[#This Row],[Class]]="A",WORKDAY(Main[[#This Row],[Tech Start Date]],5),""))))</f>
        <v/>
      </c>
      <c r="P872" s="73" t="str">
        <f>IF(Main[[#This Row],[Tech Start Date]]&lt;1/1/1990,"",IF(Main[[#This Row],[Class]]="C",WORKDAY(Main[[#This Row],[Tech Start Date]],28),IF(Main[[#This Row],[Class]]="B", WORKDAY(Main[[#This Row],[Tech Start Date]],19),IF(Main[[#This Row],[Class]]="A",WORKDAY(Main[[#This Row],[Tech Start Date]],9),""))))</f>
        <v/>
      </c>
      <c r="Q872" s="85"/>
      <c r="R872" s="112"/>
      <c r="S872" s="95" t="s">
        <v>23</v>
      </c>
      <c r="T872" s="74" t="s">
        <v>4</v>
      </c>
      <c r="U872" s="95" t="s">
        <v>14</v>
      </c>
      <c r="V872" s="95" t="s">
        <v>1911</v>
      </c>
      <c r="W872" s="95" t="s">
        <v>1915</v>
      </c>
      <c r="X872" s="95" t="s">
        <v>399</v>
      </c>
      <c r="Y872" s="72" t="s">
        <v>4</v>
      </c>
      <c r="Z872" s="72" t="s">
        <v>4</v>
      </c>
      <c r="AA872" s="95" t="s">
        <v>3010</v>
      </c>
      <c r="AB872" s="132"/>
      <c r="AC872" s="132"/>
      <c r="AD872" s="132"/>
      <c r="AE872" s="63"/>
      <c r="AF872" s="63"/>
      <c r="AG872" s="63"/>
    </row>
    <row r="873" spans="1:33" ht="17.2" customHeight="1">
      <c r="A873" s="64" t="str">
        <f>IF(priority(Main[[#This Row],[Comments]])&lt;&gt;0, priority(Main[[#This Row],[Comments]]),"")</f>
        <v/>
      </c>
      <c r="B873" s="60" t="s">
        <v>1831</v>
      </c>
      <c r="C873" s="72" t="s">
        <v>4</v>
      </c>
      <c r="D873" s="59" t="s">
        <v>887</v>
      </c>
      <c r="E873" s="85">
        <v>40371.599317129629</v>
      </c>
      <c r="F873" s="85"/>
      <c r="G873" s="64" t="str">
        <f>IF(stdProdLT(Main[[#This Row],[Comments]])=0.1,"N/A",IF(stdProdLT(Main[[#This Row],[Comments]])=0,"",TRIM(stdProdLT(Main[[#This Row],[Comments]]))))</f>
        <v/>
      </c>
      <c r="H873" s="94" t="str">
        <f>IF(OR(Main[[#This Row],[Std. Prod. Lead Time]]="N/A",Main[[#This Row],[Std. Prod. Lead Time]]=""), "",IF(AND(Main[[#This Row],[In Stock Date]]&lt;&gt;"",Main[[#This Row],[Revised Due Date]]&lt;&gt;"",Main[[#This Row],[In Stock Date]]&lt;&gt;""),Main[[#This Row],[In Stock Date]]-Main[[#This Row],[Revised Due Date]],""))</f>
        <v/>
      </c>
      <c r="I873" s="101" t="s">
        <v>126</v>
      </c>
      <c r="J873" s="95" t="s">
        <v>28</v>
      </c>
      <c r="K873" s="95" t="s">
        <v>1923</v>
      </c>
      <c r="L873" s="85"/>
      <c r="M873" s="73" t="str">
        <f>IF(Main[[#This Row],[Tech Start Date]]&lt;1/1/1990,"",IF(Main[[#This Row],[Class]]="C",WORKDAY(Main[[#This Row],[Tech Start Date]],9),IF(Main[[#This Row],[Class]]="B", WORKDAY(Main[[#This Row],[Tech Start Date]],6),IF(Main[[#This Row],[Class]]="A",WORKDAY(Main[[#This Row],[Tech Start Date]],2),""))))</f>
        <v/>
      </c>
      <c r="N873" s="73" t="str">
        <f>IF(Main[[#This Row],[Tech Start Date]]&lt;1/1/1990,"",IF(Main[[#This Row],[Class]]="C",WORKDAY(Main[[#This Row],[Tech Start Date]],19),IF(Main[[#This Row],[Class]]="B", WORKDAY(Main[[#This Row],[Tech Start Date]],12),IF(Main[[#This Row],[Class]]="A",WORKDAY(Main[[#This Row],[Tech Start Date]],4),""))))</f>
        <v/>
      </c>
      <c r="O873" s="73" t="str">
        <f>IF(Main[[#This Row],[Tech Start Date]]&lt;1/1/1990,"",IF(Main[[#This Row],[Class]]="C",WORKDAY(Main[[#This Row],[Tech Start Date]],23),IF(Main[[#This Row],[Class]]="B", WORKDAY(Main[[#This Row],[Tech Start Date]],15),IF(Main[[#This Row],[Class]]="A",WORKDAY(Main[[#This Row],[Tech Start Date]],5),""))))</f>
        <v/>
      </c>
      <c r="P873" s="73" t="str">
        <f>IF(Main[[#This Row],[Tech Start Date]]&lt;1/1/1990,"",IF(Main[[#This Row],[Class]]="C",WORKDAY(Main[[#This Row],[Tech Start Date]],28),IF(Main[[#This Row],[Class]]="B", WORKDAY(Main[[#This Row],[Tech Start Date]],19),IF(Main[[#This Row],[Class]]="A",WORKDAY(Main[[#This Row],[Tech Start Date]],9),""))))</f>
        <v/>
      </c>
      <c r="Q873" s="85">
        <v>40420</v>
      </c>
      <c r="R873" s="112">
        <v>40420</v>
      </c>
      <c r="S873" s="95" t="s">
        <v>17</v>
      </c>
      <c r="T873" s="74" t="s">
        <v>4</v>
      </c>
      <c r="U873" s="95" t="s">
        <v>29</v>
      </c>
      <c r="V873" s="95" t="s">
        <v>1911</v>
      </c>
      <c r="W873" s="95" t="s">
        <v>1919</v>
      </c>
      <c r="X873" s="95" t="s">
        <v>129</v>
      </c>
      <c r="Y873" s="72" t="s">
        <v>2937</v>
      </c>
      <c r="Z873" s="72" t="s">
        <v>129</v>
      </c>
      <c r="AA873" s="95" t="s">
        <v>2808</v>
      </c>
      <c r="AB873" s="132"/>
      <c r="AC873" s="132"/>
      <c r="AD873" s="132"/>
      <c r="AE873" s="63"/>
      <c r="AF873" s="63"/>
      <c r="AG873" s="63"/>
    </row>
    <row r="874" spans="1:33" ht="17.2" customHeight="1">
      <c r="A874" s="64" t="str">
        <f>IF(priority(Main[[#This Row],[Comments]])&lt;&gt;0, priority(Main[[#This Row],[Comments]]),"")</f>
        <v/>
      </c>
      <c r="B874" s="60" t="s">
        <v>1686</v>
      </c>
      <c r="C874" s="72" t="s">
        <v>4</v>
      </c>
      <c r="D874" s="59" t="s">
        <v>743</v>
      </c>
      <c r="E874" s="85"/>
      <c r="F874" s="85"/>
      <c r="G874" s="64" t="str">
        <f>IF(stdProdLT(Main[[#This Row],[Comments]])=0.1,"N/A",IF(stdProdLT(Main[[#This Row],[Comments]])=0,"",TRIM(stdProdLT(Main[[#This Row],[Comments]]))))</f>
        <v/>
      </c>
      <c r="H874" s="94" t="str">
        <f>IF(OR(Main[[#This Row],[Std. Prod. Lead Time]]="N/A",Main[[#This Row],[Std. Prod. Lead Time]]=""), "",IF(AND(Main[[#This Row],[In Stock Date]]&lt;&gt;"",Main[[#This Row],[Revised Due Date]]&lt;&gt;"",Main[[#This Row],[In Stock Date]]&lt;&gt;""),Main[[#This Row],[In Stock Date]]-Main[[#This Row],[Revised Due Date]],""))</f>
        <v/>
      </c>
      <c r="I874" s="101" t="s">
        <v>4</v>
      </c>
      <c r="J874" s="95" t="s">
        <v>28</v>
      </c>
      <c r="K874" s="96" t="s">
        <v>1918</v>
      </c>
      <c r="L874" s="85"/>
      <c r="M874" s="73" t="str">
        <f>IF(Main[[#This Row],[Tech Start Date]]&lt;1/1/1990,"",IF(Main[[#This Row],[Class]]="C",WORKDAY(Main[[#This Row],[Tech Start Date]],9),IF(Main[[#This Row],[Class]]="B", WORKDAY(Main[[#This Row],[Tech Start Date]],6),IF(Main[[#This Row],[Class]]="A",WORKDAY(Main[[#This Row],[Tech Start Date]],2),""))))</f>
        <v/>
      </c>
      <c r="N874" s="73" t="str">
        <f>IF(Main[[#This Row],[Tech Start Date]]&lt;1/1/1990,"",IF(Main[[#This Row],[Class]]="C",WORKDAY(Main[[#This Row],[Tech Start Date]],19),IF(Main[[#This Row],[Class]]="B", WORKDAY(Main[[#This Row],[Tech Start Date]],12),IF(Main[[#This Row],[Class]]="A",WORKDAY(Main[[#This Row],[Tech Start Date]],4),""))))</f>
        <v/>
      </c>
      <c r="O874" s="73" t="str">
        <f>IF(Main[[#This Row],[Tech Start Date]]&lt;1/1/1990,"",IF(Main[[#This Row],[Class]]="C",WORKDAY(Main[[#This Row],[Tech Start Date]],23),IF(Main[[#This Row],[Class]]="B", WORKDAY(Main[[#This Row],[Tech Start Date]],15),IF(Main[[#This Row],[Class]]="A",WORKDAY(Main[[#This Row],[Tech Start Date]],5),""))))</f>
        <v/>
      </c>
      <c r="P874" s="73" t="str">
        <f>IF(Main[[#This Row],[Tech Start Date]]&lt;1/1/1990,"",IF(Main[[#This Row],[Class]]="C",WORKDAY(Main[[#This Row],[Tech Start Date]],28),IF(Main[[#This Row],[Class]]="B", WORKDAY(Main[[#This Row],[Tech Start Date]],19),IF(Main[[#This Row],[Class]]="A",WORKDAY(Main[[#This Row],[Tech Start Date]],9),""))))</f>
        <v/>
      </c>
      <c r="Q874" s="85"/>
      <c r="R874" s="112"/>
      <c r="S874" s="95" t="s">
        <v>6</v>
      </c>
      <c r="T874" s="74" t="s">
        <v>4</v>
      </c>
      <c r="U874" s="95" t="s">
        <v>14</v>
      </c>
      <c r="V874" s="95" t="s">
        <v>1911</v>
      </c>
      <c r="W874" s="95" t="s">
        <v>1915</v>
      </c>
      <c r="X874" s="95" t="s">
        <v>306</v>
      </c>
      <c r="Y874" s="72" t="s">
        <v>3077</v>
      </c>
      <c r="Z874" s="72" t="s">
        <v>129</v>
      </c>
      <c r="AA874" s="95" t="s">
        <v>3397</v>
      </c>
      <c r="AB874" s="132"/>
      <c r="AC874" s="132"/>
      <c r="AD874" s="132"/>
      <c r="AE874" s="63"/>
      <c r="AF874" s="63"/>
      <c r="AG874" s="63"/>
    </row>
    <row r="875" spans="1:33" ht="17.2" customHeight="1">
      <c r="A875" s="64" t="str">
        <f>IF(priority(Main[[#This Row],[Comments]])&lt;&gt;0, priority(Main[[#This Row],[Comments]]),"")</f>
        <v/>
      </c>
      <c r="B875" s="60" t="s">
        <v>1688</v>
      </c>
      <c r="C875" s="72" t="s">
        <v>4</v>
      </c>
      <c r="D875" s="59" t="s">
        <v>746</v>
      </c>
      <c r="E875" s="85"/>
      <c r="F875" s="85"/>
      <c r="G875" s="64" t="str">
        <f>IF(stdProdLT(Main[[#This Row],[Comments]])=0.1,"N/A",IF(stdProdLT(Main[[#This Row],[Comments]])=0,"",TRIM(stdProdLT(Main[[#This Row],[Comments]]))))</f>
        <v/>
      </c>
      <c r="H875" s="94" t="str">
        <f>IF(OR(Main[[#This Row],[Std. Prod. Lead Time]]="N/A",Main[[#This Row],[Std. Prod. Lead Time]]=""), "",IF(AND(Main[[#This Row],[In Stock Date]]&lt;&gt;"",Main[[#This Row],[Revised Due Date]]&lt;&gt;"",Main[[#This Row],[In Stock Date]]&lt;&gt;""),Main[[#This Row],[In Stock Date]]-Main[[#This Row],[Revised Due Date]],""))</f>
        <v/>
      </c>
      <c r="I875" s="101" t="s">
        <v>4</v>
      </c>
      <c r="J875" s="95" t="s">
        <v>4</v>
      </c>
      <c r="K875" s="95" t="s">
        <v>4</v>
      </c>
      <c r="L875" s="85"/>
      <c r="M875" s="73" t="str">
        <f>IF(Main[[#This Row],[Tech Start Date]]&lt;1/1/1990,"",IF(Main[[#This Row],[Class]]="C",WORKDAY(Main[[#This Row],[Tech Start Date]],9),IF(Main[[#This Row],[Class]]="B", WORKDAY(Main[[#This Row],[Tech Start Date]],6),IF(Main[[#This Row],[Class]]="A",WORKDAY(Main[[#This Row],[Tech Start Date]],2),""))))</f>
        <v/>
      </c>
      <c r="N875" s="73" t="str">
        <f>IF(Main[[#This Row],[Tech Start Date]]&lt;1/1/1990,"",IF(Main[[#This Row],[Class]]="C",WORKDAY(Main[[#This Row],[Tech Start Date]],19),IF(Main[[#This Row],[Class]]="B", WORKDAY(Main[[#This Row],[Tech Start Date]],12),IF(Main[[#This Row],[Class]]="A",WORKDAY(Main[[#This Row],[Tech Start Date]],4),""))))</f>
        <v/>
      </c>
      <c r="O875" s="73" t="str">
        <f>IF(Main[[#This Row],[Tech Start Date]]&lt;1/1/1990,"",IF(Main[[#This Row],[Class]]="C",WORKDAY(Main[[#This Row],[Tech Start Date]],23),IF(Main[[#This Row],[Class]]="B", WORKDAY(Main[[#This Row],[Tech Start Date]],15),IF(Main[[#This Row],[Class]]="A",WORKDAY(Main[[#This Row],[Tech Start Date]],5),""))))</f>
        <v/>
      </c>
      <c r="P875" s="73" t="str">
        <f>IF(Main[[#This Row],[Tech Start Date]]&lt;1/1/1990,"",IF(Main[[#This Row],[Class]]="C",WORKDAY(Main[[#This Row],[Tech Start Date]],28),IF(Main[[#This Row],[Class]]="B", WORKDAY(Main[[#This Row],[Tech Start Date]],19),IF(Main[[#This Row],[Class]]="A",WORKDAY(Main[[#This Row],[Tech Start Date]],9),""))))</f>
        <v/>
      </c>
      <c r="Q875" s="85"/>
      <c r="R875" s="112"/>
      <c r="S875" s="95" t="s">
        <v>11</v>
      </c>
      <c r="T875" s="74" t="s">
        <v>4</v>
      </c>
      <c r="U875" s="95" t="s">
        <v>14</v>
      </c>
      <c r="V875" s="95" t="s">
        <v>1911</v>
      </c>
      <c r="W875" s="95" t="s">
        <v>1915</v>
      </c>
      <c r="X875" s="95" t="s">
        <v>708</v>
      </c>
      <c r="Y875" s="72" t="s">
        <v>3063</v>
      </c>
      <c r="Z875" s="72" t="s">
        <v>4</v>
      </c>
      <c r="AA875" s="95" t="s">
        <v>969</v>
      </c>
      <c r="AB875" s="132"/>
      <c r="AC875" s="132"/>
      <c r="AD875" s="132"/>
      <c r="AE875" s="63"/>
      <c r="AF875" s="63"/>
      <c r="AG875" s="63"/>
    </row>
    <row r="876" spans="1:33" ht="17.2" customHeight="1">
      <c r="A876" s="64" t="str">
        <f>IF(priority(Main[[#This Row],[Comments]])&lt;&gt;0, priority(Main[[#This Row],[Comments]]),"")</f>
        <v/>
      </c>
      <c r="B876" s="60" t="s">
        <v>1689</v>
      </c>
      <c r="C876" s="72" t="s">
        <v>4</v>
      </c>
      <c r="D876" s="59" t="s">
        <v>747</v>
      </c>
      <c r="E876" s="85"/>
      <c r="F876" s="85"/>
      <c r="G876" s="64" t="str">
        <f>IF(stdProdLT(Main[[#This Row],[Comments]])=0.1,"N/A",IF(stdProdLT(Main[[#This Row],[Comments]])=0,"",TRIM(stdProdLT(Main[[#This Row],[Comments]]))))</f>
        <v/>
      </c>
      <c r="H876" s="94" t="str">
        <f>IF(OR(Main[[#This Row],[Std. Prod. Lead Time]]="N/A",Main[[#This Row],[Std. Prod. Lead Time]]=""), "",IF(AND(Main[[#This Row],[In Stock Date]]&lt;&gt;"",Main[[#This Row],[Revised Due Date]]&lt;&gt;"",Main[[#This Row],[In Stock Date]]&lt;&gt;""),Main[[#This Row],[In Stock Date]]-Main[[#This Row],[Revised Due Date]],""))</f>
        <v/>
      </c>
      <c r="I876" s="101" t="s">
        <v>429</v>
      </c>
      <c r="J876" s="95" t="s">
        <v>70</v>
      </c>
      <c r="K876" s="95" t="s">
        <v>4</v>
      </c>
      <c r="L876" s="85"/>
      <c r="M876" s="73" t="str">
        <f>IF(Main[[#This Row],[Tech Start Date]]&lt;1/1/1990,"",IF(Main[[#This Row],[Class]]="C",WORKDAY(Main[[#This Row],[Tech Start Date]],9),IF(Main[[#This Row],[Class]]="B", WORKDAY(Main[[#This Row],[Tech Start Date]],6),IF(Main[[#This Row],[Class]]="A",WORKDAY(Main[[#This Row],[Tech Start Date]],2),""))))</f>
        <v/>
      </c>
      <c r="N876" s="73" t="str">
        <f>IF(Main[[#This Row],[Tech Start Date]]&lt;1/1/1990,"",IF(Main[[#This Row],[Class]]="C",WORKDAY(Main[[#This Row],[Tech Start Date]],19),IF(Main[[#This Row],[Class]]="B", WORKDAY(Main[[#This Row],[Tech Start Date]],12),IF(Main[[#This Row],[Class]]="A",WORKDAY(Main[[#This Row],[Tech Start Date]],4),""))))</f>
        <v/>
      </c>
      <c r="O876" s="73" t="str">
        <f>IF(Main[[#This Row],[Tech Start Date]]&lt;1/1/1990,"",IF(Main[[#This Row],[Class]]="C",WORKDAY(Main[[#This Row],[Tech Start Date]],23),IF(Main[[#This Row],[Class]]="B", WORKDAY(Main[[#This Row],[Tech Start Date]],15),IF(Main[[#This Row],[Class]]="A",WORKDAY(Main[[#This Row],[Tech Start Date]],5),""))))</f>
        <v/>
      </c>
      <c r="P876" s="73" t="str">
        <f>IF(Main[[#This Row],[Tech Start Date]]&lt;1/1/1990,"",IF(Main[[#This Row],[Class]]="C",WORKDAY(Main[[#This Row],[Tech Start Date]],28),IF(Main[[#This Row],[Class]]="B", WORKDAY(Main[[#This Row],[Tech Start Date]],19),IF(Main[[#This Row],[Class]]="A",WORKDAY(Main[[#This Row],[Tech Start Date]],9),""))))</f>
        <v/>
      </c>
      <c r="Q876" s="85">
        <v>40437</v>
      </c>
      <c r="R876" s="112"/>
      <c r="S876" s="95" t="s">
        <v>6</v>
      </c>
      <c r="T876" s="74" t="s">
        <v>4</v>
      </c>
      <c r="U876" s="95" t="s">
        <v>14</v>
      </c>
      <c r="V876" s="95" t="s">
        <v>1914</v>
      </c>
      <c r="W876" s="95" t="s">
        <v>1913</v>
      </c>
      <c r="X876" s="95" t="s">
        <v>2802</v>
      </c>
      <c r="Y876" s="72" t="s">
        <v>2916</v>
      </c>
      <c r="Z876" s="72" t="s">
        <v>530</v>
      </c>
      <c r="AA876" s="95" t="s">
        <v>2802</v>
      </c>
      <c r="AB876" s="132"/>
      <c r="AC876" s="132"/>
      <c r="AD876" s="132"/>
      <c r="AE876" s="63"/>
      <c r="AF876" s="63"/>
      <c r="AG876" s="63"/>
    </row>
    <row r="877" spans="1:33" ht="17.2" customHeight="1">
      <c r="A877" s="64" t="str">
        <f>IF(priority(Main[[#This Row],[Comments]])&lt;&gt;0, priority(Main[[#This Row],[Comments]]),"")</f>
        <v/>
      </c>
      <c r="B877" s="60" t="s">
        <v>2718</v>
      </c>
      <c r="C877" s="72" t="s">
        <v>4</v>
      </c>
      <c r="D877" s="59" t="s">
        <v>2719</v>
      </c>
      <c r="E877" s="85">
        <v>40886.69462962963</v>
      </c>
      <c r="F877" s="85"/>
      <c r="G877" s="64" t="str">
        <f>IF(stdProdLT(Main[[#This Row],[Comments]])=0.1,"N/A",IF(stdProdLT(Main[[#This Row],[Comments]])=0,"",TRIM(stdProdLT(Main[[#This Row],[Comments]]))))</f>
        <v/>
      </c>
      <c r="H877" s="94" t="str">
        <f>IF(OR(Main[[#This Row],[Std. Prod. Lead Time]]="N/A",Main[[#This Row],[Std. Prod. Lead Time]]=""), "",IF(AND(Main[[#This Row],[In Stock Date]]&lt;&gt;"",Main[[#This Row],[Revised Due Date]]&lt;&gt;"",Main[[#This Row],[In Stock Date]]&lt;&gt;""),Main[[#This Row],[In Stock Date]]-Main[[#This Row],[Revised Due Date]],""))</f>
        <v/>
      </c>
      <c r="I877" s="101" t="s">
        <v>4</v>
      </c>
      <c r="J877" s="95" t="s">
        <v>4</v>
      </c>
      <c r="K877" s="95" t="s">
        <v>4</v>
      </c>
      <c r="L877" s="85"/>
      <c r="M877" s="73" t="str">
        <f>IF(Main[[#This Row],[Tech Start Date]]&lt;1/1/1990,"",IF(Main[[#This Row],[Class]]="C",WORKDAY(Main[[#This Row],[Tech Start Date]],9),IF(Main[[#This Row],[Class]]="B", WORKDAY(Main[[#This Row],[Tech Start Date]],6),IF(Main[[#This Row],[Class]]="A",WORKDAY(Main[[#This Row],[Tech Start Date]],2),""))))</f>
        <v/>
      </c>
      <c r="N877" s="73" t="str">
        <f>IF(Main[[#This Row],[Tech Start Date]]&lt;1/1/1990,"",IF(Main[[#This Row],[Class]]="C",WORKDAY(Main[[#This Row],[Tech Start Date]],19),IF(Main[[#This Row],[Class]]="B", WORKDAY(Main[[#This Row],[Tech Start Date]],12),IF(Main[[#This Row],[Class]]="A",WORKDAY(Main[[#This Row],[Tech Start Date]],4),""))))</f>
        <v/>
      </c>
      <c r="O877" s="73" t="str">
        <f>IF(Main[[#This Row],[Tech Start Date]]&lt;1/1/1990,"",IF(Main[[#This Row],[Class]]="C",WORKDAY(Main[[#This Row],[Tech Start Date]],23),IF(Main[[#This Row],[Class]]="B", WORKDAY(Main[[#This Row],[Tech Start Date]],15),IF(Main[[#This Row],[Class]]="A",WORKDAY(Main[[#This Row],[Tech Start Date]],5),""))))</f>
        <v/>
      </c>
      <c r="P877" s="73" t="str">
        <f>IF(Main[[#This Row],[Tech Start Date]]&lt;1/1/1990,"",IF(Main[[#This Row],[Class]]="C",WORKDAY(Main[[#This Row],[Tech Start Date]],28),IF(Main[[#This Row],[Class]]="B", WORKDAY(Main[[#This Row],[Tech Start Date]],19),IF(Main[[#This Row],[Class]]="A",WORKDAY(Main[[#This Row],[Tech Start Date]],9),""))))</f>
        <v/>
      </c>
      <c r="Q877" s="85">
        <v>40959</v>
      </c>
      <c r="R877" s="112"/>
      <c r="S877" s="95" t="s">
        <v>17</v>
      </c>
      <c r="T877" s="74" t="s">
        <v>4</v>
      </c>
      <c r="U877" s="95" t="s">
        <v>7</v>
      </c>
      <c r="V877" s="95" t="s">
        <v>1911</v>
      </c>
      <c r="W877" s="95" t="s">
        <v>4</v>
      </c>
      <c r="X877" s="95" t="s">
        <v>956</v>
      </c>
      <c r="Y877" s="72" t="s">
        <v>3072</v>
      </c>
      <c r="Z877" s="72" t="s">
        <v>4</v>
      </c>
      <c r="AA877" s="95" t="s">
        <v>956</v>
      </c>
      <c r="AB877" s="132"/>
      <c r="AC877" s="132"/>
      <c r="AD877" s="132"/>
      <c r="AE877" s="63"/>
      <c r="AF877" s="63"/>
      <c r="AG877" s="63"/>
    </row>
    <row r="878" spans="1:33" ht="17.2" customHeight="1">
      <c r="A878" s="64" t="str">
        <f>IF(priority(Main[[#This Row],[Comments]])&lt;&gt;0, priority(Main[[#This Row],[Comments]]),"")</f>
        <v/>
      </c>
      <c r="B878" s="60" t="s">
        <v>1693</v>
      </c>
      <c r="C878" s="72" t="s">
        <v>47</v>
      </c>
      <c r="D878" s="59" t="s">
        <v>751</v>
      </c>
      <c r="E878" s="85"/>
      <c r="F878" s="85"/>
      <c r="G878" s="64" t="str">
        <f>IF(stdProdLT(Main[[#This Row],[Comments]])=0.1,"N/A",IF(stdProdLT(Main[[#This Row],[Comments]])=0,"",TRIM(stdProdLT(Main[[#This Row],[Comments]]))))</f>
        <v/>
      </c>
      <c r="H878" s="94" t="str">
        <f>IF(OR(Main[[#This Row],[Std. Prod. Lead Time]]="N/A",Main[[#This Row],[Std. Prod. Lead Time]]=""), "",IF(AND(Main[[#This Row],[In Stock Date]]&lt;&gt;"",Main[[#This Row],[Revised Due Date]]&lt;&gt;"",Main[[#This Row],[In Stock Date]]&lt;&gt;""),Main[[#This Row],[In Stock Date]]-Main[[#This Row],[Revised Due Date]],""))</f>
        <v/>
      </c>
      <c r="I878" s="101" t="s">
        <v>4</v>
      </c>
      <c r="J878" s="95" t="s">
        <v>4</v>
      </c>
      <c r="K878" s="95" t="s">
        <v>4</v>
      </c>
      <c r="L878" s="85"/>
      <c r="M878" s="73" t="str">
        <f>IF(Main[[#This Row],[Tech Start Date]]&lt;1/1/1990,"",IF(Main[[#This Row],[Class]]="C",WORKDAY(Main[[#This Row],[Tech Start Date]],9),IF(Main[[#This Row],[Class]]="B", WORKDAY(Main[[#This Row],[Tech Start Date]],6),IF(Main[[#This Row],[Class]]="A",WORKDAY(Main[[#This Row],[Tech Start Date]],2),""))))</f>
        <v/>
      </c>
      <c r="N878" s="73" t="str">
        <f>IF(Main[[#This Row],[Tech Start Date]]&lt;1/1/1990,"",IF(Main[[#This Row],[Class]]="C",WORKDAY(Main[[#This Row],[Tech Start Date]],19),IF(Main[[#This Row],[Class]]="B", WORKDAY(Main[[#This Row],[Tech Start Date]],12),IF(Main[[#This Row],[Class]]="A",WORKDAY(Main[[#This Row],[Tech Start Date]],4),""))))</f>
        <v/>
      </c>
      <c r="O878" s="73" t="str">
        <f>IF(Main[[#This Row],[Tech Start Date]]&lt;1/1/1990,"",IF(Main[[#This Row],[Class]]="C",WORKDAY(Main[[#This Row],[Tech Start Date]],23),IF(Main[[#This Row],[Class]]="B", WORKDAY(Main[[#This Row],[Tech Start Date]],15),IF(Main[[#This Row],[Class]]="A",WORKDAY(Main[[#This Row],[Tech Start Date]],5),""))))</f>
        <v/>
      </c>
      <c r="P878" s="73" t="str">
        <f>IF(Main[[#This Row],[Tech Start Date]]&lt;1/1/1990,"",IF(Main[[#This Row],[Class]]="C",WORKDAY(Main[[#This Row],[Tech Start Date]],28),IF(Main[[#This Row],[Class]]="B", WORKDAY(Main[[#This Row],[Tech Start Date]],19),IF(Main[[#This Row],[Class]]="A",WORKDAY(Main[[#This Row],[Tech Start Date]],9),""))))</f>
        <v/>
      </c>
      <c r="Q878" s="85"/>
      <c r="R878" s="112"/>
      <c r="S878" s="95" t="s">
        <v>49</v>
      </c>
      <c r="T878" s="74" t="s">
        <v>4</v>
      </c>
      <c r="U878" s="95" t="s">
        <v>14</v>
      </c>
      <c r="V878" s="95" t="s">
        <v>1914</v>
      </c>
      <c r="W878" s="95" t="s">
        <v>1915</v>
      </c>
      <c r="X878" s="95" t="s">
        <v>306</v>
      </c>
      <c r="Y878" s="72" t="s">
        <v>2919</v>
      </c>
      <c r="Z878" s="72" t="s">
        <v>4</v>
      </c>
      <c r="AA878" s="95" t="s">
        <v>3337</v>
      </c>
      <c r="AB878" s="132"/>
      <c r="AC878" s="132"/>
      <c r="AD878" s="132"/>
      <c r="AE878" s="63"/>
      <c r="AF878" s="63"/>
      <c r="AG878" s="63"/>
    </row>
    <row r="879" spans="1:33" ht="17.2" customHeight="1">
      <c r="A879" s="64" t="str">
        <f>IF(priority(Main[[#This Row],[Comments]])&lt;&gt;0, priority(Main[[#This Row],[Comments]]),"")</f>
        <v/>
      </c>
      <c r="B879" s="60" t="s">
        <v>2091</v>
      </c>
      <c r="C879" s="72" t="s">
        <v>951</v>
      </c>
      <c r="D879" s="59" t="s">
        <v>2092</v>
      </c>
      <c r="E879" s="85"/>
      <c r="F879" s="85">
        <v>40871</v>
      </c>
      <c r="G879" s="64" t="str">
        <f>IF(stdProdLT(Main[[#This Row],[Comments]])=0.1,"N/A",IF(stdProdLT(Main[[#This Row],[Comments]])=0,"",TRIM(stdProdLT(Main[[#This Row],[Comments]]))))</f>
        <v/>
      </c>
      <c r="H879" s="94" t="str">
        <f>IF(OR(Main[[#This Row],[Std. Prod. Lead Time]]="N/A",Main[[#This Row],[Std. Prod. Lead Time]]=""), "",IF(AND(Main[[#This Row],[In Stock Date]]&lt;&gt;"",Main[[#This Row],[Revised Due Date]]&lt;&gt;"",Main[[#This Row],[In Stock Date]]&lt;&gt;""),Main[[#This Row],[In Stock Date]]-Main[[#This Row],[Revised Due Date]],""))</f>
        <v/>
      </c>
      <c r="I879" s="101" t="s">
        <v>4</v>
      </c>
      <c r="J879" s="95" t="s">
        <v>4</v>
      </c>
      <c r="K879" s="95" t="s">
        <v>4</v>
      </c>
      <c r="L879" s="85"/>
      <c r="M879" s="73" t="str">
        <f>IF(Main[[#This Row],[Tech Start Date]]&lt;1/1/1990,"",IF(Main[[#This Row],[Class]]="C",WORKDAY(Main[[#This Row],[Tech Start Date]],9),IF(Main[[#This Row],[Class]]="B", WORKDAY(Main[[#This Row],[Tech Start Date]],6),IF(Main[[#This Row],[Class]]="A",WORKDAY(Main[[#This Row],[Tech Start Date]],2),""))))</f>
        <v/>
      </c>
      <c r="N879" s="73" t="str">
        <f>IF(Main[[#This Row],[Tech Start Date]]&lt;1/1/1990,"",IF(Main[[#This Row],[Class]]="C",WORKDAY(Main[[#This Row],[Tech Start Date]],19),IF(Main[[#This Row],[Class]]="B", WORKDAY(Main[[#This Row],[Tech Start Date]],12),IF(Main[[#This Row],[Class]]="A",WORKDAY(Main[[#This Row],[Tech Start Date]],4),""))))</f>
        <v/>
      </c>
      <c r="O879" s="73" t="str">
        <f>IF(Main[[#This Row],[Tech Start Date]]&lt;1/1/1990,"",IF(Main[[#This Row],[Class]]="C",WORKDAY(Main[[#This Row],[Tech Start Date]],23),IF(Main[[#This Row],[Class]]="B", WORKDAY(Main[[#This Row],[Tech Start Date]],15),IF(Main[[#This Row],[Class]]="A",WORKDAY(Main[[#This Row],[Tech Start Date]],5),""))))</f>
        <v/>
      </c>
      <c r="P879" s="73" t="str">
        <f>IF(Main[[#This Row],[Tech Start Date]]&lt;1/1/1990,"",IF(Main[[#This Row],[Class]]="C",WORKDAY(Main[[#This Row],[Tech Start Date]],28),IF(Main[[#This Row],[Class]]="B", WORKDAY(Main[[#This Row],[Tech Start Date]],19),IF(Main[[#This Row],[Class]]="A",WORKDAY(Main[[#This Row],[Tech Start Date]],9),""))))</f>
        <v/>
      </c>
      <c r="Q879" s="85"/>
      <c r="R879" s="112"/>
      <c r="S879" s="95" t="s">
        <v>11</v>
      </c>
      <c r="T879" s="74" t="s">
        <v>4</v>
      </c>
      <c r="U879" s="95" t="s">
        <v>14</v>
      </c>
      <c r="V879" s="95" t="s">
        <v>1914</v>
      </c>
      <c r="W879" s="95" t="s">
        <v>1919</v>
      </c>
      <c r="X879" s="95" t="s">
        <v>50</v>
      </c>
      <c r="Y879" s="72" t="s">
        <v>2939</v>
      </c>
      <c r="Z879" s="72" t="s">
        <v>4</v>
      </c>
      <c r="AA879" s="95" t="s">
        <v>50</v>
      </c>
      <c r="AB879" s="132"/>
      <c r="AC879" s="132"/>
      <c r="AD879" s="132"/>
      <c r="AE879" s="63"/>
      <c r="AF879" s="63"/>
      <c r="AG879" s="63"/>
    </row>
    <row r="880" spans="1:33" ht="17.2" customHeight="1">
      <c r="A880" s="64" t="str">
        <f>IF(priority(Main[[#This Row],[Comments]])&lt;&gt;0, priority(Main[[#This Row],[Comments]]),"")</f>
        <v/>
      </c>
      <c r="B880" s="60" t="s">
        <v>3472</v>
      </c>
      <c r="C880" s="72" t="s">
        <v>4</v>
      </c>
      <c r="D880" s="59" t="s">
        <v>3473</v>
      </c>
      <c r="E880" s="85">
        <v>40948.373171296298</v>
      </c>
      <c r="F880" s="85"/>
      <c r="G880" s="64" t="str">
        <f>IF(stdProdLT(Main[[#This Row],[Comments]])=0.1,"N/A",IF(stdProdLT(Main[[#This Row],[Comments]])=0,"",TRIM(stdProdLT(Main[[#This Row],[Comments]]))))</f>
        <v/>
      </c>
      <c r="H880" s="94" t="str">
        <f>IF(OR(Main[[#This Row],[Std. Prod. Lead Time]]="N/A",Main[[#This Row],[Std. Prod. Lead Time]]=""), "",IF(AND(Main[[#This Row],[In Stock Date]]&lt;&gt;"",Main[[#This Row],[Revised Due Date]]&lt;&gt;"",Main[[#This Row],[In Stock Date]]&lt;&gt;""),Main[[#This Row],[In Stock Date]]-Main[[#This Row],[Revised Due Date]],""))</f>
        <v/>
      </c>
      <c r="I880" s="101" t="s">
        <v>4</v>
      </c>
      <c r="J880" s="95" t="s">
        <v>4</v>
      </c>
      <c r="K880" s="96" t="s">
        <v>4</v>
      </c>
      <c r="L880" s="85"/>
      <c r="M880" s="73" t="str">
        <f>IF(Main[[#This Row],[Tech Start Date]]&lt;1/1/1990,"",IF(Main[[#This Row],[Class]]="C",WORKDAY(Main[[#This Row],[Tech Start Date]],9),IF(Main[[#This Row],[Class]]="B", WORKDAY(Main[[#This Row],[Tech Start Date]],6),IF(Main[[#This Row],[Class]]="A",WORKDAY(Main[[#This Row],[Tech Start Date]],2),""))))</f>
        <v/>
      </c>
      <c r="N880" s="73" t="str">
        <f>IF(Main[[#This Row],[Tech Start Date]]&lt;1/1/1990,"",IF(Main[[#This Row],[Class]]="C",WORKDAY(Main[[#This Row],[Tech Start Date]],19),IF(Main[[#This Row],[Class]]="B", WORKDAY(Main[[#This Row],[Tech Start Date]],12),IF(Main[[#This Row],[Class]]="A",WORKDAY(Main[[#This Row],[Tech Start Date]],4),""))))</f>
        <v/>
      </c>
      <c r="O880" s="73" t="str">
        <f>IF(Main[[#This Row],[Tech Start Date]]&lt;1/1/1990,"",IF(Main[[#This Row],[Class]]="C",WORKDAY(Main[[#This Row],[Tech Start Date]],23),IF(Main[[#This Row],[Class]]="B", WORKDAY(Main[[#This Row],[Tech Start Date]],15),IF(Main[[#This Row],[Class]]="A",WORKDAY(Main[[#This Row],[Tech Start Date]],5),""))))</f>
        <v/>
      </c>
      <c r="P880" s="73" t="str">
        <f>IF(Main[[#This Row],[Tech Start Date]]&lt;1/1/1990,"",IF(Main[[#This Row],[Class]]="C",WORKDAY(Main[[#This Row],[Tech Start Date]],28),IF(Main[[#This Row],[Class]]="B", WORKDAY(Main[[#This Row],[Tech Start Date]],19),IF(Main[[#This Row],[Class]]="A",WORKDAY(Main[[#This Row],[Tech Start Date]],9),""))))</f>
        <v/>
      </c>
      <c r="Q880" s="85">
        <v>40977</v>
      </c>
      <c r="R880" s="112"/>
      <c r="S880" s="95" t="s">
        <v>6</v>
      </c>
      <c r="T880" s="74" t="s">
        <v>4</v>
      </c>
      <c r="U880" s="95" t="s">
        <v>7</v>
      </c>
      <c r="V880" s="95" t="s">
        <v>1911</v>
      </c>
      <c r="W880" s="95" t="s">
        <v>4</v>
      </c>
      <c r="X880" s="95" t="s">
        <v>2802</v>
      </c>
      <c r="Y880" s="72" t="s">
        <v>2916</v>
      </c>
      <c r="Z880" s="72" t="s">
        <v>4</v>
      </c>
      <c r="AA880" s="95" t="s">
        <v>2802</v>
      </c>
      <c r="AB880" s="132"/>
      <c r="AC880" s="132"/>
      <c r="AD880" s="132"/>
      <c r="AE880" s="63"/>
      <c r="AF880" s="63"/>
      <c r="AG880" s="63"/>
    </row>
    <row r="881" spans="1:33" ht="17.2" customHeight="1">
      <c r="A881" s="64" t="str">
        <f>IF(priority(Main[[#This Row],[Comments]])&lt;&gt;0, priority(Main[[#This Row],[Comments]]),"")</f>
        <v/>
      </c>
      <c r="B881" s="60" t="s">
        <v>1895</v>
      </c>
      <c r="C881" s="72" t="s">
        <v>72</v>
      </c>
      <c r="D881" s="59" t="s">
        <v>2105</v>
      </c>
      <c r="E881" s="85">
        <v>40469.926608796297</v>
      </c>
      <c r="F881" s="85">
        <v>40487</v>
      </c>
      <c r="G881" s="64" t="str">
        <f>IF(stdProdLT(Main[[#This Row],[Comments]])=0.1,"N/A",IF(stdProdLT(Main[[#This Row],[Comments]])=0,"",TRIM(stdProdLT(Main[[#This Row],[Comments]]))))</f>
        <v>42</v>
      </c>
      <c r="H881" s="94">
        <f>IF(OR(Main[[#This Row],[Std. Prod. Lead Time]]="N/A",Main[[#This Row],[Std. Prod. Lead Time]]=""), "",IF(AND(Main[[#This Row],[In Stock Date]]&lt;&gt;"",Main[[#This Row],[Revised Due Date]]&lt;&gt;"",Main[[#This Row],[In Stock Date]]&lt;&gt;""),Main[[#This Row],[In Stock Date]]-Main[[#This Row],[Revised Due Date]],""))</f>
        <v>-294</v>
      </c>
      <c r="I881" s="101" t="s">
        <v>2047</v>
      </c>
      <c r="J881" s="95" t="s">
        <v>52</v>
      </c>
      <c r="K881" s="95" t="s">
        <v>1924</v>
      </c>
      <c r="L881" s="85"/>
      <c r="M881" s="73" t="str">
        <f>IF(Main[[#This Row],[Tech Start Date]]&lt;1/1/1990,"",IF(Main[[#This Row],[Class]]="C",WORKDAY(Main[[#This Row],[Tech Start Date]],9),IF(Main[[#This Row],[Class]]="B", WORKDAY(Main[[#This Row],[Tech Start Date]],6),IF(Main[[#This Row],[Class]]="A",WORKDAY(Main[[#This Row],[Tech Start Date]],2),""))))</f>
        <v/>
      </c>
      <c r="N881" s="73" t="str">
        <f>IF(Main[[#This Row],[Tech Start Date]]&lt;1/1/1990,"",IF(Main[[#This Row],[Class]]="C",WORKDAY(Main[[#This Row],[Tech Start Date]],19),IF(Main[[#This Row],[Class]]="B", WORKDAY(Main[[#This Row],[Tech Start Date]],12),IF(Main[[#This Row],[Class]]="A",WORKDAY(Main[[#This Row],[Tech Start Date]],4),""))))</f>
        <v/>
      </c>
      <c r="O881" s="73" t="str">
        <f>IF(Main[[#This Row],[Tech Start Date]]&lt;1/1/1990,"",IF(Main[[#This Row],[Class]]="C",WORKDAY(Main[[#This Row],[Tech Start Date]],23),IF(Main[[#This Row],[Class]]="B", WORKDAY(Main[[#This Row],[Tech Start Date]],15),IF(Main[[#This Row],[Class]]="A",WORKDAY(Main[[#This Row],[Tech Start Date]],5),""))))</f>
        <v/>
      </c>
      <c r="P881" s="73" t="str">
        <f>IF(Main[[#This Row],[Tech Start Date]]&lt;1/1/1990,"",IF(Main[[#This Row],[Class]]="C",WORKDAY(Main[[#This Row],[Tech Start Date]],28),IF(Main[[#This Row],[Class]]="B", WORKDAY(Main[[#This Row],[Tech Start Date]],19),IF(Main[[#This Row],[Class]]="A",WORKDAY(Main[[#This Row],[Tech Start Date]],9),""))))</f>
        <v/>
      </c>
      <c r="Q881" s="85"/>
      <c r="R881" s="112">
        <v>40781</v>
      </c>
      <c r="S881" s="95" t="s">
        <v>6</v>
      </c>
      <c r="T881" s="74" t="s">
        <v>2106</v>
      </c>
      <c r="U881" s="95" t="s">
        <v>29</v>
      </c>
      <c r="V881" s="95" t="s">
        <v>1912</v>
      </c>
      <c r="W881" s="95" t="s">
        <v>1913</v>
      </c>
      <c r="X881" s="95" t="s">
        <v>2881</v>
      </c>
      <c r="Y881" s="72" t="s">
        <v>3057</v>
      </c>
      <c r="Z881" s="72" t="s">
        <v>108</v>
      </c>
      <c r="AA881" s="95" t="s">
        <v>2881</v>
      </c>
      <c r="AB881" s="132">
        <v>40701</v>
      </c>
      <c r="AC881" s="132">
        <v>40707</v>
      </c>
      <c r="AD881" s="132"/>
      <c r="AE881" s="63"/>
      <c r="AF881" s="63"/>
      <c r="AG881" s="63"/>
    </row>
    <row r="882" spans="1:33" ht="17.2" customHeight="1">
      <c r="A882" s="64" t="str">
        <f>IF(priority(Main[[#This Row],[Comments]])&lt;&gt;0, priority(Main[[#This Row],[Comments]]),"")</f>
        <v/>
      </c>
      <c r="B882" s="60" t="s">
        <v>1650</v>
      </c>
      <c r="C882" s="72" t="s">
        <v>4</v>
      </c>
      <c r="D882" s="59" t="s">
        <v>718</v>
      </c>
      <c r="E882" s="85"/>
      <c r="F882" s="85">
        <v>40598</v>
      </c>
      <c r="G882" s="64" t="str">
        <f>IF(stdProdLT(Main[[#This Row],[Comments]])=0.1,"N/A",IF(stdProdLT(Main[[#This Row],[Comments]])=0,"",TRIM(stdProdLT(Main[[#This Row],[Comments]]))))</f>
        <v/>
      </c>
      <c r="H882" s="94" t="str">
        <f>IF(OR(Main[[#This Row],[Std. Prod. Lead Time]]="N/A",Main[[#This Row],[Std. Prod. Lead Time]]=""), "",IF(AND(Main[[#This Row],[In Stock Date]]&lt;&gt;"",Main[[#This Row],[Revised Due Date]]&lt;&gt;"",Main[[#This Row],[In Stock Date]]&lt;&gt;""),Main[[#This Row],[In Stock Date]]-Main[[#This Row],[Revised Due Date]],""))</f>
        <v/>
      </c>
      <c r="I882" s="101" t="s">
        <v>306</v>
      </c>
      <c r="J882" s="95" t="s">
        <v>75</v>
      </c>
      <c r="K882" s="96" t="s">
        <v>4</v>
      </c>
      <c r="L882" s="85"/>
      <c r="M882" s="73" t="str">
        <f>IF(Main[[#This Row],[Tech Start Date]]&lt;1/1/1990,"",IF(Main[[#This Row],[Class]]="C",WORKDAY(Main[[#This Row],[Tech Start Date]],9),IF(Main[[#This Row],[Class]]="B", WORKDAY(Main[[#This Row],[Tech Start Date]],6),IF(Main[[#This Row],[Class]]="A",WORKDAY(Main[[#This Row],[Tech Start Date]],2),""))))</f>
        <v/>
      </c>
      <c r="N882" s="73" t="str">
        <f>IF(Main[[#This Row],[Tech Start Date]]&lt;1/1/1990,"",IF(Main[[#This Row],[Class]]="C",WORKDAY(Main[[#This Row],[Tech Start Date]],19),IF(Main[[#This Row],[Class]]="B", WORKDAY(Main[[#This Row],[Tech Start Date]],12),IF(Main[[#This Row],[Class]]="A",WORKDAY(Main[[#This Row],[Tech Start Date]],4),""))))</f>
        <v/>
      </c>
      <c r="O882" s="73" t="str">
        <f>IF(Main[[#This Row],[Tech Start Date]]&lt;1/1/1990,"",IF(Main[[#This Row],[Class]]="C",WORKDAY(Main[[#This Row],[Tech Start Date]],23),IF(Main[[#This Row],[Class]]="B", WORKDAY(Main[[#This Row],[Tech Start Date]],15),IF(Main[[#This Row],[Class]]="A",WORKDAY(Main[[#This Row],[Tech Start Date]],5),""))))</f>
        <v/>
      </c>
      <c r="P882" s="73" t="str">
        <f>IF(Main[[#This Row],[Tech Start Date]]&lt;1/1/1990,"",IF(Main[[#This Row],[Class]]="C",WORKDAY(Main[[#This Row],[Tech Start Date]],28),IF(Main[[#This Row],[Class]]="B", WORKDAY(Main[[#This Row],[Tech Start Date]],19),IF(Main[[#This Row],[Class]]="A",WORKDAY(Main[[#This Row],[Tech Start Date]],9),""))))</f>
        <v/>
      </c>
      <c r="Q882" s="85">
        <v>40598</v>
      </c>
      <c r="R882" s="112"/>
      <c r="S882" s="95" t="s">
        <v>6</v>
      </c>
      <c r="T882" s="74" t="s">
        <v>4</v>
      </c>
      <c r="U882" s="95" t="s">
        <v>14</v>
      </c>
      <c r="V882" s="95" t="s">
        <v>1921</v>
      </c>
      <c r="W882" s="95" t="s">
        <v>1917</v>
      </c>
      <c r="X882" s="95" t="s">
        <v>2828</v>
      </c>
      <c r="Y882" s="72" t="s">
        <v>2957</v>
      </c>
      <c r="Z882" s="72" t="s">
        <v>306</v>
      </c>
      <c r="AA882" s="95" t="s">
        <v>2828</v>
      </c>
      <c r="AB882" s="132">
        <v>40592</v>
      </c>
      <c r="AC882" s="132">
        <v>40603</v>
      </c>
      <c r="AD882" s="132"/>
      <c r="AE882" s="63"/>
      <c r="AF882" s="63"/>
      <c r="AG882" s="63"/>
    </row>
    <row r="883" spans="1:33" ht="17.2" customHeight="1">
      <c r="A883" s="64" t="str">
        <f>IF(priority(Main[[#This Row],[Comments]])&lt;&gt;0, priority(Main[[#This Row],[Comments]]),"")</f>
        <v/>
      </c>
      <c r="B883" s="60" t="s">
        <v>1651</v>
      </c>
      <c r="C883" s="72" t="s">
        <v>347</v>
      </c>
      <c r="D883" s="59" t="s">
        <v>719</v>
      </c>
      <c r="E883" s="85"/>
      <c r="F883" s="85"/>
      <c r="G883" s="64" t="str">
        <f>IF(stdProdLT(Main[[#This Row],[Comments]])=0.1,"N/A",IF(stdProdLT(Main[[#This Row],[Comments]])=0,"",TRIM(stdProdLT(Main[[#This Row],[Comments]]))))</f>
        <v/>
      </c>
      <c r="H883" s="94" t="str">
        <f>IF(OR(Main[[#This Row],[Std. Prod. Lead Time]]="N/A",Main[[#This Row],[Std. Prod. Lead Time]]=""), "",IF(AND(Main[[#This Row],[In Stock Date]]&lt;&gt;"",Main[[#This Row],[Revised Due Date]]&lt;&gt;"",Main[[#This Row],[In Stock Date]]&lt;&gt;""),Main[[#This Row],[In Stock Date]]-Main[[#This Row],[Revised Due Date]],""))</f>
        <v/>
      </c>
      <c r="I883" s="101" t="s">
        <v>4</v>
      </c>
      <c r="J883" s="95" t="s">
        <v>28</v>
      </c>
      <c r="K883" s="95" t="s">
        <v>1923</v>
      </c>
      <c r="L883" s="85"/>
      <c r="M883" s="73" t="str">
        <f>IF(Main[[#This Row],[Tech Start Date]]&lt;1/1/1990,"",IF(Main[[#This Row],[Class]]="C",WORKDAY(Main[[#This Row],[Tech Start Date]],9),IF(Main[[#This Row],[Class]]="B", WORKDAY(Main[[#This Row],[Tech Start Date]],6),IF(Main[[#This Row],[Class]]="A",WORKDAY(Main[[#This Row],[Tech Start Date]],2),""))))</f>
        <v/>
      </c>
      <c r="N883" s="73" t="str">
        <f>IF(Main[[#This Row],[Tech Start Date]]&lt;1/1/1990,"",IF(Main[[#This Row],[Class]]="C",WORKDAY(Main[[#This Row],[Tech Start Date]],19),IF(Main[[#This Row],[Class]]="B", WORKDAY(Main[[#This Row],[Tech Start Date]],12),IF(Main[[#This Row],[Class]]="A",WORKDAY(Main[[#This Row],[Tech Start Date]],4),""))))</f>
        <v/>
      </c>
      <c r="O883" s="73" t="str">
        <f>IF(Main[[#This Row],[Tech Start Date]]&lt;1/1/1990,"",IF(Main[[#This Row],[Class]]="C",WORKDAY(Main[[#This Row],[Tech Start Date]],23),IF(Main[[#This Row],[Class]]="B", WORKDAY(Main[[#This Row],[Tech Start Date]],15),IF(Main[[#This Row],[Class]]="A",WORKDAY(Main[[#This Row],[Tech Start Date]],5),""))))</f>
        <v/>
      </c>
      <c r="P883" s="73" t="str">
        <f>IF(Main[[#This Row],[Tech Start Date]]&lt;1/1/1990,"",IF(Main[[#This Row],[Class]]="C",WORKDAY(Main[[#This Row],[Tech Start Date]],28),IF(Main[[#This Row],[Class]]="B", WORKDAY(Main[[#This Row],[Tech Start Date]],19),IF(Main[[#This Row],[Class]]="A",WORKDAY(Main[[#This Row],[Tech Start Date]],9),""))))</f>
        <v/>
      </c>
      <c r="Q883" s="85"/>
      <c r="R883" s="112"/>
      <c r="S883" s="95" t="s">
        <v>17</v>
      </c>
      <c r="T883" s="74" t="s">
        <v>4</v>
      </c>
      <c r="U883" s="95" t="s">
        <v>14</v>
      </c>
      <c r="V883" s="95" t="s">
        <v>1914</v>
      </c>
      <c r="W883" s="95" t="s">
        <v>1916</v>
      </c>
      <c r="X883" s="95" t="s">
        <v>50</v>
      </c>
      <c r="Y883" s="72" t="s">
        <v>3071</v>
      </c>
      <c r="Z883" s="72" t="s">
        <v>415</v>
      </c>
      <c r="AA883" s="95" t="s">
        <v>2852</v>
      </c>
      <c r="AB883" s="132"/>
      <c r="AC883" s="132"/>
      <c r="AD883" s="132"/>
      <c r="AE883" s="63"/>
      <c r="AF883" s="63"/>
      <c r="AG883" s="63"/>
    </row>
    <row r="884" spans="1:33" ht="17.2" customHeight="1">
      <c r="A884" s="64" t="str">
        <f>IF(priority(Main[[#This Row],[Comments]])&lt;&gt;0, priority(Main[[#This Row],[Comments]]),"")</f>
        <v/>
      </c>
      <c r="B884" s="60" t="s">
        <v>1653</v>
      </c>
      <c r="C884" s="72" t="s">
        <v>31</v>
      </c>
      <c r="D884" s="59" t="s">
        <v>388</v>
      </c>
      <c r="E884" s="85"/>
      <c r="F884" s="85">
        <v>40288</v>
      </c>
      <c r="G884" s="64" t="str">
        <f>IF(stdProdLT(Main[[#This Row],[Comments]])=0.1,"N/A",IF(stdProdLT(Main[[#This Row],[Comments]])=0,"",TRIM(stdProdLT(Main[[#This Row],[Comments]]))))</f>
        <v/>
      </c>
      <c r="H884" s="94" t="str">
        <f>IF(OR(Main[[#This Row],[Std. Prod. Lead Time]]="N/A",Main[[#This Row],[Std. Prod. Lead Time]]=""), "",IF(AND(Main[[#This Row],[In Stock Date]]&lt;&gt;"",Main[[#This Row],[Revised Due Date]]&lt;&gt;"",Main[[#This Row],[In Stock Date]]&lt;&gt;""),Main[[#This Row],[In Stock Date]]-Main[[#This Row],[Revised Due Date]],""))</f>
        <v/>
      </c>
      <c r="I884" s="101" t="s">
        <v>4</v>
      </c>
      <c r="J884" s="95" t="s">
        <v>4</v>
      </c>
      <c r="K884" s="95" t="s">
        <v>4</v>
      </c>
      <c r="L884" s="85"/>
      <c r="M884" s="73" t="str">
        <f>IF(Main[[#This Row],[Tech Start Date]]&lt;1/1/1990,"",IF(Main[[#This Row],[Class]]="C",WORKDAY(Main[[#This Row],[Tech Start Date]],9),IF(Main[[#This Row],[Class]]="B", WORKDAY(Main[[#This Row],[Tech Start Date]],6),IF(Main[[#This Row],[Class]]="A",WORKDAY(Main[[#This Row],[Tech Start Date]],2),""))))</f>
        <v/>
      </c>
      <c r="N884" s="73" t="str">
        <f>IF(Main[[#This Row],[Tech Start Date]]&lt;1/1/1990,"",IF(Main[[#This Row],[Class]]="C",WORKDAY(Main[[#This Row],[Tech Start Date]],19),IF(Main[[#This Row],[Class]]="B", WORKDAY(Main[[#This Row],[Tech Start Date]],12),IF(Main[[#This Row],[Class]]="A",WORKDAY(Main[[#This Row],[Tech Start Date]],4),""))))</f>
        <v/>
      </c>
      <c r="O884" s="73" t="str">
        <f>IF(Main[[#This Row],[Tech Start Date]]&lt;1/1/1990,"",IF(Main[[#This Row],[Class]]="C",WORKDAY(Main[[#This Row],[Tech Start Date]],23),IF(Main[[#This Row],[Class]]="B", WORKDAY(Main[[#This Row],[Tech Start Date]],15),IF(Main[[#This Row],[Class]]="A",WORKDAY(Main[[#This Row],[Tech Start Date]],5),""))))</f>
        <v/>
      </c>
      <c r="P884" s="73" t="str">
        <f>IF(Main[[#This Row],[Tech Start Date]]&lt;1/1/1990,"",IF(Main[[#This Row],[Class]]="C",WORKDAY(Main[[#This Row],[Tech Start Date]],28),IF(Main[[#This Row],[Class]]="B", WORKDAY(Main[[#This Row],[Tech Start Date]],19),IF(Main[[#This Row],[Class]]="A",WORKDAY(Main[[#This Row],[Tech Start Date]],9),""))))</f>
        <v/>
      </c>
      <c r="Q884" s="85">
        <v>40106</v>
      </c>
      <c r="R884" s="112"/>
      <c r="S884" s="95" t="s">
        <v>11</v>
      </c>
      <c r="T884" s="74" t="s">
        <v>4</v>
      </c>
      <c r="U884" s="95" t="s">
        <v>14</v>
      </c>
      <c r="V884" s="95" t="s">
        <v>1914</v>
      </c>
      <c r="W884" s="95" t="s">
        <v>1922</v>
      </c>
      <c r="X884" s="95" t="s">
        <v>2810</v>
      </c>
      <c r="Y884" s="72" t="s">
        <v>4</v>
      </c>
      <c r="Z884" s="72" t="s">
        <v>4</v>
      </c>
      <c r="AA884" s="95" t="s">
        <v>2810</v>
      </c>
      <c r="AB884" s="132"/>
      <c r="AC884" s="132"/>
      <c r="AD884" s="132"/>
      <c r="AE884" s="63"/>
      <c r="AF884" s="63"/>
      <c r="AG884" s="63"/>
    </row>
    <row r="885" spans="1:33" ht="17.2" customHeight="1">
      <c r="A885" s="64" t="str">
        <f>IF(priority(Main[[#This Row],[Comments]])&lt;&gt;0, priority(Main[[#This Row],[Comments]]),"")</f>
        <v/>
      </c>
      <c r="B885" s="60" t="s">
        <v>1654</v>
      </c>
      <c r="C885" s="72" t="s">
        <v>4</v>
      </c>
      <c r="D885" s="59" t="s">
        <v>721</v>
      </c>
      <c r="E885" s="85"/>
      <c r="F885" s="85">
        <v>40640</v>
      </c>
      <c r="G885" s="64" t="str">
        <f>IF(stdProdLT(Main[[#This Row],[Comments]])=0.1,"N/A",IF(stdProdLT(Main[[#This Row],[Comments]])=0,"",TRIM(stdProdLT(Main[[#This Row],[Comments]]))))</f>
        <v/>
      </c>
      <c r="H885" s="94" t="str">
        <f>IF(OR(Main[[#This Row],[Std. Prod. Lead Time]]="N/A",Main[[#This Row],[Std. Prod. Lead Time]]=""), "",IF(AND(Main[[#This Row],[In Stock Date]]&lt;&gt;"",Main[[#This Row],[Revised Due Date]]&lt;&gt;"",Main[[#This Row],[In Stock Date]]&lt;&gt;""),Main[[#This Row],[In Stock Date]]-Main[[#This Row],[Revised Due Date]],""))</f>
        <v/>
      </c>
      <c r="I885" s="101" t="s">
        <v>4</v>
      </c>
      <c r="J885" s="95" t="s">
        <v>28</v>
      </c>
      <c r="K885" s="95" t="s">
        <v>1924</v>
      </c>
      <c r="L885" s="85"/>
      <c r="M885" s="73" t="str">
        <f>IF(Main[[#This Row],[Tech Start Date]]&lt;1/1/1990,"",IF(Main[[#This Row],[Class]]="C",WORKDAY(Main[[#This Row],[Tech Start Date]],9),IF(Main[[#This Row],[Class]]="B", WORKDAY(Main[[#This Row],[Tech Start Date]],6),IF(Main[[#This Row],[Class]]="A",WORKDAY(Main[[#This Row],[Tech Start Date]],2),""))))</f>
        <v/>
      </c>
      <c r="N885" s="73" t="str">
        <f>IF(Main[[#This Row],[Tech Start Date]]&lt;1/1/1990,"",IF(Main[[#This Row],[Class]]="C",WORKDAY(Main[[#This Row],[Tech Start Date]],19),IF(Main[[#This Row],[Class]]="B", WORKDAY(Main[[#This Row],[Tech Start Date]],12),IF(Main[[#This Row],[Class]]="A",WORKDAY(Main[[#This Row],[Tech Start Date]],4),""))))</f>
        <v/>
      </c>
      <c r="O885" s="73" t="str">
        <f>IF(Main[[#This Row],[Tech Start Date]]&lt;1/1/1990,"",IF(Main[[#This Row],[Class]]="C",WORKDAY(Main[[#This Row],[Tech Start Date]],23),IF(Main[[#This Row],[Class]]="B", WORKDAY(Main[[#This Row],[Tech Start Date]],15),IF(Main[[#This Row],[Class]]="A",WORKDAY(Main[[#This Row],[Tech Start Date]],5),""))))</f>
        <v/>
      </c>
      <c r="P885" s="73" t="str">
        <f>IF(Main[[#This Row],[Tech Start Date]]&lt;1/1/1990,"",IF(Main[[#This Row],[Class]]="C",WORKDAY(Main[[#This Row],[Tech Start Date]],28),IF(Main[[#This Row],[Class]]="B", WORKDAY(Main[[#This Row],[Tech Start Date]],19),IF(Main[[#This Row],[Class]]="A",WORKDAY(Main[[#This Row],[Tech Start Date]],9),""))))</f>
        <v/>
      </c>
      <c r="Q885" s="85">
        <v>40640</v>
      </c>
      <c r="R885" s="112"/>
      <c r="S885" s="95" t="s">
        <v>11</v>
      </c>
      <c r="T885" s="74" t="s">
        <v>4</v>
      </c>
      <c r="U885" s="95" t="s">
        <v>14</v>
      </c>
      <c r="V885" s="95" t="s">
        <v>1911</v>
      </c>
      <c r="W885" s="95" t="s">
        <v>1919</v>
      </c>
      <c r="X885" s="95" t="s">
        <v>2841</v>
      </c>
      <c r="Y885" s="72" t="s">
        <v>2983</v>
      </c>
      <c r="Z885" s="72" t="s">
        <v>129</v>
      </c>
      <c r="AA885" s="95" t="s">
        <v>2841</v>
      </c>
      <c r="AB885" s="132"/>
      <c r="AC885" s="132"/>
      <c r="AD885" s="132"/>
      <c r="AE885" s="63"/>
      <c r="AF885" s="63"/>
      <c r="AG885" s="63"/>
    </row>
    <row r="886" spans="1:33" ht="17.2" customHeight="1">
      <c r="A886" s="64" t="str">
        <f>IF(priority(Main[[#This Row],[Comments]])&lt;&gt;0, priority(Main[[#This Row],[Comments]]),"")</f>
        <v/>
      </c>
      <c r="B886" s="60" t="s">
        <v>1655</v>
      </c>
      <c r="C886" s="72" t="s">
        <v>4</v>
      </c>
      <c r="D886" s="59" t="s">
        <v>722</v>
      </c>
      <c r="E886" s="85"/>
      <c r="F886" s="85"/>
      <c r="G886" s="64" t="str">
        <f>IF(stdProdLT(Main[[#This Row],[Comments]])=0.1,"N/A",IF(stdProdLT(Main[[#This Row],[Comments]])=0,"",TRIM(stdProdLT(Main[[#This Row],[Comments]]))))</f>
        <v/>
      </c>
      <c r="H886" s="94" t="str">
        <f>IF(OR(Main[[#This Row],[Std. Prod. Lead Time]]="N/A",Main[[#This Row],[Std. Prod. Lead Time]]=""), "",IF(AND(Main[[#This Row],[In Stock Date]]&lt;&gt;"",Main[[#This Row],[Revised Due Date]]&lt;&gt;"",Main[[#This Row],[In Stock Date]]&lt;&gt;""),Main[[#This Row],[In Stock Date]]-Main[[#This Row],[Revised Due Date]],""))</f>
        <v/>
      </c>
      <c r="I886" s="101" t="s">
        <v>4</v>
      </c>
      <c r="J886" s="95" t="s">
        <v>4</v>
      </c>
      <c r="K886" s="95" t="s">
        <v>4</v>
      </c>
      <c r="L886" s="85"/>
      <c r="M886" s="73" t="str">
        <f>IF(Main[[#This Row],[Tech Start Date]]&lt;1/1/1990,"",IF(Main[[#This Row],[Class]]="C",WORKDAY(Main[[#This Row],[Tech Start Date]],9),IF(Main[[#This Row],[Class]]="B", WORKDAY(Main[[#This Row],[Tech Start Date]],6),IF(Main[[#This Row],[Class]]="A",WORKDAY(Main[[#This Row],[Tech Start Date]],2),""))))</f>
        <v/>
      </c>
      <c r="N886" s="73" t="str">
        <f>IF(Main[[#This Row],[Tech Start Date]]&lt;1/1/1990,"",IF(Main[[#This Row],[Class]]="C",WORKDAY(Main[[#This Row],[Tech Start Date]],19),IF(Main[[#This Row],[Class]]="B", WORKDAY(Main[[#This Row],[Tech Start Date]],12),IF(Main[[#This Row],[Class]]="A",WORKDAY(Main[[#This Row],[Tech Start Date]],4),""))))</f>
        <v/>
      </c>
      <c r="O886" s="73" t="str">
        <f>IF(Main[[#This Row],[Tech Start Date]]&lt;1/1/1990,"",IF(Main[[#This Row],[Class]]="C",WORKDAY(Main[[#This Row],[Tech Start Date]],23),IF(Main[[#This Row],[Class]]="B", WORKDAY(Main[[#This Row],[Tech Start Date]],15),IF(Main[[#This Row],[Class]]="A",WORKDAY(Main[[#This Row],[Tech Start Date]],5),""))))</f>
        <v/>
      </c>
      <c r="P886" s="73" t="str">
        <f>IF(Main[[#This Row],[Tech Start Date]]&lt;1/1/1990,"",IF(Main[[#This Row],[Class]]="C",WORKDAY(Main[[#This Row],[Tech Start Date]],28),IF(Main[[#This Row],[Class]]="B", WORKDAY(Main[[#This Row],[Tech Start Date]],19),IF(Main[[#This Row],[Class]]="A",WORKDAY(Main[[#This Row],[Tech Start Date]],9),""))))</f>
        <v/>
      </c>
      <c r="Q886" s="85">
        <v>40385</v>
      </c>
      <c r="R886" s="112"/>
      <c r="S886" s="95" t="s">
        <v>6</v>
      </c>
      <c r="T886" s="74" t="s">
        <v>4</v>
      </c>
      <c r="U886" s="95" t="s">
        <v>14</v>
      </c>
      <c r="V886" s="95" t="s">
        <v>1914</v>
      </c>
      <c r="W886" s="95" t="s">
        <v>1913</v>
      </c>
      <c r="X886" s="95" t="s">
        <v>102</v>
      </c>
      <c r="Y886" s="72" t="s">
        <v>3010</v>
      </c>
      <c r="Z886" s="72" t="s">
        <v>4</v>
      </c>
      <c r="AA886" s="95" t="s">
        <v>3357</v>
      </c>
      <c r="AB886" s="132"/>
      <c r="AC886" s="132"/>
      <c r="AD886" s="132"/>
      <c r="AE886" s="63"/>
      <c r="AF886" s="63"/>
      <c r="AG886" s="63"/>
    </row>
    <row r="887" spans="1:33" ht="17.2" customHeight="1">
      <c r="A887" s="64" t="str">
        <f>IF(priority(Main[[#This Row],[Comments]])&lt;&gt;0, priority(Main[[#This Row],[Comments]]),"")</f>
        <v/>
      </c>
      <c r="B887" s="60" t="s">
        <v>2102</v>
      </c>
      <c r="C887" s="72" t="s">
        <v>2103</v>
      </c>
      <c r="D887" s="59" t="s">
        <v>2104</v>
      </c>
      <c r="E887" s="85">
        <v>40766.692789351851</v>
      </c>
      <c r="F887" s="85"/>
      <c r="G887" s="64" t="str">
        <f>IF(stdProdLT(Main[[#This Row],[Comments]])=0.1,"N/A",IF(stdProdLT(Main[[#This Row],[Comments]])=0,"",TRIM(stdProdLT(Main[[#This Row],[Comments]]))))</f>
        <v/>
      </c>
      <c r="H887" s="94" t="str">
        <f>IF(OR(Main[[#This Row],[Std. Prod. Lead Time]]="N/A",Main[[#This Row],[Std. Prod. Lead Time]]=""), "",IF(AND(Main[[#This Row],[In Stock Date]]&lt;&gt;"",Main[[#This Row],[Revised Due Date]]&lt;&gt;"",Main[[#This Row],[In Stock Date]]&lt;&gt;""),Main[[#This Row],[In Stock Date]]-Main[[#This Row],[Revised Due Date]],""))</f>
        <v/>
      </c>
      <c r="I887" s="101" t="s">
        <v>4</v>
      </c>
      <c r="J887" s="95" t="s">
        <v>4</v>
      </c>
      <c r="K887" s="96" t="s">
        <v>4</v>
      </c>
      <c r="L887" s="85"/>
      <c r="M887" s="73" t="str">
        <f>IF(Main[[#This Row],[Tech Start Date]]&lt;1/1/1990,"",IF(Main[[#This Row],[Class]]="C",WORKDAY(Main[[#This Row],[Tech Start Date]],9),IF(Main[[#This Row],[Class]]="B", WORKDAY(Main[[#This Row],[Tech Start Date]],6),IF(Main[[#This Row],[Class]]="A",WORKDAY(Main[[#This Row],[Tech Start Date]],2),""))))</f>
        <v/>
      </c>
      <c r="N887" s="73" t="str">
        <f>IF(Main[[#This Row],[Tech Start Date]]&lt;1/1/1990,"",IF(Main[[#This Row],[Class]]="C",WORKDAY(Main[[#This Row],[Tech Start Date]],19),IF(Main[[#This Row],[Class]]="B", WORKDAY(Main[[#This Row],[Tech Start Date]],12),IF(Main[[#This Row],[Class]]="A",WORKDAY(Main[[#This Row],[Tech Start Date]],4),""))))</f>
        <v/>
      </c>
      <c r="O887" s="73" t="str">
        <f>IF(Main[[#This Row],[Tech Start Date]]&lt;1/1/1990,"",IF(Main[[#This Row],[Class]]="C",WORKDAY(Main[[#This Row],[Tech Start Date]],23),IF(Main[[#This Row],[Class]]="B", WORKDAY(Main[[#This Row],[Tech Start Date]],15),IF(Main[[#This Row],[Class]]="A",WORKDAY(Main[[#This Row],[Tech Start Date]],5),""))))</f>
        <v/>
      </c>
      <c r="P887" s="73" t="str">
        <f>IF(Main[[#This Row],[Tech Start Date]]&lt;1/1/1990,"",IF(Main[[#This Row],[Class]]="C",WORKDAY(Main[[#This Row],[Tech Start Date]],28),IF(Main[[#This Row],[Class]]="B", WORKDAY(Main[[#This Row],[Tech Start Date]],19),IF(Main[[#This Row],[Class]]="A",WORKDAY(Main[[#This Row],[Tech Start Date]],9),""))))</f>
        <v/>
      </c>
      <c r="Q887" s="85">
        <v>40879</v>
      </c>
      <c r="R887" s="112"/>
      <c r="S887" s="95" t="s">
        <v>17</v>
      </c>
      <c r="T887" s="74" t="s">
        <v>4</v>
      </c>
      <c r="U887" s="95" t="s">
        <v>7</v>
      </c>
      <c r="V887" s="95" t="s">
        <v>1926</v>
      </c>
      <c r="W887" s="95" t="s">
        <v>4</v>
      </c>
      <c r="X887" s="95" t="s">
        <v>956</v>
      </c>
      <c r="Y887" s="72" t="s">
        <v>3072</v>
      </c>
      <c r="Z887" s="72" t="s">
        <v>4</v>
      </c>
      <c r="AA887" s="95" t="s">
        <v>956</v>
      </c>
      <c r="AB887" s="132"/>
      <c r="AC887" s="132"/>
      <c r="AD887" s="132"/>
      <c r="AE887" s="63"/>
      <c r="AF887" s="63"/>
      <c r="AG887" s="63"/>
    </row>
    <row r="888" spans="1:33" ht="17.2" customHeight="1">
      <c r="A888" s="64" t="str">
        <f>IF(priority(Main[[#This Row],[Comments]])&lt;&gt;0, priority(Main[[#This Row],[Comments]]),"")</f>
        <v/>
      </c>
      <c r="B888" s="60" t="s">
        <v>2005</v>
      </c>
      <c r="C888" s="72" t="s">
        <v>4</v>
      </c>
      <c r="D888" s="59" t="s">
        <v>2084</v>
      </c>
      <c r="E888" s="85">
        <v>40745.696377314816</v>
      </c>
      <c r="F888" s="85"/>
      <c r="G888" s="64" t="str">
        <f>IF(stdProdLT(Main[[#This Row],[Comments]])=0.1,"N/A",IF(stdProdLT(Main[[#This Row],[Comments]])=0,"",TRIM(stdProdLT(Main[[#This Row],[Comments]]))))</f>
        <v/>
      </c>
      <c r="H888" s="94" t="str">
        <f>IF(OR(Main[[#This Row],[Std. Prod. Lead Time]]="N/A",Main[[#This Row],[Std. Prod. Lead Time]]=""), "",IF(AND(Main[[#This Row],[In Stock Date]]&lt;&gt;"",Main[[#This Row],[Revised Due Date]]&lt;&gt;"",Main[[#This Row],[In Stock Date]]&lt;&gt;""),Main[[#This Row],[In Stock Date]]-Main[[#This Row],[Revised Due Date]],""))</f>
        <v/>
      </c>
      <c r="I888" s="101" t="s">
        <v>431</v>
      </c>
      <c r="J888" s="95" t="s">
        <v>21</v>
      </c>
      <c r="K888" s="96" t="s">
        <v>1920</v>
      </c>
      <c r="L888" s="85"/>
      <c r="M888" s="73" t="str">
        <f>IF(Main[[#This Row],[Tech Start Date]]&lt;1/1/1990,"",IF(Main[[#This Row],[Class]]="C",WORKDAY(Main[[#This Row],[Tech Start Date]],9),IF(Main[[#This Row],[Class]]="B", WORKDAY(Main[[#This Row],[Tech Start Date]],6),IF(Main[[#This Row],[Class]]="A",WORKDAY(Main[[#This Row],[Tech Start Date]],2),""))))</f>
        <v/>
      </c>
      <c r="N888" s="73" t="str">
        <f>IF(Main[[#This Row],[Tech Start Date]]&lt;1/1/1990,"",IF(Main[[#This Row],[Class]]="C",WORKDAY(Main[[#This Row],[Tech Start Date]],19),IF(Main[[#This Row],[Class]]="B", WORKDAY(Main[[#This Row],[Tech Start Date]],12),IF(Main[[#This Row],[Class]]="A",WORKDAY(Main[[#This Row],[Tech Start Date]],4),""))))</f>
        <v/>
      </c>
      <c r="O888" s="73" t="str">
        <f>IF(Main[[#This Row],[Tech Start Date]]&lt;1/1/1990,"",IF(Main[[#This Row],[Class]]="C",WORKDAY(Main[[#This Row],[Tech Start Date]],23),IF(Main[[#This Row],[Class]]="B", WORKDAY(Main[[#This Row],[Tech Start Date]],15),IF(Main[[#This Row],[Class]]="A",WORKDAY(Main[[#This Row],[Tech Start Date]],5),""))))</f>
        <v/>
      </c>
      <c r="P888" s="73" t="str">
        <f>IF(Main[[#This Row],[Tech Start Date]]&lt;1/1/1990,"",IF(Main[[#This Row],[Class]]="C",WORKDAY(Main[[#This Row],[Tech Start Date]],28),IF(Main[[#This Row],[Class]]="B", WORKDAY(Main[[#This Row],[Tech Start Date]],19),IF(Main[[#This Row],[Class]]="A",WORKDAY(Main[[#This Row],[Tech Start Date]],9),""))))</f>
        <v/>
      </c>
      <c r="Q888" s="85">
        <v>40786</v>
      </c>
      <c r="R888" s="112"/>
      <c r="S888" s="95" t="s">
        <v>6</v>
      </c>
      <c r="T888" s="74" t="s">
        <v>4</v>
      </c>
      <c r="U888" s="95" t="s">
        <v>29</v>
      </c>
      <c r="V888" s="95" t="s">
        <v>1914</v>
      </c>
      <c r="W888" s="95" t="s">
        <v>1915</v>
      </c>
      <c r="X888" s="95" t="s">
        <v>30</v>
      </c>
      <c r="Y888" s="72" t="s">
        <v>3073</v>
      </c>
      <c r="Z888" s="72" t="s">
        <v>44</v>
      </c>
      <c r="AA888" s="95" t="s">
        <v>3399</v>
      </c>
      <c r="AB888" s="132"/>
      <c r="AC888" s="132"/>
      <c r="AD888" s="132"/>
      <c r="AE888" s="63"/>
      <c r="AF888" s="63"/>
      <c r="AG888" s="63"/>
    </row>
    <row r="889" spans="1:33" ht="17.2" customHeight="1">
      <c r="A889" s="64" t="str">
        <f>IF(priority(Main[[#This Row],[Comments]])&lt;&gt;0, priority(Main[[#This Row],[Comments]]),"")</f>
        <v/>
      </c>
      <c r="B889" s="60" t="s">
        <v>2182</v>
      </c>
      <c r="C889" s="72" t="s">
        <v>4</v>
      </c>
      <c r="D889" s="59" t="s">
        <v>2183</v>
      </c>
      <c r="E889" s="85"/>
      <c r="F889" s="85"/>
      <c r="G889" s="64" t="str">
        <f>IF(stdProdLT(Main[[#This Row],[Comments]])=0.1,"N/A",IF(stdProdLT(Main[[#This Row],[Comments]])=0,"",TRIM(stdProdLT(Main[[#This Row],[Comments]]))))</f>
        <v/>
      </c>
      <c r="H889" s="94" t="str">
        <f>IF(OR(Main[[#This Row],[Std. Prod. Lead Time]]="N/A",Main[[#This Row],[Std. Prod. Lead Time]]=""), "",IF(AND(Main[[#This Row],[In Stock Date]]&lt;&gt;"",Main[[#This Row],[Revised Due Date]]&lt;&gt;"",Main[[#This Row],[In Stock Date]]&lt;&gt;""),Main[[#This Row],[In Stock Date]]-Main[[#This Row],[Revised Due Date]],""))</f>
        <v/>
      </c>
      <c r="I889" s="101" t="s">
        <v>4</v>
      </c>
      <c r="J889" s="95" t="s">
        <v>4</v>
      </c>
      <c r="K889" s="95" t="s">
        <v>4</v>
      </c>
      <c r="L889" s="85"/>
      <c r="M889" s="73" t="str">
        <f>IF(Main[[#This Row],[Tech Start Date]]&lt;1/1/1990,"",IF(Main[[#This Row],[Class]]="C",WORKDAY(Main[[#This Row],[Tech Start Date]],9),IF(Main[[#This Row],[Class]]="B", WORKDAY(Main[[#This Row],[Tech Start Date]],6),IF(Main[[#This Row],[Class]]="A",WORKDAY(Main[[#This Row],[Tech Start Date]],2),""))))</f>
        <v/>
      </c>
      <c r="N889" s="73" t="str">
        <f>IF(Main[[#This Row],[Tech Start Date]]&lt;1/1/1990,"",IF(Main[[#This Row],[Class]]="C",WORKDAY(Main[[#This Row],[Tech Start Date]],19),IF(Main[[#This Row],[Class]]="B", WORKDAY(Main[[#This Row],[Tech Start Date]],12),IF(Main[[#This Row],[Class]]="A",WORKDAY(Main[[#This Row],[Tech Start Date]],4),""))))</f>
        <v/>
      </c>
      <c r="O889" s="73" t="str">
        <f>IF(Main[[#This Row],[Tech Start Date]]&lt;1/1/1990,"",IF(Main[[#This Row],[Class]]="C",WORKDAY(Main[[#This Row],[Tech Start Date]],23),IF(Main[[#This Row],[Class]]="B", WORKDAY(Main[[#This Row],[Tech Start Date]],15),IF(Main[[#This Row],[Class]]="A",WORKDAY(Main[[#This Row],[Tech Start Date]],5),""))))</f>
        <v/>
      </c>
      <c r="P889" s="73" t="str">
        <f>IF(Main[[#This Row],[Tech Start Date]]&lt;1/1/1990,"",IF(Main[[#This Row],[Class]]="C",WORKDAY(Main[[#This Row],[Tech Start Date]],28),IF(Main[[#This Row],[Class]]="B", WORKDAY(Main[[#This Row],[Tech Start Date]],19),IF(Main[[#This Row],[Class]]="A",WORKDAY(Main[[#This Row],[Tech Start Date]],9),""))))</f>
        <v/>
      </c>
      <c r="Q889" s="85">
        <v>40798</v>
      </c>
      <c r="R889" s="112"/>
      <c r="S889" s="95" t="s">
        <v>49</v>
      </c>
      <c r="T889" s="74" t="s">
        <v>4</v>
      </c>
      <c r="U889" s="95" t="s">
        <v>14</v>
      </c>
      <c r="V889" s="95" t="s">
        <v>1921</v>
      </c>
      <c r="W889" s="95" t="s">
        <v>1919</v>
      </c>
      <c r="X889" s="95" t="s">
        <v>2886</v>
      </c>
      <c r="Y889" s="72" t="s">
        <v>3074</v>
      </c>
      <c r="Z889" s="72" t="s">
        <v>4</v>
      </c>
      <c r="AA889" s="95" t="s">
        <v>2886</v>
      </c>
      <c r="AB889" s="132"/>
      <c r="AC889" s="132"/>
      <c r="AD889" s="132"/>
      <c r="AE889" s="63"/>
      <c r="AF889" s="63"/>
      <c r="AG889" s="63"/>
    </row>
    <row r="890" spans="1:33" ht="17.2" customHeight="1">
      <c r="A890" s="64" t="str">
        <f>IF(priority(Main[[#This Row],[Comments]])&lt;&gt;0, priority(Main[[#This Row],[Comments]]),"")</f>
        <v/>
      </c>
      <c r="B890" s="60" t="s">
        <v>1675</v>
      </c>
      <c r="C890" s="72" t="s">
        <v>72</v>
      </c>
      <c r="D890" s="59" t="s">
        <v>735</v>
      </c>
      <c r="E890" s="85"/>
      <c r="F890" s="85"/>
      <c r="G890" s="64" t="str">
        <f>IF(stdProdLT(Main[[#This Row],[Comments]])=0.1,"N/A",IF(stdProdLT(Main[[#This Row],[Comments]])=0,"",TRIM(stdProdLT(Main[[#This Row],[Comments]]))))</f>
        <v/>
      </c>
      <c r="H890" s="94" t="str">
        <f>IF(OR(Main[[#This Row],[Std. Prod. Lead Time]]="N/A",Main[[#This Row],[Std. Prod. Lead Time]]=""), "",IF(AND(Main[[#This Row],[In Stock Date]]&lt;&gt;"",Main[[#This Row],[Revised Due Date]]&lt;&gt;"",Main[[#This Row],[In Stock Date]]&lt;&gt;""),Main[[#This Row],[In Stock Date]]-Main[[#This Row],[Revised Due Date]],""))</f>
        <v/>
      </c>
      <c r="I890" s="101" t="s">
        <v>4</v>
      </c>
      <c r="J890" s="95" t="s">
        <v>28</v>
      </c>
      <c r="K890" s="95" t="s">
        <v>1920</v>
      </c>
      <c r="L890" s="85"/>
      <c r="M890" s="73" t="str">
        <f>IF(Main[[#This Row],[Tech Start Date]]&lt;1/1/1990,"",IF(Main[[#This Row],[Class]]="C",WORKDAY(Main[[#This Row],[Tech Start Date]],9),IF(Main[[#This Row],[Class]]="B", WORKDAY(Main[[#This Row],[Tech Start Date]],6),IF(Main[[#This Row],[Class]]="A",WORKDAY(Main[[#This Row],[Tech Start Date]],2),""))))</f>
        <v/>
      </c>
      <c r="N890" s="73" t="str">
        <f>IF(Main[[#This Row],[Tech Start Date]]&lt;1/1/1990,"",IF(Main[[#This Row],[Class]]="C",WORKDAY(Main[[#This Row],[Tech Start Date]],19),IF(Main[[#This Row],[Class]]="B", WORKDAY(Main[[#This Row],[Tech Start Date]],12),IF(Main[[#This Row],[Class]]="A",WORKDAY(Main[[#This Row],[Tech Start Date]],4),""))))</f>
        <v/>
      </c>
      <c r="O890" s="73" t="str">
        <f>IF(Main[[#This Row],[Tech Start Date]]&lt;1/1/1990,"",IF(Main[[#This Row],[Class]]="C",WORKDAY(Main[[#This Row],[Tech Start Date]],23),IF(Main[[#This Row],[Class]]="B", WORKDAY(Main[[#This Row],[Tech Start Date]],15),IF(Main[[#This Row],[Class]]="A",WORKDAY(Main[[#This Row],[Tech Start Date]],5),""))))</f>
        <v/>
      </c>
      <c r="P890" s="73" t="str">
        <f>IF(Main[[#This Row],[Tech Start Date]]&lt;1/1/1990,"",IF(Main[[#This Row],[Class]]="C",WORKDAY(Main[[#This Row],[Tech Start Date]],28),IF(Main[[#This Row],[Class]]="B", WORKDAY(Main[[#This Row],[Tech Start Date]],19),IF(Main[[#This Row],[Class]]="A",WORKDAY(Main[[#This Row],[Tech Start Date]],9),""))))</f>
        <v/>
      </c>
      <c r="Q890" s="85"/>
      <c r="R890" s="112"/>
      <c r="S890" s="95" t="s">
        <v>6</v>
      </c>
      <c r="T890" s="74" t="s">
        <v>4</v>
      </c>
      <c r="U890" s="95" t="s">
        <v>14</v>
      </c>
      <c r="V890" s="95" t="s">
        <v>1914</v>
      </c>
      <c r="W890" s="95" t="s">
        <v>1913</v>
      </c>
      <c r="X890" s="95" t="s">
        <v>2827</v>
      </c>
      <c r="Y890" s="72" t="s">
        <v>2956</v>
      </c>
      <c r="Z890" s="72" t="s">
        <v>530</v>
      </c>
      <c r="AA890" s="95" t="s">
        <v>2827</v>
      </c>
      <c r="AB890" s="132"/>
      <c r="AC890" s="132"/>
      <c r="AD890" s="132"/>
      <c r="AE890" s="63"/>
      <c r="AF890" s="63"/>
      <c r="AG890" s="63"/>
    </row>
    <row r="891" spans="1:33" ht="17.2" customHeight="1">
      <c r="A891" s="64" t="str">
        <f>IF(priority(Main[[#This Row],[Comments]])&lt;&gt;0, priority(Main[[#This Row],[Comments]]),"")</f>
        <v/>
      </c>
      <c r="B891" s="60" t="s">
        <v>1702</v>
      </c>
      <c r="C891" s="72" t="s">
        <v>31</v>
      </c>
      <c r="D891" s="59" t="s">
        <v>754</v>
      </c>
      <c r="E891" s="85"/>
      <c r="F891" s="85">
        <v>40602</v>
      </c>
      <c r="G891" s="64" t="str">
        <f>IF(stdProdLT(Main[[#This Row],[Comments]])=0.1,"N/A",IF(stdProdLT(Main[[#This Row],[Comments]])=0,"",TRIM(stdProdLT(Main[[#This Row],[Comments]]))))</f>
        <v/>
      </c>
      <c r="H891" s="94" t="str">
        <f>IF(OR(Main[[#This Row],[Std. Prod. Lead Time]]="N/A",Main[[#This Row],[Std. Prod. Lead Time]]=""), "",IF(AND(Main[[#This Row],[In Stock Date]]&lt;&gt;"",Main[[#This Row],[Revised Due Date]]&lt;&gt;"",Main[[#This Row],[In Stock Date]]&lt;&gt;""),Main[[#This Row],[In Stock Date]]-Main[[#This Row],[Revised Due Date]],""))</f>
        <v/>
      </c>
      <c r="I891" s="101" t="s">
        <v>399</v>
      </c>
      <c r="J891" s="95" t="s">
        <v>75</v>
      </c>
      <c r="K891" s="95" t="s">
        <v>1920</v>
      </c>
      <c r="L891" s="85"/>
      <c r="M891" s="73" t="str">
        <f>IF(Main[[#This Row],[Tech Start Date]]&lt;1/1/1990,"",IF(Main[[#This Row],[Class]]="C",WORKDAY(Main[[#This Row],[Tech Start Date]],9),IF(Main[[#This Row],[Class]]="B", WORKDAY(Main[[#This Row],[Tech Start Date]],6),IF(Main[[#This Row],[Class]]="A",WORKDAY(Main[[#This Row],[Tech Start Date]],2),""))))</f>
        <v/>
      </c>
      <c r="N891" s="73" t="str">
        <f>IF(Main[[#This Row],[Tech Start Date]]&lt;1/1/1990,"",IF(Main[[#This Row],[Class]]="C",WORKDAY(Main[[#This Row],[Tech Start Date]],19),IF(Main[[#This Row],[Class]]="B", WORKDAY(Main[[#This Row],[Tech Start Date]],12),IF(Main[[#This Row],[Class]]="A",WORKDAY(Main[[#This Row],[Tech Start Date]],4),""))))</f>
        <v/>
      </c>
      <c r="O891" s="73" t="str">
        <f>IF(Main[[#This Row],[Tech Start Date]]&lt;1/1/1990,"",IF(Main[[#This Row],[Class]]="C",WORKDAY(Main[[#This Row],[Tech Start Date]],23),IF(Main[[#This Row],[Class]]="B", WORKDAY(Main[[#This Row],[Tech Start Date]],15),IF(Main[[#This Row],[Class]]="A",WORKDAY(Main[[#This Row],[Tech Start Date]],5),""))))</f>
        <v/>
      </c>
      <c r="P891" s="73" t="str">
        <f>IF(Main[[#This Row],[Tech Start Date]]&lt;1/1/1990,"",IF(Main[[#This Row],[Class]]="C",WORKDAY(Main[[#This Row],[Tech Start Date]],28),IF(Main[[#This Row],[Class]]="B", WORKDAY(Main[[#This Row],[Tech Start Date]],19),IF(Main[[#This Row],[Class]]="A",WORKDAY(Main[[#This Row],[Tech Start Date]],9),""))))</f>
        <v/>
      </c>
      <c r="Q891" s="85"/>
      <c r="R891" s="112"/>
      <c r="S891" s="95" t="s">
        <v>11</v>
      </c>
      <c r="T891" s="74" t="s">
        <v>4</v>
      </c>
      <c r="U891" s="95" t="s">
        <v>14</v>
      </c>
      <c r="V891" s="95" t="s">
        <v>1914</v>
      </c>
      <c r="W891" s="95" t="s">
        <v>1917</v>
      </c>
      <c r="X891" s="95" t="s">
        <v>50</v>
      </c>
      <c r="Y891" s="72" t="s">
        <v>2939</v>
      </c>
      <c r="Z891" s="72" t="s">
        <v>306</v>
      </c>
      <c r="AA891" s="95" t="s">
        <v>50</v>
      </c>
      <c r="AB891" s="132">
        <v>40602</v>
      </c>
      <c r="AC891" s="132">
        <v>40602</v>
      </c>
      <c r="AD891" s="132"/>
      <c r="AE891" s="63"/>
      <c r="AF891" s="63"/>
      <c r="AG891" s="63"/>
    </row>
    <row r="892" spans="1:33" ht="17.2" customHeight="1">
      <c r="A892" s="64" t="str">
        <f>IF(priority(Main[[#This Row],[Comments]])&lt;&gt;0, priority(Main[[#This Row],[Comments]]),"")</f>
        <v/>
      </c>
      <c r="B892" s="60" t="s">
        <v>1703</v>
      </c>
      <c r="C892" s="72" t="s">
        <v>93</v>
      </c>
      <c r="D892" s="59" t="s">
        <v>755</v>
      </c>
      <c r="E892" s="85"/>
      <c r="F892" s="85">
        <v>40302</v>
      </c>
      <c r="G892" s="64" t="str">
        <f>IF(stdProdLT(Main[[#This Row],[Comments]])=0.1,"N/A",IF(stdProdLT(Main[[#This Row],[Comments]])=0,"",TRIM(stdProdLT(Main[[#This Row],[Comments]]))))</f>
        <v/>
      </c>
      <c r="H892" s="94" t="str">
        <f>IF(OR(Main[[#This Row],[Std. Prod. Lead Time]]="N/A",Main[[#This Row],[Std. Prod. Lead Time]]=""), "",IF(AND(Main[[#This Row],[In Stock Date]]&lt;&gt;"",Main[[#This Row],[Revised Due Date]]&lt;&gt;"",Main[[#This Row],[In Stock Date]]&lt;&gt;""),Main[[#This Row],[In Stock Date]]-Main[[#This Row],[Revised Due Date]],""))</f>
        <v/>
      </c>
      <c r="I892" s="101" t="s">
        <v>4</v>
      </c>
      <c r="J892" s="95" t="s">
        <v>4</v>
      </c>
      <c r="K892" s="95" t="s">
        <v>4</v>
      </c>
      <c r="L892" s="85"/>
      <c r="M892" s="73" t="str">
        <f>IF(Main[[#This Row],[Tech Start Date]]&lt;1/1/1990,"",IF(Main[[#This Row],[Class]]="C",WORKDAY(Main[[#This Row],[Tech Start Date]],9),IF(Main[[#This Row],[Class]]="B", WORKDAY(Main[[#This Row],[Tech Start Date]],6),IF(Main[[#This Row],[Class]]="A",WORKDAY(Main[[#This Row],[Tech Start Date]],2),""))))</f>
        <v/>
      </c>
      <c r="N892" s="73" t="str">
        <f>IF(Main[[#This Row],[Tech Start Date]]&lt;1/1/1990,"",IF(Main[[#This Row],[Class]]="C",WORKDAY(Main[[#This Row],[Tech Start Date]],19),IF(Main[[#This Row],[Class]]="B", WORKDAY(Main[[#This Row],[Tech Start Date]],12),IF(Main[[#This Row],[Class]]="A",WORKDAY(Main[[#This Row],[Tech Start Date]],4),""))))</f>
        <v/>
      </c>
      <c r="O892" s="73" t="str">
        <f>IF(Main[[#This Row],[Tech Start Date]]&lt;1/1/1990,"",IF(Main[[#This Row],[Class]]="C",WORKDAY(Main[[#This Row],[Tech Start Date]],23),IF(Main[[#This Row],[Class]]="B", WORKDAY(Main[[#This Row],[Tech Start Date]],15),IF(Main[[#This Row],[Class]]="A",WORKDAY(Main[[#This Row],[Tech Start Date]],5),""))))</f>
        <v/>
      </c>
      <c r="P892" s="73" t="str">
        <f>IF(Main[[#This Row],[Tech Start Date]]&lt;1/1/1990,"",IF(Main[[#This Row],[Class]]="C",WORKDAY(Main[[#This Row],[Tech Start Date]],28),IF(Main[[#This Row],[Class]]="B", WORKDAY(Main[[#This Row],[Tech Start Date]],19),IF(Main[[#This Row],[Class]]="A",WORKDAY(Main[[#This Row],[Tech Start Date]],9),""))))</f>
        <v/>
      </c>
      <c r="Q892" s="85">
        <v>40190</v>
      </c>
      <c r="R892" s="112"/>
      <c r="S892" s="95" t="s">
        <v>11</v>
      </c>
      <c r="T892" s="74" t="s">
        <v>4</v>
      </c>
      <c r="U892" s="95" t="s">
        <v>12</v>
      </c>
      <c r="V892" s="95" t="s">
        <v>1921</v>
      </c>
      <c r="W892" s="95" t="s">
        <v>1917</v>
      </c>
      <c r="X892" s="95" t="s">
        <v>2878</v>
      </c>
      <c r="Y892" s="72" t="s">
        <v>4</v>
      </c>
      <c r="Z892" s="72" t="s">
        <v>4</v>
      </c>
      <c r="AA892" s="95" t="s">
        <v>2878</v>
      </c>
      <c r="AB892" s="132"/>
      <c r="AC892" s="132"/>
      <c r="AD892" s="132"/>
      <c r="AE892" s="63"/>
      <c r="AF892" s="63"/>
      <c r="AG892" s="63"/>
    </row>
    <row r="893" spans="1:33" ht="17.2" customHeight="1">
      <c r="A893" s="64" t="str">
        <f>IF(priority(Main[[#This Row],[Comments]])&lt;&gt;0, priority(Main[[#This Row],[Comments]]),"")</f>
        <v/>
      </c>
      <c r="B893" s="60" t="s">
        <v>1858</v>
      </c>
      <c r="C893" s="72" t="s">
        <v>31</v>
      </c>
      <c r="D893" s="59" t="s">
        <v>917</v>
      </c>
      <c r="E893" s="85"/>
      <c r="F893" s="85">
        <v>40664</v>
      </c>
      <c r="G893" s="64" t="str">
        <f>IF(stdProdLT(Main[[#This Row],[Comments]])=0.1,"N/A",IF(stdProdLT(Main[[#This Row],[Comments]])=0,"",TRIM(stdProdLT(Main[[#This Row],[Comments]]))))</f>
        <v/>
      </c>
      <c r="H893" s="94" t="str">
        <f>IF(OR(Main[[#This Row],[Std. Prod. Lead Time]]="N/A",Main[[#This Row],[Std. Prod. Lead Time]]=""), "",IF(AND(Main[[#This Row],[In Stock Date]]&lt;&gt;"",Main[[#This Row],[Revised Due Date]]&lt;&gt;"",Main[[#This Row],[In Stock Date]]&lt;&gt;""),Main[[#This Row],[In Stock Date]]-Main[[#This Row],[Revised Due Date]],""))</f>
        <v/>
      </c>
      <c r="I893" s="101" t="s">
        <v>399</v>
      </c>
      <c r="J893" s="95" t="s">
        <v>75</v>
      </c>
      <c r="K893" s="95" t="s">
        <v>1920</v>
      </c>
      <c r="L893" s="85"/>
      <c r="M893" s="73" t="str">
        <f>IF(Main[[#This Row],[Tech Start Date]]&lt;1/1/1990,"",IF(Main[[#This Row],[Class]]="C",WORKDAY(Main[[#This Row],[Tech Start Date]],9),IF(Main[[#This Row],[Class]]="B", WORKDAY(Main[[#This Row],[Tech Start Date]],6),IF(Main[[#This Row],[Class]]="A",WORKDAY(Main[[#This Row],[Tech Start Date]],2),""))))</f>
        <v/>
      </c>
      <c r="N893" s="73" t="str">
        <f>IF(Main[[#This Row],[Tech Start Date]]&lt;1/1/1990,"",IF(Main[[#This Row],[Class]]="C",WORKDAY(Main[[#This Row],[Tech Start Date]],19),IF(Main[[#This Row],[Class]]="B", WORKDAY(Main[[#This Row],[Tech Start Date]],12),IF(Main[[#This Row],[Class]]="A",WORKDAY(Main[[#This Row],[Tech Start Date]],4),""))))</f>
        <v/>
      </c>
      <c r="O893" s="73" t="str">
        <f>IF(Main[[#This Row],[Tech Start Date]]&lt;1/1/1990,"",IF(Main[[#This Row],[Class]]="C",WORKDAY(Main[[#This Row],[Tech Start Date]],23),IF(Main[[#This Row],[Class]]="B", WORKDAY(Main[[#This Row],[Tech Start Date]],15),IF(Main[[#This Row],[Class]]="A",WORKDAY(Main[[#This Row],[Tech Start Date]],5),""))))</f>
        <v/>
      </c>
      <c r="P893" s="73" t="str">
        <f>IF(Main[[#This Row],[Tech Start Date]]&lt;1/1/1990,"",IF(Main[[#This Row],[Class]]="C",WORKDAY(Main[[#This Row],[Tech Start Date]],28),IF(Main[[#This Row],[Class]]="B", WORKDAY(Main[[#This Row],[Tech Start Date]],19),IF(Main[[#This Row],[Class]]="A",WORKDAY(Main[[#This Row],[Tech Start Date]],9),""))))</f>
        <v/>
      </c>
      <c r="Q893" s="85"/>
      <c r="R893" s="112">
        <v>40577</v>
      </c>
      <c r="S893" s="95" t="s">
        <v>11</v>
      </c>
      <c r="T893" s="74" t="s">
        <v>4</v>
      </c>
      <c r="U893" s="95" t="s">
        <v>14</v>
      </c>
      <c r="V893" s="95" t="s">
        <v>1914</v>
      </c>
      <c r="W893" s="95" t="s">
        <v>1917</v>
      </c>
      <c r="X893" s="95" t="s">
        <v>2805</v>
      </c>
      <c r="Y893" s="72" t="s">
        <v>2945</v>
      </c>
      <c r="Z893" s="72" t="s">
        <v>530</v>
      </c>
      <c r="AA893" s="95" t="s">
        <v>2805</v>
      </c>
      <c r="AB893" s="132">
        <v>40571</v>
      </c>
      <c r="AC893" s="132">
        <v>40578</v>
      </c>
      <c r="AD893" s="132"/>
      <c r="AE893" s="63"/>
      <c r="AF893" s="63"/>
      <c r="AG893" s="63"/>
    </row>
    <row r="894" spans="1:33" ht="17.2" customHeight="1">
      <c r="A894" s="64" t="str">
        <f>IF(priority(Main[[#This Row],[Comments]])&lt;&gt;0, priority(Main[[#This Row],[Comments]]),"")</f>
        <v/>
      </c>
      <c r="B894" s="60" t="s">
        <v>1724</v>
      </c>
      <c r="C894" s="72" t="s">
        <v>4</v>
      </c>
      <c r="D894" s="59" t="s">
        <v>782</v>
      </c>
      <c r="E894" s="85"/>
      <c r="F894" s="85"/>
      <c r="G894" s="64" t="str">
        <f>IF(stdProdLT(Main[[#This Row],[Comments]])=0.1,"N/A",IF(stdProdLT(Main[[#This Row],[Comments]])=0,"",TRIM(stdProdLT(Main[[#This Row],[Comments]]))))</f>
        <v/>
      </c>
      <c r="H894" s="94" t="str">
        <f>IF(OR(Main[[#This Row],[Std. Prod. Lead Time]]="N/A",Main[[#This Row],[Std. Prod. Lead Time]]=""), "",IF(AND(Main[[#This Row],[In Stock Date]]&lt;&gt;"",Main[[#This Row],[Revised Due Date]]&lt;&gt;"",Main[[#This Row],[In Stock Date]]&lt;&gt;""),Main[[#This Row],[In Stock Date]]-Main[[#This Row],[Revised Due Date]],""))</f>
        <v/>
      </c>
      <c r="I894" s="101" t="s">
        <v>4</v>
      </c>
      <c r="J894" s="95" t="s">
        <v>4</v>
      </c>
      <c r="K894" s="96" t="s">
        <v>4</v>
      </c>
      <c r="L894" s="85"/>
      <c r="M894" s="73" t="str">
        <f>IF(Main[[#This Row],[Tech Start Date]]&lt;1/1/1990,"",IF(Main[[#This Row],[Class]]="C",WORKDAY(Main[[#This Row],[Tech Start Date]],9),IF(Main[[#This Row],[Class]]="B", WORKDAY(Main[[#This Row],[Tech Start Date]],6),IF(Main[[#This Row],[Class]]="A",WORKDAY(Main[[#This Row],[Tech Start Date]],2),""))))</f>
        <v/>
      </c>
      <c r="N894" s="73" t="str">
        <f>IF(Main[[#This Row],[Tech Start Date]]&lt;1/1/1990,"",IF(Main[[#This Row],[Class]]="C",WORKDAY(Main[[#This Row],[Tech Start Date]],19),IF(Main[[#This Row],[Class]]="B", WORKDAY(Main[[#This Row],[Tech Start Date]],12),IF(Main[[#This Row],[Class]]="A",WORKDAY(Main[[#This Row],[Tech Start Date]],4),""))))</f>
        <v/>
      </c>
      <c r="O894" s="73" t="str">
        <f>IF(Main[[#This Row],[Tech Start Date]]&lt;1/1/1990,"",IF(Main[[#This Row],[Class]]="C",WORKDAY(Main[[#This Row],[Tech Start Date]],23),IF(Main[[#This Row],[Class]]="B", WORKDAY(Main[[#This Row],[Tech Start Date]],15),IF(Main[[#This Row],[Class]]="A",WORKDAY(Main[[#This Row],[Tech Start Date]],5),""))))</f>
        <v/>
      </c>
      <c r="P894" s="73" t="str">
        <f>IF(Main[[#This Row],[Tech Start Date]]&lt;1/1/1990,"",IF(Main[[#This Row],[Class]]="C",WORKDAY(Main[[#This Row],[Tech Start Date]],28),IF(Main[[#This Row],[Class]]="B", WORKDAY(Main[[#This Row],[Tech Start Date]],19),IF(Main[[#This Row],[Class]]="A",WORKDAY(Main[[#This Row],[Tech Start Date]],9),""))))</f>
        <v/>
      </c>
      <c r="Q894" s="85"/>
      <c r="R894" s="112"/>
      <c r="S894" s="95" t="s">
        <v>49</v>
      </c>
      <c r="T894" s="74" t="s">
        <v>4</v>
      </c>
      <c r="U894" s="95" t="s">
        <v>103</v>
      </c>
      <c r="V894" s="95" t="s">
        <v>1912</v>
      </c>
      <c r="W894" s="95" t="s">
        <v>1915</v>
      </c>
      <c r="X894" s="95" t="s">
        <v>306</v>
      </c>
      <c r="Y894" s="72" t="s">
        <v>4</v>
      </c>
      <c r="Z894" s="72" t="s">
        <v>4</v>
      </c>
      <c r="AA894" s="95" t="s">
        <v>4</v>
      </c>
      <c r="AB894" s="132"/>
      <c r="AC894" s="132"/>
      <c r="AD894" s="132"/>
      <c r="AE894" s="63"/>
      <c r="AF894" s="63"/>
      <c r="AG894" s="63"/>
    </row>
    <row r="895" spans="1:33" ht="17.2" customHeight="1">
      <c r="A895" s="64" t="str">
        <f>IF(priority(Main[[#This Row],[Comments]])&lt;&gt;0, priority(Main[[#This Row],[Comments]]),"")</f>
        <v/>
      </c>
      <c r="B895" s="60" t="s">
        <v>2188</v>
      </c>
      <c r="C895" s="72" t="s">
        <v>4</v>
      </c>
      <c r="D895" s="59" t="s">
        <v>2189</v>
      </c>
      <c r="E895" s="85"/>
      <c r="F895" s="85"/>
      <c r="G895" s="64" t="str">
        <f>IF(stdProdLT(Main[[#This Row],[Comments]])=0.1,"N/A",IF(stdProdLT(Main[[#This Row],[Comments]])=0,"",TRIM(stdProdLT(Main[[#This Row],[Comments]]))))</f>
        <v/>
      </c>
      <c r="H895" s="94" t="str">
        <f>IF(OR(Main[[#This Row],[Std. Prod. Lead Time]]="N/A",Main[[#This Row],[Std. Prod. Lead Time]]=""), "",IF(AND(Main[[#This Row],[In Stock Date]]&lt;&gt;"",Main[[#This Row],[Revised Due Date]]&lt;&gt;"",Main[[#This Row],[In Stock Date]]&lt;&gt;""),Main[[#This Row],[In Stock Date]]-Main[[#This Row],[Revised Due Date]],""))</f>
        <v/>
      </c>
      <c r="I895" s="101" t="s">
        <v>4</v>
      </c>
      <c r="J895" s="95" t="s">
        <v>4</v>
      </c>
      <c r="K895" s="95" t="s">
        <v>4</v>
      </c>
      <c r="L895" s="85"/>
      <c r="M895" s="73" t="str">
        <f>IF(Main[[#This Row],[Tech Start Date]]&lt;1/1/1990,"",IF(Main[[#This Row],[Class]]="C",WORKDAY(Main[[#This Row],[Tech Start Date]],9),IF(Main[[#This Row],[Class]]="B", WORKDAY(Main[[#This Row],[Tech Start Date]],6),IF(Main[[#This Row],[Class]]="A",WORKDAY(Main[[#This Row],[Tech Start Date]],2),""))))</f>
        <v/>
      </c>
      <c r="N895" s="73" t="str">
        <f>IF(Main[[#This Row],[Tech Start Date]]&lt;1/1/1990,"",IF(Main[[#This Row],[Class]]="C",WORKDAY(Main[[#This Row],[Tech Start Date]],19),IF(Main[[#This Row],[Class]]="B", WORKDAY(Main[[#This Row],[Tech Start Date]],12),IF(Main[[#This Row],[Class]]="A",WORKDAY(Main[[#This Row],[Tech Start Date]],4),""))))</f>
        <v/>
      </c>
      <c r="O895" s="73" t="str">
        <f>IF(Main[[#This Row],[Tech Start Date]]&lt;1/1/1990,"",IF(Main[[#This Row],[Class]]="C",WORKDAY(Main[[#This Row],[Tech Start Date]],23),IF(Main[[#This Row],[Class]]="B", WORKDAY(Main[[#This Row],[Tech Start Date]],15),IF(Main[[#This Row],[Class]]="A",WORKDAY(Main[[#This Row],[Tech Start Date]],5),""))))</f>
        <v/>
      </c>
      <c r="P895" s="73" t="str">
        <f>IF(Main[[#This Row],[Tech Start Date]]&lt;1/1/1990,"",IF(Main[[#This Row],[Class]]="C",WORKDAY(Main[[#This Row],[Tech Start Date]],28),IF(Main[[#This Row],[Class]]="B", WORKDAY(Main[[#This Row],[Tech Start Date]],19),IF(Main[[#This Row],[Class]]="A",WORKDAY(Main[[#This Row],[Tech Start Date]],9),""))))</f>
        <v/>
      </c>
      <c r="Q895" s="85"/>
      <c r="R895" s="112"/>
      <c r="S895" s="95" t="s">
        <v>6</v>
      </c>
      <c r="T895" s="74" t="s">
        <v>4</v>
      </c>
      <c r="U895" s="95" t="s">
        <v>14</v>
      </c>
      <c r="V895" s="95" t="s">
        <v>1926</v>
      </c>
      <c r="W895" s="95" t="s">
        <v>4</v>
      </c>
      <c r="X895" s="95" t="s">
        <v>306</v>
      </c>
      <c r="Y895" s="72" t="s">
        <v>4</v>
      </c>
      <c r="Z895" s="72" t="s">
        <v>4</v>
      </c>
      <c r="AA895" s="95" t="s">
        <v>4</v>
      </c>
      <c r="AB895" s="132"/>
      <c r="AC895" s="132"/>
      <c r="AD895" s="132"/>
      <c r="AE895" s="63"/>
      <c r="AF895" s="63"/>
      <c r="AG895" s="63"/>
    </row>
    <row r="896" spans="1:33" ht="17.2" customHeight="1">
      <c r="A896" s="64" t="str">
        <f>IF(priority(Main[[#This Row],[Comments]])&lt;&gt;0, priority(Main[[#This Row],[Comments]]),"")</f>
        <v/>
      </c>
      <c r="B896" s="60" t="s">
        <v>1697</v>
      </c>
      <c r="C896" s="72" t="s">
        <v>756</v>
      </c>
      <c r="D896" s="59" t="s">
        <v>757</v>
      </c>
      <c r="E896" s="85"/>
      <c r="F896" s="85"/>
      <c r="G896" s="64" t="str">
        <f>IF(stdProdLT(Main[[#This Row],[Comments]])=0.1,"N/A",IF(stdProdLT(Main[[#This Row],[Comments]])=0,"",TRIM(stdProdLT(Main[[#This Row],[Comments]]))))</f>
        <v/>
      </c>
      <c r="H896" s="94" t="str">
        <f>IF(OR(Main[[#This Row],[Std. Prod. Lead Time]]="N/A",Main[[#This Row],[Std. Prod. Lead Time]]=""), "",IF(AND(Main[[#This Row],[In Stock Date]]&lt;&gt;"",Main[[#This Row],[Revised Due Date]]&lt;&gt;"",Main[[#This Row],[In Stock Date]]&lt;&gt;""),Main[[#This Row],[In Stock Date]]-Main[[#This Row],[Revised Due Date]],""))</f>
        <v/>
      </c>
      <c r="I896" s="101" t="s">
        <v>4</v>
      </c>
      <c r="J896" s="95" t="s">
        <v>4</v>
      </c>
      <c r="K896" s="95" t="s">
        <v>4</v>
      </c>
      <c r="L896" s="85"/>
      <c r="M896" s="73" t="str">
        <f>IF(Main[[#This Row],[Tech Start Date]]&lt;1/1/1990,"",IF(Main[[#This Row],[Class]]="C",WORKDAY(Main[[#This Row],[Tech Start Date]],9),IF(Main[[#This Row],[Class]]="B", WORKDAY(Main[[#This Row],[Tech Start Date]],6),IF(Main[[#This Row],[Class]]="A",WORKDAY(Main[[#This Row],[Tech Start Date]],2),""))))</f>
        <v/>
      </c>
      <c r="N896" s="73" t="str">
        <f>IF(Main[[#This Row],[Tech Start Date]]&lt;1/1/1990,"",IF(Main[[#This Row],[Class]]="C",WORKDAY(Main[[#This Row],[Tech Start Date]],19),IF(Main[[#This Row],[Class]]="B", WORKDAY(Main[[#This Row],[Tech Start Date]],12),IF(Main[[#This Row],[Class]]="A",WORKDAY(Main[[#This Row],[Tech Start Date]],4),""))))</f>
        <v/>
      </c>
      <c r="O896" s="73" t="str">
        <f>IF(Main[[#This Row],[Tech Start Date]]&lt;1/1/1990,"",IF(Main[[#This Row],[Class]]="C",WORKDAY(Main[[#This Row],[Tech Start Date]],23),IF(Main[[#This Row],[Class]]="B", WORKDAY(Main[[#This Row],[Tech Start Date]],15),IF(Main[[#This Row],[Class]]="A",WORKDAY(Main[[#This Row],[Tech Start Date]],5),""))))</f>
        <v/>
      </c>
      <c r="P896" s="73" t="str">
        <f>IF(Main[[#This Row],[Tech Start Date]]&lt;1/1/1990,"",IF(Main[[#This Row],[Class]]="C",WORKDAY(Main[[#This Row],[Tech Start Date]],28),IF(Main[[#This Row],[Class]]="B", WORKDAY(Main[[#This Row],[Tech Start Date]],19),IF(Main[[#This Row],[Class]]="A",WORKDAY(Main[[#This Row],[Tech Start Date]],9),""))))</f>
        <v/>
      </c>
      <c r="Q896" s="85"/>
      <c r="R896" s="112"/>
      <c r="S896" s="95" t="s">
        <v>11</v>
      </c>
      <c r="T896" s="74" t="s">
        <v>4</v>
      </c>
      <c r="U896" s="95" t="s">
        <v>14</v>
      </c>
      <c r="V896" s="95" t="s">
        <v>1912</v>
      </c>
      <c r="W896" s="95" t="s">
        <v>1919</v>
      </c>
      <c r="X896" s="95" t="s">
        <v>2807</v>
      </c>
      <c r="Y896" s="72" t="s">
        <v>2926</v>
      </c>
      <c r="Z896" s="72" t="s">
        <v>4</v>
      </c>
      <c r="AA896" s="95" t="s">
        <v>2807</v>
      </c>
      <c r="AB896" s="132"/>
      <c r="AC896" s="132"/>
      <c r="AD896" s="132"/>
      <c r="AE896" s="63"/>
      <c r="AF896" s="63"/>
      <c r="AG896" s="63"/>
    </row>
    <row r="897" spans="1:33" ht="17.2" customHeight="1">
      <c r="A897" s="64" t="str">
        <f>IF(priority(Main[[#This Row],[Comments]])&lt;&gt;0, priority(Main[[#This Row],[Comments]]),"")</f>
        <v/>
      </c>
      <c r="B897" s="60" t="s">
        <v>1698</v>
      </c>
      <c r="C897" s="72" t="s">
        <v>4</v>
      </c>
      <c r="D897" s="59" t="s">
        <v>758</v>
      </c>
      <c r="E897" s="85">
        <v>40436.644293981481</v>
      </c>
      <c r="F897" s="85"/>
      <c r="G897" s="64" t="str">
        <f>IF(stdProdLT(Main[[#This Row],[Comments]])=0.1,"N/A",IF(stdProdLT(Main[[#This Row],[Comments]])=0,"",TRIM(stdProdLT(Main[[#This Row],[Comments]]))))</f>
        <v/>
      </c>
      <c r="H897" s="94" t="str">
        <f>IF(OR(Main[[#This Row],[Std. Prod. Lead Time]]="N/A",Main[[#This Row],[Std. Prod. Lead Time]]=""), "",IF(AND(Main[[#This Row],[In Stock Date]]&lt;&gt;"",Main[[#This Row],[Revised Due Date]]&lt;&gt;"",Main[[#This Row],[In Stock Date]]&lt;&gt;""),Main[[#This Row],[In Stock Date]]-Main[[#This Row],[Revised Due Date]],""))</f>
        <v/>
      </c>
      <c r="I897" s="101" t="s">
        <v>4</v>
      </c>
      <c r="J897" s="95" t="s">
        <v>28</v>
      </c>
      <c r="K897" s="95" t="s">
        <v>4</v>
      </c>
      <c r="L897" s="85"/>
      <c r="M897" s="73" t="str">
        <f>IF(Main[[#This Row],[Tech Start Date]]&lt;1/1/1990,"",IF(Main[[#This Row],[Class]]="C",WORKDAY(Main[[#This Row],[Tech Start Date]],9),IF(Main[[#This Row],[Class]]="B", WORKDAY(Main[[#This Row],[Tech Start Date]],6),IF(Main[[#This Row],[Class]]="A",WORKDAY(Main[[#This Row],[Tech Start Date]],2),""))))</f>
        <v/>
      </c>
      <c r="N897" s="73" t="str">
        <f>IF(Main[[#This Row],[Tech Start Date]]&lt;1/1/1990,"",IF(Main[[#This Row],[Class]]="C",WORKDAY(Main[[#This Row],[Tech Start Date]],19),IF(Main[[#This Row],[Class]]="B", WORKDAY(Main[[#This Row],[Tech Start Date]],12),IF(Main[[#This Row],[Class]]="A",WORKDAY(Main[[#This Row],[Tech Start Date]],4),""))))</f>
        <v/>
      </c>
      <c r="O897" s="73" t="str">
        <f>IF(Main[[#This Row],[Tech Start Date]]&lt;1/1/1990,"",IF(Main[[#This Row],[Class]]="C",WORKDAY(Main[[#This Row],[Tech Start Date]],23),IF(Main[[#This Row],[Class]]="B", WORKDAY(Main[[#This Row],[Tech Start Date]],15),IF(Main[[#This Row],[Class]]="A",WORKDAY(Main[[#This Row],[Tech Start Date]],5),""))))</f>
        <v/>
      </c>
      <c r="P897" s="73" t="str">
        <f>IF(Main[[#This Row],[Tech Start Date]]&lt;1/1/1990,"",IF(Main[[#This Row],[Class]]="C",WORKDAY(Main[[#This Row],[Tech Start Date]],28),IF(Main[[#This Row],[Class]]="B", WORKDAY(Main[[#This Row],[Tech Start Date]],19),IF(Main[[#This Row],[Class]]="A",WORKDAY(Main[[#This Row],[Tech Start Date]],9),""))))</f>
        <v/>
      </c>
      <c r="Q897" s="85"/>
      <c r="R897" s="112"/>
      <c r="S897" s="95" t="s">
        <v>6</v>
      </c>
      <c r="T897" s="74" t="s">
        <v>4</v>
      </c>
      <c r="U897" s="95" t="s">
        <v>7</v>
      </c>
      <c r="V897" s="95" t="s">
        <v>1911</v>
      </c>
      <c r="W897" s="95" t="s">
        <v>1915</v>
      </c>
      <c r="X897" s="95" t="s">
        <v>922</v>
      </c>
      <c r="Y897" s="72" t="s">
        <v>2960</v>
      </c>
      <c r="Z897" s="72" t="s">
        <v>129</v>
      </c>
      <c r="AA897" s="95" t="s">
        <v>922</v>
      </c>
      <c r="AB897" s="132"/>
      <c r="AC897" s="132"/>
      <c r="AD897" s="132"/>
      <c r="AE897" s="63"/>
      <c r="AF897" s="63"/>
      <c r="AG897" s="63"/>
    </row>
    <row r="898" spans="1:33" ht="17.2" customHeight="1">
      <c r="A898" s="64" t="str">
        <f>IF(priority(Main[[#This Row],[Comments]])&lt;&gt;0, priority(Main[[#This Row],[Comments]]),"")</f>
        <v/>
      </c>
      <c r="B898" s="60" t="s">
        <v>1722</v>
      </c>
      <c r="C898" s="72" t="s">
        <v>779</v>
      </c>
      <c r="D898" s="59" t="s">
        <v>780</v>
      </c>
      <c r="E898" s="85"/>
      <c r="F898" s="85">
        <v>40591</v>
      </c>
      <c r="G898" s="64" t="str">
        <f>IF(stdProdLT(Main[[#This Row],[Comments]])=0.1,"N/A",IF(stdProdLT(Main[[#This Row],[Comments]])=0,"",TRIM(stdProdLT(Main[[#This Row],[Comments]]))))</f>
        <v/>
      </c>
      <c r="H898" s="94" t="str">
        <f>IF(OR(Main[[#This Row],[Std. Prod. Lead Time]]="N/A",Main[[#This Row],[Std. Prod. Lead Time]]=""), "",IF(AND(Main[[#This Row],[In Stock Date]]&lt;&gt;"",Main[[#This Row],[Revised Due Date]]&lt;&gt;"",Main[[#This Row],[In Stock Date]]&lt;&gt;""),Main[[#This Row],[In Stock Date]]-Main[[#This Row],[Revised Due Date]],""))</f>
        <v/>
      </c>
      <c r="I898" s="101" t="s">
        <v>4</v>
      </c>
      <c r="J898" s="95" t="s">
        <v>4</v>
      </c>
      <c r="K898" s="95" t="s">
        <v>1923</v>
      </c>
      <c r="L898" s="85"/>
      <c r="M898" s="73" t="str">
        <f>IF(Main[[#This Row],[Tech Start Date]]&lt;1/1/1990,"",IF(Main[[#This Row],[Class]]="C",WORKDAY(Main[[#This Row],[Tech Start Date]],9),IF(Main[[#This Row],[Class]]="B", WORKDAY(Main[[#This Row],[Tech Start Date]],6),IF(Main[[#This Row],[Class]]="A",WORKDAY(Main[[#This Row],[Tech Start Date]],2),""))))</f>
        <v/>
      </c>
      <c r="N898" s="73" t="str">
        <f>IF(Main[[#This Row],[Tech Start Date]]&lt;1/1/1990,"",IF(Main[[#This Row],[Class]]="C",WORKDAY(Main[[#This Row],[Tech Start Date]],19),IF(Main[[#This Row],[Class]]="B", WORKDAY(Main[[#This Row],[Tech Start Date]],12),IF(Main[[#This Row],[Class]]="A",WORKDAY(Main[[#This Row],[Tech Start Date]],4),""))))</f>
        <v/>
      </c>
      <c r="O898" s="73" t="str">
        <f>IF(Main[[#This Row],[Tech Start Date]]&lt;1/1/1990,"",IF(Main[[#This Row],[Class]]="C",WORKDAY(Main[[#This Row],[Tech Start Date]],23),IF(Main[[#This Row],[Class]]="B", WORKDAY(Main[[#This Row],[Tech Start Date]],15),IF(Main[[#This Row],[Class]]="A",WORKDAY(Main[[#This Row],[Tech Start Date]],5),""))))</f>
        <v/>
      </c>
      <c r="P898" s="73" t="str">
        <f>IF(Main[[#This Row],[Tech Start Date]]&lt;1/1/1990,"",IF(Main[[#This Row],[Class]]="C",WORKDAY(Main[[#This Row],[Tech Start Date]],28),IF(Main[[#This Row],[Class]]="B", WORKDAY(Main[[#This Row],[Tech Start Date]],19),IF(Main[[#This Row],[Class]]="A",WORKDAY(Main[[#This Row],[Tech Start Date]],9),""))))</f>
        <v/>
      </c>
      <c r="Q898" s="85">
        <v>40514</v>
      </c>
      <c r="R898" s="112"/>
      <c r="S898" s="95" t="s">
        <v>11</v>
      </c>
      <c r="T898" s="74" t="s">
        <v>781</v>
      </c>
      <c r="U898" s="95" t="s">
        <v>14</v>
      </c>
      <c r="V898" s="95" t="s">
        <v>1911</v>
      </c>
      <c r="W898" s="95" t="s">
        <v>1916</v>
      </c>
      <c r="X898" s="95" t="s">
        <v>2884</v>
      </c>
      <c r="Y898" s="72" t="s">
        <v>4</v>
      </c>
      <c r="Z898" s="72" t="s">
        <v>4</v>
      </c>
      <c r="AA898" s="95" t="s">
        <v>2884</v>
      </c>
      <c r="AB898" s="132"/>
      <c r="AC898" s="132"/>
      <c r="AD898" s="132"/>
      <c r="AE898" s="63"/>
      <c r="AF898" s="63"/>
      <c r="AG898" s="63"/>
    </row>
    <row r="899" spans="1:33" ht="17.2" customHeight="1">
      <c r="A899" s="64" t="str">
        <f>IF(priority(Main[[#This Row],[Comments]])&lt;&gt;0, priority(Main[[#This Row],[Comments]]),"")</f>
        <v/>
      </c>
      <c r="B899" s="60" t="s">
        <v>1660</v>
      </c>
      <c r="C899" s="72" t="s">
        <v>4</v>
      </c>
      <c r="D899" s="59" t="s">
        <v>3881</v>
      </c>
      <c r="E899" s="85">
        <v>40528.434965277775</v>
      </c>
      <c r="F899" s="85"/>
      <c r="G899" s="64" t="str">
        <f>IF(stdProdLT(Main[[#This Row],[Comments]])=0.1,"N/A",IF(stdProdLT(Main[[#This Row],[Comments]])=0,"",TRIM(stdProdLT(Main[[#This Row],[Comments]]))))</f>
        <v/>
      </c>
      <c r="H899" s="94" t="str">
        <f>IF(OR(Main[[#This Row],[Std. Prod. Lead Time]]="N/A",Main[[#This Row],[Std. Prod. Lead Time]]=""), "",IF(AND(Main[[#This Row],[In Stock Date]]&lt;&gt;"",Main[[#This Row],[Revised Due Date]]&lt;&gt;"",Main[[#This Row],[In Stock Date]]&lt;&gt;""),Main[[#This Row],[In Stock Date]]-Main[[#This Row],[Revised Due Date]],""))</f>
        <v/>
      </c>
      <c r="I899" s="101" t="s">
        <v>4</v>
      </c>
      <c r="J899" s="95" t="s">
        <v>28</v>
      </c>
      <c r="K899" s="95" t="s">
        <v>1923</v>
      </c>
      <c r="L899" s="85"/>
      <c r="M899" s="73" t="str">
        <f>IF(Main[[#This Row],[Tech Start Date]]&lt;1/1/1990,"",IF(Main[[#This Row],[Class]]="C",WORKDAY(Main[[#This Row],[Tech Start Date]],9),IF(Main[[#This Row],[Class]]="B", WORKDAY(Main[[#This Row],[Tech Start Date]],6),IF(Main[[#This Row],[Class]]="A",WORKDAY(Main[[#This Row],[Tech Start Date]],2),""))))</f>
        <v/>
      </c>
      <c r="N899" s="73" t="str">
        <f>IF(Main[[#This Row],[Tech Start Date]]&lt;1/1/1990,"",IF(Main[[#This Row],[Class]]="C",WORKDAY(Main[[#This Row],[Tech Start Date]],19),IF(Main[[#This Row],[Class]]="B", WORKDAY(Main[[#This Row],[Tech Start Date]],12),IF(Main[[#This Row],[Class]]="A",WORKDAY(Main[[#This Row],[Tech Start Date]],4),""))))</f>
        <v/>
      </c>
      <c r="O899" s="73" t="str">
        <f>IF(Main[[#This Row],[Tech Start Date]]&lt;1/1/1990,"",IF(Main[[#This Row],[Class]]="C",WORKDAY(Main[[#This Row],[Tech Start Date]],23),IF(Main[[#This Row],[Class]]="B", WORKDAY(Main[[#This Row],[Tech Start Date]],15),IF(Main[[#This Row],[Class]]="A",WORKDAY(Main[[#This Row],[Tech Start Date]],5),""))))</f>
        <v/>
      </c>
      <c r="P899" s="73" t="str">
        <f>IF(Main[[#This Row],[Tech Start Date]]&lt;1/1/1990,"",IF(Main[[#This Row],[Class]]="C",WORKDAY(Main[[#This Row],[Tech Start Date]],28),IF(Main[[#This Row],[Class]]="B", WORKDAY(Main[[#This Row],[Tech Start Date]],19),IF(Main[[#This Row],[Class]]="A",WORKDAY(Main[[#This Row],[Tech Start Date]],9),""))))</f>
        <v/>
      </c>
      <c r="Q899" s="85">
        <v>41152</v>
      </c>
      <c r="R899" s="112"/>
      <c r="S899" s="95" t="s">
        <v>17</v>
      </c>
      <c r="T899" s="74" t="s">
        <v>4</v>
      </c>
      <c r="U899" s="95" t="s">
        <v>7</v>
      </c>
      <c r="V899" s="95" t="s">
        <v>1911</v>
      </c>
      <c r="W899" s="95" t="s">
        <v>1916</v>
      </c>
      <c r="X899" s="95" t="s">
        <v>129</v>
      </c>
      <c r="Y899" s="72" t="s">
        <v>3055</v>
      </c>
      <c r="Z899" s="72" t="s">
        <v>129</v>
      </c>
      <c r="AA899" s="95" t="s">
        <v>129</v>
      </c>
      <c r="AB899" s="132"/>
      <c r="AC899" s="132"/>
      <c r="AD899" s="132"/>
      <c r="AE899" s="63"/>
      <c r="AF899" s="63"/>
      <c r="AG899" s="63"/>
    </row>
    <row r="900" spans="1:33" ht="17.2" customHeight="1">
      <c r="A900" s="64" t="str">
        <f>IF(priority(Main[[#This Row],[Comments]])&lt;&gt;0, priority(Main[[#This Row],[Comments]]),"")</f>
        <v/>
      </c>
      <c r="B900" s="60" t="s">
        <v>1726</v>
      </c>
      <c r="C900" s="72" t="s">
        <v>4</v>
      </c>
      <c r="D900" s="59" t="s">
        <v>784</v>
      </c>
      <c r="E900" s="85">
        <v>40646.604930555557</v>
      </c>
      <c r="F900" s="85"/>
      <c r="G900" s="64" t="str">
        <f>IF(stdProdLT(Main[[#This Row],[Comments]])=0.1,"N/A",IF(stdProdLT(Main[[#This Row],[Comments]])=0,"",TRIM(stdProdLT(Main[[#This Row],[Comments]]))))</f>
        <v/>
      </c>
      <c r="H900" s="94" t="str">
        <f>IF(OR(Main[[#This Row],[Std. Prod. Lead Time]]="N/A",Main[[#This Row],[Std. Prod. Lead Time]]=""), "",IF(AND(Main[[#This Row],[In Stock Date]]&lt;&gt;"",Main[[#This Row],[Revised Due Date]]&lt;&gt;"",Main[[#This Row],[In Stock Date]]&lt;&gt;""),Main[[#This Row],[In Stock Date]]-Main[[#This Row],[Revised Due Date]],""))</f>
        <v/>
      </c>
      <c r="I900" s="101" t="s">
        <v>4</v>
      </c>
      <c r="J900" s="95" t="s">
        <v>4</v>
      </c>
      <c r="K900" s="96" t="s">
        <v>4</v>
      </c>
      <c r="L900" s="85"/>
      <c r="M900" s="73" t="str">
        <f>IF(Main[[#This Row],[Tech Start Date]]&lt;1/1/1990,"",IF(Main[[#This Row],[Class]]="C",WORKDAY(Main[[#This Row],[Tech Start Date]],9),IF(Main[[#This Row],[Class]]="B", WORKDAY(Main[[#This Row],[Tech Start Date]],6),IF(Main[[#This Row],[Class]]="A",WORKDAY(Main[[#This Row],[Tech Start Date]],2),""))))</f>
        <v/>
      </c>
      <c r="N900" s="73" t="str">
        <f>IF(Main[[#This Row],[Tech Start Date]]&lt;1/1/1990,"",IF(Main[[#This Row],[Class]]="C",WORKDAY(Main[[#This Row],[Tech Start Date]],19),IF(Main[[#This Row],[Class]]="B", WORKDAY(Main[[#This Row],[Tech Start Date]],12),IF(Main[[#This Row],[Class]]="A",WORKDAY(Main[[#This Row],[Tech Start Date]],4),""))))</f>
        <v/>
      </c>
      <c r="O900" s="73" t="str">
        <f>IF(Main[[#This Row],[Tech Start Date]]&lt;1/1/1990,"",IF(Main[[#This Row],[Class]]="C",WORKDAY(Main[[#This Row],[Tech Start Date]],23),IF(Main[[#This Row],[Class]]="B", WORKDAY(Main[[#This Row],[Tech Start Date]],15),IF(Main[[#This Row],[Class]]="A",WORKDAY(Main[[#This Row],[Tech Start Date]],5),""))))</f>
        <v/>
      </c>
      <c r="P900" s="73" t="str">
        <f>IF(Main[[#This Row],[Tech Start Date]]&lt;1/1/1990,"",IF(Main[[#This Row],[Class]]="C",WORKDAY(Main[[#This Row],[Tech Start Date]],28),IF(Main[[#This Row],[Class]]="B", WORKDAY(Main[[#This Row],[Tech Start Date]],19),IF(Main[[#This Row],[Class]]="A",WORKDAY(Main[[#This Row],[Tech Start Date]],9),""))))</f>
        <v/>
      </c>
      <c r="Q900" s="85">
        <v>40683</v>
      </c>
      <c r="R900" s="112"/>
      <c r="S900" s="95" t="s">
        <v>6</v>
      </c>
      <c r="T900" s="74" t="s">
        <v>4</v>
      </c>
      <c r="U900" s="95" t="s">
        <v>7</v>
      </c>
      <c r="V900" s="95" t="s">
        <v>1911</v>
      </c>
      <c r="W900" s="95" t="s">
        <v>4</v>
      </c>
      <c r="X900" s="95" t="s">
        <v>2798</v>
      </c>
      <c r="Y900" s="72" t="s">
        <v>2908</v>
      </c>
      <c r="Z900" s="72" t="s">
        <v>4</v>
      </c>
      <c r="AA900" s="95" t="s">
        <v>2798</v>
      </c>
      <c r="AB900" s="132"/>
      <c r="AC900" s="132"/>
      <c r="AD900" s="132"/>
      <c r="AE900" s="63"/>
      <c r="AF900" s="63"/>
      <c r="AG900" s="63"/>
    </row>
    <row r="901" spans="1:33" ht="17.2" customHeight="1">
      <c r="A901" s="64" t="str">
        <f>IF(priority(Main[[#This Row],[Comments]])&lt;&gt;0, priority(Main[[#This Row],[Comments]]),"")</f>
        <v/>
      </c>
      <c r="B901" s="60" t="s">
        <v>1728</v>
      </c>
      <c r="C901" s="72" t="s">
        <v>4</v>
      </c>
      <c r="D901" s="59" t="s">
        <v>785</v>
      </c>
      <c r="E901" s="85">
        <v>40584.401712962965</v>
      </c>
      <c r="F901" s="85">
        <v>40602</v>
      </c>
      <c r="G901" s="64" t="str">
        <f>IF(stdProdLT(Main[[#This Row],[Comments]])=0.1,"N/A",IF(stdProdLT(Main[[#This Row],[Comments]])=0,"",TRIM(stdProdLT(Main[[#This Row],[Comments]]))))</f>
        <v/>
      </c>
      <c r="H901" s="94" t="str">
        <f>IF(OR(Main[[#This Row],[Std. Prod. Lead Time]]="N/A",Main[[#This Row],[Std. Prod. Lead Time]]=""), "",IF(AND(Main[[#This Row],[In Stock Date]]&lt;&gt;"",Main[[#This Row],[Revised Due Date]]&lt;&gt;"",Main[[#This Row],[In Stock Date]]&lt;&gt;""),Main[[#This Row],[In Stock Date]]-Main[[#This Row],[Revised Due Date]],""))</f>
        <v/>
      </c>
      <c r="I901" s="101" t="s">
        <v>4</v>
      </c>
      <c r="J901" s="95" t="s">
        <v>28</v>
      </c>
      <c r="K901" s="95" t="s">
        <v>1923</v>
      </c>
      <c r="L901" s="85"/>
      <c r="M901" s="73" t="str">
        <f>IF(Main[[#This Row],[Tech Start Date]]&lt;1/1/1990,"",IF(Main[[#This Row],[Class]]="C",WORKDAY(Main[[#This Row],[Tech Start Date]],9),IF(Main[[#This Row],[Class]]="B", WORKDAY(Main[[#This Row],[Tech Start Date]],6),IF(Main[[#This Row],[Class]]="A",WORKDAY(Main[[#This Row],[Tech Start Date]],2),""))))</f>
        <v/>
      </c>
      <c r="N901" s="73" t="str">
        <f>IF(Main[[#This Row],[Tech Start Date]]&lt;1/1/1990,"",IF(Main[[#This Row],[Class]]="C",WORKDAY(Main[[#This Row],[Tech Start Date]],19),IF(Main[[#This Row],[Class]]="B", WORKDAY(Main[[#This Row],[Tech Start Date]],12),IF(Main[[#This Row],[Class]]="A",WORKDAY(Main[[#This Row],[Tech Start Date]],4),""))))</f>
        <v/>
      </c>
      <c r="O901" s="73" t="str">
        <f>IF(Main[[#This Row],[Tech Start Date]]&lt;1/1/1990,"",IF(Main[[#This Row],[Class]]="C",WORKDAY(Main[[#This Row],[Tech Start Date]],23),IF(Main[[#This Row],[Class]]="B", WORKDAY(Main[[#This Row],[Tech Start Date]],15),IF(Main[[#This Row],[Class]]="A",WORKDAY(Main[[#This Row],[Tech Start Date]],5),""))))</f>
        <v/>
      </c>
      <c r="P901" s="73" t="str">
        <f>IF(Main[[#This Row],[Tech Start Date]]&lt;1/1/1990,"",IF(Main[[#This Row],[Class]]="C",WORKDAY(Main[[#This Row],[Tech Start Date]],28),IF(Main[[#This Row],[Class]]="B", WORKDAY(Main[[#This Row],[Tech Start Date]],19),IF(Main[[#This Row],[Class]]="A",WORKDAY(Main[[#This Row],[Tech Start Date]],9),""))))</f>
        <v/>
      </c>
      <c r="Q901" s="85">
        <v>40602</v>
      </c>
      <c r="R901" s="112"/>
      <c r="S901" s="95" t="s">
        <v>17</v>
      </c>
      <c r="T901" s="74" t="s">
        <v>4</v>
      </c>
      <c r="U901" s="95" t="s">
        <v>7</v>
      </c>
      <c r="V901" s="95" t="s">
        <v>1911</v>
      </c>
      <c r="W901" s="95" t="s">
        <v>1919</v>
      </c>
      <c r="X901" s="95" t="s">
        <v>2808</v>
      </c>
      <c r="Y901" s="72" t="s">
        <v>2928</v>
      </c>
      <c r="Z901" s="72" t="s">
        <v>129</v>
      </c>
      <c r="AA901" s="95" t="s">
        <v>2808</v>
      </c>
      <c r="AB901" s="132"/>
      <c r="AC901" s="132"/>
      <c r="AD901" s="132"/>
      <c r="AE901" s="63"/>
      <c r="AF901" s="63"/>
      <c r="AG901" s="63"/>
    </row>
    <row r="902" spans="1:33" ht="17.2" customHeight="1">
      <c r="A902" s="64" t="str">
        <f>IF(priority(Main[[#This Row],[Comments]])&lt;&gt;0, priority(Main[[#This Row],[Comments]]),"")</f>
        <v/>
      </c>
      <c r="B902" s="60" t="s">
        <v>2079</v>
      </c>
      <c r="C902" s="72" t="s">
        <v>4</v>
      </c>
      <c r="D902" s="59" t="s">
        <v>2390</v>
      </c>
      <c r="E902" s="85">
        <v>40764.689201388886</v>
      </c>
      <c r="F902" s="85"/>
      <c r="G902" s="64" t="str">
        <f>IF(stdProdLT(Main[[#This Row],[Comments]])=0.1,"N/A",IF(stdProdLT(Main[[#This Row],[Comments]])=0,"",TRIM(stdProdLT(Main[[#This Row],[Comments]]))))</f>
        <v/>
      </c>
      <c r="H902" s="94" t="str">
        <f>IF(OR(Main[[#This Row],[Std. Prod. Lead Time]]="N/A",Main[[#This Row],[Std. Prod. Lead Time]]=""), "",IF(AND(Main[[#This Row],[In Stock Date]]&lt;&gt;"",Main[[#This Row],[Revised Due Date]]&lt;&gt;"",Main[[#This Row],[In Stock Date]]&lt;&gt;""),Main[[#This Row],[In Stock Date]]-Main[[#This Row],[Revised Due Date]],""))</f>
        <v/>
      </c>
      <c r="I902" s="101" t="s">
        <v>4</v>
      </c>
      <c r="J902" s="95" t="s">
        <v>4</v>
      </c>
      <c r="K902" s="95" t="s">
        <v>4</v>
      </c>
      <c r="L902" s="85"/>
      <c r="M902" s="73" t="str">
        <f>IF(Main[[#This Row],[Tech Start Date]]&lt;1/1/1990,"",IF(Main[[#This Row],[Class]]="C",WORKDAY(Main[[#This Row],[Tech Start Date]],9),IF(Main[[#This Row],[Class]]="B", WORKDAY(Main[[#This Row],[Tech Start Date]],6),IF(Main[[#This Row],[Class]]="A",WORKDAY(Main[[#This Row],[Tech Start Date]],2),""))))</f>
        <v/>
      </c>
      <c r="N902" s="73" t="str">
        <f>IF(Main[[#This Row],[Tech Start Date]]&lt;1/1/1990,"",IF(Main[[#This Row],[Class]]="C",WORKDAY(Main[[#This Row],[Tech Start Date]],19),IF(Main[[#This Row],[Class]]="B", WORKDAY(Main[[#This Row],[Tech Start Date]],12),IF(Main[[#This Row],[Class]]="A",WORKDAY(Main[[#This Row],[Tech Start Date]],4),""))))</f>
        <v/>
      </c>
      <c r="O902" s="73" t="str">
        <f>IF(Main[[#This Row],[Tech Start Date]]&lt;1/1/1990,"",IF(Main[[#This Row],[Class]]="C",WORKDAY(Main[[#This Row],[Tech Start Date]],23),IF(Main[[#This Row],[Class]]="B", WORKDAY(Main[[#This Row],[Tech Start Date]],15),IF(Main[[#This Row],[Class]]="A",WORKDAY(Main[[#This Row],[Tech Start Date]],5),""))))</f>
        <v/>
      </c>
      <c r="P902" s="73" t="str">
        <f>IF(Main[[#This Row],[Tech Start Date]]&lt;1/1/1990,"",IF(Main[[#This Row],[Class]]="C",WORKDAY(Main[[#This Row],[Tech Start Date]],28),IF(Main[[#This Row],[Class]]="B", WORKDAY(Main[[#This Row],[Tech Start Date]],19),IF(Main[[#This Row],[Class]]="A",WORKDAY(Main[[#This Row],[Tech Start Date]],9),""))))</f>
        <v/>
      </c>
      <c r="Q902" s="85"/>
      <c r="R902" s="112"/>
      <c r="S902" s="95" t="s">
        <v>6</v>
      </c>
      <c r="T902" s="74" t="s">
        <v>4</v>
      </c>
      <c r="U902" s="95" t="s">
        <v>7</v>
      </c>
      <c r="V902" s="95" t="s">
        <v>1912</v>
      </c>
      <c r="W902" s="95" t="s">
        <v>1913</v>
      </c>
      <c r="X902" s="95" t="s">
        <v>306</v>
      </c>
      <c r="Y902" s="72" t="s">
        <v>4</v>
      </c>
      <c r="Z902" s="72" t="s">
        <v>4</v>
      </c>
      <c r="AA902" s="95" t="s">
        <v>4</v>
      </c>
      <c r="AB902" s="132"/>
      <c r="AC902" s="132"/>
      <c r="AD902" s="132"/>
      <c r="AE902" s="63"/>
      <c r="AF902" s="63"/>
      <c r="AG902" s="63"/>
    </row>
    <row r="903" spans="1:33" ht="17.2" customHeight="1">
      <c r="A903" s="64" t="str">
        <f>IF(priority(Main[[#This Row],[Comments]])&lt;&gt;0, priority(Main[[#This Row],[Comments]]),"")</f>
        <v/>
      </c>
      <c r="B903" s="60" t="s">
        <v>1729</v>
      </c>
      <c r="C903" s="72" t="s">
        <v>4</v>
      </c>
      <c r="D903" s="59" t="s">
        <v>786</v>
      </c>
      <c r="E903" s="85">
        <v>40371.351643518516</v>
      </c>
      <c r="F903" s="85"/>
      <c r="G903" s="64" t="str">
        <f>IF(stdProdLT(Main[[#This Row],[Comments]])=0.1,"N/A",IF(stdProdLT(Main[[#This Row],[Comments]])=0,"",TRIM(stdProdLT(Main[[#This Row],[Comments]]))))</f>
        <v/>
      </c>
      <c r="H903" s="94" t="str">
        <f>IF(OR(Main[[#This Row],[Std. Prod. Lead Time]]="N/A",Main[[#This Row],[Std. Prod. Lead Time]]=""), "",IF(AND(Main[[#This Row],[In Stock Date]]&lt;&gt;"",Main[[#This Row],[Revised Due Date]]&lt;&gt;"",Main[[#This Row],[In Stock Date]]&lt;&gt;""),Main[[#This Row],[In Stock Date]]-Main[[#This Row],[Revised Due Date]],""))</f>
        <v/>
      </c>
      <c r="I903" s="101" t="s">
        <v>4</v>
      </c>
      <c r="J903" s="95" t="s">
        <v>4</v>
      </c>
      <c r="K903" s="95" t="s">
        <v>4</v>
      </c>
      <c r="L903" s="85"/>
      <c r="M903" s="73" t="str">
        <f>IF(Main[[#This Row],[Tech Start Date]]&lt;1/1/1990,"",IF(Main[[#This Row],[Class]]="C",WORKDAY(Main[[#This Row],[Tech Start Date]],9),IF(Main[[#This Row],[Class]]="B", WORKDAY(Main[[#This Row],[Tech Start Date]],6),IF(Main[[#This Row],[Class]]="A",WORKDAY(Main[[#This Row],[Tech Start Date]],2),""))))</f>
        <v/>
      </c>
      <c r="N903" s="73" t="str">
        <f>IF(Main[[#This Row],[Tech Start Date]]&lt;1/1/1990,"",IF(Main[[#This Row],[Class]]="C",WORKDAY(Main[[#This Row],[Tech Start Date]],19),IF(Main[[#This Row],[Class]]="B", WORKDAY(Main[[#This Row],[Tech Start Date]],12),IF(Main[[#This Row],[Class]]="A",WORKDAY(Main[[#This Row],[Tech Start Date]],4),""))))</f>
        <v/>
      </c>
      <c r="O903" s="73" t="str">
        <f>IF(Main[[#This Row],[Tech Start Date]]&lt;1/1/1990,"",IF(Main[[#This Row],[Class]]="C",WORKDAY(Main[[#This Row],[Tech Start Date]],23),IF(Main[[#This Row],[Class]]="B", WORKDAY(Main[[#This Row],[Tech Start Date]],15),IF(Main[[#This Row],[Class]]="A",WORKDAY(Main[[#This Row],[Tech Start Date]],5),""))))</f>
        <v/>
      </c>
      <c r="P903" s="73" t="str">
        <f>IF(Main[[#This Row],[Tech Start Date]]&lt;1/1/1990,"",IF(Main[[#This Row],[Class]]="C",WORKDAY(Main[[#This Row],[Tech Start Date]],28),IF(Main[[#This Row],[Class]]="B", WORKDAY(Main[[#This Row],[Tech Start Date]],19),IF(Main[[#This Row],[Class]]="A",WORKDAY(Main[[#This Row],[Tech Start Date]],9),""))))</f>
        <v/>
      </c>
      <c r="Q903" s="85">
        <v>40385</v>
      </c>
      <c r="R903" s="112"/>
      <c r="S903" s="95" t="s">
        <v>6</v>
      </c>
      <c r="T903" s="74" t="s">
        <v>4</v>
      </c>
      <c r="U903" s="95" t="s">
        <v>7</v>
      </c>
      <c r="V903" s="95" t="s">
        <v>1911</v>
      </c>
      <c r="W903" s="95" t="s">
        <v>1913</v>
      </c>
      <c r="X903" s="95" t="s">
        <v>102</v>
      </c>
      <c r="Y903" s="72" t="s">
        <v>3010</v>
      </c>
      <c r="Z903" s="72" t="s">
        <v>4</v>
      </c>
      <c r="AA903" s="95" t="s">
        <v>3357</v>
      </c>
      <c r="AB903" s="132"/>
      <c r="AC903" s="132"/>
      <c r="AD903" s="132"/>
      <c r="AE903" s="63"/>
      <c r="AF903" s="63"/>
      <c r="AG903" s="63"/>
    </row>
    <row r="904" spans="1:33" ht="17.2" customHeight="1">
      <c r="A904" s="64" t="str">
        <f>IF(priority(Main[[#This Row],[Comments]])&lt;&gt;0, priority(Main[[#This Row],[Comments]]),"")</f>
        <v/>
      </c>
      <c r="B904" s="60" t="s">
        <v>1754</v>
      </c>
      <c r="C904" s="72" t="s">
        <v>4</v>
      </c>
      <c r="D904" s="59" t="s">
        <v>794</v>
      </c>
      <c r="E904" s="85"/>
      <c r="F904" s="85"/>
      <c r="G904" s="64" t="str">
        <f>IF(stdProdLT(Main[[#This Row],[Comments]])=0.1,"N/A",IF(stdProdLT(Main[[#This Row],[Comments]])=0,"",TRIM(stdProdLT(Main[[#This Row],[Comments]]))))</f>
        <v/>
      </c>
      <c r="H904" s="94" t="str">
        <f>IF(OR(Main[[#This Row],[Std. Prod. Lead Time]]="N/A",Main[[#This Row],[Std. Prod. Lead Time]]=""), "",IF(AND(Main[[#This Row],[In Stock Date]]&lt;&gt;"",Main[[#This Row],[Revised Due Date]]&lt;&gt;"",Main[[#This Row],[In Stock Date]]&lt;&gt;""),Main[[#This Row],[In Stock Date]]-Main[[#This Row],[Revised Due Date]],""))</f>
        <v/>
      </c>
      <c r="I904" s="101" t="s">
        <v>4</v>
      </c>
      <c r="J904" s="95" t="s">
        <v>4</v>
      </c>
      <c r="K904" s="95" t="s">
        <v>4</v>
      </c>
      <c r="L904" s="85"/>
      <c r="M904" s="73" t="str">
        <f>IF(Main[[#This Row],[Tech Start Date]]&lt;1/1/1990,"",IF(Main[[#This Row],[Class]]="C",WORKDAY(Main[[#This Row],[Tech Start Date]],9),IF(Main[[#This Row],[Class]]="B", WORKDAY(Main[[#This Row],[Tech Start Date]],6),IF(Main[[#This Row],[Class]]="A",WORKDAY(Main[[#This Row],[Tech Start Date]],2),""))))</f>
        <v/>
      </c>
      <c r="N904" s="73" t="str">
        <f>IF(Main[[#This Row],[Tech Start Date]]&lt;1/1/1990,"",IF(Main[[#This Row],[Class]]="C",WORKDAY(Main[[#This Row],[Tech Start Date]],19),IF(Main[[#This Row],[Class]]="B", WORKDAY(Main[[#This Row],[Tech Start Date]],12),IF(Main[[#This Row],[Class]]="A",WORKDAY(Main[[#This Row],[Tech Start Date]],4),""))))</f>
        <v/>
      </c>
      <c r="O904" s="73" t="str">
        <f>IF(Main[[#This Row],[Tech Start Date]]&lt;1/1/1990,"",IF(Main[[#This Row],[Class]]="C",WORKDAY(Main[[#This Row],[Tech Start Date]],23),IF(Main[[#This Row],[Class]]="B", WORKDAY(Main[[#This Row],[Tech Start Date]],15),IF(Main[[#This Row],[Class]]="A",WORKDAY(Main[[#This Row],[Tech Start Date]],5),""))))</f>
        <v/>
      </c>
      <c r="P904" s="73" t="str">
        <f>IF(Main[[#This Row],[Tech Start Date]]&lt;1/1/1990,"",IF(Main[[#This Row],[Class]]="C",WORKDAY(Main[[#This Row],[Tech Start Date]],28),IF(Main[[#This Row],[Class]]="B", WORKDAY(Main[[#This Row],[Tech Start Date]],19),IF(Main[[#This Row],[Class]]="A",WORKDAY(Main[[#This Row],[Tech Start Date]],9),""))))</f>
        <v/>
      </c>
      <c r="Q904" s="85"/>
      <c r="R904" s="112"/>
      <c r="S904" s="95" t="s">
        <v>23</v>
      </c>
      <c r="T904" s="74" t="s">
        <v>4</v>
      </c>
      <c r="U904" s="95" t="s">
        <v>14</v>
      </c>
      <c r="V904" s="95" t="s">
        <v>1914</v>
      </c>
      <c r="W904" s="95" t="s">
        <v>1915</v>
      </c>
      <c r="X904" s="95" t="s">
        <v>306</v>
      </c>
      <c r="Y904" s="72" t="s">
        <v>4</v>
      </c>
      <c r="Z904" s="72" t="s">
        <v>4</v>
      </c>
      <c r="AA904" s="95" t="s">
        <v>4</v>
      </c>
      <c r="AB904" s="132"/>
      <c r="AC904" s="132"/>
      <c r="AD904" s="132"/>
      <c r="AE904" s="63"/>
      <c r="AF904" s="63"/>
      <c r="AG904" s="63"/>
    </row>
    <row r="905" spans="1:33" ht="17.2" customHeight="1">
      <c r="A905" s="64" t="str">
        <f>IF(priority(Main[[#This Row],[Comments]])&lt;&gt;0, priority(Main[[#This Row],[Comments]]),"")</f>
        <v/>
      </c>
      <c r="B905" s="60" t="s">
        <v>1755</v>
      </c>
      <c r="C905" s="72" t="s">
        <v>122</v>
      </c>
      <c r="D905" s="59" t="s">
        <v>795</v>
      </c>
      <c r="E905" s="85"/>
      <c r="F905" s="85"/>
      <c r="G905" s="64" t="str">
        <f>IF(stdProdLT(Main[[#This Row],[Comments]])=0.1,"N/A",IF(stdProdLT(Main[[#This Row],[Comments]])=0,"",TRIM(stdProdLT(Main[[#This Row],[Comments]]))))</f>
        <v/>
      </c>
      <c r="H905" s="94" t="str">
        <f>IF(OR(Main[[#This Row],[Std. Prod. Lead Time]]="N/A",Main[[#This Row],[Std. Prod. Lead Time]]=""), "",IF(AND(Main[[#This Row],[In Stock Date]]&lt;&gt;"",Main[[#This Row],[Revised Due Date]]&lt;&gt;"",Main[[#This Row],[In Stock Date]]&lt;&gt;""),Main[[#This Row],[In Stock Date]]-Main[[#This Row],[Revised Due Date]],""))</f>
        <v/>
      </c>
      <c r="I905" s="101" t="s">
        <v>4</v>
      </c>
      <c r="J905" s="95" t="s">
        <v>4</v>
      </c>
      <c r="K905" s="95" t="s">
        <v>4</v>
      </c>
      <c r="L905" s="85"/>
      <c r="M905" s="73" t="str">
        <f>IF(Main[[#This Row],[Tech Start Date]]&lt;1/1/1990,"",IF(Main[[#This Row],[Class]]="C",WORKDAY(Main[[#This Row],[Tech Start Date]],9),IF(Main[[#This Row],[Class]]="B", WORKDAY(Main[[#This Row],[Tech Start Date]],6),IF(Main[[#This Row],[Class]]="A",WORKDAY(Main[[#This Row],[Tech Start Date]],2),""))))</f>
        <v/>
      </c>
      <c r="N905" s="73" t="str">
        <f>IF(Main[[#This Row],[Tech Start Date]]&lt;1/1/1990,"",IF(Main[[#This Row],[Class]]="C",WORKDAY(Main[[#This Row],[Tech Start Date]],19),IF(Main[[#This Row],[Class]]="B", WORKDAY(Main[[#This Row],[Tech Start Date]],12),IF(Main[[#This Row],[Class]]="A",WORKDAY(Main[[#This Row],[Tech Start Date]],4),""))))</f>
        <v/>
      </c>
      <c r="O905" s="73" t="str">
        <f>IF(Main[[#This Row],[Tech Start Date]]&lt;1/1/1990,"",IF(Main[[#This Row],[Class]]="C",WORKDAY(Main[[#This Row],[Tech Start Date]],23),IF(Main[[#This Row],[Class]]="B", WORKDAY(Main[[#This Row],[Tech Start Date]],15),IF(Main[[#This Row],[Class]]="A",WORKDAY(Main[[#This Row],[Tech Start Date]],5),""))))</f>
        <v/>
      </c>
      <c r="P905" s="73" t="str">
        <f>IF(Main[[#This Row],[Tech Start Date]]&lt;1/1/1990,"",IF(Main[[#This Row],[Class]]="C",WORKDAY(Main[[#This Row],[Tech Start Date]],28),IF(Main[[#This Row],[Class]]="B", WORKDAY(Main[[#This Row],[Tech Start Date]],19),IF(Main[[#This Row],[Class]]="A",WORKDAY(Main[[#This Row],[Tech Start Date]],9),""))))</f>
        <v/>
      </c>
      <c r="Q905" s="85">
        <v>40245</v>
      </c>
      <c r="R905" s="112"/>
      <c r="S905" s="95" t="s">
        <v>11</v>
      </c>
      <c r="T905" s="74" t="s">
        <v>4</v>
      </c>
      <c r="U905" s="95" t="s">
        <v>14</v>
      </c>
      <c r="V905" s="95" t="s">
        <v>1914</v>
      </c>
      <c r="W905" s="95" t="s">
        <v>1913</v>
      </c>
      <c r="X905" s="95" t="s">
        <v>2852</v>
      </c>
      <c r="Y905" s="72" t="s">
        <v>4</v>
      </c>
      <c r="Z905" s="72" t="s">
        <v>4</v>
      </c>
      <c r="AA905" s="95" t="s">
        <v>2852</v>
      </c>
      <c r="AB905" s="132"/>
      <c r="AC905" s="132"/>
      <c r="AD905" s="132"/>
      <c r="AE905" s="63"/>
      <c r="AF905" s="63"/>
      <c r="AG905" s="63"/>
    </row>
    <row r="906" spans="1:33" ht="17.2" customHeight="1">
      <c r="A906" s="64" t="str">
        <f>IF(priority(Main[[#This Row],[Comments]])&lt;&gt;0, priority(Main[[#This Row],[Comments]]),"")</f>
        <v/>
      </c>
      <c r="B906" s="60" t="s">
        <v>1731</v>
      </c>
      <c r="C906" s="72" t="s">
        <v>4</v>
      </c>
      <c r="D906" s="59" t="s">
        <v>787</v>
      </c>
      <c r="E906" s="85"/>
      <c r="F906" s="85"/>
      <c r="G906" s="64" t="str">
        <f>IF(stdProdLT(Main[[#This Row],[Comments]])=0.1,"N/A",IF(stdProdLT(Main[[#This Row],[Comments]])=0,"",TRIM(stdProdLT(Main[[#This Row],[Comments]]))))</f>
        <v/>
      </c>
      <c r="H906" s="94" t="str">
        <f>IF(OR(Main[[#This Row],[Std. Prod. Lead Time]]="N/A",Main[[#This Row],[Std. Prod. Lead Time]]=""), "",IF(AND(Main[[#This Row],[In Stock Date]]&lt;&gt;"",Main[[#This Row],[Revised Due Date]]&lt;&gt;"",Main[[#This Row],[In Stock Date]]&lt;&gt;""),Main[[#This Row],[In Stock Date]]-Main[[#This Row],[Revised Due Date]],""))</f>
        <v/>
      </c>
      <c r="I906" s="101" t="s">
        <v>4</v>
      </c>
      <c r="J906" s="95" t="s">
        <v>28</v>
      </c>
      <c r="K906" s="95" t="s">
        <v>4</v>
      </c>
      <c r="L906" s="85"/>
      <c r="M906" s="73" t="str">
        <f>IF(Main[[#This Row],[Tech Start Date]]&lt;1/1/1990,"",IF(Main[[#This Row],[Class]]="C",WORKDAY(Main[[#This Row],[Tech Start Date]],9),IF(Main[[#This Row],[Class]]="B", WORKDAY(Main[[#This Row],[Tech Start Date]],6),IF(Main[[#This Row],[Class]]="A",WORKDAY(Main[[#This Row],[Tech Start Date]],2),""))))</f>
        <v/>
      </c>
      <c r="N906" s="73" t="str">
        <f>IF(Main[[#This Row],[Tech Start Date]]&lt;1/1/1990,"",IF(Main[[#This Row],[Class]]="C",WORKDAY(Main[[#This Row],[Tech Start Date]],19),IF(Main[[#This Row],[Class]]="B", WORKDAY(Main[[#This Row],[Tech Start Date]],12),IF(Main[[#This Row],[Class]]="A",WORKDAY(Main[[#This Row],[Tech Start Date]],4),""))))</f>
        <v/>
      </c>
      <c r="O906" s="73" t="str">
        <f>IF(Main[[#This Row],[Tech Start Date]]&lt;1/1/1990,"",IF(Main[[#This Row],[Class]]="C",WORKDAY(Main[[#This Row],[Tech Start Date]],23),IF(Main[[#This Row],[Class]]="B", WORKDAY(Main[[#This Row],[Tech Start Date]],15),IF(Main[[#This Row],[Class]]="A",WORKDAY(Main[[#This Row],[Tech Start Date]],5),""))))</f>
        <v/>
      </c>
      <c r="P906" s="73" t="str">
        <f>IF(Main[[#This Row],[Tech Start Date]]&lt;1/1/1990,"",IF(Main[[#This Row],[Class]]="C",WORKDAY(Main[[#This Row],[Tech Start Date]],28),IF(Main[[#This Row],[Class]]="B", WORKDAY(Main[[#This Row],[Tech Start Date]],19),IF(Main[[#This Row],[Class]]="A",WORKDAY(Main[[#This Row],[Tech Start Date]],9),""))))</f>
        <v/>
      </c>
      <c r="Q906" s="85">
        <v>40466</v>
      </c>
      <c r="R906" s="112"/>
      <c r="S906" s="95" t="s">
        <v>6</v>
      </c>
      <c r="T906" s="74" t="s">
        <v>4</v>
      </c>
      <c r="U906" s="95" t="s">
        <v>14</v>
      </c>
      <c r="V906" s="95" t="s">
        <v>1911</v>
      </c>
      <c r="W906" s="95" t="s">
        <v>1915</v>
      </c>
      <c r="X906" s="95" t="s">
        <v>907</v>
      </c>
      <c r="Y906" s="72" t="s">
        <v>2995</v>
      </c>
      <c r="Z906" s="72" t="s">
        <v>129</v>
      </c>
      <c r="AA906" s="95" t="s">
        <v>907</v>
      </c>
      <c r="AB906" s="132"/>
      <c r="AC906" s="132"/>
      <c r="AD906" s="132"/>
      <c r="AE906" s="63"/>
      <c r="AF906" s="63"/>
      <c r="AG906" s="63"/>
    </row>
    <row r="907" spans="1:33" ht="17.2" customHeight="1">
      <c r="A907" s="64" t="str">
        <f>IF(priority(Main[[#This Row],[Comments]])&lt;&gt;0, priority(Main[[#This Row],[Comments]]),"")</f>
        <v/>
      </c>
      <c r="B907" s="60" t="s">
        <v>3297</v>
      </c>
      <c r="C907" s="72" t="s">
        <v>4</v>
      </c>
      <c r="D907" s="59" t="s">
        <v>3557</v>
      </c>
      <c r="E907" s="85">
        <v>40938.727824074071</v>
      </c>
      <c r="F907" s="85"/>
      <c r="G907" s="64" t="str">
        <f>IF(stdProdLT(Main[[#This Row],[Comments]])=0.1,"N/A",IF(stdProdLT(Main[[#This Row],[Comments]])=0,"",TRIM(stdProdLT(Main[[#This Row],[Comments]]))))</f>
        <v/>
      </c>
      <c r="H907" s="94" t="str">
        <f>IF(OR(Main[[#This Row],[Std. Prod. Lead Time]]="N/A",Main[[#This Row],[Std. Prod. Lead Time]]=""), "",IF(AND(Main[[#This Row],[In Stock Date]]&lt;&gt;"",Main[[#This Row],[Revised Due Date]]&lt;&gt;"",Main[[#This Row],[In Stock Date]]&lt;&gt;""),Main[[#This Row],[In Stock Date]]-Main[[#This Row],[Revised Due Date]],""))</f>
        <v/>
      </c>
      <c r="I907" s="101" t="s">
        <v>81</v>
      </c>
      <c r="J907" s="95" t="s">
        <v>52</v>
      </c>
      <c r="K907" s="95" t="s">
        <v>1920</v>
      </c>
      <c r="L907" s="85"/>
      <c r="M907" s="73" t="str">
        <f>IF(Main[[#This Row],[Tech Start Date]]&lt;1/1/1990,"",IF(Main[[#This Row],[Class]]="C",WORKDAY(Main[[#This Row],[Tech Start Date]],9),IF(Main[[#This Row],[Class]]="B", WORKDAY(Main[[#This Row],[Tech Start Date]],6),IF(Main[[#This Row],[Class]]="A",WORKDAY(Main[[#This Row],[Tech Start Date]],2),""))))</f>
        <v/>
      </c>
      <c r="N907" s="73" t="str">
        <f>IF(Main[[#This Row],[Tech Start Date]]&lt;1/1/1990,"",IF(Main[[#This Row],[Class]]="C",WORKDAY(Main[[#This Row],[Tech Start Date]],19),IF(Main[[#This Row],[Class]]="B", WORKDAY(Main[[#This Row],[Tech Start Date]],12),IF(Main[[#This Row],[Class]]="A",WORKDAY(Main[[#This Row],[Tech Start Date]],4),""))))</f>
        <v/>
      </c>
      <c r="O907" s="73" t="str">
        <f>IF(Main[[#This Row],[Tech Start Date]]&lt;1/1/1990,"",IF(Main[[#This Row],[Class]]="C",WORKDAY(Main[[#This Row],[Tech Start Date]],23),IF(Main[[#This Row],[Class]]="B", WORKDAY(Main[[#This Row],[Tech Start Date]],15),IF(Main[[#This Row],[Class]]="A",WORKDAY(Main[[#This Row],[Tech Start Date]],5),""))))</f>
        <v/>
      </c>
      <c r="P907" s="73" t="str">
        <f>IF(Main[[#This Row],[Tech Start Date]]&lt;1/1/1990,"",IF(Main[[#This Row],[Class]]="C",WORKDAY(Main[[#This Row],[Tech Start Date]],28),IF(Main[[#This Row],[Class]]="B", WORKDAY(Main[[#This Row],[Tech Start Date]],19),IF(Main[[#This Row],[Class]]="A",WORKDAY(Main[[#This Row],[Tech Start Date]],9),""))))</f>
        <v/>
      </c>
      <c r="Q907" s="85">
        <v>40970</v>
      </c>
      <c r="R907" s="112"/>
      <c r="S907" s="95" t="s">
        <v>6</v>
      </c>
      <c r="T907" s="74" t="s">
        <v>4</v>
      </c>
      <c r="U907" s="95" t="s">
        <v>29</v>
      </c>
      <c r="V907" s="95" t="s">
        <v>1914</v>
      </c>
      <c r="W907" s="95" t="s">
        <v>1915</v>
      </c>
      <c r="X907" s="95" t="s">
        <v>2799</v>
      </c>
      <c r="Y907" s="72" t="s">
        <v>2910</v>
      </c>
      <c r="Z907" s="72" t="s">
        <v>30</v>
      </c>
      <c r="AA907" s="95" t="s">
        <v>2799</v>
      </c>
      <c r="AB907" s="132"/>
      <c r="AC907" s="132"/>
      <c r="AD907" s="132"/>
      <c r="AE907" s="63"/>
      <c r="AF907" s="63"/>
      <c r="AG907" s="63"/>
    </row>
    <row r="908" spans="1:33" ht="17.2" customHeight="1">
      <c r="A908" s="64" t="str">
        <f>IF(priority(Main[[#This Row],[Comments]])&lt;&gt;0, priority(Main[[#This Row],[Comments]]),"")</f>
        <v/>
      </c>
      <c r="B908" s="60" t="s">
        <v>1734</v>
      </c>
      <c r="C908" s="72" t="s">
        <v>4</v>
      </c>
      <c r="D908" s="59" t="s">
        <v>430</v>
      </c>
      <c r="E908" s="85"/>
      <c r="F908" s="85"/>
      <c r="G908" s="64" t="str">
        <f>IF(stdProdLT(Main[[#This Row],[Comments]])=0.1,"N/A",IF(stdProdLT(Main[[#This Row],[Comments]])=0,"",TRIM(stdProdLT(Main[[#This Row],[Comments]]))))</f>
        <v/>
      </c>
      <c r="H908" s="94" t="str">
        <f>IF(OR(Main[[#This Row],[Std. Prod. Lead Time]]="N/A",Main[[#This Row],[Std. Prod. Lead Time]]=""), "",IF(AND(Main[[#This Row],[In Stock Date]]&lt;&gt;"",Main[[#This Row],[Revised Due Date]]&lt;&gt;"",Main[[#This Row],[In Stock Date]]&lt;&gt;""),Main[[#This Row],[In Stock Date]]-Main[[#This Row],[Revised Due Date]],""))</f>
        <v/>
      </c>
      <c r="I908" s="101" t="s">
        <v>4</v>
      </c>
      <c r="J908" s="95" t="s">
        <v>4</v>
      </c>
      <c r="K908" s="95" t="s">
        <v>4</v>
      </c>
      <c r="L908" s="85"/>
      <c r="M908" s="73" t="str">
        <f>IF(Main[[#This Row],[Tech Start Date]]&lt;1/1/1990,"",IF(Main[[#This Row],[Class]]="C",WORKDAY(Main[[#This Row],[Tech Start Date]],9),IF(Main[[#This Row],[Class]]="B", WORKDAY(Main[[#This Row],[Tech Start Date]],6),IF(Main[[#This Row],[Class]]="A",WORKDAY(Main[[#This Row],[Tech Start Date]],2),""))))</f>
        <v/>
      </c>
      <c r="N908" s="73" t="str">
        <f>IF(Main[[#This Row],[Tech Start Date]]&lt;1/1/1990,"",IF(Main[[#This Row],[Class]]="C",WORKDAY(Main[[#This Row],[Tech Start Date]],19),IF(Main[[#This Row],[Class]]="B", WORKDAY(Main[[#This Row],[Tech Start Date]],12),IF(Main[[#This Row],[Class]]="A",WORKDAY(Main[[#This Row],[Tech Start Date]],4),""))))</f>
        <v/>
      </c>
      <c r="O908" s="73" t="str">
        <f>IF(Main[[#This Row],[Tech Start Date]]&lt;1/1/1990,"",IF(Main[[#This Row],[Class]]="C",WORKDAY(Main[[#This Row],[Tech Start Date]],23),IF(Main[[#This Row],[Class]]="B", WORKDAY(Main[[#This Row],[Tech Start Date]],15),IF(Main[[#This Row],[Class]]="A",WORKDAY(Main[[#This Row],[Tech Start Date]],5),""))))</f>
        <v/>
      </c>
      <c r="P908" s="73" t="str">
        <f>IF(Main[[#This Row],[Tech Start Date]]&lt;1/1/1990,"",IF(Main[[#This Row],[Class]]="C",WORKDAY(Main[[#This Row],[Tech Start Date]],28),IF(Main[[#This Row],[Class]]="B", WORKDAY(Main[[#This Row],[Tech Start Date]],19),IF(Main[[#This Row],[Class]]="A",WORKDAY(Main[[#This Row],[Tech Start Date]],9),""))))</f>
        <v/>
      </c>
      <c r="Q908" s="85"/>
      <c r="R908" s="112"/>
      <c r="S908" s="95" t="s">
        <v>6</v>
      </c>
      <c r="T908" s="74" t="s">
        <v>4</v>
      </c>
      <c r="U908" s="95" t="s">
        <v>14</v>
      </c>
      <c r="V908" s="95" t="s">
        <v>1914</v>
      </c>
      <c r="W908" s="95" t="s">
        <v>1915</v>
      </c>
      <c r="X908" s="95" t="s">
        <v>30</v>
      </c>
      <c r="Y908" s="72" t="s">
        <v>2935</v>
      </c>
      <c r="Z908" s="72" t="s">
        <v>4</v>
      </c>
      <c r="AA908" s="95" t="s">
        <v>30</v>
      </c>
      <c r="AB908" s="132"/>
      <c r="AC908" s="132"/>
      <c r="AD908" s="132"/>
      <c r="AE908" s="63"/>
      <c r="AF908" s="63"/>
      <c r="AG908" s="63"/>
    </row>
    <row r="909" spans="1:33" ht="17.2" customHeight="1">
      <c r="A909" s="64" t="str">
        <f>IF(priority(Main[[#This Row],[Comments]])&lt;&gt;0, priority(Main[[#This Row],[Comments]]),"")</f>
        <v/>
      </c>
      <c r="B909" s="60" t="s">
        <v>1735</v>
      </c>
      <c r="C909" s="72" t="s">
        <v>436</v>
      </c>
      <c r="D909" s="59" t="s">
        <v>789</v>
      </c>
      <c r="E909" s="85"/>
      <c r="F909" s="85"/>
      <c r="G909" s="64" t="str">
        <f>IF(stdProdLT(Main[[#This Row],[Comments]])=0.1,"N/A",IF(stdProdLT(Main[[#This Row],[Comments]])=0,"",TRIM(stdProdLT(Main[[#This Row],[Comments]]))))</f>
        <v/>
      </c>
      <c r="H909" s="94" t="str">
        <f>IF(OR(Main[[#This Row],[Std. Prod. Lead Time]]="N/A",Main[[#This Row],[Std. Prod. Lead Time]]=""), "",IF(AND(Main[[#This Row],[In Stock Date]]&lt;&gt;"",Main[[#This Row],[Revised Due Date]]&lt;&gt;"",Main[[#This Row],[In Stock Date]]&lt;&gt;""),Main[[#This Row],[In Stock Date]]-Main[[#This Row],[Revised Due Date]],""))</f>
        <v/>
      </c>
      <c r="I909" s="101" t="s">
        <v>4</v>
      </c>
      <c r="J909" s="95" t="s">
        <v>4</v>
      </c>
      <c r="K909" s="96" t="s">
        <v>4</v>
      </c>
      <c r="L909" s="85"/>
      <c r="M909" s="73" t="str">
        <f>IF(Main[[#This Row],[Tech Start Date]]&lt;1/1/1990,"",IF(Main[[#This Row],[Class]]="C",WORKDAY(Main[[#This Row],[Tech Start Date]],9),IF(Main[[#This Row],[Class]]="B", WORKDAY(Main[[#This Row],[Tech Start Date]],6),IF(Main[[#This Row],[Class]]="A",WORKDAY(Main[[#This Row],[Tech Start Date]],2),""))))</f>
        <v/>
      </c>
      <c r="N909" s="73" t="str">
        <f>IF(Main[[#This Row],[Tech Start Date]]&lt;1/1/1990,"",IF(Main[[#This Row],[Class]]="C",WORKDAY(Main[[#This Row],[Tech Start Date]],19),IF(Main[[#This Row],[Class]]="B", WORKDAY(Main[[#This Row],[Tech Start Date]],12),IF(Main[[#This Row],[Class]]="A",WORKDAY(Main[[#This Row],[Tech Start Date]],4),""))))</f>
        <v/>
      </c>
      <c r="O909" s="73" t="str">
        <f>IF(Main[[#This Row],[Tech Start Date]]&lt;1/1/1990,"",IF(Main[[#This Row],[Class]]="C",WORKDAY(Main[[#This Row],[Tech Start Date]],23),IF(Main[[#This Row],[Class]]="B", WORKDAY(Main[[#This Row],[Tech Start Date]],15),IF(Main[[#This Row],[Class]]="A",WORKDAY(Main[[#This Row],[Tech Start Date]],5),""))))</f>
        <v/>
      </c>
      <c r="P909" s="73" t="str">
        <f>IF(Main[[#This Row],[Tech Start Date]]&lt;1/1/1990,"",IF(Main[[#This Row],[Class]]="C",WORKDAY(Main[[#This Row],[Tech Start Date]],28),IF(Main[[#This Row],[Class]]="B", WORKDAY(Main[[#This Row],[Tech Start Date]],19),IF(Main[[#This Row],[Class]]="A",WORKDAY(Main[[#This Row],[Tech Start Date]],9),""))))</f>
        <v/>
      </c>
      <c r="Q909" s="85"/>
      <c r="R909" s="112"/>
      <c r="S909" s="95" t="s">
        <v>11</v>
      </c>
      <c r="T909" s="74" t="s">
        <v>4</v>
      </c>
      <c r="U909" s="95" t="s">
        <v>14</v>
      </c>
      <c r="V909" s="95" t="s">
        <v>1911</v>
      </c>
      <c r="W909" s="95" t="s">
        <v>1919</v>
      </c>
      <c r="X909" s="95" t="s">
        <v>2833</v>
      </c>
      <c r="Y909" s="72" t="s">
        <v>2969</v>
      </c>
      <c r="Z909" s="72" t="s">
        <v>4</v>
      </c>
      <c r="AA909" s="95" t="s">
        <v>2833</v>
      </c>
      <c r="AB909" s="132"/>
      <c r="AC909" s="132"/>
      <c r="AD909" s="132"/>
      <c r="AE909" s="63"/>
      <c r="AF909" s="63"/>
      <c r="AG909" s="63"/>
    </row>
    <row r="910" spans="1:33" ht="17.2" customHeight="1">
      <c r="A910" s="64" t="str">
        <f>IF(priority(Main[[#This Row],[Comments]])&lt;&gt;0, priority(Main[[#This Row],[Comments]]),"")</f>
        <v/>
      </c>
      <c r="B910" s="60" t="s">
        <v>1736</v>
      </c>
      <c r="C910" s="72" t="s">
        <v>4</v>
      </c>
      <c r="D910" s="59" t="s">
        <v>790</v>
      </c>
      <c r="E910" s="85">
        <v>40479.428263888891</v>
      </c>
      <c r="F910" s="85"/>
      <c r="G910" s="64" t="str">
        <f>IF(stdProdLT(Main[[#This Row],[Comments]])=0.1,"N/A",IF(stdProdLT(Main[[#This Row],[Comments]])=0,"",TRIM(stdProdLT(Main[[#This Row],[Comments]]))))</f>
        <v/>
      </c>
      <c r="H910" s="94" t="str">
        <f>IF(OR(Main[[#This Row],[Std. Prod. Lead Time]]="N/A",Main[[#This Row],[Std. Prod. Lead Time]]=""), "",IF(AND(Main[[#This Row],[In Stock Date]]&lt;&gt;"",Main[[#This Row],[Revised Due Date]]&lt;&gt;"",Main[[#This Row],[In Stock Date]]&lt;&gt;""),Main[[#This Row],[In Stock Date]]-Main[[#This Row],[Revised Due Date]],""))</f>
        <v/>
      </c>
      <c r="I910" s="101" t="s">
        <v>30</v>
      </c>
      <c r="J910" s="95" t="s">
        <v>28</v>
      </c>
      <c r="K910" s="95" t="s">
        <v>1920</v>
      </c>
      <c r="L910" s="85"/>
      <c r="M910" s="73" t="str">
        <f>IF(Main[[#This Row],[Tech Start Date]]&lt;1/1/1990,"",IF(Main[[#This Row],[Class]]="C",WORKDAY(Main[[#This Row],[Tech Start Date]],9),IF(Main[[#This Row],[Class]]="B", WORKDAY(Main[[#This Row],[Tech Start Date]],6),IF(Main[[#This Row],[Class]]="A",WORKDAY(Main[[#This Row],[Tech Start Date]],2),""))))</f>
        <v/>
      </c>
      <c r="N910" s="73" t="str">
        <f>IF(Main[[#This Row],[Tech Start Date]]&lt;1/1/1990,"",IF(Main[[#This Row],[Class]]="C",WORKDAY(Main[[#This Row],[Tech Start Date]],19),IF(Main[[#This Row],[Class]]="B", WORKDAY(Main[[#This Row],[Tech Start Date]],12),IF(Main[[#This Row],[Class]]="A",WORKDAY(Main[[#This Row],[Tech Start Date]],4),""))))</f>
        <v/>
      </c>
      <c r="O910" s="73" t="str">
        <f>IF(Main[[#This Row],[Tech Start Date]]&lt;1/1/1990,"",IF(Main[[#This Row],[Class]]="C",WORKDAY(Main[[#This Row],[Tech Start Date]],23),IF(Main[[#This Row],[Class]]="B", WORKDAY(Main[[#This Row],[Tech Start Date]],15),IF(Main[[#This Row],[Class]]="A",WORKDAY(Main[[#This Row],[Tech Start Date]],5),""))))</f>
        <v/>
      </c>
      <c r="P910" s="73" t="str">
        <f>IF(Main[[#This Row],[Tech Start Date]]&lt;1/1/1990,"",IF(Main[[#This Row],[Class]]="C",WORKDAY(Main[[#This Row],[Tech Start Date]],28),IF(Main[[#This Row],[Class]]="B", WORKDAY(Main[[#This Row],[Tech Start Date]],19),IF(Main[[#This Row],[Class]]="A",WORKDAY(Main[[#This Row],[Tech Start Date]],9),""))))</f>
        <v/>
      </c>
      <c r="Q910" s="85">
        <v>40512</v>
      </c>
      <c r="R910" s="112"/>
      <c r="S910" s="95" t="s">
        <v>6</v>
      </c>
      <c r="T910" s="74" t="s">
        <v>4</v>
      </c>
      <c r="U910" s="95" t="s">
        <v>534</v>
      </c>
      <c r="V910" s="95" t="s">
        <v>1914</v>
      </c>
      <c r="W910" s="95" t="s">
        <v>1915</v>
      </c>
      <c r="X910" s="95" t="s">
        <v>2871</v>
      </c>
      <c r="Y910" s="72" t="s">
        <v>3080</v>
      </c>
      <c r="Z910" s="72" t="s">
        <v>30</v>
      </c>
      <c r="AA910" s="95" t="s">
        <v>2871</v>
      </c>
      <c r="AB910" s="132"/>
      <c r="AC910" s="132"/>
      <c r="AD910" s="132"/>
      <c r="AE910" s="63"/>
      <c r="AF910" s="63"/>
      <c r="AG910" s="63"/>
    </row>
    <row r="911" spans="1:33" ht="17.2" customHeight="1">
      <c r="A911" s="12" t="str">
        <f>IF(priority(Main[[#This Row],[Comments]])&lt;&gt;0, priority(Main[[#This Row],[Comments]]),"")</f>
        <v/>
      </c>
      <c r="B911" s="60" t="s">
        <v>4040</v>
      </c>
      <c r="C911" s="75" t="s">
        <v>4041</v>
      </c>
      <c r="D911" s="110" t="s">
        <v>4042</v>
      </c>
      <c r="E911" s="86">
        <v>40975.618148148147</v>
      </c>
      <c r="F911" s="86"/>
      <c r="G911" s="12" t="str">
        <f>IF(stdProdLT(Main[[#This Row],[Comments]])=0.1,"N/A",IF(stdProdLT(Main[[#This Row],[Comments]])=0,"",TRIM(stdProdLT(Main[[#This Row],[Comments]]))))</f>
        <v/>
      </c>
      <c r="H911" s="97" t="str">
        <f>IF(OR(Main[[#This Row],[Std. Prod. Lead Time]]="N/A",Main[[#This Row],[Std. Prod. Lead Time]]=""), "",IF(AND(Main[[#This Row],[In Stock Date]]&lt;&gt;"",Main[[#This Row],[Revised Due Date]]&lt;&gt;"",Main[[#This Row],[In Stock Date]]&lt;&gt;""),Main[[#This Row],[In Stock Date]]-Main[[#This Row],[Revised Due Date]],""))</f>
        <v/>
      </c>
      <c r="I911" s="102" t="s">
        <v>4</v>
      </c>
      <c r="J911" s="12" t="s">
        <v>4</v>
      </c>
      <c r="K911" s="12" t="s">
        <v>4</v>
      </c>
      <c r="L911" s="86"/>
      <c r="M911" s="73" t="str">
        <f>IF(Main[[#This Row],[Tech Start Date]]&lt;1/1/1990,"",IF(Main[[#This Row],[Class]]="C",WORKDAY(Main[[#This Row],[Tech Start Date]],9),IF(Main[[#This Row],[Class]]="B", WORKDAY(Main[[#This Row],[Tech Start Date]],6),IF(Main[[#This Row],[Class]]="A",WORKDAY(Main[[#This Row],[Tech Start Date]],2),""))))</f>
        <v/>
      </c>
      <c r="N911" s="73" t="str">
        <f>IF(Main[[#This Row],[Tech Start Date]]&lt;1/1/1990,"",IF(Main[[#This Row],[Class]]="C",WORKDAY(Main[[#This Row],[Tech Start Date]],19),IF(Main[[#This Row],[Class]]="B", WORKDAY(Main[[#This Row],[Tech Start Date]],12),IF(Main[[#This Row],[Class]]="A",WORKDAY(Main[[#This Row],[Tech Start Date]],4),""))))</f>
        <v/>
      </c>
      <c r="O911" s="73" t="str">
        <f>IF(Main[[#This Row],[Tech Start Date]]&lt;1/1/1990,"",IF(Main[[#This Row],[Class]]="C",WORKDAY(Main[[#This Row],[Tech Start Date]],23),IF(Main[[#This Row],[Class]]="B", WORKDAY(Main[[#This Row],[Tech Start Date]],15),IF(Main[[#This Row],[Class]]="A",WORKDAY(Main[[#This Row],[Tech Start Date]],5),""))))</f>
        <v/>
      </c>
      <c r="P911" s="73" t="str">
        <f>IF(Main[[#This Row],[Tech Start Date]]&lt;1/1/1990,"",IF(Main[[#This Row],[Class]]="C",WORKDAY(Main[[#This Row],[Tech Start Date]],28),IF(Main[[#This Row],[Class]]="B", WORKDAY(Main[[#This Row],[Tech Start Date]],19),IF(Main[[#This Row],[Class]]="A",WORKDAY(Main[[#This Row],[Tech Start Date]],9),""))))</f>
        <v/>
      </c>
      <c r="Q911" s="86"/>
      <c r="R911" s="115"/>
      <c r="S911" s="12" t="s">
        <v>11</v>
      </c>
      <c r="T911" s="76" t="s">
        <v>4</v>
      </c>
      <c r="U911" s="12" t="s">
        <v>7</v>
      </c>
      <c r="V911" s="12" t="s">
        <v>1912</v>
      </c>
      <c r="W911" s="12" t="s">
        <v>1913</v>
      </c>
      <c r="X911" s="12" t="s">
        <v>2859</v>
      </c>
      <c r="Y911" s="75" t="s">
        <v>3005</v>
      </c>
      <c r="Z911" s="75" t="s">
        <v>4</v>
      </c>
      <c r="AA911" s="95" t="s">
        <v>2859</v>
      </c>
      <c r="AB911" s="132"/>
      <c r="AC911" s="132"/>
      <c r="AD911" s="132"/>
      <c r="AE911" s="63"/>
      <c r="AF911" s="63"/>
      <c r="AG911" s="63"/>
    </row>
    <row r="912" spans="1:33" ht="17.2" customHeight="1">
      <c r="A912" s="64" t="str">
        <f>IF(priority(Main[[#This Row],[Comments]])&lt;&gt;0, priority(Main[[#This Row],[Comments]]),"")</f>
        <v/>
      </c>
      <c r="B912" s="60" t="s">
        <v>1737</v>
      </c>
      <c r="C912" s="72" t="s">
        <v>4</v>
      </c>
      <c r="D912" s="59" t="s">
        <v>39</v>
      </c>
      <c r="E912" s="85"/>
      <c r="F912" s="85"/>
      <c r="G912" s="64" t="str">
        <f>IF(stdProdLT(Main[[#This Row],[Comments]])=0.1,"N/A",IF(stdProdLT(Main[[#This Row],[Comments]])=0,"",TRIM(stdProdLT(Main[[#This Row],[Comments]]))))</f>
        <v/>
      </c>
      <c r="H912" s="94" t="str">
        <f>IF(OR(Main[[#This Row],[Std. Prod. Lead Time]]="N/A",Main[[#This Row],[Std. Prod. Lead Time]]=""), "",IF(AND(Main[[#This Row],[In Stock Date]]&lt;&gt;"",Main[[#This Row],[Revised Due Date]]&lt;&gt;"",Main[[#This Row],[In Stock Date]]&lt;&gt;""),Main[[#This Row],[In Stock Date]]-Main[[#This Row],[Revised Due Date]],""))</f>
        <v/>
      </c>
      <c r="I912" s="101" t="s">
        <v>4</v>
      </c>
      <c r="J912" s="95" t="s">
        <v>4</v>
      </c>
      <c r="K912" s="95" t="s">
        <v>4</v>
      </c>
      <c r="L912" s="85"/>
      <c r="M912" s="73" t="str">
        <f>IF(Main[[#This Row],[Tech Start Date]]&lt;1/1/1990,"",IF(Main[[#This Row],[Class]]="C",WORKDAY(Main[[#This Row],[Tech Start Date]],9),IF(Main[[#This Row],[Class]]="B", WORKDAY(Main[[#This Row],[Tech Start Date]],6),IF(Main[[#This Row],[Class]]="A",WORKDAY(Main[[#This Row],[Tech Start Date]],2),""))))</f>
        <v/>
      </c>
      <c r="N912" s="73" t="str">
        <f>IF(Main[[#This Row],[Tech Start Date]]&lt;1/1/1990,"",IF(Main[[#This Row],[Class]]="C",WORKDAY(Main[[#This Row],[Tech Start Date]],19),IF(Main[[#This Row],[Class]]="B", WORKDAY(Main[[#This Row],[Tech Start Date]],12),IF(Main[[#This Row],[Class]]="A",WORKDAY(Main[[#This Row],[Tech Start Date]],4),""))))</f>
        <v/>
      </c>
      <c r="O912" s="73" t="str">
        <f>IF(Main[[#This Row],[Tech Start Date]]&lt;1/1/1990,"",IF(Main[[#This Row],[Class]]="C",WORKDAY(Main[[#This Row],[Tech Start Date]],23),IF(Main[[#This Row],[Class]]="B", WORKDAY(Main[[#This Row],[Tech Start Date]],15),IF(Main[[#This Row],[Class]]="A",WORKDAY(Main[[#This Row],[Tech Start Date]],5),""))))</f>
        <v/>
      </c>
      <c r="P912" s="73" t="str">
        <f>IF(Main[[#This Row],[Tech Start Date]]&lt;1/1/1990,"",IF(Main[[#This Row],[Class]]="C",WORKDAY(Main[[#This Row],[Tech Start Date]],28),IF(Main[[#This Row],[Class]]="B", WORKDAY(Main[[#This Row],[Tech Start Date]],19),IF(Main[[#This Row],[Class]]="A",WORKDAY(Main[[#This Row],[Tech Start Date]],9),""))))</f>
        <v/>
      </c>
      <c r="Q912" s="85">
        <v>40669</v>
      </c>
      <c r="R912" s="112"/>
      <c r="S912" s="95" t="s">
        <v>6</v>
      </c>
      <c r="T912" s="74" t="s">
        <v>4</v>
      </c>
      <c r="U912" s="95" t="s">
        <v>14</v>
      </c>
      <c r="V912" s="95" t="s">
        <v>1914</v>
      </c>
      <c r="W912" s="95" t="s">
        <v>4</v>
      </c>
      <c r="X912" s="95" t="s">
        <v>2798</v>
      </c>
      <c r="Y912" s="72" t="s">
        <v>2908</v>
      </c>
      <c r="Z912" s="72" t="s">
        <v>4</v>
      </c>
      <c r="AA912" s="95" t="s">
        <v>2798</v>
      </c>
      <c r="AB912" s="132"/>
      <c r="AC912" s="132"/>
      <c r="AD912" s="132"/>
      <c r="AE912" s="63"/>
      <c r="AF912" s="63"/>
      <c r="AG912" s="63"/>
    </row>
    <row r="913" spans="1:33" ht="17.2" customHeight="1">
      <c r="A913" s="64" t="str">
        <f>IF(priority(Main[[#This Row],[Comments]])&lt;&gt;0, priority(Main[[#This Row],[Comments]]),"")</f>
        <v/>
      </c>
      <c r="B913" s="60" t="s">
        <v>1738</v>
      </c>
      <c r="C913" s="72" t="s">
        <v>4</v>
      </c>
      <c r="D913" s="59" t="s">
        <v>791</v>
      </c>
      <c r="E913" s="85"/>
      <c r="F913" s="85"/>
      <c r="G913" s="64" t="str">
        <f>IF(stdProdLT(Main[[#This Row],[Comments]])=0.1,"N/A",IF(stdProdLT(Main[[#This Row],[Comments]])=0,"",TRIM(stdProdLT(Main[[#This Row],[Comments]]))))</f>
        <v/>
      </c>
      <c r="H913" s="94" t="str">
        <f>IF(OR(Main[[#This Row],[Std. Prod. Lead Time]]="N/A",Main[[#This Row],[Std. Prod. Lead Time]]=""), "",IF(AND(Main[[#This Row],[In Stock Date]]&lt;&gt;"",Main[[#This Row],[Revised Due Date]]&lt;&gt;"",Main[[#This Row],[In Stock Date]]&lt;&gt;""),Main[[#This Row],[In Stock Date]]-Main[[#This Row],[Revised Due Date]],""))</f>
        <v/>
      </c>
      <c r="I913" s="101" t="s">
        <v>4</v>
      </c>
      <c r="J913" s="95" t="s">
        <v>4</v>
      </c>
      <c r="K913" s="95" t="s">
        <v>4</v>
      </c>
      <c r="L913" s="85"/>
      <c r="M913" s="73" t="str">
        <f>IF(Main[[#This Row],[Tech Start Date]]&lt;1/1/1990,"",IF(Main[[#This Row],[Class]]="C",WORKDAY(Main[[#This Row],[Tech Start Date]],9),IF(Main[[#This Row],[Class]]="B", WORKDAY(Main[[#This Row],[Tech Start Date]],6),IF(Main[[#This Row],[Class]]="A",WORKDAY(Main[[#This Row],[Tech Start Date]],2),""))))</f>
        <v/>
      </c>
      <c r="N913" s="73" t="str">
        <f>IF(Main[[#This Row],[Tech Start Date]]&lt;1/1/1990,"",IF(Main[[#This Row],[Class]]="C",WORKDAY(Main[[#This Row],[Tech Start Date]],19),IF(Main[[#This Row],[Class]]="B", WORKDAY(Main[[#This Row],[Tech Start Date]],12),IF(Main[[#This Row],[Class]]="A",WORKDAY(Main[[#This Row],[Tech Start Date]],4),""))))</f>
        <v/>
      </c>
      <c r="O913" s="73" t="str">
        <f>IF(Main[[#This Row],[Tech Start Date]]&lt;1/1/1990,"",IF(Main[[#This Row],[Class]]="C",WORKDAY(Main[[#This Row],[Tech Start Date]],23),IF(Main[[#This Row],[Class]]="B", WORKDAY(Main[[#This Row],[Tech Start Date]],15),IF(Main[[#This Row],[Class]]="A",WORKDAY(Main[[#This Row],[Tech Start Date]],5),""))))</f>
        <v/>
      </c>
      <c r="P913" s="73" t="str">
        <f>IF(Main[[#This Row],[Tech Start Date]]&lt;1/1/1990,"",IF(Main[[#This Row],[Class]]="C",WORKDAY(Main[[#This Row],[Tech Start Date]],28),IF(Main[[#This Row],[Class]]="B", WORKDAY(Main[[#This Row],[Tech Start Date]],19),IF(Main[[#This Row],[Class]]="A",WORKDAY(Main[[#This Row],[Tech Start Date]],9),""))))</f>
        <v/>
      </c>
      <c r="Q913" s="85"/>
      <c r="R913" s="112"/>
      <c r="S913" s="95" t="s">
        <v>17</v>
      </c>
      <c r="T913" s="74" t="s">
        <v>4</v>
      </c>
      <c r="U913" s="95" t="s">
        <v>14</v>
      </c>
      <c r="V913" s="95" t="s">
        <v>1914</v>
      </c>
      <c r="W913" s="95" t="s">
        <v>4</v>
      </c>
      <c r="X913" s="95" t="s">
        <v>306</v>
      </c>
      <c r="Y913" s="72" t="s">
        <v>4</v>
      </c>
      <c r="Z913" s="72" t="s">
        <v>4</v>
      </c>
      <c r="AA913" s="95" t="s">
        <v>652</v>
      </c>
      <c r="AB913" s="132"/>
      <c r="AC913" s="132"/>
      <c r="AD913" s="132"/>
      <c r="AE913" s="63"/>
      <c r="AF913" s="63"/>
      <c r="AG913" s="63"/>
    </row>
    <row r="914" spans="1:33" ht="17.2" customHeight="1">
      <c r="A914" s="64" t="str">
        <f>IF(priority(Main[[#This Row],[Comments]])&lt;&gt;0, priority(Main[[#This Row],[Comments]]),"")</f>
        <v/>
      </c>
      <c r="B914" s="60" t="s">
        <v>1488</v>
      </c>
      <c r="C914" s="72" t="s">
        <v>37</v>
      </c>
      <c r="D914" s="59" t="s">
        <v>2384</v>
      </c>
      <c r="E914" s="85">
        <v>40682.490115740744</v>
      </c>
      <c r="F914" s="85"/>
      <c r="G914" s="64" t="str">
        <f>IF(stdProdLT(Main[[#This Row],[Comments]])=0.1,"N/A",IF(stdProdLT(Main[[#This Row],[Comments]])=0,"",TRIM(stdProdLT(Main[[#This Row],[Comments]]))))</f>
        <v/>
      </c>
      <c r="H914" s="94" t="str">
        <f>IF(OR(Main[[#This Row],[Std. Prod. Lead Time]]="N/A",Main[[#This Row],[Std. Prod. Lead Time]]=""), "",IF(AND(Main[[#This Row],[In Stock Date]]&lt;&gt;"",Main[[#This Row],[Revised Due Date]]&lt;&gt;"",Main[[#This Row],[In Stock Date]]&lt;&gt;""),Main[[#This Row],[In Stock Date]]-Main[[#This Row],[Revised Due Date]],""))</f>
        <v/>
      </c>
      <c r="I914" s="101" t="s">
        <v>4</v>
      </c>
      <c r="J914" s="95" t="s">
        <v>4</v>
      </c>
      <c r="K914" s="95" t="s">
        <v>4</v>
      </c>
      <c r="L914" s="85"/>
      <c r="M914" s="73" t="str">
        <f>IF(Main[[#This Row],[Tech Start Date]]&lt;1/1/1990,"",IF(Main[[#This Row],[Class]]="C",WORKDAY(Main[[#This Row],[Tech Start Date]],9),IF(Main[[#This Row],[Class]]="B", WORKDAY(Main[[#This Row],[Tech Start Date]],6),IF(Main[[#This Row],[Class]]="A",WORKDAY(Main[[#This Row],[Tech Start Date]],2),""))))</f>
        <v/>
      </c>
      <c r="N914" s="73" t="str">
        <f>IF(Main[[#This Row],[Tech Start Date]]&lt;1/1/1990,"",IF(Main[[#This Row],[Class]]="C",WORKDAY(Main[[#This Row],[Tech Start Date]],19),IF(Main[[#This Row],[Class]]="B", WORKDAY(Main[[#This Row],[Tech Start Date]],12),IF(Main[[#This Row],[Class]]="A",WORKDAY(Main[[#This Row],[Tech Start Date]],4),""))))</f>
        <v/>
      </c>
      <c r="O914" s="73" t="str">
        <f>IF(Main[[#This Row],[Tech Start Date]]&lt;1/1/1990,"",IF(Main[[#This Row],[Class]]="C",WORKDAY(Main[[#This Row],[Tech Start Date]],23),IF(Main[[#This Row],[Class]]="B", WORKDAY(Main[[#This Row],[Tech Start Date]],15),IF(Main[[#This Row],[Class]]="A",WORKDAY(Main[[#This Row],[Tech Start Date]],5),""))))</f>
        <v/>
      </c>
      <c r="P914" s="73" t="str">
        <f>IF(Main[[#This Row],[Tech Start Date]]&lt;1/1/1990,"",IF(Main[[#This Row],[Class]]="C",WORKDAY(Main[[#This Row],[Tech Start Date]],28),IF(Main[[#This Row],[Class]]="B", WORKDAY(Main[[#This Row],[Tech Start Date]],19),IF(Main[[#This Row],[Class]]="A",WORKDAY(Main[[#This Row],[Tech Start Date]],9),""))))</f>
        <v/>
      </c>
      <c r="Q914" s="85">
        <v>40703</v>
      </c>
      <c r="R914" s="112"/>
      <c r="S914" s="95" t="s">
        <v>6</v>
      </c>
      <c r="T914" s="74" t="s">
        <v>4</v>
      </c>
      <c r="U914" s="95" t="s">
        <v>7</v>
      </c>
      <c r="V914" s="95" t="s">
        <v>1911</v>
      </c>
      <c r="W914" s="95" t="s">
        <v>1922</v>
      </c>
      <c r="X914" s="95" t="s">
        <v>970</v>
      </c>
      <c r="Y914" s="72" t="s">
        <v>3075</v>
      </c>
      <c r="Z914" s="72" t="s">
        <v>4</v>
      </c>
      <c r="AA914" s="95" t="s">
        <v>970</v>
      </c>
      <c r="AB914" s="132"/>
      <c r="AC914" s="132"/>
      <c r="AD914" s="132"/>
      <c r="AE914" s="63"/>
      <c r="AF914" s="63"/>
      <c r="AG914" s="63"/>
    </row>
    <row r="915" spans="1:33" ht="17.2" customHeight="1">
      <c r="A915" s="64" t="str">
        <f>IF(priority(Main[[#This Row],[Comments]])&lt;&gt;0, priority(Main[[#This Row],[Comments]]),"")</f>
        <v/>
      </c>
      <c r="B915" s="60" t="s">
        <v>1740</v>
      </c>
      <c r="C915" s="72" t="s">
        <v>4</v>
      </c>
      <c r="D915" s="59" t="s">
        <v>681</v>
      </c>
      <c r="E915" s="85"/>
      <c r="F915" s="85"/>
      <c r="G915" s="64" t="str">
        <f>IF(stdProdLT(Main[[#This Row],[Comments]])=0.1,"N/A",IF(stdProdLT(Main[[#This Row],[Comments]])=0,"",TRIM(stdProdLT(Main[[#This Row],[Comments]]))))</f>
        <v/>
      </c>
      <c r="H915" s="94" t="str">
        <f>IF(OR(Main[[#This Row],[Std. Prod. Lead Time]]="N/A",Main[[#This Row],[Std. Prod. Lead Time]]=""), "",IF(AND(Main[[#This Row],[In Stock Date]]&lt;&gt;"",Main[[#This Row],[Revised Due Date]]&lt;&gt;"",Main[[#This Row],[In Stock Date]]&lt;&gt;""),Main[[#This Row],[In Stock Date]]-Main[[#This Row],[Revised Due Date]],""))</f>
        <v/>
      </c>
      <c r="I915" s="101" t="s">
        <v>4</v>
      </c>
      <c r="J915" s="95" t="s">
        <v>4</v>
      </c>
      <c r="K915" s="95" t="s">
        <v>4</v>
      </c>
      <c r="L915" s="85"/>
      <c r="M915" s="73" t="str">
        <f>IF(Main[[#This Row],[Tech Start Date]]&lt;1/1/1990,"",IF(Main[[#This Row],[Class]]="C",WORKDAY(Main[[#This Row],[Tech Start Date]],9),IF(Main[[#This Row],[Class]]="B", WORKDAY(Main[[#This Row],[Tech Start Date]],6),IF(Main[[#This Row],[Class]]="A",WORKDAY(Main[[#This Row],[Tech Start Date]],2),""))))</f>
        <v/>
      </c>
      <c r="N915" s="73" t="str">
        <f>IF(Main[[#This Row],[Tech Start Date]]&lt;1/1/1990,"",IF(Main[[#This Row],[Class]]="C",WORKDAY(Main[[#This Row],[Tech Start Date]],19),IF(Main[[#This Row],[Class]]="B", WORKDAY(Main[[#This Row],[Tech Start Date]],12),IF(Main[[#This Row],[Class]]="A",WORKDAY(Main[[#This Row],[Tech Start Date]],4),""))))</f>
        <v/>
      </c>
      <c r="O915" s="73" t="str">
        <f>IF(Main[[#This Row],[Tech Start Date]]&lt;1/1/1990,"",IF(Main[[#This Row],[Class]]="C",WORKDAY(Main[[#This Row],[Tech Start Date]],23),IF(Main[[#This Row],[Class]]="B", WORKDAY(Main[[#This Row],[Tech Start Date]],15),IF(Main[[#This Row],[Class]]="A",WORKDAY(Main[[#This Row],[Tech Start Date]],5),""))))</f>
        <v/>
      </c>
      <c r="P915" s="73" t="str">
        <f>IF(Main[[#This Row],[Tech Start Date]]&lt;1/1/1990,"",IF(Main[[#This Row],[Class]]="C",WORKDAY(Main[[#This Row],[Tech Start Date]],28),IF(Main[[#This Row],[Class]]="B", WORKDAY(Main[[#This Row],[Tech Start Date]],19),IF(Main[[#This Row],[Class]]="A",WORKDAY(Main[[#This Row],[Tech Start Date]],9),""))))</f>
        <v/>
      </c>
      <c r="Q915" s="85"/>
      <c r="R915" s="112"/>
      <c r="S915" s="95" t="s">
        <v>23</v>
      </c>
      <c r="T915" s="74" t="s">
        <v>4</v>
      </c>
      <c r="U915" s="95" t="s">
        <v>14</v>
      </c>
      <c r="V915" s="95" t="s">
        <v>1914</v>
      </c>
      <c r="W915" s="95" t="s">
        <v>1915</v>
      </c>
      <c r="X915" s="95" t="s">
        <v>417</v>
      </c>
      <c r="Y915" s="72" t="s">
        <v>3081</v>
      </c>
      <c r="Z915" s="72" t="s">
        <v>4</v>
      </c>
      <c r="AA915" s="95" t="s">
        <v>3389</v>
      </c>
      <c r="AB915" s="132"/>
      <c r="AC915" s="132"/>
      <c r="AD915" s="132"/>
      <c r="AE915" s="63"/>
      <c r="AF915" s="63"/>
      <c r="AG915" s="63"/>
    </row>
    <row r="916" spans="1:33" ht="17.2" customHeight="1">
      <c r="A916" s="64" t="str">
        <f>IF(priority(Main[[#This Row],[Comments]])&lt;&gt;0, priority(Main[[#This Row],[Comments]]),"")</f>
        <v/>
      </c>
      <c r="B916" s="60" t="s">
        <v>1852</v>
      </c>
      <c r="C916" s="72" t="s">
        <v>47</v>
      </c>
      <c r="D916" s="59" t="s">
        <v>910</v>
      </c>
      <c r="E916" s="85">
        <v>39937.598483796297</v>
      </c>
      <c r="F916" s="85"/>
      <c r="G916" s="64" t="str">
        <f>IF(stdProdLT(Main[[#This Row],[Comments]])=0.1,"N/A",IF(stdProdLT(Main[[#This Row],[Comments]])=0,"",TRIM(stdProdLT(Main[[#This Row],[Comments]]))))</f>
        <v/>
      </c>
      <c r="H916" s="94" t="str">
        <f>IF(OR(Main[[#This Row],[Std. Prod. Lead Time]]="N/A",Main[[#This Row],[Std. Prod. Lead Time]]=""), "",IF(AND(Main[[#This Row],[In Stock Date]]&lt;&gt;"",Main[[#This Row],[Revised Due Date]]&lt;&gt;"",Main[[#This Row],[In Stock Date]]&lt;&gt;""),Main[[#This Row],[In Stock Date]]-Main[[#This Row],[Revised Due Date]],""))</f>
        <v/>
      </c>
      <c r="I916" s="101" t="s">
        <v>898</v>
      </c>
      <c r="J916" s="95" t="s">
        <v>4</v>
      </c>
      <c r="K916" s="95" t="s">
        <v>1923</v>
      </c>
      <c r="L916" s="85"/>
      <c r="M916" s="73" t="str">
        <f>IF(Main[[#This Row],[Tech Start Date]]&lt;1/1/1990,"",IF(Main[[#This Row],[Class]]="C",WORKDAY(Main[[#This Row],[Tech Start Date]],9),IF(Main[[#This Row],[Class]]="B", WORKDAY(Main[[#This Row],[Tech Start Date]],6),IF(Main[[#This Row],[Class]]="A",WORKDAY(Main[[#This Row],[Tech Start Date]],2),""))))</f>
        <v/>
      </c>
      <c r="N916" s="73" t="str">
        <f>IF(Main[[#This Row],[Tech Start Date]]&lt;1/1/1990,"",IF(Main[[#This Row],[Class]]="C",WORKDAY(Main[[#This Row],[Tech Start Date]],19),IF(Main[[#This Row],[Class]]="B", WORKDAY(Main[[#This Row],[Tech Start Date]],12),IF(Main[[#This Row],[Class]]="A",WORKDAY(Main[[#This Row],[Tech Start Date]],4),""))))</f>
        <v/>
      </c>
      <c r="O916" s="73" t="str">
        <f>IF(Main[[#This Row],[Tech Start Date]]&lt;1/1/1990,"",IF(Main[[#This Row],[Class]]="C",WORKDAY(Main[[#This Row],[Tech Start Date]],23),IF(Main[[#This Row],[Class]]="B", WORKDAY(Main[[#This Row],[Tech Start Date]],15),IF(Main[[#This Row],[Class]]="A",WORKDAY(Main[[#This Row],[Tech Start Date]],5),""))))</f>
        <v/>
      </c>
      <c r="P916" s="73" t="str">
        <f>IF(Main[[#This Row],[Tech Start Date]]&lt;1/1/1990,"",IF(Main[[#This Row],[Class]]="C",WORKDAY(Main[[#This Row],[Tech Start Date]],28),IF(Main[[#This Row],[Class]]="B", WORKDAY(Main[[#This Row],[Tech Start Date]],19),IF(Main[[#This Row],[Class]]="A",WORKDAY(Main[[#This Row],[Tech Start Date]],9),""))))</f>
        <v/>
      </c>
      <c r="Q916" s="85"/>
      <c r="R916" s="112">
        <v>40945</v>
      </c>
      <c r="S916" s="95" t="s">
        <v>17</v>
      </c>
      <c r="T916" s="74" t="s">
        <v>4</v>
      </c>
      <c r="U916" s="95" t="s">
        <v>29</v>
      </c>
      <c r="V916" s="95" t="s">
        <v>1914</v>
      </c>
      <c r="W916" s="95" t="s">
        <v>1916</v>
      </c>
      <c r="X916" s="95" t="s">
        <v>2807</v>
      </c>
      <c r="Y916" s="72" t="s">
        <v>2926</v>
      </c>
      <c r="Z916" s="72" t="s">
        <v>415</v>
      </c>
      <c r="AA916" s="95" t="s">
        <v>2807</v>
      </c>
      <c r="AB916" s="132"/>
      <c r="AC916" s="132"/>
      <c r="AD916" s="132"/>
      <c r="AE916" s="63"/>
      <c r="AF916" s="63"/>
      <c r="AG916" s="63"/>
    </row>
    <row r="917" spans="1:33" ht="17.2" customHeight="1">
      <c r="A917" s="64" t="str">
        <f>IF(priority(Main[[#This Row],[Comments]])&lt;&gt;0, priority(Main[[#This Row],[Comments]]),"")</f>
        <v/>
      </c>
      <c r="B917" s="60" t="s">
        <v>1741</v>
      </c>
      <c r="C917" s="72" t="s">
        <v>31</v>
      </c>
      <c r="D917" s="59" t="s">
        <v>792</v>
      </c>
      <c r="E917" s="85"/>
      <c r="F917" s="85"/>
      <c r="G917" s="64" t="str">
        <f>IF(stdProdLT(Main[[#This Row],[Comments]])=0.1,"N/A",IF(stdProdLT(Main[[#This Row],[Comments]])=0,"",TRIM(stdProdLT(Main[[#This Row],[Comments]]))))</f>
        <v/>
      </c>
      <c r="H917" s="94" t="str">
        <f>IF(OR(Main[[#This Row],[Std. Prod. Lead Time]]="N/A",Main[[#This Row],[Std. Prod. Lead Time]]=""), "",IF(AND(Main[[#This Row],[In Stock Date]]&lt;&gt;"",Main[[#This Row],[Revised Due Date]]&lt;&gt;"",Main[[#This Row],[In Stock Date]]&lt;&gt;""),Main[[#This Row],[In Stock Date]]-Main[[#This Row],[Revised Due Date]],""))</f>
        <v/>
      </c>
      <c r="I917" s="101" t="s">
        <v>4</v>
      </c>
      <c r="J917" s="95" t="s">
        <v>4</v>
      </c>
      <c r="K917" s="96" t="s">
        <v>4</v>
      </c>
      <c r="L917" s="85"/>
      <c r="M917" s="73" t="str">
        <f>IF(Main[[#This Row],[Tech Start Date]]&lt;1/1/1990,"",IF(Main[[#This Row],[Class]]="C",WORKDAY(Main[[#This Row],[Tech Start Date]],9),IF(Main[[#This Row],[Class]]="B", WORKDAY(Main[[#This Row],[Tech Start Date]],6),IF(Main[[#This Row],[Class]]="A",WORKDAY(Main[[#This Row],[Tech Start Date]],2),""))))</f>
        <v/>
      </c>
      <c r="N917" s="73" t="str">
        <f>IF(Main[[#This Row],[Tech Start Date]]&lt;1/1/1990,"",IF(Main[[#This Row],[Class]]="C",WORKDAY(Main[[#This Row],[Tech Start Date]],19),IF(Main[[#This Row],[Class]]="B", WORKDAY(Main[[#This Row],[Tech Start Date]],12),IF(Main[[#This Row],[Class]]="A",WORKDAY(Main[[#This Row],[Tech Start Date]],4),""))))</f>
        <v/>
      </c>
      <c r="O917" s="73" t="str">
        <f>IF(Main[[#This Row],[Tech Start Date]]&lt;1/1/1990,"",IF(Main[[#This Row],[Class]]="C",WORKDAY(Main[[#This Row],[Tech Start Date]],23),IF(Main[[#This Row],[Class]]="B", WORKDAY(Main[[#This Row],[Tech Start Date]],15),IF(Main[[#This Row],[Class]]="A",WORKDAY(Main[[#This Row],[Tech Start Date]],5),""))))</f>
        <v/>
      </c>
      <c r="P917" s="73" t="str">
        <f>IF(Main[[#This Row],[Tech Start Date]]&lt;1/1/1990,"",IF(Main[[#This Row],[Class]]="C",WORKDAY(Main[[#This Row],[Tech Start Date]],28),IF(Main[[#This Row],[Class]]="B", WORKDAY(Main[[#This Row],[Tech Start Date]],19),IF(Main[[#This Row],[Class]]="A",WORKDAY(Main[[#This Row],[Tech Start Date]],9),""))))</f>
        <v/>
      </c>
      <c r="Q917" s="85">
        <v>40318</v>
      </c>
      <c r="R917" s="112"/>
      <c r="S917" s="95" t="s">
        <v>11</v>
      </c>
      <c r="T917" s="74" t="s">
        <v>4</v>
      </c>
      <c r="U917" s="95" t="s">
        <v>14</v>
      </c>
      <c r="V917" s="95" t="s">
        <v>1921</v>
      </c>
      <c r="W917" s="95" t="s">
        <v>1913</v>
      </c>
      <c r="X917" s="95" t="s">
        <v>2810</v>
      </c>
      <c r="Y917" s="72" t="s">
        <v>4</v>
      </c>
      <c r="Z917" s="72" t="s">
        <v>4</v>
      </c>
      <c r="AA917" s="95" t="s">
        <v>2810</v>
      </c>
      <c r="AB917" s="132"/>
      <c r="AC917" s="132"/>
      <c r="AD917" s="132"/>
      <c r="AE917" s="63"/>
      <c r="AF917" s="63"/>
      <c r="AG917" s="63"/>
    </row>
    <row r="918" spans="1:33" ht="17.2" customHeight="1">
      <c r="A918" s="64" t="str">
        <f>IF(priority(Main[[#This Row],[Comments]])&lt;&gt;0, priority(Main[[#This Row],[Comments]]),"")</f>
        <v/>
      </c>
      <c r="B918" s="60" t="s">
        <v>1767</v>
      </c>
      <c r="C918" s="72" t="s">
        <v>4</v>
      </c>
      <c r="D918" s="59" t="s">
        <v>804</v>
      </c>
      <c r="E918" s="85"/>
      <c r="F918" s="85"/>
      <c r="G918" s="64" t="str">
        <f>IF(stdProdLT(Main[[#This Row],[Comments]])=0.1,"N/A",IF(stdProdLT(Main[[#This Row],[Comments]])=0,"",TRIM(stdProdLT(Main[[#This Row],[Comments]]))))</f>
        <v/>
      </c>
      <c r="H918" s="94" t="str">
        <f>IF(OR(Main[[#This Row],[Std. Prod. Lead Time]]="N/A",Main[[#This Row],[Std. Prod. Lead Time]]=""), "",IF(AND(Main[[#This Row],[In Stock Date]]&lt;&gt;"",Main[[#This Row],[Revised Due Date]]&lt;&gt;"",Main[[#This Row],[In Stock Date]]&lt;&gt;""),Main[[#This Row],[In Stock Date]]-Main[[#This Row],[Revised Due Date]],""))</f>
        <v/>
      </c>
      <c r="I918" s="101" t="s">
        <v>4</v>
      </c>
      <c r="J918" s="95" t="s">
        <v>4</v>
      </c>
      <c r="K918" s="95" t="s">
        <v>4</v>
      </c>
      <c r="L918" s="85"/>
      <c r="M918" s="73" t="str">
        <f>IF(Main[[#This Row],[Tech Start Date]]&lt;1/1/1990,"",IF(Main[[#This Row],[Class]]="C",WORKDAY(Main[[#This Row],[Tech Start Date]],9),IF(Main[[#This Row],[Class]]="B", WORKDAY(Main[[#This Row],[Tech Start Date]],6),IF(Main[[#This Row],[Class]]="A",WORKDAY(Main[[#This Row],[Tech Start Date]],2),""))))</f>
        <v/>
      </c>
      <c r="N918" s="73" t="str">
        <f>IF(Main[[#This Row],[Tech Start Date]]&lt;1/1/1990,"",IF(Main[[#This Row],[Class]]="C",WORKDAY(Main[[#This Row],[Tech Start Date]],19),IF(Main[[#This Row],[Class]]="B", WORKDAY(Main[[#This Row],[Tech Start Date]],12),IF(Main[[#This Row],[Class]]="A",WORKDAY(Main[[#This Row],[Tech Start Date]],4),""))))</f>
        <v/>
      </c>
      <c r="O918" s="73" t="str">
        <f>IF(Main[[#This Row],[Tech Start Date]]&lt;1/1/1990,"",IF(Main[[#This Row],[Class]]="C",WORKDAY(Main[[#This Row],[Tech Start Date]],23),IF(Main[[#This Row],[Class]]="B", WORKDAY(Main[[#This Row],[Tech Start Date]],15),IF(Main[[#This Row],[Class]]="A",WORKDAY(Main[[#This Row],[Tech Start Date]],5),""))))</f>
        <v/>
      </c>
      <c r="P918" s="73" t="str">
        <f>IF(Main[[#This Row],[Tech Start Date]]&lt;1/1/1990,"",IF(Main[[#This Row],[Class]]="C",WORKDAY(Main[[#This Row],[Tech Start Date]],28),IF(Main[[#This Row],[Class]]="B", WORKDAY(Main[[#This Row],[Tech Start Date]],19),IF(Main[[#This Row],[Class]]="A",WORKDAY(Main[[#This Row],[Tech Start Date]],9),""))))</f>
        <v/>
      </c>
      <c r="Q918" s="85"/>
      <c r="R918" s="112"/>
      <c r="S918" s="95" t="s">
        <v>49</v>
      </c>
      <c r="T918" s="74" t="s">
        <v>4</v>
      </c>
      <c r="U918" s="95" t="s">
        <v>14</v>
      </c>
      <c r="V918" s="95" t="s">
        <v>1914</v>
      </c>
      <c r="W918" s="95" t="s">
        <v>1915</v>
      </c>
      <c r="X918" s="95" t="s">
        <v>306</v>
      </c>
      <c r="Y918" s="72" t="s">
        <v>3082</v>
      </c>
      <c r="Z918" s="72" t="s">
        <v>4</v>
      </c>
      <c r="AA918" s="95" t="s">
        <v>306</v>
      </c>
      <c r="AB918" s="132"/>
      <c r="AC918" s="132"/>
      <c r="AD918" s="132"/>
      <c r="AE918" s="63"/>
      <c r="AF918" s="63"/>
      <c r="AG918" s="63"/>
    </row>
    <row r="919" spans="1:33" ht="17.2" customHeight="1">
      <c r="A919" s="64" t="str">
        <f>IF(priority(Main[[#This Row],[Comments]])&lt;&gt;0, priority(Main[[#This Row],[Comments]]),"")</f>
        <v/>
      </c>
      <c r="B919" s="60" t="s">
        <v>3223</v>
      </c>
      <c r="C919" s="72" t="s">
        <v>4</v>
      </c>
      <c r="D919" s="59" t="s">
        <v>3224</v>
      </c>
      <c r="E919" s="85"/>
      <c r="F919" s="85"/>
      <c r="G919" s="64" t="str">
        <f>IF(stdProdLT(Main[[#This Row],[Comments]])=0.1,"N/A",IF(stdProdLT(Main[[#This Row],[Comments]])=0,"",TRIM(stdProdLT(Main[[#This Row],[Comments]]))))</f>
        <v/>
      </c>
      <c r="H919" s="94" t="str">
        <f>IF(OR(Main[[#This Row],[Std. Prod. Lead Time]]="N/A",Main[[#This Row],[Std. Prod. Lead Time]]=""), "",IF(AND(Main[[#This Row],[In Stock Date]]&lt;&gt;"",Main[[#This Row],[Revised Due Date]]&lt;&gt;"",Main[[#This Row],[In Stock Date]]&lt;&gt;""),Main[[#This Row],[In Stock Date]]-Main[[#This Row],[Revised Due Date]],""))</f>
        <v/>
      </c>
      <c r="I919" s="101" t="s">
        <v>4</v>
      </c>
      <c r="J919" s="95" t="s">
        <v>4</v>
      </c>
      <c r="K919" s="95" t="s">
        <v>4</v>
      </c>
      <c r="L919" s="85"/>
      <c r="M919" s="73" t="str">
        <f>IF(Main[[#This Row],[Tech Start Date]]&lt;1/1/1990,"",IF(Main[[#This Row],[Class]]="C",WORKDAY(Main[[#This Row],[Tech Start Date]],9),IF(Main[[#This Row],[Class]]="B", WORKDAY(Main[[#This Row],[Tech Start Date]],6),IF(Main[[#This Row],[Class]]="A",WORKDAY(Main[[#This Row],[Tech Start Date]],2),""))))</f>
        <v/>
      </c>
      <c r="N919" s="73" t="str">
        <f>IF(Main[[#This Row],[Tech Start Date]]&lt;1/1/1990,"",IF(Main[[#This Row],[Class]]="C",WORKDAY(Main[[#This Row],[Tech Start Date]],19),IF(Main[[#This Row],[Class]]="B", WORKDAY(Main[[#This Row],[Tech Start Date]],12),IF(Main[[#This Row],[Class]]="A",WORKDAY(Main[[#This Row],[Tech Start Date]],4),""))))</f>
        <v/>
      </c>
      <c r="O919" s="73" t="str">
        <f>IF(Main[[#This Row],[Tech Start Date]]&lt;1/1/1990,"",IF(Main[[#This Row],[Class]]="C",WORKDAY(Main[[#This Row],[Tech Start Date]],23),IF(Main[[#This Row],[Class]]="B", WORKDAY(Main[[#This Row],[Tech Start Date]],15),IF(Main[[#This Row],[Class]]="A",WORKDAY(Main[[#This Row],[Tech Start Date]],5),""))))</f>
        <v/>
      </c>
      <c r="P919" s="73" t="str">
        <f>IF(Main[[#This Row],[Tech Start Date]]&lt;1/1/1990,"",IF(Main[[#This Row],[Class]]="C",WORKDAY(Main[[#This Row],[Tech Start Date]],28),IF(Main[[#This Row],[Class]]="B", WORKDAY(Main[[#This Row],[Tech Start Date]],19),IF(Main[[#This Row],[Class]]="A",WORKDAY(Main[[#This Row],[Tech Start Date]],9),""))))</f>
        <v/>
      </c>
      <c r="Q919" s="85"/>
      <c r="R919" s="112"/>
      <c r="S919" s="95" t="s">
        <v>17</v>
      </c>
      <c r="T919" s="74" t="s">
        <v>4</v>
      </c>
      <c r="U919" s="95" t="s">
        <v>12</v>
      </c>
      <c r="V919" s="95" t="s">
        <v>1914</v>
      </c>
      <c r="W919" s="95" t="s">
        <v>4</v>
      </c>
      <c r="X919" s="95" t="s">
        <v>1970</v>
      </c>
      <c r="Y919" s="72" t="s">
        <v>4</v>
      </c>
      <c r="Z919" s="72" t="s">
        <v>4</v>
      </c>
      <c r="AA919" s="95" t="s">
        <v>4</v>
      </c>
      <c r="AB919" s="132"/>
      <c r="AC919" s="132"/>
      <c r="AD919" s="132"/>
      <c r="AE919" s="63"/>
      <c r="AF919" s="63"/>
      <c r="AG919" s="63"/>
    </row>
    <row r="920" spans="1:33" ht="17.2" customHeight="1">
      <c r="A920" s="64" t="str">
        <f>IF(priority(Main[[#This Row],[Comments]])&lt;&gt;0, priority(Main[[#This Row],[Comments]]),"")</f>
        <v/>
      </c>
      <c r="B920" s="60" t="s">
        <v>1768</v>
      </c>
      <c r="C920" s="72" t="s">
        <v>4</v>
      </c>
      <c r="D920" s="59" t="s">
        <v>805</v>
      </c>
      <c r="E920" s="85"/>
      <c r="F920" s="85"/>
      <c r="G920" s="64" t="str">
        <f>IF(stdProdLT(Main[[#This Row],[Comments]])=0.1,"N/A",IF(stdProdLT(Main[[#This Row],[Comments]])=0,"",TRIM(stdProdLT(Main[[#This Row],[Comments]]))))</f>
        <v/>
      </c>
      <c r="H920" s="94" t="str">
        <f>IF(OR(Main[[#This Row],[Std. Prod. Lead Time]]="N/A",Main[[#This Row],[Std. Prod. Lead Time]]=""), "",IF(AND(Main[[#This Row],[In Stock Date]]&lt;&gt;"",Main[[#This Row],[Revised Due Date]]&lt;&gt;"",Main[[#This Row],[In Stock Date]]&lt;&gt;""),Main[[#This Row],[In Stock Date]]-Main[[#This Row],[Revised Due Date]],""))</f>
        <v/>
      </c>
      <c r="I920" s="101" t="s">
        <v>4</v>
      </c>
      <c r="J920" s="95" t="s">
        <v>4</v>
      </c>
      <c r="K920" s="95" t="s">
        <v>4</v>
      </c>
      <c r="L920" s="85"/>
      <c r="M920" s="73" t="str">
        <f>IF(Main[[#This Row],[Tech Start Date]]&lt;1/1/1990,"",IF(Main[[#This Row],[Class]]="C",WORKDAY(Main[[#This Row],[Tech Start Date]],9),IF(Main[[#This Row],[Class]]="B", WORKDAY(Main[[#This Row],[Tech Start Date]],6),IF(Main[[#This Row],[Class]]="A",WORKDAY(Main[[#This Row],[Tech Start Date]],2),""))))</f>
        <v/>
      </c>
      <c r="N920" s="73" t="str">
        <f>IF(Main[[#This Row],[Tech Start Date]]&lt;1/1/1990,"",IF(Main[[#This Row],[Class]]="C",WORKDAY(Main[[#This Row],[Tech Start Date]],19),IF(Main[[#This Row],[Class]]="B", WORKDAY(Main[[#This Row],[Tech Start Date]],12),IF(Main[[#This Row],[Class]]="A",WORKDAY(Main[[#This Row],[Tech Start Date]],4),""))))</f>
        <v/>
      </c>
      <c r="O920" s="73" t="str">
        <f>IF(Main[[#This Row],[Tech Start Date]]&lt;1/1/1990,"",IF(Main[[#This Row],[Class]]="C",WORKDAY(Main[[#This Row],[Tech Start Date]],23),IF(Main[[#This Row],[Class]]="B", WORKDAY(Main[[#This Row],[Tech Start Date]],15),IF(Main[[#This Row],[Class]]="A",WORKDAY(Main[[#This Row],[Tech Start Date]],5),""))))</f>
        <v/>
      </c>
      <c r="P920" s="73" t="str">
        <f>IF(Main[[#This Row],[Tech Start Date]]&lt;1/1/1990,"",IF(Main[[#This Row],[Class]]="C",WORKDAY(Main[[#This Row],[Tech Start Date]],28),IF(Main[[#This Row],[Class]]="B", WORKDAY(Main[[#This Row],[Tech Start Date]],19),IF(Main[[#This Row],[Class]]="A",WORKDAY(Main[[#This Row],[Tech Start Date]],9),""))))</f>
        <v/>
      </c>
      <c r="Q920" s="85"/>
      <c r="R920" s="112"/>
      <c r="S920" s="95" t="s">
        <v>6</v>
      </c>
      <c r="T920" s="74" t="s">
        <v>4</v>
      </c>
      <c r="U920" s="95" t="s">
        <v>12</v>
      </c>
      <c r="V920" s="95" t="s">
        <v>1911</v>
      </c>
      <c r="W920" s="95" t="s">
        <v>1915</v>
      </c>
      <c r="X920" s="95" t="s">
        <v>877</v>
      </c>
      <c r="Y920" s="72" t="s">
        <v>2987</v>
      </c>
      <c r="Z920" s="72" t="s">
        <v>4</v>
      </c>
      <c r="AA920" s="95" t="s">
        <v>877</v>
      </c>
      <c r="AB920" s="132"/>
      <c r="AC920" s="132"/>
      <c r="AD920" s="132"/>
      <c r="AE920" s="63"/>
      <c r="AF920" s="63"/>
      <c r="AG920" s="63"/>
    </row>
    <row r="921" spans="1:33" ht="17.2" customHeight="1">
      <c r="A921" s="64" t="str">
        <f>IF(priority(Main[[#This Row],[Comments]])&lt;&gt;0, priority(Main[[#This Row],[Comments]]),"")</f>
        <v/>
      </c>
      <c r="B921" s="60" t="s">
        <v>1743</v>
      </c>
      <c r="C921" s="72" t="s">
        <v>284</v>
      </c>
      <c r="D921" s="59" t="s">
        <v>796</v>
      </c>
      <c r="E921" s="85"/>
      <c r="F921" s="85"/>
      <c r="G921" s="64" t="str">
        <f>IF(stdProdLT(Main[[#This Row],[Comments]])=0.1,"N/A",IF(stdProdLT(Main[[#This Row],[Comments]])=0,"",TRIM(stdProdLT(Main[[#This Row],[Comments]]))))</f>
        <v/>
      </c>
      <c r="H921" s="94" t="str">
        <f>IF(OR(Main[[#This Row],[Std. Prod. Lead Time]]="N/A",Main[[#This Row],[Std. Prod. Lead Time]]=""), "",IF(AND(Main[[#This Row],[In Stock Date]]&lt;&gt;"",Main[[#This Row],[Revised Due Date]]&lt;&gt;"",Main[[#This Row],[In Stock Date]]&lt;&gt;""),Main[[#This Row],[In Stock Date]]-Main[[#This Row],[Revised Due Date]],""))</f>
        <v/>
      </c>
      <c r="I921" s="101" t="s">
        <v>4</v>
      </c>
      <c r="J921" s="95" t="s">
        <v>4</v>
      </c>
      <c r="K921" s="95" t="s">
        <v>4</v>
      </c>
      <c r="L921" s="85"/>
      <c r="M921" s="73" t="str">
        <f>IF(Main[[#This Row],[Tech Start Date]]&lt;1/1/1990,"",IF(Main[[#This Row],[Class]]="C",WORKDAY(Main[[#This Row],[Tech Start Date]],9),IF(Main[[#This Row],[Class]]="B", WORKDAY(Main[[#This Row],[Tech Start Date]],6),IF(Main[[#This Row],[Class]]="A",WORKDAY(Main[[#This Row],[Tech Start Date]],2),""))))</f>
        <v/>
      </c>
      <c r="N921" s="73" t="str">
        <f>IF(Main[[#This Row],[Tech Start Date]]&lt;1/1/1990,"",IF(Main[[#This Row],[Class]]="C",WORKDAY(Main[[#This Row],[Tech Start Date]],19),IF(Main[[#This Row],[Class]]="B", WORKDAY(Main[[#This Row],[Tech Start Date]],12),IF(Main[[#This Row],[Class]]="A",WORKDAY(Main[[#This Row],[Tech Start Date]],4),""))))</f>
        <v/>
      </c>
      <c r="O921" s="73" t="str">
        <f>IF(Main[[#This Row],[Tech Start Date]]&lt;1/1/1990,"",IF(Main[[#This Row],[Class]]="C",WORKDAY(Main[[#This Row],[Tech Start Date]],23),IF(Main[[#This Row],[Class]]="B", WORKDAY(Main[[#This Row],[Tech Start Date]],15),IF(Main[[#This Row],[Class]]="A",WORKDAY(Main[[#This Row],[Tech Start Date]],5),""))))</f>
        <v/>
      </c>
      <c r="P921" s="73" t="str">
        <f>IF(Main[[#This Row],[Tech Start Date]]&lt;1/1/1990,"",IF(Main[[#This Row],[Class]]="C",WORKDAY(Main[[#This Row],[Tech Start Date]],28),IF(Main[[#This Row],[Class]]="B", WORKDAY(Main[[#This Row],[Tech Start Date]],19),IF(Main[[#This Row],[Class]]="A",WORKDAY(Main[[#This Row],[Tech Start Date]],9),""))))</f>
        <v/>
      </c>
      <c r="Q921" s="85">
        <v>40134</v>
      </c>
      <c r="R921" s="112"/>
      <c r="S921" s="95" t="s">
        <v>11</v>
      </c>
      <c r="T921" s="74" t="s">
        <v>4</v>
      </c>
      <c r="U921" s="95" t="s">
        <v>14</v>
      </c>
      <c r="V921" s="95" t="s">
        <v>1921</v>
      </c>
      <c r="W921" s="95" t="s">
        <v>1919</v>
      </c>
      <c r="X921" s="95" t="s">
        <v>2797</v>
      </c>
      <c r="Y921" s="72" t="s">
        <v>4</v>
      </c>
      <c r="Z921" s="72" t="s">
        <v>4</v>
      </c>
      <c r="AA921" s="95" t="s">
        <v>2797</v>
      </c>
      <c r="AB921" s="132"/>
      <c r="AC921" s="132"/>
      <c r="AD921" s="132"/>
      <c r="AE921" s="63"/>
      <c r="AF921" s="63"/>
      <c r="AG921" s="63"/>
    </row>
    <row r="922" spans="1:33" ht="17.2" customHeight="1">
      <c r="A922" s="64" t="str">
        <f>IF(priority(Main[[#This Row],[Comments]])&lt;&gt;0, priority(Main[[#This Row],[Comments]]),"")</f>
        <v/>
      </c>
      <c r="B922" s="60" t="s">
        <v>1744</v>
      </c>
      <c r="C922" s="72" t="s">
        <v>4</v>
      </c>
      <c r="D922" s="59" t="s">
        <v>797</v>
      </c>
      <c r="E922" s="85"/>
      <c r="F922" s="85">
        <v>40598</v>
      </c>
      <c r="G922" s="64" t="str">
        <f>IF(stdProdLT(Main[[#This Row],[Comments]])=0.1,"N/A",IF(stdProdLT(Main[[#This Row],[Comments]])=0,"",TRIM(stdProdLT(Main[[#This Row],[Comments]]))))</f>
        <v/>
      </c>
      <c r="H922" s="94" t="str">
        <f>IF(OR(Main[[#This Row],[Std. Prod. Lead Time]]="N/A",Main[[#This Row],[Std. Prod. Lead Time]]=""), "",IF(AND(Main[[#This Row],[In Stock Date]]&lt;&gt;"",Main[[#This Row],[Revised Due Date]]&lt;&gt;"",Main[[#This Row],[In Stock Date]]&lt;&gt;""),Main[[#This Row],[In Stock Date]]-Main[[#This Row],[Revised Due Date]],""))</f>
        <v/>
      </c>
      <c r="I922" s="101" t="s">
        <v>4</v>
      </c>
      <c r="J922" s="95" t="s">
        <v>4</v>
      </c>
      <c r="K922" s="95" t="s">
        <v>4</v>
      </c>
      <c r="L922" s="85"/>
      <c r="M922" s="73" t="str">
        <f>IF(Main[[#This Row],[Tech Start Date]]&lt;1/1/1990,"",IF(Main[[#This Row],[Class]]="C",WORKDAY(Main[[#This Row],[Tech Start Date]],9),IF(Main[[#This Row],[Class]]="B", WORKDAY(Main[[#This Row],[Tech Start Date]],6),IF(Main[[#This Row],[Class]]="A",WORKDAY(Main[[#This Row],[Tech Start Date]],2),""))))</f>
        <v/>
      </c>
      <c r="N922" s="73" t="str">
        <f>IF(Main[[#This Row],[Tech Start Date]]&lt;1/1/1990,"",IF(Main[[#This Row],[Class]]="C",WORKDAY(Main[[#This Row],[Tech Start Date]],19),IF(Main[[#This Row],[Class]]="B", WORKDAY(Main[[#This Row],[Tech Start Date]],12),IF(Main[[#This Row],[Class]]="A",WORKDAY(Main[[#This Row],[Tech Start Date]],4),""))))</f>
        <v/>
      </c>
      <c r="O922" s="73" t="str">
        <f>IF(Main[[#This Row],[Tech Start Date]]&lt;1/1/1990,"",IF(Main[[#This Row],[Class]]="C",WORKDAY(Main[[#This Row],[Tech Start Date]],23),IF(Main[[#This Row],[Class]]="B", WORKDAY(Main[[#This Row],[Tech Start Date]],15),IF(Main[[#This Row],[Class]]="A",WORKDAY(Main[[#This Row],[Tech Start Date]],5),""))))</f>
        <v/>
      </c>
      <c r="P922" s="73" t="str">
        <f>IF(Main[[#This Row],[Tech Start Date]]&lt;1/1/1990,"",IF(Main[[#This Row],[Class]]="C",WORKDAY(Main[[#This Row],[Tech Start Date]],28),IF(Main[[#This Row],[Class]]="B", WORKDAY(Main[[#This Row],[Tech Start Date]],19),IF(Main[[#This Row],[Class]]="A",WORKDAY(Main[[#This Row],[Tech Start Date]],9),""))))</f>
        <v/>
      </c>
      <c r="Q922" s="85">
        <v>40598</v>
      </c>
      <c r="R922" s="112"/>
      <c r="S922" s="95" t="s">
        <v>11</v>
      </c>
      <c r="T922" s="74" t="s">
        <v>4</v>
      </c>
      <c r="U922" s="95" t="s">
        <v>14</v>
      </c>
      <c r="V922" s="95" t="s">
        <v>1921</v>
      </c>
      <c r="W922" s="95" t="s">
        <v>1917</v>
      </c>
      <c r="X922" s="95" t="s">
        <v>2828</v>
      </c>
      <c r="Y922" s="72" t="s">
        <v>2957</v>
      </c>
      <c r="Z922" s="72" t="s">
        <v>4</v>
      </c>
      <c r="AA922" s="95" t="s">
        <v>2828</v>
      </c>
      <c r="AB922" s="132"/>
      <c r="AC922" s="132"/>
      <c r="AD922" s="132"/>
      <c r="AE922" s="63"/>
      <c r="AF922" s="63"/>
      <c r="AG922" s="63"/>
    </row>
    <row r="923" spans="1:33" ht="17.2" customHeight="1">
      <c r="A923" s="64" t="str">
        <f>IF(priority(Main[[#This Row],[Comments]])&lt;&gt;0, priority(Main[[#This Row],[Comments]]),"")</f>
        <v/>
      </c>
      <c r="B923" s="60" t="s">
        <v>1745</v>
      </c>
      <c r="C923" s="72" t="s">
        <v>436</v>
      </c>
      <c r="D923" s="59" t="s">
        <v>789</v>
      </c>
      <c r="E923" s="85"/>
      <c r="F923" s="85"/>
      <c r="G923" s="64" t="str">
        <f>IF(stdProdLT(Main[[#This Row],[Comments]])=0.1,"N/A",IF(stdProdLT(Main[[#This Row],[Comments]])=0,"",TRIM(stdProdLT(Main[[#This Row],[Comments]]))))</f>
        <v/>
      </c>
      <c r="H923" s="94" t="str">
        <f>IF(OR(Main[[#This Row],[Std. Prod. Lead Time]]="N/A",Main[[#This Row],[Std. Prod. Lead Time]]=""), "",IF(AND(Main[[#This Row],[In Stock Date]]&lt;&gt;"",Main[[#This Row],[Revised Due Date]]&lt;&gt;"",Main[[#This Row],[In Stock Date]]&lt;&gt;""),Main[[#This Row],[In Stock Date]]-Main[[#This Row],[Revised Due Date]],""))</f>
        <v/>
      </c>
      <c r="I923" s="101" t="s">
        <v>4</v>
      </c>
      <c r="J923" s="95" t="s">
        <v>4</v>
      </c>
      <c r="K923" s="95" t="s">
        <v>4</v>
      </c>
      <c r="L923" s="85"/>
      <c r="M923" s="73" t="str">
        <f>IF(Main[[#This Row],[Tech Start Date]]&lt;1/1/1990,"",IF(Main[[#This Row],[Class]]="C",WORKDAY(Main[[#This Row],[Tech Start Date]],9),IF(Main[[#This Row],[Class]]="B", WORKDAY(Main[[#This Row],[Tech Start Date]],6),IF(Main[[#This Row],[Class]]="A",WORKDAY(Main[[#This Row],[Tech Start Date]],2),""))))</f>
        <v/>
      </c>
      <c r="N923" s="73" t="str">
        <f>IF(Main[[#This Row],[Tech Start Date]]&lt;1/1/1990,"",IF(Main[[#This Row],[Class]]="C",WORKDAY(Main[[#This Row],[Tech Start Date]],19),IF(Main[[#This Row],[Class]]="B", WORKDAY(Main[[#This Row],[Tech Start Date]],12),IF(Main[[#This Row],[Class]]="A",WORKDAY(Main[[#This Row],[Tech Start Date]],4),""))))</f>
        <v/>
      </c>
      <c r="O923" s="73" t="str">
        <f>IF(Main[[#This Row],[Tech Start Date]]&lt;1/1/1990,"",IF(Main[[#This Row],[Class]]="C",WORKDAY(Main[[#This Row],[Tech Start Date]],23),IF(Main[[#This Row],[Class]]="B", WORKDAY(Main[[#This Row],[Tech Start Date]],15),IF(Main[[#This Row],[Class]]="A",WORKDAY(Main[[#This Row],[Tech Start Date]],5),""))))</f>
        <v/>
      </c>
      <c r="P923" s="73" t="str">
        <f>IF(Main[[#This Row],[Tech Start Date]]&lt;1/1/1990,"",IF(Main[[#This Row],[Class]]="C",WORKDAY(Main[[#This Row],[Tech Start Date]],28),IF(Main[[#This Row],[Class]]="B", WORKDAY(Main[[#This Row],[Tech Start Date]],19),IF(Main[[#This Row],[Class]]="A",WORKDAY(Main[[#This Row],[Tech Start Date]],9),""))))</f>
        <v/>
      </c>
      <c r="Q923" s="85"/>
      <c r="R923" s="112"/>
      <c r="S923" s="95" t="s">
        <v>11</v>
      </c>
      <c r="T923" s="74" t="s">
        <v>4</v>
      </c>
      <c r="U923" s="95" t="s">
        <v>14</v>
      </c>
      <c r="V923" s="95" t="s">
        <v>1911</v>
      </c>
      <c r="W923" s="95" t="s">
        <v>1919</v>
      </c>
      <c r="X923" s="95" t="s">
        <v>2833</v>
      </c>
      <c r="Y923" s="72" t="s">
        <v>2969</v>
      </c>
      <c r="Z923" s="72" t="s">
        <v>4</v>
      </c>
      <c r="AA923" s="95" t="s">
        <v>2833</v>
      </c>
      <c r="AB923" s="132"/>
      <c r="AC923" s="132"/>
      <c r="AD923" s="132"/>
      <c r="AE923" s="63"/>
      <c r="AF923" s="63"/>
      <c r="AG923" s="63"/>
    </row>
    <row r="924" spans="1:33" ht="17.2" customHeight="1">
      <c r="A924" s="64" t="str">
        <f>IF(priority(Main[[#This Row],[Comments]])&lt;&gt;0, priority(Main[[#This Row],[Comments]]),"")</f>
        <v/>
      </c>
      <c r="B924" s="60" t="s">
        <v>1747</v>
      </c>
      <c r="C924" s="72" t="s">
        <v>4</v>
      </c>
      <c r="D924" s="59" t="s">
        <v>798</v>
      </c>
      <c r="E924" s="85"/>
      <c r="F924" s="85"/>
      <c r="G924" s="64" t="str">
        <f>IF(stdProdLT(Main[[#This Row],[Comments]])=0.1,"N/A",IF(stdProdLT(Main[[#This Row],[Comments]])=0,"",TRIM(stdProdLT(Main[[#This Row],[Comments]]))))</f>
        <v/>
      </c>
      <c r="H924" s="94" t="str">
        <f>IF(OR(Main[[#This Row],[Std. Prod. Lead Time]]="N/A",Main[[#This Row],[Std. Prod. Lead Time]]=""), "",IF(AND(Main[[#This Row],[In Stock Date]]&lt;&gt;"",Main[[#This Row],[Revised Due Date]]&lt;&gt;"",Main[[#This Row],[In Stock Date]]&lt;&gt;""),Main[[#This Row],[In Stock Date]]-Main[[#This Row],[Revised Due Date]],""))</f>
        <v/>
      </c>
      <c r="I924" s="101" t="s">
        <v>4</v>
      </c>
      <c r="J924" s="95" t="s">
        <v>4</v>
      </c>
      <c r="K924" s="95" t="s">
        <v>4</v>
      </c>
      <c r="L924" s="85"/>
      <c r="M924" s="73" t="str">
        <f>IF(Main[[#This Row],[Tech Start Date]]&lt;1/1/1990,"",IF(Main[[#This Row],[Class]]="C",WORKDAY(Main[[#This Row],[Tech Start Date]],9),IF(Main[[#This Row],[Class]]="B", WORKDAY(Main[[#This Row],[Tech Start Date]],6),IF(Main[[#This Row],[Class]]="A",WORKDAY(Main[[#This Row],[Tech Start Date]],2),""))))</f>
        <v/>
      </c>
      <c r="N924" s="73" t="str">
        <f>IF(Main[[#This Row],[Tech Start Date]]&lt;1/1/1990,"",IF(Main[[#This Row],[Class]]="C",WORKDAY(Main[[#This Row],[Tech Start Date]],19),IF(Main[[#This Row],[Class]]="B", WORKDAY(Main[[#This Row],[Tech Start Date]],12),IF(Main[[#This Row],[Class]]="A",WORKDAY(Main[[#This Row],[Tech Start Date]],4),""))))</f>
        <v/>
      </c>
      <c r="O924" s="73" t="str">
        <f>IF(Main[[#This Row],[Tech Start Date]]&lt;1/1/1990,"",IF(Main[[#This Row],[Class]]="C",WORKDAY(Main[[#This Row],[Tech Start Date]],23),IF(Main[[#This Row],[Class]]="B", WORKDAY(Main[[#This Row],[Tech Start Date]],15),IF(Main[[#This Row],[Class]]="A",WORKDAY(Main[[#This Row],[Tech Start Date]],5),""))))</f>
        <v/>
      </c>
      <c r="P924" s="73" t="str">
        <f>IF(Main[[#This Row],[Tech Start Date]]&lt;1/1/1990,"",IF(Main[[#This Row],[Class]]="C",WORKDAY(Main[[#This Row],[Tech Start Date]],28),IF(Main[[#This Row],[Class]]="B", WORKDAY(Main[[#This Row],[Tech Start Date]],19),IF(Main[[#This Row],[Class]]="A",WORKDAY(Main[[#This Row],[Tech Start Date]],9),""))))</f>
        <v/>
      </c>
      <c r="Q924" s="85"/>
      <c r="R924" s="112"/>
      <c r="S924" s="95" t="s">
        <v>23</v>
      </c>
      <c r="T924" s="74" t="s">
        <v>4</v>
      </c>
      <c r="U924" s="95" t="s">
        <v>14</v>
      </c>
      <c r="V924" s="95" t="s">
        <v>1921</v>
      </c>
      <c r="W924" s="95" t="s">
        <v>1915</v>
      </c>
      <c r="X924" s="95" t="s">
        <v>417</v>
      </c>
      <c r="Y924" s="72" t="s">
        <v>3084</v>
      </c>
      <c r="Z924" s="72" t="s">
        <v>4</v>
      </c>
      <c r="AA924" s="95" t="s">
        <v>417</v>
      </c>
      <c r="AB924" s="132"/>
      <c r="AC924" s="132"/>
      <c r="AD924" s="132"/>
      <c r="AE924" s="63"/>
      <c r="AF924" s="63"/>
      <c r="AG924" s="63"/>
    </row>
    <row r="925" spans="1:33" ht="17.2" customHeight="1">
      <c r="A925" s="64" t="str">
        <f>IF(priority(Main[[#This Row],[Comments]])&lt;&gt;0, priority(Main[[#This Row],[Comments]]),"")</f>
        <v/>
      </c>
      <c r="B925" s="60" t="s">
        <v>1096</v>
      </c>
      <c r="C925" s="72" t="s">
        <v>4</v>
      </c>
      <c r="D925" s="59" t="s">
        <v>145</v>
      </c>
      <c r="E925" s="85"/>
      <c r="F925" s="85"/>
      <c r="G925" s="64" t="str">
        <f>IF(stdProdLT(Main[[#This Row],[Comments]])=0.1,"N/A",IF(stdProdLT(Main[[#This Row],[Comments]])=0,"",TRIM(stdProdLT(Main[[#This Row],[Comments]]))))</f>
        <v/>
      </c>
      <c r="H925" s="94" t="str">
        <f>IF(OR(Main[[#This Row],[Std. Prod. Lead Time]]="N/A",Main[[#This Row],[Std. Prod. Lead Time]]=""), "",IF(AND(Main[[#This Row],[In Stock Date]]&lt;&gt;"",Main[[#This Row],[Revised Due Date]]&lt;&gt;"",Main[[#This Row],[In Stock Date]]&lt;&gt;""),Main[[#This Row],[In Stock Date]]-Main[[#This Row],[Revised Due Date]],""))</f>
        <v/>
      </c>
      <c r="I925" s="101" t="s">
        <v>4</v>
      </c>
      <c r="J925" s="95" t="s">
        <v>4</v>
      </c>
      <c r="K925" s="95" t="s">
        <v>4</v>
      </c>
      <c r="L925" s="85"/>
      <c r="M925" s="73" t="str">
        <f>IF(Main[[#This Row],[Tech Start Date]]&lt;1/1/1990,"",IF(Main[[#This Row],[Class]]="C",WORKDAY(Main[[#This Row],[Tech Start Date]],9),IF(Main[[#This Row],[Class]]="B", WORKDAY(Main[[#This Row],[Tech Start Date]],6),IF(Main[[#This Row],[Class]]="A",WORKDAY(Main[[#This Row],[Tech Start Date]],2),""))))</f>
        <v/>
      </c>
      <c r="N925" s="73" t="str">
        <f>IF(Main[[#This Row],[Tech Start Date]]&lt;1/1/1990,"",IF(Main[[#This Row],[Class]]="C",WORKDAY(Main[[#This Row],[Tech Start Date]],19),IF(Main[[#This Row],[Class]]="B", WORKDAY(Main[[#This Row],[Tech Start Date]],12),IF(Main[[#This Row],[Class]]="A",WORKDAY(Main[[#This Row],[Tech Start Date]],4),""))))</f>
        <v/>
      </c>
      <c r="O925" s="73" t="str">
        <f>IF(Main[[#This Row],[Tech Start Date]]&lt;1/1/1990,"",IF(Main[[#This Row],[Class]]="C",WORKDAY(Main[[#This Row],[Tech Start Date]],23),IF(Main[[#This Row],[Class]]="B", WORKDAY(Main[[#This Row],[Tech Start Date]],15),IF(Main[[#This Row],[Class]]="A",WORKDAY(Main[[#This Row],[Tech Start Date]],5),""))))</f>
        <v/>
      </c>
      <c r="P925" s="73" t="str">
        <f>IF(Main[[#This Row],[Tech Start Date]]&lt;1/1/1990,"",IF(Main[[#This Row],[Class]]="C",WORKDAY(Main[[#This Row],[Tech Start Date]],28),IF(Main[[#This Row],[Class]]="B", WORKDAY(Main[[#This Row],[Tech Start Date]],19),IF(Main[[#This Row],[Class]]="A",WORKDAY(Main[[#This Row],[Tech Start Date]],9),""))))</f>
        <v/>
      </c>
      <c r="Q925" s="85"/>
      <c r="R925" s="112"/>
      <c r="S925" s="95" t="s">
        <v>17</v>
      </c>
      <c r="T925" s="74" t="s">
        <v>4</v>
      </c>
      <c r="U925" s="95" t="s">
        <v>14</v>
      </c>
      <c r="V925" s="95" t="s">
        <v>1926</v>
      </c>
      <c r="W925" s="95" t="s">
        <v>1913</v>
      </c>
      <c r="X925" s="95" t="s">
        <v>2887</v>
      </c>
      <c r="Y925" s="72" t="s">
        <v>3083</v>
      </c>
      <c r="Z925" s="72" t="s">
        <v>4</v>
      </c>
      <c r="AA925" s="95" t="s">
        <v>2887</v>
      </c>
      <c r="AB925" s="132"/>
      <c r="AC925" s="132"/>
      <c r="AD925" s="132"/>
      <c r="AE925" s="63"/>
      <c r="AF925" s="63"/>
      <c r="AG925" s="63"/>
    </row>
    <row r="926" spans="1:33" ht="17.2" customHeight="1">
      <c r="A926" s="64" t="str">
        <f>IF(priority(Main[[#This Row],[Comments]])&lt;&gt;0, priority(Main[[#This Row],[Comments]]),"")</f>
        <v/>
      </c>
      <c r="B926" s="60" t="s">
        <v>1679</v>
      </c>
      <c r="C926" s="72" t="s">
        <v>37</v>
      </c>
      <c r="D926" s="59" t="s">
        <v>2385</v>
      </c>
      <c r="E926" s="85">
        <v>40682.483831018515</v>
      </c>
      <c r="F926" s="85"/>
      <c r="G926" s="64" t="str">
        <f>IF(stdProdLT(Main[[#This Row],[Comments]])=0.1,"N/A",IF(stdProdLT(Main[[#This Row],[Comments]])=0,"",TRIM(stdProdLT(Main[[#This Row],[Comments]]))))</f>
        <v/>
      </c>
      <c r="H926" s="94" t="str">
        <f>IF(OR(Main[[#This Row],[Std. Prod. Lead Time]]="N/A",Main[[#This Row],[Std. Prod. Lead Time]]=""), "",IF(AND(Main[[#This Row],[In Stock Date]]&lt;&gt;"",Main[[#This Row],[Revised Due Date]]&lt;&gt;"",Main[[#This Row],[In Stock Date]]&lt;&gt;""),Main[[#This Row],[In Stock Date]]-Main[[#This Row],[Revised Due Date]],""))</f>
        <v/>
      </c>
      <c r="I926" s="101" t="s">
        <v>4</v>
      </c>
      <c r="J926" s="95" t="s">
        <v>4</v>
      </c>
      <c r="K926" s="95" t="s">
        <v>4</v>
      </c>
      <c r="L926" s="85"/>
      <c r="M926" s="73" t="str">
        <f>IF(Main[[#This Row],[Tech Start Date]]&lt;1/1/1990,"",IF(Main[[#This Row],[Class]]="C",WORKDAY(Main[[#This Row],[Tech Start Date]],9),IF(Main[[#This Row],[Class]]="B", WORKDAY(Main[[#This Row],[Tech Start Date]],6),IF(Main[[#This Row],[Class]]="A",WORKDAY(Main[[#This Row],[Tech Start Date]],2),""))))</f>
        <v/>
      </c>
      <c r="N926" s="73" t="str">
        <f>IF(Main[[#This Row],[Tech Start Date]]&lt;1/1/1990,"",IF(Main[[#This Row],[Class]]="C",WORKDAY(Main[[#This Row],[Tech Start Date]],19),IF(Main[[#This Row],[Class]]="B", WORKDAY(Main[[#This Row],[Tech Start Date]],12),IF(Main[[#This Row],[Class]]="A",WORKDAY(Main[[#This Row],[Tech Start Date]],4),""))))</f>
        <v/>
      </c>
      <c r="O926" s="73" t="str">
        <f>IF(Main[[#This Row],[Tech Start Date]]&lt;1/1/1990,"",IF(Main[[#This Row],[Class]]="C",WORKDAY(Main[[#This Row],[Tech Start Date]],23),IF(Main[[#This Row],[Class]]="B", WORKDAY(Main[[#This Row],[Tech Start Date]],15),IF(Main[[#This Row],[Class]]="A",WORKDAY(Main[[#This Row],[Tech Start Date]],5),""))))</f>
        <v/>
      </c>
      <c r="P926" s="73" t="str">
        <f>IF(Main[[#This Row],[Tech Start Date]]&lt;1/1/1990,"",IF(Main[[#This Row],[Class]]="C",WORKDAY(Main[[#This Row],[Tech Start Date]],28),IF(Main[[#This Row],[Class]]="B", WORKDAY(Main[[#This Row],[Tech Start Date]],19),IF(Main[[#This Row],[Class]]="A",WORKDAY(Main[[#This Row],[Tech Start Date]],9),""))))</f>
        <v/>
      </c>
      <c r="Q926" s="85">
        <v>40700</v>
      </c>
      <c r="R926" s="112"/>
      <c r="S926" s="95" t="s">
        <v>6</v>
      </c>
      <c r="T926" s="74" t="s">
        <v>4</v>
      </c>
      <c r="U926" s="95" t="s">
        <v>534</v>
      </c>
      <c r="V926" s="95" t="s">
        <v>1911</v>
      </c>
      <c r="W926" s="95" t="s">
        <v>1922</v>
      </c>
      <c r="X926" s="95" t="s">
        <v>970</v>
      </c>
      <c r="Y926" s="72" t="s">
        <v>3075</v>
      </c>
      <c r="Z926" s="72" t="s">
        <v>4</v>
      </c>
      <c r="AA926" s="95" t="s">
        <v>970</v>
      </c>
      <c r="AB926" s="132"/>
      <c r="AC926" s="132"/>
      <c r="AD926" s="132"/>
      <c r="AE926" s="63"/>
      <c r="AF926" s="63"/>
      <c r="AG926" s="63"/>
    </row>
    <row r="927" spans="1:33" ht="17.2" customHeight="1">
      <c r="A927" s="64" t="str">
        <f>IF(priority(Main[[#This Row],[Comments]])&lt;&gt;0, priority(Main[[#This Row],[Comments]]),"")</f>
        <v/>
      </c>
      <c r="B927" s="60" t="s">
        <v>1748</v>
      </c>
      <c r="C927" s="72" t="s">
        <v>692</v>
      </c>
      <c r="D927" s="59" t="s">
        <v>693</v>
      </c>
      <c r="E927" s="85"/>
      <c r="F927" s="85"/>
      <c r="G927" s="64" t="str">
        <f>IF(stdProdLT(Main[[#This Row],[Comments]])=0.1,"N/A",IF(stdProdLT(Main[[#This Row],[Comments]])=0,"",TRIM(stdProdLT(Main[[#This Row],[Comments]]))))</f>
        <v/>
      </c>
      <c r="H927" s="94" t="str">
        <f>IF(OR(Main[[#This Row],[Std. Prod. Lead Time]]="N/A",Main[[#This Row],[Std. Prod. Lead Time]]=""), "",IF(AND(Main[[#This Row],[In Stock Date]]&lt;&gt;"",Main[[#This Row],[Revised Due Date]]&lt;&gt;"",Main[[#This Row],[In Stock Date]]&lt;&gt;""),Main[[#This Row],[In Stock Date]]-Main[[#This Row],[Revised Due Date]],""))</f>
        <v/>
      </c>
      <c r="I927" s="101" t="s">
        <v>4</v>
      </c>
      <c r="J927" s="95" t="s">
        <v>4</v>
      </c>
      <c r="K927" s="95" t="s">
        <v>4</v>
      </c>
      <c r="L927" s="85"/>
      <c r="M927" s="73" t="str">
        <f>IF(Main[[#This Row],[Tech Start Date]]&lt;1/1/1990,"",IF(Main[[#This Row],[Class]]="C",WORKDAY(Main[[#This Row],[Tech Start Date]],9),IF(Main[[#This Row],[Class]]="B", WORKDAY(Main[[#This Row],[Tech Start Date]],6),IF(Main[[#This Row],[Class]]="A",WORKDAY(Main[[#This Row],[Tech Start Date]],2),""))))</f>
        <v/>
      </c>
      <c r="N927" s="73" t="str">
        <f>IF(Main[[#This Row],[Tech Start Date]]&lt;1/1/1990,"",IF(Main[[#This Row],[Class]]="C",WORKDAY(Main[[#This Row],[Tech Start Date]],19),IF(Main[[#This Row],[Class]]="B", WORKDAY(Main[[#This Row],[Tech Start Date]],12),IF(Main[[#This Row],[Class]]="A",WORKDAY(Main[[#This Row],[Tech Start Date]],4),""))))</f>
        <v/>
      </c>
      <c r="O927" s="73" t="str">
        <f>IF(Main[[#This Row],[Tech Start Date]]&lt;1/1/1990,"",IF(Main[[#This Row],[Class]]="C",WORKDAY(Main[[#This Row],[Tech Start Date]],23),IF(Main[[#This Row],[Class]]="B", WORKDAY(Main[[#This Row],[Tech Start Date]],15),IF(Main[[#This Row],[Class]]="A",WORKDAY(Main[[#This Row],[Tech Start Date]],5),""))))</f>
        <v/>
      </c>
      <c r="P927" s="73" t="str">
        <f>IF(Main[[#This Row],[Tech Start Date]]&lt;1/1/1990,"",IF(Main[[#This Row],[Class]]="C",WORKDAY(Main[[#This Row],[Tech Start Date]],28),IF(Main[[#This Row],[Class]]="B", WORKDAY(Main[[#This Row],[Tech Start Date]],19),IF(Main[[#This Row],[Class]]="A",WORKDAY(Main[[#This Row],[Tech Start Date]],9),""))))</f>
        <v/>
      </c>
      <c r="Q927" s="85">
        <v>40672</v>
      </c>
      <c r="R927" s="112"/>
      <c r="S927" s="95" t="s">
        <v>11</v>
      </c>
      <c r="T927" s="74" t="s">
        <v>4</v>
      </c>
      <c r="U927" s="95" t="s">
        <v>12</v>
      </c>
      <c r="V927" s="95" t="s">
        <v>1911</v>
      </c>
      <c r="W927" s="95" t="s">
        <v>1913</v>
      </c>
      <c r="X927" s="95" t="s">
        <v>2888</v>
      </c>
      <c r="Y927" s="72" t="s">
        <v>4</v>
      </c>
      <c r="Z927" s="72" t="s">
        <v>4</v>
      </c>
      <c r="AA927" s="95" t="s">
        <v>2888</v>
      </c>
      <c r="AB927" s="132"/>
      <c r="AC927" s="132"/>
      <c r="AD927" s="132"/>
      <c r="AE927" s="63"/>
      <c r="AF927" s="63"/>
      <c r="AG927" s="63"/>
    </row>
    <row r="928" spans="1:33" ht="17.2" customHeight="1">
      <c r="A928" s="64" t="str">
        <f>IF(priority(Main[[#This Row],[Comments]])&lt;&gt;0, priority(Main[[#This Row],[Comments]]),"")</f>
        <v/>
      </c>
      <c r="B928" s="60" t="s">
        <v>1749</v>
      </c>
      <c r="C928" s="72" t="s">
        <v>4</v>
      </c>
      <c r="D928" s="59" t="s">
        <v>799</v>
      </c>
      <c r="E928" s="85"/>
      <c r="F928" s="85"/>
      <c r="G928" s="64" t="str">
        <f>IF(stdProdLT(Main[[#This Row],[Comments]])=0.1,"N/A",IF(stdProdLT(Main[[#This Row],[Comments]])=0,"",TRIM(stdProdLT(Main[[#This Row],[Comments]]))))</f>
        <v/>
      </c>
      <c r="H928" s="94" t="str">
        <f>IF(OR(Main[[#This Row],[Std. Prod. Lead Time]]="N/A",Main[[#This Row],[Std. Prod. Lead Time]]=""), "",IF(AND(Main[[#This Row],[In Stock Date]]&lt;&gt;"",Main[[#This Row],[Revised Due Date]]&lt;&gt;"",Main[[#This Row],[In Stock Date]]&lt;&gt;""),Main[[#This Row],[In Stock Date]]-Main[[#This Row],[Revised Due Date]],""))</f>
        <v/>
      </c>
      <c r="I928" s="101" t="s">
        <v>4</v>
      </c>
      <c r="J928" s="95" t="s">
        <v>28</v>
      </c>
      <c r="K928" s="95" t="s">
        <v>1920</v>
      </c>
      <c r="L928" s="85"/>
      <c r="M928" s="73" t="str">
        <f>IF(Main[[#This Row],[Tech Start Date]]&lt;1/1/1990,"",IF(Main[[#This Row],[Class]]="C",WORKDAY(Main[[#This Row],[Tech Start Date]],9),IF(Main[[#This Row],[Class]]="B", WORKDAY(Main[[#This Row],[Tech Start Date]],6),IF(Main[[#This Row],[Class]]="A",WORKDAY(Main[[#This Row],[Tech Start Date]],2),""))))</f>
        <v/>
      </c>
      <c r="N928" s="73" t="str">
        <f>IF(Main[[#This Row],[Tech Start Date]]&lt;1/1/1990,"",IF(Main[[#This Row],[Class]]="C",WORKDAY(Main[[#This Row],[Tech Start Date]],19),IF(Main[[#This Row],[Class]]="B", WORKDAY(Main[[#This Row],[Tech Start Date]],12),IF(Main[[#This Row],[Class]]="A",WORKDAY(Main[[#This Row],[Tech Start Date]],4),""))))</f>
        <v/>
      </c>
      <c r="O928" s="73" t="str">
        <f>IF(Main[[#This Row],[Tech Start Date]]&lt;1/1/1990,"",IF(Main[[#This Row],[Class]]="C",WORKDAY(Main[[#This Row],[Tech Start Date]],23),IF(Main[[#This Row],[Class]]="B", WORKDAY(Main[[#This Row],[Tech Start Date]],15),IF(Main[[#This Row],[Class]]="A",WORKDAY(Main[[#This Row],[Tech Start Date]],5),""))))</f>
        <v/>
      </c>
      <c r="P928" s="73" t="str">
        <f>IF(Main[[#This Row],[Tech Start Date]]&lt;1/1/1990,"",IF(Main[[#This Row],[Class]]="C",WORKDAY(Main[[#This Row],[Tech Start Date]],28),IF(Main[[#This Row],[Class]]="B", WORKDAY(Main[[#This Row],[Tech Start Date]],19),IF(Main[[#This Row],[Class]]="A",WORKDAY(Main[[#This Row],[Tech Start Date]],9),""))))</f>
        <v/>
      </c>
      <c r="Q928" s="85">
        <v>40672</v>
      </c>
      <c r="R928" s="112"/>
      <c r="S928" s="95" t="s">
        <v>6</v>
      </c>
      <c r="T928" s="74" t="s">
        <v>4</v>
      </c>
      <c r="U928" s="95" t="s">
        <v>14</v>
      </c>
      <c r="V928" s="95" t="s">
        <v>1914</v>
      </c>
      <c r="W928" s="95" t="s">
        <v>1913</v>
      </c>
      <c r="X928" s="95" t="s">
        <v>2802</v>
      </c>
      <c r="Y928" s="72" t="s">
        <v>2916</v>
      </c>
      <c r="Z928" s="72" t="s">
        <v>530</v>
      </c>
      <c r="AA928" s="95" t="s">
        <v>2802</v>
      </c>
      <c r="AB928" s="132"/>
      <c r="AC928" s="132"/>
      <c r="AD928" s="132"/>
      <c r="AE928" s="63"/>
      <c r="AF928" s="63"/>
      <c r="AG928" s="63"/>
    </row>
    <row r="929" spans="1:33" ht="17.2" customHeight="1">
      <c r="A929" s="64" t="str">
        <f>IF(priority(Main[[#This Row],[Comments]])&lt;&gt;0, priority(Main[[#This Row],[Comments]]),"")</f>
        <v/>
      </c>
      <c r="B929" s="60" t="s">
        <v>2688</v>
      </c>
      <c r="C929" s="72" t="s">
        <v>47</v>
      </c>
      <c r="D929" s="59" t="s">
        <v>3292</v>
      </c>
      <c r="E929" s="85">
        <v>40893.759675925925</v>
      </c>
      <c r="F929" s="85"/>
      <c r="G929" s="64" t="str">
        <f>IF(stdProdLT(Main[[#This Row],[Comments]])=0.1,"N/A",IF(stdProdLT(Main[[#This Row],[Comments]])=0,"",TRIM(stdProdLT(Main[[#This Row],[Comments]]))))</f>
        <v/>
      </c>
      <c r="H929" s="94" t="str">
        <f>IF(OR(Main[[#This Row],[Std. Prod. Lead Time]]="N/A",Main[[#This Row],[Std. Prod. Lead Time]]=""), "",IF(AND(Main[[#This Row],[In Stock Date]]&lt;&gt;"",Main[[#This Row],[Revised Due Date]]&lt;&gt;"",Main[[#This Row],[In Stock Date]]&lt;&gt;""),Main[[#This Row],[In Stock Date]]-Main[[#This Row],[Revised Due Date]],""))</f>
        <v/>
      </c>
      <c r="I929" s="101" t="s">
        <v>4</v>
      </c>
      <c r="J929" s="95" t="s">
        <v>4</v>
      </c>
      <c r="K929" s="95" t="s">
        <v>4</v>
      </c>
      <c r="L929" s="85"/>
      <c r="M929" s="73" t="str">
        <f>IF(Main[[#This Row],[Tech Start Date]]&lt;1/1/1990,"",IF(Main[[#This Row],[Class]]="C",WORKDAY(Main[[#This Row],[Tech Start Date]],9),IF(Main[[#This Row],[Class]]="B", WORKDAY(Main[[#This Row],[Tech Start Date]],6),IF(Main[[#This Row],[Class]]="A",WORKDAY(Main[[#This Row],[Tech Start Date]],2),""))))</f>
        <v/>
      </c>
      <c r="N929" s="73" t="str">
        <f>IF(Main[[#This Row],[Tech Start Date]]&lt;1/1/1990,"",IF(Main[[#This Row],[Class]]="C",WORKDAY(Main[[#This Row],[Tech Start Date]],19),IF(Main[[#This Row],[Class]]="B", WORKDAY(Main[[#This Row],[Tech Start Date]],12),IF(Main[[#This Row],[Class]]="A",WORKDAY(Main[[#This Row],[Tech Start Date]],4),""))))</f>
        <v/>
      </c>
      <c r="O929" s="73" t="str">
        <f>IF(Main[[#This Row],[Tech Start Date]]&lt;1/1/1990,"",IF(Main[[#This Row],[Class]]="C",WORKDAY(Main[[#This Row],[Tech Start Date]],23),IF(Main[[#This Row],[Class]]="B", WORKDAY(Main[[#This Row],[Tech Start Date]],15),IF(Main[[#This Row],[Class]]="A",WORKDAY(Main[[#This Row],[Tech Start Date]],5),""))))</f>
        <v/>
      </c>
      <c r="P929" s="73" t="str">
        <f>IF(Main[[#This Row],[Tech Start Date]]&lt;1/1/1990,"",IF(Main[[#This Row],[Class]]="C",WORKDAY(Main[[#This Row],[Tech Start Date]],28),IF(Main[[#This Row],[Class]]="B", WORKDAY(Main[[#This Row],[Tech Start Date]],19),IF(Main[[#This Row],[Class]]="A",WORKDAY(Main[[#This Row],[Tech Start Date]],9),""))))</f>
        <v/>
      </c>
      <c r="Q929" s="85">
        <v>40924</v>
      </c>
      <c r="R929" s="112"/>
      <c r="S929" s="95" t="s">
        <v>6</v>
      </c>
      <c r="T929" s="74" t="s">
        <v>4</v>
      </c>
      <c r="U929" s="95" t="s">
        <v>29</v>
      </c>
      <c r="V929" s="95" t="s">
        <v>2277</v>
      </c>
      <c r="W929" s="95" t="s">
        <v>4</v>
      </c>
      <c r="X929" s="95" t="s">
        <v>2845</v>
      </c>
      <c r="Y929" s="72" t="s">
        <v>2988</v>
      </c>
      <c r="Z929" s="72" t="s">
        <v>4</v>
      </c>
      <c r="AA929" s="95" t="s">
        <v>2845</v>
      </c>
      <c r="AB929" s="132"/>
      <c r="AC929" s="132"/>
      <c r="AD929" s="132"/>
      <c r="AE929" s="63"/>
      <c r="AF929" s="63"/>
      <c r="AG929" s="63"/>
    </row>
    <row r="930" spans="1:33" ht="17.2" customHeight="1">
      <c r="A930" s="64" t="str">
        <f>IF(priority(Main[[#This Row],[Comments]])&lt;&gt;0, priority(Main[[#This Row],[Comments]]),"")</f>
        <v/>
      </c>
      <c r="B930" s="60" t="s">
        <v>3293</v>
      </c>
      <c r="C930" s="72" t="s">
        <v>47</v>
      </c>
      <c r="D930" s="59" t="s">
        <v>3294</v>
      </c>
      <c r="E930" s="85">
        <v>40938.416261574072</v>
      </c>
      <c r="F930" s="85"/>
      <c r="G930" s="64" t="str">
        <f>IF(stdProdLT(Main[[#This Row],[Comments]])=0.1,"N/A",IF(stdProdLT(Main[[#This Row],[Comments]])=0,"",TRIM(stdProdLT(Main[[#This Row],[Comments]]))))</f>
        <v/>
      </c>
      <c r="H930" s="94" t="str">
        <f>IF(OR(Main[[#This Row],[Std. Prod. Lead Time]]="N/A",Main[[#This Row],[Std. Prod. Lead Time]]=""), "",IF(AND(Main[[#This Row],[In Stock Date]]&lt;&gt;"",Main[[#This Row],[Revised Due Date]]&lt;&gt;"",Main[[#This Row],[In Stock Date]]&lt;&gt;""),Main[[#This Row],[In Stock Date]]-Main[[#This Row],[Revised Due Date]],""))</f>
        <v/>
      </c>
      <c r="I930" s="101" t="s">
        <v>4</v>
      </c>
      <c r="J930" s="95" t="s">
        <v>4</v>
      </c>
      <c r="K930" s="96" t="s">
        <v>4</v>
      </c>
      <c r="L930" s="85"/>
      <c r="M930" s="73" t="str">
        <f>IF(Main[[#This Row],[Tech Start Date]]&lt;1/1/1990,"",IF(Main[[#This Row],[Class]]="C",WORKDAY(Main[[#This Row],[Tech Start Date]],9),IF(Main[[#This Row],[Class]]="B", WORKDAY(Main[[#This Row],[Tech Start Date]],6),IF(Main[[#This Row],[Class]]="A",WORKDAY(Main[[#This Row],[Tech Start Date]],2),""))))</f>
        <v/>
      </c>
      <c r="N930" s="73" t="str">
        <f>IF(Main[[#This Row],[Tech Start Date]]&lt;1/1/1990,"",IF(Main[[#This Row],[Class]]="C",WORKDAY(Main[[#This Row],[Tech Start Date]],19),IF(Main[[#This Row],[Class]]="B", WORKDAY(Main[[#This Row],[Tech Start Date]],12),IF(Main[[#This Row],[Class]]="A",WORKDAY(Main[[#This Row],[Tech Start Date]],4),""))))</f>
        <v/>
      </c>
      <c r="O930" s="73" t="str">
        <f>IF(Main[[#This Row],[Tech Start Date]]&lt;1/1/1990,"",IF(Main[[#This Row],[Class]]="C",WORKDAY(Main[[#This Row],[Tech Start Date]],23),IF(Main[[#This Row],[Class]]="B", WORKDAY(Main[[#This Row],[Tech Start Date]],15),IF(Main[[#This Row],[Class]]="A",WORKDAY(Main[[#This Row],[Tech Start Date]],5),""))))</f>
        <v/>
      </c>
      <c r="P930" s="73" t="str">
        <f>IF(Main[[#This Row],[Tech Start Date]]&lt;1/1/1990,"",IF(Main[[#This Row],[Class]]="C",WORKDAY(Main[[#This Row],[Tech Start Date]],28),IF(Main[[#This Row],[Class]]="B", WORKDAY(Main[[#This Row],[Tech Start Date]],19),IF(Main[[#This Row],[Class]]="A",WORKDAY(Main[[#This Row],[Tech Start Date]],9),""))))</f>
        <v/>
      </c>
      <c r="Q930" s="85">
        <v>40575</v>
      </c>
      <c r="R930" s="112"/>
      <c r="S930" s="95" t="s">
        <v>6</v>
      </c>
      <c r="T930" s="74" t="s">
        <v>4</v>
      </c>
      <c r="U930" s="95" t="s">
        <v>7</v>
      </c>
      <c r="V930" s="95" t="s">
        <v>2277</v>
      </c>
      <c r="W930" s="95" t="s">
        <v>4</v>
      </c>
      <c r="X930" s="95" t="s">
        <v>2845</v>
      </c>
      <c r="Y930" s="72" t="s">
        <v>2988</v>
      </c>
      <c r="Z930" s="72" t="s">
        <v>4</v>
      </c>
      <c r="AA930" s="95" t="s">
        <v>2845</v>
      </c>
      <c r="AB930" s="132"/>
      <c r="AC930" s="132"/>
      <c r="AD930" s="132"/>
      <c r="AE930" s="63"/>
      <c r="AF930" s="63"/>
      <c r="AG930" s="63"/>
    </row>
    <row r="931" spans="1:33" ht="17.2" customHeight="1">
      <c r="A931" s="64" t="str">
        <f>IF(priority(Main[[#This Row],[Comments]])&lt;&gt;0, priority(Main[[#This Row],[Comments]]),"")</f>
        <v/>
      </c>
      <c r="B931" s="60" t="s">
        <v>1750</v>
      </c>
      <c r="C931" s="72" t="s">
        <v>72</v>
      </c>
      <c r="D931" s="59" t="s">
        <v>800</v>
      </c>
      <c r="E931" s="85"/>
      <c r="F931" s="85"/>
      <c r="G931" s="64" t="str">
        <f>IF(stdProdLT(Main[[#This Row],[Comments]])=0.1,"N/A",IF(stdProdLT(Main[[#This Row],[Comments]])=0,"",TRIM(stdProdLT(Main[[#This Row],[Comments]]))))</f>
        <v/>
      </c>
      <c r="H931" s="94" t="str">
        <f>IF(OR(Main[[#This Row],[Std. Prod. Lead Time]]="N/A",Main[[#This Row],[Std. Prod. Lead Time]]=""), "",IF(AND(Main[[#This Row],[In Stock Date]]&lt;&gt;"",Main[[#This Row],[Revised Due Date]]&lt;&gt;"",Main[[#This Row],[In Stock Date]]&lt;&gt;""),Main[[#This Row],[In Stock Date]]-Main[[#This Row],[Revised Due Date]],""))</f>
        <v/>
      </c>
      <c r="I931" s="101" t="s">
        <v>4</v>
      </c>
      <c r="J931" s="95" t="s">
        <v>52</v>
      </c>
      <c r="K931" s="95" t="s">
        <v>4</v>
      </c>
      <c r="L931" s="85"/>
      <c r="M931" s="73" t="str">
        <f>IF(Main[[#This Row],[Tech Start Date]]&lt;1/1/1990,"",IF(Main[[#This Row],[Class]]="C",WORKDAY(Main[[#This Row],[Tech Start Date]],9),IF(Main[[#This Row],[Class]]="B", WORKDAY(Main[[#This Row],[Tech Start Date]],6),IF(Main[[#This Row],[Class]]="A",WORKDAY(Main[[#This Row],[Tech Start Date]],2),""))))</f>
        <v/>
      </c>
      <c r="N931" s="73" t="str">
        <f>IF(Main[[#This Row],[Tech Start Date]]&lt;1/1/1990,"",IF(Main[[#This Row],[Class]]="C",WORKDAY(Main[[#This Row],[Tech Start Date]],19),IF(Main[[#This Row],[Class]]="B", WORKDAY(Main[[#This Row],[Tech Start Date]],12),IF(Main[[#This Row],[Class]]="A",WORKDAY(Main[[#This Row],[Tech Start Date]],4),""))))</f>
        <v/>
      </c>
      <c r="O931" s="73" t="str">
        <f>IF(Main[[#This Row],[Tech Start Date]]&lt;1/1/1990,"",IF(Main[[#This Row],[Class]]="C",WORKDAY(Main[[#This Row],[Tech Start Date]],23),IF(Main[[#This Row],[Class]]="B", WORKDAY(Main[[#This Row],[Tech Start Date]],15),IF(Main[[#This Row],[Class]]="A",WORKDAY(Main[[#This Row],[Tech Start Date]],5),""))))</f>
        <v/>
      </c>
      <c r="P931" s="73" t="str">
        <f>IF(Main[[#This Row],[Tech Start Date]]&lt;1/1/1990,"",IF(Main[[#This Row],[Class]]="C",WORKDAY(Main[[#This Row],[Tech Start Date]],28),IF(Main[[#This Row],[Class]]="B", WORKDAY(Main[[#This Row],[Tech Start Date]],19),IF(Main[[#This Row],[Class]]="A",WORKDAY(Main[[#This Row],[Tech Start Date]],9),""))))</f>
        <v/>
      </c>
      <c r="Q931" s="85">
        <v>40482</v>
      </c>
      <c r="R931" s="112"/>
      <c r="S931" s="95" t="s">
        <v>11</v>
      </c>
      <c r="T931" s="74" t="s">
        <v>4</v>
      </c>
      <c r="U931" s="95" t="s">
        <v>14</v>
      </c>
      <c r="V931" s="95" t="s">
        <v>1914</v>
      </c>
      <c r="W931" s="95" t="s">
        <v>1919</v>
      </c>
      <c r="X931" s="95" t="s">
        <v>2881</v>
      </c>
      <c r="Y931" s="72" t="s">
        <v>2956</v>
      </c>
      <c r="Z931" s="72" t="s">
        <v>2045</v>
      </c>
      <c r="AA931" s="95" t="s">
        <v>2827</v>
      </c>
      <c r="AB931" s="132"/>
      <c r="AC931" s="132"/>
      <c r="AD931" s="132"/>
      <c r="AE931" s="63"/>
      <c r="AF931" s="63"/>
      <c r="AG931" s="63"/>
    </row>
    <row r="932" spans="1:33" ht="17.2" customHeight="1">
      <c r="A932" s="64" t="str">
        <f>IF(priority(Main[[#This Row],[Comments]])&lt;&gt;0, priority(Main[[#This Row],[Comments]]),"")</f>
        <v/>
      </c>
      <c r="B932" s="60" t="s">
        <v>1751</v>
      </c>
      <c r="C932" s="72" t="s">
        <v>4</v>
      </c>
      <c r="D932" s="59" t="s">
        <v>801</v>
      </c>
      <c r="E932" s="85"/>
      <c r="F932" s="85"/>
      <c r="G932" s="64" t="str">
        <f>IF(stdProdLT(Main[[#This Row],[Comments]])=0.1,"N/A",IF(stdProdLT(Main[[#This Row],[Comments]])=0,"",TRIM(stdProdLT(Main[[#This Row],[Comments]]))))</f>
        <v/>
      </c>
      <c r="H932" s="94" t="str">
        <f>IF(OR(Main[[#This Row],[Std. Prod. Lead Time]]="N/A",Main[[#This Row],[Std. Prod. Lead Time]]=""), "",IF(AND(Main[[#This Row],[In Stock Date]]&lt;&gt;"",Main[[#This Row],[Revised Due Date]]&lt;&gt;"",Main[[#This Row],[In Stock Date]]&lt;&gt;""),Main[[#This Row],[In Stock Date]]-Main[[#This Row],[Revised Due Date]],""))</f>
        <v/>
      </c>
      <c r="I932" s="101" t="s">
        <v>399</v>
      </c>
      <c r="J932" s="95" t="s">
        <v>4</v>
      </c>
      <c r="K932" s="95" t="s">
        <v>4</v>
      </c>
      <c r="L932" s="85"/>
      <c r="M932" s="73" t="str">
        <f>IF(Main[[#This Row],[Tech Start Date]]&lt;1/1/1990,"",IF(Main[[#This Row],[Class]]="C",WORKDAY(Main[[#This Row],[Tech Start Date]],9),IF(Main[[#This Row],[Class]]="B", WORKDAY(Main[[#This Row],[Tech Start Date]],6),IF(Main[[#This Row],[Class]]="A",WORKDAY(Main[[#This Row],[Tech Start Date]],2),""))))</f>
        <v/>
      </c>
      <c r="N932" s="73" t="str">
        <f>IF(Main[[#This Row],[Tech Start Date]]&lt;1/1/1990,"",IF(Main[[#This Row],[Class]]="C",WORKDAY(Main[[#This Row],[Tech Start Date]],19),IF(Main[[#This Row],[Class]]="B", WORKDAY(Main[[#This Row],[Tech Start Date]],12),IF(Main[[#This Row],[Class]]="A",WORKDAY(Main[[#This Row],[Tech Start Date]],4),""))))</f>
        <v/>
      </c>
      <c r="O932" s="73" t="str">
        <f>IF(Main[[#This Row],[Tech Start Date]]&lt;1/1/1990,"",IF(Main[[#This Row],[Class]]="C",WORKDAY(Main[[#This Row],[Tech Start Date]],23),IF(Main[[#This Row],[Class]]="B", WORKDAY(Main[[#This Row],[Tech Start Date]],15),IF(Main[[#This Row],[Class]]="A",WORKDAY(Main[[#This Row],[Tech Start Date]],5),""))))</f>
        <v/>
      </c>
      <c r="P932" s="73" t="str">
        <f>IF(Main[[#This Row],[Tech Start Date]]&lt;1/1/1990,"",IF(Main[[#This Row],[Class]]="C",WORKDAY(Main[[#This Row],[Tech Start Date]],28),IF(Main[[#This Row],[Class]]="B", WORKDAY(Main[[#This Row],[Tech Start Date]],19),IF(Main[[#This Row],[Class]]="A",WORKDAY(Main[[#This Row],[Tech Start Date]],9),""))))</f>
        <v/>
      </c>
      <c r="Q932" s="85">
        <v>40359</v>
      </c>
      <c r="R932" s="112"/>
      <c r="S932" s="95" t="s">
        <v>11</v>
      </c>
      <c r="T932" s="74" t="s">
        <v>4</v>
      </c>
      <c r="U932" s="95" t="s">
        <v>14</v>
      </c>
      <c r="V932" s="95" t="s">
        <v>1914</v>
      </c>
      <c r="W932" s="95" t="s">
        <v>1917</v>
      </c>
      <c r="X932" s="95" t="s">
        <v>2861</v>
      </c>
      <c r="Y932" s="72" t="s">
        <v>3008</v>
      </c>
      <c r="Z932" s="72" t="s">
        <v>306</v>
      </c>
      <c r="AA932" s="95" t="s">
        <v>2861</v>
      </c>
      <c r="AB932" s="132">
        <v>40357</v>
      </c>
      <c r="AC932" s="132">
        <v>40360</v>
      </c>
      <c r="AD932" s="132"/>
      <c r="AE932" s="63"/>
      <c r="AF932" s="63"/>
      <c r="AG932" s="63"/>
    </row>
    <row r="933" spans="1:33" ht="17.2" customHeight="1">
      <c r="A933" s="64" t="str">
        <f>IF(priority(Main[[#This Row],[Comments]])&lt;&gt;0, priority(Main[[#This Row],[Comments]]),"")</f>
        <v/>
      </c>
      <c r="B933" s="60" t="s">
        <v>1752</v>
      </c>
      <c r="C933" s="72" t="s">
        <v>42</v>
      </c>
      <c r="D933" s="59" t="s">
        <v>802</v>
      </c>
      <c r="E933" s="85">
        <v>39932.448611111111</v>
      </c>
      <c r="F933" s="85"/>
      <c r="G933" s="64" t="str">
        <f>IF(stdProdLT(Main[[#This Row],[Comments]])=0.1,"N/A",IF(stdProdLT(Main[[#This Row],[Comments]])=0,"",TRIM(stdProdLT(Main[[#This Row],[Comments]]))))</f>
        <v/>
      </c>
      <c r="H933" s="94" t="str">
        <f>IF(OR(Main[[#This Row],[Std. Prod. Lead Time]]="N/A",Main[[#This Row],[Std. Prod. Lead Time]]=""), "",IF(AND(Main[[#This Row],[In Stock Date]]&lt;&gt;"",Main[[#This Row],[Revised Due Date]]&lt;&gt;"",Main[[#This Row],[In Stock Date]]&lt;&gt;""),Main[[#This Row],[In Stock Date]]-Main[[#This Row],[Revised Due Date]],""))</f>
        <v/>
      </c>
      <c r="I933" s="101" t="s">
        <v>4</v>
      </c>
      <c r="J933" s="95" t="s">
        <v>4</v>
      </c>
      <c r="K933" s="95" t="s">
        <v>4</v>
      </c>
      <c r="L933" s="85"/>
      <c r="M933" s="73" t="str">
        <f>IF(Main[[#This Row],[Tech Start Date]]&lt;1/1/1990,"",IF(Main[[#This Row],[Class]]="C",WORKDAY(Main[[#This Row],[Tech Start Date]],9),IF(Main[[#This Row],[Class]]="B", WORKDAY(Main[[#This Row],[Tech Start Date]],6),IF(Main[[#This Row],[Class]]="A",WORKDAY(Main[[#This Row],[Tech Start Date]],2),""))))</f>
        <v/>
      </c>
      <c r="N933" s="73" t="str">
        <f>IF(Main[[#This Row],[Tech Start Date]]&lt;1/1/1990,"",IF(Main[[#This Row],[Class]]="C",WORKDAY(Main[[#This Row],[Tech Start Date]],19),IF(Main[[#This Row],[Class]]="B", WORKDAY(Main[[#This Row],[Tech Start Date]],12),IF(Main[[#This Row],[Class]]="A",WORKDAY(Main[[#This Row],[Tech Start Date]],4),""))))</f>
        <v/>
      </c>
      <c r="O933" s="73" t="str">
        <f>IF(Main[[#This Row],[Tech Start Date]]&lt;1/1/1990,"",IF(Main[[#This Row],[Class]]="C",WORKDAY(Main[[#This Row],[Tech Start Date]],23),IF(Main[[#This Row],[Class]]="B", WORKDAY(Main[[#This Row],[Tech Start Date]],15),IF(Main[[#This Row],[Class]]="A",WORKDAY(Main[[#This Row],[Tech Start Date]],5),""))))</f>
        <v/>
      </c>
      <c r="P933" s="73" t="str">
        <f>IF(Main[[#This Row],[Tech Start Date]]&lt;1/1/1990,"",IF(Main[[#This Row],[Class]]="C",WORKDAY(Main[[#This Row],[Tech Start Date]],28),IF(Main[[#This Row],[Class]]="B", WORKDAY(Main[[#This Row],[Tech Start Date]],19),IF(Main[[#This Row],[Class]]="A",WORKDAY(Main[[#This Row],[Tech Start Date]],9),""))))</f>
        <v/>
      </c>
      <c r="Q933" s="85"/>
      <c r="R933" s="112"/>
      <c r="S933" s="95" t="s">
        <v>17</v>
      </c>
      <c r="T933" s="74" t="s">
        <v>4</v>
      </c>
      <c r="U933" s="95" t="s">
        <v>7</v>
      </c>
      <c r="V933" s="95" t="s">
        <v>1914</v>
      </c>
      <c r="W933" s="95" t="s">
        <v>4</v>
      </c>
      <c r="X933" s="95" t="s">
        <v>399</v>
      </c>
      <c r="Y933" s="72" t="s">
        <v>4</v>
      </c>
      <c r="Z933" s="72" t="s">
        <v>4</v>
      </c>
      <c r="AA933" s="95" t="s">
        <v>4</v>
      </c>
      <c r="AB933" s="132"/>
      <c r="AC933" s="132"/>
      <c r="AD933" s="132"/>
      <c r="AE933" s="63"/>
      <c r="AF933" s="63"/>
      <c r="AG933" s="63"/>
    </row>
    <row r="934" spans="1:33" ht="17.2" customHeight="1">
      <c r="A934" s="64" t="str">
        <f>IF(priority(Main[[#This Row],[Comments]])&lt;&gt;0, priority(Main[[#This Row],[Comments]]),"")</f>
        <v/>
      </c>
      <c r="B934" s="60" t="s">
        <v>4045</v>
      </c>
      <c r="C934" s="72" t="s">
        <v>4046</v>
      </c>
      <c r="D934" s="59" t="s">
        <v>4047</v>
      </c>
      <c r="E934" s="85">
        <v>40976.020451388889</v>
      </c>
      <c r="F934" s="85">
        <v>41151</v>
      </c>
      <c r="G934" s="64" t="str">
        <f>IF(stdProdLT(Main[[#This Row],[Comments]])=0.1,"N/A",IF(stdProdLT(Main[[#This Row],[Comments]])=0,"",TRIM(stdProdLT(Main[[#This Row],[Comments]]))))</f>
        <v/>
      </c>
      <c r="H934" s="94" t="str">
        <f>IF(OR(Main[[#This Row],[Std. Prod. Lead Time]]="N/A",Main[[#This Row],[Std. Prod. Lead Time]]=""), "",IF(AND(Main[[#This Row],[In Stock Date]]&lt;&gt;"",Main[[#This Row],[Revised Due Date]]&lt;&gt;"",Main[[#This Row],[In Stock Date]]&lt;&gt;""),Main[[#This Row],[In Stock Date]]-Main[[#This Row],[Revised Due Date]],""))</f>
        <v/>
      </c>
      <c r="I934" s="101" t="s">
        <v>4</v>
      </c>
      <c r="J934" s="95" t="s">
        <v>4</v>
      </c>
      <c r="K934" s="95" t="s">
        <v>4</v>
      </c>
      <c r="L934" s="85"/>
      <c r="M934" s="73" t="str">
        <f>IF(Main[[#This Row],[Tech Start Date]]&lt;1/1/1990,"",IF(Main[[#This Row],[Class]]="C",WORKDAY(Main[[#This Row],[Tech Start Date]],9),IF(Main[[#This Row],[Class]]="B", WORKDAY(Main[[#This Row],[Tech Start Date]],6),IF(Main[[#This Row],[Class]]="A",WORKDAY(Main[[#This Row],[Tech Start Date]],2),""))))</f>
        <v/>
      </c>
      <c r="N934" s="73" t="str">
        <f>IF(Main[[#This Row],[Tech Start Date]]&lt;1/1/1990,"",IF(Main[[#This Row],[Class]]="C",WORKDAY(Main[[#This Row],[Tech Start Date]],19),IF(Main[[#This Row],[Class]]="B", WORKDAY(Main[[#This Row],[Tech Start Date]],12),IF(Main[[#This Row],[Class]]="A",WORKDAY(Main[[#This Row],[Tech Start Date]],4),""))))</f>
        <v/>
      </c>
      <c r="O934" s="73" t="str">
        <f>IF(Main[[#This Row],[Tech Start Date]]&lt;1/1/1990,"",IF(Main[[#This Row],[Class]]="C",WORKDAY(Main[[#This Row],[Tech Start Date]],23),IF(Main[[#This Row],[Class]]="B", WORKDAY(Main[[#This Row],[Tech Start Date]],15),IF(Main[[#This Row],[Class]]="A",WORKDAY(Main[[#This Row],[Tech Start Date]],5),""))))</f>
        <v/>
      </c>
      <c r="P934" s="73" t="str">
        <f>IF(Main[[#This Row],[Tech Start Date]]&lt;1/1/1990,"",IF(Main[[#This Row],[Class]]="C",WORKDAY(Main[[#This Row],[Tech Start Date]],28),IF(Main[[#This Row],[Class]]="B", WORKDAY(Main[[#This Row],[Tech Start Date]],19),IF(Main[[#This Row],[Class]]="A",WORKDAY(Main[[#This Row],[Tech Start Date]],9),""))))</f>
        <v/>
      </c>
      <c r="Q934" s="85">
        <v>41011</v>
      </c>
      <c r="R934" s="112"/>
      <c r="S934" s="95" t="s">
        <v>11</v>
      </c>
      <c r="T934" s="74" t="s">
        <v>4</v>
      </c>
      <c r="U934" s="95" t="s">
        <v>7</v>
      </c>
      <c r="V934" s="95" t="s">
        <v>1914</v>
      </c>
      <c r="W934" s="95" t="s">
        <v>1919</v>
      </c>
      <c r="X934" s="95" t="s">
        <v>3812</v>
      </c>
      <c r="Y934" s="72" t="s">
        <v>4</v>
      </c>
      <c r="Z934" s="72" t="s">
        <v>4</v>
      </c>
      <c r="AA934" s="95" t="s">
        <v>3812</v>
      </c>
      <c r="AB934" s="132"/>
      <c r="AC934" s="132"/>
      <c r="AD934" s="132"/>
      <c r="AE934" s="63"/>
      <c r="AF934" s="63"/>
      <c r="AG934" s="63"/>
    </row>
    <row r="935" spans="1:33" ht="17.2" customHeight="1">
      <c r="A935" s="64" t="str">
        <f>IF(priority(Main[[#This Row],[Comments]])&lt;&gt;0, priority(Main[[#This Row],[Comments]]),"")</f>
        <v/>
      </c>
      <c r="B935" s="60" t="s">
        <v>3882</v>
      </c>
      <c r="C935" s="72" t="s">
        <v>53</v>
      </c>
      <c r="D935" s="59" t="s">
        <v>3883</v>
      </c>
      <c r="E935" s="85">
        <v>40972.11787037037</v>
      </c>
      <c r="F935" s="85"/>
      <c r="G935" s="64" t="str">
        <f>IF(stdProdLT(Main[[#This Row],[Comments]])=0.1,"N/A",IF(stdProdLT(Main[[#This Row],[Comments]])=0,"",TRIM(stdProdLT(Main[[#This Row],[Comments]]))))</f>
        <v/>
      </c>
      <c r="H935" s="94" t="str">
        <f>IF(OR(Main[[#This Row],[Std. Prod. Lead Time]]="N/A",Main[[#This Row],[Std. Prod. Lead Time]]=""), "",IF(AND(Main[[#This Row],[In Stock Date]]&lt;&gt;"",Main[[#This Row],[Revised Due Date]]&lt;&gt;"",Main[[#This Row],[In Stock Date]]&lt;&gt;""),Main[[#This Row],[In Stock Date]]-Main[[#This Row],[Revised Due Date]],""))</f>
        <v/>
      </c>
      <c r="I935" s="101" t="s">
        <v>4</v>
      </c>
      <c r="J935" s="95" t="s">
        <v>4</v>
      </c>
      <c r="K935" s="95" t="s">
        <v>4</v>
      </c>
      <c r="L935" s="85"/>
      <c r="M935" s="73" t="str">
        <f>IF(Main[[#This Row],[Tech Start Date]]&lt;1/1/1990,"",IF(Main[[#This Row],[Class]]="C",WORKDAY(Main[[#This Row],[Tech Start Date]],9),IF(Main[[#This Row],[Class]]="B", WORKDAY(Main[[#This Row],[Tech Start Date]],6),IF(Main[[#This Row],[Class]]="A",WORKDAY(Main[[#This Row],[Tech Start Date]],2),""))))</f>
        <v/>
      </c>
      <c r="N935" s="73" t="str">
        <f>IF(Main[[#This Row],[Tech Start Date]]&lt;1/1/1990,"",IF(Main[[#This Row],[Class]]="C",WORKDAY(Main[[#This Row],[Tech Start Date]],19),IF(Main[[#This Row],[Class]]="B", WORKDAY(Main[[#This Row],[Tech Start Date]],12),IF(Main[[#This Row],[Class]]="A",WORKDAY(Main[[#This Row],[Tech Start Date]],4),""))))</f>
        <v/>
      </c>
      <c r="O935" s="73" t="str">
        <f>IF(Main[[#This Row],[Tech Start Date]]&lt;1/1/1990,"",IF(Main[[#This Row],[Class]]="C",WORKDAY(Main[[#This Row],[Tech Start Date]],23),IF(Main[[#This Row],[Class]]="B", WORKDAY(Main[[#This Row],[Tech Start Date]],15),IF(Main[[#This Row],[Class]]="A",WORKDAY(Main[[#This Row],[Tech Start Date]],5),""))))</f>
        <v/>
      </c>
      <c r="P935" s="73" t="str">
        <f>IF(Main[[#This Row],[Tech Start Date]]&lt;1/1/1990,"",IF(Main[[#This Row],[Class]]="C",WORKDAY(Main[[#This Row],[Tech Start Date]],28),IF(Main[[#This Row],[Class]]="B", WORKDAY(Main[[#This Row],[Tech Start Date]],19),IF(Main[[#This Row],[Class]]="A",WORKDAY(Main[[#This Row],[Tech Start Date]],9),""))))</f>
        <v/>
      </c>
      <c r="Q935" s="85">
        <v>40977</v>
      </c>
      <c r="R935" s="112"/>
      <c r="S935" s="95" t="s">
        <v>11</v>
      </c>
      <c r="T935" s="74" t="s">
        <v>3884</v>
      </c>
      <c r="U935" s="95" t="s">
        <v>694</v>
      </c>
      <c r="V935" s="95" t="s">
        <v>1914</v>
      </c>
      <c r="W935" s="95" t="s">
        <v>1919</v>
      </c>
      <c r="X935" s="95" t="s">
        <v>3885</v>
      </c>
      <c r="Y935" s="72" t="s">
        <v>4</v>
      </c>
      <c r="Z935" s="72" t="s">
        <v>4</v>
      </c>
      <c r="AA935" s="95" t="s">
        <v>3885</v>
      </c>
      <c r="AB935" s="132"/>
      <c r="AC935" s="132"/>
      <c r="AD935" s="132"/>
      <c r="AE935" s="63"/>
      <c r="AF935" s="63"/>
      <c r="AG935" s="63"/>
    </row>
    <row r="936" spans="1:33" ht="17.2" customHeight="1">
      <c r="A936" s="64" t="str">
        <f>IF(priority(Main[[#This Row],[Comments]])&lt;&gt;0, priority(Main[[#This Row],[Comments]]),"")</f>
        <v/>
      </c>
      <c r="B936" s="60" t="s">
        <v>1699</v>
      </c>
      <c r="C936" s="72" t="s">
        <v>759</v>
      </c>
      <c r="D936" s="59" t="s">
        <v>760</v>
      </c>
      <c r="E936" s="85"/>
      <c r="F936" s="85"/>
      <c r="G936" s="64" t="str">
        <f>IF(stdProdLT(Main[[#This Row],[Comments]])=0.1,"N/A",IF(stdProdLT(Main[[#This Row],[Comments]])=0,"",TRIM(stdProdLT(Main[[#This Row],[Comments]]))))</f>
        <v/>
      </c>
      <c r="H936" s="94" t="str">
        <f>IF(OR(Main[[#This Row],[Std. Prod. Lead Time]]="N/A",Main[[#This Row],[Std. Prod. Lead Time]]=""), "",IF(AND(Main[[#This Row],[In Stock Date]]&lt;&gt;"",Main[[#This Row],[Revised Due Date]]&lt;&gt;"",Main[[#This Row],[In Stock Date]]&lt;&gt;""),Main[[#This Row],[In Stock Date]]-Main[[#This Row],[Revised Due Date]],""))</f>
        <v/>
      </c>
      <c r="I936" s="101" t="s">
        <v>163</v>
      </c>
      <c r="J936" s="95" t="s">
        <v>4</v>
      </c>
      <c r="K936" s="95" t="s">
        <v>1918</v>
      </c>
      <c r="L936" s="85"/>
      <c r="M936" s="73" t="str">
        <f>IF(Main[[#This Row],[Tech Start Date]]&lt;1/1/1990,"",IF(Main[[#This Row],[Class]]="C",WORKDAY(Main[[#This Row],[Tech Start Date]],9),IF(Main[[#This Row],[Class]]="B", WORKDAY(Main[[#This Row],[Tech Start Date]],6),IF(Main[[#This Row],[Class]]="A",WORKDAY(Main[[#This Row],[Tech Start Date]],2),""))))</f>
        <v/>
      </c>
      <c r="N936" s="73" t="str">
        <f>IF(Main[[#This Row],[Tech Start Date]]&lt;1/1/1990,"",IF(Main[[#This Row],[Class]]="C",WORKDAY(Main[[#This Row],[Tech Start Date]],19),IF(Main[[#This Row],[Class]]="B", WORKDAY(Main[[#This Row],[Tech Start Date]],12),IF(Main[[#This Row],[Class]]="A",WORKDAY(Main[[#This Row],[Tech Start Date]],4),""))))</f>
        <v/>
      </c>
      <c r="O936" s="73" t="str">
        <f>IF(Main[[#This Row],[Tech Start Date]]&lt;1/1/1990,"",IF(Main[[#This Row],[Class]]="C",WORKDAY(Main[[#This Row],[Tech Start Date]],23),IF(Main[[#This Row],[Class]]="B", WORKDAY(Main[[#This Row],[Tech Start Date]],15),IF(Main[[#This Row],[Class]]="A",WORKDAY(Main[[#This Row],[Tech Start Date]],5),""))))</f>
        <v/>
      </c>
      <c r="P936" s="73" t="str">
        <f>IF(Main[[#This Row],[Tech Start Date]]&lt;1/1/1990,"",IF(Main[[#This Row],[Class]]="C",WORKDAY(Main[[#This Row],[Tech Start Date]],28),IF(Main[[#This Row],[Class]]="B", WORKDAY(Main[[#This Row],[Tech Start Date]],19),IF(Main[[#This Row],[Class]]="A",WORKDAY(Main[[#This Row],[Tech Start Date]],9),""))))</f>
        <v/>
      </c>
      <c r="Q936" s="85">
        <v>40421</v>
      </c>
      <c r="R936" s="112"/>
      <c r="S936" s="95" t="s">
        <v>17</v>
      </c>
      <c r="T936" s="74" t="s">
        <v>4</v>
      </c>
      <c r="U936" s="95" t="s">
        <v>14</v>
      </c>
      <c r="V936" s="95" t="s">
        <v>1914</v>
      </c>
      <c r="W936" s="95" t="s">
        <v>1915</v>
      </c>
      <c r="X936" s="95" t="s">
        <v>163</v>
      </c>
      <c r="Y936" s="72" t="s">
        <v>3078</v>
      </c>
      <c r="Z936" s="72" t="s">
        <v>4</v>
      </c>
      <c r="AA936" s="95" t="s">
        <v>163</v>
      </c>
      <c r="AB936" s="132"/>
      <c r="AC936" s="132"/>
      <c r="AD936" s="132"/>
      <c r="AE936" s="63"/>
      <c r="AF936" s="63"/>
      <c r="AG936" s="63"/>
    </row>
    <row r="937" spans="1:33" ht="17.2" customHeight="1">
      <c r="A937" s="64" t="str">
        <f>IF(priority(Main[[#This Row],[Comments]])&lt;&gt;0, priority(Main[[#This Row],[Comments]]),"")</f>
        <v/>
      </c>
      <c r="B937" s="60" t="s">
        <v>1700</v>
      </c>
      <c r="C937" s="72" t="s">
        <v>4</v>
      </c>
      <c r="D937" s="59" t="s">
        <v>761</v>
      </c>
      <c r="E937" s="85"/>
      <c r="F937" s="85"/>
      <c r="G937" s="64" t="str">
        <f>IF(stdProdLT(Main[[#This Row],[Comments]])=0.1,"N/A",IF(stdProdLT(Main[[#This Row],[Comments]])=0,"",TRIM(stdProdLT(Main[[#This Row],[Comments]]))))</f>
        <v/>
      </c>
      <c r="H937" s="94" t="str">
        <f>IF(OR(Main[[#This Row],[Std. Prod. Lead Time]]="N/A",Main[[#This Row],[Std. Prod. Lead Time]]=""), "",IF(AND(Main[[#This Row],[In Stock Date]]&lt;&gt;"",Main[[#This Row],[Revised Due Date]]&lt;&gt;"",Main[[#This Row],[In Stock Date]]&lt;&gt;""),Main[[#This Row],[In Stock Date]]-Main[[#This Row],[Revised Due Date]],""))</f>
        <v/>
      </c>
      <c r="I937" s="101" t="s">
        <v>4</v>
      </c>
      <c r="J937" s="95" t="s">
        <v>4</v>
      </c>
      <c r="K937" s="95" t="s">
        <v>4</v>
      </c>
      <c r="L937" s="85"/>
      <c r="M937" s="73" t="str">
        <f>IF(Main[[#This Row],[Tech Start Date]]&lt;1/1/1990,"",IF(Main[[#This Row],[Class]]="C",WORKDAY(Main[[#This Row],[Tech Start Date]],9),IF(Main[[#This Row],[Class]]="B", WORKDAY(Main[[#This Row],[Tech Start Date]],6),IF(Main[[#This Row],[Class]]="A",WORKDAY(Main[[#This Row],[Tech Start Date]],2),""))))</f>
        <v/>
      </c>
      <c r="N937" s="73" t="str">
        <f>IF(Main[[#This Row],[Tech Start Date]]&lt;1/1/1990,"",IF(Main[[#This Row],[Class]]="C",WORKDAY(Main[[#This Row],[Tech Start Date]],19),IF(Main[[#This Row],[Class]]="B", WORKDAY(Main[[#This Row],[Tech Start Date]],12),IF(Main[[#This Row],[Class]]="A",WORKDAY(Main[[#This Row],[Tech Start Date]],4),""))))</f>
        <v/>
      </c>
      <c r="O937" s="73" t="str">
        <f>IF(Main[[#This Row],[Tech Start Date]]&lt;1/1/1990,"",IF(Main[[#This Row],[Class]]="C",WORKDAY(Main[[#This Row],[Tech Start Date]],23),IF(Main[[#This Row],[Class]]="B", WORKDAY(Main[[#This Row],[Tech Start Date]],15),IF(Main[[#This Row],[Class]]="A",WORKDAY(Main[[#This Row],[Tech Start Date]],5),""))))</f>
        <v/>
      </c>
      <c r="P937" s="73" t="str">
        <f>IF(Main[[#This Row],[Tech Start Date]]&lt;1/1/1990,"",IF(Main[[#This Row],[Class]]="C",WORKDAY(Main[[#This Row],[Tech Start Date]],28),IF(Main[[#This Row],[Class]]="B", WORKDAY(Main[[#This Row],[Tech Start Date]],19),IF(Main[[#This Row],[Class]]="A",WORKDAY(Main[[#This Row],[Tech Start Date]],9),""))))</f>
        <v/>
      </c>
      <c r="Q937" s="85">
        <v>40500</v>
      </c>
      <c r="R937" s="112"/>
      <c r="S937" s="95" t="s">
        <v>11</v>
      </c>
      <c r="T937" s="74" t="s">
        <v>4</v>
      </c>
      <c r="U937" s="95" t="s">
        <v>14</v>
      </c>
      <c r="V937" s="95" t="s">
        <v>1911</v>
      </c>
      <c r="W937" s="95" t="s">
        <v>4</v>
      </c>
      <c r="X937" s="95" t="s">
        <v>2812</v>
      </c>
      <c r="Y937" s="72" t="s">
        <v>3079</v>
      </c>
      <c r="Z937" s="72" t="s">
        <v>4</v>
      </c>
      <c r="AA937" s="95" t="s">
        <v>2829</v>
      </c>
      <c r="AB937" s="132"/>
      <c r="AC937" s="132"/>
      <c r="AD937" s="132"/>
      <c r="AE937" s="63"/>
      <c r="AF937" s="63"/>
      <c r="AG937" s="63"/>
    </row>
    <row r="938" spans="1:33" ht="17.2" customHeight="1">
      <c r="A938" s="64" t="str">
        <f>IF(priority(Main[[#This Row],[Comments]])&lt;&gt;0, priority(Main[[#This Row],[Comments]]),"")</f>
        <v/>
      </c>
      <c r="B938" s="60" t="s">
        <v>1701</v>
      </c>
      <c r="C938" s="72" t="s">
        <v>122</v>
      </c>
      <c r="D938" s="59" t="s">
        <v>696</v>
      </c>
      <c r="E938" s="85"/>
      <c r="F938" s="85"/>
      <c r="G938" s="64" t="str">
        <f>IF(stdProdLT(Main[[#This Row],[Comments]])=0.1,"N/A",IF(stdProdLT(Main[[#This Row],[Comments]])=0,"",TRIM(stdProdLT(Main[[#This Row],[Comments]]))))</f>
        <v/>
      </c>
      <c r="H938" s="94" t="str">
        <f>IF(OR(Main[[#This Row],[Std. Prod. Lead Time]]="N/A",Main[[#This Row],[Std. Prod. Lead Time]]=""), "",IF(AND(Main[[#This Row],[In Stock Date]]&lt;&gt;"",Main[[#This Row],[Revised Due Date]]&lt;&gt;"",Main[[#This Row],[In Stock Date]]&lt;&gt;""),Main[[#This Row],[In Stock Date]]-Main[[#This Row],[Revised Due Date]],""))</f>
        <v/>
      </c>
      <c r="I938" s="101" t="s">
        <v>4</v>
      </c>
      <c r="J938" s="95" t="s">
        <v>4</v>
      </c>
      <c r="K938" s="95" t="s">
        <v>4</v>
      </c>
      <c r="L938" s="85"/>
      <c r="M938" s="73" t="str">
        <f>IF(Main[[#This Row],[Tech Start Date]]&lt;1/1/1990,"",IF(Main[[#This Row],[Class]]="C",WORKDAY(Main[[#This Row],[Tech Start Date]],9),IF(Main[[#This Row],[Class]]="B", WORKDAY(Main[[#This Row],[Tech Start Date]],6),IF(Main[[#This Row],[Class]]="A",WORKDAY(Main[[#This Row],[Tech Start Date]],2),""))))</f>
        <v/>
      </c>
      <c r="N938" s="73" t="str">
        <f>IF(Main[[#This Row],[Tech Start Date]]&lt;1/1/1990,"",IF(Main[[#This Row],[Class]]="C",WORKDAY(Main[[#This Row],[Tech Start Date]],19),IF(Main[[#This Row],[Class]]="B", WORKDAY(Main[[#This Row],[Tech Start Date]],12),IF(Main[[#This Row],[Class]]="A",WORKDAY(Main[[#This Row],[Tech Start Date]],4),""))))</f>
        <v/>
      </c>
      <c r="O938" s="73" t="str">
        <f>IF(Main[[#This Row],[Tech Start Date]]&lt;1/1/1990,"",IF(Main[[#This Row],[Class]]="C",WORKDAY(Main[[#This Row],[Tech Start Date]],23),IF(Main[[#This Row],[Class]]="B", WORKDAY(Main[[#This Row],[Tech Start Date]],15),IF(Main[[#This Row],[Class]]="A",WORKDAY(Main[[#This Row],[Tech Start Date]],5),""))))</f>
        <v/>
      </c>
      <c r="P938" s="73" t="str">
        <f>IF(Main[[#This Row],[Tech Start Date]]&lt;1/1/1990,"",IF(Main[[#This Row],[Class]]="C",WORKDAY(Main[[#This Row],[Tech Start Date]],28),IF(Main[[#This Row],[Class]]="B", WORKDAY(Main[[#This Row],[Tech Start Date]],19),IF(Main[[#This Row],[Class]]="A",WORKDAY(Main[[#This Row],[Tech Start Date]],9),""))))</f>
        <v/>
      </c>
      <c r="Q938" s="85"/>
      <c r="R938" s="112"/>
      <c r="S938" s="95" t="s">
        <v>11</v>
      </c>
      <c r="T938" s="74" t="s">
        <v>4</v>
      </c>
      <c r="U938" s="95" t="s">
        <v>14</v>
      </c>
      <c r="V938" s="95" t="s">
        <v>1911</v>
      </c>
      <c r="W938" s="95" t="s">
        <v>1922</v>
      </c>
      <c r="X938" s="95" t="s">
        <v>2800</v>
      </c>
      <c r="Y938" s="72" t="s">
        <v>3070</v>
      </c>
      <c r="Z938" s="72" t="s">
        <v>4</v>
      </c>
      <c r="AA938" s="95" t="s">
        <v>3393</v>
      </c>
      <c r="AB938" s="132"/>
      <c r="AC938" s="132"/>
      <c r="AD938" s="132"/>
      <c r="AE938" s="63"/>
      <c r="AF938" s="63"/>
      <c r="AG938" s="63"/>
    </row>
    <row r="939" spans="1:33" ht="17.2" customHeight="1">
      <c r="A939" s="64" t="str">
        <f>IF(priority(Main[[#This Row],[Comments]])&lt;&gt;0, priority(Main[[#This Row],[Comments]]),"")</f>
        <v/>
      </c>
      <c r="B939" s="60" t="s">
        <v>1704</v>
      </c>
      <c r="C939" s="72" t="s">
        <v>4</v>
      </c>
      <c r="D939" s="59" t="s">
        <v>767</v>
      </c>
      <c r="E939" s="85"/>
      <c r="F939" s="85"/>
      <c r="G939" s="64" t="str">
        <f>IF(stdProdLT(Main[[#This Row],[Comments]])=0.1,"N/A",IF(stdProdLT(Main[[#This Row],[Comments]])=0,"",TRIM(stdProdLT(Main[[#This Row],[Comments]]))))</f>
        <v/>
      </c>
      <c r="H939" s="94" t="str">
        <f>IF(OR(Main[[#This Row],[Std. Prod. Lead Time]]="N/A",Main[[#This Row],[Std. Prod. Lead Time]]=""), "",IF(AND(Main[[#This Row],[In Stock Date]]&lt;&gt;"",Main[[#This Row],[Revised Due Date]]&lt;&gt;"",Main[[#This Row],[In Stock Date]]&lt;&gt;""),Main[[#This Row],[In Stock Date]]-Main[[#This Row],[Revised Due Date]],""))</f>
        <v/>
      </c>
      <c r="I939" s="101" t="s">
        <v>4</v>
      </c>
      <c r="J939" s="95" t="s">
        <v>4</v>
      </c>
      <c r="K939" s="95" t="s">
        <v>4</v>
      </c>
      <c r="L939" s="85"/>
      <c r="M939" s="73" t="str">
        <f>IF(Main[[#This Row],[Tech Start Date]]&lt;1/1/1990,"",IF(Main[[#This Row],[Class]]="C",WORKDAY(Main[[#This Row],[Tech Start Date]],9),IF(Main[[#This Row],[Class]]="B", WORKDAY(Main[[#This Row],[Tech Start Date]],6),IF(Main[[#This Row],[Class]]="A",WORKDAY(Main[[#This Row],[Tech Start Date]],2),""))))</f>
        <v/>
      </c>
      <c r="N939" s="73" t="str">
        <f>IF(Main[[#This Row],[Tech Start Date]]&lt;1/1/1990,"",IF(Main[[#This Row],[Class]]="C",WORKDAY(Main[[#This Row],[Tech Start Date]],19),IF(Main[[#This Row],[Class]]="B", WORKDAY(Main[[#This Row],[Tech Start Date]],12),IF(Main[[#This Row],[Class]]="A",WORKDAY(Main[[#This Row],[Tech Start Date]],4),""))))</f>
        <v/>
      </c>
      <c r="O939" s="73" t="str">
        <f>IF(Main[[#This Row],[Tech Start Date]]&lt;1/1/1990,"",IF(Main[[#This Row],[Class]]="C",WORKDAY(Main[[#This Row],[Tech Start Date]],23),IF(Main[[#This Row],[Class]]="B", WORKDAY(Main[[#This Row],[Tech Start Date]],15),IF(Main[[#This Row],[Class]]="A",WORKDAY(Main[[#This Row],[Tech Start Date]],5),""))))</f>
        <v/>
      </c>
      <c r="P939" s="73" t="str">
        <f>IF(Main[[#This Row],[Tech Start Date]]&lt;1/1/1990,"",IF(Main[[#This Row],[Class]]="C",WORKDAY(Main[[#This Row],[Tech Start Date]],28),IF(Main[[#This Row],[Class]]="B", WORKDAY(Main[[#This Row],[Tech Start Date]],19),IF(Main[[#This Row],[Class]]="A",WORKDAY(Main[[#This Row],[Tech Start Date]],9),""))))</f>
        <v/>
      </c>
      <c r="Q939" s="85"/>
      <c r="R939" s="112"/>
      <c r="S939" s="95" t="s">
        <v>17</v>
      </c>
      <c r="T939" s="74" t="s">
        <v>4</v>
      </c>
      <c r="U939" s="95" t="s">
        <v>14</v>
      </c>
      <c r="V939" s="95" t="s">
        <v>1914</v>
      </c>
      <c r="W939" s="95" t="s">
        <v>4</v>
      </c>
      <c r="X939" s="95" t="s">
        <v>306</v>
      </c>
      <c r="Y939" s="72" t="s">
        <v>4</v>
      </c>
      <c r="Z939" s="72" t="s">
        <v>4</v>
      </c>
      <c r="AA939" s="95" t="s">
        <v>3398</v>
      </c>
      <c r="AB939" s="132"/>
      <c r="AC939" s="132"/>
      <c r="AD939" s="132"/>
      <c r="AE939" s="63"/>
      <c r="AF939" s="63"/>
      <c r="AG939" s="63"/>
    </row>
    <row r="940" spans="1:33" ht="17.2" customHeight="1">
      <c r="A940" s="64" t="str">
        <f>IF(priority(Main[[#This Row],[Comments]])&lt;&gt;0, priority(Main[[#This Row],[Comments]]),"")</f>
        <v/>
      </c>
      <c r="B940" s="60" t="s">
        <v>1705</v>
      </c>
      <c r="C940" s="72" t="s">
        <v>58</v>
      </c>
      <c r="D940" s="59" t="s">
        <v>202</v>
      </c>
      <c r="E940" s="85"/>
      <c r="F940" s="85">
        <v>40697</v>
      </c>
      <c r="G940" s="64" t="str">
        <f>IF(stdProdLT(Main[[#This Row],[Comments]])=0.1,"N/A",IF(stdProdLT(Main[[#This Row],[Comments]])=0,"",TRIM(stdProdLT(Main[[#This Row],[Comments]]))))</f>
        <v/>
      </c>
      <c r="H940" s="94" t="str">
        <f>IF(OR(Main[[#This Row],[Std. Prod. Lead Time]]="N/A",Main[[#This Row],[Std. Prod. Lead Time]]=""), "",IF(AND(Main[[#This Row],[In Stock Date]]&lt;&gt;"",Main[[#This Row],[Revised Due Date]]&lt;&gt;"",Main[[#This Row],[In Stock Date]]&lt;&gt;""),Main[[#This Row],[In Stock Date]]-Main[[#This Row],[Revised Due Date]],""))</f>
        <v/>
      </c>
      <c r="I940" s="101" t="s">
        <v>4</v>
      </c>
      <c r="J940" s="95" t="s">
        <v>4</v>
      </c>
      <c r="K940" s="96" t="s">
        <v>4</v>
      </c>
      <c r="L940" s="85"/>
      <c r="M940" s="73" t="str">
        <f>IF(Main[[#This Row],[Tech Start Date]]&lt;1/1/1990,"",IF(Main[[#This Row],[Class]]="C",WORKDAY(Main[[#This Row],[Tech Start Date]],9),IF(Main[[#This Row],[Class]]="B", WORKDAY(Main[[#This Row],[Tech Start Date]],6),IF(Main[[#This Row],[Class]]="A",WORKDAY(Main[[#This Row],[Tech Start Date]],2),""))))</f>
        <v/>
      </c>
      <c r="N940" s="73" t="str">
        <f>IF(Main[[#This Row],[Tech Start Date]]&lt;1/1/1990,"",IF(Main[[#This Row],[Class]]="C",WORKDAY(Main[[#This Row],[Tech Start Date]],19),IF(Main[[#This Row],[Class]]="B", WORKDAY(Main[[#This Row],[Tech Start Date]],12),IF(Main[[#This Row],[Class]]="A",WORKDAY(Main[[#This Row],[Tech Start Date]],4),""))))</f>
        <v/>
      </c>
      <c r="O940" s="73" t="str">
        <f>IF(Main[[#This Row],[Tech Start Date]]&lt;1/1/1990,"",IF(Main[[#This Row],[Class]]="C",WORKDAY(Main[[#This Row],[Tech Start Date]],23),IF(Main[[#This Row],[Class]]="B", WORKDAY(Main[[#This Row],[Tech Start Date]],15),IF(Main[[#This Row],[Class]]="A",WORKDAY(Main[[#This Row],[Tech Start Date]],5),""))))</f>
        <v/>
      </c>
      <c r="P940" s="73" t="str">
        <f>IF(Main[[#This Row],[Tech Start Date]]&lt;1/1/1990,"",IF(Main[[#This Row],[Class]]="C",WORKDAY(Main[[#This Row],[Tech Start Date]],28),IF(Main[[#This Row],[Class]]="B", WORKDAY(Main[[#This Row],[Tech Start Date]],19),IF(Main[[#This Row],[Class]]="A",WORKDAY(Main[[#This Row],[Tech Start Date]],9),""))))</f>
        <v/>
      </c>
      <c r="Q940" s="85">
        <v>40539</v>
      </c>
      <c r="R940" s="112"/>
      <c r="S940" s="95" t="s">
        <v>11</v>
      </c>
      <c r="T940" s="74" t="s">
        <v>4</v>
      </c>
      <c r="U940" s="95" t="s">
        <v>14</v>
      </c>
      <c r="V940" s="95" t="s">
        <v>1911</v>
      </c>
      <c r="W940" s="95" t="s">
        <v>1917</v>
      </c>
      <c r="X940" s="95" t="s">
        <v>2809</v>
      </c>
      <c r="Y940" s="72" t="s">
        <v>2929</v>
      </c>
      <c r="Z940" s="72" t="s">
        <v>4</v>
      </c>
      <c r="AA940" s="95" t="s">
        <v>2809</v>
      </c>
      <c r="AB940" s="132"/>
      <c r="AC940" s="132"/>
      <c r="AD940" s="132"/>
      <c r="AE940" s="63"/>
      <c r="AF940" s="63"/>
      <c r="AG940" s="63"/>
    </row>
    <row r="941" spans="1:33" ht="17.2" customHeight="1">
      <c r="A941" s="64" t="str">
        <f>IF(priority(Main[[#This Row],[Comments]])&lt;&gt;0, priority(Main[[#This Row],[Comments]]),"")</f>
        <v/>
      </c>
      <c r="B941" s="60" t="s">
        <v>3886</v>
      </c>
      <c r="C941" s="72" t="s">
        <v>4</v>
      </c>
      <c r="D941" s="59" t="s">
        <v>3887</v>
      </c>
      <c r="E941" s="85">
        <v>40974.654664351852</v>
      </c>
      <c r="F941" s="85"/>
      <c r="G941" s="64" t="str">
        <f>IF(stdProdLT(Main[[#This Row],[Comments]])=0.1,"N/A",IF(stdProdLT(Main[[#This Row],[Comments]])=0,"",TRIM(stdProdLT(Main[[#This Row],[Comments]]))))</f>
        <v/>
      </c>
      <c r="H941" s="94" t="str">
        <f>IF(OR(Main[[#This Row],[Std. Prod. Lead Time]]="N/A",Main[[#This Row],[Std. Prod. Lead Time]]=""), "",IF(AND(Main[[#This Row],[In Stock Date]]&lt;&gt;"",Main[[#This Row],[Revised Due Date]]&lt;&gt;"",Main[[#This Row],[In Stock Date]]&lt;&gt;""),Main[[#This Row],[In Stock Date]]-Main[[#This Row],[Revised Due Date]],""))</f>
        <v/>
      </c>
      <c r="I941" s="101" t="s">
        <v>4</v>
      </c>
      <c r="J941" s="95" t="s">
        <v>4</v>
      </c>
      <c r="K941" s="95" t="s">
        <v>4</v>
      </c>
      <c r="L941" s="85"/>
      <c r="M941" s="73" t="str">
        <f>IF(Main[[#This Row],[Tech Start Date]]&lt;1/1/1990,"",IF(Main[[#This Row],[Class]]="C",WORKDAY(Main[[#This Row],[Tech Start Date]],9),IF(Main[[#This Row],[Class]]="B", WORKDAY(Main[[#This Row],[Tech Start Date]],6),IF(Main[[#This Row],[Class]]="A",WORKDAY(Main[[#This Row],[Tech Start Date]],2),""))))</f>
        <v/>
      </c>
      <c r="N941" s="73" t="str">
        <f>IF(Main[[#This Row],[Tech Start Date]]&lt;1/1/1990,"",IF(Main[[#This Row],[Class]]="C",WORKDAY(Main[[#This Row],[Tech Start Date]],19),IF(Main[[#This Row],[Class]]="B", WORKDAY(Main[[#This Row],[Tech Start Date]],12),IF(Main[[#This Row],[Class]]="A",WORKDAY(Main[[#This Row],[Tech Start Date]],4),""))))</f>
        <v/>
      </c>
      <c r="O941" s="73" t="str">
        <f>IF(Main[[#This Row],[Tech Start Date]]&lt;1/1/1990,"",IF(Main[[#This Row],[Class]]="C",WORKDAY(Main[[#This Row],[Tech Start Date]],23),IF(Main[[#This Row],[Class]]="B", WORKDAY(Main[[#This Row],[Tech Start Date]],15),IF(Main[[#This Row],[Class]]="A",WORKDAY(Main[[#This Row],[Tech Start Date]],5),""))))</f>
        <v/>
      </c>
      <c r="P941" s="73" t="str">
        <f>IF(Main[[#This Row],[Tech Start Date]]&lt;1/1/1990,"",IF(Main[[#This Row],[Class]]="C",WORKDAY(Main[[#This Row],[Tech Start Date]],28),IF(Main[[#This Row],[Class]]="B", WORKDAY(Main[[#This Row],[Tech Start Date]],19),IF(Main[[#This Row],[Class]]="A",WORKDAY(Main[[#This Row],[Tech Start Date]],9),""))))</f>
        <v/>
      </c>
      <c r="Q941" s="85"/>
      <c r="R941" s="112"/>
      <c r="S941" s="95" t="s">
        <v>17</v>
      </c>
      <c r="T941" s="74" t="s">
        <v>4</v>
      </c>
      <c r="U941" s="95" t="s">
        <v>7</v>
      </c>
      <c r="V941" s="95" t="s">
        <v>1921</v>
      </c>
      <c r="W941" s="95" t="s">
        <v>1913</v>
      </c>
      <c r="X941" s="95" t="s">
        <v>2846</v>
      </c>
      <c r="Y941" s="72" t="s">
        <v>2978</v>
      </c>
      <c r="Z941" s="72" t="s">
        <v>4</v>
      </c>
      <c r="AA941" s="95" t="s">
        <v>2846</v>
      </c>
      <c r="AB941" s="132"/>
      <c r="AC941" s="132"/>
      <c r="AD941" s="132"/>
      <c r="AE941" s="63"/>
      <c r="AF941" s="63"/>
      <c r="AG941" s="63"/>
    </row>
    <row r="942" spans="1:33" ht="17.2" customHeight="1">
      <c r="A942" s="64" t="str">
        <f>IF(priority(Main[[#This Row],[Comments]])&lt;&gt;0, priority(Main[[#This Row],[Comments]]),"")</f>
        <v/>
      </c>
      <c r="B942" s="60" t="s">
        <v>1706</v>
      </c>
      <c r="C942" s="72" t="s">
        <v>4</v>
      </c>
      <c r="D942" s="59" t="s">
        <v>710</v>
      </c>
      <c r="E942" s="85"/>
      <c r="F942" s="85"/>
      <c r="G942" s="64" t="str">
        <f>IF(stdProdLT(Main[[#This Row],[Comments]])=0.1,"N/A",IF(stdProdLT(Main[[#This Row],[Comments]])=0,"",TRIM(stdProdLT(Main[[#This Row],[Comments]]))))</f>
        <v/>
      </c>
      <c r="H942" s="94" t="str">
        <f>IF(OR(Main[[#This Row],[Std. Prod. Lead Time]]="N/A",Main[[#This Row],[Std. Prod. Lead Time]]=""), "",IF(AND(Main[[#This Row],[In Stock Date]]&lt;&gt;"",Main[[#This Row],[Revised Due Date]]&lt;&gt;"",Main[[#This Row],[In Stock Date]]&lt;&gt;""),Main[[#This Row],[In Stock Date]]-Main[[#This Row],[Revised Due Date]],""))</f>
        <v/>
      </c>
      <c r="I942" s="101" t="s">
        <v>4</v>
      </c>
      <c r="J942" s="95" t="s">
        <v>28</v>
      </c>
      <c r="K942" s="95" t="s">
        <v>1920</v>
      </c>
      <c r="L942" s="85"/>
      <c r="M942" s="73" t="str">
        <f>IF(Main[[#This Row],[Tech Start Date]]&lt;1/1/1990,"",IF(Main[[#This Row],[Class]]="C",WORKDAY(Main[[#This Row],[Tech Start Date]],9),IF(Main[[#This Row],[Class]]="B", WORKDAY(Main[[#This Row],[Tech Start Date]],6),IF(Main[[#This Row],[Class]]="A",WORKDAY(Main[[#This Row],[Tech Start Date]],2),""))))</f>
        <v/>
      </c>
      <c r="N942" s="73" t="str">
        <f>IF(Main[[#This Row],[Tech Start Date]]&lt;1/1/1990,"",IF(Main[[#This Row],[Class]]="C",WORKDAY(Main[[#This Row],[Tech Start Date]],19),IF(Main[[#This Row],[Class]]="B", WORKDAY(Main[[#This Row],[Tech Start Date]],12),IF(Main[[#This Row],[Class]]="A",WORKDAY(Main[[#This Row],[Tech Start Date]],4),""))))</f>
        <v/>
      </c>
      <c r="O942" s="73" t="str">
        <f>IF(Main[[#This Row],[Tech Start Date]]&lt;1/1/1990,"",IF(Main[[#This Row],[Class]]="C",WORKDAY(Main[[#This Row],[Tech Start Date]],23),IF(Main[[#This Row],[Class]]="B", WORKDAY(Main[[#This Row],[Tech Start Date]],15),IF(Main[[#This Row],[Class]]="A",WORKDAY(Main[[#This Row],[Tech Start Date]],5),""))))</f>
        <v/>
      </c>
      <c r="P942" s="73" t="str">
        <f>IF(Main[[#This Row],[Tech Start Date]]&lt;1/1/1990,"",IF(Main[[#This Row],[Class]]="C",WORKDAY(Main[[#This Row],[Tech Start Date]],28),IF(Main[[#This Row],[Class]]="B", WORKDAY(Main[[#This Row],[Tech Start Date]],19),IF(Main[[#This Row],[Class]]="A",WORKDAY(Main[[#This Row],[Tech Start Date]],9),""))))</f>
        <v/>
      </c>
      <c r="Q942" s="85">
        <v>40647</v>
      </c>
      <c r="R942" s="112"/>
      <c r="S942" s="95" t="s">
        <v>6</v>
      </c>
      <c r="T942" s="74" t="s">
        <v>4</v>
      </c>
      <c r="U942" s="95" t="s">
        <v>14</v>
      </c>
      <c r="V942" s="95" t="s">
        <v>1911</v>
      </c>
      <c r="W942" s="95" t="s">
        <v>1915</v>
      </c>
      <c r="X942" s="95" t="s">
        <v>2801</v>
      </c>
      <c r="Y942" s="72" t="s">
        <v>2914</v>
      </c>
      <c r="Z942" s="72" t="s">
        <v>129</v>
      </c>
      <c r="AA942" s="95" t="s">
        <v>2801</v>
      </c>
      <c r="AB942" s="132"/>
      <c r="AC942" s="132"/>
      <c r="AD942" s="132"/>
      <c r="AE942" s="63"/>
      <c r="AF942" s="63"/>
      <c r="AG942" s="63"/>
    </row>
    <row r="943" spans="1:33" ht="17.2" customHeight="1">
      <c r="A943" s="64" t="str">
        <f>IF(priority(Main[[#This Row],[Comments]])&lt;&gt;0, priority(Main[[#This Row],[Comments]]),"")</f>
        <v/>
      </c>
      <c r="B943" s="60" t="s">
        <v>2067</v>
      </c>
      <c r="C943" s="72" t="s">
        <v>4</v>
      </c>
      <c r="D943" s="59" t="s">
        <v>2382</v>
      </c>
      <c r="E943" s="85">
        <v>40760.555381944447</v>
      </c>
      <c r="F943" s="85"/>
      <c r="G943" s="64" t="str">
        <f>IF(stdProdLT(Main[[#This Row],[Comments]])=0.1,"N/A",IF(stdProdLT(Main[[#This Row],[Comments]])=0,"",TRIM(stdProdLT(Main[[#This Row],[Comments]]))))</f>
        <v/>
      </c>
      <c r="H943" s="94" t="str">
        <f>IF(OR(Main[[#This Row],[Std. Prod. Lead Time]]="N/A",Main[[#This Row],[Std. Prod. Lead Time]]=""), "",IF(AND(Main[[#This Row],[In Stock Date]]&lt;&gt;"",Main[[#This Row],[Revised Due Date]]&lt;&gt;"",Main[[#This Row],[In Stock Date]]&lt;&gt;""),Main[[#This Row],[In Stock Date]]-Main[[#This Row],[Revised Due Date]],""))</f>
        <v/>
      </c>
      <c r="I943" s="101" t="s">
        <v>4</v>
      </c>
      <c r="J943" s="95" t="s">
        <v>4</v>
      </c>
      <c r="K943" s="95" t="s">
        <v>4</v>
      </c>
      <c r="L943" s="85"/>
      <c r="M943" s="73" t="str">
        <f>IF(Main[[#This Row],[Tech Start Date]]&lt;1/1/1990,"",IF(Main[[#This Row],[Class]]="C",WORKDAY(Main[[#This Row],[Tech Start Date]],9),IF(Main[[#This Row],[Class]]="B", WORKDAY(Main[[#This Row],[Tech Start Date]],6),IF(Main[[#This Row],[Class]]="A",WORKDAY(Main[[#This Row],[Tech Start Date]],2),""))))</f>
        <v/>
      </c>
      <c r="N943" s="73" t="str">
        <f>IF(Main[[#This Row],[Tech Start Date]]&lt;1/1/1990,"",IF(Main[[#This Row],[Class]]="C",WORKDAY(Main[[#This Row],[Tech Start Date]],19),IF(Main[[#This Row],[Class]]="B", WORKDAY(Main[[#This Row],[Tech Start Date]],12),IF(Main[[#This Row],[Class]]="A",WORKDAY(Main[[#This Row],[Tech Start Date]],4),""))))</f>
        <v/>
      </c>
      <c r="O943" s="73" t="str">
        <f>IF(Main[[#This Row],[Tech Start Date]]&lt;1/1/1990,"",IF(Main[[#This Row],[Class]]="C",WORKDAY(Main[[#This Row],[Tech Start Date]],23),IF(Main[[#This Row],[Class]]="B", WORKDAY(Main[[#This Row],[Tech Start Date]],15),IF(Main[[#This Row],[Class]]="A",WORKDAY(Main[[#This Row],[Tech Start Date]],5),""))))</f>
        <v/>
      </c>
      <c r="P943" s="73" t="str">
        <f>IF(Main[[#This Row],[Tech Start Date]]&lt;1/1/1990,"",IF(Main[[#This Row],[Class]]="C",WORKDAY(Main[[#This Row],[Tech Start Date]],28),IF(Main[[#This Row],[Class]]="B", WORKDAY(Main[[#This Row],[Tech Start Date]],19),IF(Main[[#This Row],[Class]]="A",WORKDAY(Main[[#This Row],[Tech Start Date]],9),""))))</f>
        <v/>
      </c>
      <c r="Q943" s="85"/>
      <c r="R943" s="112"/>
      <c r="S943" s="95" t="s">
        <v>6</v>
      </c>
      <c r="T943" s="74" t="s">
        <v>4</v>
      </c>
      <c r="U943" s="95" t="s">
        <v>7</v>
      </c>
      <c r="V943" s="95" t="s">
        <v>1911</v>
      </c>
      <c r="W943" s="95" t="s">
        <v>1915</v>
      </c>
      <c r="X943" s="95" t="s">
        <v>306</v>
      </c>
      <c r="Y943" s="72" t="s">
        <v>4</v>
      </c>
      <c r="Z943" s="72" t="s">
        <v>4</v>
      </c>
      <c r="AA943" s="95" t="s">
        <v>4</v>
      </c>
      <c r="AB943" s="132"/>
      <c r="AC943" s="132"/>
      <c r="AD943" s="132"/>
      <c r="AE943" s="63"/>
      <c r="AF943" s="63"/>
      <c r="AG943" s="63"/>
    </row>
    <row r="944" spans="1:33" ht="17.2" customHeight="1">
      <c r="A944" s="64" t="str">
        <f>IF(priority(Main[[#This Row],[Comments]])&lt;&gt;0, priority(Main[[#This Row],[Comments]]),"")</f>
        <v/>
      </c>
      <c r="B944" s="60" t="s">
        <v>1631</v>
      </c>
      <c r="C944" s="72" t="s">
        <v>4</v>
      </c>
      <c r="D944" s="59" t="s">
        <v>2383</v>
      </c>
      <c r="E944" s="85">
        <v>40567.655532407407</v>
      </c>
      <c r="F944" s="85">
        <v>40602</v>
      </c>
      <c r="G944" s="64" t="str">
        <f>IF(stdProdLT(Main[[#This Row],[Comments]])=0.1,"N/A",IF(stdProdLT(Main[[#This Row],[Comments]])=0,"",TRIM(stdProdLT(Main[[#This Row],[Comments]]))))</f>
        <v/>
      </c>
      <c r="H944" s="94" t="str">
        <f>IF(OR(Main[[#This Row],[Std. Prod. Lead Time]]="N/A",Main[[#This Row],[Std. Prod. Lead Time]]=""), "",IF(AND(Main[[#This Row],[In Stock Date]]&lt;&gt;"",Main[[#This Row],[Revised Due Date]]&lt;&gt;"",Main[[#This Row],[In Stock Date]]&lt;&gt;""),Main[[#This Row],[In Stock Date]]-Main[[#This Row],[Revised Due Date]],""))</f>
        <v/>
      </c>
      <c r="I944" s="101" t="s">
        <v>912</v>
      </c>
      <c r="J944" s="95" t="s">
        <v>52</v>
      </c>
      <c r="K944" s="96" t="s">
        <v>1920</v>
      </c>
      <c r="L944" s="85"/>
      <c r="M944" s="73" t="str">
        <f>IF(Main[[#This Row],[Tech Start Date]]&lt;1/1/1990,"",IF(Main[[#This Row],[Class]]="C",WORKDAY(Main[[#This Row],[Tech Start Date]],9),IF(Main[[#This Row],[Class]]="B", WORKDAY(Main[[#This Row],[Tech Start Date]],6),IF(Main[[#This Row],[Class]]="A",WORKDAY(Main[[#This Row],[Tech Start Date]],2),""))))</f>
        <v/>
      </c>
      <c r="N944" s="73" t="str">
        <f>IF(Main[[#This Row],[Tech Start Date]]&lt;1/1/1990,"",IF(Main[[#This Row],[Class]]="C",WORKDAY(Main[[#This Row],[Tech Start Date]],19),IF(Main[[#This Row],[Class]]="B", WORKDAY(Main[[#This Row],[Tech Start Date]],12),IF(Main[[#This Row],[Class]]="A",WORKDAY(Main[[#This Row],[Tech Start Date]],4),""))))</f>
        <v/>
      </c>
      <c r="O944" s="73" t="str">
        <f>IF(Main[[#This Row],[Tech Start Date]]&lt;1/1/1990,"",IF(Main[[#This Row],[Class]]="C",WORKDAY(Main[[#This Row],[Tech Start Date]],23),IF(Main[[#This Row],[Class]]="B", WORKDAY(Main[[#This Row],[Tech Start Date]],15),IF(Main[[#This Row],[Class]]="A",WORKDAY(Main[[#This Row],[Tech Start Date]],5),""))))</f>
        <v/>
      </c>
      <c r="P944" s="73" t="str">
        <f>IF(Main[[#This Row],[Tech Start Date]]&lt;1/1/1990,"",IF(Main[[#This Row],[Class]]="C",WORKDAY(Main[[#This Row],[Tech Start Date]],28),IF(Main[[#This Row],[Class]]="B", WORKDAY(Main[[#This Row],[Tech Start Date]],19),IF(Main[[#This Row],[Class]]="A",WORKDAY(Main[[#This Row],[Tech Start Date]],9),""))))</f>
        <v/>
      </c>
      <c r="Q944" s="85">
        <v>40602</v>
      </c>
      <c r="R944" s="112"/>
      <c r="S944" s="95" t="s">
        <v>6</v>
      </c>
      <c r="T944" s="74" t="s">
        <v>4</v>
      </c>
      <c r="U944" s="95" t="s">
        <v>29</v>
      </c>
      <c r="V944" s="95" t="s">
        <v>1911</v>
      </c>
      <c r="W944" s="95" t="s">
        <v>1913</v>
      </c>
      <c r="X944" s="95" t="s">
        <v>2798</v>
      </c>
      <c r="Y944" s="72" t="s">
        <v>2908</v>
      </c>
      <c r="Z944" s="72" t="s">
        <v>129</v>
      </c>
      <c r="AA944" s="95" t="s">
        <v>2798</v>
      </c>
      <c r="AB944" s="132"/>
      <c r="AC944" s="132"/>
      <c r="AD944" s="132"/>
      <c r="AE944" s="63"/>
      <c r="AF944" s="63"/>
      <c r="AG944" s="63"/>
    </row>
    <row r="945" spans="1:33" ht="17.2" customHeight="1">
      <c r="A945" s="64" t="str">
        <f>IF(priority(Main[[#This Row],[Comments]])&lt;&gt;0, priority(Main[[#This Row],[Comments]]),"")</f>
        <v/>
      </c>
      <c r="B945" s="60" t="s">
        <v>1708</v>
      </c>
      <c r="C945" s="72" t="s">
        <v>4</v>
      </c>
      <c r="D945" s="59" t="s">
        <v>769</v>
      </c>
      <c r="E945" s="85"/>
      <c r="F945" s="85"/>
      <c r="G945" s="64" t="str">
        <f>IF(stdProdLT(Main[[#This Row],[Comments]])=0.1,"N/A",IF(stdProdLT(Main[[#This Row],[Comments]])=0,"",TRIM(stdProdLT(Main[[#This Row],[Comments]]))))</f>
        <v/>
      </c>
      <c r="H945" s="94" t="str">
        <f>IF(OR(Main[[#This Row],[Std. Prod. Lead Time]]="N/A",Main[[#This Row],[Std. Prod. Lead Time]]=""), "",IF(AND(Main[[#This Row],[In Stock Date]]&lt;&gt;"",Main[[#This Row],[Revised Due Date]]&lt;&gt;"",Main[[#This Row],[In Stock Date]]&lt;&gt;""),Main[[#This Row],[In Stock Date]]-Main[[#This Row],[Revised Due Date]],""))</f>
        <v/>
      </c>
      <c r="I945" s="101" t="s">
        <v>4</v>
      </c>
      <c r="J945" s="95" t="s">
        <v>4</v>
      </c>
      <c r="K945" s="95" t="s">
        <v>4</v>
      </c>
      <c r="L945" s="85"/>
      <c r="M945" s="73" t="str">
        <f>IF(Main[[#This Row],[Tech Start Date]]&lt;1/1/1990,"",IF(Main[[#This Row],[Class]]="C",WORKDAY(Main[[#This Row],[Tech Start Date]],9),IF(Main[[#This Row],[Class]]="B", WORKDAY(Main[[#This Row],[Tech Start Date]],6),IF(Main[[#This Row],[Class]]="A",WORKDAY(Main[[#This Row],[Tech Start Date]],2),""))))</f>
        <v/>
      </c>
      <c r="N945" s="73" t="str">
        <f>IF(Main[[#This Row],[Tech Start Date]]&lt;1/1/1990,"",IF(Main[[#This Row],[Class]]="C",WORKDAY(Main[[#This Row],[Tech Start Date]],19),IF(Main[[#This Row],[Class]]="B", WORKDAY(Main[[#This Row],[Tech Start Date]],12),IF(Main[[#This Row],[Class]]="A",WORKDAY(Main[[#This Row],[Tech Start Date]],4),""))))</f>
        <v/>
      </c>
      <c r="O945" s="73" t="str">
        <f>IF(Main[[#This Row],[Tech Start Date]]&lt;1/1/1990,"",IF(Main[[#This Row],[Class]]="C",WORKDAY(Main[[#This Row],[Tech Start Date]],23),IF(Main[[#This Row],[Class]]="B", WORKDAY(Main[[#This Row],[Tech Start Date]],15),IF(Main[[#This Row],[Class]]="A",WORKDAY(Main[[#This Row],[Tech Start Date]],5),""))))</f>
        <v/>
      </c>
      <c r="P945" s="73" t="str">
        <f>IF(Main[[#This Row],[Tech Start Date]]&lt;1/1/1990,"",IF(Main[[#This Row],[Class]]="C",WORKDAY(Main[[#This Row],[Tech Start Date]],28),IF(Main[[#This Row],[Class]]="B", WORKDAY(Main[[#This Row],[Tech Start Date]],19),IF(Main[[#This Row],[Class]]="A",WORKDAY(Main[[#This Row],[Tech Start Date]],9),""))))</f>
        <v/>
      </c>
      <c r="Q945" s="85"/>
      <c r="R945" s="112"/>
      <c r="S945" s="95" t="s">
        <v>6</v>
      </c>
      <c r="T945" s="74" t="s">
        <v>4</v>
      </c>
      <c r="U945" s="95" t="s">
        <v>12</v>
      </c>
      <c r="V945" s="95" t="s">
        <v>1911</v>
      </c>
      <c r="W945" s="95" t="s">
        <v>1915</v>
      </c>
      <c r="X945" s="95" t="s">
        <v>922</v>
      </c>
      <c r="Y945" s="72" t="s">
        <v>2960</v>
      </c>
      <c r="Z945" s="72" t="s">
        <v>4</v>
      </c>
      <c r="AA945" s="95" t="s">
        <v>922</v>
      </c>
      <c r="AB945" s="132"/>
      <c r="AC945" s="132"/>
      <c r="AD945" s="132"/>
      <c r="AE945" s="63"/>
      <c r="AF945" s="63"/>
      <c r="AG945" s="63"/>
    </row>
    <row r="946" spans="1:33" ht="17.2" customHeight="1">
      <c r="A946" s="64" t="str">
        <f>IF(priority(Main[[#This Row],[Comments]])&lt;&gt;0, priority(Main[[#This Row],[Comments]]),"")</f>
        <v/>
      </c>
      <c r="B946" s="60" t="s">
        <v>1711</v>
      </c>
      <c r="C946" s="72" t="s">
        <v>4</v>
      </c>
      <c r="D946" s="59" t="s">
        <v>764</v>
      </c>
      <c r="E946" s="85"/>
      <c r="F946" s="85"/>
      <c r="G946" s="64" t="str">
        <f>IF(stdProdLT(Main[[#This Row],[Comments]])=0.1,"N/A",IF(stdProdLT(Main[[#This Row],[Comments]])=0,"",TRIM(stdProdLT(Main[[#This Row],[Comments]]))))</f>
        <v/>
      </c>
      <c r="H946" s="94" t="str">
        <f>IF(OR(Main[[#This Row],[Std. Prod. Lead Time]]="N/A",Main[[#This Row],[Std. Prod. Lead Time]]=""), "",IF(AND(Main[[#This Row],[In Stock Date]]&lt;&gt;"",Main[[#This Row],[Revised Due Date]]&lt;&gt;"",Main[[#This Row],[In Stock Date]]&lt;&gt;""),Main[[#This Row],[In Stock Date]]-Main[[#This Row],[Revised Due Date]],""))</f>
        <v/>
      </c>
      <c r="I946" s="101" t="s">
        <v>399</v>
      </c>
      <c r="J946" s="95" t="s">
        <v>75</v>
      </c>
      <c r="K946" s="95" t="s">
        <v>4</v>
      </c>
      <c r="L946" s="85"/>
      <c r="M946" s="73" t="str">
        <f>IF(Main[[#This Row],[Tech Start Date]]&lt;1/1/1990,"",IF(Main[[#This Row],[Class]]="C",WORKDAY(Main[[#This Row],[Tech Start Date]],9),IF(Main[[#This Row],[Class]]="B", WORKDAY(Main[[#This Row],[Tech Start Date]],6),IF(Main[[#This Row],[Class]]="A",WORKDAY(Main[[#This Row],[Tech Start Date]],2),""))))</f>
        <v/>
      </c>
      <c r="N946" s="73" t="str">
        <f>IF(Main[[#This Row],[Tech Start Date]]&lt;1/1/1990,"",IF(Main[[#This Row],[Class]]="C",WORKDAY(Main[[#This Row],[Tech Start Date]],19),IF(Main[[#This Row],[Class]]="B", WORKDAY(Main[[#This Row],[Tech Start Date]],12),IF(Main[[#This Row],[Class]]="A",WORKDAY(Main[[#This Row],[Tech Start Date]],4),""))))</f>
        <v/>
      </c>
      <c r="O946" s="73" t="str">
        <f>IF(Main[[#This Row],[Tech Start Date]]&lt;1/1/1990,"",IF(Main[[#This Row],[Class]]="C",WORKDAY(Main[[#This Row],[Tech Start Date]],23),IF(Main[[#This Row],[Class]]="B", WORKDAY(Main[[#This Row],[Tech Start Date]],15),IF(Main[[#This Row],[Class]]="A",WORKDAY(Main[[#This Row],[Tech Start Date]],5),""))))</f>
        <v/>
      </c>
      <c r="P946" s="73" t="str">
        <f>IF(Main[[#This Row],[Tech Start Date]]&lt;1/1/1990,"",IF(Main[[#This Row],[Class]]="C",WORKDAY(Main[[#This Row],[Tech Start Date]],28),IF(Main[[#This Row],[Class]]="B", WORKDAY(Main[[#This Row],[Tech Start Date]],19),IF(Main[[#This Row],[Class]]="A",WORKDAY(Main[[#This Row],[Tech Start Date]],9),""))))</f>
        <v/>
      </c>
      <c r="Q946" s="85">
        <v>40401</v>
      </c>
      <c r="R946" s="112"/>
      <c r="S946" s="95" t="s">
        <v>6</v>
      </c>
      <c r="T946" s="74" t="s">
        <v>4</v>
      </c>
      <c r="U946" s="95" t="s">
        <v>14</v>
      </c>
      <c r="V946" s="95" t="s">
        <v>1914</v>
      </c>
      <c r="W946" s="95" t="s">
        <v>1915</v>
      </c>
      <c r="X946" s="95" t="s">
        <v>399</v>
      </c>
      <c r="Y946" s="72" t="s">
        <v>4</v>
      </c>
      <c r="Z946" s="72" t="s">
        <v>306</v>
      </c>
      <c r="AA946" s="95" t="s">
        <v>4</v>
      </c>
      <c r="AB946" s="132">
        <v>40518</v>
      </c>
      <c r="AC946" s="132">
        <v>40522</v>
      </c>
      <c r="AD946" s="132"/>
      <c r="AE946" s="63"/>
      <c r="AF946" s="63"/>
      <c r="AG946" s="63"/>
    </row>
    <row r="947" spans="1:33" ht="17.2" customHeight="1">
      <c r="A947" s="64" t="str">
        <f>IF(priority(Main[[#This Row],[Comments]])&lt;&gt;0, priority(Main[[#This Row],[Comments]]),"")</f>
        <v/>
      </c>
      <c r="B947" s="60" t="s">
        <v>1712</v>
      </c>
      <c r="C947" s="72" t="s">
        <v>4</v>
      </c>
      <c r="D947" s="59" t="s">
        <v>766</v>
      </c>
      <c r="E947" s="85">
        <v>40647.40420138889</v>
      </c>
      <c r="F947" s="85"/>
      <c r="G947" s="64" t="str">
        <f>IF(stdProdLT(Main[[#This Row],[Comments]])=0.1,"N/A",IF(stdProdLT(Main[[#This Row],[Comments]])=0,"",TRIM(stdProdLT(Main[[#This Row],[Comments]]))))</f>
        <v/>
      </c>
      <c r="H947" s="94" t="str">
        <f>IF(OR(Main[[#This Row],[Std. Prod. Lead Time]]="N/A",Main[[#This Row],[Std. Prod. Lead Time]]=""), "",IF(AND(Main[[#This Row],[In Stock Date]]&lt;&gt;"",Main[[#This Row],[Revised Due Date]]&lt;&gt;"",Main[[#This Row],[In Stock Date]]&lt;&gt;""),Main[[#This Row],[In Stock Date]]-Main[[#This Row],[Revised Due Date]],""))</f>
        <v/>
      </c>
      <c r="I947" s="101" t="s">
        <v>4</v>
      </c>
      <c r="J947" s="95" t="s">
        <v>4</v>
      </c>
      <c r="K947" s="95" t="s">
        <v>4</v>
      </c>
      <c r="L947" s="85"/>
      <c r="M947" s="73" t="str">
        <f>IF(Main[[#This Row],[Tech Start Date]]&lt;1/1/1990,"",IF(Main[[#This Row],[Class]]="C",WORKDAY(Main[[#This Row],[Tech Start Date]],9),IF(Main[[#This Row],[Class]]="B", WORKDAY(Main[[#This Row],[Tech Start Date]],6),IF(Main[[#This Row],[Class]]="A",WORKDAY(Main[[#This Row],[Tech Start Date]],2),""))))</f>
        <v/>
      </c>
      <c r="N947" s="73" t="str">
        <f>IF(Main[[#This Row],[Tech Start Date]]&lt;1/1/1990,"",IF(Main[[#This Row],[Class]]="C",WORKDAY(Main[[#This Row],[Tech Start Date]],19),IF(Main[[#This Row],[Class]]="B", WORKDAY(Main[[#This Row],[Tech Start Date]],12),IF(Main[[#This Row],[Class]]="A",WORKDAY(Main[[#This Row],[Tech Start Date]],4),""))))</f>
        <v/>
      </c>
      <c r="O947" s="73" t="str">
        <f>IF(Main[[#This Row],[Tech Start Date]]&lt;1/1/1990,"",IF(Main[[#This Row],[Class]]="C",WORKDAY(Main[[#This Row],[Tech Start Date]],23),IF(Main[[#This Row],[Class]]="B", WORKDAY(Main[[#This Row],[Tech Start Date]],15),IF(Main[[#This Row],[Class]]="A",WORKDAY(Main[[#This Row],[Tech Start Date]],5),""))))</f>
        <v/>
      </c>
      <c r="P947" s="73" t="str">
        <f>IF(Main[[#This Row],[Tech Start Date]]&lt;1/1/1990,"",IF(Main[[#This Row],[Class]]="C",WORKDAY(Main[[#This Row],[Tech Start Date]],28),IF(Main[[#This Row],[Class]]="B", WORKDAY(Main[[#This Row],[Tech Start Date]],19),IF(Main[[#This Row],[Class]]="A",WORKDAY(Main[[#This Row],[Tech Start Date]],9),""))))</f>
        <v/>
      </c>
      <c r="Q947" s="85">
        <v>40676</v>
      </c>
      <c r="R947" s="112"/>
      <c r="S947" s="95" t="s">
        <v>6</v>
      </c>
      <c r="T947" s="74" t="s">
        <v>4</v>
      </c>
      <c r="U947" s="95" t="s">
        <v>7</v>
      </c>
      <c r="V947" s="95" t="s">
        <v>1911</v>
      </c>
      <c r="W947" s="95" t="s">
        <v>4</v>
      </c>
      <c r="X947" s="95" t="s">
        <v>2802</v>
      </c>
      <c r="Y947" s="72" t="s">
        <v>2916</v>
      </c>
      <c r="Z947" s="72" t="s">
        <v>4</v>
      </c>
      <c r="AA947" s="95" t="s">
        <v>2802</v>
      </c>
      <c r="AB947" s="132"/>
      <c r="AC947" s="132"/>
      <c r="AD947" s="132"/>
      <c r="AE947" s="63"/>
      <c r="AF947" s="63"/>
      <c r="AG947" s="63"/>
    </row>
    <row r="948" spans="1:33" ht="17.2" customHeight="1">
      <c r="A948" s="64" t="str">
        <f>IF(priority(Main[[#This Row],[Comments]])&lt;&gt;0, priority(Main[[#This Row],[Comments]]),"")</f>
        <v/>
      </c>
      <c r="B948" s="60" t="s">
        <v>1823</v>
      </c>
      <c r="C948" s="72" t="s">
        <v>47</v>
      </c>
      <c r="D948" s="59" t="s">
        <v>876</v>
      </c>
      <c r="E948" s="85">
        <v>39937.613564814812</v>
      </c>
      <c r="F948" s="85"/>
      <c r="G948" s="64" t="str">
        <f>IF(stdProdLT(Main[[#This Row],[Comments]])=0.1,"N/A",IF(stdProdLT(Main[[#This Row],[Comments]])=0,"",TRIM(stdProdLT(Main[[#This Row],[Comments]]))))</f>
        <v/>
      </c>
      <c r="H948" s="94" t="str">
        <f>IF(OR(Main[[#This Row],[Std. Prod. Lead Time]]="N/A",Main[[#This Row],[Std. Prod. Lead Time]]=""), "",IF(AND(Main[[#This Row],[In Stock Date]]&lt;&gt;"",Main[[#This Row],[Revised Due Date]]&lt;&gt;"",Main[[#This Row],[In Stock Date]]&lt;&gt;""),Main[[#This Row],[In Stock Date]]-Main[[#This Row],[Revised Due Date]],""))</f>
        <v/>
      </c>
      <c r="I948" s="101" t="s">
        <v>877</v>
      </c>
      <c r="J948" s="95" t="s">
        <v>4</v>
      </c>
      <c r="K948" s="95" t="s">
        <v>1923</v>
      </c>
      <c r="L948" s="85"/>
      <c r="M948" s="73" t="str">
        <f>IF(Main[[#This Row],[Tech Start Date]]&lt;1/1/1990,"",IF(Main[[#This Row],[Class]]="C",WORKDAY(Main[[#This Row],[Tech Start Date]],9),IF(Main[[#This Row],[Class]]="B", WORKDAY(Main[[#This Row],[Tech Start Date]],6),IF(Main[[#This Row],[Class]]="A",WORKDAY(Main[[#This Row],[Tech Start Date]],2),""))))</f>
        <v/>
      </c>
      <c r="N948" s="73" t="str">
        <f>IF(Main[[#This Row],[Tech Start Date]]&lt;1/1/1990,"",IF(Main[[#This Row],[Class]]="C",WORKDAY(Main[[#This Row],[Tech Start Date]],19),IF(Main[[#This Row],[Class]]="B", WORKDAY(Main[[#This Row],[Tech Start Date]],12),IF(Main[[#This Row],[Class]]="A",WORKDAY(Main[[#This Row],[Tech Start Date]],4),""))))</f>
        <v/>
      </c>
      <c r="O948" s="73" t="str">
        <f>IF(Main[[#This Row],[Tech Start Date]]&lt;1/1/1990,"",IF(Main[[#This Row],[Class]]="C",WORKDAY(Main[[#This Row],[Tech Start Date]],23),IF(Main[[#This Row],[Class]]="B", WORKDAY(Main[[#This Row],[Tech Start Date]],15),IF(Main[[#This Row],[Class]]="A",WORKDAY(Main[[#This Row],[Tech Start Date]],5),""))))</f>
        <v/>
      </c>
      <c r="P948" s="73" t="str">
        <f>IF(Main[[#This Row],[Tech Start Date]]&lt;1/1/1990,"",IF(Main[[#This Row],[Class]]="C",WORKDAY(Main[[#This Row],[Tech Start Date]],28),IF(Main[[#This Row],[Class]]="B", WORKDAY(Main[[#This Row],[Tech Start Date]],19),IF(Main[[#This Row],[Class]]="A",WORKDAY(Main[[#This Row],[Tech Start Date]],9),""))))</f>
        <v/>
      </c>
      <c r="Q948" s="85">
        <v>40267</v>
      </c>
      <c r="R948" s="112">
        <v>40359</v>
      </c>
      <c r="S948" s="95" t="s">
        <v>17</v>
      </c>
      <c r="T948" s="74" t="s">
        <v>4</v>
      </c>
      <c r="U948" s="95" t="s">
        <v>29</v>
      </c>
      <c r="V948" s="95" t="s">
        <v>1911</v>
      </c>
      <c r="W948" s="95" t="s">
        <v>1915</v>
      </c>
      <c r="X948" s="95" t="s">
        <v>306</v>
      </c>
      <c r="Y948" s="72" t="s">
        <v>2919</v>
      </c>
      <c r="Z948" s="72" t="s">
        <v>4</v>
      </c>
      <c r="AA948" s="95" t="s">
        <v>3337</v>
      </c>
      <c r="AB948" s="132"/>
      <c r="AC948" s="132"/>
      <c r="AD948" s="132"/>
      <c r="AE948" s="63"/>
      <c r="AF948" s="63"/>
      <c r="AG948" s="63"/>
    </row>
    <row r="949" spans="1:33" ht="17.2" customHeight="1">
      <c r="A949" s="64" t="str">
        <f>IF(priority(Main[[#This Row],[Comments]])&lt;&gt;0, priority(Main[[#This Row],[Comments]]),"")</f>
        <v/>
      </c>
      <c r="B949" s="60" t="s">
        <v>1713</v>
      </c>
      <c r="C949" s="72" t="s">
        <v>4</v>
      </c>
      <c r="D949" s="59" t="s">
        <v>509</v>
      </c>
      <c r="E949" s="85"/>
      <c r="F949" s="85"/>
      <c r="G949" s="64" t="str">
        <f>IF(stdProdLT(Main[[#This Row],[Comments]])=0.1,"N/A",IF(stdProdLT(Main[[#This Row],[Comments]])=0,"",TRIM(stdProdLT(Main[[#This Row],[Comments]]))))</f>
        <v/>
      </c>
      <c r="H949" s="94" t="str">
        <f>IF(OR(Main[[#This Row],[Std. Prod. Lead Time]]="N/A",Main[[#This Row],[Std. Prod. Lead Time]]=""), "",IF(AND(Main[[#This Row],[In Stock Date]]&lt;&gt;"",Main[[#This Row],[Revised Due Date]]&lt;&gt;"",Main[[#This Row],[In Stock Date]]&lt;&gt;""),Main[[#This Row],[In Stock Date]]-Main[[#This Row],[Revised Due Date]],""))</f>
        <v/>
      </c>
      <c r="I949" s="101" t="s">
        <v>4</v>
      </c>
      <c r="J949" s="95" t="s">
        <v>4</v>
      </c>
      <c r="K949" s="95" t="s">
        <v>4</v>
      </c>
      <c r="L949" s="85"/>
      <c r="M949" s="73" t="str">
        <f>IF(Main[[#This Row],[Tech Start Date]]&lt;1/1/1990,"",IF(Main[[#This Row],[Class]]="C",WORKDAY(Main[[#This Row],[Tech Start Date]],9),IF(Main[[#This Row],[Class]]="B", WORKDAY(Main[[#This Row],[Tech Start Date]],6),IF(Main[[#This Row],[Class]]="A",WORKDAY(Main[[#This Row],[Tech Start Date]],2),""))))</f>
        <v/>
      </c>
      <c r="N949" s="73" t="str">
        <f>IF(Main[[#This Row],[Tech Start Date]]&lt;1/1/1990,"",IF(Main[[#This Row],[Class]]="C",WORKDAY(Main[[#This Row],[Tech Start Date]],19),IF(Main[[#This Row],[Class]]="B", WORKDAY(Main[[#This Row],[Tech Start Date]],12),IF(Main[[#This Row],[Class]]="A",WORKDAY(Main[[#This Row],[Tech Start Date]],4),""))))</f>
        <v/>
      </c>
      <c r="O949" s="73" t="str">
        <f>IF(Main[[#This Row],[Tech Start Date]]&lt;1/1/1990,"",IF(Main[[#This Row],[Class]]="C",WORKDAY(Main[[#This Row],[Tech Start Date]],23),IF(Main[[#This Row],[Class]]="B", WORKDAY(Main[[#This Row],[Tech Start Date]],15),IF(Main[[#This Row],[Class]]="A",WORKDAY(Main[[#This Row],[Tech Start Date]],5),""))))</f>
        <v/>
      </c>
      <c r="P949" s="73" t="str">
        <f>IF(Main[[#This Row],[Tech Start Date]]&lt;1/1/1990,"",IF(Main[[#This Row],[Class]]="C",WORKDAY(Main[[#This Row],[Tech Start Date]],28),IF(Main[[#This Row],[Class]]="B", WORKDAY(Main[[#This Row],[Tech Start Date]],19),IF(Main[[#This Row],[Class]]="A",WORKDAY(Main[[#This Row],[Tech Start Date]],9),""))))</f>
        <v/>
      </c>
      <c r="Q949" s="85"/>
      <c r="R949" s="112"/>
      <c r="S949" s="95" t="s">
        <v>4</v>
      </c>
      <c r="T949" s="74" t="s">
        <v>4</v>
      </c>
      <c r="U949" s="95" t="s">
        <v>14</v>
      </c>
      <c r="V949" s="95" t="s">
        <v>1914</v>
      </c>
      <c r="W949" s="95" t="s">
        <v>4</v>
      </c>
      <c r="X949" s="95" t="s">
        <v>2858</v>
      </c>
      <c r="Y949" s="72" t="s">
        <v>3004</v>
      </c>
      <c r="Z949" s="72" t="s">
        <v>4</v>
      </c>
      <c r="AA949" s="95" t="s">
        <v>2858</v>
      </c>
      <c r="AB949" s="132"/>
      <c r="AC949" s="132"/>
      <c r="AD949" s="132"/>
      <c r="AE949" s="63"/>
      <c r="AF949" s="63"/>
      <c r="AG949" s="63"/>
    </row>
    <row r="950" spans="1:33" ht="17.2" customHeight="1">
      <c r="A950" s="64" t="str">
        <f>IF(priority(Main[[#This Row],[Comments]])&lt;&gt;0, priority(Main[[#This Row],[Comments]]),"")</f>
        <v/>
      </c>
      <c r="B950" s="60" t="s">
        <v>1714</v>
      </c>
      <c r="C950" s="72" t="s">
        <v>277</v>
      </c>
      <c r="D950" s="59" t="s">
        <v>770</v>
      </c>
      <c r="E950" s="85"/>
      <c r="F950" s="85">
        <v>40602</v>
      </c>
      <c r="G950" s="64" t="str">
        <f>IF(stdProdLT(Main[[#This Row],[Comments]])=0.1,"N/A",IF(stdProdLT(Main[[#This Row],[Comments]])=0,"",TRIM(stdProdLT(Main[[#This Row],[Comments]]))))</f>
        <v/>
      </c>
      <c r="H950" s="94" t="str">
        <f>IF(OR(Main[[#This Row],[Std. Prod. Lead Time]]="N/A",Main[[#This Row],[Std. Prod. Lead Time]]=""), "",IF(AND(Main[[#This Row],[In Stock Date]]&lt;&gt;"",Main[[#This Row],[Revised Due Date]]&lt;&gt;"",Main[[#This Row],[In Stock Date]]&lt;&gt;""),Main[[#This Row],[In Stock Date]]-Main[[#This Row],[Revised Due Date]],""))</f>
        <v/>
      </c>
      <c r="I950" s="101" t="s">
        <v>4</v>
      </c>
      <c r="J950" s="95" t="s">
        <v>4</v>
      </c>
      <c r="K950" s="95" t="s">
        <v>4</v>
      </c>
      <c r="L950" s="85"/>
      <c r="M950" s="73" t="str">
        <f>IF(Main[[#This Row],[Tech Start Date]]&lt;1/1/1990,"",IF(Main[[#This Row],[Class]]="C",WORKDAY(Main[[#This Row],[Tech Start Date]],9),IF(Main[[#This Row],[Class]]="B", WORKDAY(Main[[#This Row],[Tech Start Date]],6),IF(Main[[#This Row],[Class]]="A",WORKDAY(Main[[#This Row],[Tech Start Date]],2),""))))</f>
        <v/>
      </c>
      <c r="N950" s="73" t="str">
        <f>IF(Main[[#This Row],[Tech Start Date]]&lt;1/1/1990,"",IF(Main[[#This Row],[Class]]="C",WORKDAY(Main[[#This Row],[Tech Start Date]],19),IF(Main[[#This Row],[Class]]="B", WORKDAY(Main[[#This Row],[Tech Start Date]],12),IF(Main[[#This Row],[Class]]="A",WORKDAY(Main[[#This Row],[Tech Start Date]],4),""))))</f>
        <v/>
      </c>
      <c r="O950" s="73" t="str">
        <f>IF(Main[[#This Row],[Tech Start Date]]&lt;1/1/1990,"",IF(Main[[#This Row],[Class]]="C",WORKDAY(Main[[#This Row],[Tech Start Date]],23),IF(Main[[#This Row],[Class]]="B", WORKDAY(Main[[#This Row],[Tech Start Date]],15),IF(Main[[#This Row],[Class]]="A",WORKDAY(Main[[#This Row],[Tech Start Date]],5),""))))</f>
        <v/>
      </c>
      <c r="P950" s="73" t="str">
        <f>IF(Main[[#This Row],[Tech Start Date]]&lt;1/1/1990,"",IF(Main[[#This Row],[Class]]="C",WORKDAY(Main[[#This Row],[Tech Start Date]],28),IF(Main[[#This Row],[Class]]="B", WORKDAY(Main[[#This Row],[Tech Start Date]],19),IF(Main[[#This Row],[Class]]="A",WORKDAY(Main[[#This Row],[Tech Start Date]],9),""))))</f>
        <v/>
      </c>
      <c r="Q950" s="85">
        <v>40602</v>
      </c>
      <c r="R950" s="112"/>
      <c r="S950" s="95" t="s">
        <v>11</v>
      </c>
      <c r="T950" s="74" t="s">
        <v>4</v>
      </c>
      <c r="U950" s="95" t="s">
        <v>12</v>
      </c>
      <c r="V950" s="95" t="s">
        <v>1912</v>
      </c>
      <c r="W950" s="95" t="s">
        <v>1916</v>
      </c>
      <c r="X950" s="95" t="s">
        <v>2840</v>
      </c>
      <c r="Y950" s="72" t="s">
        <v>4</v>
      </c>
      <c r="Z950" s="72" t="s">
        <v>4</v>
      </c>
      <c r="AA950" s="95" t="s">
        <v>2840</v>
      </c>
      <c r="AB950" s="132"/>
      <c r="AC950" s="132"/>
      <c r="AD950" s="132"/>
      <c r="AE950" s="63"/>
      <c r="AF950" s="63"/>
      <c r="AG950" s="63"/>
    </row>
    <row r="951" spans="1:33" ht="17.2" customHeight="1">
      <c r="A951" s="64" t="str">
        <f>IF(priority(Main[[#This Row],[Comments]])&lt;&gt;0, priority(Main[[#This Row],[Comments]]),"")</f>
        <v/>
      </c>
      <c r="B951" s="60" t="s">
        <v>1715</v>
      </c>
      <c r="C951" s="72" t="s">
        <v>277</v>
      </c>
      <c r="D951" s="59" t="s">
        <v>771</v>
      </c>
      <c r="E951" s="85"/>
      <c r="F951" s="85">
        <v>40602</v>
      </c>
      <c r="G951" s="64" t="str">
        <f>IF(stdProdLT(Main[[#This Row],[Comments]])=0.1,"N/A",IF(stdProdLT(Main[[#This Row],[Comments]])=0,"",TRIM(stdProdLT(Main[[#This Row],[Comments]]))))</f>
        <v/>
      </c>
      <c r="H951" s="94" t="str">
        <f>IF(OR(Main[[#This Row],[Std. Prod. Lead Time]]="N/A",Main[[#This Row],[Std. Prod. Lead Time]]=""), "",IF(AND(Main[[#This Row],[In Stock Date]]&lt;&gt;"",Main[[#This Row],[Revised Due Date]]&lt;&gt;"",Main[[#This Row],[In Stock Date]]&lt;&gt;""),Main[[#This Row],[In Stock Date]]-Main[[#This Row],[Revised Due Date]],""))</f>
        <v/>
      </c>
      <c r="I951" s="101" t="s">
        <v>4</v>
      </c>
      <c r="J951" s="95" t="s">
        <v>4</v>
      </c>
      <c r="K951" s="95" t="s">
        <v>4</v>
      </c>
      <c r="L951" s="85"/>
      <c r="M951" s="73" t="str">
        <f>IF(Main[[#This Row],[Tech Start Date]]&lt;1/1/1990,"",IF(Main[[#This Row],[Class]]="C",WORKDAY(Main[[#This Row],[Tech Start Date]],9),IF(Main[[#This Row],[Class]]="B", WORKDAY(Main[[#This Row],[Tech Start Date]],6),IF(Main[[#This Row],[Class]]="A",WORKDAY(Main[[#This Row],[Tech Start Date]],2),""))))</f>
        <v/>
      </c>
      <c r="N951" s="73" t="str">
        <f>IF(Main[[#This Row],[Tech Start Date]]&lt;1/1/1990,"",IF(Main[[#This Row],[Class]]="C",WORKDAY(Main[[#This Row],[Tech Start Date]],19),IF(Main[[#This Row],[Class]]="B", WORKDAY(Main[[#This Row],[Tech Start Date]],12),IF(Main[[#This Row],[Class]]="A",WORKDAY(Main[[#This Row],[Tech Start Date]],4),""))))</f>
        <v/>
      </c>
      <c r="O951" s="73" t="str">
        <f>IF(Main[[#This Row],[Tech Start Date]]&lt;1/1/1990,"",IF(Main[[#This Row],[Class]]="C",WORKDAY(Main[[#This Row],[Tech Start Date]],23),IF(Main[[#This Row],[Class]]="B", WORKDAY(Main[[#This Row],[Tech Start Date]],15),IF(Main[[#This Row],[Class]]="A",WORKDAY(Main[[#This Row],[Tech Start Date]],5),""))))</f>
        <v/>
      </c>
      <c r="P951" s="73" t="str">
        <f>IF(Main[[#This Row],[Tech Start Date]]&lt;1/1/1990,"",IF(Main[[#This Row],[Class]]="C",WORKDAY(Main[[#This Row],[Tech Start Date]],28),IF(Main[[#This Row],[Class]]="B", WORKDAY(Main[[#This Row],[Tech Start Date]],19),IF(Main[[#This Row],[Class]]="A",WORKDAY(Main[[#This Row],[Tech Start Date]],9),""))))</f>
        <v/>
      </c>
      <c r="Q951" s="85">
        <v>40602</v>
      </c>
      <c r="R951" s="112"/>
      <c r="S951" s="95" t="s">
        <v>11</v>
      </c>
      <c r="T951" s="74" t="s">
        <v>4</v>
      </c>
      <c r="U951" s="95" t="s">
        <v>12</v>
      </c>
      <c r="V951" s="95" t="s">
        <v>1914</v>
      </c>
      <c r="W951" s="95" t="s">
        <v>1916</v>
      </c>
      <c r="X951" s="95" t="s">
        <v>2840</v>
      </c>
      <c r="Y951" s="72" t="s">
        <v>4</v>
      </c>
      <c r="Z951" s="72" t="s">
        <v>4</v>
      </c>
      <c r="AA951" s="95" t="s">
        <v>2840</v>
      </c>
      <c r="AB951" s="132"/>
      <c r="AC951" s="132"/>
      <c r="AD951" s="132"/>
      <c r="AE951" s="63"/>
      <c r="AF951" s="63"/>
      <c r="AG951" s="63"/>
    </row>
    <row r="952" spans="1:33" ht="17.2" customHeight="1">
      <c r="A952" s="64" t="str">
        <f>IF(priority(Main[[#This Row],[Comments]])&lt;&gt;0, priority(Main[[#This Row],[Comments]]),"")</f>
        <v/>
      </c>
      <c r="B952" s="60" t="s">
        <v>3559</v>
      </c>
      <c r="C952" s="72" t="s">
        <v>95</v>
      </c>
      <c r="D952" s="59" t="s">
        <v>3560</v>
      </c>
      <c r="E952" s="85">
        <v>40959.540810185186</v>
      </c>
      <c r="F952" s="85"/>
      <c r="G952" s="64" t="str">
        <f>IF(stdProdLT(Main[[#This Row],[Comments]])=0.1,"N/A",IF(stdProdLT(Main[[#This Row],[Comments]])=0,"",TRIM(stdProdLT(Main[[#This Row],[Comments]]))))</f>
        <v/>
      </c>
      <c r="H952" s="94" t="str">
        <f>IF(OR(Main[[#This Row],[Std. Prod. Lead Time]]="N/A",Main[[#This Row],[Std. Prod. Lead Time]]=""), "",IF(AND(Main[[#This Row],[In Stock Date]]&lt;&gt;"",Main[[#This Row],[Revised Due Date]]&lt;&gt;"",Main[[#This Row],[In Stock Date]]&lt;&gt;""),Main[[#This Row],[In Stock Date]]-Main[[#This Row],[Revised Due Date]],""))</f>
        <v/>
      </c>
      <c r="I952" s="101" t="s">
        <v>4</v>
      </c>
      <c r="J952" s="95" t="s">
        <v>4</v>
      </c>
      <c r="K952" s="95" t="s">
        <v>4</v>
      </c>
      <c r="L952" s="85"/>
      <c r="M952" s="73" t="str">
        <f>IF(Main[[#This Row],[Tech Start Date]]&lt;1/1/1990,"",IF(Main[[#This Row],[Class]]="C",WORKDAY(Main[[#This Row],[Tech Start Date]],9),IF(Main[[#This Row],[Class]]="B", WORKDAY(Main[[#This Row],[Tech Start Date]],6),IF(Main[[#This Row],[Class]]="A",WORKDAY(Main[[#This Row],[Tech Start Date]],2),""))))</f>
        <v/>
      </c>
      <c r="N952" s="73" t="str">
        <f>IF(Main[[#This Row],[Tech Start Date]]&lt;1/1/1990,"",IF(Main[[#This Row],[Class]]="C",WORKDAY(Main[[#This Row],[Tech Start Date]],19),IF(Main[[#This Row],[Class]]="B", WORKDAY(Main[[#This Row],[Tech Start Date]],12),IF(Main[[#This Row],[Class]]="A",WORKDAY(Main[[#This Row],[Tech Start Date]],4),""))))</f>
        <v/>
      </c>
      <c r="O952" s="73" t="str">
        <f>IF(Main[[#This Row],[Tech Start Date]]&lt;1/1/1990,"",IF(Main[[#This Row],[Class]]="C",WORKDAY(Main[[#This Row],[Tech Start Date]],23),IF(Main[[#This Row],[Class]]="B", WORKDAY(Main[[#This Row],[Tech Start Date]],15),IF(Main[[#This Row],[Class]]="A",WORKDAY(Main[[#This Row],[Tech Start Date]],5),""))))</f>
        <v/>
      </c>
      <c r="P952" s="73" t="str">
        <f>IF(Main[[#This Row],[Tech Start Date]]&lt;1/1/1990,"",IF(Main[[#This Row],[Class]]="C",WORKDAY(Main[[#This Row],[Tech Start Date]],28),IF(Main[[#This Row],[Class]]="B", WORKDAY(Main[[#This Row],[Tech Start Date]],19),IF(Main[[#This Row],[Class]]="A",WORKDAY(Main[[#This Row],[Tech Start Date]],9),""))))</f>
        <v/>
      </c>
      <c r="Q952" s="85">
        <v>40999</v>
      </c>
      <c r="R952" s="112"/>
      <c r="S952" s="95" t="s">
        <v>17</v>
      </c>
      <c r="T952" s="74" t="s">
        <v>4</v>
      </c>
      <c r="U952" s="95" t="s">
        <v>7</v>
      </c>
      <c r="V952" s="95" t="s">
        <v>1911</v>
      </c>
      <c r="W952" s="95" t="s">
        <v>1913</v>
      </c>
      <c r="X952" s="95" t="s">
        <v>2832</v>
      </c>
      <c r="Y952" s="72" t="s">
        <v>2968</v>
      </c>
      <c r="Z952" s="72" t="s">
        <v>4</v>
      </c>
      <c r="AA952" s="95" t="s">
        <v>2832</v>
      </c>
      <c r="AB952" s="132"/>
      <c r="AC952" s="132"/>
      <c r="AD952" s="132"/>
      <c r="AE952" s="63"/>
      <c r="AF952" s="63"/>
      <c r="AG952" s="63"/>
    </row>
    <row r="953" spans="1:33" ht="17.2" customHeight="1">
      <c r="A953" s="64" t="str">
        <f>IF(priority(Main[[#This Row],[Comments]])&lt;&gt;0, priority(Main[[#This Row],[Comments]]),"")</f>
        <v/>
      </c>
      <c r="B953" s="60" t="s">
        <v>1859</v>
      </c>
      <c r="C953" s="72" t="s">
        <v>31</v>
      </c>
      <c r="D953" s="59" t="s">
        <v>919</v>
      </c>
      <c r="E953" s="85"/>
      <c r="F953" s="85">
        <v>40664</v>
      </c>
      <c r="G953" s="64" t="str">
        <f>IF(stdProdLT(Main[[#This Row],[Comments]])=0.1,"N/A",IF(stdProdLT(Main[[#This Row],[Comments]])=0,"",TRIM(stdProdLT(Main[[#This Row],[Comments]]))))</f>
        <v/>
      </c>
      <c r="H953" s="94" t="str">
        <f>IF(OR(Main[[#This Row],[Std. Prod. Lead Time]]="N/A",Main[[#This Row],[Std. Prod. Lead Time]]=""), "",IF(AND(Main[[#This Row],[In Stock Date]]&lt;&gt;"",Main[[#This Row],[Revised Due Date]]&lt;&gt;"",Main[[#This Row],[In Stock Date]]&lt;&gt;""),Main[[#This Row],[In Stock Date]]-Main[[#This Row],[Revised Due Date]],""))</f>
        <v/>
      </c>
      <c r="I953" s="101" t="s">
        <v>102</v>
      </c>
      <c r="J953" s="95" t="s">
        <v>75</v>
      </c>
      <c r="K953" s="95" t="s">
        <v>1920</v>
      </c>
      <c r="L953" s="85"/>
      <c r="M953" s="73" t="str">
        <f>IF(Main[[#This Row],[Tech Start Date]]&lt;1/1/1990,"",IF(Main[[#This Row],[Class]]="C",WORKDAY(Main[[#This Row],[Tech Start Date]],9),IF(Main[[#This Row],[Class]]="B", WORKDAY(Main[[#This Row],[Tech Start Date]],6),IF(Main[[#This Row],[Class]]="A",WORKDAY(Main[[#This Row],[Tech Start Date]],2),""))))</f>
        <v/>
      </c>
      <c r="N953" s="73" t="str">
        <f>IF(Main[[#This Row],[Tech Start Date]]&lt;1/1/1990,"",IF(Main[[#This Row],[Class]]="C",WORKDAY(Main[[#This Row],[Tech Start Date]],19),IF(Main[[#This Row],[Class]]="B", WORKDAY(Main[[#This Row],[Tech Start Date]],12),IF(Main[[#This Row],[Class]]="A",WORKDAY(Main[[#This Row],[Tech Start Date]],4),""))))</f>
        <v/>
      </c>
      <c r="O953" s="73" t="str">
        <f>IF(Main[[#This Row],[Tech Start Date]]&lt;1/1/1990,"",IF(Main[[#This Row],[Class]]="C",WORKDAY(Main[[#This Row],[Tech Start Date]],23),IF(Main[[#This Row],[Class]]="B", WORKDAY(Main[[#This Row],[Tech Start Date]],15),IF(Main[[#This Row],[Class]]="A",WORKDAY(Main[[#This Row],[Tech Start Date]],5),""))))</f>
        <v/>
      </c>
      <c r="P953" s="73" t="str">
        <f>IF(Main[[#This Row],[Tech Start Date]]&lt;1/1/1990,"",IF(Main[[#This Row],[Class]]="C",WORKDAY(Main[[#This Row],[Tech Start Date]],28),IF(Main[[#This Row],[Class]]="B", WORKDAY(Main[[#This Row],[Tech Start Date]],19),IF(Main[[#This Row],[Class]]="A",WORKDAY(Main[[#This Row],[Tech Start Date]],9),""))))</f>
        <v/>
      </c>
      <c r="Q953" s="85">
        <v>40589</v>
      </c>
      <c r="R953" s="112">
        <v>40577</v>
      </c>
      <c r="S953" s="95" t="s">
        <v>11</v>
      </c>
      <c r="T953" s="74" t="s">
        <v>4</v>
      </c>
      <c r="U953" s="95" t="s">
        <v>14</v>
      </c>
      <c r="V953" s="95" t="s">
        <v>1914</v>
      </c>
      <c r="W953" s="95" t="s">
        <v>1917</v>
      </c>
      <c r="X953" s="95" t="s">
        <v>2805</v>
      </c>
      <c r="Y953" s="72" t="s">
        <v>2945</v>
      </c>
      <c r="Z953" s="72" t="s">
        <v>530</v>
      </c>
      <c r="AA953" s="95" t="s">
        <v>2805</v>
      </c>
      <c r="AB953" s="132">
        <v>40571</v>
      </c>
      <c r="AC953" s="132">
        <v>40578</v>
      </c>
      <c r="AD953" s="132"/>
      <c r="AE953" s="63"/>
      <c r="AF953" s="63"/>
      <c r="AG953" s="63"/>
    </row>
    <row r="954" spans="1:33" ht="17.2" customHeight="1">
      <c r="A954" s="64" t="str">
        <f>IF(priority(Main[[#This Row],[Comments]])&lt;&gt;0, priority(Main[[#This Row],[Comments]]),"")</f>
        <v/>
      </c>
      <c r="B954" s="60" t="s">
        <v>1719</v>
      </c>
      <c r="C954" s="72" t="s">
        <v>4</v>
      </c>
      <c r="D954" s="59" t="s">
        <v>776</v>
      </c>
      <c r="E954" s="85"/>
      <c r="F954" s="85">
        <v>40025</v>
      </c>
      <c r="G954" s="64" t="str">
        <f>IF(stdProdLT(Main[[#This Row],[Comments]])=0.1,"N/A",IF(stdProdLT(Main[[#This Row],[Comments]])=0,"",TRIM(stdProdLT(Main[[#This Row],[Comments]]))))</f>
        <v/>
      </c>
      <c r="H954" s="94" t="str">
        <f>IF(OR(Main[[#This Row],[Std. Prod. Lead Time]]="N/A",Main[[#This Row],[Std. Prod. Lead Time]]=""), "",IF(AND(Main[[#This Row],[In Stock Date]]&lt;&gt;"",Main[[#This Row],[Revised Due Date]]&lt;&gt;"",Main[[#This Row],[In Stock Date]]&lt;&gt;""),Main[[#This Row],[In Stock Date]]-Main[[#This Row],[Revised Due Date]],""))</f>
        <v/>
      </c>
      <c r="I954" s="101" t="s">
        <v>4</v>
      </c>
      <c r="J954" s="95" t="s">
        <v>4</v>
      </c>
      <c r="K954" s="96" t="s">
        <v>4</v>
      </c>
      <c r="L954" s="85"/>
      <c r="M954" s="73" t="str">
        <f>IF(Main[[#This Row],[Tech Start Date]]&lt;1/1/1990,"",IF(Main[[#This Row],[Class]]="C",WORKDAY(Main[[#This Row],[Tech Start Date]],9),IF(Main[[#This Row],[Class]]="B", WORKDAY(Main[[#This Row],[Tech Start Date]],6),IF(Main[[#This Row],[Class]]="A",WORKDAY(Main[[#This Row],[Tech Start Date]],2),""))))</f>
        <v/>
      </c>
      <c r="N954" s="73" t="str">
        <f>IF(Main[[#This Row],[Tech Start Date]]&lt;1/1/1990,"",IF(Main[[#This Row],[Class]]="C",WORKDAY(Main[[#This Row],[Tech Start Date]],19),IF(Main[[#This Row],[Class]]="B", WORKDAY(Main[[#This Row],[Tech Start Date]],12),IF(Main[[#This Row],[Class]]="A",WORKDAY(Main[[#This Row],[Tech Start Date]],4),""))))</f>
        <v/>
      </c>
      <c r="O954" s="73" t="str">
        <f>IF(Main[[#This Row],[Tech Start Date]]&lt;1/1/1990,"",IF(Main[[#This Row],[Class]]="C",WORKDAY(Main[[#This Row],[Tech Start Date]],23),IF(Main[[#This Row],[Class]]="B", WORKDAY(Main[[#This Row],[Tech Start Date]],15),IF(Main[[#This Row],[Class]]="A",WORKDAY(Main[[#This Row],[Tech Start Date]],5),""))))</f>
        <v/>
      </c>
      <c r="P954" s="73" t="str">
        <f>IF(Main[[#This Row],[Tech Start Date]]&lt;1/1/1990,"",IF(Main[[#This Row],[Class]]="C",WORKDAY(Main[[#This Row],[Tech Start Date]],28),IF(Main[[#This Row],[Class]]="B", WORKDAY(Main[[#This Row],[Tech Start Date]],19),IF(Main[[#This Row],[Class]]="A",WORKDAY(Main[[#This Row],[Tech Start Date]],9),""))))</f>
        <v/>
      </c>
      <c r="Q954" s="85">
        <v>39963</v>
      </c>
      <c r="R954" s="112"/>
      <c r="S954" s="95" t="s">
        <v>11</v>
      </c>
      <c r="T954" s="74" t="s">
        <v>4</v>
      </c>
      <c r="U954" s="95" t="s">
        <v>14</v>
      </c>
      <c r="V954" s="95" t="s">
        <v>1921</v>
      </c>
      <c r="W954" s="95" t="s">
        <v>1919</v>
      </c>
      <c r="X954" s="95" t="s">
        <v>2843</v>
      </c>
      <c r="Y954" s="72" t="s">
        <v>3047</v>
      </c>
      <c r="Z954" s="72" t="s">
        <v>4</v>
      </c>
      <c r="AA954" s="95" t="s">
        <v>2843</v>
      </c>
      <c r="AB954" s="132"/>
      <c r="AC954" s="132"/>
      <c r="AD954" s="132"/>
      <c r="AE954" s="63"/>
      <c r="AF954" s="63"/>
      <c r="AG954" s="63"/>
    </row>
    <row r="955" spans="1:33" ht="17.2" customHeight="1">
      <c r="A955" s="12" t="str">
        <f>IF(priority(Main[[#This Row],[Comments]])&lt;&gt;0, priority(Main[[#This Row],[Comments]]),"")</f>
        <v/>
      </c>
      <c r="B955" s="60" t="s">
        <v>1720</v>
      </c>
      <c r="C955" s="75" t="s">
        <v>4</v>
      </c>
      <c r="D955" s="110" t="s">
        <v>777</v>
      </c>
      <c r="E955" s="86">
        <v>40506.439513888887</v>
      </c>
      <c r="F955" s="86"/>
      <c r="G955" s="12" t="str">
        <f>IF(stdProdLT(Main[[#This Row],[Comments]])=0.1,"N/A",IF(stdProdLT(Main[[#This Row],[Comments]])=0,"",TRIM(stdProdLT(Main[[#This Row],[Comments]]))))</f>
        <v/>
      </c>
      <c r="H955" s="97" t="str">
        <f>IF(OR(Main[[#This Row],[Std. Prod. Lead Time]]="N/A",Main[[#This Row],[Std. Prod. Lead Time]]=""), "",IF(AND(Main[[#This Row],[In Stock Date]]&lt;&gt;"",Main[[#This Row],[Revised Due Date]]&lt;&gt;"",Main[[#This Row],[In Stock Date]]&lt;&gt;""),Main[[#This Row],[In Stock Date]]-Main[[#This Row],[Revised Due Date]],""))</f>
        <v/>
      </c>
      <c r="I955" s="102" t="s">
        <v>4</v>
      </c>
      <c r="J955" s="12" t="s">
        <v>28</v>
      </c>
      <c r="K955" s="12" t="s">
        <v>1918</v>
      </c>
      <c r="L955" s="86"/>
      <c r="M955" s="73" t="str">
        <f>IF(Main[[#This Row],[Tech Start Date]]&lt;1/1/1990,"",IF(Main[[#This Row],[Class]]="C",WORKDAY(Main[[#This Row],[Tech Start Date]],9),IF(Main[[#This Row],[Class]]="B", WORKDAY(Main[[#This Row],[Tech Start Date]],6),IF(Main[[#This Row],[Class]]="A",WORKDAY(Main[[#This Row],[Tech Start Date]],2),""))))</f>
        <v/>
      </c>
      <c r="N955" s="73" t="str">
        <f>IF(Main[[#This Row],[Tech Start Date]]&lt;1/1/1990,"",IF(Main[[#This Row],[Class]]="C",WORKDAY(Main[[#This Row],[Tech Start Date]],19),IF(Main[[#This Row],[Class]]="B", WORKDAY(Main[[#This Row],[Tech Start Date]],12),IF(Main[[#This Row],[Class]]="A",WORKDAY(Main[[#This Row],[Tech Start Date]],4),""))))</f>
        <v/>
      </c>
      <c r="O955" s="73" t="str">
        <f>IF(Main[[#This Row],[Tech Start Date]]&lt;1/1/1990,"",IF(Main[[#This Row],[Class]]="C",WORKDAY(Main[[#This Row],[Tech Start Date]],23),IF(Main[[#This Row],[Class]]="B", WORKDAY(Main[[#This Row],[Tech Start Date]],15),IF(Main[[#This Row],[Class]]="A",WORKDAY(Main[[#This Row],[Tech Start Date]],5),""))))</f>
        <v/>
      </c>
      <c r="P955" s="73" t="str">
        <f>IF(Main[[#This Row],[Tech Start Date]]&lt;1/1/1990,"",IF(Main[[#This Row],[Class]]="C",WORKDAY(Main[[#This Row],[Tech Start Date]],28),IF(Main[[#This Row],[Class]]="B", WORKDAY(Main[[#This Row],[Tech Start Date]],19),IF(Main[[#This Row],[Class]]="A",WORKDAY(Main[[#This Row],[Tech Start Date]],9),""))))</f>
        <v/>
      </c>
      <c r="Q955" s="86">
        <v>40555</v>
      </c>
      <c r="R955" s="115"/>
      <c r="S955" s="12" t="s">
        <v>6</v>
      </c>
      <c r="T955" s="76" t="s">
        <v>4</v>
      </c>
      <c r="U955" s="12" t="s">
        <v>7</v>
      </c>
      <c r="V955" s="12" t="s">
        <v>1911</v>
      </c>
      <c r="W955" s="12" t="s">
        <v>1915</v>
      </c>
      <c r="X955" s="12" t="s">
        <v>2801</v>
      </c>
      <c r="Y955" s="75" t="s">
        <v>2914</v>
      </c>
      <c r="Z955" s="75" t="s">
        <v>129</v>
      </c>
      <c r="AA955" s="95" t="s">
        <v>2801</v>
      </c>
      <c r="AB955" s="132"/>
      <c r="AC955" s="132"/>
      <c r="AD955" s="132"/>
      <c r="AE955" s="63"/>
      <c r="AF955" s="63"/>
      <c r="AG955" s="63"/>
    </row>
    <row r="956" spans="1:33" ht="17.2" customHeight="1">
      <c r="A956" s="64" t="str">
        <f>IF(priority(Main[[#This Row],[Comments]])&lt;&gt;0, priority(Main[[#This Row],[Comments]]),"")</f>
        <v/>
      </c>
      <c r="B956" s="60" t="s">
        <v>1860</v>
      </c>
      <c r="C956" s="72" t="s">
        <v>31</v>
      </c>
      <c r="D956" s="59" t="s">
        <v>918</v>
      </c>
      <c r="E956" s="85"/>
      <c r="F956" s="85">
        <v>40664</v>
      </c>
      <c r="G956" s="64" t="str">
        <f>IF(stdProdLT(Main[[#This Row],[Comments]])=0.1,"N/A",IF(stdProdLT(Main[[#This Row],[Comments]])=0,"",TRIM(stdProdLT(Main[[#This Row],[Comments]]))))</f>
        <v/>
      </c>
      <c r="H956" s="94" t="str">
        <f>IF(OR(Main[[#This Row],[Std. Prod. Lead Time]]="N/A",Main[[#This Row],[Std. Prod. Lead Time]]=""), "",IF(AND(Main[[#This Row],[In Stock Date]]&lt;&gt;"",Main[[#This Row],[Revised Due Date]]&lt;&gt;"",Main[[#This Row],[In Stock Date]]&lt;&gt;""),Main[[#This Row],[In Stock Date]]-Main[[#This Row],[Revised Due Date]],""))</f>
        <v/>
      </c>
      <c r="I956" s="101" t="s">
        <v>417</v>
      </c>
      <c r="J956" s="95" t="s">
        <v>75</v>
      </c>
      <c r="K956" s="95" t="s">
        <v>1920</v>
      </c>
      <c r="L956" s="85"/>
      <c r="M956" s="73" t="str">
        <f>IF(Main[[#This Row],[Tech Start Date]]&lt;1/1/1990,"",IF(Main[[#This Row],[Class]]="C",WORKDAY(Main[[#This Row],[Tech Start Date]],9),IF(Main[[#This Row],[Class]]="B", WORKDAY(Main[[#This Row],[Tech Start Date]],6),IF(Main[[#This Row],[Class]]="A",WORKDAY(Main[[#This Row],[Tech Start Date]],2),""))))</f>
        <v/>
      </c>
      <c r="N956" s="73" t="str">
        <f>IF(Main[[#This Row],[Tech Start Date]]&lt;1/1/1990,"",IF(Main[[#This Row],[Class]]="C",WORKDAY(Main[[#This Row],[Tech Start Date]],19),IF(Main[[#This Row],[Class]]="B", WORKDAY(Main[[#This Row],[Tech Start Date]],12),IF(Main[[#This Row],[Class]]="A",WORKDAY(Main[[#This Row],[Tech Start Date]],4),""))))</f>
        <v/>
      </c>
      <c r="O956" s="73" t="str">
        <f>IF(Main[[#This Row],[Tech Start Date]]&lt;1/1/1990,"",IF(Main[[#This Row],[Class]]="C",WORKDAY(Main[[#This Row],[Tech Start Date]],23),IF(Main[[#This Row],[Class]]="B", WORKDAY(Main[[#This Row],[Tech Start Date]],15),IF(Main[[#This Row],[Class]]="A",WORKDAY(Main[[#This Row],[Tech Start Date]],5),""))))</f>
        <v/>
      </c>
      <c r="P956" s="73" t="str">
        <f>IF(Main[[#This Row],[Tech Start Date]]&lt;1/1/1990,"",IF(Main[[#This Row],[Class]]="C",WORKDAY(Main[[#This Row],[Tech Start Date]],28),IF(Main[[#This Row],[Class]]="B", WORKDAY(Main[[#This Row],[Tech Start Date]],19),IF(Main[[#This Row],[Class]]="A",WORKDAY(Main[[#This Row],[Tech Start Date]],9),""))))</f>
        <v/>
      </c>
      <c r="Q956" s="85">
        <v>40589</v>
      </c>
      <c r="R956" s="112">
        <v>40577</v>
      </c>
      <c r="S956" s="95" t="s">
        <v>11</v>
      </c>
      <c r="T956" s="74" t="s">
        <v>4</v>
      </c>
      <c r="U956" s="95" t="s">
        <v>14</v>
      </c>
      <c r="V956" s="95" t="s">
        <v>1914</v>
      </c>
      <c r="W956" s="95" t="s">
        <v>1917</v>
      </c>
      <c r="X956" s="95" t="s">
        <v>2805</v>
      </c>
      <c r="Y956" s="72" t="s">
        <v>2945</v>
      </c>
      <c r="Z956" s="72" t="s">
        <v>530</v>
      </c>
      <c r="AA956" s="95" t="s">
        <v>2805</v>
      </c>
      <c r="AB956" s="132">
        <v>40571</v>
      </c>
      <c r="AC956" s="132">
        <v>40578</v>
      </c>
      <c r="AD956" s="132"/>
      <c r="AE956" s="63"/>
      <c r="AF956" s="63"/>
      <c r="AG956" s="63"/>
    </row>
    <row r="957" spans="1:33" ht="17.2" customHeight="1">
      <c r="A957" s="64" t="str">
        <f>IF(priority(Main[[#This Row],[Comments]])&lt;&gt;0, priority(Main[[#This Row],[Comments]]),"")</f>
        <v/>
      </c>
      <c r="B957" s="60" t="s">
        <v>1690</v>
      </c>
      <c r="C957" s="72" t="s">
        <v>4</v>
      </c>
      <c r="D957" s="59" t="s">
        <v>748</v>
      </c>
      <c r="E957" s="85"/>
      <c r="F957" s="85"/>
      <c r="G957" s="64" t="str">
        <f>IF(stdProdLT(Main[[#This Row],[Comments]])=0.1,"N/A",IF(stdProdLT(Main[[#This Row],[Comments]])=0,"",TRIM(stdProdLT(Main[[#This Row],[Comments]]))))</f>
        <v/>
      </c>
      <c r="H957" s="94" t="str">
        <f>IF(OR(Main[[#This Row],[Std. Prod. Lead Time]]="N/A",Main[[#This Row],[Std. Prod. Lead Time]]=""), "",IF(AND(Main[[#This Row],[In Stock Date]]&lt;&gt;"",Main[[#This Row],[Revised Due Date]]&lt;&gt;"",Main[[#This Row],[In Stock Date]]&lt;&gt;""),Main[[#This Row],[In Stock Date]]-Main[[#This Row],[Revised Due Date]],""))</f>
        <v/>
      </c>
      <c r="I957" s="101" t="s">
        <v>4</v>
      </c>
      <c r="J957" s="95" t="s">
        <v>28</v>
      </c>
      <c r="K957" s="96" t="s">
        <v>1923</v>
      </c>
      <c r="L957" s="85"/>
      <c r="M957" s="73" t="str">
        <f>IF(Main[[#This Row],[Tech Start Date]]&lt;1/1/1990,"",IF(Main[[#This Row],[Class]]="C",WORKDAY(Main[[#This Row],[Tech Start Date]],9),IF(Main[[#This Row],[Class]]="B", WORKDAY(Main[[#This Row],[Tech Start Date]],6),IF(Main[[#This Row],[Class]]="A",WORKDAY(Main[[#This Row],[Tech Start Date]],2),""))))</f>
        <v/>
      </c>
      <c r="N957" s="73" t="str">
        <f>IF(Main[[#This Row],[Tech Start Date]]&lt;1/1/1990,"",IF(Main[[#This Row],[Class]]="C",WORKDAY(Main[[#This Row],[Tech Start Date]],19),IF(Main[[#This Row],[Class]]="B", WORKDAY(Main[[#This Row],[Tech Start Date]],12),IF(Main[[#This Row],[Class]]="A",WORKDAY(Main[[#This Row],[Tech Start Date]],4),""))))</f>
        <v/>
      </c>
      <c r="O957" s="73" t="str">
        <f>IF(Main[[#This Row],[Tech Start Date]]&lt;1/1/1990,"",IF(Main[[#This Row],[Class]]="C",WORKDAY(Main[[#This Row],[Tech Start Date]],23),IF(Main[[#This Row],[Class]]="B", WORKDAY(Main[[#This Row],[Tech Start Date]],15),IF(Main[[#This Row],[Class]]="A",WORKDAY(Main[[#This Row],[Tech Start Date]],5),""))))</f>
        <v/>
      </c>
      <c r="P957" s="73" t="str">
        <f>IF(Main[[#This Row],[Tech Start Date]]&lt;1/1/1990,"",IF(Main[[#This Row],[Class]]="C",WORKDAY(Main[[#This Row],[Tech Start Date]],28),IF(Main[[#This Row],[Class]]="B", WORKDAY(Main[[#This Row],[Tech Start Date]],19),IF(Main[[#This Row],[Class]]="A",WORKDAY(Main[[#This Row],[Tech Start Date]],9),""))))</f>
        <v/>
      </c>
      <c r="Q957" s="85">
        <v>40522</v>
      </c>
      <c r="R957" s="112"/>
      <c r="S957" s="95" t="s">
        <v>17</v>
      </c>
      <c r="T957" s="74" t="s">
        <v>4</v>
      </c>
      <c r="U957" s="95" t="s">
        <v>14</v>
      </c>
      <c r="V957" s="95" t="s">
        <v>1911</v>
      </c>
      <c r="W957" s="95" t="s">
        <v>1916</v>
      </c>
      <c r="X957" s="95" t="s">
        <v>2842</v>
      </c>
      <c r="Y957" s="72" t="s">
        <v>2984</v>
      </c>
      <c r="Z957" s="72" t="s">
        <v>129</v>
      </c>
      <c r="AA957" s="95" t="s">
        <v>2842</v>
      </c>
      <c r="AB957" s="132"/>
      <c r="AC957" s="132"/>
      <c r="AD957" s="132"/>
      <c r="AE957" s="63"/>
      <c r="AF957" s="63"/>
      <c r="AG957" s="63"/>
    </row>
    <row r="958" spans="1:33" ht="17.2" customHeight="1">
      <c r="A958" s="64" t="str">
        <f>IF(priority(Main[[#This Row],[Comments]])&lt;&gt;0, priority(Main[[#This Row],[Comments]]),"")</f>
        <v/>
      </c>
      <c r="B958" s="60" t="s">
        <v>1691</v>
      </c>
      <c r="C958" s="72" t="s">
        <v>67</v>
      </c>
      <c r="D958" s="59" t="s">
        <v>749</v>
      </c>
      <c r="E958" s="85"/>
      <c r="F958" s="85"/>
      <c r="G958" s="64" t="str">
        <f>IF(stdProdLT(Main[[#This Row],[Comments]])=0.1,"N/A",IF(stdProdLT(Main[[#This Row],[Comments]])=0,"",TRIM(stdProdLT(Main[[#This Row],[Comments]]))))</f>
        <v/>
      </c>
      <c r="H958" s="94" t="str">
        <f>IF(OR(Main[[#This Row],[Std. Prod. Lead Time]]="N/A",Main[[#This Row],[Std. Prod. Lead Time]]=""), "",IF(AND(Main[[#This Row],[In Stock Date]]&lt;&gt;"",Main[[#This Row],[Revised Due Date]]&lt;&gt;"",Main[[#This Row],[In Stock Date]]&lt;&gt;""),Main[[#This Row],[In Stock Date]]-Main[[#This Row],[Revised Due Date]],""))</f>
        <v/>
      </c>
      <c r="I958" s="101" t="s">
        <v>4</v>
      </c>
      <c r="J958" s="95" t="s">
        <v>4</v>
      </c>
      <c r="K958" s="95" t="s">
        <v>4</v>
      </c>
      <c r="L958" s="85"/>
      <c r="M958" s="73" t="str">
        <f>IF(Main[[#This Row],[Tech Start Date]]&lt;1/1/1990,"",IF(Main[[#This Row],[Class]]="C",WORKDAY(Main[[#This Row],[Tech Start Date]],9),IF(Main[[#This Row],[Class]]="B", WORKDAY(Main[[#This Row],[Tech Start Date]],6),IF(Main[[#This Row],[Class]]="A",WORKDAY(Main[[#This Row],[Tech Start Date]],2),""))))</f>
        <v/>
      </c>
      <c r="N958" s="73" t="str">
        <f>IF(Main[[#This Row],[Tech Start Date]]&lt;1/1/1990,"",IF(Main[[#This Row],[Class]]="C",WORKDAY(Main[[#This Row],[Tech Start Date]],19),IF(Main[[#This Row],[Class]]="B", WORKDAY(Main[[#This Row],[Tech Start Date]],12),IF(Main[[#This Row],[Class]]="A",WORKDAY(Main[[#This Row],[Tech Start Date]],4),""))))</f>
        <v/>
      </c>
      <c r="O958" s="73" t="str">
        <f>IF(Main[[#This Row],[Tech Start Date]]&lt;1/1/1990,"",IF(Main[[#This Row],[Class]]="C",WORKDAY(Main[[#This Row],[Tech Start Date]],23),IF(Main[[#This Row],[Class]]="B", WORKDAY(Main[[#This Row],[Tech Start Date]],15),IF(Main[[#This Row],[Class]]="A",WORKDAY(Main[[#This Row],[Tech Start Date]],5),""))))</f>
        <v/>
      </c>
      <c r="P958" s="73" t="str">
        <f>IF(Main[[#This Row],[Tech Start Date]]&lt;1/1/1990,"",IF(Main[[#This Row],[Class]]="C",WORKDAY(Main[[#This Row],[Tech Start Date]],28),IF(Main[[#This Row],[Class]]="B", WORKDAY(Main[[#This Row],[Tech Start Date]],19),IF(Main[[#This Row],[Class]]="A",WORKDAY(Main[[#This Row],[Tech Start Date]],9),""))))</f>
        <v/>
      </c>
      <c r="Q958" s="85">
        <v>40241</v>
      </c>
      <c r="R958" s="112"/>
      <c r="S958" s="95" t="s">
        <v>11</v>
      </c>
      <c r="T958" s="74" t="s">
        <v>4</v>
      </c>
      <c r="U958" s="95" t="s">
        <v>14</v>
      </c>
      <c r="V958" s="95" t="s">
        <v>1921</v>
      </c>
      <c r="W958" s="95" t="s">
        <v>1913</v>
      </c>
      <c r="X958" s="95" t="s">
        <v>553</v>
      </c>
      <c r="Y958" s="72" t="s">
        <v>4</v>
      </c>
      <c r="Z958" s="72" t="s">
        <v>4</v>
      </c>
      <c r="AA958" s="95" t="s">
        <v>2838</v>
      </c>
      <c r="AB958" s="132"/>
      <c r="AC958" s="132"/>
      <c r="AD958" s="132"/>
      <c r="AE958" s="63"/>
      <c r="AF958" s="63"/>
      <c r="AG958" s="63"/>
    </row>
    <row r="959" spans="1:33" ht="17.2" customHeight="1">
      <c r="A959" s="64" t="str">
        <f>IF(priority(Main[[#This Row],[Comments]])&lt;&gt;0, priority(Main[[#This Row],[Comments]]),"")</f>
        <v/>
      </c>
      <c r="B959" s="60" t="s">
        <v>1692</v>
      </c>
      <c r="C959" s="72" t="s">
        <v>4</v>
      </c>
      <c r="D959" s="59" t="s">
        <v>750</v>
      </c>
      <c r="E959" s="85"/>
      <c r="F959" s="85"/>
      <c r="G959" s="64" t="str">
        <f>IF(stdProdLT(Main[[#This Row],[Comments]])=0.1,"N/A",IF(stdProdLT(Main[[#This Row],[Comments]])=0,"",TRIM(stdProdLT(Main[[#This Row],[Comments]]))))</f>
        <v/>
      </c>
      <c r="H959" s="94" t="str">
        <f>IF(OR(Main[[#This Row],[Std. Prod. Lead Time]]="N/A",Main[[#This Row],[Std. Prod. Lead Time]]=""), "",IF(AND(Main[[#This Row],[In Stock Date]]&lt;&gt;"",Main[[#This Row],[Revised Due Date]]&lt;&gt;"",Main[[#This Row],[In Stock Date]]&lt;&gt;""),Main[[#This Row],[In Stock Date]]-Main[[#This Row],[Revised Due Date]],""))</f>
        <v/>
      </c>
      <c r="I959" s="101" t="s">
        <v>4</v>
      </c>
      <c r="J959" s="95" t="s">
        <v>28</v>
      </c>
      <c r="K959" s="95" t="s">
        <v>4</v>
      </c>
      <c r="L959" s="85"/>
      <c r="M959" s="73" t="str">
        <f>IF(Main[[#This Row],[Tech Start Date]]&lt;1/1/1990,"",IF(Main[[#This Row],[Class]]="C",WORKDAY(Main[[#This Row],[Tech Start Date]],9),IF(Main[[#This Row],[Class]]="B", WORKDAY(Main[[#This Row],[Tech Start Date]],6),IF(Main[[#This Row],[Class]]="A",WORKDAY(Main[[#This Row],[Tech Start Date]],2),""))))</f>
        <v/>
      </c>
      <c r="N959" s="73" t="str">
        <f>IF(Main[[#This Row],[Tech Start Date]]&lt;1/1/1990,"",IF(Main[[#This Row],[Class]]="C",WORKDAY(Main[[#This Row],[Tech Start Date]],19),IF(Main[[#This Row],[Class]]="B", WORKDAY(Main[[#This Row],[Tech Start Date]],12),IF(Main[[#This Row],[Class]]="A",WORKDAY(Main[[#This Row],[Tech Start Date]],4),""))))</f>
        <v/>
      </c>
      <c r="O959" s="73" t="str">
        <f>IF(Main[[#This Row],[Tech Start Date]]&lt;1/1/1990,"",IF(Main[[#This Row],[Class]]="C",WORKDAY(Main[[#This Row],[Tech Start Date]],23),IF(Main[[#This Row],[Class]]="B", WORKDAY(Main[[#This Row],[Tech Start Date]],15),IF(Main[[#This Row],[Class]]="A",WORKDAY(Main[[#This Row],[Tech Start Date]],5),""))))</f>
        <v/>
      </c>
      <c r="P959" s="73" t="str">
        <f>IF(Main[[#This Row],[Tech Start Date]]&lt;1/1/1990,"",IF(Main[[#This Row],[Class]]="C",WORKDAY(Main[[#This Row],[Tech Start Date]],28),IF(Main[[#This Row],[Class]]="B", WORKDAY(Main[[#This Row],[Tech Start Date]],19),IF(Main[[#This Row],[Class]]="A",WORKDAY(Main[[#This Row],[Tech Start Date]],9),""))))</f>
        <v/>
      </c>
      <c r="Q959" s="85">
        <v>40471</v>
      </c>
      <c r="R959" s="112"/>
      <c r="S959" s="95" t="s">
        <v>6</v>
      </c>
      <c r="T959" s="74" t="s">
        <v>4</v>
      </c>
      <c r="U959" s="95" t="s">
        <v>14</v>
      </c>
      <c r="V959" s="95" t="s">
        <v>1921</v>
      </c>
      <c r="W959" s="95" t="s">
        <v>1913</v>
      </c>
      <c r="X959" s="95" t="s">
        <v>2827</v>
      </c>
      <c r="Y959" s="72" t="s">
        <v>2956</v>
      </c>
      <c r="Z959" s="72" t="s">
        <v>530</v>
      </c>
      <c r="AA959" s="95" t="s">
        <v>2827</v>
      </c>
      <c r="AB959" s="132"/>
      <c r="AC959" s="132"/>
      <c r="AD959" s="132"/>
      <c r="AE959" s="63"/>
      <c r="AF959" s="63"/>
      <c r="AG959" s="63"/>
    </row>
    <row r="960" spans="1:33" ht="17.2" customHeight="1">
      <c r="A960" s="64" t="str">
        <f>IF(priority(Main[[#This Row],[Comments]])&lt;&gt;0, priority(Main[[#This Row],[Comments]]),"")</f>
        <v/>
      </c>
      <c r="B960" s="60" t="s">
        <v>1695</v>
      </c>
      <c r="C960" s="72" t="s">
        <v>275</v>
      </c>
      <c r="D960" s="59" t="s">
        <v>753</v>
      </c>
      <c r="E960" s="85"/>
      <c r="F960" s="85">
        <v>40451</v>
      </c>
      <c r="G960" s="64" t="str">
        <f>IF(stdProdLT(Main[[#This Row],[Comments]])=0.1,"N/A",IF(stdProdLT(Main[[#This Row],[Comments]])=0,"",TRIM(stdProdLT(Main[[#This Row],[Comments]]))))</f>
        <v/>
      </c>
      <c r="H960" s="94" t="str">
        <f>IF(OR(Main[[#This Row],[Std. Prod. Lead Time]]="N/A",Main[[#This Row],[Std. Prod. Lead Time]]=""), "",IF(AND(Main[[#This Row],[In Stock Date]]&lt;&gt;"",Main[[#This Row],[Revised Due Date]]&lt;&gt;"",Main[[#This Row],[In Stock Date]]&lt;&gt;""),Main[[#This Row],[In Stock Date]]-Main[[#This Row],[Revised Due Date]],""))</f>
        <v/>
      </c>
      <c r="I960" s="101" t="s">
        <v>4</v>
      </c>
      <c r="J960" s="95" t="s">
        <v>4</v>
      </c>
      <c r="K960" s="95" t="s">
        <v>4</v>
      </c>
      <c r="L960" s="85"/>
      <c r="M960" s="73" t="str">
        <f>IF(Main[[#This Row],[Tech Start Date]]&lt;1/1/1990,"",IF(Main[[#This Row],[Class]]="C",WORKDAY(Main[[#This Row],[Tech Start Date]],9),IF(Main[[#This Row],[Class]]="B", WORKDAY(Main[[#This Row],[Tech Start Date]],6),IF(Main[[#This Row],[Class]]="A",WORKDAY(Main[[#This Row],[Tech Start Date]],2),""))))</f>
        <v/>
      </c>
      <c r="N960" s="73" t="str">
        <f>IF(Main[[#This Row],[Tech Start Date]]&lt;1/1/1990,"",IF(Main[[#This Row],[Class]]="C",WORKDAY(Main[[#This Row],[Tech Start Date]],19),IF(Main[[#This Row],[Class]]="B", WORKDAY(Main[[#This Row],[Tech Start Date]],12),IF(Main[[#This Row],[Class]]="A",WORKDAY(Main[[#This Row],[Tech Start Date]],4),""))))</f>
        <v/>
      </c>
      <c r="O960" s="73" t="str">
        <f>IF(Main[[#This Row],[Tech Start Date]]&lt;1/1/1990,"",IF(Main[[#This Row],[Class]]="C",WORKDAY(Main[[#This Row],[Tech Start Date]],23),IF(Main[[#This Row],[Class]]="B", WORKDAY(Main[[#This Row],[Tech Start Date]],15),IF(Main[[#This Row],[Class]]="A",WORKDAY(Main[[#This Row],[Tech Start Date]],5),""))))</f>
        <v/>
      </c>
      <c r="P960" s="73" t="str">
        <f>IF(Main[[#This Row],[Tech Start Date]]&lt;1/1/1990,"",IF(Main[[#This Row],[Class]]="C",WORKDAY(Main[[#This Row],[Tech Start Date]],28),IF(Main[[#This Row],[Class]]="B", WORKDAY(Main[[#This Row],[Tech Start Date]],19),IF(Main[[#This Row],[Class]]="A",WORKDAY(Main[[#This Row],[Tech Start Date]],9),""))))</f>
        <v/>
      </c>
      <c r="Q960" s="85">
        <v>40269</v>
      </c>
      <c r="R960" s="112"/>
      <c r="S960" s="95" t="s">
        <v>11</v>
      </c>
      <c r="T960" s="74" t="s">
        <v>4</v>
      </c>
      <c r="U960" s="95" t="s">
        <v>14</v>
      </c>
      <c r="V960" s="95" t="s">
        <v>1914</v>
      </c>
      <c r="W960" s="95" t="s">
        <v>1916</v>
      </c>
      <c r="X960" s="95" t="s">
        <v>65</v>
      </c>
      <c r="Y960" s="72" t="s">
        <v>4</v>
      </c>
      <c r="Z960" s="72" t="s">
        <v>4</v>
      </c>
      <c r="AA960" s="95" t="s">
        <v>65</v>
      </c>
      <c r="AB960" s="132"/>
      <c r="AC960" s="132"/>
      <c r="AD960" s="132"/>
      <c r="AE960" s="63"/>
      <c r="AF960" s="63"/>
      <c r="AG960" s="63"/>
    </row>
    <row r="961" spans="1:33" ht="17.2" customHeight="1">
      <c r="A961" s="64" t="str">
        <f>IF(priority(Main[[#This Row],[Comments]])&lt;&gt;0, priority(Main[[#This Row],[Comments]]),"")</f>
        <v/>
      </c>
      <c r="B961" s="60" t="s">
        <v>1205</v>
      </c>
      <c r="C961" s="72" t="s">
        <v>116</v>
      </c>
      <c r="D961" s="59" t="s">
        <v>263</v>
      </c>
      <c r="E961" s="85">
        <v>40681.362476851849</v>
      </c>
      <c r="F961" s="85">
        <v>40734</v>
      </c>
      <c r="G961" s="64" t="str">
        <f>IF(stdProdLT(Main[[#This Row],[Comments]])=0.1,"N/A",IF(stdProdLT(Main[[#This Row],[Comments]])=0,"",TRIM(stdProdLT(Main[[#This Row],[Comments]]))))</f>
        <v/>
      </c>
      <c r="H961" s="94" t="str">
        <f>IF(OR(Main[[#This Row],[Std. Prod. Lead Time]]="N/A",Main[[#This Row],[Std. Prod. Lead Time]]=""), "",IF(AND(Main[[#This Row],[In Stock Date]]&lt;&gt;"",Main[[#This Row],[Revised Due Date]]&lt;&gt;"",Main[[#This Row],[In Stock Date]]&lt;&gt;""),Main[[#This Row],[In Stock Date]]-Main[[#This Row],[Revised Due Date]],""))</f>
        <v/>
      </c>
      <c r="I961" s="101" t="s">
        <v>4</v>
      </c>
      <c r="J961" s="95" t="s">
        <v>4</v>
      </c>
      <c r="K961" s="95" t="s">
        <v>4</v>
      </c>
      <c r="L961" s="85"/>
      <c r="M961" s="73" t="str">
        <f>IF(Main[[#This Row],[Tech Start Date]]&lt;1/1/1990,"",IF(Main[[#This Row],[Class]]="C",WORKDAY(Main[[#This Row],[Tech Start Date]],9),IF(Main[[#This Row],[Class]]="B", WORKDAY(Main[[#This Row],[Tech Start Date]],6),IF(Main[[#This Row],[Class]]="A",WORKDAY(Main[[#This Row],[Tech Start Date]],2),""))))</f>
        <v/>
      </c>
      <c r="N961" s="73" t="str">
        <f>IF(Main[[#This Row],[Tech Start Date]]&lt;1/1/1990,"",IF(Main[[#This Row],[Class]]="C",WORKDAY(Main[[#This Row],[Tech Start Date]],19),IF(Main[[#This Row],[Class]]="B", WORKDAY(Main[[#This Row],[Tech Start Date]],12),IF(Main[[#This Row],[Class]]="A",WORKDAY(Main[[#This Row],[Tech Start Date]],4),""))))</f>
        <v/>
      </c>
      <c r="O961" s="73" t="str">
        <f>IF(Main[[#This Row],[Tech Start Date]]&lt;1/1/1990,"",IF(Main[[#This Row],[Class]]="C",WORKDAY(Main[[#This Row],[Tech Start Date]],23),IF(Main[[#This Row],[Class]]="B", WORKDAY(Main[[#This Row],[Tech Start Date]],15),IF(Main[[#This Row],[Class]]="A",WORKDAY(Main[[#This Row],[Tech Start Date]],5),""))))</f>
        <v/>
      </c>
      <c r="P961" s="73" t="str">
        <f>IF(Main[[#This Row],[Tech Start Date]]&lt;1/1/1990,"",IF(Main[[#This Row],[Class]]="C",WORKDAY(Main[[#This Row],[Tech Start Date]],28),IF(Main[[#This Row],[Class]]="B", WORKDAY(Main[[#This Row],[Tech Start Date]],19),IF(Main[[#This Row],[Class]]="A",WORKDAY(Main[[#This Row],[Tech Start Date]],9),""))))</f>
        <v/>
      </c>
      <c r="Q961" s="85">
        <v>40724</v>
      </c>
      <c r="R961" s="112"/>
      <c r="S961" s="95" t="s">
        <v>17</v>
      </c>
      <c r="T961" s="74" t="s">
        <v>4</v>
      </c>
      <c r="U961" s="95" t="s">
        <v>7</v>
      </c>
      <c r="V961" s="95" t="s">
        <v>1914</v>
      </c>
      <c r="W961" s="95" t="s">
        <v>1915</v>
      </c>
      <c r="X961" s="95" t="s">
        <v>50</v>
      </c>
      <c r="Y961" s="72" t="s">
        <v>2939</v>
      </c>
      <c r="Z961" s="72" t="s">
        <v>4</v>
      </c>
      <c r="AA961" s="95" t="s">
        <v>50</v>
      </c>
      <c r="AB961" s="132"/>
      <c r="AC961" s="132"/>
      <c r="AD961" s="132"/>
      <c r="AE961" s="63"/>
      <c r="AF961" s="63"/>
      <c r="AG961" s="63"/>
    </row>
    <row r="962" spans="1:33" ht="17.2" customHeight="1">
      <c r="A962" s="64" t="str">
        <f>IF(priority(Main[[#This Row],[Comments]])&lt;&gt;0, priority(Main[[#This Row],[Comments]]),"")</f>
        <v/>
      </c>
      <c r="B962" s="60" t="s">
        <v>2388</v>
      </c>
      <c r="C962" s="72" t="s">
        <v>4</v>
      </c>
      <c r="D962" s="59" t="s">
        <v>2389</v>
      </c>
      <c r="E962" s="85"/>
      <c r="F962" s="85"/>
      <c r="G962" s="64" t="str">
        <f>IF(stdProdLT(Main[[#This Row],[Comments]])=0.1,"N/A",IF(stdProdLT(Main[[#This Row],[Comments]])=0,"",TRIM(stdProdLT(Main[[#This Row],[Comments]]))))</f>
        <v/>
      </c>
      <c r="H962" s="94" t="str">
        <f>IF(OR(Main[[#This Row],[Std. Prod. Lead Time]]="N/A",Main[[#This Row],[Std. Prod. Lead Time]]=""), "",IF(AND(Main[[#This Row],[In Stock Date]]&lt;&gt;"",Main[[#This Row],[Revised Due Date]]&lt;&gt;"",Main[[#This Row],[In Stock Date]]&lt;&gt;""),Main[[#This Row],[In Stock Date]]-Main[[#This Row],[Revised Due Date]],""))</f>
        <v/>
      </c>
      <c r="I962" s="101" t="s">
        <v>4</v>
      </c>
      <c r="J962" s="95" t="s">
        <v>4</v>
      </c>
      <c r="K962" s="95" t="s">
        <v>4</v>
      </c>
      <c r="L962" s="85"/>
      <c r="M962" s="73" t="str">
        <f>IF(Main[[#This Row],[Tech Start Date]]&lt;1/1/1990,"",IF(Main[[#This Row],[Class]]="C",WORKDAY(Main[[#This Row],[Tech Start Date]],9),IF(Main[[#This Row],[Class]]="B", WORKDAY(Main[[#This Row],[Tech Start Date]],6),IF(Main[[#This Row],[Class]]="A",WORKDAY(Main[[#This Row],[Tech Start Date]],2),""))))</f>
        <v/>
      </c>
      <c r="N962" s="73" t="str">
        <f>IF(Main[[#This Row],[Tech Start Date]]&lt;1/1/1990,"",IF(Main[[#This Row],[Class]]="C",WORKDAY(Main[[#This Row],[Tech Start Date]],19),IF(Main[[#This Row],[Class]]="B", WORKDAY(Main[[#This Row],[Tech Start Date]],12),IF(Main[[#This Row],[Class]]="A",WORKDAY(Main[[#This Row],[Tech Start Date]],4),""))))</f>
        <v/>
      </c>
      <c r="O962" s="73" t="str">
        <f>IF(Main[[#This Row],[Tech Start Date]]&lt;1/1/1990,"",IF(Main[[#This Row],[Class]]="C",WORKDAY(Main[[#This Row],[Tech Start Date]],23),IF(Main[[#This Row],[Class]]="B", WORKDAY(Main[[#This Row],[Tech Start Date]],15),IF(Main[[#This Row],[Class]]="A",WORKDAY(Main[[#This Row],[Tech Start Date]],5),""))))</f>
        <v/>
      </c>
      <c r="P962" s="73" t="str">
        <f>IF(Main[[#This Row],[Tech Start Date]]&lt;1/1/1990,"",IF(Main[[#This Row],[Class]]="C",WORKDAY(Main[[#This Row],[Tech Start Date]],28),IF(Main[[#This Row],[Class]]="B", WORKDAY(Main[[#This Row],[Tech Start Date]],19),IF(Main[[#This Row],[Class]]="A",WORKDAY(Main[[#This Row],[Tech Start Date]],9),""))))</f>
        <v/>
      </c>
      <c r="Q962" s="85"/>
      <c r="R962" s="112"/>
      <c r="S962" s="95" t="s">
        <v>11</v>
      </c>
      <c r="T962" s="74" t="s">
        <v>4</v>
      </c>
      <c r="U962" s="95" t="s">
        <v>14</v>
      </c>
      <c r="V962" s="95" t="s">
        <v>1912</v>
      </c>
      <c r="W962" s="95" t="s">
        <v>4</v>
      </c>
      <c r="X962" s="95" t="s">
        <v>2243</v>
      </c>
      <c r="Y962" s="72" t="s">
        <v>4</v>
      </c>
      <c r="Z962" s="72" t="s">
        <v>4</v>
      </c>
      <c r="AA962" s="95" t="s">
        <v>4</v>
      </c>
      <c r="AB962" s="132"/>
      <c r="AC962" s="132"/>
      <c r="AD962" s="132"/>
      <c r="AE962" s="63"/>
      <c r="AF962" s="63"/>
      <c r="AG962" s="63"/>
    </row>
    <row r="963" spans="1:33" ht="17.2" customHeight="1">
      <c r="A963" s="64" t="str">
        <f>IF(priority(Main[[#This Row],[Comments]])&lt;&gt;0, priority(Main[[#This Row],[Comments]]),"")</f>
        <v/>
      </c>
      <c r="B963" s="60" t="s">
        <v>1825</v>
      </c>
      <c r="C963" s="72" t="s">
        <v>365</v>
      </c>
      <c r="D963" s="59" t="s">
        <v>2112</v>
      </c>
      <c r="E963" s="85">
        <v>40002.664317129631</v>
      </c>
      <c r="F963" s="85">
        <v>40074</v>
      </c>
      <c r="G963" s="64" t="str">
        <f>IF(stdProdLT(Main[[#This Row],[Comments]])=0.1,"N/A",IF(stdProdLT(Main[[#This Row],[Comments]])=0,"",TRIM(stdProdLT(Main[[#This Row],[Comments]]))))</f>
        <v>126</v>
      </c>
      <c r="H963" s="94">
        <f>IF(OR(Main[[#This Row],[Std. Prod. Lead Time]]="N/A",Main[[#This Row],[Std. Prod. Lead Time]]=""), "",IF(AND(Main[[#This Row],[In Stock Date]]&lt;&gt;"",Main[[#This Row],[Revised Due Date]]&lt;&gt;"",Main[[#This Row],[In Stock Date]]&lt;&gt;""),Main[[#This Row],[In Stock Date]]-Main[[#This Row],[Revised Due Date]],""))</f>
        <v>-399</v>
      </c>
      <c r="I963" s="101" t="s">
        <v>2047</v>
      </c>
      <c r="J963" s="95" t="s">
        <v>28</v>
      </c>
      <c r="K963" s="96" t="s">
        <v>1924</v>
      </c>
      <c r="L963" s="85"/>
      <c r="M963" s="73" t="str">
        <f>IF(Main[[#This Row],[Tech Start Date]]&lt;1/1/1990,"",IF(Main[[#This Row],[Class]]="C",WORKDAY(Main[[#This Row],[Tech Start Date]],9),IF(Main[[#This Row],[Class]]="B", WORKDAY(Main[[#This Row],[Tech Start Date]],6),IF(Main[[#This Row],[Class]]="A",WORKDAY(Main[[#This Row],[Tech Start Date]],2),""))))</f>
        <v/>
      </c>
      <c r="N963" s="73" t="str">
        <f>IF(Main[[#This Row],[Tech Start Date]]&lt;1/1/1990,"",IF(Main[[#This Row],[Class]]="C",WORKDAY(Main[[#This Row],[Tech Start Date]],19),IF(Main[[#This Row],[Class]]="B", WORKDAY(Main[[#This Row],[Tech Start Date]],12),IF(Main[[#This Row],[Class]]="A",WORKDAY(Main[[#This Row],[Tech Start Date]],4),""))))</f>
        <v/>
      </c>
      <c r="O963" s="73" t="str">
        <f>IF(Main[[#This Row],[Tech Start Date]]&lt;1/1/1990,"",IF(Main[[#This Row],[Class]]="C",WORKDAY(Main[[#This Row],[Tech Start Date]],23),IF(Main[[#This Row],[Class]]="B", WORKDAY(Main[[#This Row],[Tech Start Date]],15),IF(Main[[#This Row],[Class]]="A",WORKDAY(Main[[#This Row],[Tech Start Date]],5),""))))</f>
        <v/>
      </c>
      <c r="P963" s="73" t="str">
        <f>IF(Main[[#This Row],[Tech Start Date]]&lt;1/1/1990,"",IF(Main[[#This Row],[Class]]="C",WORKDAY(Main[[#This Row],[Tech Start Date]],28),IF(Main[[#This Row],[Class]]="B", WORKDAY(Main[[#This Row],[Tech Start Date]],19),IF(Main[[#This Row],[Class]]="A",WORKDAY(Main[[#This Row],[Tech Start Date]],9),""))))</f>
        <v/>
      </c>
      <c r="Q963" s="85">
        <v>40057</v>
      </c>
      <c r="R963" s="112">
        <v>40473</v>
      </c>
      <c r="S963" s="95" t="s">
        <v>6</v>
      </c>
      <c r="T963" s="74" t="s">
        <v>2113</v>
      </c>
      <c r="U963" s="95" t="s">
        <v>29</v>
      </c>
      <c r="V963" s="95" t="s">
        <v>1912</v>
      </c>
      <c r="W963" s="95" t="s">
        <v>1915</v>
      </c>
      <c r="X963" s="95" t="s">
        <v>2848</v>
      </c>
      <c r="Y963" s="72" t="s">
        <v>3085</v>
      </c>
      <c r="Z963" s="72" t="s">
        <v>2047</v>
      </c>
      <c r="AA963" s="95" t="s">
        <v>3400</v>
      </c>
      <c r="AB963" s="132"/>
      <c r="AC963" s="132"/>
      <c r="AD963" s="132"/>
      <c r="AE963" s="63"/>
      <c r="AF963" s="63"/>
      <c r="AG963" s="63"/>
    </row>
    <row r="964" spans="1:33" ht="17.2" customHeight="1">
      <c r="A964" s="64" t="str">
        <f>IF(priority(Main[[#This Row],[Comments]])&lt;&gt;0, priority(Main[[#This Row],[Comments]]),"")</f>
        <v/>
      </c>
      <c r="B964" s="60" t="s">
        <v>3205</v>
      </c>
      <c r="C964" s="72" t="s">
        <v>4</v>
      </c>
      <c r="D964" s="59" t="s">
        <v>3206</v>
      </c>
      <c r="E964" s="85">
        <v>40927.617210648146</v>
      </c>
      <c r="F964" s="85"/>
      <c r="G964" s="64" t="str">
        <f>IF(stdProdLT(Main[[#This Row],[Comments]])=0.1,"N/A",IF(stdProdLT(Main[[#This Row],[Comments]])=0,"",TRIM(stdProdLT(Main[[#This Row],[Comments]]))))</f>
        <v/>
      </c>
      <c r="H964" s="94" t="str">
        <f>IF(OR(Main[[#This Row],[Std. Prod. Lead Time]]="N/A",Main[[#This Row],[Std. Prod. Lead Time]]=""), "",IF(AND(Main[[#This Row],[In Stock Date]]&lt;&gt;"",Main[[#This Row],[Revised Due Date]]&lt;&gt;"",Main[[#This Row],[In Stock Date]]&lt;&gt;""),Main[[#This Row],[In Stock Date]]-Main[[#This Row],[Revised Due Date]],""))</f>
        <v/>
      </c>
      <c r="I964" s="101" t="s">
        <v>4</v>
      </c>
      <c r="J964" s="95" t="s">
        <v>4</v>
      </c>
      <c r="K964" s="95" t="s">
        <v>4</v>
      </c>
      <c r="L964" s="85"/>
      <c r="M964" s="73" t="str">
        <f>IF(Main[[#This Row],[Tech Start Date]]&lt;1/1/1990,"",IF(Main[[#This Row],[Class]]="C",WORKDAY(Main[[#This Row],[Tech Start Date]],9),IF(Main[[#This Row],[Class]]="B", WORKDAY(Main[[#This Row],[Tech Start Date]],6),IF(Main[[#This Row],[Class]]="A",WORKDAY(Main[[#This Row],[Tech Start Date]],2),""))))</f>
        <v/>
      </c>
      <c r="N964" s="73" t="str">
        <f>IF(Main[[#This Row],[Tech Start Date]]&lt;1/1/1990,"",IF(Main[[#This Row],[Class]]="C",WORKDAY(Main[[#This Row],[Tech Start Date]],19),IF(Main[[#This Row],[Class]]="B", WORKDAY(Main[[#This Row],[Tech Start Date]],12),IF(Main[[#This Row],[Class]]="A",WORKDAY(Main[[#This Row],[Tech Start Date]],4),""))))</f>
        <v/>
      </c>
      <c r="O964" s="73" t="str">
        <f>IF(Main[[#This Row],[Tech Start Date]]&lt;1/1/1990,"",IF(Main[[#This Row],[Class]]="C",WORKDAY(Main[[#This Row],[Tech Start Date]],23),IF(Main[[#This Row],[Class]]="B", WORKDAY(Main[[#This Row],[Tech Start Date]],15),IF(Main[[#This Row],[Class]]="A",WORKDAY(Main[[#This Row],[Tech Start Date]],5),""))))</f>
        <v/>
      </c>
      <c r="P964" s="73" t="str">
        <f>IF(Main[[#This Row],[Tech Start Date]]&lt;1/1/1990,"",IF(Main[[#This Row],[Class]]="C",WORKDAY(Main[[#This Row],[Tech Start Date]],28),IF(Main[[#This Row],[Class]]="B", WORKDAY(Main[[#This Row],[Tech Start Date]],19),IF(Main[[#This Row],[Class]]="A",WORKDAY(Main[[#This Row],[Tech Start Date]],9),""))))</f>
        <v/>
      </c>
      <c r="Q964" s="85"/>
      <c r="R964" s="112"/>
      <c r="S964" s="95" t="s">
        <v>6</v>
      </c>
      <c r="T964" s="74" t="s">
        <v>4</v>
      </c>
      <c r="U964" s="95" t="s">
        <v>29</v>
      </c>
      <c r="V964" s="95" t="s">
        <v>1912</v>
      </c>
      <c r="W964" s="95" t="s">
        <v>1915</v>
      </c>
      <c r="X964" s="95" t="s">
        <v>102</v>
      </c>
      <c r="Y964" s="72" t="s">
        <v>3207</v>
      </c>
      <c r="Z964" s="72" t="s">
        <v>4</v>
      </c>
      <c r="AA964" s="95" t="s">
        <v>2047</v>
      </c>
      <c r="AB964" s="132"/>
      <c r="AC964" s="132"/>
      <c r="AD964" s="132"/>
      <c r="AE964" s="63"/>
      <c r="AF964" s="63"/>
      <c r="AG964" s="63"/>
    </row>
    <row r="965" spans="1:33" ht="17.2" customHeight="1">
      <c r="A965" s="64" t="str">
        <f>IF(priority(Main[[#This Row],[Comments]])&lt;&gt;0, priority(Main[[#This Row],[Comments]]),"")</f>
        <v/>
      </c>
      <c r="B965" s="60" t="s">
        <v>1757</v>
      </c>
      <c r="C965" s="72" t="s">
        <v>72</v>
      </c>
      <c r="D965" s="59" t="s">
        <v>806</v>
      </c>
      <c r="E965" s="85"/>
      <c r="F965" s="85">
        <v>40756</v>
      </c>
      <c r="G965" s="64" t="str">
        <f>IF(stdProdLT(Main[[#This Row],[Comments]])=0.1,"N/A",IF(stdProdLT(Main[[#This Row],[Comments]])=0,"",TRIM(stdProdLT(Main[[#This Row],[Comments]]))))</f>
        <v/>
      </c>
      <c r="H965" s="94" t="str">
        <f>IF(OR(Main[[#This Row],[Std. Prod. Lead Time]]="N/A",Main[[#This Row],[Std. Prod. Lead Time]]=""), "",IF(AND(Main[[#This Row],[In Stock Date]]&lt;&gt;"",Main[[#This Row],[Revised Due Date]]&lt;&gt;"",Main[[#This Row],[In Stock Date]]&lt;&gt;""),Main[[#This Row],[In Stock Date]]-Main[[#This Row],[Revised Due Date]],""))</f>
        <v/>
      </c>
      <c r="I965" s="101" t="s">
        <v>4</v>
      </c>
      <c r="J965" s="95" t="s">
        <v>28</v>
      </c>
      <c r="K965" s="95" t="s">
        <v>4</v>
      </c>
      <c r="L965" s="85"/>
      <c r="M965" s="73" t="str">
        <f>IF(Main[[#This Row],[Tech Start Date]]&lt;1/1/1990,"",IF(Main[[#This Row],[Class]]="C",WORKDAY(Main[[#This Row],[Tech Start Date]],9),IF(Main[[#This Row],[Class]]="B", WORKDAY(Main[[#This Row],[Tech Start Date]],6),IF(Main[[#This Row],[Class]]="A",WORKDAY(Main[[#This Row],[Tech Start Date]],2),""))))</f>
        <v/>
      </c>
      <c r="N965" s="73" t="str">
        <f>IF(Main[[#This Row],[Tech Start Date]]&lt;1/1/1990,"",IF(Main[[#This Row],[Class]]="C",WORKDAY(Main[[#This Row],[Tech Start Date]],19),IF(Main[[#This Row],[Class]]="B", WORKDAY(Main[[#This Row],[Tech Start Date]],12),IF(Main[[#This Row],[Class]]="A",WORKDAY(Main[[#This Row],[Tech Start Date]],4),""))))</f>
        <v/>
      </c>
      <c r="O965" s="73" t="str">
        <f>IF(Main[[#This Row],[Tech Start Date]]&lt;1/1/1990,"",IF(Main[[#This Row],[Class]]="C",WORKDAY(Main[[#This Row],[Tech Start Date]],23),IF(Main[[#This Row],[Class]]="B", WORKDAY(Main[[#This Row],[Tech Start Date]],15),IF(Main[[#This Row],[Class]]="A",WORKDAY(Main[[#This Row],[Tech Start Date]],5),""))))</f>
        <v/>
      </c>
      <c r="P965" s="73" t="str">
        <f>IF(Main[[#This Row],[Tech Start Date]]&lt;1/1/1990,"",IF(Main[[#This Row],[Class]]="C",WORKDAY(Main[[#This Row],[Tech Start Date]],28),IF(Main[[#This Row],[Class]]="B", WORKDAY(Main[[#This Row],[Tech Start Date]],19),IF(Main[[#This Row],[Class]]="A",WORKDAY(Main[[#This Row],[Tech Start Date]],9),""))))</f>
        <v/>
      </c>
      <c r="Q965" s="85"/>
      <c r="R965" s="112"/>
      <c r="S965" s="95" t="s">
        <v>11</v>
      </c>
      <c r="T965" s="74" t="s">
        <v>4</v>
      </c>
      <c r="U965" s="95" t="s">
        <v>14</v>
      </c>
      <c r="V965" s="95" t="s">
        <v>1914</v>
      </c>
      <c r="W965" s="95" t="s">
        <v>1916</v>
      </c>
      <c r="X965" s="95" t="s">
        <v>50</v>
      </c>
      <c r="Y965" s="72" t="s">
        <v>2956</v>
      </c>
      <c r="Z965" s="72" t="s">
        <v>30</v>
      </c>
      <c r="AA965" s="95" t="s">
        <v>2827</v>
      </c>
      <c r="AB965" s="132"/>
      <c r="AC965" s="132"/>
      <c r="AD965" s="132"/>
      <c r="AE965" s="63"/>
      <c r="AF965" s="63"/>
      <c r="AG965" s="63"/>
    </row>
    <row r="966" spans="1:33" ht="17.2" customHeight="1">
      <c r="A966" s="64" t="str">
        <f>IF(priority(Main[[#This Row],[Comments]])&lt;&gt;0, priority(Main[[#This Row],[Comments]]),"")</f>
        <v/>
      </c>
      <c r="B966" s="60" t="s">
        <v>1758</v>
      </c>
      <c r="C966" s="72" t="s">
        <v>47</v>
      </c>
      <c r="D966" s="59" t="s">
        <v>807</v>
      </c>
      <c r="E966" s="85"/>
      <c r="F966" s="85"/>
      <c r="G966" s="64" t="str">
        <f>IF(stdProdLT(Main[[#This Row],[Comments]])=0.1,"N/A",IF(stdProdLT(Main[[#This Row],[Comments]])=0,"",TRIM(stdProdLT(Main[[#This Row],[Comments]]))))</f>
        <v/>
      </c>
      <c r="H966" s="94" t="str">
        <f>IF(OR(Main[[#This Row],[Std. Prod. Lead Time]]="N/A",Main[[#This Row],[Std. Prod. Lead Time]]=""), "",IF(AND(Main[[#This Row],[In Stock Date]]&lt;&gt;"",Main[[#This Row],[Revised Due Date]]&lt;&gt;"",Main[[#This Row],[In Stock Date]]&lt;&gt;""),Main[[#This Row],[In Stock Date]]-Main[[#This Row],[Revised Due Date]],""))</f>
        <v/>
      </c>
      <c r="I966" s="101" t="s">
        <v>4</v>
      </c>
      <c r="J966" s="95" t="s">
        <v>4</v>
      </c>
      <c r="K966" s="95" t="s">
        <v>4</v>
      </c>
      <c r="L966" s="85"/>
      <c r="M966" s="73" t="str">
        <f>IF(Main[[#This Row],[Tech Start Date]]&lt;1/1/1990,"",IF(Main[[#This Row],[Class]]="C",WORKDAY(Main[[#This Row],[Tech Start Date]],9),IF(Main[[#This Row],[Class]]="B", WORKDAY(Main[[#This Row],[Tech Start Date]],6),IF(Main[[#This Row],[Class]]="A",WORKDAY(Main[[#This Row],[Tech Start Date]],2),""))))</f>
        <v/>
      </c>
      <c r="N966" s="73" t="str">
        <f>IF(Main[[#This Row],[Tech Start Date]]&lt;1/1/1990,"",IF(Main[[#This Row],[Class]]="C",WORKDAY(Main[[#This Row],[Tech Start Date]],19),IF(Main[[#This Row],[Class]]="B", WORKDAY(Main[[#This Row],[Tech Start Date]],12),IF(Main[[#This Row],[Class]]="A",WORKDAY(Main[[#This Row],[Tech Start Date]],4),""))))</f>
        <v/>
      </c>
      <c r="O966" s="73" t="str">
        <f>IF(Main[[#This Row],[Tech Start Date]]&lt;1/1/1990,"",IF(Main[[#This Row],[Class]]="C",WORKDAY(Main[[#This Row],[Tech Start Date]],23),IF(Main[[#This Row],[Class]]="B", WORKDAY(Main[[#This Row],[Tech Start Date]],15),IF(Main[[#This Row],[Class]]="A",WORKDAY(Main[[#This Row],[Tech Start Date]],5),""))))</f>
        <v/>
      </c>
      <c r="P966" s="73" t="str">
        <f>IF(Main[[#This Row],[Tech Start Date]]&lt;1/1/1990,"",IF(Main[[#This Row],[Class]]="C",WORKDAY(Main[[#This Row],[Tech Start Date]],28),IF(Main[[#This Row],[Class]]="B", WORKDAY(Main[[#This Row],[Tech Start Date]],19),IF(Main[[#This Row],[Class]]="A",WORKDAY(Main[[#This Row],[Tech Start Date]],9),""))))</f>
        <v/>
      </c>
      <c r="Q966" s="85"/>
      <c r="R966" s="112"/>
      <c r="S966" s="95" t="s">
        <v>17</v>
      </c>
      <c r="T966" s="74" t="s">
        <v>4</v>
      </c>
      <c r="U966" s="95" t="s">
        <v>14</v>
      </c>
      <c r="V966" s="95" t="s">
        <v>1912</v>
      </c>
      <c r="W966" s="95" t="s">
        <v>1919</v>
      </c>
      <c r="X966" s="95" t="s">
        <v>306</v>
      </c>
      <c r="Y966" s="72" t="s">
        <v>2919</v>
      </c>
      <c r="Z966" s="72" t="s">
        <v>4</v>
      </c>
      <c r="AA966" s="95" t="s">
        <v>3337</v>
      </c>
      <c r="AB966" s="132"/>
      <c r="AC966" s="132"/>
      <c r="AD966" s="132"/>
      <c r="AE966" s="63"/>
      <c r="AF966" s="63"/>
      <c r="AG966" s="63"/>
    </row>
    <row r="967" spans="1:33" ht="17.2" customHeight="1">
      <c r="A967" s="64" t="str">
        <f>IF(priority(Main[[#This Row],[Comments]])&lt;&gt;0, priority(Main[[#This Row],[Comments]]),"")</f>
        <v/>
      </c>
      <c r="B967" s="60" t="s">
        <v>1759</v>
      </c>
      <c r="C967" s="72" t="s">
        <v>4</v>
      </c>
      <c r="D967" s="59" t="s">
        <v>808</v>
      </c>
      <c r="E967" s="85">
        <v>40634.342361111114</v>
      </c>
      <c r="F967" s="85"/>
      <c r="G967" s="64" t="str">
        <f>IF(stdProdLT(Main[[#This Row],[Comments]])=0.1,"N/A",IF(stdProdLT(Main[[#This Row],[Comments]])=0,"",TRIM(stdProdLT(Main[[#This Row],[Comments]]))))</f>
        <v/>
      </c>
      <c r="H967" s="94" t="str">
        <f>IF(OR(Main[[#This Row],[Std. Prod. Lead Time]]="N/A",Main[[#This Row],[Std. Prod. Lead Time]]=""), "",IF(AND(Main[[#This Row],[In Stock Date]]&lt;&gt;"",Main[[#This Row],[Revised Due Date]]&lt;&gt;"",Main[[#This Row],[In Stock Date]]&lt;&gt;""),Main[[#This Row],[In Stock Date]]-Main[[#This Row],[Revised Due Date]],""))</f>
        <v/>
      </c>
      <c r="I967" s="101" t="s">
        <v>4</v>
      </c>
      <c r="J967" s="95" t="s">
        <v>4</v>
      </c>
      <c r="K967" s="95" t="s">
        <v>4</v>
      </c>
      <c r="L967" s="85"/>
      <c r="M967" s="73" t="str">
        <f>IF(Main[[#This Row],[Tech Start Date]]&lt;1/1/1990,"",IF(Main[[#This Row],[Class]]="C",WORKDAY(Main[[#This Row],[Tech Start Date]],9),IF(Main[[#This Row],[Class]]="B", WORKDAY(Main[[#This Row],[Tech Start Date]],6),IF(Main[[#This Row],[Class]]="A",WORKDAY(Main[[#This Row],[Tech Start Date]],2),""))))</f>
        <v/>
      </c>
      <c r="N967" s="73" t="str">
        <f>IF(Main[[#This Row],[Tech Start Date]]&lt;1/1/1990,"",IF(Main[[#This Row],[Class]]="C",WORKDAY(Main[[#This Row],[Tech Start Date]],19),IF(Main[[#This Row],[Class]]="B", WORKDAY(Main[[#This Row],[Tech Start Date]],12),IF(Main[[#This Row],[Class]]="A",WORKDAY(Main[[#This Row],[Tech Start Date]],4),""))))</f>
        <v/>
      </c>
      <c r="O967" s="73" t="str">
        <f>IF(Main[[#This Row],[Tech Start Date]]&lt;1/1/1990,"",IF(Main[[#This Row],[Class]]="C",WORKDAY(Main[[#This Row],[Tech Start Date]],23),IF(Main[[#This Row],[Class]]="B", WORKDAY(Main[[#This Row],[Tech Start Date]],15),IF(Main[[#This Row],[Class]]="A",WORKDAY(Main[[#This Row],[Tech Start Date]],5),""))))</f>
        <v/>
      </c>
      <c r="P967" s="73" t="str">
        <f>IF(Main[[#This Row],[Tech Start Date]]&lt;1/1/1990,"",IF(Main[[#This Row],[Class]]="C",WORKDAY(Main[[#This Row],[Tech Start Date]],28),IF(Main[[#This Row],[Class]]="B", WORKDAY(Main[[#This Row],[Tech Start Date]],19),IF(Main[[#This Row],[Class]]="A",WORKDAY(Main[[#This Row],[Tech Start Date]],9),""))))</f>
        <v/>
      </c>
      <c r="Q967" s="85">
        <v>40676</v>
      </c>
      <c r="R967" s="112"/>
      <c r="S967" s="95" t="s">
        <v>6</v>
      </c>
      <c r="T967" s="74" t="s">
        <v>4</v>
      </c>
      <c r="U967" s="95" t="s">
        <v>7</v>
      </c>
      <c r="V967" s="95" t="s">
        <v>1912</v>
      </c>
      <c r="W967" s="95" t="s">
        <v>4</v>
      </c>
      <c r="X967" s="95" t="s">
        <v>2798</v>
      </c>
      <c r="Y967" s="72" t="s">
        <v>2908</v>
      </c>
      <c r="Z967" s="72" t="s">
        <v>4</v>
      </c>
      <c r="AA967" s="95" t="s">
        <v>2798</v>
      </c>
      <c r="AB967" s="132"/>
      <c r="AC967" s="132"/>
      <c r="AD967" s="132"/>
      <c r="AE967" s="63"/>
      <c r="AF967" s="63"/>
      <c r="AG967" s="63"/>
    </row>
    <row r="968" spans="1:33" ht="17.2" customHeight="1">
      <c r="A968" s="64" t="str">
        <f>IF(priority(Main[[#This Row],[Comments]])&lt;&gt;0, priority(Main[[#This Row],[Comments]]),"")</f>
        <v/>
      </c>
      <c r="B968" s="60" t="s">
        <v>1760</v>
      </c>
      <c r="C968" s="72" t="s">
        <v>31</v>
      </c>
      <c r="D968" s="59" t="s">
        <v>809</v>
      </c>
      <c r="E968" s="85"/>
      <c r="F968" s="85"/>
      <c r="G968" s="64" t="str">
        <f>IF(stdProdLT(Main[[#This Row],[Comments]])=0.1,"N/A",IF(stdProdLT(Main[[#This Row],[Comments]])=0,"",TRIM(stdProdLT(Main[[#This Row],[Comments]]))))</f>
        <v/>
      </c>
      <c r="H968" s="94" t="str">
        <f>IF(OR(Main[[#This Row],[Std. Prod. Lead Time]]="N/A",Main[[#This Row],[Std. Prod. Lead Time]]=""), "",IF(AND(Main[[#This Row],[In Stock Date]]&lt;&gt;"",Main[[#This Row],[Revised Due Date]]&lt;&gt;"",Main[[#This Row],[In Stock Date]]&lt;&gt;""),Main[[#This Row],[In Stock Date]]-Main[[#This Row],[Revised Due Date]],""))</f>
        <v/>
      </c>
      <c r="I968" s="101" t="s">
        <v>4</v>
      </c>
      <c r="J968" s="95" t="s">
        <v>4</v>
      </c>
      <c r="K968" s="95" t="s">
        <v>4</v>
      </c>
      <c r="L968" s="85"/>
      <c r="M968" s="73" t="str">
        <f>IF(Main[[#This Row],[Tech Start Date]]&lt;1/1/1990,"",IF(Main[[#This Row],[Class]]="C",WORKDAY(Main[[#This Row],[Tech Start Date]],9),IF(Main[[#This Row],[Class]]="B", WORKDAY(Main[[#This Row],[Tech Start Date]],6),IF(Main[[#This Row],[Class]]="A",WORKDAY(Main[[#This Row],[Tech Start Date]],2),""))))</f>
        <v/>
      </c>
      <c r="N968" s="73" t="str">
        <f>IF(Main[[#This Row],[Tech Start Date]]&lt;1/1/1990,"",IF(Main[[#This Row],[Class]]="C",WORKDAY(Main[[#This Row],[Tech Start Date]],19),IF(Main[[#This Row],[Class]]="B", WORKDAY(Main[[#This Row],[Tech Start Date]],12),IF(Main[[#This Row],[Class]]="A",WORKDAY(Main[[#This Row],[Tech Start Date]],4),""))))</f>
        <v/>
      </c>
      <c r="O968" s="73" t="str">
        <f>IF(Main[[#This Row],[Tech Start Date]]&lt;1/1/1990,"",IF(Main[[#This Row],[Class]]="C",WORKDAY(Main[[#This Row],[Tech Start Date]],23),IF(Main[[#This Row],[Class]]="B", WORKDAY(Main[[#This Row],[Tech Start Date]],15),IF(Main[[#This Row],[Class]]="A",WORKDAY(Main[[#This Row],[Tech Start Date]],5),""))))</f>
        <v/>
      </c>
      <c r="P968" s="73" t="str">
        <f>IF(Main[[#This Row],[Tech Start Date]]&lt;1/1/1990,"",IF(Main[[#This Row],[Class]]="C",WORKDAY(Main[[#This Row],[Tech Start Date]],28),IF(Main[[#This Row],[Class]]="B", WORKDAY(Main[[#This Row],[Tech Start Date]],19),IF(Main[[#This Row],[Class]]="A",WORKDAY(Main[[#This Row],[Tech Start Date]],9),""))))</f>
        <v/>
      </c>
      <c r="Q968" s="85">
        <v>40318</v>
      </c>
      <c r="R968" s="112"/>
      <c r="S968" s="95" t="s">
        <v>11</v>
      </c>
      <c r="T968" s="74" t="s">
        <v>4</v>
      </c>
      <c r="U968" s="95" t="s">
        <v>14</v>
      </c>
      <c r="V968" s="95" t="s">
        <v>1914</v>
      </c>
      <c r="W968" s="95" t="s">
        <v>1913</v>
      </c>
      <c r="X968" s="95" t="s">
        <v>2810</v>
      </c>
      <c r="Y968" s="72" t="s">
        <v>4</v>
      </c>
      <c r="Z968" s="72" t="s">
        <v>4</v>
      </c>
      <c r="AA968" s="95" t="s">
        <v>2810</v>
      </c>
      <c r="AB968" s="132"/>
      <c r="AC968" s="132"/>
      <c r="AD968" s="132"/>
      <c r="AE968" s="63"/>
      <c r="AF968" s="63"/>
      <c r="AG968" s="63"/>
    </row>
    <row r="969" spans="1:33" ht="17.2" customHeight="1">
      <c r="A969" s="64" t="str">
        <f>IF(priority(Main[[#This Row],[Comments]])&lt;&gt;0, priority(Main[[#This Row],[Comments]]),"")</f>
        <v/>
      </c>
      <c r="B969" s="60" t="s">
        <v>1761</v>
      </c>
      <c r="C969" s="72" t="s">
        <v>4</v>
      </c>
      <c r="D969" s="59" t="s">
        <v>120</v>
      </c>
      <c r="E969" s="85"/>
      <c r="F969" s="85"/>
      <c r="G969" s="64" t="str">
        <f>IF(stdProdLT(Main[[#This Row],[Comments]])=0.1,"N/A",IF(stdProdLT(Main[[#This Row],[Comments]])=0,"",TRIM(stdProdLT(Main[[#This Row],[Comments]]))))</f>
        <v/>
      </c>
      <c r="H969" s="94" t="str">
        <f>IF(OR(Main[[#This Row],[Std. Prod. Lead Time]]="N/A",Main[[#This Row],[Std. Prod. Lead Time]]=""), "",IF(AND(Main[[#This Row],[In Stock Date]]&lt;&gt;"",Main[[#This Row],[Revised Due Date]]&lt;&gt;"",Main[[#This Row],[In Stock Date]]&lt;&gt;""),Main[[#This Row],[In Stock Date]]-Main[[#This Row],[Revised Due Date]],""))</f>
        <v/>
      </c>
      <c r="I969" s="101" t="s">
        <v>4</v>
      </c>
      <c r="J969" s="95" t="s">
        <v>4</v>
      </c>
      <c r="K969" s="95" t="s">
        <v>4</v>
      </c>
      <c r="L969" s="85"/>
      <c r="M969" s="73" t="str">
        <f>IF(Main[[#This Row],[Tech Start Date]]&lt;1/1/1990,"",IF(Main[[#This Row],[Class]]="C",WORKDAY(Main[[#This Row],[Tech Start Date]],9),IF(Main[[#This Row],[Class]]="B", WORKDAY(Main[[#This Row],[Tech Start Date]],6),IF(Main[[#This Row],[Class]]="A",WORKDAY(Main[[#This Row],[Tech Start Date]],2),""))))</f>
        <v/>
      </c>
      <c r="N969" s="73" t="str">
        <f>IF(Main[[#This Row],[Tech Start Date]]&lt;1/1/1990,"",IF(Main[[#This Row],[Class]]="C",WORKDAY(Main[[#This Row],[Tech Start Date]],19),IF(Main[[#This Row],[Class]]="B", WORKDAY(Main[[#This Row],[Tech Start Date]],12),IF(Main[[#This Row],[Class]]="A",WORKDAY(Main[[#This Row],[Tech Start Date]],4),""))))</f>
        <v/>
      </c>
      <c r="O969" s="73" t="str">
        <f>IF(Main[[#This Row],[Tech Start Date]]&lt;1/1/1990,"",IF(Main[[#This Row],[Class]]="C",WORKDAY(Main[[#This Row],[Tech Start Date]],23),IF(Main[[#This Row],[Class]]="B", WORKDAY(Main[[#This Row],[Tech Start Date]],15),IF(Main[[#This Row],[Class]]="A",WORKDAY(Main[[#This Row],[Tech Start Date]],5),""))))</f>
        <v/>
      </c>
      <c r="P969" s="73" t="str">
        <f>IF(Main[[#This Row],[Tech Start Date]]&lt;1/1/1990,"",IF(Main[[#This Row],[Class]]="C",WORKDAY(Main[[#This Row],[Tech Start Date]],28),IF(Main[[#This Row],[Class]]="B", WORKDAY(Main[[#This Row],[Tech Start Date]],19),IF(Main[[#This Row],[Class]]="A",WORKDAY(Main[[#This Row],[Tech Start Date]],9),""))))</f>
        <v/>
      </c>
      <c r="Q969" s="85"/>
      <c r="R969" s="112"/>
      <c r="S969" s="95" t="s">
        <v>11</v>
      </c>
      <c r="T969" s="74" t="s">
        <v>4</v>
      </c>
      <c r="U969" s="95" t="s">
        <v>14</v>
      </c>
      <c r="V969" s="95" t="s">
        <v>1914</v>
      </c>
      <c r="W969" s="95" t="s">
        <v>1925</v>
      </c>
      <c r="X969" s="95" t="s">
        <v>2822</v>
      </c>
      <c r="Y969" s="72" t="s">
        <v>2952</v>
      </c>
      <c r="Z969" s="72" t="s">
        <v>4</v>
      </c>
      <c r="AA969" s="95" t="s">
        <v>2822</v>
      </c>
      <c r="AB969" s="132"/>
      <c r="AC969" s="132"/>
      <c r="AD969" s="132"/>
      <c r="AE969" s="63"/>
      <c r="AF969" s="63"/>
      <c r="AG969" s="63"/>
    </row>
    <row r="970" spans="1:33" ht="17.2" customHeight="1">
      <c r="A970" s="64" t="str">
        <f>IF(priority(Main[[#This Row],[Comments]])&lt;&gt;0, priority(Main[[#This Row],[Comments]]),"")</f>
        <v/>
      </c>
      <c r="B970" s="60" t="s">
        <v>1762</v>
      </c>
      <c r="C970" s="72" t="s">
        <v>4</v>
      </c>
      <c r="D970" s="59" t="s">
        <v>810</v>
      </c>
      <c r="E970" s="85">
        <v>40687.166759259257</v>
      </c>
      <c r="F970" s="85"/>
      <c r="G970" s="64" t="str">
        <f>IF(stdProdLT(Main[[#This Row],[Comments]])=0.1,"N/A",IF(stdProdLT(Main[[#This Row],[Comments]])=0,"",TRIM(stdProdLT(Main[[#This Row],[Comments]]))))</f>
        <v/>
      </c>
      <c r="H970" s="94" t="str">
        <f>IF(OR(Main[[#This Row],[Std. Prod. Lead Time]]="N/A",Main[[#This Row],[Std. Prod. Lead Time]]=""), "",IF(AND(Main[[#This Row],[In Stock Date]]&lt;&gt;"",Main[[#This Row],[Revised Due Date]]&lt;&gt;"",Main[[#This Row],[In Stock Date]]&lt;&gt;""),Main[[#This Row],[In Stock Date]]-Main[[#This Row],[Revised Due Date]],""))</f>
        <v/>
      </c>
      <c r="I970" s="101" t="s">
        <v>4</v>
      </c>
      <c r="J970" s="95" t="s">
        <v>4</v>
      </c>
      <c r="K970" s="95" t="s">
        <v>4</v>
      </c>
      <c r="L970" s="85"/>
      <c r="M970" s="73" t="str">
        <f>IF(Main[[#This Row],[Tech Start Date]]&lt;1/1/1990,"",IF(Main[[#This Row],[Class]]="C",WORKDAY(Main[[#This Row],[Tech Start Date]],9),IF(Main[[#This Row],[Class]]="B", WORKDAY(Main[[#This Row],[Tech Start Date]],6),IF(Main[[#This Row],[Class]]="A",WORKDAY(Main[[#This Row],[Tech Start Date]],2),""))))</f>
        <v/>
      </c>
      <c r="N970" s="73" t="str">
        <f>IF(Main[[#This Row],[Tech Start Date]]&lt;1/1/1990,"",IF(Main[[#This Row],[Class]]="C",WORKDAY(Main[[#This Row],[Tech Start Date]],19),IF(Main[[#This Row],[Class]]="B", WORKDAY(Main[[#This Row],[Tech Start Date]],12),IF(Main[[#This Row],[Class]]="A",WORKDAY(Main[[#This Row],[Tech Start Date]],4),""))))</f>
        <v/>
      </c>
      <c r="O970" s="73" t="str">
        <f>IF(Main[[#This Row],[Tech Start Date]]&lt;1/1/1990,"",IF(Main[[#This Row],[Class]]="C",WORKDAY(Main[[#This Row],[Tech Start Date]],23),IF(Main[[#This Row],[Class]]="B", WORKDAY(Main[[#This Row],[Tech Start Date]],15),IF(Main[[#This Row],[Class]]="A",WORKDAY(Main[[#This Row],[Tech Start Date]],5),""))))</f>
        <v/>
      </c>
      <c r="P970" s="73" t="str">
        <f>IF(Main[[#This Row],[Tech Start Date]]&lt;1/1/1990,"",IF(Main[[#This Row],[Class]]="C",WORKDAY(Main[[#This Row],[Tech Start Date]],28),IF(Main[[#This Row],[Class]]="B", WORKDAY(Main[[#This Row],[Tech Start Date]],19),IF(Main[[#This Row],[Class]]="A",WORKDAY(Main[[#This Row],[Tech Start Date]],9),""))))</f>
        <v/>
      </c>
      <c r="Q970" s="85">
        <v>40724</v>
      </c>
      <c r="R970" s="112"/>
      <c r="S970" s="95" t="s">
        <v>6</v>
      </c>
      <c r="T970" s="74" t="s">
        <v>4</v>
      </c>
      <c r="U970" s="95" t="s">
        <v>7</v>
      </c>
      <c r="V970" s="95" t="s">
        <v>1911</v>
      </c>
      <c r="W970" s="95" t="s">
        <v>4</v>
      </c>
      <c r="X970" s="95" t="s">
        <v>2802</v>
      </c>
      <c r="Y970" s="72" t="s">
        <v>2916</v>
      </c>
      <c r="Z970" s="72" t="s">
        <v>4</v>
      </c>
      <c r="AA970" s="95" t="s">
        <v>2802</v>
      </c>
      <c r="AB970" s="132"/>
      <c r="AC970" s="132"/>
      <c r="AD970" s="132"/>
      <c r="AE970" s="63"/>
      <c r="AF970" s="63"/>
      <c r="AG970" s="63"/>
    </row>
    <row r="971" spans="1:33" ht="17.2" customHeight="1">
      <c r="A971" s="64" t="str">
        <f>IF(priority(Main[[#This Row],[Comments]])&lt;&gt;0, priority(Main[[#This Row],[Comments]]),"")</f>
        <v/>
      </c>
      <c r="B971" s="60" t="s">
        <v>1764</v>
      </c>
      <c r="C971" s="72" t="s">
        <v>4</v>
      </c>
      <c r="D971" s="59" t="s">
        <v>811</v>
      </c>
      <c r="E971" s="85"/>
      <c r="F971" s="85">
        <v>40598</v>
      </c>
      <c r="G971" s="64" t="str">
        <f>IF(stdProdLT(Main[[#This Row],[Comments]])=0.1,"N/A",IF(stdProdLT(Main[[#This Row],[Comments]])=0,"",TRIM(stdProdLT(Main[[#This Row],[Comments]]))))</f>
        <v/>
      </c>
      <c r="H971" s="94" t="str">
        <f>IF(OR(Main[[#This Row],[Std. Prod. Lead Time]]="N/A",Main[[#This Row],[Std. Prod. Lead Time]]=""), "",IF(AND(Main[[#This Row],[In Stock Date]]&lt;&gt;"",Main[[#This Row],[Revised Due Date]]&lt;&gt;"",Main[[#This Row],[In Stock Date]]&lt;&gt;""),Main[[#This Row],[In Stock Date]]-Main[[#This Row],[Revised Due Date]],""))</f>
        <v/>
      </c>
      <c r="I971" s="101" t="s">
        <v>4</v>
      </c>
      <c r="J971" s="95" t="s">
        <v>4</v>
      </c>
      <c r="K971" s="95" t="s">
        <v>4</v>
      </c>
      <c r="L971" s="85"/>
      <c r="M971" s="73" t="str">
        <f>IF(Main[[#This Row],[Tech Start Date]]&lt;1/1/1990,"",IF(Main[[#This Row],[Class]]="C",WORKDAY(Main[[#This Row],[Tech Start Date]],9),IF(Main[[#This Row],[Class]]="B", WORKDAY(Main[[#This Row],[Tech Start Date]],6),IF(Main[[#This Row],[Class]]="A",WORKDAY(Main[[#This Row],[Tech Start Date]],2),""))))</f>
        <v/>
      </c>
      <c r="N971" s="73" t="str">
        <f>IF(Main[[#This Row],[Tech Start Date]]&lt;1/1/1990,"",IF(Main[[#This Row],[Class]]="C",WORKDAY(Main[[#This Row],[Tech Start Date]],19),IF(Main[[#This Row],[Class]]="B", WORKDAY(Main[[#This Row],[Tech Start Date]],12),IF(Main[[#This Row],[Class]]="A",WORKDAY(Main[[#This Row],[Tech Start Date]],4),""))))</f>
        <v/>
      </c>
      <c r="O971" s="73" t="str">
        <f>IF(Main[[#This Row],[Tech Start Date]]&lt;1/1/1990,"",IF(Main[[#This Row],[Class]]="C",WORKDAY(Main[[#This Row],[Tech Start Date]],23),IF(Main[[#This Row],[Class]]="B", WORKDAY(Main[[#This Row],[Tech Start Date]],15),IF(Main[[#This Row],[Class]]="A",WORKDAY(Main[[#This Row],[Tech Start Date]],5),""))))</f>
        <v/>
      </c>
      <c r="P971" s="73" t="str">
        <f>IF(Main[[#This Row],[Tech Start Date]]&lt;1/1/1990,"",IF(Main[[#This Row],[Class]]="C",WORKDAY(Main[[#This Row],[Tech Start Date]],28),IF(Main[[#This Row],[Class]]="B", WORKDAY(Main[[#This Row],[Tech Start Date]],19),IF(Main[[#This Row],[Class]]="A",WORKDAY(Main[[#This Row],[Tech Start Date]],9),""))))</f>
        <v/>
      </c>
      <c r="Q971" s="85">
        <v>40598</v>
      </c>
      <c r="R971" s="112"/>
      <c r="S971" s="95" t="s">
        <v>11</v>
      </c>
      <c r="T971" s="74" t="s">
        <v>4</v>
      </c>
      <c r="U971" s="95" t="s">
        <v>14</v>
      </c>
      <c r="V971" s="95" t="s">
        <v>1921</v>
      </c>
      <c r="W971" s="95" t="s">
        <v>1917</v>
      </c>
      <c r="X971" s="95" t="s">
        <v>2828</v>
      </c>
      <c r="Y971" s="72" t="s">
        <v>2957</v>
      </c>
      <c r="Z971" s="72" t="s">
        <v>4</v>
      </c>
      <c r="AA971" s="95" t="s">
        <v>2828</v>
      </c>
      <c r="AB971" s="132"/>
      <c r="AC971" s="132"/>
      <c r="AD971" s="132"/>
      <c r="AE971" s="63"/>
      <c r="AF971" s="63"/>
      <c r="AG971" s="63"/>
    </row>
    <row r="972" spans="1:33" ht="17.2" customHeight="1">
      <c r="A972" s="64" t="str">
        <f>IF(priority(Main[[#This Row],[Comments]])&lt;&gt;0, priority(Main[[#This Row],[Comments]]),"")</f>
        <v/>
      </c>
      <c r="B972" s="60" t="s">
        <v>3888</v>
      </c>
      <c r="C972" s="72" t="s">
        <v>4</v>
      </c>
      <c r="D972" s="59" t="s">
        <v>3889</v>
      </c>
      <c r="E972" s="85">
        <v>40975.113738425927</v>
      </c>
      <c r="F972" s="85">
        <v>41010</v>
      </c>
      <c r="G972" s="64" t="str">
        <f>IF(stdProdLT(Main[[#This Row],[Comments]])=0.1,"N/A",IF(stdProdLT(Main[[#This Row],[Comments]])=0,"",TRIM(stdProdLT(Main[[#This Row],[Comments]]))))</f>
        <v>N/A</v>
      </c>
      <c r="H972" s="94" t="str">
        <f>IF(OR(Main[[#This Row],[Std. Prod. Lead Time]]="N/A",Main[[#This Row],[Std. Prod. Lead Time]]=""), "",IF(AND(Main[[#This Row],[In Stock Date]]&lt;&gt;"",Main[[#This Row],[Revised Due Date]]&lt;&gt;"",Main[[#This Row],[In Stock Date]]&lt;&gt;""),Main[[#This Row],[In Stock Date]]-Main[[#This Row],[Revised Due Date]],""))</f>
        <v/>
      </c>
      <c r="I972" s="101" t="s">
        <v>4</v>
      </c>
      <c r="J972" s="95" t="s">
        <v>4</v>
      </c>
      <c r="K972" s="95" t="s">
        <v>4</v>
      </c>
      <c r="L972" s="85"/>
      <c r="M972" s="73" t="str">
        <f>IF(Main[[#This Row],[Tech Start Date]]&lt;1/1/1990,"",IF(Main[[#This Row],[Class]]="C",WORKDAY(Main[[#This Row],[Tech Start Date]],9),IF(Main[[#This Row],[Class]]="B", WORKDAY(Main[[#This Row],[Tech Start Date]],6),IF(Main[[#This Row],[Class]]="A",WORKDAY(Main[[#This Row],[Tech Start Date]],2),""))))</f>
        <v/>
      </c>
      <c r="N972" s="73" t="str">
        <f>IF(Main[[#This Row],[Tech Start Date]]&lt;1/1/1990,"",IF(Main[[#This Row],[Class]]="C",WORKDAY(Main[[#This Row],[Tech Start Date]],19),IF(Main[[#This Row],[Class]]="B", WORKDAY(Main[[#This Row],[Tech Start Date]],12),IF(Main[[#This Row],[Class]]="A",WORKDAY(Main[[#This Row],[Tech Start Date]],4),""))))</f>
        <v/>
      </c>
      <c r="O972" s="73" t="str">
        <f>IF(Main[[#This Row],[Tech Start Date]]&lt;1/1/1990,"",IF(Main[[#This Row],[Class]]="C",WORKDAY(Main[[#This Row],[Tech Start Date]],23),IF(Main[[#This Row],[Class]]="B", WORKDAY(Main[[#This Row],[Tech Start Date]],15),IF(Main[[#This Row],[Class]]="A",WORKDAY(Main[[#This Row],[Tech Start Date]],5),""))))</f>
        <v/>
      </c>
      <c r="P972" s="73" t="str">
        <f>IF(Main[[#This Row],[Tech Start Date]]&lt;1/1/1990,"",IF(Main[[#This Row],[Class]]="C",WORKDAY(Main[[#This Row],[Tech Start Date]],28),IF(Main[[#This Row],[Class]]="B", WORKDAY(Main[[#This Row],[Tech Start Date]],19),IF(Main[[#This Row],[Class]]="A",WORKDAY(Main[[#This Row],[Tech Start Date]],9),""))))</f>
        <v/>
      </c>
      <c r="Q972" s="85"/>
      <c r="R972" s="112"/>
      <c r="S972" s="95" t="s">
        <v>11</v>
      </c>
      <c r="T972" s="74" t="s">
        <v>3201</v>
      </c>
      <c r="U972" s="95" t="s">
        <v>7</v>
      </c>
      <c r="V972" s="95" t="s">
        <v>1921</v>
      </c>
      <c r="W972" s="95" t="s">
        <v>1917</v>
      </c>
      <c r="X972" s="95" t="s">
        <v>2891</v>
      </c>
      <c r="Y972" s="72" t="s">
        <v>3870</v>
      </c>
      <c r="Z972" s="72" t="s">
        <v>4</v>
      </c>
      <c r="AA972" s="95" t="s">
        <v>2891</v>
      </c>
      <c r="AB972" s="132"/>
      <c r="AC972" s="132"/>
      <c r="AD972" s="132"/>
      <c r="AE972" s="63"/>
      <c r="AF972" s="63"/>
      <c r="AG972" s="63"/>
    </row>
    <row r="973" spans="1:33" ht="17.2" customHeight="1">
      <c r="A973" s="64" t="str">
        <f>IF(priority(Main[[#This Row],[Comments]])&lt;&gt;0, priority(Main[[#This Row],[Comments]]),"")</f>
        <v/>
      </c>
      <c r="B973" s="60" t="s">
        <v>3222</v>
      </c>
      <c r="C973" s="72" t="s">
        <v>4</v>
      </c>
      <c r="D973" s="59" t="s">
        <v>3296</v>
      </c>
      <c r="E973" s="85">
        <v>40931.598935185182</v>
      </c>
      <c r="F973" s="85"/>
      <c r="G973" s="64" t="str">
        <f>IF(stdProdLT(Main[[#This Row],[Comments]])=0.1,"N/A",IF(stdProdLT(Main[[#This Row],[Comments]])=0,"",TRIM(stdProdLT(Main[[#This Row],[Comments]]))))</f>
        <v/>
      </c>
      <c r="H973" s="94" t="str">
        <f>IF(OR(Main[[#This Row],[Std. Prod. Lead Time]]="N/A",Main[[#This Row],[Std. Prod. Lead Time]]=""), "",IF(AND(Main[[#This Row],[In Stock Date]]&lt;&gt;"",Main[[#This Row],[Revised Due Date]]&lt;&gt;"",Main[[#This Row],[In Stock Date]]&lt;&gt;""),Main[[#This Row],[In Stock Date]]-Main[[#This Row],[Revised Due Date]],""))</f>
        <v/>
      </c>
      <c r="I973" s="101" t="s">
        <v>4</v>
      </c>
      <c r="J973" s="95" t="s">
        <v>4</v>
      </c>
      <c r="K973" s="96" t="s">
        <v>4</v>
      </c>
      <c r="L973" s="85"/>
      <c r="M973" s="73" t="str">
        <f>IF(Main[[#This Row],[Tech Start Date]]&lt;1/1/1990,"",IF(Main[[#This Row],[Class]]="C",WORKDAY(Main[[#This Row],[Tech Start Date]],9),IF(Main[[#This Row],[Class]]="B", WORKDAY(Main[[#This Row],[Tech Start Date]],6),IF(Main[[#This Row],[Class]]="A",WORKDAY(Main[[#This Row],[Tech Start Date]],2),""))))</f>
        <v/>
      </c>
      <c r="N973" s="73" t="str">
        <f>IF(Main[[#This Row],[Tech Start Date]]&lt;1/1/1990,"",IF(Main[[#This Row],[Class]]="C",WORKDAY(Main[[#This Row],[Tech Start Date]],19),IF(Main[[#This Row],[Class]]="B", WORKDAY(Main[[#This Row],[Tech Start Date]],12),IF(Main[[#This Row],[Class]]="A",WORKDAY(Main[[#This Row],[Tech Start Date]],4),""))))</f>
        <v/>
      </c>
      <c r="O973" s="73" t="str">
        <f>IF(Main[[#This Row],[Tech Start Date]]&lt;1/1/1990,"",IF(Main[[#This Row],[Class]]="C",WORKDAY(Main[[#This Row],[Tech Start Date]],23),IF(Main[[#This Row],[Class]]="B", WORKDAY(Main[[#This Row],[Tech Start Date]],15),IF(Main[[#This Row],[Class]]="A",WORKDAY(Main[[#This Row],[Tech Start Date]],5),""))))</f>
        <v/>
      </c>
      <c r="P973" s="73" t="str">
        <f>IF(Main[[#This Row],[Tech Start Date]]&lt;1/1/1990,"",IF(Main[[#This Row],[Class]]="C",WORKDAY(Main[[#This Row],[Tech Start Date]],28),IF(Main[[#This Row],[Class]]="B", WORKDAY(Main[[#This Row],[Tech Start Date]],19),IF(Main[[#This Row],[Class]]="A",WORKDAY(Main[[#This Row],[Tech Start Date]],9),""))))</f>
        <v/>
      </c>
      <c r="Q973" s="85"/>
      <c r="R973" s="112"/>
      <c r="S973" s="95" t="s">
        <v>17</v>
      </c>
      <c r="T973" s="74" t="s">
        <v>4</v>
      </c>
      <c r="U973" s="95" t="s">
        <v>29</v>
      </c>
      <c r="V973" s="95" t="s">
        <v>1914</v>
      </c>
      <c r="W973" s="95" t="s">
        <v>1916</v>
      </c>
      <c r="X973" s="95" t="s">
        <v>1970</v>
      </c>
      <c r="Y973" s="72" t="s">
        <v>4</v>
      </c>
      <c r="Z973" s="72" t="s">
        <v>4</v>
      </c>
      <c r="AA973" s="95" t="s">
        <v>1970</v>
      </c>
      <c r="AB973" s="132"/>
      <c r="AC973" s="132"/>
      <c r="AD973" s="132"/>
      <c r="AE973" s="63"/>
      <c r="AF973" s="63"/>
      <c r="AG973" s="63"/>
    </row>
    <row r="974" spans="1:33" ht="17.2" customHeight="1">
      <c r="A974" s="64" t="str">
        <f>IF(priority(Main[[#This Row],[Comments]])&lt;&gt;0, priority(Main[[#This Row],[Comments]]),"")</f>
        <v/>
      </c>
      <c r="B974" s="60" t="s">
        <v>1640</v>
      </c>
      <c r="C974" s="72" t="s">
        <v>4</v>
      </c>
      <c r="D974" s="59" t="s">
        <v>711</v>
      </c>
      <c r="E974" s="85"/>
      <c r="F974" s="85"/>
      <c r="G974" s="64" t="str">
        <f>IF(stdProdLT(Main[[#This Row],[Comments]])=0.1,"N/A",IF(stdProdLT(Main[[#This Row],[Comments]])=0,"",TRIM(stdProdLT(Main[[#This Row],[Comments]]))))</f>
        <v/>
      </c>
      <c r="H974" s="94" t="str">
        <f>IF(OR(Main[[#This Row],[Std. Prod. Lead Time]]="N/A",Main[[#This Row],[Std. Prod. Lead Time]]=""), "",IF(AND(Main[[#This Row],[In Stock Date]]&lt;&gt;"",Main[[#This Row],[Revised Due Date]]&lt;&gt;"",Main[[#This Row],[In Stock Date]]&lt;&gt;""),Main[[#This Row],[In Stock Date]]-Main[[#This Row],[Revised Due Date]],""))</f>
        <v/>
      </c>
      <c r="I974" s="101" t="s">
        <v>4</v>
      </c>
      <c r="J974" s="95" t="s">
        <v>4</v>
      </c>
      <c r="K974" s="95" t="s">
        <v>4</v>
      </c>
      <c r="L974" s="85"/>
      <c r="M974" s="73" t="str">
        <f>IF(Main[[#This Row],[Tech Start Date]]&lt;1/1/1990,"",IF(Main[[#This Row],[Class]]="C",WORKDAY(Main[[#This Row],[Tech Start Date]],9),IF(Main[[#This Row],[Class]]="B", WORKDAY(Main[[#This Row],[Tech Start Date]],6),IF(Main[[#This Row],[Class]]="A",WORKDAY(Main[[#This Row],[Tech Start Date]],2),""))))</f>
        <v/>
      </c>
      <c r="N974" s="73" t="str">
        <f>IF(Main[[#This Row],[Tech Start Date]]&lt;1/1/1990,"",IF(Main[[#This Row],[Class]]="C",WORKDAY(Main[[#This Row],[Tech Start Date]],19),IF(Main[[#This Row],[Class]]="B", WORKDAY(Main[[#This Row],[Tech Start Date]],12),IF(Main[[#This Row],[Class]]="A",WORKDAY(Main[[#This Row],[Tech Start Date]],4),""))))</f>
        <v/>
      </c>
      <c r="O974" s="73" t="str">
        <f>IF(Main[[#This Row],[Tech Start Date]]&lt;1/1/1990,"",IF(Main[[#This Row],[Class]]="C",WORKDAY(Main[[#This Row],[Tech Start Date]],23),IF(Main[[#This Row],[Class]]="B", WORKDAY(Main[[#This Row],[Tech Start Date]],15),IF(Main[[#This Row],[Class]]="A",WORKDAY(Main[[#This Row],[Tech Start Date]],5),""))))</f>
        <v/>
      </c>
      <c r="P974" s="73" t="str">
        <f>IF(Main[[#This Row],[Tech Start Date]]&lt;1/1/1990,"",IF(Main[[#This Row],[Class]]="C",WORKDAY(Main[[#This Row],[Tech Start Date]],28),IF(Main[[#This Row],[Class]]="B", WORKDAY(Main[[#This Row],[Tech Start Date]],19),IF(Main[[#This Row],[Class]]="A",WORKDAY(Main[[#This Row],[Tech Start Date]],9),""))))</f>
        <v/>
      </c>
      <c r="Q974" s="85">
        <v>40672</v>
      </c>
      <c r="R974" s="112"/>
      <c r="S974" s="95" t="s">
        <v>6</v>
      </c>
      <c r="T974" s="74" t="s">
        <v>4</v>
      </c>
      <c r="U974" s="95" t="s">
        <v>14</v>
      </c>
      <c r="V974" s="95" t="s">
        <v>1914</v>
      </c>
      <c r="W974" s="95" t="s">
        <v>4</v>
      </c>
      <c r="X974" s="95" t="s">
        <v>2802</v>
      </c>
      <c r="Y974" s="72" t="s">
        <v>2916</v>
      </c>
      <c r="Z974" s="72" t="s">
        <v>4</v>
      </c>
      <c r="AA974" s="95" t="s">
        <v>2802</v>
      </c>
      <c r="AB974" s="132"/>
      <c r="AC974" s="132"/>
      <c r="AD974" s="132"/>
      <c r="AE974" s="63"/>
      <c r="AF974" s="63"/>
      <c r="AG974" s="63"/>
    </row>
    <row r="975" spans="1:33" ht="17.2" customHeight="1">
      <c r="A975" s="64" t="str">
        <f>IF(priority(Main[[#This Row],[Comments]])&lt;&gt;0, priority(Main[[#This Row],[Comments]]),"")</f>
        <v/>
      </c>
      <c r="B975" s="60" t="s">
        <v>1765</v>
      </c>
      <c r="C975" s="72" t="s">
        <v>4</v>
      </c>
      <c r="D975" s="59" t="s">
        <v>812</v>
      </c>
      <c r="E975" s="85"/>
      <c r="F975" s="85"/>
      <c r="G975" s="64" t="str">
        <f>IF(stdProdLT(Main[[#This Row],[Comments]])=0.1,"N/A",IF(stdProdLT(Main[[#This Row],[Comments]])=0,"",TRIM(stdProdLT(Main[[#This Row],[Comments]]))))</f>
        <v/>
      </c>
      <c r="H975" s="94" t="str">
        <f>IF(OR(Main[[#This Row],[Std. Prod. Lead Time]]="N/A",Main[[#This Row],[Std. Prod. Lead Time]]=""), "",IF(AND(Main[[#This Row],[In Stock Date]]&lt;&gt;"",Main[[#This Row],[Revised Due Date]]&lt;&gt;"",Main[[#This Row],[In Stock Date]]&lt;&gt;""),Main[[#This Row],[In Stock Date]]-Main[[#This Row],[Revised Due Date]],""))</f>
        <v/>
      </c>
      <c r="I975" s="101" t="s">
        <v>4</v>
      </c>
      <c r="J975" s="95" t="s">
        <v>4</v>
      </c>
      <c r="K975" s="95" t="s">
        <v>4</v>
      </c>
      <c r="L975" s="85"/>
      <c r="M975" s="73" t="str">
        <f>IF(Main[[#This Row],[Tech Start Date]]&lt;1/1/1990,"",IF(Main[[#This Row],[Class]]="C",WORKDAY(Main[[#This Row],[Tech Start Date]],9),IF(Main[[#This Row],[Class]]="B", WORKDAY(Main[[#This Row],[Tech Start Date]],6),IF(Main[[#This Row],[Class]]="A",WORKDAY(Main[[#This Row],[Tech Start Date]],2),""))))</f>
        <v/>
      </c>
      <c r="N975" s="73" t="str">
        <f>IF(Main[[#This Row],[Tech Start Date]]&lt;1/1/1990,"",IF(Main[[#This Row],[Class]]="C",WORKDAY(Main[[#This Row],[Tech Start Date]],19),IF(Main[[#This Row],[Class]]="B", WORKDAY(Main[[#This Row],[Tech Start Date]],12),IF(Main[[#This Row],[Class]]="A",WORKDAY(Main[[#This Row],[Tech Start Date]],4),""))))</f>
        <v/>
      </c>
      <c r="O975" s="73" t="str">
        <f>IF(Main[[#This Row],[Tech Start Date]]&lt;1/1/1990,"",IF(Main[[#This Row],[Class]]="C",WORKDAY(Main[[#This Row],[Tech Start Date]],23),IF(Main[[#This Row],[Class]]="B", WORKDAY(Main[[#This Row],[Tech Start Date]],15),IF(Main[[#This Row],[Class]]="A",WORKDAY(Main[[#This Row],[Tech Start Date]],5),""))))</f>
        <v/>
      </c>
      <c r="P975" s="73" t="str">
        <f>IF(Main[[#This Row],[Tech Start Date]]&lt;1/1/1990,"",IF(Main[[#This Row],[Class]]="C",WORKDAY(Main[[#This Row],[Tech Start Date]],28),IF(Main[[#This Row],[Class]]="B", WORKDAY(Main[[#This Row],[Tech Start Date]],19),IF(Main[[#This Row],[Class]]="A",WORKDAY(Main[[#This Row],[Tech Start Date]],9),""))))</f>
        <v/>
      </c>
      <c r="Q975" s="85">
        <v>40209</v>
      </c>
      <c r="R975" s="112"/>
      <c r="S975" s="95" t="s">
        <v>6</v>
      </c>
      <c r="T975" s="74" t="s">
        <v>4</v>
      </c>
      <c r="U975" s="95" t="s">
        <v>14</v>
      </c>
      <c r="V975" s="95" t="s">
        <v>1914</v>
      </c>
      <c r="W975" s="95" t="s">
        <v>4</v>
      </c>
      <c r="X975" s="95" t="s">
        <v>2867</v>
      </c>
      <c r="Y975" s="72" t="s">
        <v>3021</v>
      </c>
      <c r="Z975" s="72" t="s">
        <v>4</v>
      </c>
      <c r="AA975" s="95" t="s">
        <v>2867</v>
      </c>
      <c r="AB975" s="132"/>
      <c r="AC975" s="132"/>
      <c r="AD975" s="132"/>
      <c r="AE975" s="63"/>
      <c r="AF975" s="63"/>
      <c r="AG975" s="63"/>
    </row>
    <row r="976" spans="1:33" ht="17.2" customHeight="1">
      <c r="A976" s="64" t="str">
        <f>IF(priority(Main[[#This Row],[Comments]])&lt;&gt;0, priority(Main[[#This Row],[Comments]]),"")</f>
        <v/>
      </c>
      <c r="B976" s="60" t="s">
        <v>1766</v>
      </c>
      <c r="C976" s="72" t="s">
        <v>813</v>
      </c>
      <c r="D976" s="59" t="s">
        <v>814</v>
      </c>
      <c r="E976" s="85"/>
      <c r="F976" s="85">
        <v>40678</v>
      </c>
      <c r="G976" s="64" t="str">
        <f>IF(stdProdLT(Main[[#This Row],[Comments]])=0.1,"N/A",IF(stdProdLT(Main[[#This Row],[Comments]])=0,"",TRIM(stdProdLT(Main[[#This Row],[Comments]]))))</f>
        <v/>
      </c>
      <c r="H976" s="94" t="str">
        <f>IF(OR(Main[[#This Row],[Std. Prod. Lead Time]]="N/A",Main[[#This Row],[Std. Prod. Lead Time]]=""), "",IF(AND(Main[[#This Row],[In Stock Date]]&lt;&gt;"",Main[[#This Row],[Revised Due Date]]&lt;&gt;"",Main[[#This Row],[In Stock Date]]&lt;&gt;""),Main[[#This Row],[In Stock Date]]-Main[[#This Row],[Revised Due Date]],""))</f>
        <v/>
      </c>
      <c r="I976" s="101" t="s">
        <v>4</v>
      </c>
      <c r="J976" s="95" t="s">
        <v>4</v>
      </c>
      <c r="K976" s="95" t="s">
        <v>4</v>
      </c>
      <c r="L976" s="85"/>
      <c r="M976" s="73" t="str">
        <f>IF(Main[[#This Row],[Tech Start Date]]&lt;1/1/1990,"",IF(Main[[#This Row],[Class]]="C",WORKDAY(Main[[#This Row],[Tech Start Date]],9),IF(Main[[#This Row],[Class]]="B", WORKDAY(Main[[#This Row],[Tech Start Date]],6),IF(Main[[#This Row],[Class]]="A",WORKDAY(Main[[#This Row],[Tech Start Date]],2),""))))</f>
        <v/>
      </c>
      <c r="N976" s="73" t="str">
        <f>IF(Main[[#This Row],[Tech Start Date]]&lt;1/1/1990,"",IF(Main[[#This Row],[Class]]="C",WORKDAY(Main[[#This Row],[Tech Start Date]],19),IF(Main[[#This Row],[Class]]="B", WORKDAY(Main[[#This Row],[Tech Start Date]],12),IF(Main[[#This Row],[Class]]="A",WORKDAY(Main[[#This Row],[Tech Start Date]],4),""))))</f>
        <v/>
      </c>
      <c r="O976" s="73" t="str">
        <f>IF(Main[[#This Row],[Tech Start Date]]&lt;1/1/1990,"",IF(Main[[#This Row],[Class]]="C",WORKDAY(Main[[#This Row],[Tech Start Date]],23),IF(Main[[#This Row],[Class]]="B", WORKDAY(Main[[#This Row],[Tech Start Date]],15),IF(Main[[#This Row],[Class]]="A",WORKDAY(Main[[#This Row],[Tech Start Date]],5),""))))</f>
        <v/>
      </c>
      <c r="P976" s="73" t="str">
        <f>IF(Main[[#This Row],[Tech Start Date]]&lt;1/1/1990,"",IF(Main[[#This Row],[Class]]="C",WORKDAY(Main[[#This Row],[Tech Start Date]],28),IF(Main[[#This Row],[Class]]="B", WORKDAY(Main[[#This Row],[Tech Start Date]],19),IF(Main[[#This Row],[Class]]="A",WORKDAY(Main[[#This Row],[Tech Start Date]],9),""))))</f>
        <v/>
      </c>
      <c r="Q976" s="85">
        <v>40602</v>
      </c>
      <c r="R976" s="112"/>
      <c r="S976" s="95" t="s">
        <v>11</v>
      </c>
      <c r="T976" s="74" t="s">
        <v>4</v>
      </c>
      <c r="U976" s="95" t="s">
        <v>14</v>
      </c>
      <c r="V976" s="95" t="s">
        <v>1911</v>
      </c>
      <c r="W976" s="95" t="s">
        <v>1917</v>
      </c>
      <c r="X976" s="95" t="s">
        <v>2804</v>
      </c>
      <c r="Y976" s="72" t="s">
        <v>2921</v>
      </c>
      <c r="Z976" s="72" t="s">
        <v>4</v>
      </c>
      <c r="AA976" s="95" t="s">
        <v>2804</v>
      </c>
      <c r="AB976" s="132"/>
      <c r="AC976" s="132"/>
      <c r="AD976" s="132"/>
      <c r="AE976" s="63"/>
      <c r="AF976" s="63"/>
      <c r="AG976" s="63"/>
    </row>
    <row r="977" spans="1:33" ht="17.2" customHeight="1">
      <c r="A977" s="64" t="str">
        <f>IF(priority(Main[[#This Row],[Comments]])&lt;&gt;0, priority(Main[[#This Row],[Comments]]),"")</f>
        <v/>
      </c>
      <c r="B977" s="60" t="s">
        <v>1769</v>
      </c>
      <c r="C977" s="72" t="s">
        <v>815</v>
      </c>
      <c r="D977" s="59" t="s">
        <v>816</v>
      </c>
      <c r="E977" s="85"/>
      <c r="F977" s="85"/>
      <c r="G977" s="64" t="str">
        <f>IF(stdProdLT(Main[[#This Row],[Comments]])=0.1,"N/A",IF(stdProdLT(Main[[#This Row],[Comments]])=0,"",TRIM(stdProdLT(Main[[#This Row],[Comments]]))))</f>
        <v/>
      </c>
      <c r="H977" s="94" t="str">
        <f>IF(OR(Main[[#This Row],[Std. Prod. Lead Time]]="N/A",Main[[#This Row],[Std. Prod. Lead Time]]=""), "",IF(AND(Main[[#This Row],[In Stock Date]]&lt;&gt;"",Main[[#This Row],[Revised Due Date]]&lt;&gt;"",Main[[#This Row],[In Stock Date]]&lt;&gt;""),Main[[#This Row],[In Stock Date]]-Main[[#This Row],[Revised Due Date]],""))</f>
        <v/>
      </c>
      <c r="I977" s="101" t="s">
        <v>4</v>
      </c>
      <c r="J977" s="95" t="s">
        <v>4</v>
      </c>
      <c r="K977" s="95" t="s">
        <v>4</v>
      </c>
      <c r="L977" s="85"/>
      <c r="M977" s="73" t="str">
        <f>IF(Main[[#This Row],[Tech Start Date]]&lt;1/1/1990,"",IF(Main[[#This Row],[Class]]="C",WORKDAY(Main[[#This Row],[Tech Start Date]],9),IF(Main[[#This Row],[Class]]="B", WORKDAY(Main[[#This Row],[Tech Start Date]],6),IF(Main[[#This Row],[Class]]="A",WORKDAY(Main[[#This Row],[Tech Start Date]],2),""))))</f>
        <v/>
      </c>
      <c r="N977" s="73" t="str">
        <f>IF(Main[[#This Row],[Tech Start Date]]&lt;1/1/1990,"",IF(Main[[#This Row],[Class]]="C",WORKDAY(Main[[#This Row],[Tech Start Date]],19),IF(Main[[#This Row],[Class]]="B", WORKDAY(Main[[#This Row],[Tech Start Date]],12),IF(Main[[#This Row],[Class]]="A",WORKDAY(Main[[#This Row],[Tech Start Date]],4),""))))</f>
        <v/>
      </c>
      <c r="O977" s="73" t="str">
        <f>IF(Main[[#This Row],[Tech Start Date]]&lt;1/1/1990,"",IF(Main[[#This Row],[Class]]="C",WORKDAY(Main[[#This Row],[Tech Start Date]],23),IF(Main[[#This Row],[Class]]="B", WORKDAY(Main[[#This Row],[Tech Start Date]],15),IF(Main[[#This Row],[Class]]="A",WORKDAY(Main[[#This Row],[Tech Start Date]],5),""))))</f>
        <v/>
      </c>
      <c r="P977" s="73" t="str">
        <f>IF(Main[[#This Row],[Tech Start Date]]&lt;1/1/1990,"",IF(Main[[#This Row],[Class]]="C",WORKDAY(Main[[#This Row],[Tech Start Date]],28),IF(Main[[#This Row],[Class]]="B", WORKDAY(Main[[#This Row],[Tech Start Date]],19),IF(Main[[#This Row],[Class]]="A",WORKDAY(Main[[#This Row],[Tech Start Date]],9),""))))</f>
        <v/>
      </c>
      <c r="Q977" s="85">
        <v>40715</v>
      </c>
      <c r="R977" s="112"/>
      <c r="S977" s="95" t="s">
        <v>11</v>
      </c>
      <c r="T977" s="74" t="s">
        <v>4</v>
      </c>
      <c r="U977" s="95" t="s">
        <v>14</v>
      </c>
      <c r="V977" s="95" t="s">
        <v>1912</v>
      </c>
      <c r="W977" s="95" t="s">
        <v>1913</v>
      </c>
      <c r="X977" s="95" t="s">
        <v>2796</v>
      </c>
      <c r="Y977" s="72" t="s">
        <v>4</v>
      </c>
      <c r="Z977" s="72" t="s">
        <v>4</v>
      </c>
      <c r="AA977" s="95" t="s">
        <v>2796</v>
      </c>
      <c r="AB977" s="132"/>
      <c r="AC977" s="132"/>
      <c r="AD977" s="132"/>
      <c r="AE977" s="63"/>
      <c r="AF977" s="63"/>
      <c r="AG977" s="63"/>
    </row>
    <row r="978" spans="1:33" ht="17.2" customHeight="1">
      <c r="A978" s="64" t="str">
        <f>IF(priority(Main[[#This Row],[Comments]])&lt;&gt;0, priority(Main[[#This Row],[Comments]]),"")</f>
        <v/>
      </c>
      <c r="B978" s="60" t="s">
        <v>1770</v>
      </c>
      <c r="C978" s="72" t="s">
        <v>4</v>
      </c>
      <c r="D978" s="59" t="s">
        <v>2114</v>
      </c>
      <c r="E978" s="85"/>
      <c r="F978" s="85"/>
      <c r="G978" s="64" t="str">
        <f>IF(stdProdLT(Main[[#This Row],[Comments]])=0.1,"N/A",IF(stdProdLT(Main[[#This Row],[Comments]])=0,"",TRIM(stdProdLT(Main[[#This Row],[Comments]]))))</f>
        <v/>
      </c>
      <c r="H978" s="94" t="str">
        <f>IF(OR(Main[[#This Row],[Std. Prod. Lead Time]]="N/A",Main[[#This Row],[Std. Prod. Lead Time]]=""), "",IF(AND(Main[[#This Row],[In Stock Date]]&lt;&gt;"",Main[[#This Row],[Revised Due Date]]&lt;&gt;"",Main[[#This Row],[In Stock Date]]&lt;&gt;""),Main[[#This Row],[In Stock Date]]-Main[[#This Row],[Revised Due Date]],""))</f>
        <v/>
      </c>
      <c r="I978" s="101" t="s">
        <v>429</v>
      </c>
      <c r="J978" s="95" t="s">
        <v>70</v>
      </c>
      <c r="K978" s="95" t="s">
        <v>1920</v>
      </c>
      <c r="L978" s="85"/>
      <c r="M978" s="73" t="str">
        <f>IF(Main[[#This Row],[Tech Start Date]]&lt;1/1/1990,"",IF(Main[[#This Row],[Class]]="C",WORKDAY(Main[[#This Row],[Tech Start Date]],9),IF(Main[[#This Row],[Class]]="B", WORKDAY(Main[[#This Row],[Tech Start Date]],6),IF(Main[[#This Row],[Class]]="A",WORKDAY(Main[[#This Row],[Tech Start Date]],2),""))))</f>
        <v/>
      </c>
      <c r="N978" s="73" t="str">
        <f>IF(Main[[#This Row],[Tech Start Date]]&lt;1/1/1990,"",IF(Main[[#This Row],[Class]]="C",WORKDAY(Main[[#This Row],[Tech Start Date]],19),IF(Main[[#This Row],[Class]]="B", WORKDAY(Main[[#This Row],[Tech Start Date]],12),IF(Main[[#This Row],[Class]]="A",WORKDAY(Main[[#This Row],[Tech Start Date]],4),""))))</f>
        <v/>
      </c>
      <c r="O978" s="73" t="str">
        <f>IF(Main[[#This Row],[Tech Start Date]]&lt;1/1/1990,"",IF(Main[[#This Row],[Class]]="C",WORKDAY(Main[[#This Row],[Tech Start Date]],23),IF(Main[[#This Row],[Class]]="B", WORKDAY(Main[[#This Row],[Tech Start Date]],15),IF(Main[[#This Row],[Class]]="A",WORKDAY(Main[[#This Row],[Tech Start Date]],5),""))))</f>
        <v/>
      </c>
      <c r="P978" s="73" t="str">
        <f>IF(Main[[#This Row],[Tech Start Date]]&lt;1/1/1990,"",IF(Main[[#This Row],[Class]]="C",WORKDAY(Main[[#This Row],[Tech Start Date]],28),IF(Main[[#This Row],[Class]]="B", WORKDAY(Main[[#This Row],[Tech Start Date]],19),IF(Main[[#This Row],[Class]]="A",WORKDAY(Main[[#This Row],[Tech Start Date]],9),""))))</f>
        <v/>
      </c>
      <c r="Q978" s="85">
        <v>40714</v>
      </c>
      <c r="R978" s="112"/>
      <c r="S978" s="95" t="s">
        <v>6</v>
      </c>
      <c r="T978" s="74" t="s">
        <v>4</v>
      </c>
      <c r="U978" s="95" t="s">
        <v>14</v>
      </c>
      <c r="V978" s="95" t="s">
        <v>1914</v>
      </c>
      <c r="W978" s="95" t="s">
        <v>1915</v>
      </c>
      <c r="X978" s="95" t="s">
        <v>2883</v>
      </c>
      <c r="Y978" s="72" t="s">
        <v>3061</v>
      </c>
      <c r="Z978" s="72" t="s">
        <v>30</v>
      </c>
      <c r="AA978" s="95" t="s">
        <v>2883</v>
      </c>
      <c r="AB978" s="132"/>
      <c r="AC978" s="132"/>
      <c r="AD978" s="132"/>
      <c r="AE978" s="63"/>
      <c r="AF978" s="63"/>
      <c r="AG978" s="63"/>
    </row>
    <row r="979" spans="1:33" ht="17.2" customHeight="1">
      <c r="A979" s="64" t="str">
        <f>IF(priority(Main[[#This Row],[Comments]])&lt;&gt;0, priority(Main[[#This Row],[Comments]]),"")</f>
        <v/>
      </c>
      <c r="B979" s="60" t="s">
        <v>1771</v>
      </c>
      <c r="C979" s="72" t="s">
        <v>4</v>
      </c>
      <c r="D979" s="59" t="s">
        <v>817</v>
      </c>
      <c r="E979" s="85"/>
      <c r="F979" s="85"/>
      <c r="G979" s="64" t="str">
        <f>IF(stdProdLT(Main[[#This Row],[Comments]])=0.1,"N/A",IF(stdProdLT(Main[[#This Row],[Comments]])=0,"",TRIM(stdProdLT(Main[[#This Row],[Comments]]))))</f>
        <v/>
      </c>
      <c r="H979" s="94" t="str">
        <f>IF(OR(Main[[#This Row],[Std. Prod. Lead Time]]="N/A",Main[[#This Row],[Std. Prod. Lead Time]]=""), "",IF(AND(Main[[#This Row],[In Stock Date]]&lt;&gt;"",Main[[#This Row],[Revised Due Date]]&lt;&gt;"",Main[[#This Row],[In Stock Date]]&lt;&gt;""),Main[[#This Row],[In Stock Date]]-Main[[#This Row],[Revised Due Date]],""))</f>
        <v/>
      </c>
      <c r="I979" s="101" t="s">
        <v>4</v>
      </c>
      <c r="J979" s="95" t="s">
        <v>4</v>
      </c>
      <c r="K979" s="95" t="s">
        <v>4</v>
      </c>
      <c r="L979" s="85"/>
      <c r="M979" s="73" t="str">
        <f>IF(Main[[#This Row],[Tech Start Date]]&lt;1/1/1990,"",IF(Main[[#This Row],[Class]]="C",WORKDAY(Main[[#This Row],[Tech Start Date]],9),IF(Main[[#This Row],[Class]]="B", WORKDAY(Main[[#This Row],[Tech Start Date]],6),IF(Main[[#This Row],[Class]]="A",WORKDAY(Main[[#This Row],[Tech Start Date]],2),""))))</f>
        <v/>
      </c>
      <c r="N979" s="73" t="str">
        <f>IF(Main[[#This Row],[Tech Start Date]]&lt;1/1/1990,"",IF(Main[[#This Row],[Class]]="C",WORKDAY(Main[[#This Row],[Tech Start Date]],19),IF(Main[[#This Row],[Class]]="B", WORKDAY(Main[[#This Row],[Tech Start Date]],12),IF(Main[[#This Row],[Class]]="A",WORKDAY(Main[[#This Row],[Tech Start Date]],4),""))))</f>
        <v/>
      </c>
      <c r="O979" s="73" t="str">
        <f>IF(Main[[#This Row],[Tech Start Date]]&lt;1/1/1990,"",IF(Main[[#This Row],[Class]]="C",WORKDAY(Main[[#This Row],[Tech Start Date]],23),IF(Main[[#This Row],[Class]]="B", WORKDAY(Main[[#This Row],[Tech Start Date]],15),IF(Main[[#This Row],[Class]]="A",WORKDAY(Main[[#This Row],[Tech Start Date]],5),""))))</f>
        <v/>
      </c>
      <c r="P979" s="73" t="str">
        <f>IF(Main[[#This Row],[Tech Start Date]]&lt;1/1/1990,"",IF(Main[[#This Row],[Class]]="C",WORKDAY(Main[[#This Row],[Tech Start Date]],28),IF(Main[[#This Row],[Class]]="B", WORKDAY(Main[[#This Row],[Tech Start Date]],19),IF(Main[[#This Row],[Class]]="A",WORKDAY(Main[[#This Row],[Tech Start Date]],9),""))))</f>
        <v/>
      </c>
      <c r="Q979" s="85"/>
      <c r="R979" s="112"/>
      <c r="S979" s="95" t="s">
        <v>6</v>
      </c>
      <c r="T979" s="74" t="s">
        <v>4</v>
      </c>
      <c r="U979" s="95" t="s">
        <v>14</v>
      </c>
      <c r="V979" s="95" t="s">
        <v>1911</v>
      </c>
      <c r="W979" s="95" t="s">
        <v>1915</v>
      </c>
      <c r="X979" s="95" t="s">
        <v>912</v>
      </c>
      <c r="Y979" s="72" t="s">
        <v>3035</v>
      </c>
      <c r="Z979" s="72" t="s">
        <v>4</v>
      </c>
      <c r="AA979" s="95" t="s">
        <v>912</v>
      </c>
      <c r="AB979" s="132"/>
      <c r="AC979" s="132"/>
      <c r="AD979" s="132"/>
      <c r="AE979" s="63"/>
      <c r="AF979" s="63"/>
      <c r="AG979" s="63"/>
    </row>
    <row r="980" spans="1:33" ht="17.2" customHeight="1">
      <c r="A980" s="64" t="str">
        <f>IF(priority(Main[[#This Row],[Comments]])&lt;&gt;0, priority(Main[[#This Row],[Comments]]),"")</f>
        <v/>
      </c>
      <c r="B980" s="60" t="s">
        <v>1610</v>
      </c>
      <c r="C980" s="72" t="s">
        <v>4</v>
      </c>
      <c r="D980" s="59" t="s">
        <v>684</v>
      </c>
      <c r="E980" s="85">
        <v>40031.45721064815</v>
      </c>
      <c r="F980" s="85"/>
      <c r="G980" s="64" t="str">
        <f>IF(stdProdLT(Main[[#This Row],[Comments]])=0.1,"N/A",IF(stdProdLT(Main[[#This Row],[Comments]])=0,"",TRIM(stdProdLT(Main[[#This Row],[Comments]]))))</f>
        <v/>
      </c>
      <c r="H980" s="94" t="str">
        <f>IF(OR(Main[[#This Row],[Std. Prod. Lead Time]]="N/A",Main[[#This Row],[Std. Prod. Lead Time]]=""), "",IF(AND(Main[[#This Row],[In Stock Date]]&lt;&gt;"",Main[[#This Row],[Revised Due Date]]&lt;&gt;"",Main[[#This Row],[In Stock Date]]&lt;&gt;""),Main[[#This Row],[In Stock Date]]-Main[[#This Row],[Revised Due Date]],""))</f>
        <v/>
      </c>
      <c r="I980" s="101" t="s">
        <v>2038</v>
      </c>
      <c r="J980" s="95" t="s">
        <v>21</v>
      </c>
      <c r="K980" s="95" t="s">
        <v>1920</v>
      </c>
      <c r="L980" s="85"/>
      <c r="M980" s="73" t="str">
        <f>IF(Main[[#This Row],[Tech Start Date]]&lt;1/1/1990,"",IF(Main[[#This Row],[Class]]="C",WORKDAY(Main[[#This Row],[Tech Start Date]],9),IF(Main[[#This Row],[Class]]="B", WORKDAY(Main[[#This Row],[Tech Start Date]],6),IF(Main[[#This Row],[Class]]="A",WORKDAY(Main[[#This Row],[Tech Start Date]],2),""))))</f>
        <v/>
      </c>
      <c r="N980" s="73" t="str">
        <f>IF(Main[[#This Row],[Tech Start Date]]&lt;1/1/1990,"",IF(Main[[#This Row],[Class]]="C",WORKDAY(Main[[#This Row],[Tech Start Date]],19),IF(Main[[#This Row],[Class]]="B", WORKDAY(Main[[#This Row],[Tech Start Date]],12),IF(Main[[#This Row],[Class]]="A",WORKDAY(Main[[#This Row],[Tech Start Date]],4),""))))</f>
        <v/>
      </c>
      <c r="O980" s="73" t="str">
        <f>IF(Main[[#This Row],[Tech Start Date]]&lt;1/1/1990,"",IF(Main[[#This Row],[Class]]="C",WORKDAY(Main[[#This Row],[Tech Start Date]],23),IF(Main[[#This Row],[Class]]="B", WORKDAY(Main[[#This Row],[Tech Start Date]],15),IF(Main[[#This Row],[Class]]="A",WORKDAY(Main[[#This Row],[Tech Start Date]],5),""))))</f>
        <v/>
      </c>
      <c r="P980" s="73" t="str">
        <f>IF(Main[[#This Row],[Tech Start Date]]&lt;1/1/1990,"",IF(Main[[#This Row],[Class]]="C",WORKDAY(Main[[#This Row],[Tech Start Date]],28),IF(Main[[#This Row],[Class]]="B", WORKDAY(Main[[#This Row],[Tech Start Date]],19),IF(Main[[#This Row],[Class]]="A",WORKDAY(Main[[#This Row],[Tech Start Date]],9),""))))</f>
        <v/>
      </c>
      <c r="Q980" s="85"/>
      <c r="R980" s="112"/>
      <c r="S980" s="95" t="s">
        <v>6</v>
      </c>
      <c r="T980" s="74" t="s">
        <v>4</v>
      </c>
      <c r="U980" s="95" t="s">
        <v>29</v>
      </c>
      <c r="V980" s="95" t="s">
        <v>1914</v>
      </c>
      <c r="W980" s="95" t="s">
        <v>1915</v>
      </c>
      <c r="X980" s="95" t="s">
        <v>2867</v>
      </c>
      <c r="Y980" s="72" t="s">
        <v>3021</v>
      </c>
      <c r="Z980" s="72" t="s">
        <v>30</v>
      </c>
      <c r="AA980" s="95" t="s">
        <v>2867</v>
      </c>
      <c r="AB980" s="132"/>
      <c r="AC980" s="132"/>
      <c r="AD980" s="132"/>
      <c r="AE980" s="63"/>
      <c r="AF980" s="63"/>
      <c r="AG980" s="63"/>
    </row>
    <row r="981" spans="1:33" ht="17.2" customHeight="1">
      <c r="A981" s="64" t="str">
        <f>IF(priority(Main[[#This Row],[Comments]])&lt;&gt;0, priority(Main[[#This Row],[Comments]]),"")</f>
        <v/>
      </c>
      <c r="B981" s="60" t="s">
        <v>1772</v>
      </c>
      <c r="C981" s="72" t="s">
        <v>818</v>
      </c>
      <c r="D981" s="59" t="s">
        <v>819</v>
      </c>
      <c r="E981" s="85"/>
      <c r="F981" s="85">
        <v>40421</v>
      </c>
      <c r="G981" s="64" t="str">
        <f>IF(stdProdLT(Main[[#This Row],[Comments]])=0.1,"N/A",IF(stdProdLT(Main[[#This Row],[Comments]])=0,"",TRIM(stdProdLT(Main[[#This Row],[Comments]]))))</f>
        <v/>
      </c>
      <c r="H981" s="94" t="str">
        <f>IF(OR(Main[[#This Row],[Std. Prod. Lead Time]]="N/A",Main[[#This Row],[Std. Prod. Lead Time]]=""), "",IF(AND(Main[[#This Row],[In Stock Date]]&lt;&gt;"",Main[[#This Row],[Revised Due Date]]&lt;&gt;"",Main[[#This Row],[In Stock Date]]&lt;&gt;""),Main[[#This Row],[In Stock Date]]-Main[[#This Row],[Revised Due Date]],""))</f>
        <v/>
      </c>
      <c r="I981" s="101" t="s">
        <v>4</v>
      </c>
      <c r="J981" s="95" t="s">
        <v>4</v>
      </c>
      <c r="K981" s="95" t="s">
        <v>4</v>
      </c>
      <c r="L981" s="85"/>
      <c r="M981" s="73" t="str">
        <f>IF(Main[[#This Row],[Tech Start Date]]&lt;1/1/1990,"",IF(Main[[#This Row],[Class]]="C",WORKDAY(Main[[#This Row],[Tech Start Date]],9),IF(Main[[#This Row],[Class]]="B", WORKDAY(Main[[#This Row],[Tech Start Date]],6),IF(Main[[#This Row],[Class]]="A",WORKDAY(Main[[#This Row],[Tech Start Date]],2),""))))</f>
        <v/>
      </c>
      <c r="N981" s="73" t="str">
        <f>IF(Main[[#This Row],[Tech Start Date]]&lt;1/1/1990,"",IF(Main[[#This Row],[Class]]="C",WORKDAY(Main[[#This Row],[Tech Start Date]],19),IF(Main[[#This Row],[Class]]="B", WORKDAY(Main[[#This Row],[Tech Start Date]],12),IF(Main[[#This Row],[Class]]="A",WORKDAY(Main[[#This Row],[Tech Start Date]],4),""))))</f>
        <v/>
      </c>
      <c r="O981" s="73" t="str">
        <f>IF(Main[[#This Row],[Tech Start Date]]&lt;1/1/1990,"",IF(Main[[#This Row],[Class]]="C",WORKDAY(Main[[#This Row],[Tech Start Date]],23),IF(Main[[#This Row],[Class]]="B", WORKDAY(Main[[#This Row],[Tech Start Date]],15),IF(Main[[#This Row],[Class]]="A",WORKDAY(Main[[#This Row],[Tech Start Date]],5),""))))</f>
        <v/>
      </c>
      <c r="P981" s="73" t="str">
        <f>IF(Main[[#This Row],[Tech Start Date]]&lt;1/1/1990,"",IF(Main[[#This Row],[Class]]="C",WORKDAY(Main[[#This Row],[Tech Start Date]],28),IF(Main[[#This Row],[Class]]="B", WORKDAY(Main[[#This Row],[Tech Start Date]],19),IF(Main[[#This Row],[Class]]="A",WORKDAY(Main[[#This Row],[Tech Start Date]],9),""))))</f>
        <v/>
      </c>
      <c r="Q981" s="85"/>
      <c r="R981" s="112"/>
      <c r="S981" s="95" t="s">
        <v>11</v>
      </c>
      <c r="T981" s="74" t="s">
        <v>4</v>
      </c>
      <c r="U981" s="95" t="s">
        <v>12</v>
      </c>
      <c r="V981" s="95" t="s">
        <v>1921</v>
      </c>
      <c r="W981" s="95" t="s">
        <v>1917</v>
      </c>
      <c r="X981" s="95" t="s">
        <v>2852</v>
      </c>
      <c r="Y981" s="72" t="s">
        <v>2974</v>
      </c>
      <c r="Z981" s="72" t="s">
        <v>4</v>
      </c>
      <c r="AA981" s="95" t="s">
        <v>2852</v>
      </c>
      <c r="AB981" s="132"/>
      <c r="AC981" s="132"/>
      <c r="AD981" s="132"/>
      <c r="AE981" s="63"/>
      <c r="AF981" s="63"/>
      <c r="AG981" s="63"/>
    </row>
    <row r="982" spans="1:33" ht="17.2" customHeight="1">
      <c r="A982" s="64" t="str">
        <f>IF(priority(Main[[#This Row],[Comments]])&lt;&gt;0, priority(Main[[#This Row],[Comments]]),"")</f>
        <v/>
      </c>
      <c r="B982" s="60" t="s">
        <v>1773</v>
      </c>
      <c r="C982" s="72" t="s">
        <v>4</v>
      </c>
      <c r="D982" s="59" t="s">
        <v>820</v>
      </c>
      <c r="E982" s="85"/>
      <c r="F982" s="85"/>
      <c r="G982" s="64" t="str">
        <f>IF(stdProdLT(Main[[#This Row],[Comments]])=0.1,"N/A",IF(stdProdLT(Main[[#This Row],[Comments]])=0,"",TRIM(stdProdLT(Main[[#This Row],[Comments]]))))</f>
        <v/>
      </c>
      <c r="H982" s="94" t="str">
        <f>IF(OR(Main[[#This Row],[Std. Prod. Lead Time]]="N/A",Main[[#This Row],[Std. Prod. Lead Time]]=""), "",IF(AND(Main[[#This Row],[In Stock Date]]&lt;&gt;"",Main[[#This Row],[Revised Due Date]]&lt;&gt;"",Main[[#This Row],[In Stock Date]]&lt;&gt;""),Main[[#This Row],[In Stock Date]]-Main[[#This Row],[Revised Due Date]],""))</f>
        <v/>
      </c>
      <c r="I982" s="101" t="s">
        <v>417</v>
      </c>
      <c r="J982" s="95" t="s">
        <v>75</v>
      </c>
      <c r="K982" s="95" t="s">
        <v>1918</v>
      </c>
      <c r="L982" s="85"/>
      <c r="M982" s="73" t="str">
        <f>IF(Main[[#This Row],[Tech Start Date]]&lt;1/1/1990,"",IF(Main[[#This Row],[Class]]="C",WORKDAY(Main[[#This Row],[Tech Start Date]],9),IF(Main[[#This Row],[Class]]="B", WORKDAY(Main[[#This Row],[Tech Start Date]],6),IF(Main[[#This Row],[Class]]="A",WORKDAY(Main[[#This Row],[Tech Start Date]],2),""))))</f>
        <v/>
      </c>
      <c r="N982" s="73" t="str">
        <f>IF(Main[[#This Row],[Tech Start Date]]&lt;1/1/1990,"",IF(Main[[#This Row],[Class]]="C",WORKDAY(Main[[#This Row],[Tech Start Date]],19),IF(Main[[#This Row],[Class]]="B", WORKDAY(Main[[#This Row],[Tech Start Date]],12),IF(Main[[#This Row],[Class]]="A",WORKDAY(Main[[#This Row],[Tech Start Date]],4),""))))</f>
        <v/>
      </c>
      <c r="O982" s="73" t="str">
        <f>IF(Main[[#This Row],[Tech Start Date]]&lt;1/1/1990,"",IF(Main[[#This Row],[Class]]="C",WORKDAY(Main[[#This Row],[Tech Start Date]],23),IF(Main[[#This Row],[Class]]="B", WORKDAY(Main[[#This Row],[Tech Start Date]],15),IF(Main[[#This Row],[Class]]="A",WORKDAY(Main[[#This Row],[Tech Start Date]],5),""))))</f>
        <v/>
      </c>
      <c r="P982" s="73" t="str">
        <f>IF(Main[[#This Row],[Tech Start Date]]&lt;1/1/1990,"",IF(Main[[#This Row],[Class]]="C",WORKDAY(Main[[#This Row],[Tech Start Date]],28),IF(Main[[#This Row],[Class]]="B", WORKDAY(Main[[#This Row],[Tech Start Date]],19),IF(Main[[#This Row],[Class]]="A",WORKDAY(Main[[#This Row],[Tech Start Date]],9),""))))</f>
        <v/>
      </c>
      <c r="Q982" s="85">
        <v>40529</v>
      </c>
      <c r="R982" s="112"/>
      <c r="S982" s="95" t="s">
        <v>6</v>
      </c>
      <c r="T982" s="74" t="s">
        <v>4</v>
      </c>
      <c r="U982" s="95" t="s">
        <v>14</v>
      </c>
      <c r="V982" s="95" t="s">
        <v>1914</v>
      </c>
      <c r="W982" s="95" t="s">
        <v>1922</v>
      </c>
      <c r="X982" s="95" t="s">
        <v>883</v>
      </c>
      <c r="Y982" s="72" t="s">
        <v>2941</v>
      </c>
      <c r="Z982" s="72" t="s">
        <v>306</v>
      </c>
      <c r="AA982" s="95" t="s">
        <v>883</v>
      </c>
      <c r="AB982" s="132">
        <v>40624</v>
      </c>
      <c r="AC982" s="132">
        <v>40630</v>
      </c>
      <c r="AD982" s="132"/>
      <c r="AE982" s="63"/>
      <c r="AF982" s="63"/>
      <c r="AG982" s="63"/>
    </row>
    <row r="983" spans="1:33" ht="17.2" customHeight="1">
      <c r="A983" s="64" t="str">
        <f>IF(priority(Main[[#This Row],[Comments]])&lt;&gt;0, priority(Main[[#This Row],[Comments]]),"")</f>
        <v/>
      </c>
      <c r="B983" s="60" t="s">
        <v>1774</v>
      </c>
      <c r="C983" s="72" t="s">
        <v>4</v>
      </c>
      <c r="D983" s="59" t="s">
        <v>821</v>
      </c>
      <c r="E983" s="85"/>
      <c r="F983" s="85">
        <v>40602</v>
      </c>
      <c r="G983" s="64" t="str">
        <f>IF(stdProdLT(Main[[#This Row],[Comments]])=0.1,"N/A",IF(stdProdLT(Main[[#This Row],[Comments]])=0,"",TRIM(stdProdLT(Main[[#This Row],[Comments]]))))</f>
        <v/>
      </c>
      <c r="H983" s="94" t="str">
        <f>IF(OR(Main[[#This Row],[Std. Prod. Lead Time]]="N/A",Main[[#This Row],[Std. Prod. Lead Time]]=""), "",IF(AND(Main[[#This Row],[In Stock Date]]&lt;&gt;"",Main[[#This Row],[Revised Due Date]]&lt;&gt;"",Main[[#This Row],[In Stock Date]]&lt;&gt;""),Main[[#This Row],[In Stock Date]]-Main[[#This Row],[Revised Due Date]],""))</f>
        <v/>
      </c>
      <c r="I983" s="101" t="s">
        <v>4</v>
      </c>
      <c r="J983" s="95" t="s">
        <v>28</v>
      </c>
      <c r="K983" s="95" t="s">
        <v>4</v>
      </c>
      <c r="L983" s="85"/>
      <c r="M983" s="73" t="str">
        <f>IF(Main[[#This Row],[Tech Start Date]]&lt;1/1/1990,"",IF(Main[[#This Row],[Class]]="C",WORKDAY(Main[[#This Row],[Tech Start Date]],9),IF(Main[[#This Row],[Class]]="B", WORKDAY(Main[[#This Row],[Tech Start Date]],6),IF(Main[[#This Row],[Class]]="A",WORKDAY(Main[[#This Row],[Tech Start Date]],2),""))))</f>
        <v/>
      </c>
      <c r="N983" s="73" t="str">
        <f>IF(Main[[#This Row],[Tech Start Date]]&lt;1/1/1990,"",IF(Main[[#This Row],[Class]]="C",WORKDAY(Main[[#This Row],[Tech Start Date]],19),IF(Main[[#This Row],[Class]]="B", WORKDAY(Main[[#This Row],[Tech Start Date]],12),IF(Main[[#This Row],[Class]]="A",WORKDAY(Main[[#This Row],[Tech Start Date]],4),""))))</f>
        <v/>
      </c>
      <c r="O983" s="73" t="str">
        <f>IF(Main[[#This Row],[Tech Start Date]]&lt;1/1/1990,"",IF(Main[[#This Row],[Class]]="C",WORKDAY(Main[[#This Row],[Tech Start Date]],23),IF(Main[[#This Row],[Class]]="B", WORKDAY(Main[[#This Row],[Tech Start Date]],15),IF(Main[[#This Row],[Class]]="A",WORKDAY(Main[[#This Row],[Tech Start Date]],5),""))))</f>
        <v/>
      </c>
      <c r="P983" s="73" t="str">
        <f>IF(Main[[#This Row],[Tech Start Date]]&lt;1/1/1990,"",IF(Main[[#This Row],[Class]]="C",WORKDAY(Main[[#This Row],[Tech Start Date]],28),IF(Main[[#This Row],[Class]]="B", WORKDAY(Main[[#This Row],[Tech Start Date]],19),IF(Main[[#This Row],[Class]]="A",WORKDAY(Main[[#This Row],[Tech Start Date]],9),""))))</f>
        <v/>
      </c>
      <c r="Q983" s="85">
        <v>40612</v>
      </c>
      <c r="R983" s="112"/>
      <c r="S983" s="95" t="s">
        <v>6</v>
      </c>
      <c r="T983" s="74" t="s">
        <v>4</v>
      </c>
      <c r="U983" s="95" t="s">
        <v>14</v>
      </c>
      <c r="V983" s="95" t="s">
        <v>1921</v>
      </c>
      <c r="W983" s="95" t="s">
        <v>1915</v>
      </c>
      <c r="X983" s="95" t="s">
        <v>50</v>
      </c>
      <c r="Y983" s="72" t="s">
        <v>3086</v>
      </c>
      <c r="Z983" s="72" t="s">
        <v>30</v>
      </c>
      <c r="AA983" s="95" t="s">
        <v>3335</v>
      </c>
      <c r="AB983" s="132"/>
      <c r="AC983" s="132"/>
      <c r="AD983" s="132"/>
      <c r="AE983" s="63"/>
      <c r="AF983" s="63"/>
      <c r="AG983" s="63"/>
    </row>
    <row r="984" spans="1:33" ht="17.2" customHeight="1">
      <c r="A984" s="64" t="str">
        <f>IF(priority(Main[[#This Row],[Comments]])&lt;&gt;0, priority(Main[[#This Row],[Comments]]),"")</f>
        <v/>
      </c>
      <c r="B984" s="60" t="s">
        <v>2434</v>
      </c>
      <c r="C984" s="72" t="s">
        <v>4</v>
      </c>
      <c r="D984" s="59" t="s">
        <v>3188</v>
      </c>
      <c r="E984" s="85">
        <v>40820.793587962966</v>
      </c>
      <c r="F984" s="85"/>
      <c r="G984" s="64" t="str">
        <f>IF(stdProdLT(Main[[#This Row],[Comments]])=0.1,"N/A",IF(stdProdLT(Main[[#This Row],[Comments]])=0,"",TRIM(stdProdLT(Main[[#This Row],[Comments]]))))</f>
        <v/>
      </c>
      <c r="H984" s="94" t="str">
        <f>IF(OR(Main[[#This Row],[Std. Prod. Lead Time]]="N/A",Main[[#This Row],[Std. Prod. Lead Time]]=""), "",IF(AND(Main[[#This Row],[In Stock Date]]&lt;&gt;"",Main[[#This Row],[Revised Due Date]]&lt;&gt;"",Main[[#This Row],[In Stock Date]]&lt;&gt;""),Main[[#This Row],[In Stock Date]]-Main[[#This Row],[Revised Due Date]],""))</f>
        <v/>
      </c>
      <c r="I984" s="101" t="s">
        <v>2045</v>
      </c>
      <c r="J984" s="95" t="s">
        <v>28</v>
      </c>
      <c r="K984" s="95" t="s">
        <v>1920</v>
      </c>
      <c r="L984" s="85"/>
      <c r="M984" s="73" t="str">
        <f>IF(Main[[#This Row],[Tech Start Date]]&lt;1/1/1990,"",IF(Main[[#This Row],[Class]]="C",WORKDAY(Main[[#This Row],[Tech Start Date]],9),IF(Main[[#This Row],[Class]]="B", WORKDAY(Main[[#This Row],[Tech Start Date]],6),IF(Main[[#This Row],[Class]]="A",WORKDAY(Main[[#This Row],[Tech Start Date]],2),""))))</f>
        <v/>
      </c>
      <c r="N984" s="73" t="str">
        <f>IF(Main[[#This Row],[Tech Start Date]]&lt;1/1/1990,"",IF(Main[[#This Row],[Class]]="C",WORKDAY(Main[[#This Row],[Tech Start Date]],19),IF(Main[[#This Row],[Class]]="B", WORKDAY(Main[[#This Row],[Tech Start Date]],12),IF(Main[[#This Row],[Class]]="A",WORKDAY(Main[[#This Row],[Tech Start Date]],4),""))))</f>
        <v/>
      </c>
      <c r="O984" s="73" t="str">
        <f>IF(Main[[#This Row],[Tech Start Date]]&lt;1/1/1990,"",IF(Main[[#This Row],[Class]]="C",WORKDAY(Main[[#This Row],[Tech Start Date]],23),IF(Main[[#This Row],[Class]]="B", WORKDAY(Main[[#This Row],[Tech Start Date]],15),IF(Main[[#This Row],[Class]]="A",WORKDAY(Main[[#This Row],[Tech Start Date]],5),""))))</f>
        <v/>
      </c>
      <c r="P984" s="73" t="str">
        <f>IF(Main[[#This Row],[Tech Start Date]]&lt;1/1/1990,"",IF(Main[[#This Row],[Class]]="C",WORKDAY(Main[[#This Row],[Tech Start Date]],28),IF(Main[[#This Row],[Class]]="B", WORKDAY(Main[[#This Row],[Tech Start Date]],19),IF(Main[[#This Row],[Class]]="A",WORKDAY(Main[[#This Row],[Tech Start Date]],9),""))))</f>
        <v/>
      </c>
      <c r="Q984" s="85">
        <v>40847</v>
      </c>
      <c r="R984" s="112"/>
      <c r="S984" s="95" t="s">
        <v>6</v>
      </c>
      <c r="T984" s="74" t="s">
        <v>4</v>
      </c>
      <c r="U984" s="95" t="s">
        <v>29</v>
      </c>
      <c r="V984" s="95" t="s">
        <v>1914</v>
      </c>
      <c r="W984" s="95" t="s">
        <v>1915</v>
      </c>
      <c r="X984" s="95" t="s">
        <v>30</v>
      </c>
      <c r="Y984" s="72" t="s">
        <v>3110</v>
      </c>
      <c r="Z984" s="72" t="s">
        <v>30</v>
      </c>
      <c r="AA984" s="95" t="s">
        <v>3401</v>
      </c>
      <c r="AB984" s="132"/>
      <c r="AC984" s="132"/>
      <c r="AD984" s="132"/>
      <c r="AE984" s="63"/>
      <c r="AF984" s="63"/>
      <c r="AG984" s="63"/>
    </row>
    <row r="985" spans="1:33" ht="17.2" customHeight="1">
      <c r="A985" s="64" t="str">
        <f>IF(priority(Main[[#This Row],[Comments]])&lt;&gt;0, priority(Main[[#This Row],[Comments]]),"")</f>
        <v/>
      </c>
      <c r="B985" s="60" t="s">
        <v>1799</v>
      </c>
      <c r="C985" s="72" t="s">
        <v>351</v>
      </c>
      <c r="D985" s="59" t="s">
        <v>822</v>
      </c>
      <c r="E985" s="85"/>
      <c r="F985" s="85">
        <v>40360</v>
      </c>
      <c r="G985" s="64" t="str">
        <f>IF(stdProdLT(Main[[#This Row],[Comments]])=0.1,"N/A",IF(stdProdLT(Main[[#This Row],[Comments]])=0,"",TRIM(stdProdLT(Main[[#This Row],[Comments]]))))</f>
        <v/>
      </c>
      <c r="H985" s="94" t="str">
        <f>IF(OR(Main[[#This Row],[Std. Prod. Lead Time]]="N/A",Main[[#This Row],[Std. Prod. Lead Time]]=""), "",IF(AND(Main[[#This Row],[In Stock Date]]&lt;&gt;"",Main[[#This Row],[Revised Due Date]]&lt;&gt;"",Main[[#This Row],[In Stock Date]]&lt;&gt;""),Main[[#This Row],[In Stock Date]]-Main[[#This Row],[Revised Due Date]],""))</f>
        <v/>
      </c>
      <c r="I985" s="101" t="s">
        <v>4</v>
      </c>
      <c r="J985" s="95" t="s">
        <v>4</v>
      </c>
      <c r="K985" s="95" t="s">
        <v>4</v>
      </c>
      <c r="L985" s="85"/>
      <c r="M985" s="73" t="str">
        <f>IF(Main[[#This Row],[Tech Start Date]]&lt;1/1/1990,"",IF(Main[[#This Row],[Class]]="C",WORKDAY(Main[[#This Row],[Tech Start Date]],9),IF(Main[[#This Row],[Class]]="B", WORKDAY(Main[[#This Row],[Tech Start Date]],6),IF(Main[[#This Row],[Class]]="A",WORKDAY(Main[[#This Row],[Tech Start Date]],2),""))))</f>
        <v/>
      </c>
      <c r="N985" s="73" t="str">
        <f>IF(Main[[#This Row],[Tech Start Date]]&lt;1/1/1990,"",IF(Main[[#This Row],[Class]]="C",WORKDAY(Main[[#This Row],[Tech Start Date]],19),IF(Main[[#This Row],[Class]]="B", WORKDAY(Main[[#This Row],[Tech Start Date]],12),IF(Main[[#This Row],[Class]]="A",WORKDAY(Main[[#This Row],[Tech Start Date]],4),""))))</f>
        <v/>
      </c>
      <c r="O985" s="73" t="str">
        <f>IF(Main[[#This Row],[Tech Start Date]]&lt;1/1/1990,"",IF(Main[[#This Row],[Class]]="C",WORKDAY(Main[[#This Row],[Tech Start Date]],23),IF(Main[[#This Row],[Class]]="B", WORKDAY(Main[[#This Row],[Tech Start Date]],15),IF(Main[[#This Row],[Class]]="A",WORKDAY(Main[[#This Row],[Tech Start Date]],5),""))))</f>
        <v/>
      </c>
      <c r="P985" s="73" t="str">
        <f>IF(Main[[#This Row],[Tech Start Date]]&lt;1/1/1990,"",IF(Main[[#This Row],[Class]]="C",WORKDAY(Main[[#This Row],[Tech Start Date]],28),IF(Main[[#This Row],[Class]]="B", WORKDAY(Main[[#This Row],[Tech Start Date]],19),IF(Main[[#This Row],[Class]]="A",WORKDAY(Main[[#This Row],[Tech Start Date]],9),""))))</f>
        <v/>
      </c>
      <c r="Q985" s="85">
        <v>40329</v>
      </c>
      <c r="R985" s="112"/>
      <c r="S985" s="95" t="s">
        <v>11</v>
      </c>
      <c r="T985" s="74" t="s">
        <v>4</v>
      </c>
      <c r="U985" s="95" t="s">
        <v>12</v>
      </c>
      <c r="V985" s="95" t="s">
        <v>1921</v>
      </c>
      <c r="W985" s="95" t="s">
        <v>1917</v>
      </c>
      <c r="X985" s="95" t="s">
        <v>2852</v>
      </c>
      <c r="Y985" s="72" t="s">
        <v>2974</v>
      </c>
      <c r="Z985" s="72" t="s">
        <v>4</v>
      </c>
      <c r="AA985" s="95" t="s">
        <v>2852</v>
      </c>
      <c r="AB985" s="132"/>
      <c r="AC985" s="132"/>
      <c r="AD985" s="132"/>
      <c r="AE985" s="63"/>
      <c r="AF985" s="63"/>
      <c r="AG985" s="63"/>
    </row>
    <row r="986" spans="1:33" ht="17.2" customHeight="1">
      <c r="A986" s="64" t="str">
        <f>IF(priority(Main[[#This Row],[Comments]])&lt;&gt;0, priority(Main[[#This Row],[Comments]]),"")</f>
        <v/>
      </c>
      <c r="B986" s="60" t="s">
        <v>1776</v>
      </c>
      <c r="C986" s="72" t="s">
        <v>4</v>
      </c>
      <c r="D986" s="59" t="s">
        <v>846</v>
      </c>
      <c r="E986" s="85"/>
      <c r="F986" s="85"/>
      <c r="G986" s="64" t="str">
        <f>IF(stdProdLT(Main[[#This Row],[Comments]])=0.1,"N/A",IF(stdProdLT(Main[[#This Row],[Comments]])=0,"",TRIM(stdProdLT(Main[[#This Row],[Comments]]))))</f>
        <v/>
      </c>
      <c r="H986" s="94" t="str">
        <f>IF(OR(Main[[#This Row],[Std. Prod. Lead Time]]="N/A",Main[[#This Row],[Std. Prod. Lead Time]]=""), "",IF(AND(Main[[#This Row],[In Stock Date]]&lt;&gt;"",Main[[#This Row],[Revised Due Date]]&lt;&gt;"",Main[[#This Row],[In Stock Date]]&lt;&gt;""),Main[[#This Row],[In Stock Date]]-Main[[#This Row],[Revised Due Date]],""))</f>
        <v/>
      </c>
      <c r="I986" s="101" t="s">
        <v>4</v>
      </c>
      <c r="J986" s="95" t="s">
        <v>4</v>
      </c>
      <c r="K986" s="95" t="s">
        <v>4</v>
      </c>
      <c r="L986" s="85"/>
      <c r="M986" s="73" t="str">
        <f>IF(Main[[#This Row],[Tech Start Date]]&lt;1/1/1990,"",IF(Main[[#This Row],[Class]]="C",WORKDAY(Main[[#This Row],[Tech Start Date]],9),IF(Main[[#This Row],[Class]]="B", WORKDAY(Main[[#This Row],[Tech Start Date]],6),IF(Main[[#This Row],[Class]]="A",WORKDAY(Main[[#This Row],[Tech Start Date]],2),""))))</f>
        <v/>
      </c>
      <c r="N986" s="73" t="str">
        <f>IF(Main[[#This Row],[Tech Start Date]]&lt;1/1/1990,"",IF(Main[[#This Row],[Class]]="C",WORKDAY(Main[[#This Row],[Tech Start Date]],19),IF(Main[[#This Row],[Class]]="B", WORKDAY(Main[[#This Row],[Tech Start Date]],12),IF(Main[[#This Row],[Class]]="A",WORKDAY(Main[[#This Row],[Tech Start Date]],4),""))))</f>
        <v/>
      </c>
      <c r="O986" s="73" t="str">
        <f>IF(Main[[#This Row],[Tech Start Date]]&lt;1/1/1990,"",IF(Main[[#This Row],[Class]]="C",WORKDAY(Main[[#This Row],[Tech Start Date]],23),IF(Main[[#This Row],[Class]]="B", WORKDAY(Main[[#This Row],[Tech Start Date]],15),IF(Main[[#This Row],[Class]]="A",WORKDAY(Main[[#This Row],[Tech Start Date]],5),""))))</f>
        <v/>
      </c>
      <c r="P986" s="73" t="str">
        <f>IF(Main[[#This Row],[Tech Start Date]]&lt;1/1/1990,"",IF(Main[[#This Row],[Class]]="C",WORKDAY(Main[[#This Row],[Tech Start Date]],28),IF(Main[[#This Row],[Class]]="B", WORKDAY(Main[[#This Row],[Tech Start Date]],19),IF(Main[[#This Row],[Class]]="A",WORKDAY(Main[[#This Row],[Tech Start Date]],9),""))))</f>
        <v/>
      </c>
      <c r="Q986" s="85"/>
      <c r="R986" s="112"/>
      <c r="S986" s="95" t="s">
        <v>49</v>
      </c>
      <c r="T986" s="74" t="s">
        <v>4</v>
      </c>
      <c r="U986" s="95" t="s">
        <v>14</v>
      </c>
      <c r="V986" s="95" t="s">
        <v>1914</v>
      </c>
      <c r="W986" s="95" t="s">
        <v>1915</v>
      </c>
      <c r="X986" s="95" t="s">
        <v>306</v>
      </c>
      <c r="Y986" s="72" t="s">
        <v>4</v>
      </c>
      <c r="Z986" s="72" t="s">
        <v>4</v>
      </c>
      <c r="AA986" s="95" t="s">
        <v>4</v>
      </c>
      <c r="AB986" s="132"/>
      <c r="AC986" s="132"/>
      <c r="AD986" s="132"/>
      <c r="AE986" s="63"/>
      <c r="AF986" s="63"/>
      <c r="AG986" s="63"/>
    </row>
    <row r="987" spans="1:33" ht="17.2" customHeight="1">
      <c r="A987" s="64" t="str">
        <f>IF(priority(Main[[#This Row],[Comments]])&lt;&gt;0, priority(Main[[#This Row],[Comments]]),"")</f>
        <v/>
      </c>
      <c r="B987" s="60" t="s">
        <v>1777</v>
      </c>
      <c r="C987" s="72" t="s">
        <v>4</v>
      </c>
      <c r="D987" s="59" t="s">
        <v>847</v>
      </c>
      <c r="E987" s="85"/>
      <c r="F987" s="85"/>
      <c r="G987" s="64" t="str">
        <f>IF(stdProdLT(Main[[#This Row],[Comments]])=0.1,"N/A",IF(stdProdLT(Main[[#This Row],[Comments]])=0,"",TRIM(stdProdLT(Main[[#This Row],[Comments]]))))</f>
        <v/>
      </c>
      <c r="H987" s="94" t="str">
        <f>IF(OR(Main[[#This Row],[Std. Prod. Lead Time]]="N/A",Main[[#This Row],[Std. Prod. Lead Time]]=""), "",IF(AND(Main[[#This Row],[In Stock Date]]&lt;&gt;"",Main[[#This Row],[Revised Due Date]]&lt;&gt;"",Main[[#This Row],[In Stock Date]]&lt;&gt;""),Main[[#This Row],[In Stock Date]]-Main[[#This Row],[Revised Due Date]],""))</f>
        <v/>
      </c>
      <c r="I987" s="101" t="s">
        <v>4</v>
      </c>
      <c r="J987" s="95" t="s">
        <v>4</v>
      </c>
      <c r="K987" s="95" t="s">
        <v>4</v>
      </c>
      <c r="L987" s="85"/>
      <c r="M987" s="73" t="str">
        <f>IF(Main[[#This Row],[Tech Start Date]]&lt;1/1/1990,"",IF(Main[[#This Row],[Class]]="C",WORKDAY(Main[[#This Row],[Tech Start Date]],9),IF(Main[[#This Row],[Class]]="B", WORKDAY(Main[[#This Row],[Tech Start Date]],6),IF(Main[[#This Row],[Class]]="A",WORKDAY(Main[[#This Row],[Tech Start Date]],2),""))))</f>
        <v/>
      </c>
      <c r="N987" s="73" t="str">
        <f>IF(Main[[#This Row],[Tech Start Date]]&lt;1/1/1990,"",IF(Main[[#This Row],[Class]]="C",WORKDAY(Main[[#This Row],[Tech Start Date]],19),IF(Main[[#This Row],[Class]]="B", WORKDAY(Main[[#This Row],[Tech Start Date]],12),IF(Main[[#This Row],[Class]]="A",WORKDAY(Main[[#This Row],[Tech Start Date]],4),""))))</f>
        <v/>
      </c>
      <c r="O987" s="73" t="str">
        <f>IF(Main[[#This Row],[Tech Start Date]]&lt;1/1/1990,"",IF(Main[[#This Row],[Class]]="C",WORKDAY(Main[[#This Row],[Tech Start Date]],23),IF(Main[[#This Row],[Class]]="B", WORKDAY(Main[[#This Row],[Tech Start Date]],15),IF(Main[[#This Row],[Class]]="A",WORKDAY(Main[[#This Row],[Tech Start Date]],5),""))))</f>
        <v/>
      </c>
      <c r="P987" s="73" t="str">
        <f>IF(Main[[#This Row],[Tech Start Date]]&lt;1/1/1990,"",IF(Main[[#This Row],[Class]]="C",WORKDAY(Main[[#This Row],[Tech Start Date]],28),IF(Main[[#This Row],[Class]]="B", WORKDAY(Main[[#This Row],[Tech Start Date]],19),IF(Main[[#This Row],[Class]]="A",WORKDAY(Main[[#This Row],[Tech Start Date]],9),""))))</f>
        <v/>
      </c>
      <c r="Q987" s="85"/>
      <c r="R987" s="112"/>
      <c r="S987" s="95" t="s">
        <v>23</v>
      </c>
      <c r="T987" s="74" t="s">
        <v>4</v>
      </c>
      <c r="U987" s="95" t="s">
        <v>14</v>
      </c>
      <c r="V987" s="95" t="s">
        <v>1914</v>
      </c>
      <c r="W987" s="95" t="s">
        <v>1915</v>
      </c>
      <c r="X987" s="95" t="s">
        <v>399</v>
      </c>
      <c r="Y987" s="72" t="s">
        <v>4</v>
      </c>
      <c r="Z987" s="72" t="s">
        <v>765</v>
      </c>
      <c r="AA987" s="95" t="s">
        <v>3351</v>
      </c>
      <c r="AB987" s="132"/>
      <c r="AC987" s="132"/>
      <c r="AD987" s="132"/>
      <c r="AE987" s="63"/>
      <c r="AF987" s="63"/>
      <c r="AG987" s="63"/>
    </row>
    <row r="988" spans="1:33" ht="17.2" customHeight="1">
      <c r="A988" s="64" t="str">
        <f>IF(priority(Main[[#This Row],[Comments]])&lt;&gt;0, priority(Main[[#This Row],[Comments]]),"")</f>
        <v/>
      </c>
      <c r="B988" s="60" t="s">
        <v>1784</v>
      </c>
      <c r="C988" s="72" t="s">
        <v>830</v>
      </c>
      <c r="D988" s="59" t="s">
        <v>831</v>
      </c>
      <c r="E988" s="85"/>
      <c r="F988" s="85"/>
      <c r="G988" s="64" t="str">
        <f>IF(stdProdLT(Main[[#This Row],[Comments]])=0.1,"N/A",IF(stdProdLT(Main[[#This Row],[Comments]])=0,"",TRIM(stdProdLT(Main[[#This Row],[Comments]]))))</f>
        <v/>
      </c>
      <c r="H988" s="94" t="str">
        <f>IF(OR(Main[[#This Row],[Std. Prod. Lead Time]]="N/A",Main[[#This Row],[Std. Prod. Lead Time]]=""), "",IF(AND(Main[[#This Row],[In Stock Date]]&lt;&gt;"",Main[[#This Row],[Revised Due Date]]&lt;&gt;"",Main[[#This Row],[In Stock Date]]&lt;&gt;""),Main[[#This Row],[In Stock Date]]-Main[[#This Row],[Revised Due Date]],""))</f>
        <v/>
      </c>
      <c r="I988" s="101" t="s">
        <v>4</v>
      </c>
      <c r="J988" s="95" t="s">
        <v>4</v>
      </c>
      <c r="K988" s="95" t="s">
        <v>4</v>
      </c>
      <c r="L988" s="85"/>
      <c r="M988" s="73" t="str">
        <f>IF(Main[[#This Row],[Tech Start Date]]&lt;1/1/1990,"",IF(Main[[#This Row],[Class]]="C",WORKDAY(Main[[#This Row],[Tech Start Date]],9),IF(Main[[#This Row],[Class]]="B", WORKDAY(Main[[#This Row],[Tech Start Date]],6),IF(Main[[#This Row],[Class]]="A",WORKDAY(Main[[#This Row],[Tech Start Date]],2),""))))</f>
        <v/>
      </c>
      <c r="N988" s="73" t="str">
        <f>IF(Main[[#This Row],[Tech Start Date]]&lt;1/1/1990,"",IF(Main[[#This Row],[Class]]="C",WORKDAY(Main[[#This Row],[Tech Start Date]],19),IF(Main[[#This Row],[Class]]="B", WORKDAY(Main[[#This Row],[Tech Start Date]],12),IF(Main[[#This Row],[Class]]="A",WORKDAY(Main[[#This Row],[Tech Start Date]],4),""))))</f>
        <v/>
      </c>
      <c r="O988" s="73" t="str">
        <f>IF(Main[[#This Row],[Tech Start Date]]&lt;1/1/1990,"",IF(Main[[#This Row],[Class]]="C",WORKDAY(Main[[#This Row],[Tech Start Date]],23),IF(Main[[#This Row],[Class]]="B", WORKDAY(Main[[#This Row],[Tech Start Date]],15),IF(Main[[#This Row],[Class]]="A",WORKDAY(Main[[#This Row],[Tech Start Date]],5),""))))</f>
        <v/>
      </c>
      <c r="P988" s="73" t="str">
        <f>IF(Main[[#This Row],[Tech Start Date]]&lt;1/1/1990,"",IF(Main[[#This Row],[Class]]="C",WORKDAY(Main[[#This Row],[Tech Start Date]],28),IF(Main[[#This Row],[Class]]="B", WORKDAY(Main[[#This Row],[Tech Start Date]],19),IF(Main[[#This Row],[Class]]="A",WORKDAY(Main[[#This Row],[Tech Start Date]],9),""))))</f>
        <v/>
      </c>
      <c r="Q988" s="85"/>
      <c r="R988" s="112"/>
      <c r="S988" s="95" t="s">
        <v>11</v>
      </c>
      <c r="T988" s="74" t="s">
        <v>4</v>
      </c>
      <c r="U988" s="95" t="s">
        <v>14</v>
      </c>
      <c r="V988" s="95" t="s">
        <v>1912</v>
      </c>
      <c r="W988" s="95" t="s">
        <v>1919</v>
      </c>
      <c r="X988" s="95" t="s">
        <v>2827</v>
      </c>
      <c r="Y988" s="72" t="s">
        <v>2956</v>
      </c>
      <c r="Z988" s="72" t="s">
        <v>4</v>
      </c>
      <c r="AA988" s="95" t="s">
        <v>2827</v>
      </c>
      <c r="AB988" s="132"/>
      <c r="AC988" s="132"/>
      <c r="AD988" s="132"/>
      <c r="AE988" s="63"/>
      <c r="AF988" s="63"/>
      <c r="AG988" s="63"/>
    </row>
    <row r="989" spans="1:33" ht="17.2" customHeight="1">
      <c r="A989" s="64" t="str">
        <f>IF(priority(Main[[#This Row],[Comments]])&lt;&gt;0, priority(Main[[#This Row],[Comments]]),"")</f>
        <v/>
      </c>
      <c r="B989" s="60" t="s">
        <v>1785</v>
      </c>
      <c r="C989" s="72" t="s">
        <v>93</v>
      </c>
      <c r="D989" s="59" t="s">
        <v>832</v>
      </c>
      <c r="E989" s="85"/>
      <c r="F989" s="85">
        <v>40299</v>
      </c>
      <c r="G989" s="64" t="str">
        <f>IF(stdProdLT(Main[[#This Row],[Comments]])=0.1,"N/A",IF(stdProdLT(Main[[#This Row],[Comments]])=0,"",TRIM(stdProdLT(Main[[#This Row],[Comments]]))))</f>
        <v/>
      </c>
      <c r="H989" s="94" t="str">
        <f>IF(OR(Main[[#This Row],[Std. Prod. Lead Time]]="N/A",Main[[#This Row],[Std. Prod. Lead Time]]=""), "",IF(AND(Main[[#This Row],[In Stock Date]]&lt;&gt;"",Main[[#This Row],[Revised Due Date]]&lt;&gt;"",Main[[#This Row],[In Stock Date]]&lt;&gt;""),Main[[#This Row],[In Stock Date]]-Main[[#This Row],[Revised Due Date]],""))</f>
        <v/>
      </c>
      <c r="I989" s="101" t="s">
        <v>4</v>
      </c>
      <c r="J989" s="95" t="s">
        <v>4</v>
      </c>
      <c r="K989" s="96" t="s">
        <v>4</v>
      </c>
      <c r="L989" s="85"/>
      <c r="M989" s="73" t="str">
        <f>IF(Main[[#This Row],[Tech Start Date]]&lt;1/1/1990,"",IF(Main[[#This Row],[Class]]="C",WORKDAY(Main[[#This Row],[Tech Start Date]],9),IF(Main[[#This Row],[Class]]="B", WORKDAY(Main[[#This Row],[Tech Start Date]],6),IF(Main[[#This Row],[Class]]="A",WORKDAY(Main[[#This Row],[Tech Start Date]],2),""))))</f>
        <v/>
      </c>
      <c r="N989" s="73" t="str">
        <f>IF(Main[[#This Row],[Tech Start Date]]&lt;1/1/1990,"",IF(Main[[#This Row],[Class]]="C",WORKDAY(Main[[#This Row],[Tech Start Date]],19),IF(Main[[#This Row],[Class]]="B", WORKDAY(Main[[#This Row],[Tech Start Date]],12),IF(Main[[#This Row],[Class]]="A",WORKDAY(Main[[#This Row],[Tech Start Date]],4),""))))</f>
        <v/>
      </c>
      <c r="O989" s="73" t="str">
        <f>IF(Main[[#This Row],[Tech Start Date]]&lt;1/1/1990,"",IF(Main[[#This Row],[Class]]="C",WORKDAY(Main[[#This Row],[Tech Start Date]],23),IF(Main[[#This Row],[Class]]="B", WORKDAY(Main[[#This Row],[Tech Start Date]],15),IF(Main[[#This Row],[Class]]="A",WORKDAY(Main[[#This Row],[Tech Start Date]],5),""))))</f>
        <v/>
      </c>
      <c r="P989" s="73" t="str">
        <f>IF(Main[[#This Row],[Tech Start Date]]&lt;1/1/1990,"",IF(Main[[#This Row],[Class]]="C",WORKDAY(Main[[#This Row],[Tech Start Date]],28),IF(Main[[#This Row],[Class]]="B", WORKDAY(Main[[#This Row],[Tech Start Date]],19),IF(Main[[#This Row],[Class]]="A",WORKDAY(Main[[#This Row],[Tech Start Date]],9),""))))</f>
        <v/>
      </c>
      <c r="Q989" s="85">
        <v>40171</v>
      </c>
      <c r="R989" s="112"/>
      <c r="S989" s="95" t="s">
        <v>11</v>
      </c>
      <c r="T989" s="74" t="s">
        <v>4</v>
      </c>
      <c r="U989" s="95" t="s">
        <v>14</v>
      </c>
      <c r="V989" s="95" t="s">
        <v>1914</v>
      </c>
      <c r="W989" s="95" t="s">
        <v>1917</v>
      </c>
      <c r="X989" s="95" t="s">
        <v>530</v>
      </c>
      <c r="Y989" s="72" t="s">
        <v>3031</v>
      </c>
      <c r="Z989" s="72" t="s">
        <v>4</v>
      </c>
      <c r="AA989" s="95" t="s">
        <v>3377</v>
      </c>
      <c r="AB989" s="132"/>
      <c r="AC989" s="132"/>
      <c r="AD989" s="132"/>
      <c r="AE989" s="63"/>
      <c r="AF989" s="63"/>
      <c r="AG989" s="63"/>
    </row>
    <row r="990" spans="1:33" ht="17.2" customHeight="1">
      <c r="A990" s="64" t="str">
        <f>IF(priority(Main[[#This Row],[Comments]])&lt;&gt;0, priority(Main[[#This Row],[Comments]]),"")</f>
        <v/>
      </c>
      <c r="B990" s="60" t="s">
        <v>1786</v>
      </c>
      <c r="C990" s="72" t="s">
        <v>4</v>
      </c>
      <c r="D990" s="59" t="s">
        <v>833</v>
      </c>
      <c r="E990" s="85">
        <v>40682.311319444445</v>
      </c>
      <c r="F990" s="85"/>
      <c r="G990" s="64" t="str">
        <f>IF(stdProdLT(Main[[#This Row],[Comments]])=0.1,"N/A",IF(stdProdLT(Main[[#This Row],[Comments]])=0,"",TRIM(stdProdLT(Main[[#This Row],[Comments]]))))</f>
        <v/>
      </c>
      <c r="H990" s="94" t="str">
        <f>IF(OR(Main[[#This Row],[Std. Prod. Lead Time]]="N/A",Main[[#This Row],[Std. Prod. Lead Time]]=""), "",IF(AND(Main[[#This Row],[In Stock Date]]&lt;&gt;"",Main[[#This Row],[Revised Due Date]]&lt;&gt;"",Main[[#This Row],[In Stock Date]]&lt;&gt;""),Main[[#This Row],[In Stock Date]]-Main[[#This Row],[Revised Due Date]],""))</f>
        <v/>
      </c>
      <c r="I990" s="101" t="s">
        <v>4</v>
      </c>
      <c r="J990" s="95" t="s">
        <v>4</v>
      </c>
      <c r="K990" s="95" t="s">
        <v>4</v>
      </c>
      <c r="L990" s="85"/>
      <c r="M990" s="73" t="str">
        <f>IF(Main[[#This Row],[Tech Start Date]]&lt;1/1/1990,"",IF(Main[[#This Row],[Class]]="C",WORKDAY(Main[[#This Row],[Tech Start Date]],9),IF(Main[[#This Row],[Class]]="B", WORKDAY(Main[[#This Row],[Tech Start Date]],6),IF(Main[[#This Row],[Class]]="A",WORKDAY(Main[[#This Row],[Tech Start Date]],2),""))))</f>
        <v/>
      </c>
      <c r="N990" s="73" t="str">
        <f>IF(Main[[#This Row],[Tech Start Date]]&lt;1/1/1990,"",IF(Main[[#This Row],[Class]]="C",WORKDAY(Main[[#This Row],[Tech Start Date]],19),IF(Main[[#This Row],[Class]]="B", WORKDAY(Main[[#This Row],[Tech Start Date]],12),IF(Main[[#This Row],[Class]]="A",WORKDAY(Main[[#This Row],[Tech Start Date]],4),""))))</f>
        <v/>
      </c>
      <c r="O990" s="73" t="str">
        <f>IF(Main[[#This Row],[Tech Start Date]]&lt;1/1/1990,"",IF(Main[[#This Row],[Class]]="C",WORKDAY(Main[[#This Row],[Tech Start Date]],23),IF(Main[[#This Row],[Class]]="B", WORKDAY(Main[[#This Row],[Tech Start Date]],15),IF(Main[[#This Row],[Class]]="A",WORKDAY(Main[[#This Row],[Tech Start Date]],5),""))))</f>
        <v/>
      </c>
      <c r="P990" s="73" t="str">
        <f>IF(Main[[#This Row],[Tech Start Date]]&lt;1/1/1990,"",IF(Main[[#This Row],[Class]]="C",WORKDAY(Main[[#This Row],[Tech Start Date]],28),IF(Main[[#This Row],[Class]]="B", WORKDAY(Main[[#This Row],[Tech Start Date]],19),IF(Main[[#This Row],[Class]]="A",WORKDAY(Main[[#This Row],[Tech Start Date]],9),""))))</f>
        <v/>
      </c>
      <c r="Q990" s="85">
        <v>40724</v>
      </c>
      <c r="R990" s="112"/>
      <c r="S990" s="95" t="s">
        <v>6</v>
      </c>
      <c r="T990" s="74" t="s">
        <v>4</v>
      </c>
      <c r="U990" s="95" t="s">
        <v>7</v>
      </c>
      <c r="V990" s="95" t="s">
        <v>1911</v>
      </c>
      <c r="W990" s="95" t="s">
        <v>4</v>
      </c>
      <c r="X990" s="95" t="s">
        <v>2802</v>
      </c>
      <c r="Y990" s="72" t="s">
        <v>2916</v>
      </c>
      <c r="Z990" s="72" t="s">
        <v>4</v>
      </c>
      <c r="AA990" s="95" t="s">
        <v>2802</v>
      </c>
      <c r="AB990" s="132"/>
      <c r="AC990" s="132"/>
      <c r="AD990" s="132"/>
      <c r="AE990" s="63"/>
      <c r="AF990" s="63"/>
      <c r="AG990" s="63"/>
    </row>
    <row r="991" spans="1:33" ht="17.2" customHeight="1">
      <c r="A991" s="64" t="str">
        <f>IF(priority(Main[[#This Row],[Comments]])&lt;&gt;0, priority(Main[[#This Row],[Comments]]),"")</f>
        <v/>
      </c>
      <c r="B991" s="60" t="s">
        <v>1787</v>
      </c>
      <c r="C991" s="72" t="s">
        <v>4</v>
      </c>
      <c r="D991" s="59" t="s">
        <v>834</v>
      </c>
      <c r="E991" s="85"/>
      <c r="F991" s="85"/>
      <c r="G991" s="64" t="str">
        <f>IF(stdProdLT(Main[[#This Row],[Comments]])=0.1,"N/A",IF(stdProdLT(Main[[#This Row],[Comments]])=0,"",TRIM(stdProdLT(Main[[#This Row],[Comments]]))))</f>
        <v/>
      </c>
      <c r="H991" s="94" t="str">
        <f>IF(OR(Main[[#This Row],[Std. Prod. Lead Time]]="N/A",Main[[#This Row],[Std. Prod. Lead Time]]=""), "",IF(AND(Main[[#This Row],[In Stock Date]]&lt;&gt;"",Main[[#This Row],[Revised Due Date]]&lt;&gt;"",Main[[#This Row],[In Stock Date]]&lt;&gt;""),Main[[#This Row],[In Stock Date]]-Main[[#This Row],[Revised Due Date]],""))</f>
        <v/>
      </c>
      <c r="I991" s="101" t="s">
        <v>4</v>
      </c>
      <c r="J991" s="95" t="s">
        <v>4</v>
      </c>
      <c r="K991" s="95" t="s">
        <v>4</v>
      </c>
      <c r="L991" s="85"/>
      <c r="M991" s="73" t="str">
        <f>IF(Main[[#This Row],[Tech Start Date]]&lt;1/1/1990,"",IF(Main[[#This Row],[Class]]="C",WORKDAY(Main[[#This Row],[Tech Start Date]],9),IF(Main[[#This Row],[Class]]="B", WORKDAY(Main[[#This Row],[Tech Start Date]],6),IF(Main[[#This Row],[Class]]="A",WORKDAY(Main[[#This Row],[Tech Start Date]],2),""))))</f>
        <v/>
      </c>
      <c r="N991" s="73" t="str">
        <f>IF(Main[[#This Row],[Tech Start Date]]&lt;1/1/1990,"",IF(Main[[#This Row],[Class]]="C",WORKDAY(Main[[#This Row],[Tech Start Date]],19),IF(Main[[#This Row],[Class]]="B", WORKDAY(Main[[#This Row],[Tech Start Date]],12),IF(Main[[#This Row],[Class]]="A",WORKDAY(Main[[#This Row],[Tech Start Date]],4),""))))</f>
        <v/>
      </c>
      <c r="O991" s="73" t="str">
        <f>IF(Main[[#This Row],[Tech Start Date]]&lt;1/1/1990,"",IF(Main[[#This Row],[Class]]="C",WORKDAY(Main[[#This Row],[Tech Start Date]],23),IF(Main[[#This Row],[Class]]="B", WORKDAY(Main[[#This Row],[Tech Start Date]],15),IF(Main[[#This Row],[Class]]="A",WORKDAY(Main[[#This Row],[Tech Start Date]],5),""))))</f>
        <v/>
      </c>
      <c r="P991" s="73" t="str">
        <f>IF(Main[[#This Row],[Tech Start Date]]&lt;1/1/1990,"",IF(Main[[#This Row],[Class]]="C",WORKDAY(Main[[#This Row],[Tech Start Date]],28),IF(Main[[#This Row],[Class]]="B", WORKDAY(Main[[#This Row],[Tech Start Date]],19),IF(Main[[#This Row],[Class]]="A",WORKDAY(Main[[#This Row],[Tech Start Date]],9),""))))</f>
        <v/>
      </c>
      <c r="Q991" s="85"/>
      <c r="R991" s="112"/>
      <c r="S991" s="95" t="s">
        <v>6</v>
      </c>
      <c r="T991" s="74" t="s">
        <v>4</v>
      </c>
      <c r="U991" s="95" t="s">
        <v>14</v>
      </c>
      <c r="V991" s="95" t="s">
        <v>1914</v>
      </c>
      <c r="W991" s="95" t="s">
        <v>1915</v>
      </c>
      <c r="X991" s="95" t="s">
        <v>50</v>
      </c>
      <c r="Y991" s="72" t="s">
        <v>4</v>
      </c>
      <c r="Z991" s="72" t="s">
        <v>4</v>
      </c>
      <c r="AA991" s="95" t="s">
        <v>4</v>
      </c>
      <c r="AB991" s="132"/>
      <c r="AC991" s="132"/>
      <c r="AD991" s="132"/>
      <c r="AE991" s="63"/>
      <c r="AF991" s="63"/>
      <c r="AG991" s="63"/>
    </row>
    <row r="992" spans="1:33" ht="17.2" customHeight="1">
      <c r="A992" s="64" t="str">
        <f>IF(priority(Main[[#This Row],[Comments]])&lt;&gt;0, priority(Main[[#This Row],[Comments]]),"")</f>
        <v/>
      </c>
      <c r="B992" s="60" t="s">
        <v>1788</v>
      </c>
      <c r="C992" s="72" t="s">
        <v>4</v>
      </c>
      <c r="D992" s="59" t="s">
        <v>835</v>
      </c>
      <c r="E992" s="85">
        <v>40686.396180555559</v>
      </c>
      <c r="F992" s="85"/>
      <c r="G992" s="64" t="str">
        <f>IF(stdProdLT(Main[[#This Row],[Comments]])=0.1,"N/A",IF(stdProdLT(Main[[#This Row],[Comments]])=0,"",TRIM(stdProdLT(Main[[#This Row],[Comments]]))))</f>
        <v/>
      </c>
      <c r="H992" s="94" t="str">
        <f>IF(OR(Main[[#This Row],[Std. Prod. Lead Time]]="N/A",Main[[#This Row],[Std. Prod. Lead Time]]=""), "",IF(AND(Main[[#This Row],[In Stock Date]]&lt;&gt;"",Main[[#This Row],[Revised Due Date]]&lt;&gt;"",Main[[#This Row],[In Stock Date]]&lt;&gt;""),Main[[#This Row],[In Stock Date]]-Main[[#This Row],[Revised Due Date]],""))</f>
        <v/>
      </c>
      <c r="I992" s="101" t="s">
        <v>4</v>
      </c>
      <c r="J992" s="95" t="s">
        <v>4</v>
      </c>
      <c r="K992" s="95" t="s">
        <v>4</v>
      </c>
      <c r="L992" s="85"/>
      <c r="M992" s="73" t="str">
        <f>IF(Main[[#This Row],[Tech Start Date]]&lt;1/1/1990,"",IF(Main[[#This Row],[Class]]="C",WORKDAY(Main[[#This Row],[Tech Start Date]],9),IF(Main[[#This Row],[Class]]="B", WORKDAY(Main[[#This Row],[Tech Start Date]],6),IF(Main[[#This Row],[Class]]="A",WORKDAY(Main[[#This Row],[Tech Start Date]],2),""))))</f>
        <v/>
      </c>
      <c r="N992" s="73" t="str">
        <f>IF(Main[[#This Row],[Tech Start Date]]&lt;1/1/1990,"",IF(Main[[#This Row],[Class]]="C",WORKDAY(Main[[#This Row],[Tech Start Date]],19),IF(Main[[#This Row],[Class]]="B", WORKDAY(Main[[#This Row],[Tech Start Date]],12),IF(Main[[#This Row],[Class]]="A",WORKDAY(Main[[#This Row],[Tech Start Date]],4),""))))</f>
        <v/>
      </c>
      <c r="O992" s="73" t="str">
        <f>IF(Main[[#This Row],[Tech Start Date]]&lt;1/1/1990,"",IF(Main[[#This Row],[Class]]="C",WORKDAY(Main[[#This Row],[Tech Start Date]],23),IF(Main[[#This Row],[Class]]="B", WORKDAY(Main[[#This Row],[Tech Start Date]],15),IF(Main[[#This Row],[Class]]="A",WORKDAY(Main[[#This Row],[Tech Start Date]],5),""))))</f>
        <v/>
      </c>
      <c r="P992" s="73" t="str">
        <f>IF(Main[[#This Row],[Tech Start Date]]&lt;1/1/1990,"",IF(Main[[#This Row],[Class]]="C",WORKDAY(Main[[#This Row],[Tech Start Date]],28),IF(Main[[#This Row],[Class]]="B", WORKDAY(Main[[#This Row],[Tech Start Date]],19),IF(Main[[#This Row],[Class]]="A",WORKDAY(Main[[#This Row],[Tech Start Date]],9),""))))</f>
        <v/>
      </c>
      <c r="Q992" s="85">
        <v>40704</v>
      </c>
      <c r="R992" s="112"/>
      <c r="S992" s="95" t="s">
        <v>6</v>
      </c>
      <c r="T992" s="74" t="s">
        <v>4</v>
      </c>
      <c r="U992" s="95" t="s">
        <v>7</v>
      </c>
      <c r="V992" s="95" t="s">
        <v>1911</v>
      </c>
      <c r="W992" s="95" t="s">
        <v>1915</v>
      </c>
      <c r="X992" s="95" t="s">
        <v>2846</v>
      </c>
      <c r="Y992" s="72" t="s">
        <v>2978</v>
      </c>
      <c r="Z992" s="72" t="s">
        <v>4</v>
      </c>
      <c r="AA992" s="95" t="s">
        <v>2846</v>
      </c>
      <c r="AB992" s="132"/>
      <c r="AC992" s="132"/>
      <c r="AD992" s="132"/>
      <c r="AE992" s="63"/>
      <c r="AF992" s="63"/>
      <c r="AG992" s="63"/>
    </row>
    <row r="993" spans="1:33" ht="17.2" customHeight="1">
      <c r="A993" s="64" t="str">
        <f>IF(priority(Main[[#This Row],[Comments]])&lt;&gt;0, priority(Main[[#This Row],[Comments]]),"")</f>
        <v/>
      </c>
      <c r="B993" s="60" t="s">
        <v>1152</v>
      </c>
      <c r="C993" s="72" t="s">
        <v>4</v>
      </c>
      <c r="D993" s="59" t="s">
        <v>97</v>
      </c>
      <c r="E993" s="85">
        <v>40667.587465277778</v>
      </c>
      <c r="F993" s="85"/>
      <c r="G993" s="64" t="str">
        <f>IF(stdProdLT(Main[[#This Row],[Comments]])=0.1,"N/A",IF(stdProdLT(Main[[#This Row],[Comments]])=0,"",TRIM(stdProdLT(Main[[#This Row],[Comments]]))))</f>
        <v/>
      </c>
      <c r="H993" s="94" t="str">
        <f>IF(OR(Main[[#This Row],[Std. Prod. Lead Time]]="N/A",Main[[#This Row],[Std. Prod. Lead Time]]=""), "",IF(AND(Main[[#This Row],[In Stock Date]]&lt;&gt;"",Main[[#This Row],[Revised Due Date]]&lt;&gt;"",Main[[#This Row],[In Stock Date]]&lt;&gt;""),Main[[#This Row],[In Stock Date]]-Main[[#This Row],[Revised Due Date]],""))</f>
        <v/>
      </c>
      <c r="I993" s="101" t="s">
        <v>4</v>
      </c>
      <c r="J993" s="95" t="s">
        <v>4</v>
      </c>
      <c r="K993" s="95" t="s">
        <v>4</v>
      </c>
      <c r="L993" s="85"/>
      <c r="M993" s="73" t="str">
        <f>IF(Main[[#This Row],[Tech Start Date]]&lt;1/1/1990,"",IF(Main[[#This Row],[Class]]="C",WORKDAY(Main[[#This Row],[Tech Start Date]],9),IF(Main[[#This Row],[Class]]="B", WORKDAY(Main[[#This Row],[Tech Start Date]],6),IF(Main[[#This Row],[Class]]="A",WORKDAY(Main[[#This Row],[Tech Start Date]],2),""))))</f>
        <v/>
      </c>
      <c r="N993" s="73" t="str">
        <f>IF(Main[[#This Row],[Tech Start Date]]&lt;1/1/1990,"",IF(Main[[#This Row],[Class]]="C",WORKDAY(Main[[#This Row],[Tech Start Date]],19),IF(Main[[#This Row],[Class]]="B", WORKDAY(Main[[#This Row],[Tech Start Date]],12),IF(Main[[#This Row],[Class]]="A",WORKDAY(Main[[#This Row],[Tech Start Date]],4),""))))</f>
        <v/>
      </c>
      <c r="O993" s="73" t="str">
        <f>IF(Main[[#This Row],[Tech Start Date]]&lt;1/1/1990,"",IF(Main[[#This Row],[Class]]="C",WORKDAY(Main[[#This Row],[Tech Start Date]],23),IF(Main[[#This Row],[Class]]="B", WORKDAY(Main[[#This Row],[Tech Start Date]],15),IF(Main[[#This Row],[Class]]="A",WORKDAY(Main[[#This Row],[Tech Start Date]],5),""))))</f>
        <v/>
      </c>
      <c r="P993" s="73" t="str">
        <f>IF(Main[[#This Row],[Tech Start Date]]&lt;1/1/1990,"",IF(Main[[#This Row],[Class]]="C",WORKDAY(Main[[#This Row],[Tech Start Date]],28),IF(Main[[#This Row],[Class]]="B", WORKDAY(Main[[#This Row],[Tech Start Date]],19),IF(Main[[#This Row],[Class]]="A",WORKDAY(Main[[#This Row],[Tech Start Date]],9),""))))</f>
        <v/>
      </c>
      <c r="Q993" s="85">
        <v>40858</v>
      </c>
      <c r="R993" s="112"/>
      <c r="S993" s="95" t="s">
        <v>17</v>
      </c>
      <c r="T993" s="74" t="s">
        <v>4</v>
      </c>
      <c r="U993" s="95" t="s">
        <v>7</v>
      </c>
      <c r="V993" s="95" t="s">
        <v>1911</v>
      </c>
      <c r="W993" s="95" t="s">
        <v>1916</v>
      </c>
      <c r="X993" s="95" t="s">
        <v>50</v>
      </c>
      <c r="Y993" s="72" t="s">
        <v>2937</v>
      </c>
      <c r="Z993" s="72" t="s">
        <v>4</v>
      </c>
      <c r="AA993" s="95" t="s">
        <v>2808</v>
      </c>
      <c r="AB993" s="132"/>
      <c r="AC993" s="132"/>
      <c r="AD993" s="132"/>
      <c r="AE993" s="63"/>
      <c r="AF993" s="63"/>
      <c r="AG993" s="63"/>
    </row>
    <row r="994" spans="1:33" ht="17.2" customHeight="1">
      <c r="A994" s="64" t="str">
        <f>IF(priority(Main[[#This Row],[Comments]])&lt;&gt;0, priority(Main[[#This Row],[Comments]]),"")</f>
        <v/>
      </c>
      <c r="B994" s="60" t="s">
        <v>1789</v>
      </c>
      <c r="C994" s="72" t="s">
        <v>4</v>
      </c>
      <c r="D994" s="59" t="s">
        <v>97</v>
      </c>
      <c r="E994" s="85"/>
      <c r="F994" s="85"/>
      <c r="G994" s="64" t="str">
        <f>IF(stdProdLT(Main[[#This Row],[Comments]])=0.1,"N/A",IF(stdProdLT(Main[[#This Row],[Comments]])=0,"",TRIM(stdProdLT(Main[[#This Row],[Comments]]))))</f>
        <v/>
      </c>
      <c r="H994" s="94" t="str">
        <f>IF(OR(Main[[#This Row],[Std. Prod. Lead Time]]="N/A",Main[[#This Row],[Std. Prod. Lead Time]]=""), "",IF(AND(Main[[#This Row],[In Stock Date]]&lt;&gt;"",Main[[#This Row],[Revised Due Date]]&lt;&gt;"",Main[[#This Row],[In Stock Date]]&lt;&gt;""),Main[[#This Row],[In Stock Date]]-Main[[#This Row],[Revised Due Date]],""))</f>
        <v/>
      </c>
      <c r="I994" s="101" t="s">
        <v>4</v>
      </c>
      <c r="J994" s="95" t="s">
        <v>4</v>
      </c>
      <c r="K994" s="95" t="s">
        <v>4</v>
      </c>
      <c r="L994" s="85"/>
      <c r="M994" s="73" t="str">
        <f>IF(Main[[#This Row],[Tech Start Date]]&lt;1/1/1990,"",IF(Main[[#This Row],[Class]]="C",WORKDAY(Main[[#This Row],[Tech Start Date]],9),IF(Main[[#This Row],[Class]]="B", WORKDAY(Main[[#This Row],[Tech Start Date]],6),IF(Main[[#This Row],[Class]]="A",WORKDAY(Main[[#This Row],[Tech Start Date]],2),""))))</f>
        <v/>
      </c>
      <c r="N994" s="73" t="str">
        <f>IF(Main[[#This Row],[Tech Start Date]]&lt;1/1/1990,"",IF(Main[[#This Row],[Class]]="C",WORKDAY(Main[[#This Row],[Tech Start Date]],19),IF(Main[[#This Row],[Class]]="B", WORKDAY(Main[[#This Row],[Tech Start Date]],12),IF(Main[[#This Row],[Class]]="A",WORKDAY(Main[[#This Row],[Tech Start Date]],4),""))))</f>
        <v/>
      </c>
      <c r="O994" s="73" t="str">
        <f>IF(Main[[#This Row],[Tech Start Date]]&lt;1/1/1990,"",IF(Main[[#This Row],[Class]]="C",WORKDAY(Main[[#This Row],[Tech Start Date]],23),IF(Main[[#This Row],[Class]]="B", WORKDAY(Main[[#This Row],[Tech Start Date]],15),IF(Main[[#This Row],[Class]]="A",WORKDAY(Main[[#This Row],[Tech Start Date]],5),""))))</f>
        <v/>
      </c>
      <c r="P994" s="73" t="str">
        <f>IF(Main[[#This Row],[Tech Start Date]]&lt;1/1/1990,"",IF(Main[[#This Row],[Class]]="C",WORKDAY(Main[[#This Row],[Tech Start Date]],28),IF(Main[[#This Row],[Class]]="B", WORKDAY(Main[[#This Row],[Tech Start Date]],19),IF(Main[[#This Row],[Class]]="A",WORKDAY(Main[[#This Row],[Tech Start Date]],9),""))))</f>
        <v/>
      </c>
      <c r="Q994" s="85">
        <v>40858</v>
      </c>
      <c r="R994" s="112"/>
      <c r="S994" s="95" t="s">
        <v>17</v>
      </c>
      <c r="T994" s="74" t="s">
        <v>4</v>
      </c>
      <c r="U994" s="95" t="s">
        <v>14</v>
      </c>
      <c r="V994" s="95" t="s">
        <v>1911</v>
      </c>
      <c r="W994" s="95" t="s">
        <v>1916</v>
      </c>
      <c r="X994" s="95" t="s">
        <v>50</v>
      </c>
      <c r="Y994" s="72" t="s">
        <v>2937</v>
      </c>
      <c r="Z994" s="72" t="s">
        <v>4</v>
      </c>
      <c r="AA994" s="95" t="s">
        <v>2808</v>
      </c>
      <c r="AB994" s="132"/>
      <c r="AC994" s="132"/>
      <c r="AD994" s="132"/>
      <c r="AE994" s="63"/>
      <c r="AF994" s="63"/>
      <c r="AG994" s="63"/>
    </row>
    <row r="995" spans="1:33" ht="17.2" customHeight="1">
      <c r="A995" s="64" t="str">
        <f>IF(priority(Main[[#This Row],[Comments]])&lt;&gt;0, priority(Main[[#This Row],[Comments]]),"")</f>
        <v/>
      </c>
      <c r="B995" s="60" t="s">
        <v>1790</v>
      </c>
      <c r="C995" s="72" t="s">
        <v>4</v>
      </c>
      <c r="D995" s="59" t="s">
        <v>836</v>
      </c>
      <c r="E995" s="85"/>
      <c r="F995" s="85">
        <v>40574</v>
      </c>
      <c r="G995" s="64" t="str">
        <f>IF(stdProdLT(Main[[#This Row],[Comments]])=0.1,"N/A",IF(stdProdLT(Main[[#This Row],[Comments]])=0,"",TRIM(stdProdLT(Main[[#This Row],[Comments]]))))</f>
        <v/>
      </c>
      <c r="H995" s="94" t="str">
        <f>IF(OR(Main[[#This Row],[Std. Prod. Lead Time]]="N/A",Main[[#This Row],[Std. Prod. Lead Time]]=""), "",IF(AND(Main[[#This Row],[In Stock Date]]&lt;&gt;"",Main[[#This Row],[Revised Due Date]]&lt;&gt;"",Main[[#This Row],[In Stock Date]]&lt;&gt;""),Main[[#This Row],[In Stock Date]]-Main[[#This Row],[Revised Due Date]],""))</f>
        <v/>
      </c>
      <c r="I995" s="101" t="s">
        <v>4</v>
      </c>
      <c r="J995" s="95" t="s">
        <v>4</v>
      </c>
      <c r="K995" s="95" t="s">
        <v>4</v>
      </c>
      <c r="L995" s="85"/>
      <c r="M995" s="73" t="str">
        <f>IF(Main[[#This Row],[Tech Start Date]]&lt;1/1/1990,"",IF(Main[[#This Row],[Class]]="C",WORKDAY(Main[[#This Row],[Tech Start Date]],9),IF(Main[[#This Row],[Class]]="B", WORKDAY(Main[[#This Row],[Tech Start Date]],6),IF(Main[[#This Row],[Class]]="A",WORKDAY(Main[[#This Row],[Tech Start Date]],2),""))))</f>
        <v/>
      </c>
      <c r="N995" s="73" t="str">
        <f>IF(Main[[#This Row],[Tech Start Date]]&lt;1/1/1990,"",IF(Main[[#This Row],[Class]]="C",WORKDAY(Main[[#This Row],[Tech Start Date]],19),IF(Main[[#This Row],[Class]]="B", WORKDAY(Main[[#This Row],[Tech Start Date]],12),IF(Main[[#This Row],[Class]]="A",WORKDAY(Main[[#This Row],[Tech Start Date]],4),""))))</f>
        <v/>
      </c>
      <c r="O995" s="73" t="str">
        <f>IF(Main[[#This Row],[Tech Start Date]]&lt;1/1/1990,"",IF(Main[[#This Row],[Class]]="C",WORKDAY(Main[[#This Row],[Tech Start Date]],23),IF(Main[[#This Row],[Class]]="B", WORKDAY(Main[[#This Row],[Tech Start Date]],15),IF(Main[[#This Row],[Class]]="A",WORKDAY(Main[[#This Row],[Tech Start Date]],5),""))))</f>
        <v/>
      </c>
      <c r="P995" s="73" t="str">
        <f>IF(Main[[#This Row],[Tech Start Date]]&lt;1/1/1990,"",IF(Main[[#This Row],[Class]]="C",WORKDAY(Main[[#This Row],[Tech Start Date]],28),IF(Main[[#This Row],[Class]]="B", WORKDAY(Main[[#This Row],[Tech Start Date]],19),IF(Main[[#This Row],[Class]]="A",WORKDAY(Main[[#This Row],[Tech Start Date]],9),""))))</f>
        <v/>
      </c>
      <c r="Q995" s="85"/>
      <c r="R995" s="112"/>
      <c r="S995" s="95" t="s">
        <v>17</v>
      </c>
      <c r="T995" s="74" t="s">
        <v>4</v>
      </c>
      <c r="U995" s="95" t="s">
        <v>14</v>
      </c>
      <c r="V995" s="95" t="s">
        <v>1914</v>
      </c>
      <c r="W995" s="95" t="s">
        <v>1916</v>
      </c>
      <c r="X995" s="95" t="s">
        <v>50</v>
      </c>
      <c r="Y995" s="72" t="s">
        <v>2963</v>
      </c>
      <c r="Z995" s="72" t="s">
        <v>4</v>
      </c>
      <c r="AA995" s="95" t="s">
        <v>65</v>
      </c>
      <c r="AB995" s="132"/>
      <c r="AC995" s="132"/>
      <c r="AD995" s="132"/>
      <c r="AE995" s="63"/>
      <c r="AF995" s="63"/>
      <c r="AG995" s="63"/>
    </row>
    <row r="996" spans="1:33" ht="17.2" customHeight="1">
      <c r="A996" s="64" t="str">
        <f>IF(priority(Main[[#This Row],[Comments]])&lt;&gt;0, priority(Main[[#This Row],[Comments]]),"")</f>
        <v/>
      </c>
      <c r="B996" s="60" t="s">
        <v>1791</v>
      </c>
      <c r="C996" s="72" t="s">
        <v>93</v>
      </c>
      <c r="D996" s="59" t="s">
        <v>837</v>
      </c>
      <c r="E996" s="85"/>
      <c r="F996" s="85">
        <v>40132</v>
      </c>
      <c r="G996" s="64" t="str">
        <f>IF(stdProdLT(Main[[#This Row],[Comments]])=0.1,"N/A",IF(stdProdLT(Main[[#This Row],[Comments]])=0,"",TRIM(stdProdLT(Main[[#This Row],[Comments]]))))</f>
        <v/>
      </c>
      <c r="H996" s="94" t="str">
        <f>IF(OR(Main[[#This Row],[Std. Prod. Lead Time]]="N/A",Main[[#This Row],[Std. Prod. Lead Time]]=""), "",IF(AND(Main[[#This Row],[In Stock Date]]&lt;&gt;"",Main[[#This Row],[Revised Due Date]]&lt;&gt;"",Main[[#This Row],[In Stock Date]]&lt;&gt;""),Main[[#This Row],[In Stock Date]]-Main[[#This Row],[Revised Due Date]],""))</f>
        <v/>
      </c>
      <c r="I996" s="101" t="s">
        <v>4</v>
      </c>
      <c r="J996" s="95" t="s">
        <v>4</v>
      </c>
      <c r="K996" s="95" t="s">
        <v>4</v>
      </c>
      <c r="L996" s="85"/>
      <c r="M996" s="73" t="str">
        <f>IF(Main[[#This Row],[Tech Start Date]]&lt;1/1/1990,"",IF(Main[[#This Row],[Class]]="C",WORKDAY(Main[[#This Row],[Tech Start Date]],9),IF(Main[[#This Row],[Class]]="B", WORKDAY(Main[[#This Row],[Tech Start Date]],6),IF(Main[[#This Row],[Class]]="A",WORKDAY(Main[[#This Row],[Tech Start Date]],2),""))))</f>
        <v/>
      </c>
      <c r="N996" s="73" t="str">
        <f>IF(Main[[#This Row],[Tech Start Date]]&lt;1/1/1990,"",IF(Main[[#This Row],[Class]]="C",WORKDAY(Main[[#This Row],[Tech Start Date]],19),IF(Main[[#This Row],[Class]]="B", WORKDAY(Main[[#This Row],[Tech Start Date]],12),IF(Main[[#This Row],[Class]]="A",WORKDAY(Main[[#This Row],[Tech Start Date]],4),""))))</f>
        <v/>
      </c>
      <c r="O996" s="73" t="str">
        <f>IF(Main[[#This Row],[Tech Start Date]]&lt;1/1/1990,"",IF(Main[[#This Row],[Class]]="C",WORKDAY(Main[[#This Row],[Tech Start Date]],23),IF(Main[[#This Row],[Class]]="B", WORKDAY(Main[[#This Row],[Tech Start Date]],15),IF(Main[[#This Row],[Class]]="A",WORKDAY(Main[[#This Row],[Tech Start Date]],5),""))))</f>
        <v/>
      </c>
      <c r="P996" s="73" t="str">
        <f>IF(Main[[#This Row],[Tech Start Date]]&lt;1/1/1990,"",IF(Main[[#This Row],[Class]]="C",WORKDAY(Main[[#This Row],[Tech Start Date]],28),IF(Main[[#This Row],[Class]]="B", WORKDAY(Main[[#This Row],[Tech Start Date]],19),IF(Main[[#This Row],[Class]]="A",WORKDAY(Main[[#This Row],[Tech Start Date]],9),""))))</f>
        <v/>
      </c>
      <c r="Q996" s="85">
        <v>40132</v>
      </c>
      <c r="R996" s="112"/>
      <c r="S996" s="95" t="s">
        <v>11</v>
      </c>
      <c r="T996" s="74" t="s">
        <v>4</v>
      </c>
      <c r="U996" s="95" t="s">
        <v>14</v>
      </c>
      <c r="V996" s="95" t="s">
        <v>1914</v>
      </c>
      <c r="W996" s="95" t="s">
        <v>1922</v>
      </c>
      <c r="X996" s="95" t="s">
        <v>2836</v>
      </c>
      <c r="Y996" s="72" t="s">
        <v>4</v>
      </c>
      <c r="Z996" s="72" t="s">
        <v>4</v>
      </c>
      <c r="AA996" s="95" t="s">
        <v>2836</v>
      </c>
      <c r="AB996" s="132"/>
      <c r="AC996" s="132"/>
      <c r="AD996" s="132"/>
      <c r="AE996" s="63"/>
      <c r="AF996" s="63"/>
      <c r="AG996" s="63"/>
    </row>
    <row r="997" spans="1:33" ht="17.2" customHeight="1">
      <c r="A997" s="64" t="str">
        <f>IF(priority(Main[[#This Row],[Comments]])&lt;&gt;0, priority(Main[[#This Row],[Comments]]),"")</f>
        <v/>
      </c>
      <c r="B997" s="60" t="s">
        <v>1792</v>
      </c>
      <c r="C997" s="72" t="s">
        <v>113</v>
      </c>
      <c r="D997" s="59" t="s">
        <v>838</v>
      </c>
      <c r="E997" s="85"/>
      <c r="F997" s="85"/>
      <c r="G997" s="64" t="str">
        <f>IF(stdProdLT(Main[[#This Row],[Comments]])=0.1,"N/A",IF(stdProdLT(Main[[#This Row],[Comments]])=0,"",TRIM(stdProdLT(Main[[#This Row],[Comments]]))))</f>
        <v/>
      </c>
      <c r="H997" s="94" t="str">
        <f>IF(OR(Main[[#This Row],[Std. Prod. Lead Time]]="N/A",Main[[#This Row],[Std. Prod. Lead Time]]=""), "",IF(AND(Main[[#This Row],[In Stock Date]]&lt;&gt;"",Main[[#This Row],[Revised Due Date]]&lt;&gt;"",Main[[#This Row],[In Stock Date]]&lt;&gt;""),Main[[#This Row],[In Stock Date]]-Main[[#This Row],[Revised Due Date]],""))</f>
        <v/>
      </c>
      <c r="I997" s="101" t="s">
        <v>4</v>
      </c>
      <c r="J997" s="95" t="s">
        <v>28</v>
      </c>
      <c r="K997" s="95" t="s">
        <v>1923</v>
      </c>
      <c r="L997" s="85"/>
      <c r="M997" s="73" t="str">
        <f>IF(Main[[#This Row],[Tech Start Date]]&lt;1/1/1990,"",IF(Main[[#This Row],[Class]]="C",WORKDAY(Main[[#This Row],[Tech Start Date]],9),IF(Main[[#This Row],[Class]]="B", WORKDAY(Main[[#This Row],[Tech Start Date]],6),IF(Main[[#This Row],[Class]]="A",WORKDAY(Main[[#This Row],[Tech Start Date]],2),""))))</f>
        <v/>
      </c>
      <c r="N997" s="73" t="str">
        <f>IF(Main[[#This Row],[Tech Start Date]]&lt;1/1/1990,"",IF(Main[[#This Row],[Class]]="C",WORKDAY(Main[[#This Row],[Tech Start Date]],19),IF(Main[[#This Row],[Class]]="B", WORKDAY(Main[[#This Row],[Tech Start Date]],12),IF(Main[[#This Row],[Class]]="A",WORKDAY(Main[[#This Row],[Tech Start Date]],4),""))))</f>
        <v/>
      </c>
      <c r="O997" s="73" t="str">
        <f>IF(Main[[#This Row],[Tech Start Date]]&lt;1/1/1990,"",IF(Main[[#This Row],[Class]]="C",WORKDAY(Main[[#This Row],[Tech Start Date]],23),IF(Main[[#This Row],[Class]]="B", WORKDAY(Main[[#This Row],[Tech Start Date]],15),IF(Main[[#This Row],[Class]]="A",WORKDAY(Main[[#This Row],[Tech Start Date]],5),""))))</f>
        <v/>
      </c>
      <c r="P997" s="73" t="str">
        <f>IF(Main[[#This Row],[Tech Start Date]]&lt;1/1/1990,"",IF(Main[[#This Row],[Class]]="C",WORKDAY(Main[[#This Row],[Tech Start Date]],28),IF(Main[[#This Row],[Class]]="B", WORKDAY(Main[[#This Row],[Tech Start Date]],19),IF(Main[[#This Row],[Class]]="A",WORKDAY(Main[[#This Row],[Tech Start Date]],9),""))))</f>
        <v/>
      </c>
      <c r="Q997" s="85"/>
      <c r="R997" s="112"/>
      <c r="S997" s="95" t="s">
        <v>17</v>
      </c>
      <c r="T997" s="74" t="s">
        <v>4</v>
      </c>
      <c r="U997" s="95" t="s">
        <v>14</v>
      </c>
      <c r="V997" s="95" t="s">
        <v>1912</v>
      </c>
      <c r="W997" s="95" t="s">
        <v>1919</v>
      </c>
      <c r="X997" s="95" t="s">
        <v>50</v>
      </c>
      <c r="Y997" s="72" t="s">
        <v>3087</v>
      </c>
      <c r="Z997" s="72" t="s">
        <v>975</v>
      </c>
      <c r="AA997" s="95" t="s">
        <v>50</v>
      </c>
      <c r="AB997" s="132"/>
      <c r="AC997" s="132"/>
      <c r="AD997" s="132"/>
      <c r="AE997" s="63"/>
      <c r="AF997" s="63"/>
      <c r="AG997" s="63"/>
    </row>
    <row r="998" spans="1:33" ht="17.2" customHeight="1">
      <c r="A998" s="64" t="str">
        <f>IF(priority(Main[[#This Row],[Comments]])&lt;&gt;0, priority(Main[[#This Row],[Comments]]),"")</f>
        <v/>
      </c>
      <c r="B998" s="60" t="s">
        <v>1794</v>
      </c>
      <c r="C998" s="72" t="s">
        <v>4</v>
      </c>
      <c r="D998" s="59" t="s">
        <v>840</v>
      </c>
      <c r="E998" s="85"/>
      <c r="F998" s="85">
        <v>40435</v>
      </c>
      <c r="G998" s="64" t="str">
        <f>IF(stdProdLT(Main[[#This Row],[Comments]])=0.1,"N/A",IF(stdProdLT(Main[[#This Row],[Comments]])=0,"",TRIM(stdProdLT(Main[[#This Row],[Comments]]))))</f>
        <v/>
      </c>
      <c r="H998" s="94" t="str">
        <f>IF(OR(Main[[#This Row],[Std. Prod. Lead Time]]="N/A",Main[[#This Row],[Std. Prod. Lead Time]]=""), "",IF(AND(Main[[#This Row],[In Stock Date]]&lt;&gt;"",Main[[#This Row],[Revised Due Date]]&lt;&gt;"",Main[[#This Row],[In Stock Date]]&lt;&gt;""),Main[[#This Row],[In Stock Date]]-Main[[#This Row],[Revised Due Date]],""))</f>
        <v/>
      </c>
      <c r="I998" s="101" t="s">
        <v>4</v>
      </c>
      <c r="J998" s="95" t="s">
        <v>28</v>
      </c>
      <c r="K998" s="95" t="s">
        <v>4</v>
      </c>
      <c r="L998" s="85"/>
      <c r="M998" s="73" t="str">
        <f>IF(Main[[#This Row],[Tech Start Date]]&lt;1/1/1990,"",IF(Main[[#This Row],[Class]]="C",WORKDAY(Main[[#This Row],[Tech Start Date]],9),IF(Main[[#This Row],[Class]]="B", WORKDAY(Main[[#This Row],[Tech Start Date]],6),IF(Main[[#This Row],[Class]]="A",WORKDAY(Main[[#This Row],[Tech Start Date]],2),""))))</f>
        <v/>
      </c>
      <c r="N998" s="73" t="str">
        <f>IF(Main[[#This Row],[Tech Start Date]]&lt;1/1/1990,"",IF(Main[[#This Row],[Class]]="C",WORKDAY(Main[[#This Row],[Tech Start Date]],19),IF(Main[[#This Row],[Class]]="B", WORKDAY(Main[[#This Row],[Tech Start Date]],12),IF(Main[[#This Row],[Class]]="A",WORKDAY(Main[[#This Row],[Tech Start Date]],4),""))))</f>
        <v/>
      </c>
      <c r="O998" s="73" t="str">
        <f>IF(Main[[#This Row],[Tech Start Date]]&lt;1/1/1990,"",IF(Main[[#This Row],[Class]]="C",WORKDAY(Main[[#This Row],[Tech Start Date]],23),IF(Main[[#This Row],[Class]]="B", WORKDAY(Main[[#This Row],[Tech Start Date]],15),IF(Main[[#This Row],[Class]]="A",WORKDAY(Main[[#This Row],[Tech Start Date]],5),""))))</f>
        <v/>
      </c>
      <c r="P998" s="73" t="str">
        <f>IF(Main[[#This Row],[Tech Start Date]]&lt;1/1/1990,"",IF(Main[[#This Row],[Class]]="C",WORKDAY(Main[[#This Row],[Tech Start Date]],28),IF(Main[[#This Row],[Class]]="B", WORKDAY(Main[[#This Row],[Tech Start Date]],19),IF(Main[[#This Row],[Class]]="A",WORKDAY(Main[[#This Row],[Tech Start Date]],9),""))))</f>
        <v/>
      </c>
      <c r="Q998" s="85"/>
      <c r="R998" s="112"/>
      <c r="S998" s="95" t="s">
        <v>11</v>
      </c>
      <c r="T998" s="74" t="s">
        <v>4</v>
      </c>
      <c r="U998" s="95" t="s">
        <v>14</v>
      </c>
      <c r="V998" s="95" t="s">
        <v>1914</v>
      </c>
      <c r="W998" s="95" t="s">
        <v>1916</v>
      </c>
      <c r="X998" s="95" t="s">
        <v>2817</v>
      </c>
      <c r="Y998" s="72" t="s">
        <v>2944</v>
      </c>
      <c r="Z998" s="72" t="s">
        <v>530</v>
      </c>
      <c r="AA998" s="95" t="s">
        <v>2814</v>
      </c>
      <c r="AB998" s="132"/>
      <c r="AC998" s="132"/>
      <c r="AD998" s="132"/>
      <c r="AE998" s="63"/>
      <c r="AF998" s="63"/>
      <c r="AG998" s="63"/>
    </row>
    <row r="999" spans="1:33" ht="17.2" customHeight="1">
      <c r="A999" s="64" t="str">
        <f>IF(priority(Main[[#This Row],[Comments]])&lt;&gt;0, priority(Main[[#This Row],[Comments]]),"")</f>
        <v/>
      </c>
      <c r="B999" s="60" t="s">
        <v>1795</v>
      </c>
      <c r="C999" s="72" t="s">
        <v>99</v>
      </c>
      <c r="D999" s="59" t="s">
        <v>841</v>
      </c>
      <c r="E999" s="85"/>
      <c r="F999" s="85">
        <v>40435</v>
      </c>
      <c r="G999" s="64" t="str">
        <f>IF(stdProdLT(Main[[#This Row],[Comments]])=0.1,"N/A",IF(stdProdLT(Main[[#This Row],[Comments]])=0,"",TRIM(stdProdLT(Main[[#This Row],[Comments]]))))</f>
        <v/>
      </c>
      <c r="H999" s="94" t="str">
        <f>IF(OR(Main[[#This Row],[Std. Prod. Lead Time]]="N/A",Main[[#This Row],[Std. Prod. Lead Time]]=""), "",IF(AND(Main[[#This Row],[In Stock Date]]&lt;&gt;"",Main[[#This Row],[Revised Due Date]]&lt;&gt;"",Main[[#This Row],[In Stock Date]]&lt;&gt;""),Main[[#This Row],[In Stock Date]]-Main[[#This Row],[Revised Due Date]],""))</f>
        <v/>
      </c>
      <c r="I999" s="101" t="s">
        <v>4</v>
      </c>
      <c r="J999" s="95" t="s">
        <v>28</v>
      </c>
      <c r="K999" s="95" t="s">
        <v>4</v>
      </c>
      <c r="L999" s="85"/>
      <c r="M999" s="73" t="str">
        <f>IF(Main[[#This Row],[Tech Start Date]]&lt;1/1/1990,"",IF(Main[[#This Row],[Class]]="C",WORKDAY(Main[[#This Row],[Tech Start Date]],9),IF(Main[[#This Row],[Class]]="B", WORKDAY(Main[[#This Row],[Tech Start Date]],6),IF(Main[[#This Row],[Class]]="A",WORKDAY(Main[[#This Row],[Tech Start Date]],2),""))))</f>
        <v/>
      </c>
      <c r="N999" s="73" t="str">
        <f>IF(Main[[#This Row],[Tech Start Date]]&lt;1/1/1990,"",IF(Main[[#This Row],[Class]]="C",WORKDAY(Main[[#This Row],[Tech Start Date]],19),IF(Main[[#This Row],[Class]]="B", WORKDAY(Main[[#This Row],[Tech Start Date]],12),IF(Main[[#This Row],[Class]]="A",WORKDAY(Main[[#This Row],[Tech Start Date]],4),""))))</f>
        <v/>
      </c>
      <c r="O999" s="73" t="str">
        <f>IF(Main[[#This Row],[Tech Start Date]]&lt;1/1/1990,"",IF(Main[[#This Row],[Class]]="C",WORKDAY(Main[[#This Row],[Tech Start Date]],23),IF(Main[[#This Row],[Class]]="B", WORKDAY(Main[[#This Row],[Tech Start Date]],15),IF(Main[[#This Row],[Class]]="A",WORKDAY(Main[[#This Row],[Tech Start Date]],5),""))))</f>
        <v/>
      </c>
      <c r="P999" s="73" t="str">
        <f>IF(Main[[#This Row],[Tech Start Date]]&lt;1/1/1990,"",IF(Main[[#This Row],[Class]]="C",WORKDAY(Main[[#This Row],[Tech Start Date]],28),IF(Main[[#This Row],[Class]]="B", WORKDAY(Main[[#This Row],[Tech Start Date]],19),IF(Main[[#This Row],[Class]]="A",WORKDAY(Main[[#This Row],[Tech Start Date]],9),""))))</f>
        <v/>
      </c>
      <c r="Q999" s="85">
        <v>40435</v>
      </c>
      <c r="R999" s="112"/>
      <c r="S999" s="95" t="s">
        <v>11</v>
      </c>
      <c r="T999" s="74" t="s">
        <v>4</v>
      </c>
      <c r="U999" s="95" t="s">
        <v>14</v>
      </c>
      <c r="V999" s="95" t="s">
        <v>1914</v>
      </c>
      <c r="W999" s="95" t="s">
        <v>1916</v>
      </c>
      <c r="X999" s="95" t="s">
        <v>2817</v>
      </c>
      <c r="Y999" s="72" t="s">
        <v>2944</v>
      </c>
      <c r="Z999" s="72" t="s">
        <v>530</v>
      </c>
      <c r="AA999" s="95" t="s">
        <v>3371</v>
      </c>
      <c r="AB999" s="132"/>
      <c r="AC999" s="132"/>
      <c r="AD999" s="132"/>
      <c r="AE999" s="63"/>
      <c r="AF999" s="63"/>
      <c r="AG999" s="63"/>
    </row>
    <row r="1000" spans="1:33" ht="17.2" customHeight="1">
      <c r="A1000" s="64" t="str">
        <f>IF(priority(Main[[#This Row],[Comments]])&lt;&gt;0, priority(Main[[#This Row],[Comments]]),"")</f>
        <v/>
      </c>
      <c r="B1000" s="60" t="s">
        <v>1781</v>
      </c>
      <c r="C1000" s="72" t="s">
        <v>826</v>
      </c>
      <c r="D1000" s="59" t="s">
        <v>827</v>
      </c>
      <c r="E1000" s="85"/>
      <c r="F1000" s="85"/>
      <c r="G1000" s="64" t="str">
        <f>IF(stdProdLT(Main[[#This Row],[Comments]])=0.1,"N/A",IF(stdProdLT(Main[[#This Row],[Comments]])=0,"",TRIM(stdProdLT(Main[[#This Row],[Comments]]))))</f>
        <v/>
      </c>
      <c r="H1000" s="94" t="str">
        <f>IF(OR(Main[[#This Row],[Std. Prod. Lead Time]]="N/A",Main[[#This Row],[Std. Prod. Lead Time]]=""), "",IF(AND(Main[[#This Row],[In Stock Date]]&lt;&gt;"",Main[[#This Row],[Revised Due Date]]&lt;&gt;"",Main[[#This Row],[In Stock Date]]&lt;&gt;""),Main[[#This Row],[In Stock Date]]-Main[[#This Row],[Revised Due Date]],""))</f>
        <v/>
      </c>
      <c r="I1000" s="101" t="s">
        <v>4</v>
      </c>
      <c r="J1000" s="95" t="s">
        <v>4</v>
      </c>
      <c r="K1000" s="96" t="s">
        <v>4</v>
      </c>
      <c r="L1000" s="85"/>
      <c r="M1000" s="73" t="str">
        <f>IF(Main[[#This Row],[Tech Start Date]]&lt;1/1/1990,"",IF(Main[[#This Row],[Class]]="C",WORKDAY(Main[[#This Row],[Tech Start Date]],9),IF(Main[[#This Row],[Class]]="B", WORKDAY(Main[[#This Row],[Tech Start Date]],6),IF(Main[[#This Row],[Class]]="A",WORKDAY(Main[[#This Row],[Tech Start Date]],2),""))))</f>
        <v/>
      </c>
      <c r="N1000" s="73" t="str">
        <f>IF(Main[[#This Row],[Tech Start Date]]&lt;1/1/1990,"",IF(Main[[#This Row],[Class]]="C",WORKDAY(Main[[#This Row],[Tech Start Date]],19),IF(Main[[#This Row],[Class]]="B", WORKDAY(Main[[#This Row],[Tech Start Date]],12),IF(Main[[#This Row],[Class]]="A",WORKDAY(Main[[#This Row],[Tech Start Date]],4),""))))</f>
        <v/>
      </c>
      <c r="O1000" s="73" t="str">
        <f>IF(Main[[#This Row],[Tech Start Date]]&lt;1/1/1990,"",IF(Main[[#This Row],[Class]]="C",WORKDAY(Main[[#This Row],[Tech Start Date]],23),IF(Main[[#This Row],[Class]]="B", WORKDAY(Main[[#This Row],[Tech Start Date]],15),IF(Main[[#This Row],[Class]]="A",WORKDAY(Main[[#This Row],[Tech Start Date]],5),""))))</f>
        <v/>
      </c>
      <c r="P1000" s="73" t="str">
        <f>IF(Main[[#This Row],[Tech Start Date]]&lt;1/1/1990,"",IF(Main[[#This Row],[Class]]="C",WORKDAY(Main[[#This Row],[Tech Start Date]],28),IF(Main[[#This Row],[Class]]="B", WORKDAY(Main[[#This Row],[Tech Start Date]],19),IF(Main[[#This Row],[Class]]="A",WORKDAY(Main[[#This Row],[Tech Start Date]],9),""))))</f>
        <v/>
      </c>
      <c r="Q1000" s="85"/>
      <c r="R1000" s="112"/>
      <c r="S1000" s="95" t="s">
        <v>11</v>
      </c>
      <c r="T1000" s="74" t="s">
        <v>4</v>
      </c>
      <c r="U1000" s="95" t="s">
        <v>14</v>
      </c>
      <c r="V1000" s="95" t="s">
        <v>1912</v>
      </c>
      <c r="W1000" s="95" t="s">
        <v>1916</v>
      </c>
      <c r="X1000" s="95" t="s">
        <v>2869</v>
      </c>
      <c r="Y1000" s="72" t="s">
        <v>4</v>
      </c>
      <c r="Z1000" s="72" t="s">
        <v>4</v>
      </c>
      <c r="AA1000" s="95" t="s">
        <v>3407</v>
      </c>
      <c r="AB1000" s="132"/>
      <c r="AC1000" s="132"/>
      <c r="AD1000" s="132"/>
      <c r="AE1000" s="63"/>
      <c r="AF1000" s="63"/>
      <c r="AG1000" s="63"/>
    </row>
    <row r="1001" spans="1:33" ht="17.2" customHeight="1">
      <c r="A1001" s="64" t="str">
        <f>IF(priority(Main[[#This Row],[Comments]])&lt;&gt;0, priority(Main[[#This Row],[Comments]]),"")</f>
        <v/>
      </c>
      <c r="B1001" s="60" t="s">
        <v>2120</v>
      </c>
      <c r="C1001" s="72" t="s">
        <v>4</v>
      </c>
      <c r="D1001" s="59" t="s">
        <v>2121</v>
      </c>
      <c r="E1001" s="85">
        <v>40760.662685185183</v>
      </c>
      <c r="F1001" s="85"/>
      <c r="G1001" s="64" t="str">
        <f>IF(stdProdLT(Main[[#This Row],[Comments]])=0.1,"N/A",IF(stdProdLT(Main[[#This Row],[Comments]])=0,"",TRIM(stdProdLT(Main[[#This Row],[Comments]]))))</f>
        <v/>
      </c>
      <c r="H1001" s="94" t="str">
        <f>IF(OR(Main[[#This Row],[Std. Prod. Lead Time]]="N/A",Main[[#This Row],[Std. Prod. Lead Time]]=""), "",IF(AND(Main[[#This Row],[In Stock Date]]&lt;&gt;"",Main[[#This Row],[Revised Due Date]]&lt;&gt;"",Main[[#This Row],[In Stock Date]]&lt;&gt;""),Main[[#This Row],[In Stock Date]]-Main[[#This Row],[Revised Due Date]],""))</f>
        <v/>
      </c>
      <c r="I1001" s="101" t="s">
        <v>4</v>
      </c>
      <c r="J1001" s="95" t="s">
        <v>4</v>
      </c>
      <c r="K1001" s="95" t="s">
        <v>4</v>
      </c>
      <c r="L1001" s="85"/>
      <c r="M1001" s="73" t="str">
        <f>IF(Main[[#This Row],[Tech Start Date]]&lt;1/1/1990,"",IF(Main[[#This Row],[Class]]="C",WORKDAY(Main[[#This Row],[Tech Start Date]],9),IF(Main[[#This Row],[Class]]="B", WORKDAY(Main[[#This Row],[Tech Start Date]],6),IF(Main[[#This Row],[Class]]="A",WORKDAY(Main[[#This Row],[Tech Start Date]],2),""))))</f>
        <v/>
      </c>
      <c r="N1001" s="73" t="str">
        <f>IF(Main[[#This Row],[Tech Start Date]]&lt;1/1/1990,"",IF(Main[[#This Row],[Class]]="C",WORKDAY(Main[[#This Row],[Tech Start Date]],19),IF(Main[[#This Row],[Class]]="B", WORKDAY(Main[[#This Row],[Tech Start Date]],12),IF(Main[[#This Row],[Class]]="A",WORKDAY(Main[[#This Row],[Tech Start Date]],4),""))))</f>
        <v/>
      </c>
      <c r="O1001" s="73" t="str">
        <f>IF(Main[[#This Row],[Tech Start Date]]&lt;1/1/1990,"",IF(Main[[#This Row],[Class]]="C",WORKDAY(Main[[#This Row],[Tech Start Date]],23),IF(Main[[#This Row],[Class]]="B", WORKDAY(Main[[#This Row],[Tech Start Date]],15),IF(Main[[#This Row],[Class]]="A",WORKDAY(Main[[#This Row],[Tech Start Date]],5),""))))</f>
        <v/>
      </c>
      <c r="P1001" s="73" t="str">
        <f>IF(Main[[#This Row],[Tech Start Date]]&lt;1/1/1990,"",IF(Main[[#This Row],[Class]]="C",WORKDAY(Main[[#This Row],[Tech Start Date]],28),IF(Main[[#This Row],[Class]]="B", WORKDAY(Main[[#This Row],[Tech Start Date]],19),IF(Main[[#This Row],[Class]]="A",WORKDAY(Main[[#This Row],[Tech Start Date]],9),""))))</f>
        <v/>
      </c>
      <c r="Q1001" s="85"/>
      <c r="R1001" s="112"/>
      <c r="S1001" s="95" t="s">
        <v>6</v>
      </c>
      <c r="T1001" s="74" t="s">
        <v>4</v>
      </c>
      <c r="U1001" s="95" t="s">
        <v>7</v>
      </c>
      <c r="V1001" s="95" t="s">
        <v>1911</v>
      </c>
      <c r="W1001" s="95" t="s">
        <v>4</v>
      </c>
      <c r="X1001" s="95" t="s">
        <v>306</v>
      </c>
      <c r="Y1001" s="72" t="s">
        <v>4</v>
      </c>
      <c r="Z1001" s="72" t="s">
        <v>4</v>
      </c>
      <c r="AA1001" s="95" t="s">
        <v>3351</v>
      </c>
      <c r="AB1001" s="132"/>
      <c r="AC1001" s="132"/>
      <c r="AD1001" s="132"/>
      <c r="AE1001" s="63"/>
      <c r="AF1001" s="63"/>
      <c r="AG1001" s="63"/>
    </row>
    <row r="1002" spans="1:33" ht="17.2" customHeight="1">
      <c r="A1002" s="64" t="str">
        <f>IF(priority(Main[[#This Row],[Comments]])&lt;&gt;0, priority(Main[[#This Row],[Comments]]),"")</f>
        <v/>
      </c>
      <c r="B1002" s="60" t="s">
        <v>1796</v>
      </c>
      <c r="C1002" s="72" t="s">
        <v>4</v>
      </c>
      <c r="D1002" s="59" t="s">
        <v>842</v>
      </c>
      <c r="E1002" s="85"/>
      <c r="F1002" s="85"/>
      <c r="G1002" s="64" t="str">
        <f>IF(stdProdLT(Main[[#This Row],[Comments]])=0.1,"N/A",IF(stdProdLT(Main[[#This Row],[Comments]])=0,"",TRIM(stdProdLT(Main[[#This Row],[Comments]]))))</f>
        <v/>
      </c>
      <c r="H1002" s="94" t="str">
        <f>IF(OR(Main[[#This Row],[Std. Prod. Lead Time]]="N/A",Main[[#This Row],[Std. Prod. Lead Time]]=""), "",IF(AND(Main[[#This Row],[In Stock Date]]&lt;&gt;"",Main[[#This Row],[Revised Due Date]]&lt;&gt;"",Main[[#This Row],[In Stock Date]]&lt;&gt;""),Main[[#This Row],[In Stock Date]]-Main[[#This Row],[Revised Due Date]],""))</f>
        <v/>
      </c>
      <c r="I1002" s="101" t="s">
        <v>50</v>
      </c>
      <c r="J1002" s="95" t="s">
        <v>28</v>
      </c>
      <c r="K1002" s="95" t="s">
        <v>1920</v>
      </c>
      <c r="L1002" s="85"/>
      <c r="M1002" s="73" t="str">
        <f>IF(Main[[#This Row],[Tech Start Date]]&lt;1/1/1990,"",IF(Main[[#This Row],[Class]]="C",WORKDAY(Main[[#This Row],[Tech Start Date]],9),IF(Main[[#This Row],[Class]]="B", WORKDAY(Main[[#This Row],[Tech Start Date]],6),IF(Main[[#This Row],[Class]]="A",WORKDAY(Main[[#This Row],[Tech Start Date]],2),""))))</f>
        <v/>
      </c>
      <c r="N1002" s="73" t="str">
        <f>IF(Main[[#This Row],[Tech Start Date]]&lt;1/1/1990,"",IF(Main[[#This Row],[Class]]="C",WORKDAY(Main[[#This Row],[Tech Start Date]],19),IF(Main[[#This Row],[Class]]="B", WORKDAY(Main[[#This Row],[Tech Start Date]],12),IF(Main[[#This Row],[Class]]="A",WORKDAY(Main[[#This Row],[Tech Start Date]],4),""))))</f>
        <v/>
      </c>
      <c r="O1002" s="73" t="str">
        <f>IF(Main[[#This Row],[Tech Start Date]]&lt;1/1/1990,"",IF(Main[[#This Row],[Class]]="C",WORKDAY(Main[[#This Row],[Tech Start Date]],23),IF(Main[[#This Row],[Class]]="B", WORKDAY(Main[[#This Row],[Tech Start Date]],15),IF(Main[[#This Row],[Class]]="A",WORKDAY(Main[[#This Row],[Tech Start Date]],5),""))))</f>
        <v/>
      </c>
      <c r="P1002" s="73" t="str">
        <f>IF(Main[[#This Row],[Tech Start Date]]&lt;1/1/1990,"",IF(Main[[#This Row],[Class]]="C",WORKDAY(Main[[#This Row],[Tech Start Date]],28),IF(Main[[#This Row],[Class]]="B", WORKDAY(Main[[#This Row],[Tech Start Date]],19),IF(Main[[#This Row],[Class]]="A",WORKDAY(Main[[#This Row],[Tech Start Date]],9),""))))</f>
        <v/>
      </c>
      <c r="Q1002" s="85"/>
      <c r="R1002" s="112"/>
      <c r="S1002" s="95" t="s">
        <v>6</v>
      </c>
      <c r="T1002" s="74" t="s">
        <v>4</v>
      </c>
      <c r="U1002" s="95" t="s">
        <v>14</v>
      </c>
      <c r="V1002" s="95" t="s">
        <v>1914</v>
      </c>
      <c r="W1002" s="95" t="s">
        <v>1915</v>
      </c>
      <c r="X1002" s="95" t="s">
        <v>2846</v>
      </c>
      <c r="Y1002" s="72" t="s">
        <v>2978</v>
      </c>
      <c r="Z1002" s="72" t="s">
        <v>44</v>
      </c>
      <c r="AA1002" s="95" t="s">
        <v>2846</v>
      </c>
      <c r="AB1002" s="132"/>
      <c r="AC1002" s="132"/>
      <c r="AD1002" s="132"/>
      <c r="AE1002" s="63"/>
      <c r="AF1002" s="63"/>
      <c r="AG1002" s="63"/>
    </row>
    <row r="1003" spans="1:33" ht="17.2" customHeight="1">
      <c r="A1003" s="64" t="str">
        <f>IF(priority(Main[[#This Row],[Comments]])&lt;&gt;0, priority(Main[[#This Row],[Comments]]),"")</f>
        <v/>
      </c>
      <c r="B1003" s="60" t="s">
        <v>1797</v>
      </c>
      <c r="C1003" s="72" t="s">
        <v>493</v>
      </c>
      <c r="D1003" s="59" t="s">
        <v>843</v>
      </c>
      <c r="E1003" s="85"/>
      <c r="F1003" s="85"/>
      <c r="G1003" s="64" t="str">
        <f>IF(stdProdLT(Main[[#This Row],[Comments]])=0.1,"N/A",IF(stdProdLT(Main[[#This Row],[Comments]])=0,"",TRIM(stdProdLT(Main[[#This Row],[Comments]]))))</f>
        <v/>
      </c>
      <c r="H1003" s="94" t="str">
        <f>IF(OR(Main[[#This Row],[Std. Prod. Lead Time]]="N/A",Main[[#This Row],[Std. Prod. Lead Time]]=""), "",IF(AND(Main[[#This Row],[In Stock Date]]&lt;&gt;"",Main[[#This Row],[Revised Due Date]]&lt;&gt;"",Main[[#This Row],[In Stock Date]]&lt;&gt;""),Main[[#This Row],[In Stock Date]]-Main[[#This Row],[Revised Due Date]],""))</f>
        <v/>
      </c>
      <c r="I1003" s="101" t="s">
        <v>4</v>
      </c>
      <c r="J1003" s="95" t="s">
        <v>4</v>
      </c>
      <c r="K1003" s="95" t="s">
        <v>4</v>
      </c>
      <c r="L1003" s="85"/>
      <c r="M1003" s="73" t="str">
        <f>IF(Main[[#This Row],[Tech Start Date]]&lt;1/1/1990,"",IF(Main[[#This Row],[Class]]="C",WORKDAY(Main[[#This Row],[Tech Start Date]],9),IF(Main[[#This Row],[Class]]="B", WORKDAY(Main[[#This Row],[Tech Start Date]],6),IF(Main[[#This Row],[Class]]="A",WORKDAY(Main[[#This Row],[Tech Start Date]],2),""))))</f>
        <v/>
      </c>
      <c r="N1003" s="73" t="str">
        <f>IF(Main[[#This Row],[Tech Start Date]]&lt;1/1/1990,"",IF(Main[[#This Row],[Class]]="C",WORKDAY(Main[[#This Row],[Tech Start Date]],19),IF(Main[[#This Row],[Class]]="B", WORKDAY(Main[[#This Row],[Tech Start Date]],12),IF(Main[[#This Row],[Class]]="A",WORKDAY(Main[[#This Row],[Tech Start Date]],4),""))))</f>
        <v/>
      </c>
      <c r="O1003" s="73" t="str">
        <f>IF(Main[[#This Row],[Tech Start Date]]&lt;1/1/1990,"",IF(Main[[#This Row],[Class]]="C",WORKDAY(Main[[#This Row],[Tech Start Date]],23),IF(Main[[#This Row],[Class]]="B", WORKDAY(Main[[#This Row],[Tech Start Date]],15),IF(Main[[#This Row],[Class]]="A",WORKDAY(Main[[#This Row],[Tech Start Date]],5),""))))</f>
        <v/>
      </c>
      <c r="P1003" s="73" t="str">
        <f>IF(Main[[#This Row],[Tech Start Date]]&lt;1/1/1990,"",IF(Main[[#This Row],[Class]]="C",WORKDAY(Main[[#This Row],[Tech Start Date]],28),IF(Main[[#This Row],[Class]]="B", WORKDAY(Main[[#This Row],[Tech Start Date]],19),IF(Main[[#This Row],[Class]]="A",WORKDAY(Main[[#This Row],[Tech Start Date]],9),""))))</f>
        <v/>
      </c>
      <c r="Q1003" s="85">
        <v>40239</v>
      </c>
      <c r="R1003" s="112"/>
      <c r="S1003" s="95" t="s">
        <v>11</v>
      </c>
      <c r="T1003" s="74" t="s">
        <v>4</v>
      </c>
      <c r="U1003" s="95" t="s">
        <v>14</v>
      </c>
      <c r="V1003" s="95" t="s">
        <v>1914</v>
      </c>
      <c r="W1003" s="95" t="s">
        <v>1913</v>
      </c>
      <c r="X1003" s="95" t="s">
        <v>2876</v>
      </c>
      <c r="Y1003" s="72" t="s">
        <v>4</v>
      </c>
      <c r="Z1003" s="72" t="s">
        <v>4</v>
      </c>
      <c r="AA1003" s="95" t="s">
        <v>2876</v>
      </c>
      <c r="AB1003" s="132"/>
      <c r="AC1003" s="132"/>
      <c r="AD1003" s="132"/>
      <c r="AE1003" s="63"/>
      <c r="AF1003" s="63"/>
      <c r="AG1003" s="63"/>
    </row>
    <row r="1004" spans="1:33" ht="17.2" customHeight="1">
      <c r="A1004" s="64" t="str">
        <f>IF(priority(Main[[#This Row],[Comments]])&lt;&gt;0, priority(Main[[#This Row],[Comments]]),"")</f>
        <v/>
      </c>
      <c r="B1004" s="60" t="s">
        <v>3890</v>
      </c>
      <c r="C1004" s="72" t="s">
        <v>4</v>
      </c>
      <c r="D1004" s="59" t="s">
        <v>3891</v>
      </c>
      <c r="E1004" s="85">
        <v>40973.78056712963</v>
      </c>
      <c r="F1004" s="85"/>
      <c r="G1004" s="64" t="str">
        <f>IF(stdProdLT(Main[[#This Row],[Comments]])=0.1,"N/A",IF(stdProdLT(Main[[#This Row],[Comments]])=0,"",TRIM(stdProdLT(Main[[#This Row],[Comments]]))))</f>
        <v/>
      </c>
      <c r="H1004" s="94" t="str">
        <f>IF(OR(Main[[#This Row],[Std. Prod. Lead Time]]="N/A",Main[[#This Row],[Std. Prod. Lead Time]]=""), "",IF(AND(Main[[#This Row],[In Stock Date]]&lt;&gt;"",Main[[#This Row],[Revised Due Date]]&lt;&gt;"",Main[[#This Row],[In Stock Date]]&lt;&gt;""),Main[[#This Row],[In Stock Date]]-Main[[#This Row],[Revised Due Date]],""))</f>
        <v/>
      </c>
      <c r="I1004" s="101" t="s">
        <v>4</v>
      </c>
      <c r="J1004" s="95" t="s">
        <v>4</v>
      </c>
      <c r="K1004" s="95" t="s">
        <v>4</v>
      </c>
      <c r="L1004" s="85"/>
      <c r="M1004" s="73" t="str">
        <f>IF(Main[[#This Row],[Tech Start Date]]&lt;1/1/1990,"",IF(Main[[#This Row],[Class]]="C",WORKDAY(Main[[#This Row],[Tech Start Date]],9),IF(Main[[#This Row],[Class]]="B", WORKDAY(Main[[#This Row],[Tech Start Date]],6),IF(Main[[#This Row],[Class]]="A",WORKDAY(Main[[#This Row],[Tech Start Date]],2),""))))</f>
        <v/>
      </c>
      <c r="N1004" s="73" t="str">
        <f>IF(Main[[#This Row],[Tech Start Date]]&lt;1/1/1990,"",IF(Main[[#This Row],[Class]]="C",WORKDAY(Main[[#This Row],[Tech Start Date]],19),IF(Main[[#This Row],[Class]]="B", WORKDAY(Main[[#This Row],[Tech Start Date]],12),IF(Main[[#This Row],[Class]]="A",WORKDAY(Main[[#This Row],[Tech Start Date]],4),""))))</f>
        <v/>
      </c>
      <c r="O1004" s="73" t="str">
        <f>IF(Main[[#This Row],[Tech Start Date]]&lt;1/1/1990,"",IF(Main[[#This Row],[Class]]="C",WORKDAY(Main[[#This Row],[Tech Start Date]],23),IF(Main[[#This Row],[Class]]="B", WORKDAY(Main[[#This Row],[Tech Start Date]],15),IF(Main[[#This Row],[Class]]="A",WORKDAY(Main[[#This Row],[Tech Start Date]],5),""))))</f>
        <v/>
      </c>
      <c r="P1004" s="73" t="str">
        <f>IF(Main[[#This Row],[Tech Start Date]]&lt;1/1/1990,"",IF(Main[[#This Row],[Class]]="C",WORKDAY(Main[[#This Row],[Tech Start Date]],28),IF(Main[[#This Row],[Class]]="B", WORKDAY(Main[[#This Row],[Tech Start Date]],19),IF(Main[[#This Row],[Class]]="A",WORKDAY(Main[[#This Row],[Tech Start Date]],9),""))))</f>
        <v/>
      </c>
      <c r="Q1004" s="85"/>
      <c r="R1004" s="112"/>
      <c r="S1004" s="95" t="s">
        <v>6</v>
      </c>
      <c r="T1004" s="74" t="s">
        <v>4</v>
      </c>
      <c r="U1004" s="95" t="s">
        <v>29</v>
      </c>
      <c r="V1004" s="95" t="s">
        <v>1914</v>
      </c>
      <c r="W1004" s="95" t="s">
        <v>1915</v>
      </c>
      <c r="X1004" s="95" t="s">
        <v>2045</v>
      </c>
      <c r="Y1004" s="72" t="s">
        <v>3892</v>
      </c>
      <c r="Z1004" s="72" t="s">
        <v>4</v>
      </c>
      <c r="AA1004" s="95" t="s">
        <v>2045</v>
      </c>
      <c r="AB1004" s="132"/>
      <c r="AC1004" s="132"/>
      <c r="AD1004" s="132"/>
      <c r="AE1004" s="63"/>
      <c r="AF1004" s="63"/>
      <c r="AG1004" s="63"/>
    </row>
    <row r="1005" spans="1:33" ht="17.2" customHeight="1">
      <c r="A1005" s="64" t="str">
        <f>IF(priority(Main[[#This Row],[Comments]])&lt;&gt;0, priority(Main[[#This Row],[Comments]]),"")</f>
        <v/>
      </c>
      <c r="B1005" s="60" t="s">
        <v>1798</v>
      </c>
      <c r="C1005" s="72" t="s">
        <v>4</v>
      </c>
      <c r="D1005" s="59" t="s">
        <v>844</v>
      </c>
      <c r="E1005" s="85"/>
      <c r="F1005" s="85"/>
      <c r="G1005" s="64" t="str">
        <f>IF(stdProdLT(Main[[#This Row],[Comments]])=0.1,"N/A",IF(stdProdLT(Main[[#This Row],[Comments]])=0,"",TRIM(stdProdLT(Main[[#This Row],[Comments]]))))</f>
        <v/>
      </c>
      <c r="H1005" s="94" t="str">
        <f>IF(OR(Main[[#This Row],[Std. Prod. Lead Time]]="N/A",Main[[#This Row],[Std. Prod. Lead Time]]=""), "",IF(AND(Main[[#This Row],[In Stock Date]]&lt;&gt;"",Main[[#This Row],[Revised Due Date]]&lt;&gt;"",Main[[#This Row],[In Stock Date]]&lt;&gt;""),Main[[#This Row],[In Stock Date]]-Main[[#This Row],[Revised Due Date]],""))</f>
        <v/>
      </c>
      <c r="I1005" s="101" t="s">
        <v>4</v>
      </c>
      <c r="J1005" s="95" t="s">
        <v>4</v>
      </c>
      <c r="K1005" s="95" t="s">
        <v>4</v>
      </c>
      <c r="L1005" s="85"/>
      <c r="M1005" s="73" t="str">
        <f>IF(Main[[#This Row],[Tech Start Date]]&lt;1/1/1990,"",IF(Main[[#This Row],[Class]]="C",WORKDAY(Main[[#This Row],[Tech Start Date]],9),IF(Main[[#This Row],[Class]]="B", WORKDAY(Main[[#This Row],[Tech Start Date]],6),IF(Main[[#This Row],[Class]]="A",WORKDAY(Main[[#This Row],[Tech Start Date]],2),""))))</f>
        <v/>
      </c>
      <c r="N1005" s="73" t="str">
        <f>IF(Main[[#This Row],[Tech Start Date]]&lt;1/1/1990,"",IF(Main[[#This Row],[Class]]="C",WORKDAY(Main[[#This Row],[Tech Start Date]],19),IF(Main[[#This Row],[Class]]="B", WORKDAY(Main[[#This Row],[Tech Start Date]],12),IF(Main[[#This Row],[Class]]="A",WORKDAY(Main[[#This Row],[Tech Start Date]],4),""))))</f>
        <v/>
      </c>
      <c r="O1005" s="73" t="str">
        <f>IF(Main[[#This Row],[Tech Start Date]]&lt;1/1/1990,"",IF(Main[[#This Row],[Class]]="C",WORKDAY(Main[[#This Row],[Tech Start Date]],23),IF(Main[[#This Row],[Class]]="B", WORKDAY(Main[[#This Row],[Tech Start Date]],15),IF(Main[[#This Row],[Class]]="A",WORKDAY(Main[[#This Row],[Tech Start Date]],5),""))))</f>
        <v/>
      </c>
      <c r="P1005" s="73" t="str">
        <f>IF(Main[[#This Row],[Tech Start Date]]&lt;1/1/1990,"",IF(Main[[#This Row],[Class]]="C",WORKDAY(Main[[#This Row],[Tech Start Date]],28),IF(Main[[#This Row],[Class]]="B", WORKDAY(Main[[#This Row],[Tech Start Date]],19),IF(Main[[#This Row],[Class]]="A",WORKDAY(Main[[#This Row],[Tech Start Date]],9),""))))</f>
        <v/>
      </c>
      <c r="Q1005" s="85">
        <v>40349</v>
      </c>
      <c r="R1005" s="112"/>
      <c r="S1005" s="95" t="s">
        <v>6</v>
      </c>
      <c r="T1005" s="74" t="s">
        <v>4</v>
      </c>
      <c r="U1005" s="95" t="s">
        <v>14</v>
      </c>
      <c r="V1005" s="95" t="s">
        <v>1914</v>
      </c>
      <c r="W1005" s="95" t="s">
        <v>4</v>
      </c>
      <c r="X1005" s="95" t="s">
        <v>2799</v>
      </c>
      <c r="Y1005" s="72" t="s">
        <v>2910</v>
      </c>
      <c r="Z1005" s="72" t="s">
        <v>4</v>
      </c>
      <c r="AA1005" s="95" t="s">
        <v>2799</v>
      </c>
      <c r="AB1005" s="132"/>
      <c r="AC1005" s="132"/>
      <c r="AD1005" s="132"/>
      <c r="AE1005" s="63"/>
      <c r="AF1005" s="63"/>
      <c r="AG1005" s="63"/>
    </row>
    <row r="1006" spans="1:33" ht="17.2" customHeight="1">
      <c r="A1006" s="64" t="str">
        <f>IF(priority(Main[[#This Row],[Comments]])&lt;&gt;0, priority(Main[[#This Row],[Comments]]),"")</f>
        <v/>
      </c>
      <c r="B1006" s="60" t="s">
        <v>2191</v>
      </c>
      <c r="C1006" s="72" t="s">
        <v>4</v>
      </c>
      <c r="D1006" s="59" t="s">
        <v>2192</v>
      </c>
      <c r="E1006" s="85"/>
      <c r="F1006" s="85"/>
      <c r="G1006" s="64" t="str">
        <f>IF(stdProdLT(Main[[#This Row],[Comments]])=0.1,"N/A",IF(stdProdLT(Main[[#This Row],[Comments]])=0,"",TRIM(stdProdLT(Main[[#This Row],[Comments]]))))</f>
        <v/>
      </c>
      <c r="H1006" s="94" t="str">
        <f>IF(OR(Main[[#This Row],[Std. Prod. Lead Time]]="N/A",Main[[#This Row],[Std. Prod. Lead Time]]=""), "",IF(AND(Main[[#This Row],[In Stock Date]]&lt;&gt;"",Main[[#This Row],[Revised Due Date]]&lt;&gt;"",Main[[#This Row],[In Stock Date]]&lt;&gt;""),Main[[#This Row],[In Stock Date]]-Main[[#This Row],[Revised Due Date]],""))</f>
        <v/>
      </c>
      <c r="I1006" s="101" t="s">
        <v>4</v>
      </c>
      <c r="J1006" s="95" t="s">
        <v>4</v>
      </c>
      <c r="K1006" s="95" t="s">
        <v>4</v>
      </c>
      <c r="L1006" s="85"/>
      <c r="M1006" s="73" t="str">
        <f>IF(Main[[#This Row],[Tech Start Date]]&lt;1/1/1990,"",IF(Main[[#This Row],[Class]]="C",WORKDAY(Main[[#This Row],[Tech Start Date]],9),IF(Main[[#This Row],[Class]]="B", WORKDAY(Main[[#This Row],[Tech Start Date]],6),IF(Main[[#This Row],[Class]]="A",WORKDAY(Main[[#This Row],[Tech Start Date]],2),""))))</f>
        <v/>
      </c>
      <c r="N1006" s="73" t="str">
        <f>IF(Main[[#This Row],[Tech Start Date]]&lt;1/1/1990,"",IF(Main[[#This Row],[Class]]="C",WORKDAY(Main[[#This Row],[Tech Start Date]],19),IF(Main[[#This Row],[Class]]="B", WORKDAY(Main[[#This Row],[Tech Start Date]],12),IF(Main[[#This Row],[Class]]="A",WORKDAY(Main[[#This Row],[Tech Start Date]],4),""))))</f>
        <v/>
      </c>
      <c r="O1006" s="73" t="str">
        <f>IF(Main[[#This Row],[Tech Start Date]]&lt;1/1/1990,"",IF(Main[[#This Row],[Class]]="C",WORKDAY(Main[[#This Row],[Tech Start Date]],23),IF(Main[[#This Row],[Class]]="B", WORKDAY(Main[[#This Row],[Tech Start Date]],15),IF(Main[[#This Row],[Class]]="A",WORKDAY(Main[[#This Row],[Tech Start Date]],5),""))))</f>
        <v/>
      </c>
      <c r="P1006" s="73" t="str">
        <f>IF(Main[[#This Row],[Tech Start Date]]&lt;1/1/1990,"",IF(Main[[#This Row],[Class]]="C",WORKDAY(Main[[#This Row],[Tech Start Date]],28),IF(Main[[#This Row],[Class]]="B", WORKDAY(Main[[#This Row],[Tech Start Date]],19),IF(Main[[#This Row],[Class]]="A",WORKDAY(Main[[#This Row],[Tech Start Date]],9),""))))</f>
        <v/>
      </c>
      <c r="Q1006" s="85"/>
      <c r="R1006" s="112"/>
      <c r="S1006" s="95" t="s">
        <v>6</v>
      </c>
      <c r="T1006" s="74" t="s">
        <v>4</v>
      </c>
      <c r="U1006" s="95" t="s">
        <v>14</v>
      </c>
      <c r="V1006" s="95" t="s">
        <v>1912</v>
      </c>
      <c r="W1006" s="95" t="s">
        <v>4</v>
      </c>
      <c r="X1006" s="95" t="s">
        <v>306</v>
      </c>
      <c r="Y1006" s="72" t="s">
        <v>4</v>
      </c>
      <c r="Z1006" s="72" t="s">
        <v>4</v>
      </c>
      <c r="AA1006" s="95" t="s">
        <v>4</v>
      </c>
      <c r="AB1006" s="132"/>
      <c r="AC1006" s="132"/>
      <c r="AD1006" s="132"/>
      <c r="AE1006" s="63"/>
      <c r="AF1006" s="63"/>
      <c r="AG1006" s="63"/>
    </row>
    <row r="1007" spans="1:33" ht="17.2" customHeight="1">
      <c r="A1007" s="64" t="str">
        <f>IF(priority(Main[[#This Row],[Comments]])&lt;&gt;0, priority(Main[[#This Row],[Comments]]),"")</f>
        <v/>
      </c>
      <c r="B1007" s="60" t="s">
        <v>1800</v>
      </c>
      <c r="C1007" s="72" t="s">
        <v>47</v>
      </c>
      <c r="D1007" s="59" t="s">
        <v>849</v>
      </c>
      <c r="E1007" s="85"/>
      <c r="F1007" s="85"/>
      <c r="G1007" s="64" t="str">
        <f>IF(stdProdLT(Main[[#This Row],[Comments]])=0.1,"N/A",IF(stdProdLT(Main[[#This Row],[Comments]])=0,"",TRIM(stdProdLT(Main[[#This Row],[Comments]]))))</f>
        <v/>
      </c>
      <c r="H1007" s="94" t="str">
        <f>IF(OR(Main[[#This Row],[Std. Prod. Lead Time]]="N/A",Main[[#This Row],[Std. Prod. Lead Time]]=""), "",IF(AND(Main[[#This Row],[In Stock Date]]&lt;&gt;"",Main[[#This Row],[Revised Due Date]]&lt;&gt;"",Main[[#This Row],[In Stock Date]]&lt;&gt;""),Main[[#This Row],[In Stock Date]]-Main[[#This Row],[Revised Due Date]],""))</f>
        <v/>
      </c>
      <c r="I1007" s="101" t="s">
        <v>4</v>
      </c>
      <c r="J1007" s="95" t="s">
        <v>4</v>
      </c>
      <c r="K1007" s="95" t="s">
        <v>4</v>
      </c>
      <c r="L1007" s="85"/>
      <c r="M1007" s="73" t="str">
        <f>IF(Main[[#This Row],[Tech Start Date]]&lt;1/1/1990,"",IF(Main[[#This Row],[Class]]="C",WORKDAY(Main[[#This Row],[Tech Start Date]],9),IF(Main[[#This Row],[Class]]="B", WORKDAY(Main[[#This Row],[Tech Start Date]],6),IF(Main[[#This Row],[Class]]="A",WORKDAY(Main[[#This Row],[Tech Start Date]],2),""))))</f>
        <v/>
      </c>
      <c r="N1007" s="73" t="str">
        <f>IF(Main[[#This Row],[Tech Start Date]]&lt;1/1/1990,"",IF(Main[[#This Row],[Class]]="C",WORKDAY(Main[[#This Row],[Tech Start Date]],19),IF(Main[[#This Row],[Class]]="B", WORKDAY(Main[[#This Row],[Tech Start Date]],12),IF(Main[[#This Row],[Class]]="A",WORKDAY(Main[[#This Row],[Tech Start Date]],4),""))))</f>
        <v/>
      </c>
      <c r="O1007" s="73" t="str">
        <f>IF(Main[[#This Row],[Tech Start Date]]&lt;1/1/1990,"",IF(Main[[#This Row],[Class]]="C",WORKDAY(Main[[#This Row],[Tech Start Date]],23),IF(Main[[#This Row],[Class]]="B", WORKDAY(Main[[#This Row],[Tech Start Date]],15),IF(Main[[#This Row],[Class]]="A",WORKDAY(Main[[#This Row],[Tech Start Date]],5),""))))</f>
        <v/>
      </c>
      <c r="P1007" s="73" t="str">
        <f>IF(Main[[#This Row],[Tech Start Date]]&lt;1/1/1990,"",IF(Main[[#This Row],[Class]]="C",WORKDAY(Main[[#This Row],[Tech Start Date]],28),IF(Main[[#This Row],[Class]]="B", WORKDAY(Main[[#This Row],[Tech Start Date]],19),IF(Main[[#This Row],[Class]]="A",WORKDAY(Main[[#This Row],[Tech Start Date]],9),""))))</f>
        <v/>
      </c>
      <c r="Q1007" s="85"/>
      <c r="R1007" s="112"/>
      <c r="S1007" s="95" t="s">
        <v>17</v>
      </c>
      <c r="T1007" s="74" t="s">
        <v>4</v>
      </c>
      <c r="U1007" s="95" t="s">
        <v>14</v>
      </c>
      <c r="V1007" s="95" t="s">
        <v>1914</v>
      </c>
      <c r="W1007" s="95" t="s">
        <v>1916</v>
      </c>
      <c r="X1007" s="95" t="s">
        <v>2807</v>
      </c>
      <c r="Y1007" s="72" t="s">
        <v>3088</v>
      </c>
      <c r="Z1007" s="72" t="s">
        <v>4</v>
      </c>
      <c r="AA1007" s="95" t="s">
        <v>2807</v>
      </c>
      <c r="AB1007" s="132"/>
      <c r="AC1007" s="132"/>
      <c r="AD1007" s="132"/>
      <c r="AE1007" s="63"/>
      <c r="AF1007" s="63"/>
      <c r="AG1007" s="63"/>
    </row>
    <row r="1008" spans="1:33" ht="17.2" customHeight="1">
      <c r="A1008" s="64" t="str">
        <f>IF(priority(Main[[#This Row],[Comments]])&lt;&gt;0, priority(Main[[#This Row],[Comments]]),"")</f>
        <v/>
      </c>
      <c r="B1008" s="60" t="s">
        <v>1725</v>
      </c>
      <c r="C1008" s="72" t="s">
        <v>4</v>
      </c>
      <c r="D1008" s="59" t="s">
        <v>783</v>
      </c>
      <c r="E1008" s="85">
        <v>40584.407268518517</v>
      </c>
      <c r="F1008" s="85"/>
      <c r="G1008" s="64" t="str">
        <f>IF(stdProdLT(Main[[#This Row],[Comments]])=0.1,"N/A",IF(stdProdLT(Main[[#This Row],[Comments]])=0,"",TRIM(stdProdLT(Main[[#This Row],[Comments]]))))</f>
        <v/>
      </c>
      <c r="H1008" s="94" t="str">
        <f>IF(OR(Main[[#This Row],[Std. Prod. Lead Time]]="N/A",Main[[#This Row],[Std. Prod. Lead Time]]=""), "",IF(AND(Main[[#This Row],[In Stock Date]]&lt;&gt;"",Main[[#This Row],[Revised Due Date]]&lt;&gt;"",Main[[#This Row],[In Stock Date]]&lt;&gt;""),Main[[#This Row],[In Stock Date]]-Main[[#This Row],[Revised Due Date]],""))</f>
        <v/>
      </c>
      <c r="I1008" s="101" t="s">
        <v>4</v>
      </c>
      <c r="J1008" s="95" t="s">
        <v>4</v>
      </c>
      <c r="K1008" s="95" t="s">
        <v>4</v>
      </c>
      <c r="L1008" s="85"/>
      <c r="M1008" s="73" t="str">
        <f>IF(Main[[#This Row],[Tech Start Date]]&lt;1/1/1990,"",IF(Main[[#This Row],[Class]]="C",WORKDAY(Main[[#This Row],[Tech Start Date]],9),IF(Main[[#This Row],[Class]]="B", WORKDAY(Main[[#This Row],[Tech Start Date]],6),IF(Main[[#This Row],[Class]]="A",WORKDAY(Main[[#This Row],[Tech Start Date]],2),""))))</f>
        <v/>
      </c>
      <c r="N1008" s="73" t="str">
        <f>IF(Main[[#This Row],[Tech Start Date]]&lt;1/1/1990,"",IF(Main[[#This Row],[Class]]="C",WORKDAY(Main[[#This Row],[Tech Start Date]],19),IF(Main[[#This Row],[Class]]="B", WORKDAY(Main[[#This Row],[Tech Start Date]],12),IF(Main[[#This Row],[Class]]="A",WORKDAY(Main[[#This Row],[Tech Start Date]],4),""))))</f>
        <v/>
      </c>
      <c r="O1008" s="73" t="str">
        <f>IF(Main[[#This Row],[Tech Start Date]]&lt;1/1/1990,"",IF(Main[[#This Row],[Class]]="C",WORKDAY(Main[[#This Row],[Tech Start Date]],23),IF(Main[[#This Row],[Class]]="B", WORKDAY(Main[[#This Row],[Tech Start Date]],15),IF(Main[[#This Row],[Class]]="A",WORKDAY(Main[[#This Row],[Tech Start Date]],5),""))))</f>
        <v/>
      </c>
      <c r="P1008" s="73" t="str">
        <f>IF(Main[[#This Row],[Tech Start Date]]&lt;1/1/1990,"",IF(Main[[#This Row],[Class]]="C",WORKDAY(Main[[#This Row],[Tech Start Date]],28),IF(Main[[#This Row],[Class]]="B", WORKDAY(Main[[#This Row],[Tech Start Date]],19),IF(Main[[#This Row],[Class]]="A",WORKDAY(Main[[#This Row],[Tech Start Date]],9),""))))</f>
        <v/>
      </c>
      <c r="Q1008" s="85">
        <v>40602</v>
      </c>
      <c r="R1008" s="112"/>
      <c r="S1008" s="95" t="s">
        <v>17</v>
      </c>
      <c r="T1008" s="74" t="s">
        <v>4</v>
      </c>
      <c r="U1008" s="95" t="s">
        <v>7</v>
      </c>
      <c r="V1008" s="95" t="s">
        <v>1911</v>
      </c>
      <c r="W1008" s="95" t="s">
        <v>1919</v>
      </c>
      <c r="X1008" s="95" t="s">
        <v>2808</v>
      </c>
      <c r="Y1008" s="72" t="s">
        <v>2928</v>
      </c>
      <c r="Z1008" s="72" t="s">
        <v>4</v>
      </c>
      <c r="AA1008" s="95" t="s">
        <v>2808</v>
      </c>
      <c r="AB1008" s="132"/>
      <c r="AC1008" s="132"/>
      <c r="AD1008" s="132"/>
      <c r="AE1008" s="63"/>
      <c r="AF1008" s="63"/>
      <c r="AG1008" s="63"/>
    </row>
    <row r="1009" spans="1:33" ht="17.2" customHeight="1">
      <c r="A1009" s="64" t="str">
        <f>IF(priority(Main[[#This Row],[Comments]])&lt;&gt;0, priority(Main[[#This Row],[Comments]]),"")</f>
        <v/>
      </c>
      <c r="B1009" s="60" t="s">
        <v>1783</v>
      </c>
      <c r="C1009" s="72" t="s">
        <v>4</v>
      </c>
      <c r="D1009" s="59" t="s">
        <v>829</v>
      </c>
      <c r="E1009" s="85"/>
      <c r="F1009" s="85"/>
      <c r="G1009" s="64" t="str">
        <f>IF(stdProdLT(Main[[#This Row],[Comments]])=0.1,"N/A",IF(stdProdLT(Main[[#This Row],[Comments]])=0,"",TRIM(stdProdLT(Main[[#This Row],[Comments]]))))</f>
        <v/>
      </c>
      <c r="H1009" s="94" t="str">
        <f>IF(OR(Main[[#This Row],[Std. Prod. Lead Time]]="N/A",Main[[#This Row],[Std. Prod. Lead Time]]=""), "",IF(AND(Main[[#This Row],[In Stock Date]]&lt;&gt;"",Main[[#This Row],[Revised Due Date]]&lt;&gt;"",Main[[#This Row],[In Stock Date]]&lt;&gt;""),Main[[#This Row],[In Stock Date]]-Main[[#This Row],[Revised Due Date]],""))</f>
        <v/>
      </c>
      <c r="I1009" s="101" t="s">
        <v>4</v>
      </c>
      <c r="J1009" s="95" t="s">
        <v>4</v>
      </c>
      <c r="K1009" s="95" t="s">
        <v>4</v>
      </c>
      <c r="L1009" s="85"/>
      <c r="M1009" s="73" t="str">
        <f>IF(Main[[#This Row],[Tech Start Date]]&lt;1/1/1990,"",IF(Main[[#This Row],[Class]]="C",WORKDAY(Main[[#This Row],[Tech Start Date]],9),IF(Main[[#This Row],[Class]]="B", WORKDAY(Main[[#This Row],[Tech Start Date]],6),IF(Main[[#This Row],[Class]]="A",WORKDAY(Main[[#This Row],[Tech Start Date]],2),""))))</f>
        <v/>
      </c>
      <c r="N1009" s="73" t="str">
        <f>IF(Main[[#This Row],[Tech Start Date]]&lt;1/1/1990,"",IF(Main[[#This Row],[Class]]="C",WORKDAY(Main[[#This Row],[Tech Start Date]],19),IF(Main[[#This Row],[Class]]="B", WORKDAY(Main[[#This Row],[Tech Start Date]],12),IF(Main[[#This Row],[Class]]="A",WORKDAY(Main[[#This Row],[Tech Start Date]],4),""))))</f>
        <v/>
      </c>
      <c r="O1009" s="73" t="str">
        <f>IF(Main[[#This Row],[Tech Start Date]]&lt;1/1/1990,"",IF(Main[[#This Row],[Class]]="C",WORKDAY(Main[[#This Row],[Tech Start Date]],23),IF(Main[[#This Row],[Class]]="B", WORKDAY(Main[[#This Row],[Tech Start Date]],15),IF(Main[[#This Row],[Class]]="A",WORKDAY(Main[[#This Row],[Tech Start Date]],5),""))))</f>
        <v/>
      </c>
      <c r="P1009" s="73" t="str">
        <f>IF(Main[[#This Row],[Tech Start Date]]&lt;1/1/1990,"",IF(Main[[#This Row],[Class]]="C",WORKDAY(Main[[#This Row],[Tech Start Date]],28),IF(Main[[#This Row],[Class]]="B", WORKDAY(Main[[#This Row],[Tech Start Date]],19),IF(Main[[#This Row],[Class]]="A",WORKDAY(Main[[#This Row],[Tech Start Date]],9),""))))</f>
        <v/>
      </c>
      <c r="Q1009" s="85"/>
      <c r="R1009" s="112"/>
      <c r="S1009" s="95" t="s">
        <v>23</v>
      </c>
      <c r="T1009" s="74" t="s">
        <v>4</v>
      </c>
      <c r="U1009" s="95" t="s">
        <v>14</v>
      </c>
      <c r="V1009" s="95" t="s">
        <v>1911</v>
      </c>
      <c r="W1009" s="95" t="s">
        <v>1915</v>
      </c>
      <c r="X1009" s="95" t="s">
        <v>306</v>
      </c>
      <c r="Y1009" s="72" t="s">
        <v>4</v>
      </c>
      <c r="Z1009" s="72" t="s">
        <v>4</v>
      </c>
      <c r="AA1009" s="95" t="s">
        <v>3403</v>
      </c>
      <c r="AB1009" s="132"/>
      <c r="AC1009" s="132"/>
      <c r="AD1009" s="132"/>
      <c r="AE1009" s="63"/>
      <c r="AF1009" s="63"/>
      <c r="AG1009" s="63"/>
    </row>
    <row r="1010" spans="1:33" ht="17.2" customHeight="1">
      <c r="A1010" s="64" t="str">
        <f>IF(priority(Main[[#This Row],[Comments]])&lt;&gt;0, priority(Main[[#This Row],[Comments]]),"")</f>
        <v/>
      </c>
      <c r="B1010" s="60" t="s">
        <v>1802</v>
      </c>
      <c r="C1010" s="72" t="s">
        <v>95</v>
      </c>
      <c r="D1010" s="59" t="s">
        <v>851</v>
      </c>
      <c r="E1010" s="85">
        <v>40060.34884259259</v>
      </c>
      <c r="F1010" s="85">
        <v>40195</v>
      </c>
      <c r="G1010" s="64" t="str">
        <f>IF(stdProdLT(Main[[#This Row],[Comments]])=0.1,"N/A",IF(stdProdLT(Main[[#This Row],[Comments]])=0,"",TRIM(stdProdLT(Main[[#This Row],[Comments]]))))</f>
        <v/>
      </c>
      <c r="H1010" s="94" t="str">
        <f>IF(OR(Main[[#This Row],[Std. Prod. Lead Time]]="N/A",Main[[#This Row],[Std. Prod. Lead Time]]=""), "",IF(AND(Main[[#This Row],[In Stock Date]]&lt;&gt;"",Main[[#This Row],[Revised Due Date]]&lt;&gt;"",Main[[#This Row],[In Stock Date]]&lt;&gt;""),Main[[#This Row],[In Stock Date]]-Main[[#This Row],[Revised Due Date]],""))</f>
        <v/>
      </c>
      <c r="I1010" s="101" t="s">
        <v>852</v>
      </c>
      <c r="J1010" s="95" t="s">
        <v>4</v>
      </c>
      <c r="K1010" s="95" t="s">
        <v>4</v>
      </c>
      <c r="L1010" s="85"/>
      <c r="M1010" s="73" t="str">
        <f>IF(Main[[#This Row],[Tech Start Date]]&lt;1/1/1990,"",IF(Main[[#This Row],[Class]]="C",WORKDAY(Main[[#This Row],[Tech Start Date]],9),IF(Main[[#This Row],[Class]]="B", WORKDAY(Main[[#This Row],[Tech Start Date]],6),IF(Main[[#This Row],[Class]]="A",WORKDAY(Main[[#This Row],[Tech Start Date]],2),""))))</f>
        <v/>
      </c>
      <c r="N1010" s="73" t="str">
        <f>IF(Main[[#This Row],[Tech Start Date]]&lt;1/1/1990,"",IF(Main[[#This Row],[Class]]="C",WORKDAY(Main[[#This Row],[Tech Start Date]],19),IF(Main[[#This Row],[Class]]="B", WORKDAY(Main[[#This Row],[Tech Start Date]],12),IF(Main[[#This Row],[Class]]="A",WORKDAY(Main[[#This Row],[Tech Start Date]],4),""))))</f>
        <v/>
      </c>
      <c r="O1010" s="73" t="str">
        <f>IF(Main[[#This Row],[Tech Start Date]]&lt;1/1/1990,"",IF(Main[[#This Row],[Class]]="C",WORKDAY(Main[[#This Row],[Tech Start Date]],23),IF(Main[[#This Row],[Class]]="B", WORKDAY(Main[[#This Row],[Tech Start Date]],15),IF(Main[[#This Row],[Class]]="A",WORKDAY(Main[[#This Row],[Tech Start Date]],5),""))))</f>
        <v/>
      </c>
      <c r="P1010" s="73" t="str">
        <f>IF(Main[[#This Row],[Tech Start Date]]&lt;1/1/1990,"",IF(Main[[#This Row],[Class]]="C",WORKDAY(Main[[#This Row],[Tech Start Date]],28),IF(Main[[#This Row],[Class]]="B", WORKDAY(Main[[#This Row],[Tech Start Date]],19),IF(Main[[#This Row],[Class]]="A",WORKDAY(Main[[#This Row],[Tech Start Date]],9),""))))</f>
        <v/>
      </c>
      <c r="Q1010" s="85">
        <v>40080</v>
      </c>
      <c r="R1010" s="112">
        <v>40178</v>
      </c>
      <c r="S1010" s="95" t="s">
        <v>17</v>
      </c>
      <c r="T1010" s="74" t="s">
        <v>4</v>
      </c>
      <c r="U1010" s="95" t="s">
        <v>29</v>
      </c>
      <c r="V1010" s="95" t="s">
        <v>1914</v>
      </c>
      <c r="W1010" s="95" t="s">
        <v>1919</v>
      </c>
      <c r="X1010" s="95" t="s">
        <v>2856</v>
      </c>
      <c r="Y1010" s="72" t="s">
        <v>4</v>
      </c>
      <c r="Z1010" s="72" t="s">
        <v>81</v>
      </c>
      <c r="AA1010" s="95" t="s">
        <v>3367</v>
      </c>
      <c r="AB1010" s="132"/>
      <c r="AC1010" s="132"/>
      <c r="AD1010" s="132"/>
      <c r="AE1010" s="63"/>
      <c r="AF1010" s="63"/>
      <c r="AG1010" s="63"/>
    </row>
    <row r="1011" spans="1:33" ht="17.2" customHeight="1">
      <c r="A1011" s="64" t="str">
        <f>IF(priority(Main[[#This Row],[Comments]])&lt;&gt;0, priority(Main[[#This Row],[Comments]]),"")</f>
        <v/>
      </c>
      <c r="B1011" s="60" t="s">
        <v>3151</v>
      </c>
      <c r="C1011" s="72" t="s">
        <v>4</v>
      </c>
      <c r="D1011" s="59" t="s">
        <v>3225</v>
      </c>
      <c r="E1011" s="85">
        <v>40919.388969907406</v>
      </c>
      <c r="F1011" s="85"/>
      <c r="G1011" s="64" t="str">
        <f>IF(stdProdLT(Main[[#This Row],[Comments]])=0.1,"N/A",IF(stdProdLT(Main[[#This Row],[Comments]])=0,"",TRIM(stdProdLT(Main[[#This Row],[Comments]]))))</f>
        <v/>
      </c>
      <c r="H1011" s="94" t="str">
        <f>IF(OR(Main[[#This Row],[Std. Prod. Lead Time]]="N/A",Main[[#This Row],[Std. Prod. Lead Time]]=""), "",IF(AND(Main[[#This Row],[In Stock Date]]&lt;&gt;"",Main[[#This Row],[Revised Due Date]]&lt;&gt;"",Main[[#This Row],[In Stock Date]]&lt;&gt;""),Main[[#This Row],[In Stock Date]]-Main[[#This Row],[Revised Due Date]],""))</f>
        <v/>
      </c>
      <c r="I1011" s="101" t="s">
        <v>30</v>
      </c>
      <c r="J1011" s="95" t="s">
        <v>28</v>
      </c>
      <c r="K1011" s="96" t="s">
        <v>1920</v>
      </c>
      <c r="L1011" s="85"/>
      <c r="M1011" s="73" t="str">
        <f>IF(Main[[#This Row],[Tech Start Date]]&lt;1/1/1990,"",IF(Main[[#This Row],[Class]]="C",WORKDAY(Main[[#This Row],[Tech Start Date]],9),IF(Main[[#This Row],[Class]]="B", WORKDAY(Main[[#This Row],[Tech Start Date]],6),IF(Main[[#This Row],[Class]]="A",WORKDAY(Main[[#This Row],[Tech Start Date]],2),""))))</f>
        <v/>
      </c>
      <c r="N1011" s="73" t="str">
        <f>IF(Main[[#This Row],[Tech Start Date]]&lt;1/1/1990,"",IF(Main[[#This Row],[Class]]="C",WORKDAY(Main[[#This Row],[Tech Start Date]],19),IF(Main[[#This Row],[Class]]="B", WORKDAY(Main[[#This Row],[Tech Start Date]],12),IF(Main[[#This Row],[Class]]="A",WORKDAY(Main[[#This Row],[Tech Start Date]],4),""))))</f>
        <v/>
      </c>
      <c r="O1011" s="73" t="str">
        <f>IF(Main[[#This Row],[Tech Start Date]]&lt;1/1/1990,"",IF(Main[[#This Row],[Class]]="C",WORKDAY(Main[[#This Row],[Tech Start Date]],23),IF(Main[[#This Row],[Class]]="B", WORKDAY(Main[[#This Row],[Tech Start Date]],15),IF(Main[[#This Row],[Class]]="A",WORKDAY(Main[[#This Row],[Tech Start Date]],5),""))))</f>
        <v/>
      </c>
      <c r="P1011" s="73" t="str">
        <f>IF(Main[[#This Row],[Tech Start Date]]&lt;1/1/1990,"",IF(Main[[#This Row],[Class]]="C",WORKDAY(Main[[#This Row],[Tech Start Date]],28),IF(Main[[#This Row],[Class]]="B", WORKDAY(Main[[#This Row],[Tech Start Date]],19),IF(Main[[#This Row],[Class]]="A",WORKDAY(Main[[#This Row],[Tech Start Date]],9),""))))</f>
        <v/>
      </c>
      <c r="Q1011" s="85">
        <v>40928</v>
      </c>
      <c r="R1011" s="112"/>
      <c r="S1011" s="95" t="s">
        <v>6</v>
      </c>
      <c r="T1011" s="74" t="s">
        <v>4</v>
      </c>
      <c r="U1011" s="95" t="s">
        <v>29</v>
      </c>
      <c r="V1011" s="95" t="s">
        <v>1914</v>
      </c>
      <c r="W1011" s="95" t="s">
        <v>1915</v>
      </c>
      <c r="X1011" s="95" t="s">
        <v>2883</v>
      </c>
      <c r="Y1011" s="72" t="s">
        <v>3061</v>
      </c>
      <c r="Z1011" s="72" t="s">
        <v>30</v>
      </c>
      <c r="AA1011" s="95" t="s">
        <v>2883</v>
      </c>
      <c r="AB1011" s="132"/>
      <c r="AC1011" s="132"/>
      <c r="AD1011" s="132"/>
      <c r="AE1011" s="63"/>
      <c r="AF1011" s="63"/>
      <c r="AG1011" s="63"/>
    </row>
    <row r="1012" spans="1:33" ht="17.2" customHeight="1">
      <c r="A1012" s="64" t="str">
        <f>IF(priority(Main[[#This Row],[Comments]])&lt;&gt;0, priority(Main[[#This Row],[Comments]]),"")</f>
        <v/>
      </c>
      <c r="B1012" s="60" t="s">
        <v>2122</v>
      </c>
      <c r="C1012" s="72" t="s">
        <v>951</v>
      </c>
      <c r="D1012" s="59" t="s">
        <v>2123</v>
      </c>
      <c r="E1012" s="85"/>
      <c r="F1012" s="85">
        <v>40871</v>
      </c>
      <c r="G1012" s="64" t="str">
        <f>IF(stdProdLT(Main[[#This Row],[Comments]])=0.1,"N/A",IF(stdProdLT(Main[[#This Row],[Comments]])=0,"",TRIM(stdProdLT(Main[[#This Row],[Comments]]))))</f>
        <v/>
      </c>
      <c r="H1012" s="94" t="str">
        <f>IF(OR(Main[[#This Row],[Std. Prod. Lead Time]]="N/A",Main[[#This Row],[Std. Prod. Lead Time]]=""), "",IF(AND(Main[[#This Row],[In Stock Date]]&lt;&gt;"",Main[[#This Row],[Revised Due Date]]&lt;&gt;"",Main[[#This Row],[In Stock Date]]&lt;&gt;""),Main[[#This Row],[In Stock Date]]-Main[[#This Row],[Revised Due Date]],""))</f>
        <v/>
      </c>
      <c r="I1012" s="101" t="s">
        <v>399</v>
      </c>
      <c r="J1012" s="95" t="s">
        <v>51</v>
      </c>
      <c r="K1012" s="95" t="s">
        <v>1920</v>
      </c>
      <c r="L1012" s="85"/>
      <c r="M1012" s="73" t="str">
        <f>IF(Main[[#This Row],[Tech Start Date]]&lt;1/1/1990,"",IF(Main[[#This Row],[Class]]="C",WORKDAY(Main[[#This Row],[Tech Start Date]],9),IF(Main[[#This Row],[Class]]="B", WORKDAY(Main[[#This Row],[Tech Start Date]],6),IF(Main[[#This Row],[Class]]="A",WORKDAY(Main[[#This Row],[Tech Start Date]],2),""))))</f>
        <v/>
      </c>
      <c r="N1012" s="73" t="str">
        <f>IF(Main[[#This Row],[Tech Start Date]]&lt;1/1/1990,"",IF(Main[[#This Row],[Class]]="C",WORKDAY(Main[[#This Row],[Tech Start Date]],19),IF(Main[[#This Row],[Class]]="B", WORKDAY(Main[[#This Row],[Tech Start Date]],12),IF(Main[[#This Row],[Class]]="A",WORKDAY(Main[[#This Row],[Tech Start Date]],4),""))))</f>
        <v/>
      </c>
      <c r="O1012" s="73" t="str">
        <f>IF(Main[[#This Row],[Tech Start Date]]&lt;1/1/1990,"",IF(Main[[#This Row],[Class]]="C",WORKDAY(Main[[#This Row],[Tech Start Date]],23),IF(Main[[#This Row],[Class]]="B", WORKDAY(Main[[#This Row],[Tech Start Date]],15),IF(Main[[#This Row],[Class]]="A",WORKDAY(Main[[#This Row],[Tech Start Date]],5),""))))</f>
        <v/>
      </c>
      <c r="P1012" s="73" t="str">
        <f>IF(Main[[#This Row],[Tech Start Date]]&lt;1/1/1990,"",IF(Main[[#This Row],[Class]]="C",WORKDAY(Main[[#This Row],[Tech Start Date]],28),IF(Main[[#This Row],[Class]]="B", WORKDAY(Main[[#This Row],[Tech Start Date]],19),IF(Main[[#This Row],[Class]]="A",WORKDAY(Main[[#This Row],[Tech Start Date]],9),""))))</f>
        <v/>
      </c>
      <c r="Q1012" s="85"/>
      <c r="R1012" s="112"/>
      <c r="S1012" s="95" t="s">
        <v>11</v>
      </c>
      <c r="T1012" s="74" t="s">
        <v>4</v>
      </c>
      <c r="U1012" s="95" t="s">
        <v>14</v>
      </c>
      <c r="V1012" s="95" t="s">
        <v>1911</v>
      </c>
      <c r="W1012" s="95" t="s">
        <v>1917</v>
      </c>
      <c r="X1012" s="95" t="s">
        <v>50</v>
      </c>
      <c r="Y1012" s="72" t="s">
        <v>2939</v>
      </c>
      <c r="Z1012" s="72" t="s">
        <v>306</v>
      </c>
      <c r="AA1012" s="95" t="s">
        <v>50</v>
      </c>
      <c r="AB1012" s="132">
        <v>40766</v>
      </c>
      <c r="AC1012" s="132">
        <v>40773</v>
      </c>
      <c r="AD1012" s="132"/>
      <c r="AE1012" s="63"/>
      <c r="AF1012" s="63"/>
      <c r="AG1012" s="63"/>
    </row>
    <row r="1013" spans="1:33" ht="17.2" customHeight="1">
      <c r="A1013" s="64" t="str">
        <f>IF(priority(Main[[#This Row],[Comments]])&lt;&gt;0, priority(Main[[#This Row],[Comments]]),"")</f>
        <v/>
      </c>
      <c r="B1013" s="60" t="s">
        <v>2124</v>
      </c>
      <c r="C1013" s="72" t="s">
        <v>951</v>
      </c>
      <c r="D1013" s="59" t="s">
        <v>2125</v>
      </c>
      <c r="E1013" s="85"/>
      <c r="F1013" s="85">
        <v>40871</v>
      </c>
      <c r="G1013" s="64" t="str">
        <f>IF(stdProdLT(Main[[#This Row],[Comments]])=0.1,"N/A",IF(stdProdLT(Main[[#This Row],[Comments]])=0,"",TRIM(stdProdLT(Main[[#This Row],[Comments]]))))</f>
        <v/>
      </c>
      <c r="H1013" s="94" t="str">
        <f>IF(OR(Main[[#This Row],[Std. Prod. Lead Time]]="N/A",Main[[#This Row],[Std. Prod. Lead Time]]=""), "",IF(AND(Main[[#This Row],[In Stock Date]]&lt;&gt;"",Main[[#This Row],[Revised Due Date]]&lt;&gt;"",Main[[#This Row],[In Stock Date]]&lt;&gt;""),Main[[#This Row],[In Stock Date]]-Main[[#This Row],[Revised Due Date]],""))</f>
        <v/>
      </c>
      <c r="I1013" s="101" t="s">
        <v>4</v>
      </c>
      <c r="J1013" s="95" t="s">
        <v>4</v>
      </c>
      <c r="K1013" s="95" t="s">
        <v>4</v>
      </c>
      <c r="L1013" s="85"/>
      <c r="M1013" s="73" t="str">
        <f>IF(Main[[#This Row],[Tech Start Date]]&lt;1/1/1990,"",IF(Main[[#This Row],[Class]]="C",WORKDAY(Main[[#This Row],[Tech Start Date]],9),IF(Main[[#This Row],[Class]]="B", WORKDAY(Main[[#This Row],[Tech Start Date]],6),IF(Main[[#This Row],[Class]]="A",WORKDAY(Main[[#This Row],[Tech Start Date]],2),""))))</f>
        <v/>
      </c>
      <c r="N1013" s="73" t="str">
        <f>IF(Main[[#This Row],[Tech Start Date]]&lt;1/1/1990,"",IF(Main[[#This Row],[Class]]="C",WORKDAY(Main[[#This Row],[Tech Start Date]],19),IF(Main[[#This Row],[Class]]="B", WORKDAY(Main[[#This Row],[Tech Start Date]],12),IF(Main[[#This Row],[Class]]="A",WORKDAY(Main[[#This Row],[Tech Start Date]],4),""))))</f>
        <v/>
      </c>
      <c r="O1013" s="73" t="str">
        <f>IF(Main[[#This Row],[Tech Start Date]]&lt;1/1/1990,"",IF(Main[[#This Row],[Class]]="C",WORKDAY(Main[[#This Row],[Tech Start Date]],23),IF(Main[[#This Row],[Class]]="B", WORKDAY(Main[[#This Row],[Tech Start Date]],15),IF(Main[[#This Row],[Class]]="A",WORKDAY(Main[[#This Row],[Tech Start Date]],5),""))))</f>
        <v/>
      </c>
      <c r="P1013" s="73" t="str">
        <f>IF(Main[[#This Row],[Tech Start Date]]&lt;1/1/1990,"",IF(Main[[#This Row],[Class]]="C",WORKDAY(Main[[#This Row],[Tech Start Date]],28),IF(Main[[#This Row],[Class]]="B", WORKDAY(Main[[#This Row],[Tech Start Date]],19),IF(Main[[#This Row],[Class]]="A",WORKDAY(Main[[#This Row],[Tech Start Date]],9),""))))</f>
        <v/>
      </c>
      <c r="Q1013" s="85"/>
      <c r="R1013" s="112"/>
      <c r="S1013" s="95" t="s">
        <v>11</v>
      </c>
      <c r="T1013" s="74" t="s">
        <v>4</v>
      </c>
      <c r="U1013" s="95" t="s">
        <v>14</v>
      </c>
      <c r="V1013" s="95" t="s">
        <v>1914</v>
      </c>
      <c r="W1013" s="95" t="s">
        <v>1919</v>
      </c>
      <c r="X1013" s="95" t="s">
        <v>50</v>
      </c>
      <c r="Y1013" s="72" t="s">
        <v>2939</v>
      </c>
      <c r="Z1013" s="72" t="s">
        <v>4</v>
      </c>
      <c r="AA1013" s="95" t="s">
        <v>50</v>
      </c>
      <c r="AB1013" s="132"/>
      <c r="AC1013" s="132"/>
      <c r="AD1013" s="132"/>
      <c r="AE1013" s="63"/>
      <c r="AF1013" s="63"/>
      <c r="AG1013" s="63"/>
    </row>
    <row r="1014" spans="1:33" ht="17.2" customHeight="1">
      <c r="A1014" s="64" t="str">
        <f>IF(priority(Main[[#This Row],[Comments]])&lt;&gt;0, priority(Main[[#This Row],[Comments]]),"")</f>
        <v/>
      </c>
      <c r="B1014" s="60" t="s">
        <v>2119</v>
      </c>
      <c r="C1014" s="72" t="s">
        <v>4</v>
      </c>
      <c r="D1014" s="59" t="s">
        <v>3563</v>
      </c>
      <c r="E1014" s="85">
        <v>40764.690844907411</v>
      </c>
      <c r="F1014" s="85"/>
      <c r="G1014" s="64" t="str">
        <f>IF(stdProdLT(Main[[#This Row],[Comments]])=0.1,"N/A",IF(stdProdLT(Main[[#This Row],[Comments]])=0,"",TRIM(stdProdLT(Main[[#This Row],[Comments]]))))</f>
        <v/>
      </c>
      <c r="H1014" s="94" t="str">
        <f>IF(OR(Main[[#This Row],[Std. Prod. Lead Time]]="N/A",Main[[#This Row],[Std. Prod. Lead Time]]=""), "",IF(AND(Main[[#This Row],[In Stock Date]]&lt;&gt;"",Main[[#This Row],[Revised Due Date]]&lt;&gt;"",Main[[#This Row],[In Stock Date]]&lt;&gt;""),Main[[#This Row],[In Stock Date]]-Main[[#This Row],[Revised Due Date]],""))</f>
        <v/>
      </c>
      <c r="I1014" s="101" t="s">
        <v>2205</v>
      </c>
      <c r="J1014" s="95" t="s">
        <v>4</v>
      </c>
      <c r="K1014" s="96" t="s">
        <v>4</v>
      </c>
      <c r="L1014" s="85"/>
      <c r="M1014" s="73" t="str">
        <f>IF(Main[[#This Row],[Tech Start Date]]&lt;1/1/1990,"",IF(Main[[#This Row],[Class]]="C",WORKDAY(Main[[#This Row],[Tech Start Date]],9),IF(Main[[#This Row],[Class]]="B", WORKDAY(Main[[#This Row],[Tech Start Date]],6),IF(Main[[#This Row],[Class]]="A",WORKDAY(Main[[#This Row],[Tech Start Date]],2),""))))</f>
        <v/>
      </c>
      <c r="N1014" s="73" t="str">
        <f>IF(Main[[#This Row],[Tech Start Date]]&lt;1/1/1990,"",IF(Main[[#This Row],[Class]]="C",WORKDAY(Main[[#This Row],[Tech Start Date]],19),IF(Main[[#This Row],[Class]]="B", WORKDAY(Main[[#This Row],[Tech Start Date]],12),IF(Main[[#This Row],[Class]]="A",WORKDAY(Main[[#This Row],[Tech Start Date]],4),""))))</f>
        <v/>
      </c>
      <c r="O1014" s="73" t="str">
        <f>IF(Main[[#This Row],[Tech Start Date]]&lt;1/1/1990,"",IF(Main[[#This Row],[Class]]="C",WORKDAY(Main[[#This Row],[Tech Start Date]],23),IF(Main[[#This Row],[Class]]="B", WORKDAY(Main[[#This Row],[Tech Start Date]],15),IF(Main[[#This Row],[Class]]="A",WORKDAY(Main[[#This Row],[Tech Start Date]],5),""))))</f>
        <v/>
      </c>
      <c r="P1014" s="73" t="str">
        <f>IF(Main[[#This Row],[Tech Start Date]]&lt;1/1/1990,"",IF(Main[[#This Row],[Class]]="C",WORKDAY(Main[[#This Row],[Tech Start Date]],28),IF(Main[[#This Row],[Class]]="B", WORKDAY(Main[[#This Row],[Tech Start Date]],19),IF(Main[[#This Row],[Class]]="A",WORKDAY(Main[[#This Row],[Tech Start Date]],9),""))))</f>
        <v/>
      </c>
      <c r="Q1014" s="85"/>
      <c r="R1014" s="112"/>
      <c r="S1014" s="95" t="s">
        <v>6</v>
      </c>
      <c r="T1014" s="74" t="s">
        <v>4</v>
      </c>
      <c r="U1014" s="95" t="s">
        <v>7</v>
      </c>
      <c r="V1014" s="95" t="s">
        <v>1926</v>
      </c>
      <c r="W1014" s="95" t="s">
        <v>1913</v>
      </c>
      <c r="X1014" s="95" t="s">
        <v>306</v>
      </c>
      <c r="Y1014" s="72" t="s">
        <v>4</v>
      </c>
      <c r="Z1014" s="72" t="s">
        <v>2205</v>
      </c>
      <c r="AA1014" s="95" t="s">
        <v>4</v>
      </c>
      <c r="AB1014" s="132"/>
      <c r="AC1014" s="132"/>
      <c r="AD1014" s="132"/>
      <c r="AE1014" s="63"/>
      <c r="AF1014" s="63"/>
      <c r="AG1014" s="63"/>
    </row>
    <row r="1015" spans="1:33" ht="17.2" customHeight="1">
      <c r="A1015" s="64" t="str">
        <f>IF(priority(Main[[#This Row],[Comments]])&lt;&gt;0, priority(Main[[#This Row],[Comments]]),"")</f>
        <v/>
      </c>
      <c r="B1015" s="60" t="s">
        <v>3478</v>
      </c>
      <c r="C1015" s="72" t="s">
        <v>4</v>
      </c>
      <c r="D1015" s="59" t="s">
        <v>3479</v>
      </c>
      <c r="E1015" s="85"/>
      <c r="F1015" s="85"/>
      <c r="G1015" s="64" t="str">
        <f>IF(stdProdLT(Main[[#This Row],[Comments]])=0.1,"N/A",IF(stdProdLT(Main[[#This Row],[Comments]])=0,"",TRIM(stdProdLT(Main[[#This Row],[Comments]]))))</f>
        <v/>
      </c>
      <c r="H1015" s="94" t="str">
        <f>IF(OR(Main[[#This Row],[Std. Prod. Lead Time]]="N/A",Main[[#This Row],[Std. Prod. Lead Time]]=""), "",IF(AND(Main[[#This Row],[In Stock Date]]&lt;&gt;"",Main[[#This Row],[Revised Due Date]]&lt;&gt;"",Main[[#This Row],[In Stock Date]]&lt;&gt;""),Main[[#This Row],[In Stock Date]]-Main[[#This Row],[Revised Due Date]],""))</f>
        <v/>
      </c>
      <c r="I1015" s="101" t="s">
        <v>4</v>
      </c>
      <c r="J1015" s="95" t="s">
        <v>4</v>
      </c>
      <c r="K1015" s="95" t="s">
        <v>4</v>
      </c>
      <c r="L1015" s="85"/>
      <c r="M1015" s="73" t="str">
        <f>IF(Main[[#This Row],[Tech Start Date]]&lt;1/1/1990,"",IF(Main[[#This Row],[Class]]="C",WORKDAY(Main[[#This Row],[Tech Start Date]],9),IF(Main[[#This Row],[Class]]="B", WORKDAY(Main[[#This Row],[Tech Start Date]],6),IF(Main[[#This Row],[Class]]="A",WORKDAY(Main[[#This Row],[Tech Start Date]],2),""))))</f>
        <v/>
      </c>
      <c r="N1015" s="73" t="str">
        <f>IF(Main[[#This Row],[Tech Start Date]]&lt;1/1/1990,"",IF(Main[[#This Row],[Class]]="C",WORKDAY(Main[[#This Row],[Tech Start Date]],19),IF(Main[[#This Row],[Class]]="B", WORKDAY(Main[[#This Row],[Tech Start Date]],12),IF(Main[[#This Row],[Class]]="A",WORKDAY(Main[[#This Row],[Tech Start Date]],4),""))))</f>
        <v/>
      </c>
      <c r="O1015" s="73" t="str">
        <f>IF(Main[[#This Row],[Tech Start Date]]&lt;1/1/1990,"",IF(Main[[#This Row],[Class]]="C",WORKDAY(Main[[#This Row],[Tech Start Date]],23),IF(Main[[#This Row],[Class]]="B", WORKDAY(Main[[#This Row],[Tech Start Date]],15),IF(Main[[#This Row],[Class]]="A",WORKDAY(Main[[#This Row],[Tech Start Date]],5),""))))</f>
        <v/>
      </c>
      <c r="P1015" s="73" t="str">
        <f>IF(Main[[#This Row],[Tech Start Date]]&lt;1/1/1990,"",IF(Main[[#This Row],[Class]]="C",WORKDAY(Main[[#This Row],[Tech Start Date]],28),IF(Main[[#This Row],[Class]]="B", WORKDAY(Main[[#This Row],[Tech Start Date]],19),IF(Main[[#This Row],[Class]]="A",WORKDAY(Main[[#This Row],[Tech Start Date]],9),""))))</f>
        <v/>
      </c>
      <c r="Q1015" s="85"/>
      <c r="R1015" s="112"/>
      <c r="S1015" s="95" t="s">
        <v>6</v>
      </c>
      <c r="T1015" s="74" t="s">
        <v>4</v>
      </c>
      <c r="U1015" s="95" t="s">
        <v>14</v>
      </c>
      <c r="V1015" s="95" t="s">
        <v>2277</v>
      </c>
      <c r="W1015" s="95" t="s">
        <v>1915</v>
      </c>
      <c r="X1015" s="95" t="s">
        <v>2821</v>
      </c>
      <c r="Y1015" s="72" t="s">
        <v>2949</v>
      </c>
      <c r="Z1015" s="72" t="s">
        <v>4</v>
      </c>
      <c r="AA1015" s="95" t="s">
        <v>2821</v>
      </c>
      <c r="AB1015" s="132"/>
      <c r="AC1015" s="132"/>
      <c r="AD1015" s="132"/>
      <c r="AE1015" s="63"/>
      <c r="AF1015" s="63"/>
      <c r="AG1015" s="63"/>
    </row>
    <row r="1016" spans="1:33" ht="17.2" customHeight="1">
      <c r="A1016" s="64" t="str">
        <f>IF(priority(Main[[#This Row],[Comments]])&lt;&gt;0, priority(Main[[#This Row],[Comments]]),"")</f>
        <v/>
      </c>
      <c r="B1016" s="60" t="s">
        <v>2501</v>
      </c>
      <c r="C1016" s="72" t="s">
        <v>47</v>
      </c>
      <c r="D1016" s="59" t="s">
        <v>3457</v>
      </c>
      <c r="E1016" s="85">
        <v>40857.653622685182</v>
      </c>
      <c r="F1016" s="85"/>
      <c r="G1016" s="64" t="str">
        <f>IF(stdProdLT(Main[[#This Row],[Comments]])=0.1,"N/A",IF(stdProdLT(Main[[#This Row],[Comments]])=0,"",TRIM(stdProdLT(Main[[#This Row],[Comments]]))))</f>
        <v/>
      </c>
      <c r="H1016" s="94" t="str">
        <f>IF(OR(Main[[#This Row],[Std. Prod. Lead Time]]="N/A",Main[[#This Row],[Std. Prod. Lead Time]]=""), "",IF(AND(Main[[#This Row],[In Stock Date]]&lt;&gt;"",Main[[#This Row],[Revised Due Date]]&lt;&gt;"",Main[[#This Row],[In Stock Date]]&lt;&gt;""),Main[[#This Row],[In Stock Date]]-Main[[#This Row],[Revised Due Date]],""))</f>
        <v/>
      </c>
      <c r="I1016" s="101" t="s">
        <v>4</v>
      </c>
      <c r="J1016" s="95" t="s">
        <v>4</v>
      </c>
      <c r="K1016" s="95" t="s">
        <v>4</v>
      </c>
      <c r="L1016" s="85"/>
      <c r="M1016" s="73" t="str">
        <f>IF(Main[[#This Row],[Tech Start Date]]&lt;1/1/1990,"",IF(Main[[#This Row],[Class]]="C",WORKDAY(Main[[#This Row],[Tech Start Date]],9),IF(Main[[#This Row],[Class]]="B", WORKDAY(Main[[#This Row],[Tech Start Date]],6),IF(Main[[#This Row],[Class]]="A",WORKDAY(Main[[#This Row],[Tech Start Date]],2),""))))</f>
        <v/>
      </c>
      <c r="N1016" s="73" t="str">
        <f>IF(Main[[#This Row],[Tech Start Date]]&lt;1/1/1990,"",IF(Main[[#This Row],[Class]]="C",WORKDAY(Main[[#This Row],[Tech Start Date]],19),IF(Main[[#This Row],[Class]]="B", WORKDAY(Main[[#This Row],[Tech Start Date]],12),IF(Main[[#This Row],[Class]]="A",WORKDAY(Main[[#This Row],[Tech Start Date]],4),""))))</f>
        <v/>
      </c>
      <c r="O1016" s="73" t="str">
        <f>IF(Main[[#This Row],[Tech Start Date]]&lt;1/1/1990,"",IF(Main[[#This Row],[Class]]="C",WORKDAY(Main[[#This Row],[Tech Start Date]],23),IF(Main[[#This Row],[Class]]="B", WORKDAY(Main[[#This Row],[Tech Start Date]],15),IF(Main[[#This Row],[Class]]="A",WORKDAY(Main[[#This Row],[Tech Start Date]],5),""))))</f>
        <v/>
      </c>
      <c r="P1016" s="73" t="str">
        <f>IF(Main[[#This Row],[Tech Start Date]]&lt;1/1/1990,"",IF(Main[[#This Row],[Class]]="C",WORKDAY(Main[[#This Row],[Tech Start Date]],28),IF(Main[[#This Row],[Class]]="B", WORKDAY(Main[[#This Row],[Tech Start Date]],19),IF(Main[[#This Row],[Class]]="A",WORKDAY(Main[[#This Row],[Tech Start Date]],9),""))))</f>
        <v/>
      </c>
      <c r="Q1016" s="85">
        <v>40892</v>
      </c>
      <c r="R1016" s="112"/>
      <c r="S1016" s="95" t="s">
        <v>6</v>
      </c>
      <c r="T1016" s="74" t="s">
        <v>4</v>
      </c>
      <c r="U1016" s="95" t="s">
        <v>29</v>
      </c>
      <c r="V1016" s="95" t="s">
        <v>2277</v>
      </c>
      <c r="W1016" s="95" t="s">
        <v>4</v>
      </c>
      <c r="X1016" s="95" t="s">
        <v>2845</v>
      </c>
      <c r="Y1016" s="72" t="s">
        <v>2988</v>
      </c>
      <c r="Z1016" s="72" t="s">
        <v>4</v>
      </c>
      <c r="AA1016" s="95" t="s">
        <v>2845</v>
      </c>
      <c r="AB1016" s="132"/>
      <c r="AC1016" s="132"/>
      <c r="AD1016" s="132"/>
      <c r="AE1016" s="63"/>
      <c r="AF1016" s="63"/>
      <c r="AG1016" s="63"/>
    </row>
    <row r="1017" spans="1:33" ht="17.2" customHeight="1">
      <c r="A1017" s="64" t="str">
        <f>IF(priority(Main[[#This Row],[Comments]])&lt;&gt;0, priority(Main[[#This Row],[Comments]]),"")</f>
        <v/>
      </c>
      <c r="B1017" s="60" t="s">
        <v>2109</v>
      </c>
      <c r="C1017" s="72" t="s">
        <v>4</v>
      </c>
      <c r="D1017" s="59" t="s">
        <v>2110</v>
      </c>
      <c r="E1017" s="85"/>
      <c r="F1017" s="85"/>
      <c r="G1017" s="64" t="str">
        <f>IF(stdProdLT(Main[[#This Row],[Comments]])=0.1,"N/A",IF(stdProdLT(Main[[#This Row],[Comments]])=0,"",TRIM(stdProdLT(Main[[#This Row],[Comments]]))))</f>
        <v/>
      </c>
      <c r="H1017" s="94" t="str">
        <f>IF(OR(Main[[#This Row],[Std. Prod. Lead Time]]="N/A",Main[[#This Row],[Std. Prod. Lead Time]]=""), "",IF(AND(Main[[#This Row],[In Stock Date]]&lt;&gt;"",Main[[#This Row],[Revised Due Date]]&lt;&gt;"",Main[[#This Row],[In Stock Date]]&lt;&gt;""),Main[[#This Row],[In Stock Date]]-Main[[#This Row],[Revised Due Date]],""))</f>
        <v/>
      </c>
      <c r="I1017" s="101" t="s">
        <v>69</v>
      </c>
      <c r="J1017" s="95" t="s">
        <v>70</v>
      </c>
      <c r="K1017" s="95" t="s">
        <v>1920</v>
      </c>
      <c r="L1017" s="85"/>
      <c r="M1017" s="73" t="str">
        <f>IF(Main[[#This Row],[Tech Start Date]]&lt;1/1/1990,"",IF(Main[[#This Row],[Class]]="C",WORKDAY(Main[[#This Row],[Tech Start Date]],9),IF(Main[[#This Row],[Class]]="B", WORKDAY(Main[[#This Row],[Tech Start Date]],6),IF(Main[[#This Row],[Class]]="A",WORKDAY(Main[[#This Row],[Tech Start Date]],2),""))))</f>
        <v/>
      </c>
      <c r="N1017" s="73" t="str">
        <f>IF(Main[[#This Row],[Tech Start Date]]&lt;1/1/1990,"",IF(Main[[#This Row],[Class]]="C",WORKDAY(Main[[#This Row],[Tech Start Date]],19),IF(Main[[#This Row],[Class]]="B", WORKDAY(Main[[#This Row],[Tech Start Date]],12),IF(Main[[#This Row],[Class]]="A",WORKDAY(Main[[#This Row],[Tech Start Date]],4),""))))</f>
        <v/>
      </c>
      <c r="O1017" s="73" t="str">
        <f>IF(Main[[#This Row],[Tech Start Date]]&lt;1/1/1990,"",IF(Main[[#This Row],[Class]]="C",WORKDAY(Main[[#This Row],[Tech Start Date]],23),IF(Main[[#This Row],[Class]]="B", WORKDAY(Main[[#This Row],[Tech Start Date]],15),IF(Main[[#This Row],[Class]]="A",WORKDAY(Main[[#This Row],[Tech Start Date]],5),""))))</f>
        <v/>
      </c>
      <c r="P1017" s="73" t="str">
        <f>IF(Main[[#This Row],[Tech Start Date]]&lt;1/1/1990,"",IF(Main[[#This Row],[Class]]="C",WORKDAY(Main[[#This Row],[Tech Start Date]],28),IF(Main[[#This Row],[Class]]="B", WORKDAY(Main[[#This Row],[Tech Start Date]],19),IF(Main[[#This Row],[Class]]="A",WORKDAY(Main[[#This Row],[Tech Start Date]],9),""))))</f>
        <v/>
      </c>
      <c r="Q1017" s="85">
        <v>40816</v>
      </c>
      <c r="R1017" s="112"/>
      <c r="S1017" s="95" t="s">
        <v>6</v>
      </c>
      <c r="T1017" s="74" t="s">
        <v>4</v>
      </c>
      <c r="U1017" s="95" t="s">
        <v>14</v>
      </c>
      <c r="V1017" s="95" t="s">
        <v>1914</v>
      </c>
      <c r="W1017" s="95" t="s">
        <v>1915</v>
      </c>
      <c r="X1017" s="95" t="s">
        <v>306</v>
      </c>
      <c r="Y1017" s="72" t="s">
        <v>3089</v>
      </c>
      <c r="Z1017" s="72" t="s">
        <v>30</v>
      </c>
      <c r="AA1017" s="95" t="s">
        <v>3347</v>
      </c>
      <c r="AB1017" s="132"/>
      <c r="AC1017" s="132"/>
      <c r="AD1017" s="132"/>
      <c r="AE1017" s="63"/>
      <c r="AF1017" s="63"/>
      <c r="AG1017" s="63"/>
    </row>
    <row r="1018" spans="1:33" ht="17.2" customHeight="1">
      <c r="A1018" s="64" t="str">
        <f>IF(priority(Main[[#This Row],[Comments]])&lt;&gt;0, priority(Main[[#This Row],[Comments]]),"")</f>
        <v/>
      </c>
      <c r="B1018" s="60" t="s">
        <v>2176</v>
      </c>
      <c r="C1018" s="72" t="s">
        <v>4</v>
      </c>
      <c r="D1018" s="59" t="s">
        <v>2177</v>
      </c>
      <c r="E1018" s="85">
        <v>40784.630833333336</v>
      </c>
      <c r="F1018" s="85">
        <v>41153</v>
      </c>
      <c r="G1018" s="64" t="str">
        <f>IF(stdProdLT(Main[[#This Row],[Comments]])=0.1,"N/A",IF(stdProdLT(Main[[#This Row],[Comments]])=0,"",TRIM(stdProdLT(Main[[#This Row],[Comments]]))))</f>
        <v/>
      </c>
      <c r="H1018" s="94" t="str">
        <f>IF(OR(Main[[#This Row],[Std. Prod. Lead Time]]="N/A",Main[[#This Row],[Std. Prod. Lead Time]]=""), "",IF(AND(Main[[#This Row],[In Stock Date]]&lt;&gt;"",Main[[#This Row],[Revised Due Date]]&lt;&gt;"",Main[[#This Row],[In Stock Date]]&lt;&gt;""),Main[[#This Row],[In Stock Date]]-Main[[#This Row],[Revised Due Date]],""))</f>
        <v/>
      </c>
      <c r="I1018" s="101" t="s">
        <v>4</v>
      </c>
      <c r="J1018" s="95" t="s">
        <v>4</v>
      </c>
      <c r="K1018" s="95" t="s">
        <v>4</v>
      </c>
      <c r="L1018" s="85"/>
      <c r="M1018" s="73" t="str">
        <f>IF(Main[[#This Row],[Tech Start Date]]&lt;1/1/1990,"",IF(Main[[#This Row],[Class]]="C",WORKDAY(Main[[#This Row],[Tech Start Date]],9),IF(Main[[#This Row],[Class]]="B", WORKDAY(Main[[#This Row],[Tech Start Date]],6),IF(Main[[#This Row],[Class]]="A",WORKDAY(Main[[#This Row],[Tech Start Date]],2),""))))</f>
        <v/>
      </c>
      <c r="N1018" s="73" t="str">
        <f>IF(Main[[#This Row],[Tech Start Date]]&lt;1/1/1990,"",IF(Main[[#This Row],[Class]]="C",WORKDAY(Main[[#This Row],[Tech Start Date]],19),IF(Main[[#This Row],[Class]]="B", WORKDAY(Main[[#This Row],[Tech Start Date]],12),IF(Main[[#This Row],[Class]]="A",WORKDAY(Main[[#This Row],[Tech Start Date]],4),""))))</f>
        <v/>
      </c>
      <c r="O1018" s="73" t="str">
        <f>IF(Main[[#This Row],[Tech Start Date]]&lt;1/1/1990,"",IF(Main[[#This Row],[Class]]="C",WORKDAY(Main[[#This Row],[Tech Start Date]],23),IF(Main[[#This Row],[Class]]="B", WORKDAY(Main[[#This Row],[Tech Start Date]],15),IF(Main[[#This Row],[Class]]="A",WORKDAY(Main[[#This Row],[Tech Start Date]],5),""))))</f>
        <v/>
      </c>
      <c r="P1018" s="73" t="str">
        <f>IF(Main[[#This Row],[Tech Start Date]]&lt;1/1/1990,"",IF(Main[[#This Row],[Class]]="C",WORKDAY(Main[[#This Row],[Tech Start Date]],28),IF(Main[[#This Row],[Class]]="B", WORKDAY(Main[[#This Row],[Tech Start Date]],19),IF(Main[[#This Row],[Class]]="A",WORKDAY(Main[[#This Row],[Tech Start Date]],9),""))))</f>
        <v/>
      </c>
      <c r="Q1018" s="85"/>
      <c r="R1018" s="112"/>
      <c r="S1018" s="95" t="s">
        <v>17</v>
      </c>
      <c r="T1018" s="74" t="s">
        <v>4</v>
      </c>
      <c r="U1018" s="95" t="s">
        <v>7</v>
      </c>
      <c r="V1018" s="95" t="s">
        <v>1914</v>
      </c>
      <c r="W1018" s="95" t="s">
        <v>1916</v>
      </c>
      <c r="X1018" s="95" t="s">
        <v>2865</v>
      </c>
      <c r="Y1018" s="72" t="s">
        <v>3019</v>
      </c>
      <c r="Z1018" s="72" t="s">
        <v>4</v>
      </c>
      <c r="AA1018" s="95" t="s">
        <v>2865</v>
      </c>
      <c r="AB1018" s="132"/>
      <c r="AC1018" s="132"/>
      <c r="AD1018" s="132"/>
      <c r="AE1018" s="63"/>
      <c r="AF1018" s="63"/>
      <c r="AG1018" s="63"/>
    </row>
    <row r="1019" spans="1:33" ht="17.2" customHeight="1">
      <c r="A1019" s="64" t="str">
        <f>IF(priority(Main[[#This Row],[Comments]])&lt;&gt;0, priority(Main[[#This Row],[Comments]]),"")</f>
        <v/>
      </c>
      <c r="B1019" s="60" t="s">
        <v>2053</v>
      </c>
      <c r="C1019" s="72" t="s">
        <v>4</v>
      </c>
      <c r="D1019" s="59" t="s">
        <v>2054</v>
      </c>
      <c r="E1019" s="85">
        <v>40758.348310185182</v>
      </c>
      <c r="F1019" s="85"/>
      <c r="G1019" s="64" t="str">
        <f>IF(stdProdLT(Main[[#This Row],[Comments]])=0.1,"N/A",IF(stdProdLT(Main[[#This Row],[Comments]])=0,"",TRIM(stdProdLT(Main[[#This Row],[Comments]]))))</f>
        <v/>
      </c>
      <c r="H1019" s="94" t="str">
        <f>IF(OR(Main[[#This Row],[Std. Prod. Lead Time]]="N/A",Main[[#This Row],[Std. Prod. Lead Time]]=""), "",IF(AND(Main[[#This Row],[In Stock Date]]&lt;&gt;"",Main[[#This Row],[Revised Due Date]]&lt;&gt;"",Main[[#This Row],[In Stock Date]]&lt;&gt;""),Main[[#This Row],[In Stock Date]]-Main[[#This Row],[Revised Due Date]],""))</f>
        <v/>
      </c>
      <c r="I1019" s="101" t="s">
        <v>415</v>
      </c>
      <c r="J1019" s="95" t="s">
        <v>28</v>
      </c>
      <c r="K1019" s="95" t="s">
        <v>1918</v>
      </c>
      <c r="L1019" s="85"/>
      <c r="M1019" s="73" t="str">
        <f>IF(Main[[#This Row],[Tech Start Date]]&lt;1/1/1990,"",IF(Main[[#This Row],[Class]]="C",WORKDAY(Main[[#This Row],[Tech Start Date]],9),IF(Main[[#This Row],[Class]]="B", WORKDAY(Main[[#This Row],[Tech Start Date]],6),IF(Main[[#This Row],[Class]]="A",WORKDAY(Main[[#This Row],[Tech Start Date]],2),""))))</f>
        <v/>
      </c>
      <c r="N1019" s="73" t="str">
        <f>IF(Main[[#This Row],[Tech Start Date]]&lt;1/1/1990,"",IF(Main[[#This Row],[Class]]="C",WORKDAY(Main[[#This Row],[Tech Start Date]],19),IF(Main[[#This Row],[Class]]="B", WORKDAY(Main[[#This Row],[Tech Start Date]],12),IF(Main[[#This Row],[Class]]="A",WORKDAY(Main[[#This Row],[Tech Start Date]],4),""))))</f>
        <v/>
      </c>
      <c r="O1019" s="73" t="str">
        <f>IF(Main[[#This Row],[Tech Start Date]]&lt;1/1/1990,"",IF(Main[[#This Row],[Class]]="C",WORKDAY(Main[[#This Row],[Tech Start Date]],23),IF(Main[[#This Row],[Class]]="B", WORKDAY(Main[[#This Row],[Tech Start Date]],15),IF(Main[[#This Row],[Class]]="A",WORKDAY(Main[[#This Row],[Tech Start Date]],5),""))))</f>
        <v/>
      </c>
      <c r="P1019" s="73" t="str">
        <f>IF(Main[[#This Row],[Tech Start Date]]&lt;1/1/1990,"",IF(Main[[#This Row],[Class]]="C",WORKDAY(Main[[#This Row],[Tech Start Date]],28),IF(Main[[#This Row],[Class]]="B", WORKDAY(Main[[#This Row],[Tech Start Date]],19),IF(Main[[#This Row],[Class]]="A",WORKDAY(Main[[#This Row],[Tech Start Date]],9),""))))</f>
        <v/>
      </c>
      <c r="Q1019" s="85"/>
      <c r="R1019" s="112"/>
      <c r="S1019" s="95" t="s">
        <v>6</v>
      </c>
      <c r="T1019" s="74" t="s">
        <v>4</v>
      </c>
      <c r="U1019" s="95" t="s">
        <v>29</v>
      </c>
      <c r="V1019" s="95" t="s">
        <v>1914</v>
      </c>
      <c r="W1019" s="95" t="s">
        <v>1913</v>
      </c>
      <c r="X1019" s="95" t="s">
        <v>2846</v>
      </c>
      <c r="Y1019" s="72" t="s">
        <v>2978</v>
      </c>
      <c r="Z1019" s="72" t="s">
        <v>415</v>
      </c>
      <c r="AA1019" s="95" t="s">
        <v>2846</v>
      </c>
      <c r="AB1019" s="132"/>
      <c r="AC1019" s="132"/>
      <c r="AD1019" s="132"/>
      <c r="AE1019" s="63"/>
      <c r="AF1019" s="63"/>
      <c r="AG1019" s="63"/>
    </row>
    <row r="1020" spans="1:33" ht="17.2" customHeight="1">
      <c r="A1020" s="64" t="str">
        <f>IF(priority(Main[[#This Row],[Comments]])&lt;&gt;0, priority(Main[[#This Row],[Comments]]),"")</f>
        <v/>
      </c>
      <c r="B1020" s="60" t="s">
        <v>2193</v>
      </c>
      <c r="C1020" s="72" t="s">
        <v>4</v>
      </c>
      <c r="D1020" s="59" t="s">
        <v>2194</v>
      </c>
      <c r="E1020" s="85">
        <v>40784.953148148146</v>
      </c>
      <c r="F1020" s="85"/>
      <c r="G1020" s="64" t="str">
        <f>IF(stdProdLT(Main[[#This Row],[Comments]])=0.1,"N/A",IF(stdProdLT(Main[[#This Row],[Comments]])=0,"",TRIM(stdProdLT(Main[[#This Row],[Comments]]))))</f>
        <v/>
      </c>
      <c r="H1020" s="94" t="str">
        <f>IF(OR(Main[[#This Row],[Std. Prod. Lead Time]]="N/A",Main[[#This Row],[Std. Prod. Lead Time]]=""), "",IF(AND(Main[[#This Row],[In Stock Date]]&lt;&gt;"",Main[[#This Row],[Revised Due Date]]&lt;&gt;"",Main[[#This Row],[In Stock Date]]&lt;&gt;""),Main[[#This Row],[In Stock Date]]-Main[[#This Row],[Revised Due Date]],""))</f>
        <v/>
      </c>
      <c r="I1020" s="101" t="s">
        <v>489</v>
      </c>
      <c r="J1020" s="95" t="s">
        <v>70</v>
      </c>
      <c r="K1020" s="95" t="s">
        <v>1920</v>
      </c>
      <c r="L1020" s="85"/>
      <c r="M1020" s="73" t="str">
        <f>IF(Main[[#This Row],[Tech Start Date]]&lt;1/1/1990,"",IF(Main[[#This Row],[Class]]="C",WORKDAY(Main[[#This Row],[Tech Start Date]],9),IF(Main[[#This Row],[Class]]="B", WORKDAY(Main[[#This Row],[Tech Start Date]],6),IF(Main[[#This Row],[Class]]="A",WORKDAY(Main[[#This Row],[Tech Start Date]],2),""))))</f>
        <v/>
      </c>
      <c r="N1020" s="73" t="str">
        <f>IF(Main[[#This Row],[Tech Start Date]]&lt;1/1/1990,"",IF(Main[[#This Row],[Class]]="C",WORKDAY(Main[[#This Row],[Tech Start Date]],19),IF(Main[[#This Row],[Class]]="B", WORKDAY(Main[[#This Row],[Tech Start Date]],12),IF(Main[[#This Row],[Class]]="A",WORKDAY(Main[[#This Row],[Tech Start Date]],4),""))))</f>
        <v/>
      </c>
      <c r="O1020" s="73" t="str">
        <f>IF(Main[[#This Row],[Tech Start Date]]&lt;1/1/1990,"",IF(Main[[#This Row],[Class]]="C",WORKDAY(Main[[#This Row],[Tech Start Date]],23),IF(Main[[#This Row],[Class]]="B", WORKDAY(Main[[#This Row],[Tech Start Date]],15),IF(Main[[#This Row],[Class]]="A",WORKDAY(Main[[#This Row],[Tech Start Date]],5),""))))</f>
        <v/>
      </c>
      <c r="P1020" s="73" t="str">
        <f>IF(Main[[#This Row],[Tech Start Date]]&lt;1/1/1990,"",IF(Main[[#This Row],[Class]]="C",WORKDAY(Main[[#This Row],[Tech Start Date]],28),IF(Main[[#This Row],[Class]]="B", WORKDAY(Main[[#This Row],[Tech Start Date]],19),IF(Main[[#This Row],[Class]]="A",WORKDAY(Main[[#This Row],[Tech Start Date]],9),""))))</f>
        <v/>
      </c>
      <c r="Q1020" s="85">
        <v>40847</v>
      </c>
      <c r="R1020" s="112"/>
      <c r="S1020" s="95" t="s">
        <v>6</v>
      </c>
      <c r="T1020" s="74" t="s">
        <v>4</v>
      </c>
      <c r="U1020" s="95" t="s">
        <v>29</v>
      </c>
      <c r="V1020" s="95" t="s">
        <v>1914</v>
      </c>
      <c r="W1020" s="95" t="s">
        <v>1915</v>
      </c>
      <c r="X1020" s="95" t="s">
        <v>30</v>
      </c>
      <c r="Y1020" s="72" t="s">
        <v>3090</v>
      </c>
      <c r="Z1020" s="72" t="s">
        <v>30</v>
      </c>
      <c r="AA1020" s="95" t="s">
        <v>3404</v>
      </c>
      <c r="AB1020" s="132"/>
      <c r="AC1020" s="132"/>
      <c r="AD1020" s="132"/>
      <c r="AE1020" s="63"/>
      <c r="AF1020" s="63"/>
      <c r="AG1020" s="63"/>
    </row>
    <row r="1021" spans="1:33" ht="17.2" customHeight="1">
      <c r="A1021" s="64" t="str">
        <f>IF(priority(Main[[#This Row],[Comments]])&lt;&gt;0, priority(Main[[#This Row],[Comments]]),"")</f>
        <v/>
      </c>
      <c r="B1021" s="60" t="s">
        <v>1976</v>
      </c>
      <c r="C1021" s="72" t="s">
        <v>4</v>
      </c>
      <c r="D1021" s="59" t="s">
        <v>2010</v>
      </c>
      <c r="E1021" s="85">
        <v>40737.35056712963</v>
      </c>
      <c r="F1021" s="85"/>
      <c r="G1021" s="64" t="str">
        <f>IF(stdProdLT(Main[[#This Row],[Comments]])=0.1,"N/A",IF(stdProdLT(Main[[#This Row],[Comments]])=0,"",TRIM(stdProdLT(Main[[#This Row],[Comments]]))))</f>
        <v/>
      </c>
      <c r="H1021" s="94" t="str">
        <f>IF(OR(Main[[#This Row],[Std. Prod. Lead Time]]="N/A",Main[[#This Row],[Std. Prod. Lead Time]]=""), "",IF(AND(Main[[#This Row],[In Stock Date]]&lt;&gt;"",Main[[#This Row],[Revised Due Date]]&lt;&gt;"",Main[[#This Row],[In Stock Date]]&lt;&gt;""),Main[[#This Row],[In Stock Date]]-Main[[#This Row],[Revised Due Date]],""))</f>
        <v/>
      </c>
      <c r="I1021" s="101" t="s">
        <v>2008</v>
      </c>
      <c r="J1021" s="95" t="s">
        <v>28</v>
      </c>
      <c r="K1021" s="95" t="s">
        <v>4</v>
      </c>
      <c r="L1021" s="85"/>
      <c r="M1021" s="73" t="str">
        <f>IF(Main[[#This Row],[Tech Start Date]]&lt;1/1/1990,"",IF(Main[[#This Row],[Class]]="C",WORKDAY(Main[[#This Row],[Tech Start Date]],9),IF(Main[[#This Row],[Class]]="B", WORKDAY(Main[[#This Row],[Tech Start Date]],6),IF(Main[[#This Row],[Class]]="A",WORKDAY(Main[[#This Row],[Tech Start Date]],2),""))))</f>
        <v/>
      </c>
      <c r="N1021" s="73" t="str">
        <f>IF(Main[[#This Row],[Tech Start Date]]&lt;1/1/1990,"",IF(Main[[#This Row],[Class]]="C",WORKDAY(Main[[#This Row],[Tech Start Date]],19),IF(Main[[#This Row],[Class]]="B", WORKDAY(Main[[#This Row],[Tech Start Date]],12),IF(Main[[#This Row],[Class]]="A",WORKDAY(Main[[#This Row],[Tech Start Date]],4),""))))</f>
        <v/>
      </c>
      <c r="O1021" s="73" t="str">
        <f>IF(Main[[#This Row],[Tech Start Date]]&lt;1/1/1990,"",IF(Main[[#This Row],[Class]]="C",WORKDAY(Main[[#This Row],[Tech Start Date]],23),IF(Main[[#This Row],[Class]]="B", WORKDAY(Main[[#This Row],[Tech Start Date]],15),IF(Main[[#This Row],[Class]]="A",WORKDAY(Main[[#This Row],[Tech Start Date]],5),""))))</f>
        <v/>
      </c>
      <c r="P1021" s="73" t="str">
        <f>IF(Main[[#This Row],[Tech Start Date]]&lt;1/1/1990,"",IF(Main[[#This Row],[Class]]="C",WORKDAY(Main[[#This Row],[Tech Start Date]],28),IF(Main[[#This Row],[Class]]="B", WORKDAY(Main[[#This Row],[Tech Start Date]],19),IF(Main[[#This Row],[Class]]="A",WORKDAY(Main[[#This Row],[Tech Start Date]],9),""))))</f>
        <v/>
      </c>
      <c r="Q1021" s="85"/>
      <c r="R1021" s="112"/>
      <c r="S1021" s="95" t="s">
        <v>17</v>
      </c>
      <c r="T1021" s="74" t="s">
        <v>4</v>
      </c>
      <c r="U1021" s="95" t="s">
        <v>7</v>
      </c>
      <c r="V1021" s="95" t="s">
        <v>1926</v>
      </c>
      <c r="W1021" s="95" t="s">
        <v>1915</v>
      </c>
      <c r="X1021" s="95" t="s">
        <v>922</v>
      </c>
      <c r="Y1021" s="72" t="s">
        <v>3091</v>
      </c>
      <c r="Z1021" s="72" t="s">
        <v>2205</v>
      </c>
      <c r="AA1021" s="95" t="s">
        <v>3405</v>
      </c>
      <c r="AB1021" s="132"/>
      <c r="AC1021" s="132"/>
      <c r="AD1021" s="132"/>
      <c r="AE1021" s="63"/>
      <c r="AF1021" s="63"/>
      <c r="AG1021" s="63"/>
    </row>
    <row r="1022" spans="1:33" ht="17.2" customHeight="1">
      <c r="A1022" s="64" t="str">
        <f>IF(priority(Main[[#This Row],[Comments]])&lt;&gt;0, priority(Main[[#This Row],[Comments]]),"")</f>
        <v/>
      </c>
      <c r="B1022" s="60" t="s">
        <v>1078</v>
      </c>
      <c r="C1022" s="72" t="s">
        <v>4</v>
      </c>
      <c r="D1022" s="59" t="s">
        <v>2156</v>
      </c>
      <c r="E1022" s="85">
        <v>40696.780057870368</v>
      </c>
      <c r="F1022" s="85"/>
      <c r="G1022" s="64" t="str">
        <f>IF(stdProdLT(Main[[#This Row],[Comments]])=0.1,"N/A",IF(stdProdLT(Main[[#This Row],[Comments]])=0,"",TRIM(stdProdLT(Main[[#This Row],[Comments]]))))</f>
        <v/>
      </c>
      <c r="H1022" s="94" t="str">
        <f>IF(OR(Main[[#This Row],[Std. Prod. Lead Time]]="N/A",Main[[#This Row],[Std. Prod. Lead Time]]=""), "",IF(AND(Main[[#This Row],[In Stock Date]]&lt;&gt;"",Main[[#This Row],[Revised Due Date]]&lt;&gt;"",Main[[#This Row],[In Stock Date]]&lt;&gt;""),Main[[#This Row],[In Stock Date]]-Main[[#This Row],[Revised Due Date]],""))</f>
        <v/>
      </c>
      <c r="I1022" s="101" t="s">
        <v>489</v>
      </c>
      <c r="J1022" s="95" t="s">
        <v>52</v>
      </c>
      <c r="K1022" s="95" t="s">
        <v>1920</v>
      </c>
      <c r="L1022" s="85"/>
      <c r="M1022" s="73" t="str">
        <f>IF(Main[[#This Row],[Tech Start Date]]&lt;1/1/1990,"",IF(Main[[#This Row],[Class]]="C",WORKDAY(Main[[#This Row],[Tech Start Date]],9),IF(Main[[#This Row],[Class]]="B", WORKDAY(Main[[#This Row],[Tech Start Date]],6),IF(Main[[#This Row],[Class]]="A",WORKDAY(Main[[#This Row],[Tech Start Date]],2),""))))</f>
        <v/>
      </c>
      <c r="N1022" s="73" t="str">
        <f>IF(Main[[#This Row],[Tech Start Date]]&lt;1/1/1990,"",IF(Main[[#This Row],[Class]]="C",WORKDAY(Main[[#This Row],[Tech Start Date]],19),IF(Main[[#This Row],[Class]]="B", WORKDAY(Main[[#This Row],[Tech Start Date]],12),IF(Main[[#This Row],[Class]]="A",WORKDAY(Main[[#This Row],[Tech Start Date]],4),""))))</f>
        <v/>
      </c>
      <c r="O1022" s="73" t="str">
        <f>IF(Main[[#This Row],[Tech Start Date]]&lt;1/1/1990,"",IF(Main[[#This Row],[Class]]="C",WORKDAY(Main[[#This Row],[Tech Start Date]],23),IF(Main[[#This Row],[Class]]="B", WORKDAY(Main[[#This Row],[Tech Start Date]],15),IF(Main[[#This Row],[Class]]="A",WORKDAY(Main[[#This Row],[Tech Start Date]],5),""))))</f>
        <v/>
      </c>
      <c r="P1022" s="73" t="str">
        <f>IF(Main[[#This Row],[Tech Start Date]]&lt;1/1/1990,"",IF(Main[[#This Row],[Class]]="C",WORKDAY(Main[[#This Row],[Tech Start Date]],28),IF(Main[[#This Row],[Class]]="B", WORKDAY(Main[[#This Row],[Tech Start Date]],19),IF(Main[[#This Row],[Class]]="A",WORKDAY(Main[[#This Row],[Tech Start Date]],9),""))))</f>
        <v/>
      </c>
      <c r="Q1022" s="85">
        <v>40753</v>
      </c>
      <c r="R1022" s="112"/>
      <c r="S1022" s="95" t="s">
        <v>6</v>
      </c>
      <c r="T1022" s="74" t="s">
        <v>4</v>
      </c>
      <c r="U1022" s="95" t="s">
        <v>29</v>
      </c>
      <c r="V1022" s="95" t="s">
        <v>1921</v>
      </c>
      <c r="W1022" s="95" t="s">
        <v>1915</v>
      </c>
      <c r="X1022" s="95" t="s">
        <v>30</v>
      </c>
      <c r="Y1022" s="72" t="s">
        <v>2935</v>
      </c>
      <c r="Z1022" s="72" t="s">
        <v>44</v>
      </c>
      <c r="AA1022" s="95" t="s">
        <v>30</v>
      </c>
      <c r="AB1022" s="132"/>
      <c r="AC1022" s="132"/>
      <c r="AD1022" s="132"/>
      <c r="AE1022" s="63"/>
      <c r="AF1022" s="63"/>
      <c r="AG1022" s="63"/>
    </row>
    <row r="1023" spans="1:33" ht="17.2" customHeight="1">
      <c r="A1023" s="64" t="str">
        <f>IF(priority(Main[[#This Row],[Comments]])&lt;&gt;0, priority(Main[[#This Row],[Comments]]),"")</f>
        <v/>
      </c>
      <c r="B1023" s="60" t="s">
        <v>1810</v>
      </c>
      <c r="C1023" s="72" t="s">
        <v>67</v>
      </c>
      <c r="D1023" s="59" t="s">
        <v>861</v>
      </c>
      <c r="E1023" s="85">
        <v>39981.506990740738</v>
      </c>
      <c r="F1023" s="85"/>
      <c r="G1023" s="64" t="str">
        <f>IF(stdProdLT(Main[[#This Row],[Comments]])=0.1,"N/A",IF(stdProdLT(Main[[#This Row],[Comments]])=0,"",TRIM(stdProdLT(Main[[#This Row],[Comments]]))))</f>
        <v/>
      </c>
      <c r="H1023" s="94" t="str">
        <f>IF(OR(Main[[#This Row],[Std. Prod. Lead Time]]="N/A",Main[[#This Row],[Std. Prod. Lead Time]]=""), "",IF(AND(Main[[#This Row],[In Stock Date]]&lt;&gt;"",Main[[#This Row],[Revised Due Date]]&lt;&gt;"",Main[[#This Row],[In Stock Date]]&lt;&gt;""),Main[[#This Row],[In Stock Date]]-Main[[#This Row],[Revised Due Date]],""))</f>
        <v/>
      </c>
      <c r="I1023" s="101" t="s">
        <v>852</v>
      </c>
      <c r="J1023" s="95" t="s">
        <v>4</v>
      </c>
      <c r="K1023" s="95" t="s">
        <v>1924</v>
      </c>
      <c r="L1023" s="85"/>
      <c r="M1023" s="73" t="str">
        <f>IF(Main[[#This Row],[Tech Start Date]]&lt;1/1/1990,"",IF(Main[[#This Row],[Class]]="C",WORKDAY(Main[[#This Row],[Tech Start Date]],9),IF(Main[[#This Row],[Class]]="B", WORKDAY(Main[[#This Row],[Tech Start Date]],6),IF(Main[[#This Row],[Class]]="A",WORKDAY(Main[[#This Row],[Tech Start Date]],2),""))))</f>
        <v/>
      </c>
      <c r="N1023" s="73" t="str">
        <f>IF(Main[[#This Row],[Tech Start Date]]&lt;1/1/1990,"",IF(Main[[#This Row],[Class]]="C",WORKDAY(Main[[#This Row],[Tech Start Date]],19),IF(Main[[#This Row],[Class]]="B", WORKDAY(Main[[#This Row],[Tech Start Date]],12),IF(Main[[#This Row],[Class]]="A",WORKDAY(Main[[#This Row],[Tech Start Date]],4),""))))</f>
        <v/>
      </c>
      <c r="O1023" s="73" t="str">
        <f>IF(Main[[#This Row],[Tech Start Date]]&lt;1/1/1990,"",IF(Main[[#This Row],[Class]]="C",WORKDAY(Main[[#This Row],[Tech Start Date]],23),IF(Main[[#This Row],[Class]]="B", WORKDAY(Main[[#This Row],[Tech Start Date]],15),IF(Main[[#This Row],[Class]]="A",WORKDAY(Main[[#This Row],[Tech Start Date]],5),""))))</f>
        <v/>
      </c>
      <c r="P1023" s="73" t="str">
        <f>IF(Main[[#This Row],[Tech Start Date]]&lt;1/1/1990,"",IF(Main[[#This Row],[Class]]="C",WORKDAY(Main[[#This Row],[Tech Start Date]],28),IF(Main[[#This Row],[Class]]="B", WORKDAY(Main[[#This Row],[Tech Start Date]],19),IF(Main[[#This Row],[Class]]="A",WORKDAY(Main[[#This Row],[Tech Start Date]],9),""))))</f>
        <v/>
      </c>
      <c r="Q1023" s="85">
        <v>40142</v>
      </c>
      <c r="R1023" s="112">
        <v>40259</v>
      </c>
      <c r="S1023" s="95" t="s">
        <v>17</v>
      </c>
      <c r="T1023" s="74" t="s">
        <v>4</v>
      </c>
      <c r="U1023" s="95" t="s">
        <v>29</v>
      </c>
      <c r="V1023" s="95" t="s">
        <v>1921</v>
      </c>
      <c r="W1023" s="95" t="s">
        <v>1916</v>
      </c>
      <c r="X1023" s="95" t="s">
        <v>2800</v>
      </c>
      <c r="Y1023" s="72" t="s">
        <v>3006</v>
      </c>
      <c r="Z1023" s="72" t="s">
        <v>81</v>
      </c>
      <c r="AA1023" s="95" t="s">
        <v>3370</v>
      </c>
      <c r="AB1023" s="132">
        <v>40268</v>
      </c>
      <c r="AC1023" s="132">
        <v>40270</v>
      </c>
      <c r="AD1023" s="132"/>
      <c r="AE1023" s="63"/>
      <c r="AF1023" s="63"/>
      <c r="AG1023" s="63"/>
    </row>
    <row r="1024" spans="1:33" ht="17.2" customHeight="1">
      <c r="A1024" s="64" t="str">
        <f>IF(priority(Main[[#This Row],[Comments]])&lt;&gt;0, priority(Main[[#This Row],[Comments]]),"")</f>
        <v/>
      </c>
      <c r="B1024" s="60" t="s">
        <v>2246</v>
      </c>
      <c r="C1024" s="72" t="s">
        <v>4</v>
      </c>
      <c r="D1024" s="59" t="s">
        <v>2247</v>
      </c>
      <c r="E1024" s="85">
        <v>40806.34847222222</v>
      </c>
      <c r="F1024" s="85"/>
      <c r="G1024" s="64" t="str">
        <f>IF(stdProdLT(Main[[#This Row],[Comments]])=0.1,"N/A",IF(stdProdLT(Main[[#This Row],[Comments]])=0,"",TRIM(stdProdLT(Main[[#This Row],[Comments]]))))</f>
        <v/>
      </c>
      <c r="H1024" s="94" t="str">
        <f>IF(OR(Main[[#This Row],[Std. Prod. Lead Time]]="N/A",Main[[#This Row],[Std. Prod. Lead Time]]=""), "",IF(AND(Main[[#This Row],[In Stock Date]]&lt;&gt;"",Main[[#This Row],[Revised Due Date]]&lt;&gt;"",Main[[#This Row],[In Stock Date]]&lt;&gt;""),Main[[#This Row],[In Stock Date]]-Main[[#This Row],[Revised Due Date]],""))</f>
        <v/>
      </c>
      <c r="I1024" s="101" t="s">
        <v>4</v>
      </c>
      <c r="J1024" s="95" t="s">
        <v>4</v>
      </c>
      <c r="K1024" s="95" t="s">
        <v>4</v>
      </c>
      <c r="L1024" s="85"/>
      <c r="M1024" s="73" t="str">
        <f>IF(Main[[#This Row],[Tech Start Date]]&lt;1/1/1990,"",IF(Main[[#This Row],[Class]]="C",WORKDAY(Main[[#This Row],[Tech Start Date]],9),IF(Main[[#This Row],[Class]]="B", WORKDAY(Main[[#This Row],[Tech Start Date]],6),IF(Main[[#This Row],[Class]]="A",WORKDAY(Main[[#This Row],[Tech Start Date]],2),""))))</f>
        <v/>
      </c>
      <c r="N1024" s="73" t="str">
        <f>IF(Main[[#This Row],[Tech Start Date]]&lt;1/1/1990,"",IF(Main[[#This Row],[Class]]="C",WORKDAY(Main[[#This Row],[Tech Start Date]],19),IF(Main[[#This Row],[Class]]="B", WORKDAY(Main[[#This Row],[Tech Start Date]],12),IF(Main[[#This Row],[Class]]="A",WORKDAY(Main[[#This Row],[Tech Start Date]],4),""))))</f>
        <v/>
      </c>
      <c r="O1024" s="73" t="str">
        <f>IF(Main[[#This Row],[Tech Start Date]]&lt;1/1/1990,"",IF(Main[[#This Row],[Class]]="C",WORKDAY(Main[[#This Row],[Tech Start Date]],23),IF(Main[[#This Row],[Class]]="B", WORKDAY(Main[[#This Row],[Tech Start Date]],15),IF(Main[[#This Row],[Class]]="A",WORKDAY(Main[[#This Row],[Tech Start Date]],5),""))))</f>
        <v/>
      </c>
      <c r="P1024" s="73" t="str">
        <f>IF(Main[[#This Row],[Tech Start Date]]&lt;1/1/1990,"",IF(Main[[#This Row],[Class]]="C",WORKDAY(Main[[#This Row],[Tech Start Date]],28),IF(Main[[#This Row],[Class]]="B", WORKDAY(Main[[#This Row],[Tech Start Date]],19),IF(Main[[#This Row],[Class]]="A",WORKDAY(Main[[#This Row],[Tech Start Date]],9),""))))</f>
        <v/>
      </c>
      <c r="Q1024" s="85">
        <v>40820</v>
      </c>
      <c r="R1024" s="112"/>
      <c r="S1024" s="95" t="s">
        <v>6</v>
      </c>
      <c r="T1024" s="74" t="s">
        <v>4</v>
      </c>
      <c r="U1024" s="95" t="s">
        <v>7</v>
      </c>
      <c r="V1024" s="95" t="s">
        <v>1911</v>
      </c>
      <c r="W1024" s="95" t="s">
        <v>4</v>
      </c>
      <c r="X1024" s="95" t="s">
        <v>2831</v>
      </c>
      <c r="Y1024" s="72" t="s">
        <v>2964</v>
      </c>
      <c r="Z1024" s="72" t="s">
        <v>4</v>
      </c>
      <c r="AA1024" s="95" t="s">
        <v>2831</v>
      </c>
      <c r="AB1024" s="132"/>
      <c r="AC1024" s="132"/>
      <c r="AD1024" s="132"/>
      <c r="AE1024" s="63"/>
      <c r="AF1024" s="63"/>
      <c r="AG1024" s="63"/>
    </row>
    <row r="1025" spans="1:33" ht="17.2" customHeight="1">
      <c r="A1025" s="64" t="str">
        <f>IF(priority(Main[[#This Row],[Comments]])&lt;&gt;0, priority(Main[[#This Row],[Comments]]),"")</f>
        <v/>
      </c>
      <c r="B1025" s="60" t="s">
        <v>2115</v>
      </c>
      <c r="C1025" s="72" t="s">
        <v>4</v>
      </c>
      <c r="D1025" s="59" t="s">
        <v>2116</v>
      </c>
      <c r="E1025" s="85">
        <v>40764.689583333333</v>
      </c>
      <c r="F1025" s="85"/>
      <c r="G1025" s="64" t="str">
        <f>IF(stdProdLT(Main[[#This Row],[Comments]])=0.1,"N/A",IF(stdProdLT(Main[[#This Row],[Comments]])=0,"",TRIM(stdProdLT(Main[[#This Row],[Comments]]))))</f>
        <v/>
      </c>
      <c r="H1025" s="94" t="str">
        <f>IF(OR(Main[[#This Row],[Std. Prod. Lead Time]]="N/A",Main[[#This Row],[Std. Prod. Lead Time]]=""), "",IF(AND(Main[[#This Row],[In Stock Date]]&lt;&gt;"",Main[[#This Row],[Revised Due Date]]&lt;&gt;"",Main[[#This Row],[In Stock Date]]&lt;&gt;""),Main[[#This Row],[In Stock Date]]-Main[[#This Row],[Revised Due Date]],""))</f>
        <v/>
      </c>
      <c r="I1025" s="101" t="s">
        <v>877</v>
      </c>
      <c r="J1025" s="95" t="s">
        <v>4</v>
      </c>
      <c r="K1025" s="95" t="s">
        <v>4</v>
      </c>
      <c r="L1025" s="85"/>
      <c r="M1025" s="73" t="str">
        <f>IF(Main[[#This Row],[Tech Start Date]]&lt;1/1/1990,"",IF(Main[[#This Row],[Class]]="C",WORKDAY(Main[[#This Row],[Tech Start Date]],9),IF(Main[[#This Row],[Class]]="B", WORKDAY(Main[[#This Row],[Tech Start Date]],6),IF(Main[[#This Row],[Class]]="A",WORKDAY(Main[[#This Row],[Tech Start Date]],2),""))))</f>
        <v/>
      </c>
      <c r="N1025" s="73" t="str">
        <f>IF(Main[[#This Row],[Tech Start Date]]&lt;1/1/1990,"",IF(Main[[#This Row],[Class]]="C",WORKDAY(Main[[#This Row],[Tech Start Date]],19),IF(Main[[#This Row],[Class]]="B", WORKDAY(Main[[#This Row],[Tech Start Date]],12),IF(Main[[#This Row],[Class]]="A",WORKDAY(Main[[#This Row],[Tech Start Date]],4),""))))</f>
        <v/>
      </c>
      <c r="O1025" s="73" t="str">
        <f>IF(Main[[#This Row],[Tech Start Date]]&lt;1/1/1990,"",IF(Main[[#This Row],[Class]]="C",WORKDAY(Main[[#This Row],[Tech Start Date]],23),IF(Main[[#This Row],[Class]]="B", WORKDAY(Main[[#This Row],[Tech Start Date]],15),IF(Main[[#This Row],[Class]]="A",WORKDAY(Main[[#This Row],[Tech Start Date]],5),""))))</f>
        <v/>
      </c>
      <c r="P1025" s="73" t="str">
        <f>IF(Main[[#This Row],[Tech Start Date]]&lt;1/1/1990,"",IF(Main[[#This Row],[Class]]="C",WORKDAY(Main[[#This Row],[Tech Start Date]],28),IF(Main[[#This Row],[Class]]="B", WORKDAY(Main[[#This Row],[Tech Start Date]],19),IF(Main[[#This Row],[Class]]="A",WORKDAY(Main[[#This Row],[Tech Start Date]],9),""))))</f>
        <v/>
      </c>
      <c r="Q1025" s="85"/>
      <c r="R1025" s="112"/>
      <c r="S1025" s="95" t="s">
        <v>6</v>
      </c>
      <c r="T1025" s="74" t="s">
        <v>4</v>
      </c>
      <c r="U1025" s="95" t="s">
        <v>7</v>
      </c>
      <c r="V1025" s="95" t="s">
        <v>1911</v>
      </c>
      <c r="W1025" s="95" t="s">
        <v>1913</v>
      </c>
      <c r="X1025" s="95" t="s">
        <v>306</v>
      </c>
      <c r="Y1025" s="72" t="s">
        <v>4</v>
      </c>
      <c r="Z1025" s="72" t="s">
        <v>877</v>
      </c>
      <c r="AA1025" s="95" t="s">
        <v>4</v>
      </c>
      <c r="AB1025" s="132"/>
      <c r="AC1025" s="132"/>
      <c r="AD1025" s="132"/>
      <c r="AE1025" s="63"/>
      <c r="AF1025" s="63"/>
      <c r="AG1025" s="63"/>
    </row>
    <row r="1026" spans="1:33" ht="17.2" customHeight="1">
      <c r="A1026" s="64" t="str">
        <f>IF(priority(Main[[#This Row],[Comments]])&lt;&gt;0, priority(Main[[#This Row],[Comments]]),"")</f>
        <v/>
      </c>
      <c r="B1026" s="60" t="s">
        <v>1076</v>
      </c>
      <c r="C1026" s="72" t="s">
        <v>4</v>
      </c>
      <c r="D1026" s="59" t="s">
        <v>2227</v>
      </c>
      <c r="E1026" s="85">
        <v>40659.528229166666</v>
      </c>
      <c r="F1026" s="85"/>
      <c r="G1026" s="64" t="str">
        <f>IF(stdProdLT(Main[[#This Row],[Comments]])=0.1,"N/A",IF(stdProdLT(Main[[#This Row],[Comments]])=0,"",TRIM(stdProdLT(Main[[#This Row],[Comments]]))))</f>
        <v/>
      </c>
      <c r="H1026" s="94" t="str">
        <f>IF(OR(Main[[#This Row],[Std. Prod. Lead Time]]="N/A",Main[[#This Row],[Std. Prod. Lead Time]]=""), "",IF(AND(Main[[#This Row],[In Stock Date]]&lt;&gt;"",Main[[#This Row],[Revised Due Date]]&lt;&gt;"",Main[[#This Row],[In Stock Date]]&lt;&gt;""),Main[[#This Row],[In Stock Date]]-Main[[#This Row],[Revised Due Date]],""))</f>
        <v/>
      </c>
      <c r="I1026" s="101" t="s">
        <v>102</v>
      </c>
      <c r="J1026" s="95" t="s">
        <v>51</v>
      </c>
      <c r="K1026" s="95" t="s">
        <v>1920</v>
      </c>
      <c r="L1026" s="85"/>
      <c r="M1026" s="73" t="str">
        <f>IF(Main[[#This Row],[Tech Start Date]]&lt;1/1/1990,"",IF(Main[[#This Row],[Class]]="C",WORKDAY(Main[[#This Row],[Tech Start Date]],9),IF(Main[[#This Row],[Class]]="B", WORKDAY(Main[[#This Row],[Tech Start Date]],6),IF(Main[[#This Row],[Class]]="A",WORKDAY(Main[[#This Row],[Tech Start Date]],2),""))))</f>
        <v/>
      </c>
      <c r="N1026" s="73" t="str">
        <f>IF(Main[[#This Row],[Tech Start Date]]&lt;1/1/1990,"",IF(Main[[#This Row],[Class]]="C",WORKDAY(Main[[#This Row],[Tech Start Date]],19),IF(Main[[#This Row],[Class]]="B", WORKDAY(Main[[#This Row],[Tech Start Date]],12),IF(Main[[#This Row],[Class]]="A",WORKDAY(Main[[#This Row],[Tech Start Date]],4),""))))</f>
        <v/>
      </c>
      <c r="O1026" s="73" t="str">
        <f>IF(Main[[#This Row],[Tech Start Date]]&lt;1/1/1990,"",IF(Main[[#This Row],[Class]]="C",WORKDAY(Main[[#This Row],[Tech Start Date]],23),IF(Main[[#This Row],[Class]]="B", WORKDAY(Main[[#This Row],[Tech Start Date]],15),IF(Main[[#This Row],[Class]]="A",WORKDAY(Main[[#This Row],[Tech Start Date]],5),""))))</f>
        <v/>
      </c>
      <c r="P1026" s="73" t="str">
        <f>IF(Main[[#This Row],[Tech Start Date]]&lt;1/1/1990,"",IF(Main[[#This Row],[Class]]="C",WORKDAY(Main[[#This Row],[Tech Start Date]],28),IF(Main[[#This Row],[Class]]="B", WORKDAY(Main[[#This Row],[Tech Start Date]],19),IF(Main[[#This Row],[Class]]="A",WORKDAY(Main[[#This Row],[Tech Start Date]],9),""))))</f>
        <v/>
      </c>
      <c r="Q1026" s="85"/>
      <c r="R1026" s="112"/>
      <c r="S1026" s="95" t="s">
        <v>6</v>
      </c>
      <c r="T1026" s="74" t="s">
        <v>4</v>
      </c>
      <c r="U1026" s="95" t="s">
        <v>29</v>
      </c>
      <c r="V1026" s="95" t="s">
        <v>1914</v>
      </c>
      <c r="W1026" s="95" t="s">
        <v>1915</v>
      </c>
      <c r="X1026" s="95" t="s">
        <v>102</v>
      </c>
      <c r="Y1026" s="72" t="s">
        <v>3092</v>
      </c>
      <c r="Z1026" s="72" t="s">
        <v>306</v>
      </c>
      <c r="AA1026" s="95" t="s">
        <v>3406</v>
      </c>
      <c r="AB1026" s="132"/>
      <c r="AC1026" s="132"/>
      <c r="AD1026" s="132"/>
      <c r="AE1026" s="63"/>
      <c r="AF1026" s="63"/>
      <c r="AG1026" s="63"/>
    </row>
    <row r="1027" spans="1:33" ht="17.2" customHeight="1">
      <c r="A1027" s="64" t="str">
        <f>IF(priority(Main[[#This Row],[Comments]])&lt;&gt;0, priority(Main[[#This Row],[Comments]]),"")</f>
        <v/>
      </c>
      <c r="B1027" s="60" t="s">
        <v>3216</v>
      </c>
      <c r="C1027" s="72" t="s">
        <v>4</v>
      </c>
      <c r="D1027" s="59" t="s">
        <v>3564</v>
      </c>
      <c r="E1027" s="85">
        <v>40935.463946759257</v>
      </c>
      <c r="F1027" s="85"/>
      <c r="G1027" s="64" t="str">
        <f>IF(stdProdLT(Main[[#This Row],[Comments]])=0.1,"N/A",IF(stdProdLT(Main[[#This Row],[Comments]])=0,"",TRIM(stdProdLT(Main[[#This Row],[Comments]]))))</f>
        <v/>
      </c>
      <c r="H1027" s="94" t="str">
        <f>IF(OR(Main[[#This Row],[Std. Prod. Lead Time]]="N/A",Main[[#This Row],[Std. Prod. Lead Time]]=""), "",IF(AND(Main[[#This Row],[In Stock Date]]&lt;&gt;"",Main[[#This Row],[Revised Due Date]]&lt;&gt;"",Main[[#This Row],[In Stock Date]]&lt;&gt;""),Main[[#This Row],[In Stock Date]]-Main[[#This Row],[Revised Due Date]],""))</f>
        <v/>
      </c>
      <c r="I1027" s="101" t="s">
        <v>69</v>
      </c>
      <c r="J1027" s="95" t="s">
        <v>70</v>
      </c>
      <c r="K1027" s="95" t="s">
        <v>1920</v>
      </c>
      <c r="L1027" s="85"/>
      <c r="M1027" s="73" t="str">
        <f>IF(Main[[#This Row],[Tech Start Date]]&lt;1/1/1990,"",IF(Main[[#This Row],[Class]]="C",WORKDAY(Main[[#This Row],[Tech Start Date]],9),IF(Main[[#This Row],[Class]]="B", WORKDAY(Main[[#This Row],[Tech Start Date]],6),IF(Main[[#This Row],[Class]]="A",WORKDAY(Main[[#This Row],[Tech Start Date]],2),""))))</f>
        <v/>
      </c>
      <c r="N1027" s="73" t="str">
        <f>IF(Main[[#This Row],[Tech Start Date]]&lt;1/1/1990,"",IF(Main[[#This Row],[Class]]="C",WORKDAY(Main[[#This Row],[Tech Start Date]],19),IF(Main[[#This Row],[Class]]="B", WORKDAY(Main[[#This Row],[Tech Start Date]],12),IF(Main[[#This Row],[Class]]="A",WORKDAY(Main[[#This Row],[Tech Start Date]],4),""))))</f>
        <v/>
      </c>
      <c r="O1027" s="73" t="str">
        <f>IF(Main[[#This Row],[Tech Start Date]]&lt;1/1/1990,"",IF(Main[[#This Row],[Class]]="C",WORKDAY(Main[[#This Row],[Tech Start Date]],23),IF(Main[[#This Row],[Class]]="B", WORKDAY(Main[[#This Row],[Tech Start Date]],15),IF(Main[[#This Row],[Class]]="A",WORKDAY(Main[[#This Row],[Tech Start Date]],5),""))))</f>
        <v/>
      </c>
      <c r="P1027" s="73" t="str">
        <f>IF(Main[[#This Row],[Tech Start Date]]&lt;1/1/1990,"",IF(Main[[#This Row],[Class]]="C",WORKDAY(Main[[#This Row],[Tech Start Date]],28),IF(Main[[#This Row],[Class]]="B", WORKDAY(Main[[#This Row],[Tech Start Date]],19),IF(Main[[#This Row],[Class]]="A",WORKDAY(Main[[#This Row],[Tech Start Date]],9),""))))</f>
        <v/>
      </c>
      <c r="Q1027" s="85">
        <v>40999</v>
      </c>
      <c r="R1027" s="112"/>
      <c r="S1027" s="95" t="s">
        <v>6</v>
      </c>
      <c r="T1027" s="74" t="s">
        <v>4</v>
      </c>
      <c r="U1027" s="95" t="s">
        <v>29</v>
      </c>
      <c r="V1027" s="95" t="s">
        <v>1921</v>
      </c>
      <c r="W1027" s="95" t="s">
        <v>1915</v>
      </c>
      <c r="X1027" s="95" t="s">
        <v>2821</v>
      </c>
      <c r="Y1027" s="72" t="s">
        <v>2949</v>
      </c>
      <c r="Z1027" s="72" t="s">
        <v>30</v>
      </c>
      <c r="AA1027" s="95" t="s">
        <v>2821</v>
      </c>
      <c r="AB1027" s="132"/>
      <c r="AC1027" s="132"/>
      <c r="AD1027" s="132"/>
      <c r="AE1027" s="63"/>
      <c r="AF1027" s="63"/>
      <c r="AG1027" s="63"/>
    </row>
    <row r="1028" spans="1:33" ht="17.2" customHeight="1">
      <c r="A1028" s="64" t="str">
        <f>IF(priority(Main[[#This Row],[Comments]])&lt;&gt;0, priority(Main[[#This Row],[Comments]]),"")</f>
        <v/>
      </c>
      <c r="B1028" s="60" t="s">
        <v>2484</v>
      </c>
      <c r="C1028" s="72" t="s">
        <v>47</v>
      </c>
      <c r="D1028" s="59" t="s">
        <v>3295</v>
      </c>
      <c r="E1028" s="85">
        <v>40865.812858796293</v>
      </c>
      <c r="F1028" s="85"/>
      <c r="G1028" s="64" t="str">
        <f>IF(stdProdLT(Main[[#This Row],[Comments]])=0.1,"N/A",IF(stdProdLT(Main[[#This Row],[Comments]])=0,"",TRIM(stdProdLT(Main[[#This Row],[Comments]]))))</f>
        <v/>
      </c>
      <c r="H1028" s="94" t="str">
        <f>IF(OR(Main[[#This Row],[Std. Prod. Lead Time]]="N/A",Main[[#This Row],[Std. Prod. Lead Time]]=""), "",IF(AND(Main[[#This Row],[In Stock Date]]&lt;&gt;"",Main[[#This Row],[Revised Due Date]]&lt;&gt;"",Main[[#This Row],[In Stock Date]]&lt;&gt;""),Main[[#This Row],[In Stock Date]]-Main[[#This Row],[Revised Due Date]],""))</f>
        <v/>
      </c>
      <c r="I1028" s="101" t="s">
        <v>4</v>
      </c>
      <c r="J1028" s="95" t="s">
        <v>4</v>
      </c>
      <c r="K1028" s="96" t="s">
        <v>4</v>
      </c>
      <c r="L1028" s="85"/>
      <c r="M1028" s="73" t="str">
        <f>IF(Main[[#This Row],[Tech Start Date]]&lt;1/1/1990,"",IF(Main[[#This Row],[Class]]="C",WORKDAY(Main[[#This Row],[Tech Start Date]],9),IF(Main[[#This Row],[Class]]="B", WORKDAY(Main[[#This Row],[Tech Start Date]],6),IF(Main[[#This Row],[Class]]="A",WORKDAY(Main[[#This Row],[Tech Start Date]],2),""))))</f>
        <v/>
      </c>
      <c r="N1028" s="73" t="str">
        <f>IF(Main[[#This Row],[Tech Start Date]]&lt;1/1/1990,"",IF(Main[[#This Row],[Class]]="C",WORKDAY(Main[[#This Row],[Tech Start Date]],19),IF(Main[[#This Row],[Class]]="B", WORKDAY(Main[[#This Row],[Tech Start Date]],12),IF(Main[[#This Row],[Class]]="A",WORKDAY(Main[[#This Row],[Tech Start Date]],4),""))))</f>
        <v/>
      </c>
      <c r="O1028" s="73" t="str">
        <f>IF(Main[[#This Row],[Tech Start Date]]&lt;1/1/1990,"",IF(Main[[#This Row],[Class]]="C",WORKDAY(Main[[#This Row],[Tech Start Date]],23),IF(Main[[#This Row],[Class]]="B", WORKDAY(Main[[#This Row],[Tech Start Date]],15),IF(Main[[#This Row],[Class]]="A",WORKDAY(Main[[#This Row],[Tech Start Date]],5),""))))</f>
        <v/>
      </c>
      <c r="P1028" s="73" t="str">
        <f>IF(Main[[#This Row],[Tech Start Date]]&lt;1/1/1990,"",IF(Main[[#This Row],[Class]]="C",WORKDAY(Main[[#This Row],[Tech Start Date]],28),IF(Main[[#This Row],[Class]]="B", WORKDAY(Main[[#This Row],[Tech Start Date]],19),IF(Main[[#This Row],[Class]]="A",WORKDAY(Main[[#This Row],[Tech Start Date]],9),""))))</f>
        <v/>
      </c>
      <c r="Q1028" s="85">
        <v>40906</v>
      </c>
      <c r="R1028" s="112"/>
      <c r="S1028" s="95" t="s">
        <v>6</v>
      </c>
      <c r="T1028" s="74" t="s">
        <v>4</v>
      </c>
      <c r="U1028" s="95" t="s">
        <v>29</v>
      </c>
      <c r="V1028" s="95" t="s">
        <v>2277</v>
      </c>
      <c r="W1028" s="95" t="s">
        <v>4</v>
      </c>
      <c r="X1028" s="95" t="s">
        <v>2845</v>
      </c>
      <c r="Y1028" s="72" t="s">
        <v>2988</v>
      </c>
      <c r="Z1028" s="72" t="s">
        <v>4</v>
      </c>
      <c r="AA1028" s="95" t="s">
        <v>2845</v>
      </c>
      <c r="AB1028" s="132"/>
      <c r="AC1028" s="132"/>
      <c r="AD1028" s="132"/>
      <c r="AE1028" s="63"/>
      <c r="AF1028" s="63"/>
      <c r="AG1028" s="63"/>
    </row>
    <row r="1029" spans="1:33" ht="17.2" customHeight="1">
      <c r="A1029" s="64" t="str">
        <f>IF(priority(Main[[#This Row],[Comments]])&lt;&gt;0, priority(Main[[#This Row],[Comments]]),"")</f>
        <v/>
      </c>
      <c r="B1029" s="60" t="s">
        <v>1513</v>
      </c>
      <c r="C1029" s="72" t="s">
        <v>4</v>
      </c>
      <c r="D1029" s="59" t="s">
        <v>589</v>
      </c>
      <c r="E1029" s="85"/>
      <c r="F1029" s="85"/>
      <c r="G1029" s="64" t="str">
        <f>IF(stdProdLT(Main[[#This Row],[Comments]])=0.1,"N/A",IF(stdProdLT(Main[[#This Row],[Comments]])=0,"",TRIM(stdProdLT(Main[[#This Row],[Comments]]))))</f>
        <v/>
      </c>
      <c r="H1029" s="94" t="str">
        <f>IF(OR(Main[[#This Row],[Std. Prod. Lead Time]]="N/A",Main[[#This Row],[Std. Prod. Lead Time]]=""), "",IF(AND(Main[[#This Row],[In Stock Date]]&lt;&gt;"",Main[[#This Row],[Revised Due Date]]&lt;&gt;"",Main[[#This Row],[In Stock Date]]&lt;&gt;""),Main[[#This Row],[In Stock Date]]-Main[[#This Row],[Revised Due Date]],""))</f>
        <v/>
      </c>
      <c r="I1029" s="101" t="s">
        <v>306</v>
      </c>
      <c r="J1029" s="95" t="s">
        <v>28</v>
      </c>
      <c r="K1029" s="96" t="s">
        <v>4</v>
      </c>
      <c r="L1029" s="85"/>
      <c r="M1029" s="73" t="str">
        <f>IF(Main[[#This Row],[Tech Start Date]]&lt;1/1/1990,"",IF(Main[[#This Row],[Class]]="C",WORKDAY(Main[[#This Row],[Tech Start Date]],9),IF(Main[[#This Row],[Class]]="B", WORKDAY(Main[[#This Row],[Tech Start Date]],6),IF(Main[[#This Row],[Class]]="A",WORKDAY(Main[[#This Row],[Tech Start Date]],2),""))))</f>
        <v/>
      </c>
      <c r="N1029" s="73" t="str">
        <f>IF(Main[[#This Row],[Tech Start Date]]&lt;1/1/1990,"",IF(Main[[#This Row],[Class]]="C",WORKDAY(Main[[#This Row],[Tech Start Date]],19),IF(Main[[#This Row],[Class]]="B", WORKDAY(Main[[#This Row],[Tech Start Date]],12),IF(Main[[#This Row],[Class]]="A",WORKDAY(Main[[#This Row],[Tech Start Date]],4),""))))</f>
        <v/>
      </c>
      <c r="O1029" s="73" t="str">
        <f>IF(Main[[#This Row],[Tech Start Date]]&lt;1/1/1990,"",IF(Main[[#This Row],[Class]]="C",WORKDAY(Main[[#This Row],[Tech Start Date]],23),IF(Main[[#This Row],[Class]]="B", WORKDAY(Main[[#This Row],[Tech Start Date]],15),IF(Main[[#This Row],[Class]]="A",WORKDAY(Main[[#This Row],[Tech Start Date]],5),""))))</f>
        <v/>
      </c>
      <c r="P1029" s="73" t="str">
        <f>IF(Main[[#This Row],[Tech Start Date]]&lt;1/1/1990,"",IF(Main[[#This Row],[Class]]="C",WORKDAY(Main[[#This Row],[Tech Start Date]],28),IF(Main[[#This Row],[Class]]="B", WORKDAY(Main[[#This Row],[Tech Start Date]],19),IF(Main[[#This Row],[Class]]="A",WORKDAY(Main[[#This Row],[Tech Start Date]],9),""))))</f>
        <v/>
      </c>
      <c r="Q1029" s="85"/>
      <c r="R1029" s="112"/>
      <c r="S1029" s="95" t="s">
        <v>6</v>
      </c>
      <c r="T1029" s="74" t="s">
        <v>4</v>
      </c>
      <c r="U1029" s="95" t="s">
        <v>14</v>
      </c>
      <c r="V1029" s="95" t="s">
        <v>1914</v>
      </c>
      <c r="W1029" s="95" t="s">
        <v>1913</v>
      </c>
      <c r="X1029" s="95" t="s">
        <v>306</v>
      </c>
      <c r="Y1029" s="72" t="s">
        <v>3082</v>
      </c>
      <c r="Z1029" s="72" t="s">
        <v>306</v>
      </c>
      <c r="AA1029" s="95" t="s">
        <v>306</v>
      </c>
      <c r="AB1029" s="132"/>
      <c r="AC1029" s="132"/>
      <c r="AD1029" s="132"/>
      <c r="AE1029" s="63"/>
      <c r="AF1029" s="63"/>
      <c r="AG1029" s="63"/>
    </row>
    <row r="1030" spans="1:33" ht="17.2" customHeight="1">
      <c r="A1030" s="64" t="str">
        <f>IF(priority(Main[[#This Row],[Comments]])&lt;&gt;0, priority(Main[[#This Row],[Comments]]),"")</f>
        <v/>
      </c>
      <c r="B1030" s="60" t="s">
        <v>1753</v>
      </c>
      <c r="C1030" s="72" t="s">
        <v>4</v>
      </c>
      <c r="D1030" s="59" t="s">
        <v>803</v>
      </c>
      <c r="E1030" s="85">
        <v>40584.403622685182</v>
      </c>
      <c r="F1030" s="85">
        <v>40602</v>
      </c>
      <c r="G1030" s="64" t="str">
        <f>IF(stdProdLT(Main[[#This Row],[Comments]])=0.1,"N/A",IF(stdProdLT(Main[[#This Row],[Comments]])=0,"",TRIM(stdProdLT(Main[[#This Row],[Comments]]))))</f>
        <v/>
      </c>
      <c r="H1030" s="94" t="str">
        <f>IF(OR(Main[[#This Row],[Std. Prod. Lead Time]]="N/A",Main[[#This Row],[Std. Prod. Lead Time]]=""), "",IF(AND(Main[[#This Row],[In Stock Date]]&lt;&gt;"",Main[[#This Row],[Revised Due Date]]&lt;&gt;"",Main[[#This Row],[In Stock Date]]&lt;&gt;""),Main[[#This Row],[In Stock Date]]-Main[[#This Row],[Revised Due Date]],""))</f>
        <v/>
      </c>
      <c r="I1030" s="101" t="s">
        <v>4</v>
      </c>
      <c r="J1030" s="95" t="s">
        <v>28</v>
      </c>
      <c r="K1030" s="96" t="s">
        <v>1923</v>
      </c>
      <c r="L1030" s="85"/>
      <c r="M1030" s="73" t="str">
        <f>IF(Main[[#This Row],[Tech Start Date]]&lt;1/1/1990,"",IF(Main[[#This Row],[Class]]="C",WORKDAY(Main[[#This Row],[Tech Start Date]],9),IF(Main[[#This Row],[Class]]="B", WORKDAY(Main[[#This Row],[Tech Start Date]],6),IF(Main[[#This Row],[Class]]="A",WORKDAY(Main[[#This Row],[Tech Start Date]],2),""))))</f>
        <v/>
      </c>
      <c r="N1030" s="73" t="str">
        <f>IF(Main[[#This Row],[Tech Start Date]]&lt;1/1/1990,"",IF(Main[[#This Row],[Class]]="C",WORKDAY(Main[[#This Row],[Tech Start Date]],19),IF(Main[[#This Row],[Class]]="B", WORKDAY(Main[[#This Row],[Tech Start Date]],12),IF(Main[[#This Row],[Class]]="A",WORKDAY(Main[[#This Row],[Tech Start Date]],4),""))))</f>
        <v/>
      </c>
      <c r="O1030" s="73" t="str">
        <f>IF(Main[[#This Row],[Tech Start Date]]&lt;1/1/1990,"",IF(Main[[#This Row],[Class]]="C",WORKDAY(Main[[#This Row],[Tech Start Date]],23),IF(Main[[#This Row],[Class]]="B", WORKDAY(Main[[#This Row],[Tech Start Date]],15),IF(Main[[#This Row],[Class]]="A",WORKDAY(Main[[#This Row],[Tech Start Date]],5),""))))</f>
        <v/>
      </c>
      <c r="P1030" s="73" t="str">
        <f>IF(Main[[#This Row],[Tech Start Date]]&lt;1/1/1990,"",IF(Main[[#This Row],[Class]]="C",WORKDAY(Main[[#This Row],[Tech Start Date]],28),IF(Main[[#This Row],[Class]]="B", WORKDAY(Main[[#This Row],[Tech Start Date]],19),IF(Main[[#This Row],[Class]]="A",WORKDAY(Main[[#This Row],[Tech Start Date]],9),""))))</f>
        <v/>
      </c>
      <c r="Q1030" s="85">
        <v>40602</v>
      </c>
      <c r="R1030" s="112"/>
      <c r="S1030" s="95" t="s">
        <v>17</v>
      </c>
      <c r="T1030" s="74" t="s">
        <v>4</v>
      </c>
      <c r="U1030" s="95" t="s">
        <v>7</v>
      </c>
      <c r="V1030" s="95" t="s">
        <v>1911</v>
      </c>
      <c r="W1030" s="95" t="s">
        <v>1919</v>
      </c>
      <c r="X1030" s="95" t="s">
        <v>2808</v>
      </c>
      <c r="Y1030" s="72" t="s">
        <v>2928</v>
      </c>
      <c r="Z1030" s="72" t="s">
        <v>129</v>
      </c>
      <c r="AA1030" s="95" t="s">
        <v>2808</v>
      </c>
      <c r="AB1030" s="132"/>
      <c r="AC1030" s="132"/>
      <c r="AD1030" s="132"/>
      <c r="AE1030" s="63"/>
      <c r="AF1030" s="63"/>
      <c r="AG1030" s="63"/>
    </row>
    <row r="1031" spans="1:33" ht="17.2" customHeight="1">
      <c r="A1031" s="64" t="str">
        <f>IF(priority(Main[[#This Row],[Comments]])&lt;&gt;0, priority(Main[[#This Row],[Comments]]),"")</f>
        <v/>
      </c>
      <c r="B1031" s="60" t="s">
        <v>1730</v>
      </c>
      <c r="C1031" s="72" t="s">
        <v>4</v>
      </c>
      <c r="D1031" s="59" t="s">
        <v>2222</v>
      </c>
      <c r="E1031" s="85"/>
      <c r="F1031" s="85"/>
      <c r="G1031" s="64" t="str">
        <f>IF(stdProdLT(Main[[#This Row],[Comments]])=0.1,"N/A",IF(stdProdLT(Main[[#This Row],[Comments]])=0,"",TRIM(stdProdLT(Main[[#This Row],[Comments]]))))</f>
        <v/>
      </c>
      <c r="H1031" s="94" t="str">
        <f>IF(OR(Main[[#This Row],[Std. Prod. Lead Time]]="N/A",Main[[#This Row],[Std. Prod. Lead Time]]=""), "",IF(AND(Main[[#This Row],[In Stock Date]]&lt;&gt;"",Main[[#This Row],[Revised Due Date]]&lt;&gt;"",Main[[#This Row],[In Stock Date]]&lt;&gt;""),Main[[#This Row],[In Stock Date]]-Main[[#This Row],[Revised Due Date]],""))</f>
        <v/>
      </c>
      <c r="I1031" s="101" t="s">
        <v>912</v>
      </c>
      <c r="J1031" s="95" t="s">
        <v>21</v>
      </c>
      <c r="K1031" s="96" t="s">
        <v>1920</v>
      </c>
      <c r="L1031" s="85"/>
      <c r="M1031" s="73" t="str">
        <f>IF(Main[[#This Row],[Tech Start Date]]&lt;1/1/1990,"",IF(Main[[#This Row],[Class]]="C",WORKDAY(Main[[#This Row],[Tech Start Date]],9),IF(Main[[#This Row],[Class]]="B", WORKDAY(Main[[#This Row],[Tech Start Date]],6),IF(Main[[#This Row],[Class]]="A",WORKDAY(Main[[#This Row],[Tech Start Date]],2),""))))</f>
        <v/>
      </c>
      <c r="N1031" s="73" t="str">
        <f>IF(Main[[#This Row],[Tech Start Date]]&lt;1/1/1990,"",IF(Main[[#This Row],[Class]]="C",WORKDAY(Main[[#This Row],[Tech Start Date]],19),IF(Main[[#This Row],[Class]]="B", WORKDAY(Main[[#This Row],[Tech Start Date]],12),IF(Main[[#This Row],[Class]]="A",WORKDAY(Main[[#This Row],[Tech Start Date]],4),""))))</f>
        <v/>
      </c>
      <c r="O1031" s="73" t="str">
        <f>IF(Main[[#This Row],[Tech Start Date]]&lt;1/1/1990,"",IF(Main[[#This Row],[Class]]="C",WORKDAY(Main[[#This Row],[Tech Start Date]],23),IF(Main[[#This Row],[Class]]="B", WORKDAY(Main[[#This Row],[Tech Start Date]],15),IF(Main[[#This Row],[Class]]="A",WORKDAY(Main[[#This Row],[Tech Start Date]],5),""))))</f>
        <v/>
      </c>
      <c r="P1031" s="73" t="str">
        <f>IF(Main[[#This Row],[Tech Start Date]]&lt;1/1/1990,"",IF(Main[[#This Row],[Class]]="C",WORKDAY(Main[[#This Row],[Tech Start Date]],28),IF(Main[[#This Row],[Class]]="B", WORKDAY(Main[[#This Row],[Tech Start Date]],19),IF(Main[[#This Row],[Class]]="A",WORKDAY(Main[[#This Row],[Tech Start Date]],9),""))))</f>
        <v/>
      </c>
      <c r="Q1031" s="85"/>
      <c r="R1031" s="112"/>
      <c r="S1031" s="95" t="s">
        <v>23</v>
      </c>
      <c r="T1031" s="74" t="s">
        <v>4</v>
      </c>
      <c r="U1031" s="95" t="s">
        <v>14</v>
      </c>
      <c r="V1031" s="95" t="s">
        <v>1911</v>
      </c>
      <c r="W1031" s="95" t="s">
        <v>1915</v>
      </c>
      <c r="X1031" s="95" t="s">
        <v>399</v>
      </c>
      <c r="Y1031" s="72" t="s">
        <v>4</v>
      </c>
      <c r="Z1031" s="72" t="s">
        <v>912</v>
      </c>
      <c r="AA1031" s="95" t="s">
        <v>3408</v>
      </c>
      <c r="AB1031" s="132"/>
      <c r="AC1031" s="132"/>
      <c r="AD1031" s="132"/>
      <c r="AE1031" s="63"/>
      <c r="AF1031" s="63"/>
      <c r="AG1031" s="63"/>
    </row>
    <row r="1032" spans="1:33" ht="17.2" customHeight="1">
      <c r="A1032" s="64" t="str">
        <f>IF(priority(Main[[#This Row],[Comments]])&lt;&gt;0, priority(Main[[#This Row],[Comments]]),"")</f>
        <v/>
      </c>
      <c r="B1032" s="60" t="s">
        <v>1401</v>
      </c>
      <c r="C1032" s="72" t="s">
        <v>4</v>
      </c>
      <c r="D1032" s="59" t="s">
        <v>2190</v>
      </c>
      <c r="E1032" s="85"/>
      <c r="F1032" s="85"/>
      <c r="G1032" s="64" t="str">
        <f>IF(stdProdLT(Main[[#This Row],[Comments]])=0.1,"N/A",IF(stdProdLT(Main[[#This Row],[Comments]])=0,"",TRIM(stdProdLT(Main[[#This Row],[Comments]]))))</f>
        <v/>
      </c>
      <c r="H1032" s="94" t="str">
        <f>IF(OR(Main[[#This Row],[Std. Prod. Lead Time]]="N/A",Main[[#This Row],[Std. Prod. Lead Time]]=""), "",IF(AND(Main[[#This Row],[In Stock Date]]&lt;&gt;"",Main[[#This Row],[Revised Due Date]]&lt;&gt;"",Main[[#This Row],[In Stock Date]]&lt;&gt;""),Main[[#This Row],[In Stock Date]]-Main[[#This Row],[Revised Due Date]],""))</f>
        <v/>
      </c>
      <c r="I1032" s="101" t="s">
        <v>530</v>
      </c>
      <c r="J1032" s="95" t="s">
        <v>52</v>
      </c>
      <c r="K1032" s="95" t="s">
        <v>1920</v>
      </c>
      <c r="L1032" s="85"/>
      <c r="M1032" s="73" t="str">
        <f>IF(Main[[#This Row],[Tech Start Date]]&lt;1/1/1990,"",IF(Main[[#This Row],[Class]]="C",WORKDAY(Main[[#This Row],[Tech Start Date]],9),IF(Main[[#This Row],[Class]]="B", WORKDAY(Main[[#This Row],[Tech Start Date]],6),IF(Main[[#This Row],[Class]]="A",WORKDAY(Main[[#This Row],[Tech Start Date]],2),""))))</f>
        <v/>
      </c>
      <c r="N1032" s="73" t="str">
        <f>IF(Main[[#This Row],[Tech Start Date]]&lt;1/1/1990,"",IF(Main[[#This Row],[Class]]="C",WORKDAY(Main[[#This Row],[Tech Start Date]],19),IF(Main[[#This Row],[Class]]="B", WORKDAY(Main[[#This Row],[Tech Start Date]],12),IF(Main[[#This Row],[Class]]="A",WORKDAY(Main[[#This Row],[Tech Start Date]],4),""))))</f>
        <v/>
      </c>
      <c r="O1032" s="73" t="str">
        <f>IF(Main[[#This Row],[Tech Start Date]]&lt;1/1/1990,"",IF(Main[[#This Row],[Class]]="C",WORKDAY(Main[[#This Row],[Tech Start Date]],23),IF(Main[[#This Row],[Class]]="B", WORKDAY(Main[[#This Row],[Tech Start Date]],15),IF(Main[[#This Row],[Class]]="A",WORKDAY(Main[[#This Row],[Tech Start Date]],5),""))))</f>
        <v/>
      </c>
      <c r="P1032" s="73" t="str">
        <f>IF(Main[[#This Row],[Tech Start Date]]&lt;1/1/1990,"",IF(Main[[#This Row],[Class]]="C",WORKDAY(Main[[#This Row],[Tech Start Date]],28),IF(Main[[#This Row],[Class]]="B", WORKDAY(Main[[#This Row],[Tech Start Date]],19),IF(Main[[#This Row],[Class]]="A",WORKDAY(Main[[#This Row],[Tech Start Date]],9),""))))</f>
        <v/>
      </c>
      <c r="Q1032" s="85">
        <v>40390</v>
      </c>
      <c r="R1032" s="112"/>
      <c r="S1032" s="95" t="s">
        <v>6</v>
      </c>
      <c r="T1032" s="74" t="s">
        <v>4</v>
      </c>
      <c r="U1032" s="95" t="s">
        <v>14</v>
      </c>
      <c r="V1032" s="95" t="s">
        <v>1914</v>
      </c>
      <c r="W1032" s="95" t="s">
        <v>1915</v>
      </c>
      <c r="X1032" s="95" t="s">
        <v>2799</v>
      </c>
      <c r="Y1032" s="72" t="s">
        <v>2910</v>
      </c>
      <c r="Z1032" s="72" t="s">
        <v>44</v>
      </c>
      <c r="AA1032" s="95" t="s">
        <v>2799</v>
      </c>
      <c r="AB1032" s="132"/>
      <c r="AC1032" s="132"/>
      <c r="AD1032" s="132"/>
      <c r="AE1032" s="63"/>
      <c r="AF1032" s="63"/>
      <c r="AG1032" s="63"/>
    </row>
    <row r="1033" spans="1:33" ht="17.2" customHeight="1">
      <c r="A1033" s="64" t="str">
        <f>IF(priority(Main[[#This Row],[Comments]])&lt;&gt;0, priority(Main[[#This Row],[Comments]]),"")</f>
        <v/>
      </c>
      <c r="B1033" s="60" t="s">
        <v>1645</v>
      </c>
      <c r="C1033" s="72" t="s">
        <v>499</v>
      </c>
      <c r="D1033" s="59" t="s">
        <v>2168</v>
      </c>
      <c r="E1033" s="85">
        <v>40655.401631944442</v>
      </c>
      <c r="F1033" s="85"/>
      <c r="G1033" s="64" t="str">
        <f>IF(stdProdLT(Main[[#This Row],[Comments]])=0.1,"N/A",IF(stdProdLT(Main[[#This Row],[Comments]])=0,"",TRIM(stdProdLT(Main[[#This Row],[Comments]]))))</f>
        <v/>
      </c>
      <c r="H1033" s="94" t="str">
        <f>IF(OR(Main[[#This Row],[Std. Prod. Lead Time]]="N/A",Main[[#This Row],[Std. Prod. Lead Time]]=""), "",IF(AND(Main[[#This Row],[In Stock Date]]&lt;&gt;"",Main[[#This Row],[Revised Due Date]]&lt;&gt;"",Main[[#This Row],[In Stock Date]]&lt;&gt;""),Main[[#This Row],[In Stock Date]]-Main[[#This Row],[Revised Due Date]],""))</f>
        <v/>
      </c>
      <c r="I1033" s="101" t="s">
        <v>50</v>
      </c>
      <c r="J1033" s="95" t="s">
        <v>52</v>
      </c>
      <c r="K1033" s="95" t="s">
        <v>1920</v>
      </c>
      <c r="L1033" s="85"/>
      <c r="M1033" s="73" t="str">
        <f>IF(Main[[#This Row],[Tech Start Date]]&lt;1/1/1990,"",IF(Main[[#This Row],[Class]]="C",WORKDAY(Main[[#This Row],[Tech Start Date]],9),IF(Main[[#This Row],[Class]]="B", WORKDAY(Main[[#This Row],[Tech Start Date]],6),IF(Main[[#This Row],[Class]]="A",WORKDAY(Main[[#This Row],[Tech Start Date]],2),""))))</f>
        <v/>
      </c>
      <c r="N1033" s="73" t="str">
        <f>IF(Main[[#This Row],[Tech Start Date]]&lt;1/1/1990,"",IF(Main[[#This Row],[Class]]="C",WORKDAY(Main[[#This Row],[Tech Start Date]],19),IF(Main[[#This Row],[Class]]="B", WORKDAY(Main[[#This Row],[Tech Start Date]],12),IF(Main[[#This Row],[Class]]="A",WORKDAY(Main[[#This Row],[Tech Start Date]],4),""))))</f>
        <v/>
      </c>
      <c r="O1033" s="73" t="str">
        <f>IF(Main[[#This Row],[Tech Start Date]]&lt;1/1/1990,"",IF(Main[[#This Row],[Class]]="C",WORKDAY(Main[[#This Row],[Tech Start Date]],23),IF(Main[[#This Row],[Class]]="B", WORKDAY(Main[[#This Row],[Tech Start Date]],15),IF(Main[[#This Row],[Class]]="A",WORKDAY(Main[[#This Row],[Tech Start Date]],5),""))))</f>
        <v/>
      </c>
      <c r="P1033" s="73" t="str">
        <f>IF(Main[[#This Row],[Tech Start Date]]&lt;1/1/1990,"",IF(Main[[#This Row],[Class]]="C",WORKDAY(Main[[#This Row],[Tech Start Date]],28),IF(Main[[#This Row],[Class]]="B", WORKDAY(Main[[#This Row],[Tech Start Date]],19),IF(Main[[#This Row],[Class]]="A",WORKDAY(Main[[#This Row],[Tech Start Date]],9),""))))</f>
        <v/>
      </c>
      <c r="Q1033" s="85"/>
      <c r="R1033" s="112"/>
      <c r="S1033" s="95" t="s">
        <v>6</v>
      </c>
      <c r="T1033" s="74" t="s">
        <v>4</v>
      </c>
      <c r="U1033" s="95" t="s">
        <v>534</v>
      </c>
      <c r="V1033" s="95" t="s">
        <v>1911</v>
      </c>
      <c r="W1033" s="95" t="s">
        <v>1917</v>
      </c>
      <c r="X1033" s="95" t="s">
        <v>399</v>
      </c>
      <c r="Y1033" s="72" t="s">
        <v>4</v>
      </c>
      <c r="Z1033" s="72" t="s">
        <v>129</v>
      </c>
      <c r="AA1033" s="95" t="s">
        <v>3409</v>
      </c>
      <c r="AB1033" s="132">
        <v>40773</v>
      </c>
      <c r="AC1033" s="132">
        <v>40792</v>
      </c>
      <c r="AD1033" s="132"/>
      <c r="AE1033" s="63"/>
      <c r="AF1033" s="63"/>
      <c r="AG1033" s="63"/>
    </row>
    <row r="1034" spans="1:33" ht="17.2" customHeight="1">
      <c r="A1034" s="64" t="str">
        <f>IF(priority(Main[[#This Row],[Comments]])&lt;&gt;0, priority(Main[[#This Row],[Comments]]),"")</f>
        <v/>
      </c>
      <c r="B1034" s="60" t="s">
        <v>1861</v>
      </c>
      <c r="C1034" s="72" t="s">
        <v>4</v>
      </c>
      <c r="D1034" s="59" t="s">
        <v>2656</v>
      </c>
      <c r="E1034" s="85">
        <v>40501.677928240744</v>
      </c>
      <c r="F1034" s="85"/>
      <c r="G1034" s="64" t="str">
        <f>IF(stdProdLT(Main[[#This Row],[Comments]])=0.1,"N/A",IF(stdProdLT(Main[[#This Row],[Comments]])=0,"",TRIM(stdProdLT(Main[[#This Row],[Comments]]))))</f>
        <v/>
      </c>
      <c r="H1034" s="94" t="str">
        <f>IF(OR(Main[[#This Row],[Std. Prod. Lead Time]]="N/A",Main[[#This Row],[Std. Prod. Lead Time]]=""), "",IF(AND(Main[[#This Row],[In Stock Date]]&lt;&gt;"",Main[[#This Row],[Revised Due Date]]&lt;&gt;"",Main[[#This Row],[In Stock Date]]&lt;&gt;""),Main[[#This Row],[In Stock Date]]-Main[[#This Row],[Revised Due Date]],""))</f>
        <v/>
      </c>
      <c r="I1034" s="101" t="s">
        <v>907</v>
      </c>
      <c r="J1034" s="95" t="s">
        <v>28</v>
      </c>
      <c r="K1034" s="96" t="s">
        <v>1923</v>
      </c>
      <c r="L1034" s="85"/>
      <c r="M1034" s="73" t="str">
        <f>IF(Main[[#This Row],[Tech Start Date]]&lt;1/1/1990,"",IF(Main[[#This Row],[Class]]="C",WORKDAY(Main[[#This Row],[Tech Start Date]],9),IF(Main[[#This Row],[Class]]="B", WORKDAY(Main[[#This Row],[Tech Start Date]],6),IF(Main[[#This Row],[Class]]="A",WORKDAY(Main[[#This Row],[Tech Start Date]],2),""))))</f>
        <v/>
      </c>
      <c r="N1034" s="73" t="str">
        <f>IF(Main[[#This Row],[Tech Start Date]]&lt;1/1/1990,"",IF(Main[[#This Row],[Class]]="C",WORKDAY(Main[[#This Row],[Tech Start Date]],19),IF(Main[[#This Row],[Class]]="B", WORKDAY(Main[[#This Row],[Tech Start Date]],12),IF(Main[[#This Row],[Class]]="A",WORKDAY(Main[[#This Row],[Tech Start Date]],4),""))))</f>
        <v/>
      </c>
      <c r="O1034" s="73" t="str">
        <f>IF(Main[[#This Row],[Tech Start Date]]&lt;1/1/1990,"",IF(Main[[#This Row],[Class]]="C",WORKDAY(Main[[#This Row],[Tech Start Date]],23),IF(Main[[#This Row],[Class]]="B", WORKDAY(Main[[#This Row],[Tech Start Date]],15),IF(Main[[#This Row],[Class]]="A",WORKDAY(Main[[#This Row],[Tech Start Date]],5),""))))</f>
        <v/>
      </c>
      <c r="P1034" s="73" t="str">
        <f>IF(Main[[#This Row],[Tech Start Date]]&lt;1/1/1990,"",IF(Main[[#This Row],[Class]]="C",WORKDAY(Main[[#This Row],[Tech Start Date]],28),IF(Main[[#This Row],[Class]]="B", WORKDAY(Main[[#This Row],[Tech Start Date]],19),IF(Main[[#This Row],[Class]]="A",WORKDAY(Main[[#This Row],[Tech Start Date]],9),""))))</f>
        <v/>
      </c>
      <c r="Q1034" s="85">
        <v>41274</v>
      </c>
      <c r="R1034" s="112">
        <v>41274</v>
      </c>
      <c r="S1034" s="95" t="s">
        <v>17</v>
      </c>
      <c r="T1034" s="74" t="s">
        <v>4</v>
      </c>
      <c r="U1034" s="95" t="s">
        <v>29</v>
      </c>
      <c r="V1034" s="95" t="s">
        <v>1911</v>
      </c>
      <c r="W1034" s="95" t="s">
        <v>1916</v>
      </c>
      <c r="X1034" s="95" t="s">
        <v>907</v>
      </c>
      <c r="Y1034" s="72" t="s">
        <v>4</v>
      </c>
      <c r="Z1034" s="72" t="s">
        <v>129</v>
      </c>
      <c r="AA1034" s="95" t="s">
        <v>2808</v>
      </c>
      <c r="AB1034" s="132"/>
      <c r="AC1034" s="132"/>
      <c r="AD1034" s="132"/>
      <c r="AE1034" s="63"/>
      <c r="AF1034" s="63"/>
      <c r="AG1034" s="63"/>
    </row>
    <row r="1035" spans="1:33" ht="17.2" customHeight="1">
      <c r="A1035" s="64" t="str">
        <f>IF(priority(Main[[#This Row],[Comments]])&lt;&gt;0, priority(Main[[#This Row],[Comments]]),"")</f>
        <v/>
      </c>
      <c r="B1035" s="60" t="s">
        <v>2228</v>
      </c>
      <c r="C1035" s="72" t="s">
        <v>4</v>
      </c>
      <c r="D1035" s="59" t="s">
        <v>2229</v>
      </c>
      <c r="E1035" s="85"/>
      <c r="F1035" s="85"/>
      <c r="G1035" s="64" t="str">
        <f>IF(stdProdLT(Main[[#This Row],[Comments]])=0.1,"N/A",IF(stdProdLT(Main[[#This Row],[Comments]])=0,"",TRIM(stdProdLT(Main[[#This Row],[Comments]]))))</f>
        <v/>
      </c>
      <c r="H1035" s="94" t="str">
        <f>IF(OR(Main[[#This Row],[Std. Prod. Lead Time]]="N/A",Main[[#This Row],[Std. Prod. Lead Time]]=""), "",IF(AND(Main[[#This Row],[In Stock Date]]&lt;&gt;"",Main[[#This Row],[Revised Due Date]]&lt;&gt;"",Main[[#This Row],[In Stock Date]]&lt;&gt;""),Main[[#This Row],[In Stock Date]]-Main[[#This Row],[Revised Due Date]],""))</f>
        <v/>
      </c>
      <c r="I1035" s="101" t="s">
        <v>4</v>
      </c>
      <c r="J1035" s="95" t="s">
        <v>4</v>
      </c>
      <c r="K1035" s="95" t="s">
        <v>4</v>
      </c>
      <c r="L1035" s="85"/>
      <c r="M1035" s="73" t="str">
        <f>IF(Main[[#This Row],[Tech Start Date]]&lt;1/1/1990,"",IF(Main[[#This Row],[Class]]="C",WORKDAY(Main[[#This Row],[Tech Start Date]],9),IF(Main[[#This Row],[Class]]="B", WORKDAY(Main[[#This Row],[Tech Start Date]],6),IF(Main[[#This Row],[Class]]="A",WORKDAY(Main[[#This Row],[Tech Start Date]],2),""))))</f>
        <v/>
      </c>
      <c r="N1035" s="73" t="str">
        <f>IF(Main[[#This Row],[Tech Start Date]]&lt;1/1/1990,"",IF(Main[[#This Row],[Class]]="C",WORKDAY(Main[[#This Row],[Tech Start Date]],19),IF(Main[[#This Row],[Class]]="B", WORKDAY(Main[[#This Row],[Tech Start Date]],12),IF(Main[[#This Row],[Class]]="A",WORKDAY(Main[[#This Row],[Tech Start Date]],4),""))))</f>
        <v/>
      </c>
      <c r="O1035" s="73" t="str">
        <f>IF(Main[[#This Row],[Tech Start Date]]&lt;1/1/1990,"",IF(Main[[#This Row],[Class]]="C",WORKDAY(Main[[#This Row],[Tech Start Date]],23),IF(Main[[#This Row],[Class]]="B", WORKDAY(Main[[#This Row],[Tech Start Date]],15),IF(Main[[#This Row],[Class]]="A",WORKDAY(Main[[#This Row],[Tech Start Date]],5),""))))</f>
        <v/>
      </c>
      <c r="P1035" s="73" t="str">
        <f>IF(Main[[#This Row],[Tech Start Date]]&lt;1/1/1990,"",IF(Main[[#This Row],[Class]]="C",WORKDAY(Main[[#This Row],[Tech Start Date]],28),IF(Main[[#This Row],[Class]]="B", WORKDAY(Main[[#This Row],[Tech Start Date]],19),IF(Main[[#This Row],[Class]]="A",WORKDAY(Main[[#This Row],[Tech Start Date]],9),""))))</f>
        <v/>
      </c>
      <c r="Q1035" s="85"/>
      <c r="R1035" s="112"/>
      <c r="S1035" s="95" t="s">
        <v>49</v>
      </c>
      <c r="T1035" s="74" t="s">
        <v>4</v>
      </c>
      <c r="U1035" s="95" t="s">
        <v>14</v>
      </c>
      <c r="V1035" s="95" t="s">
        <v>1926</v>
      </c>
      <c r="W1035" s="95" t="s">
        <v>1915</v>
      </c>
      <c r="X1035" s="95" t="s">
        <v>306</v>
      </c>
      <c r="Y1035" s="72" t="s">
        <v>4</v>
      </c>
      <c r="Z1035" s="72" t="s">
        <v>4</v>
      </c>
      <c r="AA1035" s="95" t="s">
        <v>4</v>
      </c>
      <c r="AB1035" s="132"/>
      <c r="AC1035" s="132"/>
      <c r="AD1035" s="132"/>
      <c r="AE1035" s="63"/>
      <c r="AF1035" s="63"/>
      <c r="AG1035" s="63"/>
    </row>
    <row r="1036" spans="1:33" ht="17.2" customHeight="1">
      <c r="A1036" s="64" t="str">
        <f>IF(priority(Main[[#This Row],[Comments]])&lt;&gt;0, priority(Main[[#This Row],[Comments]]),"")</f>
        <v/>
      </c>
      <c r="B1036" s="60" t="s">
        <v>2398</v>
      </c>
      <c r="C1036" s="72" t="s">
        <v>2002</v>
      </c>
      <c r="D1036" s="59" t="s">
        <v>2371</v>
      </c>
      <c r="E1036" s="85"/>
      <c r="F1036" s="85"/>
      <c r="G1036" s="64" t="str">
        <f>IF(stdProdLT(Main[[#This Row],[Comments]])=0.1,"N/A",IF(stdProdLT(Main[[#This Row],[Comments]])=0,"",TRIM(stdProdLT(Main[[#This Row],[Comments]]))))</f>
        <v/>
      </c>
      <c r="H1036" s="94" t="str">
        <f>IF(OR(Main[[#This Row],[Std. Prod. Lead Time]]="N/A",Main[[#This Row],[Std. Prod. Lead Time]]=""), "",IF(AND(Main[[#This Row],[In Stock Date]]&lt;&gt;"",Main[[#This Row],[Revised Due Date]]&lt;&gt;"",Main[[#This Row],[In Stock Date]]&lt;&gt;""),Main[[#This Row],[In Stock Date]]-Main[[#This Row],[Revised Due Date]],""))</f>
        <v/>
      </c>
      <c r="I1036" s="101" t="s">
        <v>4</v>
      </c>
      <c r="J1036" s="95" t="s">
        <v>4</v>
      </c>
      <c r="K1036" s="95" t="s">
        <v>4</v>
      </c>
      <c r="L1036" s="85"/>
      <c r="M1036" s="73" t="str">
        <f>IF(Main[[#This Row],[Tech Start Date]]&lt;1/1/1990,"",IF(Main[[#This Row],[Class]]="C",WORKDAY(Main[[#This Row],[Tech Start Date]],9),IF(Main[[#This Row],[Class]]="B", WORKDAY(Main[[#This Row],[Tech Start Date]],6),IF(Main[[#This Row],[Class]]="A",WORKDAY(Main[[#This Row],[Tech Start Date]],2),""))))</f>
        <v/>
      </c>
      <c r="N1036" s="73" t="str">
        <f>IF(Main[[#This Row],[Tech Start Date]]&lt;1/1/1990,"",IF(Main[[#This Row],[Class]]="C",WORKDAY(Main[[#This Row],[Tech Start Date]],19),IF(Main[[#This Row],[Class]]="B", WORKDAY(Main[[#This Row],[Tech Start Date]],12),IF(Main[[#This Row],[Class]]="A",WORKDAY(Main[[#This Row],[Tech Start Date]],4),""))))</f>
        <v/>
      </c>
      <c r="O1036" s="73" t="str">
        <f>IF(Main[[#This Row],[Tech Start Date]]&lt;1/1/1990,"",IF(Main[[#This Row],[Class]]="C",WORKDAY(Main[[#This Row],[Tech Start Date]],23),IF(Main[[#This Row],[Class]]="B", WORKDAY(Main[[#This Row],[Tech Start Date]],15),IF(Main[[#This Row],[Class]]="A",WORKDAY(Main[[#This Row],[Tech Start Date]],5),""))))</f>
        <v/>
      </c>
      <c r="P1036" s="73" t="str">
        <f>IF(Main[[#This Row],[Tech Start Date]]&lt;1/1/1990,"",IF(Main[[#This Row],[Class]]="C",WORKDAY(Main[[#This Row],[Tech Start Date]],28),IF(Main[[#This Row],[Class]]="B", WORKDAY(Main[[#This Row],[Tech Start Date]],19),IF(Main[[#This Row],[Class]]="A",WORKDAY(Main[[#This Row],[Tech Start Date]],9),""))))</f>
        <v/>
      </c>
      <c r="Q1036" s="85">
        <v>40908</v>
      </c>
      <c r="R1036" s="112"/>
      <c r="S1036" s="95" t="s">
        <v>11</v>
      </c>
      <c r="T1036" s="74" t="s">
        <v>4</v>
      </c>
      <c r="U1036" s="95" t="s">
        <v>14</v>
      </c>
      <c r="V1036" s="95" t="s">
        <v>1914</v>
      </c>
      <c r="W1036" s="95" t="s">
        <v>1913</v>
      </c>
      <c r="X1036" s="95" t="s">
        <v>553</v>
      </c>
      <c r="Y1036" s="72" t="s">
        <v>2930</v>
      </c>
      <c r="Z1036" s="72" t="s">
        <v>4</v>
      </c>
      <c r="AA1036" s="95" t="s">
        <v>553</v>
      </c>
      <c r="AB1036" s="132"/>
      <c r="AC1036" s="132"/>
      <c r="AD1036" s="132"/>
      <c r="AE1036" s="63"/>
      <c r="AF1036" s="63"/>
      <c r="AG1036" s="63"/>
    </row>
    <row r="1037" spans="1:33" ht="17.2" customHeight="1">
      <c r="A1037" s="64" t="str">
        <f>IF(priority(Main[[#This Row],[Comments]])&lt;&gt;0, priority(Main[[#This Row],[Comments]]),"")</f>
        <v/>
      </c>
      <c r="B1037" s="60" t="s">
        <v>2274</v>
      </c>
      <c r="C1037" s="72" t="s">
        <v>2272</v>
      </c>
      <c r="D1037" s="59" t="s">
        <v>2275</v>
      </c>
      <c r="E1037" s="85"/>
      <c r="F1037" s="85">
        <v>40907</v>
      </c>
      <c r="G1037" s="64" t="str">
        <f>IF(stdProdLT(Main[[#This Row],[Comments]])=0.1,"N/A",IF(stdProdLT(Main[[#This Row],[Comments]])=0,"",TRIM(stdProdLT(Main[[#This Row],[Comments]]))))</f>
        <v/>
      </c>
      <c r="H1037" s="94" t="str">
        <f>IF(OR(Main[[#This Row],[Std. Prod. Lead Time]]="N/A",Main[[#This Row],[Std. Prod. Lead Time]]=""), "",IF(AND(Main[[#This Row],[In Stock Date]]&lt;&gt;"",Main[[#This Row],[Revised Due Date]]&lt;&gt;"",Main[[#This Row],[In Stock Date]]&lt;&gt;""),Main[[#This Row],[In Stock Date]]-Main[[#This Row],[Revised Due Date]],""))</f>
        <v/>
      </c>
      <c r="I1037" s="101" t="s">
        <v>4</v>
      </c>
      <c r="J1037" s="95" t="s">
        <v>4</v>
      </c>
      <c r="K1037" s="95" t="s">
        <v>4</v>
      </c>
      <c r="L1037" s="85"/>
      <c r="M1037" s="73" t="str">
        <f>IF(Main[[#This Row],[Tech Start Date]]&lt;1/1/1990,"",IF(Main[[#This Row],[Class]]="C",WORKDAY(Main[[#This Row],[Tech Start Date]],9),IF(Main[[#This Row],[Class]]="B", WORKDAY(Main[[#This Row],[Tech Start Date]],6),IF(Main[[#This Row],[Class]]="A",WORKDAY(Main[[#This Row],[Tech Start Date]],2),""))))</f>
        <v/>
      </c>
      <c r="N1037" s="73" t="str">
        <f>IF(Main[[#This Row],[Tech Start Date]]&lt;1/1/1990,"",IF(Main[[#This Row],[Class]]="C",WORKDAY(Main[[#This Row],[Tech Start Date]],19),IF(Main[[#This Row],[Class]]="B", WORKDAY(Main[[#This Row],[Tech Start Date]],12),IF(Main[[#This Row],[Class]]="A",WORKDAY(Main[[#This Row],[Tech Start Date]],4),""))))</f>
        <v/>
      </c>
      <c r="O1037" s="73" t="str">
        <f>IF(Main[[#This Row],[Tech Start Date]]&lt;1/1/1990,"",IF(Main[[#This Row],[Class]]="C",WORKDAY(Main[[#This Row],[Tech Start Date]],23),IF(Main[[#This Row],[Class]]="B", WORKDAY(Main[[#This Row],[Tech Start Date]],15),IF(Main[[#This Row],[Class]]="A",WORKDAY(Main[[#This Row],[Tech Start Date]],5),""))))</f>
        <v/>
      </c>
      <c r="P1037" s="73" t="str">
        <f>IF(Main[[#This Row],[Tech Start Date]]&lt;1/1/1990,"",IF(Main[[#This Row],[Class]]="C",WORKDAY(Main[[#This Row],[Tech Start Date]],28),IF(Main[[#This Row],[Class]]="B", WORKDAY(Main[[#This Row],[Tech Start Date]],19),IF(Main[[#This Row],[Class]]="A",WORKDAY(Main[[#This Row],[Tech Start Date]],9),""))))</f>
        <v/>
      </c>
      <c r="Q1037" s="85">
        <v>40816</v>
      </c>
      <c r="R1037" s="112"/>
      <c r="S1037" s="95" t="s">
        <v>296</v>
      </c>
      <c r="T1037" s="74" t="s">
        <v>4</v>
      </c>
      <c r="U1037" s="95" t="s">
        <v>14</v>
      </c>
      <c r="V1037" s="95" t="s">
        <v>1921</v>
      </c>
      <c r="W1037" s="95" t="s">
        <v>1919</v>
      </c>
      <c r="X1037" s="95" t="s">
        <v>2889</v>
      </c>
      <c r="Y1037" s="72" t="s">
        <v>3095</v>
      </c>
      <c r="Z1037" s="72" t="s">
        <v>4</v>
      </c>
      <c r="AA1037" s="95" t="s">
        <v>3410</v>
      </c>
      <c r="AB1037" s="132"/>
      <c r="AC1037" s="132"/>
      <c r="AD1037" s="132"/>
      <c r="AE1037" s="63"/>
      <c r="AF1037" s="63"/>
      <c r="AG1037" s="63"/>
    </row>
    <row r="1038" spans="1:33" ht="17.2" customHeight="1">
      <c r="A1038" s="64" t="str">
        <f>IF(priority(Main[[#This Row],[Comments]])&lt;&gt;0, priority(Main[[#This Row],[Comments]]),"")</f>
        <v/>
      </c>
      <c r="B1038" s="60" t="s">
        <v>2268</v>
      </c>
      <c r="C1038" s="72" t="s">
        <v>518</v>
      </c>
      <c r="D1038" s="59" t="s">
        <v>2269</v>
      </c>
      <c r="E1038" s="85"/>
      <c r="F1038" s="85">
        <v>40854</v>
      </c>
      <c r="G1038" s="64" t="str">
        <f>IF(stdProdLT(Main[[#This Row],[Comments]])=0.1,"N/A",IF(stdProdLT(Main[[#This Row],[Comments]])=0,"",TRIM(stdProdLT(Main[[#This Row],[Comments]]))))</f>
        <v/>
      </c>
      <c r="H1038" s="94" t="str">
        <f>IF(OR(Main[[#This Row],[Std. Prod. Lead Time]]="N/A",Main[[#This Row],[Std. Prod. Lead Time]]=""), "",IF(AND(Main[[#This Row],[In Stock Date]]&lt;&gt;"",Main[[#This Row],[Revised Due Date]]&lt;&gt;"",Main[[#This Row],[In Stock Date]]&lt;&gt;""),Main[[#This Row],[In Stock Date]]-Main[[#This Row],[Revised Due Date]],""))</f>
        <v/>
      </c>
      <c r="I1038" s="101" t="s">
        <v>4</v>
      </c>
      <c r="J1038" s="95" t="s">
        <v>4</v>
      </c>
      <c r="K1038" s="96" t="s">
        <v>4</v>
      </c>
      <c r="L1038" s="85"/>
      <c r="M1038" s="73" t="str">
        <f>IF(Main[[#This Row],[Tech Start Date]]&lt;1/1/1990,"",IF(Main[[#This Row],[Class]]="C",WORKDAY(Main[[#This Row],[Tech Start Date]],9),IF(Main[[#This Row],[Class]]="B", WORKDAY(Main[[#This Row],[Tech Start Date]],6),IF(Main[[#This Row],[Class]]="A",WORKDAY(Main[[#This Row],[Tech Start Date]],2),""))))</f>
        <v/>
      </c>
      <c r="N1038" s="73" t="str">
        <f>IF(Main[[#This Row],[Tech Start Date]]&lt;1/1/1990,"",IF(Main[[#This Row],[Class]]="C",WORKDAY(Main[[#This Row],[Tech Start Date]],19),IF(Main[[#This Row],[Class]]="B", WORKDAY(Main[[#This Row],[Tech Start Date]],12),IF(Main[[#This Row],[Class]]="A",WORKDAY(Main[[#This Row],[Tech Start Date]],4),""))))</f>
        <v/>
      </c>
      <c r="O1038" s="73" t="str">
        <f>IF(Main[[#This Row],[Tech Start Date]]&lt;1/1/1990,"",IF(Main[[#This Row],[Class]]="C",WORKDAY(Main[[#This Row],[Tech Start Date]],23),IF(Main[[#This Row],[Class]]="B", WORKDAY(Main[[#This Row],[Tech Start Date]],15),IF(Main[[#This Row],[Class]]="A",WORKDAY(Main[[#This Row],[Tech Start Date]],5),""))))</f>
        <v/>
      </c>
      <c r="P1038" s="73" t="str">
        <f>IF(Main[[#This Row],[Tech Start Date]]&lt;1/1/1990,"",IF(Main[[#This Row],[Class]]="C",WORKDAY(Main[[#This Row],[Tech Start Date]],28),IF(Main[[#This Row],[Class]]="B", WORKDAY(Main[[#This Row],[Tech Start Date]],19),IF(Main[[#This Row],[Class]]="A",WORKDAY(Main[[#This Row],[Tech Start Date]],9),""))))</f>
        <v/>
      </c>
      <c r="Q1038" s="85">
        <v>40816</v>
      </c>
      <c r="R1038" s="112"/>
      <c r="S1038" s="95" t="s">
        <v>296</v>
      </c>
      <c r="T1038" s="74" t="s">
        <v>4</v>
      </c>
      <c r="U1038" s="95" t="s">
        <v>14</v>
      </c>
      <c r="V1038" s="95" t="s">
        <v>1921</v>
      </c>
      <c r="W1038" s="95" t="s">
        <v>1919</v>
      </c>
      <c r="X1038" s="95" t="s">
        <v>2889</v>
      </c>
      <c r="Y1038" s="72" t="s">
        <v>3096</v>
      </c>
      <c r="Z1038" s="72" t="s">
        <v>4</v>
      </c>
      <c r="AA1038" s="95" t="s">
        <v>3410</v>
      </c>
      <c r="AB1038" s="132"/>
      <c r="AC1038" s="132"/>
      <c r="AD1038" s="132"/>
      <c r="AE1038" s="63"/>
      <c r="AF1038" s="63"/>
      <c r="AG1038" s="63"/>
    </row>
    <row r="1039" spans="1:33" ht="17.2" customHeight="1">
      <c r="A1039" s="64" t="str">
        <f>IF(priority(Main[[#This Row],[Comments]])&lt;&gt;0, priority(Main[[#This Row],[Comments]]),"")</f>
        <v/>
      </c>
      <c r="B1039" s="60" t="s">
        <v>2230</v>
      </c>
      <c r="C1039" s="72" t="s">
        <v>4</v>
      </c>
      <c r="D1039" s="59" t="s">
        <v>2231</v>
      </c>
      <c r="E1039" s="85"/>
      <c r="F1039" s="85"/>
      <c r="G1039" s="64" t="str">
        <f>IF(stdProdLT(Main[[#This Row],[Comments]])=0.1,"N/A",IF(stdProdLT(Main[[#This Row],[Comments]])=0,"",TRIM(stdProdLT(Main[[#This Row],[Comments]]))))</f>
        <v/>
      </c>
      <c r="H1039" s="94" t="str">
        <f>IF(OR(Main[[#This Row],[Std. Prod. Lead Time]]="N/A",Main[[#This Row],[Std. Prod. Lead Time]]=""), "",IF(AND(Main[[#This Row],[In Stock Date]]&lt;&gt;"",Main[[#This Row],[Revised Due Date]]&lt;&gt;"",Main[[#This Row],[In Stock Date]]&lt;&gt;""),Main[[#This Row],[In Stock Date]]-Main[[#This Row],[Revised Due Date]],""))</f>
        <v/>
      </c>
      <c r="I1039" s="101" t="s">
        <v>4</v>
      </c>
      <c r="J1039" s="95" t="s">
        <v>4</v>
      </c>
      <c r="K1039" s="95" t="s">
        <v>4</v>
      </c>
      <c r="L1039" s="85"/>
      <c r="M1039" s="73" t="str">
        <f>IF(Main[[#This Row],[Tech Start Date]]&lt;1/1/1990,"",IF(Main[[#This Row],[Class]]="C",WORKDAY(Main[[#This Row],[Tech Start Date]],9),IF(Main[[#This Row],[Class]]="B", WORKDAY(Main[[#This Row],[Tech Start Date]],6),IF(Main[[#This Row],[Class]]="A",WORKDAY(Main[[#This Row],[Tech Start Date]],2),""))))</f>
        <v/>
      </c>
      <c r="N1039" s="73" t="str">
        <f>IF(Main[[#This Row],[Tech Start Date]]&lt;1/1/1990,"",IF(Main[[#This Row],[Class]]="C",WORKDAY(Main[[#This Row],[Tech Start Date]],19),IF(Main[[#This Row],[Class]]="B", WORKDAY(Main[[#This Row],[Tech Start Date]],12),IF(Main[[#This Row],[Class]]="A",WORKDAY(Main[[#This Row],[Tech Start Date]],4),""))))</f>
        <v/>
      </c>
      <c r="O1039" s="73" t="str">
        <f>IF(Main[[#This Row],[Tech Start Date]]&lt;1/1/1990,"",IF(Main[[#This Row],[Class]]="C",WORKDAY(Main[[#This Row],[Tech Start Date]],23),IF(Main[[#This Row],[Class]]="B", WORKDAY(Main[[#This Row],[Tech Start Date]],15),IF(Main[[#This Row],[Class]]="A",WORKDAY(Main[[#This Row],[Tech Start Date]],5),""))))</f>
        <v/>
      </c>
      <c r="P1039" s="73" t="str">
        <f>IF(Main[[#This Row],[Tech Start Date]]&lt;1/1/1990,"",IF(Main[[#This Row],[Class]]="C",WORKDAY(Main[[#This Row],[Tech Start Date]],28),IF(Main[[#This Row],[Class]]="B", WORKDAY(Main[[#This Row],[Tech Start Date]],19),IF(Main[[#This Row],[Class]]="A",WORKDAY(Main[[#This Row],[Tech Start Date]],9),""))))</f>
        <v/>
      </c>
      <c r="Q1039" s="85"/>
      <c r="R1039" s="112"/>
      <c r="S1039" s="95" t="s">
        <v>49</v>
      </c>
      <c r="T1039" s="74" t="s">
        <v>4</v>
      </c>
      <c r="U1039" s="95" t="s">
        <v>14</v>
      </c>
      <c r="V1039" s="95" t="s">
        <v>1911</v>
      </c>
      <c r="W1039" s="95" t="s">
        <v>1915</v>
      </c>
      <c r="X1039" s="95" t="s">
        <v>306</v>
      </c>
      <c r="Y1039" s="72" t="s">
        <v>4</v>
      </c>
      <c r="Z1039" s="72" t="s">
        <v>4</v>
      </c>
      <c r="AA1039" s="95" t="s">
        <v>4</v>
      </c>
      <c r="AB1039" s="132"/>
      <c r="AC1039" s="132"/>
      <c r="AD1039" s="132"/>
      <c r="AE1039" s="63"/>
      <c r="AF1039" s="63"/>
      <c r="AG1039" s="63"/>
    </row>
    <row r="1040" spans="1:33" ht="17.2" customHeight="1">
      <c r="A1040" s="64" t="str">
        <f>IF(priority(Main[[#This Row],[Comments]])&lt;&gt;0, priority(Main[[#This Row],[Comments]]),"")</f>
        <v/>
      </c>
      <c r="B1040" s="60" t="s">
        <v>1346</v>
      </c>
      <c r="C1040" s="72" t="s">
        <v>433</v>
      </c>
      <c r="D1040" s="59" t="s">
        <v>434</v>
      </c>
      <c r="E1040" s="85">
        <v>40505.653032407405</v>
      </c>
      <c r="F1040" s="85"/>
      <c r="G1040" s="64" t="str">
        <f>IF(stdProdLT(Main[[#This Row],[Comments]])=0.1,"N/A",IF(stdProdLT(Main[[#This Row],[Comments]])=0,"",TRIM(stdProdLT(Main[[#This Row],[Comments]]))))</f>
        <v/>
      </c>
      <c r="H1040" s="94" t="str">
        <f>IF(OR(Main[[#This Row],[Std. Prod. Lead Time]]="N/A",Main[[#This Row],[Std. Prod. Lead Time]]=""), "",IF(AND(Main[[#This Row],[In Stock Date]]&lt;&gt;"",Main[[#This Row],[Revised Due Date]]&lt;&gt;"",Main[[#This Row],[In Stock Date]]&lt;&gt;""),Main[[#This Row],[In Stock Date]]-Main[[#This Row],[Revised Due Date]],""))</f>
        <v/>
      </c>
      <c r="I1040" s="101" t="s">
        <v>30</v>
      </c>
      <c r="J1040" s="95" t="s">
        <v>28</v>
      </c>
      <c r="K1040" s="95" t="s">
        <v>1923</v>
      </c>
      <c r="L1040" s="85"/>
      <c r="M1040" s="73" t="str">
        <f>IF(Main[[#This Row],[Tech Start Date]]&lt;1/1/1990,"",IF(Main[[#This Row],[Class]]="C",WORKDAY(Main[[#This Row],[Tech Start Date]],9),IF(Main[[#This Row],[Class]]="B", WORKDAY(Main[[#This Row],[Tech Start Date]],6),IF(Main[[#This Row],[Class]]="A",WORKDAY(Main[[#This Row],[Tech Start Date]],2),""))))</f>
        <v/>
      </c>
      <c r="N1040" s="73" t="str">
        <f>IF(Main[[#This Row],[Tech Start Date]]&lt;1/1/1990,"",IF(Main[[#This Row],[Class]]="C",WORKDAY(Main[[#This Row],[Tech Start Date]],19),IF(Main[[#This Row],[Class]]="B", WORKDAY(Main[[#This Row],[Tech Start Date]],12),IF(Main[[#This Row],[Class]]="A",WORKDAY(Main[[#This Row],[Tech Start Date]],4),""))))</f>
        <v/>
      </c>
      <c r="O1040" s="73" t="str">
        <f>IF(Main[[#This Row],[Tech Start Date]]&lt;1/1/1990,"",IF(Main[[#This Row],[Class]]="C",WORKDAY(Main[[#This Row],[Tech Start Date]],23),IF(Main[[#This Row],[Class]]="B", WORKDAY(Main[[#This Row],[Tech Start Date]],15),IF(Main[[#This Row],[Class]]="A",WORKDAY(Main[[#This Row],[Tech Start Date]],5),""))))</f>
        <v/>
      </c>
      <c r="P1040" s="73" t="str">
        <f>IF(Main[[#This Row],[Tech Start Date]]&lt;1/1/1990,"",IF(Main[[#This Row],[Class]]="C",WORKDAY(Main[[#This Row],[Tech Start Date]],28),IF(Main[[#This Row],[Class]]="B", WORKDAY(Main[[#This Row],[Tech Start Date]],19),IF(Main[[#This Row],[Class]]="A",WORKDAY(Main[[#This Row],[Tech Start Date]],9),""))))</f>
        <v/>
      </c>
      <c r="Q1040" s="85">
        <v>40620</v>
      </c>
      <c r="R1040" s="112"/>
      <c r="S1040" s="95" t="s">
        <v>17</v>
      </c>
      <c r="T1040" s="74" t="s">
        <v>4</v>
      </c>
      <c r="U1040" s="95" t="s">
        <v>29</v>
      </c>
      <c r="V1040" s="95" t="s">
        <v>1914</v>
      </c>
      <c r="W1040" s="95" t="s">
        <v>1916</v>
      </c>
      <c r="X1040" s="95" t="s">
        <v>765</v>
      </c>
      <c r="Y1040" s="72" t="s">
        <v>3097</v>
      </c>
      <c r="Z1040" s="72" t="s">
        <v>30</v>
      </c>
      <c r="AA1040" s="95" t="s">
        <v>3411</v>
      </c>
      <c r="AB1040" s="132"/>
      <c r="AC1040" s="132"/>
      <c r="AD1040" s="132"/>
      <c r="AE1040" s="63"/>
      <c r="AF1040" s="63"/>
      <c r="AG1040" s="63"/>
    </row>
    <row r="1041" spans="1:33" ht="17.2" customHeight="1">
      <c r="A1041" s="64" t="str">
        <f>IF(priority(Main[[#This Row],[Comments]])&lt;&gt;0, priority(Main[[#This Row],[Comments]]),"")</f>
        <v/>
      </c>
      <c r="B1041" s="60" t="s">
        <v>2160</v>
      </c>
      <c r="C1041" s="72" t="s">
        <v>2154</v>
      </c>
      <c r="D1041" s="59" t="s">
        <v>2155</v>
      </c>
      <c r="E1041" s="85">
        <v>40781.39603009259</v>
      </c>
      <c r="F1041" s="85"/>
      <c r="G1041" s="64" t="str">
        <f>IF(stdProdLT(Main[[#This Row],[Comments]])=0.1,"N/A",IF(stdProdLT(Main[[#This Row],[Comments]])=0,"",TRIM(stdProdLT(Main[[#This Row],[Comments]]))))</f>
        <v/>
      </c>
      <c r="H1041" s="94" t="str">
        <f>IF(OR(Main[[#This Row],[Std. Prod. Lead Time]]="N/A",Main[[#This Row],[Std. Prod. Lead Time]]=""), "",IF(AND(Main[[#This Row],[In Stock Date]]&lt;&gt;"",Main[[#This Row],[Revised Due Date]]&lt;&gt;"",Main[[#This Row],[In Stock Date]]&lt;&gt;""),Main[[#This Row],[In Stock Date]]-Main[[#This Row],[Revised Due Date]],""))</f>
        <v/>
      </c>
      <c r="I1041" s="101" t="s">
        <v>69</v>
      </c>
      <c r="J1041" s="95" t="s">
        <v>1972</v>
      </c>
      <c r="K1041" s="95" t="s">
        <v>1920</v>
      </c>
      <c r="L1041" s="85"/>
      <c r="M1041" s="73" t="str">
        <f>IF(Main[[#This Row],[Tech Start Date]]&lt;1/1/1990,"",IF(Main[[#This Row],[Class]]="C",WORKDAY(Main[[#This Row],[Tech Start Date]],9),IF(Main[[#This Row],[Class]]="B", WORKDAY(Main[[#This Row],[Tech Start Date]],6),IF(Main[[#This Row],[Class]]="A",WORKDAY(Main[[#This Row],[Tech Start Date]],2),""))))</f>
        <v/>
      </c>
      <c r="N1041" s="73" t="str">
        <f>IF(Main[[#This Row],[Tech Start Date]]&lt;1/1/1990,"",IF(Main[[#This Row],[Class]]="C",WORKDAY(Main[[#This Row],[Tech Start Date]],19),IF(Main[[#This Row],[Class]]="B", WORKDAY(Main[[#This Row],[Tech Start Date]],12),IF(Main[[#This Row],[Class]]="A",WORKDAY(Main[[#This Row],[Tech Start Date]],4),""))))</f>
        <v/>
      </c>
      <c r="O1041" s="73" t="str">
        <f>IF(Main[[#This Row],[Tech Start Date]]&lt;1/1/1990,"",IF(Main[[#This Row],[Class]]="C",WORKDAY(Main[[#This Row],[Tech Start Date]],23),IF(Main[[#This Row],[Class]]="B", WORKDAY(Main[[#This Row],[Tech Start Date]],15),IF(Main[[#This Row],[Class]]="A",WORKDAY(Main[[#This Row],[Tech Start Date]],5),""))))</f>
        <v/>
      </c>
      <c r="P1041" s="73" t="str">
        <f>IF(Main[[#This Row],[Tech Start Date]]&lt;1/1/1990,"",IF(Main[[#This Row],[Class]]="C",WORKDAY(Main[[#This Row],[Tech Start Date]],28),IF(Main[[#This Row],[Class]]="B", WORKDAY(Main[[#This Row],[Tech Start Date]],19),IF(Main[[#This Row],[Class]]="A",WORKDAY(Main[[#This Row],[Tech Start Date]],9),""))))</f>
        <v/>
      </c>
      <c r="Q1041" s="85">
        <v>40836</v>
      </c>
      <c r="R1041" s="112"/>
      <c r="S1041" s="95" t="s">
        <v>6</v>
      </c>
      <c r="T1041" s="74" t="s">
        <v>4</v>
      </c>
      <c r="U1041" s="95" t="s">
        <v>29</v>
      </c>
      <c r="V1041" s="95" t="s">
        <v>1914</v>
      </c>
      <c r="W1041" s="95" t="s">
        <v>1915</v>
      </c>
      <c r="X1041" s="95" t="s">
        <v>2816</v>
      </c>
      <c r="Y1041" s="72" t="s">
        <v>2943</v>
      </c>
      <c r="Z1041" s="72" t="s">
        <v>30</v>
      </c>
      <c r="AA1041" s="95" t="s">
        <v>2816</v>
      </c>
      <c r="AB1041" s="132"/>
      <c r="AC1041" s="132"/>
      <c r="AD1041" s="132"/>
      <c r="AE1041" s="63"/>
      <c r="AF1041" s="63"/>
      <c r="AG1041" s="63"/>
    </row>
    <row r="1042" spans="1:33" ht="17.2" customHeight="1">
      <c r="A1042" s="64" t="str">
        <f>IF(priority(Main[[#This Row],[Comments]])&lt;&gt;0, priority(Main[[#This Row],[Comments]]),"")</f>
        <v/>
      </c>
      <c r="B1042" s="60" t="s">
        <v>1779</v>
      </c>
      <c r="C1042" s="72" t="s">
        <v>180</v>
      </c>
      <c r="D1042" s="59" t="s">
        <v>823</v>
      </c>
      <c r="E1042" s="85"/>
      <c r="F1042" s="85">
        <v>40389</v>
      </c>
      <c r="G1042" s="64" t="str">
        <f>IF(stdProdLT(Main[[#This Row],[Comments]])=0.1,"N/A",IF(stdProdLT(Main[[#This Row],[Comments]])=0,"",TRIM(stdProdLT(Main[[#This Row],[Comments]]))))</f>
        <v/>
      </c>
      <c r="H1042" s="94" t="str">
        <f>IF(OR(Main[[#This Row],[Std. Prod. Lead Time]]="N/A",Main[[#This Row],[Std. Prod. Lead Time]]=""), "",IF(AND(Main[[#This Row],[In Stock Date]]&lt;&gt;"",Main[[#This Row],[Revised Due Date]]&lt;&gt;"",Main[[#This Row],[In Stock Date]]&lt;&gt;""),Main[[#This Row],[In Stock Date]]-Main[[#This Row],[Revised Due Date]],""))</f>
        <v/>
      </c>
      <c r="I1042" s="101" t="s">
        <v>4</v>
      </c>
      <c r="J1042" s="95" t="s">
        <v>4</v>
      </c>
      <c r="K1042" s="95" t="s">
        <v>4</v>
      </c>
      <c r="L1042" s="85"/>
      <c r="M1042" s="73" t="str">
        <f>IF(Main[[#This Row],[Tech Start Date]]&lt;1/1/1990,"",IF(Main[[#This Row],[Class]]="C",WORKDAY(Main[[#This Row],[Tech Start Date]],9),IF(Main[[#This Row],[Class]]="B", WORKDAY(Main[[#This Row],[Tech Start Date]],6),IF(Main[[#This Row],[Class]]="A",WORKDAY(Main[[#This Row],[Tech Start Date]],2),""))))</f>
        <v/>
      </c>
      <c r="N1042" s="73" t="str">
        <f>IF(Main[[#This Row],[Tech Start Date]]&lt;1/1/1990,"",IF(Main[[#This Row],[Class]]="C",WORKDAY(Main[[#This Row],[Tech Start Date]],19),IF(Main[[#This Row],[Class]]="B", WORKDAY(Main[[#This Row],[Tech Start Date]],12),IF(Main[[#This Row],[Class]]="A",WORKDAY(Main[[#This Row],[Tech Start Date]],4),""))))</f>
        <v/>
      </c>
      <c r="O1042" s="73" t="str">
        <f>IF(Main[[#This Row],[Tech Start Date]]&lt;1/1/1990,"",IF(Main[[#This Row],[Class]]="C",WORKDAY(Main[[#This Row],[Tech Start Date]],23),IF(Main[[#This Row],[Class]]="B", WORKDAY(Main[[#This Row],[Tech Start Date]],15),IF(Main[[#This Row],[Class]]="A",WORKDAY(Main[[#This Row],[Tech Start Date]],5),""))))</f>
        <v/>
      </c>
      <c r="P1042" s="73" t="str">
        <f>IF(Main[[#This Row],[Tech Start Date]]&lt;1/1/1990,"",IF(Main[[#This Row],[Class]]="C",WORKDAY(Main[[#This Row],[Tech Start Date]],28),IF(Main[[#This Row],[Class]]="B", WORKDAY(Main[[#This Row],[Tech Start Date]],19),IF(Main[[#This Row],[Class]]="A",WORKDAY(Main[[#This Row],[Tech Start Date]],9),""))))</f>
        <v/>
      </c>
      <c r="Q1042" s="85">
        <v>40298</v>
      </c>
      <c r="R1042" s="112"/>
      <c r="S1042" s="95" t="s">
        <v>11</v>
      </c>
      <c r="T1042" s="74" t="s">
        <v>4</v>
      </c>
      <c r="U1042" s="95" t="s">
        <v>14</v>
      </c>
      <c r="V1042" s="95" t="s">
        <v>1911</v>
      </c>
      <c r="W1042" s="95" t="s">
        <v>1917</v>
      </c>
      <c r="X1042" s="95" t="s">
        <v>2804</v>
      </c>
      <c r="Y1042" s="72" t="s">
        <v>2921</v>
      </c>
      <c r="Z1042" s="72" t="s">
        <v>4</v>
      </c>
      <c r="AA1042" s="95" t="s">
        <v>2804</v>
      </c>
      <c r="AB1042" s="132"/>
      <c r="AC1042" s="132"/>
      <c r="AD1042" s="132"/>
      <c r="AE1042" s="63"/>
      <c r="AF1042" s="63"/>
      <c r="AG1042" s="63"/>
    </row>
    <row r="1043" spans="1:33" ht="17.2" customHeight="1">
      <c r="A1043" s="64" t="str">
        <f>IF(priority(Main[[#This Row],[Comments]])&lt;&gt;0, priority(Main[[#This Row],[Comments]]),"")</f>
        <v/>
      </c>
      <c r="B1043" s="60" t="s">
        <v>1780</v>
      </c>
      <c r="C1043" s="72" t="s">
        <v>824</v>
      </c>
      <c r="D1043" s="59" t="s">
        <v>825</v>
      </c>
      <c r="E1043" s="85"/>
      <c r="F1043" s="85"/>
      <c r="G1043" s="64" t="str">
        <f>IF(stdProdLT(Main[[#This Row],[Comments]])=0.1,"N/A",IF(stdProdLT(Main[[#This Row],[Comments]])=0,"",TRIM(stdProdLT(Main[[#This Row],[Comments]]))))</f>
        <v/>
      </c>
      <c r="H1043" s="94" t="str">
        <f>IF(OR(Main[[#This Row],[Std. Prod. Lead Time]]="N/A",Main[[#This Row],[Std. Prod. Lead Time]]=""), "",IF(AND(Main[[#This Row],[In Stock Date]]&lt;&gt;"",Main[[#This Row],[Revised Due Date]]&lt;&gt;"",Main[[#This Row],[In Stock Date]]&lt;&gt;""),Main[[#This Row],[In Stock Date]]-Main[[#This Row],[Revised Due Date]],""))</f>
        <v/>
      </c>
      <c r="I1043" s="101" t="s">
        <v>4</v>
      </c>
      <c r="J1043" s="95" t="s">
        <v>4</v>
      </c>
      <c r="K1043" s="95" t="s">
        <v>4</v>
      </c>
      <c r="L1043" s="85"/>
      <c r="M1043" s="73" t="str">
        <f>IF(Main[[#This Row],[Tech Start Date]]&lt;1/1/1990,"",IF(Main[[#This Row],[Class]]="C",WORKDAY(Main[[#This Row],[Tech Start Date]],9),IF(Main[[#This Row],[Class]]="B", WORKDAY(Main[[#This Row],[Tech Start Date]],6),IF(Main[[#This Row],[Class]]="A",WORKDAY(Main[[#This Row],[Tech Start Date]],2),""))))</f>
        <v/>
      </c>
      <c r="N1043" s="73" t="str">
        <f>IF(Main[[#This Row],[Tech Start Date]]&lt;1/1/1990,"",IF(Main[[#This Row],[Class]]="C",WORKDAY(Main[[#This Row],[Tech Start Date]],19),IF(Main[[#This Row],[Class]]="B", WORKDAY(Main[[#This Row],[Tech Start Date]],12),IF(Main[[#This Row],[Class]]="A",WORKDAY(Main[[#This Row],[Tech Start Date]],4),""))))</f>
        <v/>
      </c>
      <c r="O1043" s="73" t="str">
        <f>IF(Main[[#This Row],[Tech Start Date]]&lt;1/1/1990,"",IF(Main[[#This Row],[Class]]="C",WORKDAY(Main[[#This Row],[Tech Start Date]],23),IF(Main[[#This Row],[Class]]="B", WORKDAY(Main[[#This Row],[Tech Start Date]],15),IF(Main[[#This Row],[Class]]="A",WORKDAY(Main[[#This Row],[Tech Start Date]],5),""))))</f>
        <v/>
      </c>
      <c r="P1043" s="73" t="str">
        <f>IF(Main[[#This Row],[Tech Start Date]]&lt;1/1/1990,"",IF(Main[[#This Row],[Class]]="C",WORKDAY(Main[[#This Row],[Tech Start Date]],28),IF(Main[[#This Row],[Class]]="B", WORKDAY(Main[[#This Row],[Tech Start Date]],19),IF(Main[[#This Row],[Class]]="A",WORKDAY(Main[[#This Row],[Tech Start Date]],9),""))))</f>
        <v/>
      </c>
      <c r="Q1043" s="85"/>
      <c r="R1043" s="112"/>
      <c r="S1043" s="95" t="s">
        <v>11</v>
      </c>
      <c r="T1043" s="74" t="s">
        <v>4</v>
      </c>
      <c r="U1043" s="95" t="s">
        <v>14</v>
      </c>
      <c r="V1043" s="95" t="s">
        <v>1914</v>
      </c>
      <c r="W1043" s="95" t="s">
        <v>1922</v>
      </c>
      <c r="X1043" s="95" t="s">
        <v>2848</v>
      </c>
      <c r="Y1043" s="72" t="s">
        <v>2990</v>
      </c>
      <c r="Z1043" s="72" t="s">
        <v>4</v>
      </c>
      <c r="AA1043" s="95" t="s">
        <v>3402</v>
      </c>
      <c r="AB1043" s="132"/>
      <c r="AC1043" s="132"/>
      <c r="AD1043" s="132"/>
      <c r="AE1043" s="63"/>
      <c r="AF1043" s="63"/>
      <c r="AG1043" s="63"/>
    </row>
    <row r="1044" spans="1:33" ht="17.2" customHeight="1">
      <c r="A1044" s="64" t="str">
        <f>IF(priority(Main[[#This Row],[Comments]])&lt;&gt;0, priority(Main[[#This Row],[Comments]]),"")</f>
        <v/>
      </c>
      <c r="B1044" s="60" t="s">
        <v>1782</v>
      </c>
      <c r="C1044" s="72" t="s">
        <v>4</v>
      </c>
      <c r="D1044" s="59" t="s">
        <v>828</v>
      </c>
      <c r="E1044" s="85"/>
      <c r="F1044" s="85"/>
      <c r="G1044" s="64" t="str">
        <f>IF(stdProdLT(Main[[#This Row],[Comments]])=0.1,"N/A",IF(stdProdLT(Main[[#This Row],[Comments]])=0,"",TRIM(stdProdLT(Main[[#This Row],[Comments]]))))</f>
        <v/>
      </c>
      <c r="H1044" s="94" t="str">
        <f>IF(OR(Main[[#This Row],[Std. Prod. Lead Time]]="N/A",Main[[#This Row],[Std. Prod. Lead Time]]=""), "",IF(AND(Main[[#This Row],[In Stock Date]]&lt;&gt;"",Main[[#This Row],[Revised Due Date]]&lt;&gt;"",Main[[#This Row],[In Stock Date]]&lt;&gt;""),Main[[#This Row],[In Stock Date]]-Main[[#This Row],[Revised Due Date]],""))</f>
        <v/>
      </c>
      <c r="I1044" s="101" t="s">
        <v>4</v>
      </c>
      <c r="J1044" s="95" t="s">
        <v>4</v>
      </c>
      <c r="K1044" s="95" t="s">
        <v>4</v>
      </c>
      <c r="L1044" s="85"/>
      <c r="M1044" s="73" t="str">
        <f>IF(Main[[#This Row],[Tech Start Date]]&lt;1/1/1990,"",IF(Main[[#This Row],[Class]]="C",WORKDAY(Main[[#This Row],[Tech Start Date]],9),IF(Main[[#This Row],[Class]]="B", WORKDAY(Main[[#This Row],[Tech Start Date]],6),IF(Main[[#This Row],[Class]]="A",WORKDAY(Main[[#This Row],[Tech Start Date]],2),""))))</f>
        <v/>
      </c>
      <c r="N1044" s="73" t="str">
        <f>IF(Main[[#This Row],[Tech Start Date]]&lt;1/1/1990,"",IF(Main[[#This Row],[Class]]="C",WORKDAY(Main[[#This Row],[Tech Start Date]],19),IF(Main[[#This Row],[Class]]="B", WORKDAY(Main[[#This Row],[Tech Start Date]],12),IF(Main[[#This Row],[Class]]="A",WORKDAY(Main[[#This Row],[Tech Start Date]],4),""))))</f>
        <v/>
      </c>
      <c r="O1044" s="73" t="str">
        <f>IF(Main[[#This Row],[Tech Start Date]]&lt;1/1/1990,"",IF(Main[[#This Row],[Class]]="C",WORKDAY(Main[[#This Row],[Tech Start Date]],23),IF(Main[[#This Row],[Class]]="B", WORKDAY(Main[[#This Row],[Tech Start Date]],15),IF(Main[[#This Row],[Class]]="A",WORKDAY(Main[[#This Row],[Tech Start Date]],5),""))))</f>
        <v/>
      </c>
      <c r="P1044" s="73" t="str">
        <f>IF(Main[[#This Row],[Tech Start Date]]&lt;1/1/1990,"",IF(Main[[#This Row],[Class]]="C",WORKDAY(Main[[#This Row],[Tech Start Date]],28),IF(Main[[#This Row],[Class]]="B", WORKDAY(Main[[#This Row],[Tech Start Date]],19),IF(Main[[#This Row],[Class]]="A",WORKDAY(Main[[#This Row],[Tech Start Date]],9),""))))</f>
        <v/>
      </c>
      <c r="Q1044" s="85"/>
      <c r="R1044" s="112"/>
      <c r="S1044" s="95" t="s">
        <v>11</v>
      </c>
      <c r="T1044" s="74" t="s">
        <v>4</v>
      </c>
      <c r="U1044" s="95" t="s">
        <v>12</v>
      </c>
      <c r="V1044" s="95" t="s">
        <v>1912</v>
      </c>
      <c r="W1044" s="95" t="s">
        <v>1916</v>
      </c>
      <c r="X1044" s="95" t="s">
        <v>969</v>
      </c>
      <c r="Y1044" s="72" t="s">
        <v>3063</v>
      </c>
      <c r="Z1044" s="72" t="s">
        <v>4</v>
      </c>
      <c r="AA1044" s="95" t="s">
        <v>969</v>
      </c>
      <c r="AB1044" s="132"/>
      <c r="AC1044" s="132"/>
      <c r="AD1044" s="132"/>
      <c r="AE1044" s="63"/>
      <c r="AF1044" s="63"/>
      <c r="AG1044" s="63"/>
    </row>
    <row r="1045" spans="1:33" ht="17.2" customHeight="1">
      <c r="A1045" s="64" t="str">
        <f>IF(priority(Main[[#This Row],[Comments]])&lt;&gt;0, priority(Main[[#This Row],[Comments]]),"")</f>
        <v/>
      </c>
      <c r="B1045" s="60" t="s">
        <v>1473</v>
      </c>
      <c r="C1045" s="72" t="s">
        <v>4</v>
      </c>
      <c r="D1045" s="59" t="s">
        <v>2400</v>
      </c>
      <c r="E1045" s="85">
        <v>40627.399282407408</v>
      </c>
      <c r="F1045" s="85"/>
      <c r="G1045" s="64" t="str">
        <f>IF(stdProdLT(Main[[#This Row],[Comments]])=0.1,"N/A",IF(stdProdLT(Main[[#This Row],[Comments]])=0,"",TRIM(stdProdLT(Main[[#This Row],[Comments]]))))</f>
        <v/>
      </c>
      <c r="H1045" s="94" t="str">
        <f>IF(OR(Main[[#This Row],[Std. Prod. Lead Time]]="N/A",Main[[#This Row],[Std. Prod. Lead Time]]=""), "",IF(AND(Main[[#This Row],[In Stock Date]]&lt;&gt;"",Main[[#This Row],[Revised Due Date]]&lt;&gt;"",Main[[#This Row],[In Stock Date]]&lt;&gt;""),Main[[#This Row],[In Stock Date]]-Main[[#This Row],[Revised Due Date]],""))</f>
        <v/>
      </c>
      <c r="I1045" s="101" t="s">
        <v>912</v>
      </c>
      <c r="J1045" s="95" t="s">
        <v>52</v>
      </c>
      <c r="K1045" s="96" t="s">
        <v>1920</v>
      </c>
      <c r="L1045" s="85"/>
      <c r="M1045" s="73" t="str">
        <f>IF(Main[[#This Row],[Tech Start Date]]&lt;1/1/1990,"",IF(Main[[#This Row],[Class]]="C",WORKDAY(Main[[#This Row],[Tech Start Date]],9),IF(Main[[#This Row],[Class]]="B", WORKDAY(Main[[#This Row],[Tech Start Date]],6),IF(Main[[#This Row],[Class]]="A",WORKDAY(Main[[#This Row],[Tech Start Date]],2),""))))</f>
        <v/>
      </c>
      <c r="N1045" s="73" t="str">
        <f>IF(Main[[#This Row],[Tech Start Date]]&lt;1/1/1990,"",IF(Main[[#This Row],[Class]]="C",WORKDAY(Main[[#This Row],[Tech Start Date]],19),IF(Main[[#This Row],[Class]]="B", WORKDAY(Main[[#This Row],[Tech Start Date]],12),IF(Main[[#This Row],[Class]]="A",WORKDAY(Main[[#This Row],[Tech Start Date]],4),""))))</f>
        <v/>
      </c>
      <c r="O1045" s="73" t="str">
        <f>IF(Main[[#This Row],[Tech Start Date]]&lt;1/1/1990,"",IF(Main[[#This Row],[Class]]="C",WORKDAY(Main[[#This Row],[Tech Start Date]],23),IF(Main[[#This Row],[Class]]="B", WORKDAY(Main[[#This Row],[Tech Start Date]],15),IF(Main[[#This Row],[Class]]="A",WORKDAY(Main[[#This Row],[Tech Start Date]],5),""))))</f>
        <v/>
      </c>
      <c r="P1045" s="73" t="str">
        <f>IF(Main[[#This Row],[Tech Start Date]]&lt;1/1/1990,"",IF(Main[[#This Row],[Class]]="C",WORKDAY(Main[[#This Row],[Tech Start Date]],28),IF(Main[[#This Row],[Class]]="B", WORKDAY(Main[[#This Row],[Tech Start Date]],19),IF(Main[[#This Row],[Class]]="A",WORKDAY(Main[[#This Row],[Tech Start Date]],9),""))))</f>
        <v/>
      </c>
      <c r="Q1045" s="85">
        <v>40632</v>
      </c>
      <c r="R1045" s="112"/>
      <c r="S1045" s="95" t="s">
        <v>6</v>
      </c>
      <c r="T1045" s="74" t="s">
        <v>4</v>
      </c>
      <c r="U1045" s="95" t="s">
        <v>29</v>
      </c>
      <c r="V1045" s="95" t="s">
        <v>1911</v>
      </c>
      <c r="W1045" s="95" t="s">
        <v>1915</v>
      </c>
      <c r="X1045" s="95" t="s">
        <v>937</v>
      </c>
      <c r="Y1045" s="72" t="s">
        <v>2962</v>
      </c>
      <c r="Z1045" s="72" t="s">
        <v>129</v>
      </c>
      <c r="AA1045" s="95" t="s">
        <v>937</v>
      </c>
      <c r="AB1045" s="132"/>
      <c r="AC1045" s="132"/>
      <c r="AD1045" s="132"/>
      <c r="AE1045" s="63"/>
      <c r="AF1045" s="63"/>
      <c r="AG1045" s="63"/>
    </row>
    <row r="1046" spans="1:33" ht="17.2" customHeight="1">
      <c r="A1046" s="64" t="str">
        <f>IF(priority(Main[[#This Row],[Comments]])&lt;&gt;0, priority(Main[[#This Row],[Comments]]),"")</f>
        <v/>
      </c>
      <c r="B1046" s="60" t="s">
        <v>1383</v>
      </c>
      <c r="C1046" s="72" t="s">
        <v>4</v>
      </c>
      <c r="D1046" s="59" t="s">
        <v>2401</v>
      </c>
      <c r="E1046" s="85">
        <v>40555.34138888889</v>
      </c>
      <c r="F1046" s="85">
        <v>40592</v>
      </c>
      <c r="G1046" s="64" t="str">
        <f>IF(stdProdLT(Main[[#This Row],[Comments]])=0.1,"N/A",IF(stdProdLT(Main[[#This Row],[Comments]])=0,"",TRIM(stdProdLT(Main[[#This Row],[Comments]]))))</f>
        <v/>
      </c>
      <c r="H1046" s="94" t="str">
        <f>IF(OR(Main[[#This Row],[Std. Prod. Lead Time]]="N/A",Main[[#This Row],[Std. Prod. Lead Time]]=""), "",IF(AND(Main[[#This Row],[In Stock Date]]&lt;&gt;"",Main[[#This Row],[Revised Due Date]]&lt;&gt;"",Main[[#This Row],[In Stock Date]]&lt;&gt;""),Main[[#This Row],[In Stock Date]]-Main[[#This Row],[Revised Due Date]],""))</f>
        <v/>
      </c>
      <c r="I1046" s="101" t="s">
        <v>912</v>
      </c>
      <c r="J1046" s="95" t="s">
        <v>52</v>
      </c>
      <c r="K1046" s="95" t="s">
        <v>1918</v>
      </c>
      <c r="L1046" s="85"/>
      <c r="M1046" s="73" t="str">
        <f>IF(Main[[#This Row],[Tech Start Date]]&lt;1/1/1990,"",IF(Main[[#This Row],[Class]]="C",WORKDAY(Main[[#This Row],[Tech Start Date]],9),IF(Main[[#This Row],[Class]]="B", WORKDAY(Main[[#This Row],[Tech Start Date]],6),IF(Main[[#This Row],[Class]]="A",WORKDAY(Main[[#This Row],[Tech Start Date]],2),""))))</f>
        <v/>
      </c>
      <c r="N1046" s="73" t="str">
        <f>IF(Main[[#This Row],[Tech Start Date]]&lt;1/1/1990,"",IF(Main[[#This Row],[Class]]="C",WORKDAY(Main[[#This Row],[Tech Start Date]],19),IF(Main[[#This Row],[Class]]="B", WORKDAY(Main[[#This Row],[Tech Start Date]],12),IF(Main[[#This Row],[Class]]="A",WORKDAY(Main[[#This Row],[Tech Start Date]],4),""))))</f>
        <v/>
      </c>
      <c r="O1046" s="73" t="str">
        <f>IF(Main[[#This Row],[Tech Start Date]]&lt;1/1/1990,"",IF(Main[[#This Row],[Class]]="C",WORKDAY(Main[[#This Row],[Tech Start Date]],23),IF(Main[[#This Row],[Class]]="B", WORKDAY(Main[[#This Row],[Tech Start Date]],15),IF(Main[[#This Row],[Class]]="A",WORKDAY(Main[[#This Row],[Tech Start Date]],5),""))))</f>
        <v/>
      </c>
      <c r="P1046" s="73" t="str">
        <f>IF(Main[[#This Row],[Tech Start Date]]&lt;1/1/1990,"",IF(Main[[#This Row],[Class]]="C",WORKDAY(Main[[#This Row],[Tech Start Date]],28),IF(Main[[#This Row],[Class]]="B", WORKDAY(Main[[#This Row],[Tech Start Date]],19),IF(Main[[#This Row],[Class]]="A",WORKDAY(Main[[#This Row],[Tech Start Date]],9),""))))</f>
        <v/>
      </c>
      <c r="Q1046" s="85">
        <v>40592</v>
      </c>
      <c r="R1046" s="112"/>
      <c r="S1046" s="95" t="s">
        <v>6</v>
      </c>
      <c r="T1046" s="74" t="s">
        <v>4</v>
      </c>
      <c r="U1046" s="95" t="s">
        <v>29</v>
      </c>
      <c r="V1046" s="95" t="s">
        <v>1911</v>
      </c>
      <c r="W1046" s="95" t="s">
        <v>1913</v>
      </c>
      <c r="X1046" s="95" t="s">
        <v>2798</v>
      </c>
      <c r="Y1046" s="72" t="s">
        <v>2908</v>
      </c>
      <c r="Z1046" s="72" t="s">
        <v>129</v>
      </c>
      <c r="AA1046" s="95" t="s">
        <v>2798</v>
      </c>
      <c r="AB1046" s="132"/>
      <c r="AC1046" s="132"/>
      <c r="AD1046" s="132"/>
      <c r="AE1046" s="63"/>
      <c r="AF1046" s="63"/>
      <c r="AG1046" s="63"/>
    </row>
    <row r="1047" spans="1:33" ht="17.2" customHeight="1">
      <c r="A1047" s="64" t="str">
        <f>IF(priority(Main[[#This Row],[Comments]])&lt;&gt;0, priority(Main[[#This Row],[Comments]]),"")</f>
        <v/>
      </c>
      <c r="B1047" s="60" t="s">
        <v>2055</v>
      </c>
      <c r="C1047" s="72" t="s">
        <v>4</v>
      </c>
      <c r="D1047" s="59" t="s">
        <v>2295</v>
      </c>
      <c r="E1047" s="85">
        <v>40758.6172337963</v>
      </c>
      <c r="F1047" s="85"/>
      <c r="G1047" s="64" t="str">
        <f>IF(stdProdLT(Main[[#This Row],[Comments]])=0.1,"N/A",IF(stdProdLT(Main[[#This Row],[Comments]])=0,"",TRIM(stdProdLT(Main[[#This Row],[Comments]]))))</f>
        <v/>
      </c>
      <c r="H1047" s="94" t="str">
        <f>IF(OR(Main[[#This Row],[Std. Prod. Lead Time]]="N/A",Main[[#This Row],[Std. Prod. Lead Time]]=""), "",IF(AND(Main[[#This Row],[In Stock Date]]&lt;&gt;"",Main[[#This Row],[Revised Due Date]]&lt;&gt;"",Main[[#This Row],[In Stock Date]]&lt;&gt;""),Main[[#This Row],[In Stock Date]]-Main[[#This Row],[Revised Due Date]],""))</f>
        <v/>
      </c>
      <c r="I1047" s="101" t="s">
        <v>530</v>
      </c>
      <c r="J1047" s="95" t="s">
        <v>21</v>
      </c>
      <c r="K1047" s="95" t="s">
        <v>1920</v>
      </c>
      <c r="L1047" s="85"/>
      <c r="M1047" s="73" t="str">
        <f>IF(Main[[#This Row],[Tech Start Date]]&lt;1/1/1990,"",IF(Main[[#This Row],[Class]]="C",WORKDAY(Main[[#This Row],[Tech Start Date]],9),IF(Main[[#This Row],[Class]]="B", WORKDAY(Main[[#This Row],[Tech Start Date]],6),IF(Main[[#This Row],[Class]]="A",WORKDAY(Main[[#This Row],[Tech Start Date]],2),""))))</f>
        <v/>
      </c>
      <c r="N1047" s="73" t="str">
        <f>IF(Main[[#This Row],[Tech Start Date]]&lt;1/1/1990,"",IF(Main[[#This Row],[Class]]="C",WORKDAY(Main[[#This Row],[Tech Start Date]],19),IF(Main[[#This Row],[Class]]="B", WORKDAY(Main[[#This Row],[Tech Start Date]],12),IF(Main[[#This Row],[Class]]="A",WORKDAY(Main[[#This Row],[Tech Start Date]],4),""))))</f>
        <v/>
      </c>
      <c r="O1047" s="73" t="str">
        <f>IF(Main[[#This Row],[Tech Start Date]]&lt;1/1/1990,"",IF(Main[[#This Row],[Class]]="C",WORKDAY(Main[[#This Row],[Tech Start Date]],23),IF(Main[[#This Row],[Class]]="B", WORKDAY(Main[[#This Row],[Tech Start Date]],15),IF(Main[[#This Row],[Class]]="A",WORKDAY(Main[[#This Row],[Tech Start Date]],5),""))))</f>
        <v/>
      </c>
      <c r="P1047" s="73" t="str">
        <f>IF(Main[[#This Row],[Tech Start Date]]&lt;1/1/1990,"",IF(Main[[#This Row],[Class]]="C",WORKDAY(Main[[#This Row],[Tech Start Date]],28),IF(Main[[#This Row],[Class]]="B", WORKDAY(Main[[#This Row],[Tech Start Date]],19),IF(Main[[#This Row],[Class]]="A",WORKDAY(Main[[#This Row],[Tech Start Date]],9),""))))</f>
        <v/>
      </c>
      <c r="Q1047" s="85"/>
      <c r="R1047" s="112"/>
      <c r="S1047" s="95" t="s">
        <v>6</v>
      </c>
      <c r="T1047" s="74" t="s">
        <v>4</v>
      </c>
      <c r="U1047" s="95" t="s">
        <v>29</v>
      </c>
      <c r="V1047" s="95" t="s">
        <v>1914</v>
      </c>
      <c r="W1047" s="95" t="s">
        <v>1915</v>
      </c>
      <c r="X1047" s="95" t="s">
        <v>102</v>
      </c>
      <c r="Y1047" s="72" t="s">
        <v>3099</v>
      </c>
      <c r="Z1047" s="72" t="s">
        <v>530</v>
      </c>
      <c r="AA1047" s="95" t="s">
        <v>3412</v>
      </c>
      <c r="AB1047" s="132"/>
      <c r="AC1047" s="132"/>
      <c r="AD1047" s="132"/>
      <c r="AE1047" s="63"/>
      <c r="AF1047" s="63"/>
      <c r="AG1047" s="63"/>
    </row>
    <row r="1048" spans="1:33" ht="17.2" customHeight="1">
      <c r="A1048" s="64" t="str">
        <f>IF(priority(Main[[#This Row],[Comments]])&lt;&gt;0, priority(Main[[#This Row],[Comments]]),"")</f>
        <v/>
      </c>
      <c r="B1048" s="60" t="s">
        <v>2212</v>
      </c>
      <c r="C1048" s="72" t="s">
        <v>4</v>
      </c>
      <c r="D1048" s="59" t="s">
        <v>2402</v>
      </c>
      <c r="E1048" s="85">
        <v>40798.679803240739</v>
      </c>
      <c r="F1048" s="85"/>
      <c r="G1048" s="64" t="str">
        <f>IF(stdProdLT(Main[[#This Row],[Comments]])=0.1,"N/A",IF(stdProdLT(Main[[#This Row],[Comments]])=0,"",TRIM(stdProdLT(Main[[#This Row],[Comments]]))))</f>
        <v/>
      </c>
      <c r="H1048" s="94" t="str">
        <f>IF(OR(Main[[#This Row],[Std. Prod. Lead Time]]="N/A",Main[[#This Row],[Std. Prod. Lead Time]]=""), "",IF(AND(Main[[#This Row],[In Stock Date]]&lt;&gt;"",Main[[#This Row],[Revised Due Date]]&lt;&gt;"",Main[[#This Row],[In Stock Date]]&lt;&gt;""),Main[[#This Row],[In Stock Date]]-Main[[#This Row],[Revised Due Date]],""))</f>
        <v/>
      </c>
      <c r="I1048" s="101" t="s">
        <v>765</v>
      </c>
      <c r="J1048" s="95" t="s">
        <v>52</v>
      </c>
      <c r="K1048" s="96" t="s">
        <v>1920</v>
      </c>
      <c r="L1048" s="85"/>
      <c r="M1048" s="73" t="str">
        <f>IF(Main[[#This Row],[Tech Start Date]]&lt;1/1/1990,"",IF(Main[[#This Row],[Class]]="C",WORKDAY(Main[[#This Row],[Tech Start Date]],9),IF(Main[[#This Row],[Class]]="B", WORKDAY(Main[[#This Row],[Tech Start Date]],6),IF(Main[[#This Row],[Class]]="A",WORKDAY(Main[[#This Row],[Tech Start Date]],2),""))))</f>
        <v/>
      </c>
      <c r="N1048" s="73" t="str">
        <f>IF(Main[[#This Row],[Tech Start Date]]&lt;1/1/1990,"",IF(Main[[#This Row],[Class]]="C",WORKDAY(Main[[#This Row],[Tech Start Date]],19),IF(Main[[#This Row],[Class]]="B", WORKDAY(Main[[#This Row],[Tech Start Date]],12),IF(Main[[#This Row],[Class]]="A",WORKDAY(Main[[#This Row],[Tech Start Date]],4),""))))</f>
        <v/>
      </c>
      <c r="O1048" s="73" t="str">
        <f>IF(Main[[#This Row],[Tech Start Date]]&lt;1/1/1990,"",IF(Main[[#This Row],[Class]]="C",WORKDAY(Main[[#This Row],[Tech Start Date]],23),IF(Main[[#This Row],[Class]]="B", WORKDAY(Main[[#This Row],[Tech Start Date]],15),IF(Main[[#This Row],[Class]]="A",WORKDAY(Main[[#This Row],[Tech Start Date]],5),""))))</f>
        <v/>
      </c>
      <c r="P1048" s="73" t="str">
        <f>IF(Main[[#This Row],[Tech Start Date]]&lt;1/1/1990,"",IF(Main[[#This Row],[Class]]="C",WORKDAY(Main[[#This Row],[Tech Start Date]],28),IF(Main[[#This Row],[Class]]="B", WORKDAY(Main[[#This Row],[Tech Start Date]],19),IF(Main[[#This Row],[Class]]="A",WORKDAY(Main[[#This Row],[Tech Start Date]],9),""))))</f>
        <v/>
      </c>
      <c r="Q1048" s="85">
        <v>40847</v>
      </c>
      <c r="R1048" s="112"/>
      <c r="S1048" s="95" t="s">
        <v>6</v>
      </c>
      <c r="T1048" s="74" t="s">
        <v>4</v>
      </c>
      <c r="U1048" s="95" t="s">
        <v>29</v>
      </c>
      <c r="V1048" s="95" t="s">
        <v>1914</v>
      </c>
      <c r="W1048" s="95" t="s">
        <v>1915</v>
      </c>
      <c r="X1048" s="95" t="s">
        <v>30</v>
      </c>
      <c r="Y1048" s="72" t="s">
        <v>2918</v>
      </c>
      <c r="Z1048" s="72" t="s">
        <v>30</v>
      </c>
      <c r="AA1048" s="95" t="s">
        <v>30</v>
      </c>
      <c r="AB1048" s="132"/>
      <c r="AC1048" s="132"/>
      <c r="AD1048" s="132"/>
      <c r="AE1048" s="63"/>
      <c r="AF1048" s="63"/>
      <c r="AG1048" s="63"/>
    </row>
    <row r="1049" spans="1:33" ht="17.2" customHeight="1">
      <c r="A1049" s="64" t="str">
        <f>IF(priority(Main[[#This Row],[Comments]])&lt;&gt;0, priority(Main[[#This Row],[Comments]]),"")</f>
        <v/>
      </c>
      <c r="B1049" s="60" t="s">
        <v>2403</v>
      </c>
      <c r="C1049" s="72" t="s">
        <v>4</v>
      </c>
      <c r="D1049" s="59" t="s">
        <v>2404</v>
      </c>
      <c r="E1049" s="85">
        <v>40843.719166666669</v>
      </c>
      <c r="F1049" s="85"/>
      <c r="G1049" s="64" t="str">
        <f>IF(stdProdLT(Main[[#This Row],[Comments]])=0.1,"N/A",IF(stdProdLT(Main[[#This Row],[Comments]])=0,"",TRIM(stdProdLT(Main[[#This Row],[Comments]]))))</f>
        <v/>
      </c>
      <c r="H1049" s="94" t="str">
        <f>IF(OR(Main[[#This Row],[Std. Prod. Lead Time]]="N/A",Main[[#This Row],[Std. Prod. Lead Time]]=""), "",IF(AND(Main[[#This Row],[In Stock Date]]&lt;&gt;"",Main[[#This Row],[Revised Due Date]]&lt;&gt;"",Main[[#This Row],[In Stock Date]]&lt;&gt;""),Main[[#This Row],[In Stock Date]]-Main[[#This Row],[Revised Due Date]],""))</f>
        <v/>
      </c>
      <c r="I1049" s="101" t="s">
        <v>4</v>
      </c>
      <c r="J1049" s="95" t="s">
        <v>51</v>
      </c>
      <c r="K1049" s="95" t="s">
        <v>4</v>
      </c>
      <c r="L1049" s="85"/>
      <c r="M1049" s="73" t="str">
        <f>IF(Main[[#This Row],[Tech Start Date]]&lt;1/1/1990,"",IF(Main[[#This Row],[Class]]="C",WORKDAY(Main[[#This Row],[Tech Start Date]],9),IF(Main[[#This Row],[Class]]="B", WORKDAY(Main[[#This Row],[Tech Start Date]],6),IF(Main[[#This Row],[Class]]="A",WORKDAY(Main[[#This Row],[Tech Start Date]],2),""))))</f>
        <v/>
      </c>
      <c r="N1049" s="73" t="str">
        <f>IF(Main[[#This Row],[Tech Start Date]]&lt;1/1/1990,"",IF(Main[[#This Row],[Class]]="C",WORKDAY(Main[[#This Row],[Tech Start Date]],19),IF(Main[[#This Row],[Class]]="B", WORKDAY(Main[[#This Row],[Tech Start Date]],12),IF(Main[[#This Row],[Class]]="A",WORKDAY(Main[[#This Row],[Tech Start Date]],4),""))))</f>
        <v/>
      </c>
      <c r="O1049" s="73" t="str">
        <f>IF(Main[[#This Row],[Tech Start Date]]&lt;1/1/1990,"",IF(Main[[#This Row],[Class]]="C",WORKDAY(Main[[#This Row],[Tech Start Date]],23),IF(Main[[#This Row],[Class]]="B", WORKDAY(Main[[#This Row],[Tech Start Date]],15),IF(Main[[#This Row],[Class]]="A",WORKDAY(Main[[#This Row],[Tech Start Date]],5),""))))</f>
        <v/>
      </c>
      <c r="P1049" s="73" t="str">
        <f>IF(Main[[#This Row],[Tech Start Date]]&lt;1/1/1990,"",IF(Main[[#This Row],[Class]]="C",WORKDAY(Main[[#This Row],[Tech Start Date]],28),IF(Main[[#This Row],[Class]]="B", WORKDAY(Main[[#This Row],[Tech Start Date]],19),IF(Main[[#This Row],[Class]]="A",WORKDAY(Main[[#This Row],[Tech Start Date]],9),""))))</f>
        <v/>
      </c>
      <c r="Q1049" s="85"/>
      <c r="R1049" s="112"/>
      <c r="S1049" s="95" t="s">
        <v>6</v>
      </c>
      <c r="T1049" s="74" t="s">
        <v>2405</v>
      </c>
      <c r="U1049" s="95" t="s">
        <v>534</v>
      </c>
      <c r="V1049" s="95" t="s">
        <v>1911</v>
      </c>
      <c r="W1049" s="95" t="s">
        <v>1917</v>
      </c>
      <c r="X1049" s="95" t="s">
        <v>306</v>
      </c>
      <c r="Y1049" s="72" t="s">
        <v>4</v>
      </c>
      <c r="Z1049" s="72" t="s">
        <v>4</v>
      </c>
      <c r="AA1049" s="95" t="s">
        <v>2819</v>
      </c>
      <c r="AB1049" s="132"/>
      <c r="AC1049" s="132"/>
      <c r="AD1049" s="132"/>
      <c r="AE1049" s="63"/>
      <c r="AF1049" s="63"/>
      <c r="AG1049" s="63"/>
    </row>
    <row r="1050" spans="1:33" ht="17.2" customHeight="1">
      <c r="A1050" s="64" t="str">
        <f>IF(priority(Main[[#This Row],[Comments]])&lt;&gt;0, priority(Main[[#This Row],[Comments]]),"")</f>
        <v/>
      </c>
      <c r="B1050" s="60" t="s">
        <v>2218</v>
      </c>
      <c r="C1050" s="72" t="s">
        <v>4</v>
      </c>
      <c r="D1050" s="59" t="s">
        <v>2219</v>
      </c>
      <c r="E1050" s="85">
        <v>40802.356851851851</v>
      </c>
      <c r="F1050" s="85"/>
      <c r="G1050" s="64" t="str">
        <f>IF(stdProdLT(Main[[#This Row],[Comments]])=0.1,"N/A",IF(stdProdLT(Main[[#This Row],[Comments]])=0,"",TRIM(stdProdLT(Main[[#This Row],[Comments]]))))</f>
        <v/>
      </c>
      <c r="H1050" s="94" t="str">
        <f>IF(OR(Main[[#This Row],[Std. Prod. Lead Time]]="N/A",Main[[#This Row],[Std. Prod. Lead Time]]=""), "",IF(AND(Main[[#This Row],[In Stock Date]]&lt;&gt;"",Main[[#This Row],[Revised Due Date]]&lt;&gt;"",Main[[#This Row],[In Stock Date]]&lt;&gt;""),Main[[#This Row],[In Stock Date]]-Main[[#This Row],[Revised Due Date]],""))</f>
        <v/>
      </c>
      <c r="I1050" s="101" t="s">
        <v>102</v>
      </c>
      <c r="J1050" s="95" t="s">
        <v>75</v>
      </c>
      <c r="K1050" s="95" t="s">
        <v>1924</v>
      </c>
      <c r="L1050" s="85"/>
      <c r="M1050" s="73" t="str">
        <f>IF(Main[[#This Row],[Tech Start Date]]&lt;1/1/1990,"",IF(Main[[#This Row],[Class]]="C",WORKDAY(Main[[#This Row],[Tech Start Date]],9),IF(Main[[#This Row],[Class]]="B", WORKDAY(Main[[#This Row],[Tech Start Date]],6),IF(Main[[#This Row],[Class]]="A",WORKDAY(Main[[#This Row],[Tech Start Date]],2),""))))</f>
        <v/>
      </c>
      <c r="N1050" s="73" t="str">
        <f>IF(Main[[#This Row],[Tech Start Date]]&lt;1/1/1990,"",IF(Main[[#This Row],[Class]]="C",WORKDAY(Main[[#This Row],[Tech Start Date]],19),IF(Main[[#This Row],[Class]]="B", WORKDAY(Main[[#This Row],[Tech Start Date]],12),IF(Main[[#This Row],[Class]]="A",WORKDAY(Main[[#This Row],[Tech Start Date]],4),""))))</f>
        <v/>
      </c>
      <c r="O1050" s="73" t="str">
        <f>IF(Main[[#This Row],[Tech Start Date]]&lt;1/1/1990,"",IF(Main[[#This Row],[Class]]="C",WORKDAY(Main[[#This Row],[Tech Start Date]],23),IF(Main[[#This Row],[Class]]="B", WORKDAY(Main[[#This Row],[Tech Start Date]],15),IF(Main[[#This Row],[Class]]="A",WORKDAY(Main[[#This Row],[Tech Start Date]],5),""))))</f>
        <v/>
      </c>
      <c r="P1050" s="73" t="str">
        <f>IF(Main[[#This Row],[Tech Start Date]]&lt;1/1/1990,"",IF(Main[[#This Row],[Class]]="C",WORKDAY(Main[[#This Row],[Tech Start Date]],28),IF(Main[[#This Row],[Class]]="B", WORKDAY(Main[[#This Row],[Tech Start Date]],19),IF(Main[[#This Row],[Class]]="A",WORKDAY(Main[[#This Row],[Tech Start Date]],9),""))))</f>
        <v/>
      </c>
      <c r="Q1050" s="85"/>
      <c r="R1050" s="112"/>
      <c r="S1050" s="95" t="s">
        <v>6</v>
      </c>
      <c r="T1050" s="74" t="s">
        <v>4</v>
      </c>
      <c r="U1050" s="95" t="s">
        <v>29</v>
      </c>
      <c r="V1050" s="95" t="s">
        <v>1914</v>
      </c>
      <c r="W1050" s="95" t="s">
        <v>1915</v>
      </c>
      <c r="X1050" s="95" t="s">
        <v>102</v>
      </c>
      <c r="Y1050" s="72" t="s">
        <v>3100</v>
      </c>
      <c r="Z1050" s="72" t="s">
        <v>306</v>
      </c>
      <c r="AA1050" s="95" t="s">
        <v>3406</v>
      </c>
      <c r="AB1050" s="132"/>
      <c r="AC1050" s="132"/>
      <c r="AD1050" s="132"/>
      <c r="AE1050" s="63"/>
      <c r="AF1050" s="63"/>
      <c r="AG1050" s="63"/>
    </row>
    <row r="1051" spans="1:33" ht="17.2" customHeight="1">
      <c r="A1051" s="64" t="str">
        <f>IF(priority(Main[[#This Row],[Comments]])&lt;&gt;0, priority(Main[[#This Row],[Comments]]),"")</f>
        <v/>
      </c>
      <c r="B1051" s="60" t="s">
        <v>3265</v>
      </c>
      <c r="C1051" s="72" t="s">
        <v>4</v>
      </c>
      <c r="D1051" s="59" t="s">
        <v>3266</v>
      </c>
      <c r="E1051" s="85">
        <v>40933.366932870369</v>
      </c>
      <c r="F1051" s="85"/>
      <c r="G1051" s="64" t="str">
        <f>IF(stdProdLT(Main[[#This Row],[Comments]])=0.1,"N/A",IF(stdProdLT(Main[[#This Row],[Comments]])=0,"",TRIM(stdProdLT(Main[[#This Row],[Comments]]))))</f>
        <v/>
      </c>
      <c r="H1051" s="94" t="str">
        <f>IF(OR(Main[[#This Row],[Std. Prod. Lead Time]]="N/A",Main[[#This Row],[Std. Prod. Lead Time]]=""), "",IF(AND(Main[[#This Row],[In Stock Date]]&lt;&gt;"",Main[[#This Row],[Revised Due Date]]&lt;&gt;"",Main[[#This Row],[In Stock Date]]&lt;&gt;""),Main[[#This Row],[In Stock Date]]-Main[[#This Row],[Revised Due Date]],""))</f>
        <v/>
      </c>
      <c r="I1051" s="101" t="s">
        <v>44</v>
      </c>
      <c r="J1051" s="95" t="s">
        <v>52</v>
      </c>
      <c r="K1051" s="95" t="s">
        <v>1920</v>
      </c>
      <c r="L1051" s="85"/>
      <c r="M1051" s="73" t="str">
        <f>IF(Main[[#This Row],[Tech Start Date]]&lt;1/1/1990,"",IF(Main[[#This Row],[Class]]="C",WORKDAY(Main[[#This Row],[Tech Start Date]],9),IF(Main[[#This Row],[Class]]="B", WORKDAY(Main[[#This Row],[Tech Start Date]],6),IF(Main[[#This Row],[Class]]="A",WORKDAY(Main[[#This Row],[Tech Start Date]],2),""))))</f>
        <v/>
      </c>
      <c r="N1051" s="73" t="str">
        <f>IF(Main[[#This Row],[Tech Start Date]]&lt;1/1/1990,"",IF(Main[[#This Row],[Class]]="C",WORKDAY(Main[[#This Row],[Tech Start Date]],19),IF(Main[[#This Row],[Class]]="B", WORKDAY(Main[[#This Row],[Tech Start Date]],12),IF(Main[[#This Row],[Class]]="A",WORKDAY(Main[[#This Row],[Tech Start Date]],4),""))))</f>
        <v/>
      </c>
      <c r="O1051" s="73" t="str">
        <f>IF(Main[[#This Row],[Tech Start Date]]&lt;1/1/1990,"",IF(Main[[#This Row],[Class]]="C",WORKDAY(Main[[#This Row],[Tech Start Date]],23),IF(Main[[#This Row],[Class]]="B", WORKDAY(Main[[#This Row],[Tech Start Date]],15),IF(Main[[#This Row],[Class]]="A",WORKDAY(Main[[#This Row],[Tech Start Date]],5),""))))</f>
        <v/>
      </c>
      <c r="P1051" s="73" t="str">
        <f>IF(Main[[#This Row],[Tech Start Date]]&lt;1/1/1990,"",IF(Main[[#This Row],[Class]]="C",WORKDAY(Main[[#This Row],[Tech Start Date]],28),IF(Main[[#This Row],[Class]]="B", WORKDAY(Main[[#This Row],[Tech Start Date]],19),IF(Main[[#This Row],[Class]]="A",WORKDAY(Main[[#This Row],[Tech Start Date]],9),""))))</f>
        <v/>
      </c>
      <c r="Q1051" s="85"/>
      <c r="R1051" s="112"/>
      <c r="S1051" s="95" t="s">
        <v>6</v>
      </c>
      <c r="T1051" s="74" t="s">
        <v>4</v>
      </c>
      <c r="U1051" s="95" t="s">
        <v>29</v>
      </c>
      <c r="V1051" s="95" t="s">
        <v>1914</v>
      </c>
      <c r="W1051" s="95" t="s">
        <v>1915</v>
      </c>
      <c r="X1051" s="95" t="s">
        <v>2846</v>
      </c>
      <c r="Y1051" s="72" t="s">
        <v>2978</v>
      </c>
      <c r="Z1051" s="72" t="s">
        <v>30</v>
      </c>
      <c r="AA1051" s="95" t="s">
        <v>2846</v>
      </c>
      <c r="AB1051" s="132"/>
      <c r="AC1051" s="132"/>
      <c r="AD1051" s="132"/>
      <c r="AE1051" s="63"/>
      <c r="AF1051" s="63"/>
      <c r="AG1051" s="63"/>
    </row>
    <row r="1052" spans="1:33" ht="17.2" customHeight="1">
      <c r="A1052" s="64" t="str">
        <f>IF(priority(Main[[#This Row],[Comments]])&lt;&gt;0, priority(Main[[#This Row],[Comments]]),"")</f>
        <v/>
      </c>
      <c r="B1052" s="60" t="s">
        <v>1839</v>
      </c>
      <c r="C1052" s="72" t="s">
        <v>4</v>
      </c>
      <c r="D1052" s="59" t="s">
        <v>897</v>
      </c>
      <c r="E1052" s="85">
        <v>40080.410775462966</v>
      </c>
      <c r="F1052" s="85"/>
      <c r="G1052" s="64" t="str">
        <f>IF(stdProdLT(Main[[#This Row],[Comments]])=0.1,"N/A",IF(stdProdLT(Main[[#This Row],[Comments]])=0,"",TRIM(stdProdLT(Main[[#This Row],[Comments]]))))</f>
        <v/>
      </c>
      <c r="H1052" s="94" t="str">
        <f>IF(OR(Main[[#This Row],[Std. Prod. Lead Time]]="N/A",Main[[#This Row],[Std. Prod. Lead Time]]=""), "",IF(AND(Main[[#This Row],[In Stock Date]]&lt;&gt;"",Main[[#This Row],[Revised Due Date]]&lt;&gt;"",Main[[#This Row],[In Stock Date]]&lt;&gt;""),Main[[#This Row],[In Stock Date]]-Main[[#This Row],[Revised Due Date]],""))</f>
        <v/>
      </c>
      <c r="I1052" s="101" t="s">
        <v>898</v>
      </c>
      <c r="J1052" s="95" t="s">
        <v>28</v>
      </c>
      <c r="K1052" s="95" t="s">
        <v>1920</v>
      </c>
      <c r="L1052" s="85"/>
      <c r="M1052" s="73" t="str">
        <f>IF(Main[[#This Row],[Tech Start Date]]&lt;1/1/1990,"",IF(Main[[#This Row],[Class]]="C",WORKDAY(Main[[#This Row],[Tech Start Date]],9),IF(Main[[#This Row],[Class]]="B", WORKDAY(Main[[#This Row],[Tech Start Date]],6),IF(Main[[#This Row],[Class]]="A",WORKDAY(Main[[#This Row],[Tech Start Date]],2),""))))</f>
        <v/>
      </c>
      <c r="N1052" s="73" t="str">
        <f>IF(Main[[#This Row],[Tech Start Date]]&lt;1/1/1990,"",IF(Main[[#This Row],[Class]]="C",WORKDAY(Main[[#This Row],[Tech Start Date]],19),IF(Main[[#This Row],[Class]]="B", WORKDAY(Main[[#This Row],[Tech Start Date]],12),IF(Main[[#This Row],[Class]]="A",WORKDAY(Main[[#This Row],[Tech Start Date]],4),""))))</f>
        <v/>
      </c>
      <c r="O1052" s="73" t="str">
        <f>IF(Main[[#This Row],[Tech Start Date]]&lt;1/1/1990,"",IF(Main[[#This Row],[Class]]="C",WORKDAY(Main[[#This Row],[Tech Start Date]],23),IF(Main[[#This Row],[Class]]="B", WORKDAY(Main[[#This Row],[Tech Start Date]],15),IF(Main[[#This Row],[Class]]="A",WORKDAY(Main[[#This Row],[Tech Start Date]],5),""))))</f>
        <v/>
      </c>
      <c r="P1052" s="73" t="str">
        <f>IF(Main[[#This Row],[Tech Start Date]]&lt;1/1/1990,"",IF(Main[[#This Row],[Class]]="C",WORKDAY(Main[[#This Row],[Tech Start Date]],28),IF(Main[[#This Row],[Class]]="B", WORKDAY(Main[[#This Row],[Tech Start Date]],19),IF(Main[[#This Row],[Class]]="A",WORKDAY(Main[[#This Row],[Tech Start Date]],9),""))))</f>
        <v/>
      </c>
      <c r="Q1052" s="85"/>
      <c r="R1052" s="112">
        <v>40494</v>
      </c>
      <c r="S1052" s="95" t="s">
        <v>6</v>
      </c>
      <c r="T1052" s="74" t="s">
        <v>4</v>
      </c>
      <c r="U1052" s="95" t="s">
        <v>29</v>
      </c>
      <c r="V1052" s="95" t="s">
        <v>1914</v>
      </c>
      <c r="W1052" s="95" t="s">
        <v>1915</v>
      </c>
      <c r="X1052" s="95" t="s">
        <v>2867</v>
      </c>
      <c r="Y1052" s="72" t="s">
        <v>3021</v>
      </c>
      <c r="Z1052" s="72" t="s">
        <v>415</v>
      </c>
      <c r="AA1052" s="95" t="s">
        <v>2867</v>
      </c>
      <c r="AB1052" s="132"/>
      <c r="AC1052" s="132"/>
      <c r="AD1052" s="132"/>
      <c r="AE1052" s="63"/>
      <c r="AF1052" s="63"/>
      <c r="AG1052" s="63"/>
    </row>
    <row r="1053" spans="1:33" ht="17.2" customHeight="1">
      <c r="A1053" s="64" t="str">
        <f>IF(priority(Main[[#This Row],[Comments]])&lt;&gt;0, priority(Main[[#This Row],[Comments]]),"")</f>
        <v/>
      </c>
      <c r="B1053" s="60" t="s">
        <v>1793</v>
      </c>
      <c r="C1053" s="72" t="s">
        <v>4</v>
      </c>
      <c r="D1053" s="59" t="s">
        <v>839</v>
      </c>
      <c r="E1053" s="85">
        <v>40639.681793981479</v>
      </c>
      <c r="F1053" s="85"/>
      <c r="G1053" s="64" t="str">
        <f>IF(stdProdLT(Main[[#This Row],[Comments]])=0.1,"N/A",IF(stdProdLT(Main[[#This Row],[Comments]])=0,"",TRIM(stdProdLT(Main[[#This Row],[Comments]]))))</f>
        <v/>
      </c>
      <c r="H1053" s="94" t="str">
        <f>IF(OR(Main[[#This Row],[Std. Prod. Lead Time]]="N/A",Main[[#This Row],[Std. Prod. Lead Time]]=""), "",IF(AND(Main[[#This Row],[In Stock Date]]&lt;&gt;"",Main[[#This Row],[Revised Due Date]]&lt;&gt;"",Main[[#This Row],[In Stock Date]]&lt;&gt;""),Main[[#This Row],[In Stock Date]]-Main[[#This Row],[Revised Due Date]],""))</f>
        <v/>
      </c>
      <c r="I1053" s="101" t="s">
        <v>130</v>
      </c>
      <c r="J1053" s="95" t="s">
        <v>70</v>
      </c>
      <c r="K1053" s="95" t="s">
        <v>1920</v>
      </c>
      <c r="L1053" s="85"/>
      <c r="M1053" s="73" t="str">
        <f>IF(Main[[#This Row],[Tech Start Date]]&lt;1/1/1990,"",IF(Main[[#This Row],[Class]]="C",WORKDAY(Main[[#This Row],[Tech Start Date]],9),IF(Main[[#This Row],[Class]]="B", WORKDAY(Main[[#This Row],[Tech Start Date]],6),IF(Main[[#This Row],[Class]]="A",WORKDAY(Main[[#This Row],[Tech Start Date]],2),""))))</f>
        <v/>
      </c>
      <c r="N1053" s="73" t="str">
        <f>IF(Main[[#This Row],[Tech Start Date]]&lt;1/1/1990,"",IF(Main[[#This Row],[Class]]="C",WORKDAY(Main[[#This Row],[Tech Start Date]],19),IF(Main[[#This Row],[Class]]="B", WORKDAY(Main[[#This Row],[Tech Start Date]],12),IF(Main[[#This Row],[Class]]="A",WORKDAY(Main[[#This Row],[Tech Start Date]],4),""))))</f>
        <v/>
      </c>
      <c r="O1053" s="73" t="str">
        <f>IF(Main[[#This Row],[Tech Start Date]]&lt;1/1/1990,"",IF(Main[[#This Row],[Class]]="C",WORKDAY(Main[[#This Row],[Tech Start Date]],23),IF(Main[[#This Row],[Class]]="B", WORKDAY(Main[[#This Row],[Tech Start Date]],15),IF(Main[[#This Row],[Class]]="A",WORKDAY(Main[[#This Row],[Tech Start Date]],5),""))))</f>
        <v/>
      </c>
      <c r="P1053" s="73" t="str">
        <f>IF(Main[[#This Row],[Tech Start Date]]&lt;1/1/1990,"",IF(Main[[#This Row],[Class]]="C",WORKDAY(Main[[#This Row],[Tech Start Date]],28),IF(Main[[#This Row],[Class]]="B", WORKDAY(Main[[#This Row],[Tech Start Date]],19),IF(Main[[#This Row],[Class]]="A",WORKDAY(Main[[#This Row],[Tech Start Date]],9),""))))</f>
        <v/>
      </c>
      <c r="Q1053" s="85">
        <v>40669</v>
      </c>
      <c r="R1053" s="112"/>
      <c r="S1053" s="95" t="s">
        <v>6</v>
      </c>
      <c r="T1053" s="74" t="s">
        <v>4</v>
      </c>
      <c r="U1053" s="95" t="s">
        <v>29</v>
      </c>
      <c r="V1053" s="95" t="s">
        <v>1914</v>
      </c>
      <c r="W1053" s="95" t="s">
        <v>1915</v>
      </c>
      <c r="X1053" s="95" t="s">
        <v>2799</v>
      </c>
      <c r="Y1053" s="72" t="s">
        <v>2910</v>
      </c>
      <c r="Z1053" s="72" t="s">
        <v>530</v>
      </c>
      <c r="AA1053" s="95" t="s">
        <v>2799</v>
      </c>
      <c r="AB1053" s="132"/>
      <c r="AC1053" s="132"/>
      <c r="AD1053" s="132"/>
      <c r="AE1053" s="63"/>
      <c r="AF1053" s="63"/>
      <c r="AG1053" s="63"/>
    </row>
    <row r="1054" spans="1:33" ht="17.2" customHeight="1">
      <c r="A1054" s="64" t="str">
        <f>IF(priority(Main[[#This Row],[Comments]])&lt;&gt;0, priority(Main[[#This Row],[Comments]]),"")</f>
        <v/>
      </c>
      <c r="B1054" s="60" t="s">
        <v>1888</v>
      </c>
      <c r="C1054" s="72" t="s">
        <v>116</v>
      </c>
      <c r="D1054" s="59" t="s">
        <v>2307</v>
      </c>
      <c r="E1054" s="85">
        <v>40673.421898148146</v>
      </c>
      <c r="F1054" s="85"/>
      <c r="G1054" s="64" t="str">
        <f>IF(stdProdLT(Main[[#This Row],[Comments]])=0.1,"N/A",IF(stdProdLT(Main[[#This Row],[Comments]])=0,"",TRIM(stdProdLT(Main[[#This Row],[Comments]]))))</f>
        <v/>
      </c>
      <c r="H1054" s="94" t="str">
        <f>IF(OR(Main[[#This Row],[Std. Prod. Lead Time]]="N/A",Main[[#This Row],[Std. Prod. Lead Time]]=""), "",IF(AND(Main[[#This Row],[In Stock Date]]&lt;&gt;"",Main[[#This Row],[Revised Due Date]]&lt;&gt;"",Main[[#This Row],[In Stock Date]]&lt;&gt;""),Main[[#This Row],[In Stock Date]]-Main[[#This Row],[Revised Due Date]],""))</f>
        <v/>
      </c>
      <c r="I1054" s="101" t="s">
        <v>937</v>
      </c>
      <c r="J1054" s="95" t="s">
        <v>28</v>
      </c>
      <c r="K1054" s="95" t="s">
        <v>1923</v>
      </c>
      <c r="L1054" s="85"/>
      <c r="M1054" s="73" t="str">
        <f>IF(Main[[#This Row],[Tech Start Date]]&lt;1/1/1990,"",IF(Main[[#This Row],[Class]]="C",WORKDAY(Main[[#This Row],[Tech Start Date]],9),IF(Main[[#This Row],[Class]]="B", WORKDAY(Main[[#This Row],[Tech Start Date]],6),IF(Main[[#This Row],[Class]]="A",WORKDAY(Main[[#This Row],[Tech Start Date]],2),""))))</f>
        <v/>
      </c>
      <c r="N1054" s="73" t="str">
        <f>IF(Main[[#This Row],[Tech Start Date]]&lt;1/1/1990,"",IF(Main[[#This Row],[Class]]="C",WORKDAY(Main[[#This Row],[Tech Start Date]],19),IF(Main[[#This Row],[Class]]="B", WORKDAY(Main[[#This Row],[Tech Start Date]],12),IF(Main[[#This Row],[Class]]="A",WORKDAY(Main[[#This Row],[Tech Start Date]],4),""))))</f>
        <v/>
      </c>
      <c r="O1054" s="73" t="str">
        <f>IF(Main[[#This Row],[Tech Start Date]]&lt;1/1/1990,"",IF(Main[[#This Row],[Class]]="C",WORKDAY(Main[[#This Row],[Tech Start Date]],23),IF(Main[[#This Row],[Class]]="B", WORKDAY(Main[[#This Row],[Tech Start Date]],15),IF(Main[[#This Row],[Class]]="A",WORKDAY(Main[[#This Row],[Tech Start Date]],5),""))))</f>
        <v/>
      </c>
      <c r="P1054" s="73" t="str">
        <f>IF(Main[[#This Row],[Tech Start Date]]&lt;1/1/1990,"",IF(Main[[#This Row],[Class]]="C",WORKDAY(Main[[#This Row],[Tech Start Date]],28),IF(Main[[#This Row],[Class]]="B", WORKDAY(Main[[#This Row],[Tech Start Date]],19),IF(Main[[#This Row],[Class]]="A",WORKDAY(Main[[#This Row],[Tech Start Date]],9),""))))</f>
        <v/>
      </c>
      <c r="Q1054" s="85">
        <v>40724</v>
      </c>
      <c r="R1054" s="112">
        <v>40847</v>
      </c>
      <c r="S1054" s="95" t="s">
        <v>6</v>
      </c>
      <c r="T1054" s="74" t="s">
        <v>2407</v>
      </c>
      <c r="U1054" s="95" t="s">
        <v>29</v>
      </c>
      <c r="V1054" s="95" t="s">
        <v>1911</v>
      </c>
      <c r="W1054" s="95" t="s">
        <v>1915</v>
      </c>
      <c r="X1054" s="95" t="s">
        <v>912</v>
      </c>
      <c r="Y1054" s="72" t="s">
        <v>3035</v>
      </c>
      <c r="Z1054" s="72" t="s">
        <v>129</v>
      </c>
      <c r="AA1054" s="95" t="s">
        <v>912</v>
      </c>
      <c r="AB1054" s="132"/>
      <c r="AC1054" s="132"/>
      <c r="AD1054" s="132"/>
      <c r="AE1054" s="63"/>
      <c r="AF1054" s="63"/>
      <c r="AG1054" s="63"/>
    </row>
    <row r="1055" spans="1:33" ht="17.2" customHeight="1">
      <c r="A1055" s="64" t="str">
        <f>IF(priority(Main[[#This Row],[Comments]])&lt;&gt;0, priority(Main[[#This Row],[Comments]]),"")</f>
        <v/>
      </c>
      <c r="B1055" s="60" t="s">
        <v>2408</v>
      </c>
      <c r="C1055" s="72" t="s">
        <v>213</v>
      </c>
      <c r="D1055" s="59" t="s">
        <v>2409</v>
      </c>
      <c r="E1055" s="85">
        <v>40861.655509259261</v>
      </c>
      <c r="F1055" s="85"/>
      <c r="G1055" s="64" t="str">
        <f>IF(stdProdLT(Main[[#This Row],[Comments]])=0.1,"N/A",IF(stdProdLT(Main[[#This Row],[Comments]])=0,"",TRIM(stdProdLT(Main[[#This Row],[Comments]]))))</f>
        <v/>
      </c>
      <c r="H1055" s="94" t="str">
        <f>IF(OR(Main[[#This Row],[Std. Prod. Lead Time]]="N/A",Main[[#This Row],[Std. Prod. Lead Time]]=""), "",IF(AND(Main[[#This Row],[In Stock Date]]&lt;&gt;"",Main[[#This Row],[Revised Due Date]]&lt;&gt;"",Main[[#This Row],[In Stock Date]]&lt;&gt;""),Main[[#This Row],[In Stock Date]]-Main[[#This Row],[Revised Due Date]],""))</f>
        <v/>
      </c>
      <c r="I1055" s="101" t="s">
        <v>4</v>
      </c>
      <c r="J1055" s="95" t="s">
        <v>4</v>
      </c>
      <c r="K1055" s="95" t="s">
        <v>4</v>
      </c>
      <c r="L1055" s="85"/>
      <c r="M1055" s="73" t="str">
        <f>IF(Main[[#This Row],[Tech Start Date]]&lt;1/1/1990,"",IF(Main[[#This Row],[Class]]="C",WORKDAY(Main[[#This Row],[Tech Start Date]],9),IF(Main[[#This Row],[Class]]="B", WORKDAY(Main[[#This Row],[Tech Start Date]],6),IF(Main[[#This Row],[Class]]="A",WORKDAY(Main[[#This Row],[Tech Start Date]],2),""))))</f>
        <v/>
      </c>
      <c r="N1055" s="73" t="str">
        <f>IF(Main[[#This Row],[Tech Start Date]]&lt;1/1/1990,"",IF(Main[[#This Row],[Class]]="C",WORKDAY(Main[[#This Row],[Tech Start Date]],19),IF(Main[[#This Row],[Class]]="B", WORKDAY(Main[[#This Row],[Tech Start Date]],12),IF(Main[[#This Row],[Class]]="A",WORKDAY(Main[[#This Row],[Tech Start Date]],4),""))))</f>
        <v/>
      </c>
      <c r="O1055" s="73" t="str">
        <f>IF(Main[[#This Row],[Tech Start Date]]&lt;1/1/1990,"",IF(Main[[#This Row],[Class]]="C",WORKDAY(Main[[#This Row],[Tech Start Date]],23),IF(Main[[#This Row],[Class]]="B", WORKDAY(Main[[#This Row],[Tech Start Date]],15),IF(Main[[#This Row],[Class]]="A",WORKDAY(Main[[#This Row],[Tech Start Date]],5),""))))</f>
        <v/>
      </c>
      <c r="P1055" s="73" t="str">
        <f>IF(Main[[#This Row],[Tech Start Date]]&lt;1/1/1990,"",IF(Main[[#This Row],[Class]]="C",WORKDAY(Main[[#This Row],[Tech Start Date]],28),IF(Main[[#This Row],[Class]]="B", WORKDAY(Main[[#This Row],[Tech Start Date]],19),IF(Main[[#This Row],[Class]]="A",WORKDAY(Main[[#This Row],[Tech Start Date]],9),""))))</f>
        <v/>
      </c>
      <c r="Q1055" s="85">
        <v>40967</v>
      </c>
      <c r="R1055" s="112"/>
      <c r="S1055" s="95" t="s">
        <v>17</v>
      </c>
      <c r="T1055" s="74" t="s">
        <v>4</v>
      </c>
      <c r="U1055" s="95" t="s">
        <v>7</v>
      </c>
      <c r="V1055" s="95" t="s">
        <v>1921</v>
      </c>
      <c r="W1055" s="95" t="s">
        <v>1916</v>
      </c>
      <c r="X1055" s="95" t="s">
        <v>431</v>
      </c>
      <c r="Y1055" s="72" t="s">
        <v>3101</v>
      </c>
      <c r="Z1055" s="72" t="s">
        <v>4</v>
      </c>
      <c r="AA1055" s="95" t="s">
        <v>431</v>
      </c>
      <c r="AB1055" s="132"/>
      <c r="AC1055" s="132"/>
      <c r="AD1055" s="132"/>
      <c r="AE1055" s="63"/>
      <c r="AF1055" s="63"/>
      <c r="AG1055" s="63"/>
    </row>
    <row r="1056" spans="1:33" ht="17.2" customHeight="1">
      <c r="A1056" s="64" t="str">
        <f>IF(priority(Main[[#This Row],[Comments]])&lt;&gt;0, priority(Main[[#This Row],[Comments]]),"")</f>
        <v/>
      </c>
      <c r="B1056" s="60" t="s">
        <v>2271</v>
      </c>
      <c r="C1056" s="72" t="s">
        <v>2272</v>
      </c>
      <c r="D1056" s="59" t="s">
        <v>2273</v>
      </c>
      <c r="E1056" s="85"/>
      <c r="F1056" s="85">
        <v>40816</v>
      </c>
      <c r="G1056" s="64" t="str">
        <f>IF(stdProdLT(Main[[#This Row],[Comments]])=0.1,"N/A",IF(stdProdLT(Main[[#This Row],[Comments]])=0,"",TRIM(stdProdLT(Main[[#This Row],[Comments]]))))</f>
        <v/>
      </c>
      <c r="H1056" s="94" t="str">
        <f>IF(OR(Main[[#This Row],[Std. Prod. Lead Time]]="N/A",Main[[#This Row],[Std. Prod. Lead Time]]=""), "",IF(AND(Main[[#This Row],[In Stock Date]]&lt;&gt;"",Main[[#This Row],[Revised Due Date]]&lt;&gt;"",Main[[#This Row],[In Stock Date]]&lt;&gt;""),Main[[#This Row],[In Stock Date]]-Main[[#This Row],[Revised Due Date]],""))</f>
        <v/>
      </c>
      <c r="I1056" s="101" t="s">
        <v>4</v>
      </c>
      <c r="J1056" s="95" t="s">
        <v>4</v>
      </c>
      <c r="K1056" s="95" t="s">
        <v>4</v>
      </c>
      <c r="L1056" s="85"/>
      <c r="M1056" s="73" t="str">
        <f>IF(Main[[#This Row],[Tech Start Date]]&lt;1/1/1990,"",IF(Main[[#This Row],[Class]]="C",WORKDAY(Main[[#This Row],[Tech Start Date]],9),IF(Main[[#This Row],[Class]]="B", WORKDAY(Main[[#This Row],[Tech Start Date]],6),IF(Main[[#This Row],[Class]]="A",WORKDAY(Main[[#This Row],[Tech Start Date]],2),""))))</f>
        <v/>
      </c>
      <c r="N1056" s="73" t="str">
        <f>IF(Main[[#This Row],[Tech Start Date]]&lt;1/1/1990,"",IF(Main[[#This Row],[Class]]="C",WORKDAY(Main[[#This Row],[Tech Start Date]],19),IF(Main[[#This Row],[Class]]="B", WORKDAY(Main[[#This Row],[Tech Start Date]],12),IF(Main[[#This Row],[Class]]="A",WORKDAY(Main[[#This Row],[Tech Start Date]],4),""))))</f>
        <v/>
      </c>
      <c r="O1056" s="73" t="str">
        <f>IF(Main[[#This Row],[Tech Start Date]]&lt;1/1/1990,"",IF(Main[[#This Row],[Class]]="C",WORKDAY(Main[[#This Row],[Tech Start Date]],23),IF(Main[[#This Row],[Class]]="B", WORKDAY(Main[[#This Row],[Tech Start Date]],15),IF(Main[[#This Row],[Class]]="A",WORKDAY(Main[[#This Row],[Tech Start Date]],5),""))))</f>
        <v/>
      </c>
      <c r="P1056" s="73" t="str">
        <f>IF(Main[[#This Row],[Tech Start Date]]&lt;1/1/1990,"",IF(Main[[#This Row],[Class]]="C",WORKDAY(Main[[#This Row],[Tech Start Date]],28),IF(Main[[#This Row],[Class]]="B", WORKDAY(Main[[#This Row],[Tech Start Date]],19),IF(Main[[#This Row],[Class]]="A",WORKDAY(Main[[#This Row],[Tech Start Date]],9),""))))</f>
        <v/>
      </c>
      <c r="Q1056" s="85">
        <v>40816</v>
      </c>
      <c r="R1056" s="112"/>
      <c r="S1056" s="95" t="s">
        <v>296</v>
      </c>
      <c r="T1056" s="74" t="s">
        <v>4</v>
      </c>
      <c r="U1056" s="95" t="s">
        <v>14</v>
      </c>
      <c r="V1056" s="95" t="s">
        <v>1921</v>
      </c>
      <c r="W1056" s="95" t="s">
        <v>1919</v>
      </c>
      <c r="X1056" s="95" t="s">
        <v>2889</v>
      </c>
      <c r="Y1056" s="72" t="s">
        <v>3102</v>
      </c>
      <c r="Z1056" s="72" t="s">
        <v>4</v>
      </c>
      <c r="AA1056" s="95" t="s">
        <v>3410</v>
      </c>
      <c r="AB1056" s="132"/>
      <c r="AC1056" s="132"/>
      <c r="AD1056" s="132"/>
      <c r="AE1056" s="63"/>
      <c r="AF1056" s="63"/>
      <c r="AG1056" s="63"/>
    </row>
    <row r="1057" spans="1:33" ht="17.2" customHeight="1">
      <c r="A1057" s="64" t="str">
        <f>IF(priority(Main[[#This Row],[Comments]])&lt;&gt;0, priority(Main[[#This Row],[Comments]]),"")</f>
        <v/>
      </c>
      <c r="B1057" s="60" t="s">
        <v>2410</v>
      </c>
      <c r="C1057" s="72" t="s">
        <v>4</v>
      </c>
      <c r="D1057" s="59" t="s">
        <v>2411</v>
      </c>
      <c r="E1057" s="85">
        <v>40826.139097222222</v>
      </c>
      <c r="F1057" s="85"/>
      <c r="G1057" s="64" t="str">
        <f>IF(stdProdLT(Main[[#This Row],[Comments]])=0.1,"N/A",IF(stdProdLT(Main[[#This Row],[Comments]])=0,"",TRIM(stdProdLT(Main[[#This Row],[Comments]]))))</f>
        <v/>
      </c>
      <c r="H1057" s="94" t="str">
        <f>IF(OR(Main[[#This Row],[Std. Prod. Lead Time]]="N/A",Main[[#This Row],[Std. Prod. Lead Time]]=""), "",IF(AND(Main[[#This Row],[In Stock Date]]&lt;&gt;"",Main[[#This Row],[Revised Due Date]]&lt;&gt;"",Main[[#This Row],[In Stock Date]]&lt;&gt;""),Main[[#This Row],[In Stock Date]]-Main[[#This Row],[Revised Due Date]],""))</f>
        <v/>
      </c>
      <c r="I1057" s="101" t="s">
        <v>4</v>
      </c>
      <c r="J1057" s="95" t="s">
        <v>4</v>
      </c>
      <c r="K1057" s="95" t="s">
        <v>4</v>
      </c>
      <c r="L1057" s="85"/>
      <c r="M1057" s="73" t="str">
        <f>IF(Main[[#This Row],[Tech Start Date]]&lt;1/1/1990,"",IF(Main[[#This Row],[Class]]="C",WORKDAY(Main[[#This Row],[Tech Start Date]],9),IF(Main[[#This Row],[Class]]="B", WORKDAY(Main[[#This Row],[Tech Start Date]],6),IF(Main[[#This Row],[Class]]="A",WORKDAY(Main[[#This Row],[Tech Start Date]],2),""))))</f>
        <v/>
      </c>
      <c r="N1057" s="73" t="str">
        <f>IF(Main[[#This Row],[Tech Start Date]]&lt;1/1/1990,"",IF(Main[[#This Row],[Class]]="C",WORKDAY(Main[[#This Row],[Tech Start Date]],19),IF(Main[[#This Row],[Class]]="B", WORKDAY(Main[[#This Row],[Tech Start Date]],12),IF(Main[[#This Row],[Class]]="A",WORKDAY(Main[[#This Row],[Tech Start Date]],4),""))))</f>
        <v/>
      </c>
      <c r="O1057" s="73" t="str">
        <f>IF(Main[[#This Row],[Tech Start Date]]&lt;1/1/1990,"",IF(Main[[#This Row],[Class]]="C",WORKDAY(Main[[#This Row],[Tech Start Date]],23),IF(Main[[#This Row],[Class]]="B", WORKDAY(Main[[#This Row],[Tech Start Date]],15),IF(Main[[#This Row],[Class]]="A",WORKDAY(Main[[#This Row],[Tech Start Date]],5),""))))</f>
        <v/>
      </c>
      <c r="P1057" s="73" t="str">
        <f>IF(Main[[#This Row],[Tech Start Date]]&lt;1/1/1990,"",IF(Main[[#This Row],[Class]]="C",WORKDAY(Main[[#This Row],[Tech Start Date]],28),IF(Main[[#This Row],[Class]]="B", WORKDAY(Main[[#This Row],[Tech Start Date]],19),IF(Main[[#This Row],[Class]]="A",WORKDAY(Main[[#This Row],[Tech Start Date]],9),""))))</f>
        <v/>
      </c>
      <c r="Q1057" s="85">
        <v>40847</v>
      </c>
      <c r="R1057" s="112"/>
      <c r="S1057" s="95" t="s">
        <v>6</v>
      </c>
      <c r="T1057" s="74" t="s">
        <v>4</v>
      </c>
      <c r="U1057" s="95" t="s">
        <v>7</v>
      </c>
      <c r="V1057" s="95" t="s">
        <v>1911</v>
      </c>
      <c r="W1057" s="95" t="s">
        <v>4</v>
      </c>
      <c r="X1057" s="95" t="s">
        <v>2831</v>
      </c>
      <c r="Y1057" s="72" t="s">
        <v>2964</v>
      </c>
      <c r="Z1057" s="72" t="s">
        <v>4</v>
      </c>
      <c r="AA1057" s="95" t="s">
        <v>2831</v>
      </c>
      <c r="AB1057" s="132"/>
      <c r="AC1057" s="132"/>
      <c r="AD1057" s="132"/>
      <c r="AE1057" s="63"/>
      <c r="AF1057" s="63"/>
      <c r="AG1057" s="63"/>
    </row>
    <row r="1058" spans="1:33" ht="17.2" customHeight="1">
      <c r="A1058" s="64" t="str">
        <f>IF(priority(Main[[#This Row],[Comments]])&lt;&gt;0, priority(Main[[#This Row],[Comments]]),"")</f>
        <v/>
      </c>
      <c r="B1058" s="60" t="s">
        <v>2386</v>
      </c>
      <c r="C1058" s="72" t="s">
        <v>4</v>
      </c>
      <c r="D1058" s="59" t="s">
        <v>2387</v>
      </c>
      <c r="E1058" s="85"/>
      <c r="F1058" s="85"/>
      <c r="G1058" s="64" t="str">
        <f>IF(stdProdLT(Main[[#This Row],[Comments]])=0.1,"N/A",IF(stdProdLT(Main[[#This Row],[Comments]])=0,"",TRIM(stdProdLT(Main[[#This Row],[Comments]]))))</f>
        <v/>
      </c>
      <c r="H1058" s="94" t="str">
        <f>IF(OR(Main[[#This Row],[Std. Prod. Lead Time]]="N/A",Main[[#This Row],[Std. Prod. Lead Time]]=""), "",IF(AND(Main[[#This Row],[In Stock Date]]&lt;&gt;"",Main[[#This Row],[Revised Due Date]]&lt;&gt;"",Main[[#This Row],[In Stock Date]]&lt;&gt;""),Main[[#This Row],[In Stock Date]]-Main[[#This Row],[Revised Due Date]],""))</f>
        <v/>
      </c>
      <c r="I1058" s="101" t="s">
        <v>4</v>
      </c>
      <c r="J1058" s="95" t="s">
        <v>4</v>
      </c>
      <c r="K1058" s="95" t="s">
        <v>4</v>
      </c>
      <c r="L1058" s="85"/>
      <c r="M1058" s="73" t="str">
        <f>IF(Main[[#This Row],[Tech Start Date]]&lt;1/1/1990,"",IF(Main[[#This Row],[Class]]="C",WORKDAY(Main[[#This Row],[Tech Start Date]],9),IF(Main[[#This Row],[Class]]="B", WORKDAY(Main[[#This Row],[Tech Start Date]],6),IF(Main[[#This Row],[Class]]="A",WORKDAY(Main[[#This Row],[Tech Start Date]],2),""))))</f>
        <v/>
      </c>
      <c r="N1058" s="73" t="str">
        <f>IF(Main[[#This Row],[Tech Start Date]]&lt;1/1/1990,"",IF(Main[[#This Row],[Class]]="C",WORKDAY(Main[[#This Row],[Tech Start Date]],19),IF(Main[[#This Row],[Class]]="B", WORKDAY(Main[[#This Row],[Tech Start Date]],12),IF(Main[[#This Row],[Class]]="A",WORKDAY(Main[[#This Row],[Tech Start Date]],4),""))))</f>
        <v/>
      </c>
      <c r="O1058" s="73" t="str">
        <f>IF(Main[[#This Row],[Tech Start Date]]&lt;1/1/1990,"",IF(Main[[#This Row],[Class]]="C",WORKDAY(Main[[#This Row],[Tech Start Date]],23),IF(Main[[#This Row],[Class]]="B", WORKDAY(Main[[#This Row],[Tech Start Date]],15),IF(Main[[#This Row],[Class]]="A",WORKDAY(Main[[#This Row],[Tech Start Date]],5),""))))</f>
        <v/>
      </c>
      <c r="P1058" s="73" t="str">
        <f>IF(Main[[#This Row],[Tech Start Date]]&lt;1/1/1990,"",IF(Main[[#This Row],[Class]]="C",WORKDAY(Main[[#This Row],[Tech Start Date]],28),IF(Main[[#This Row],[Class]]="B", WORKDAY(Main[[#This Row],[Tech Start Date]],19),IF(Main[[#This Row],[Class]]="A",WORKDAY(Main[[#This Row],[Tech Start Date]],9),""))))</f>
        <v/>
      </c>
      <c r="Q1058" s="85"/>
      <c r="R1058" s="112"/>
      <c r="S1058" s="95" t="s">
        <v>6</v>
      </c>
      <c r="T1058" s="74" t="s">
        <v>4</v>
      </c>
      <c r="U1058" s="95" t="s">
        <v>14</v>
      </c>
      <c r="V1058" s="95" t="s">
        <v>1911</v>
      </c>
      <c r="W1058" s="95" t="s">
        <v>1915</v>
      </c>
      <c r="X1058" s="95" t="s">
        <v>399</v>
      </c>
      <c r="Y1058" s="72" t="s">
        <v>4</v>
      </c>
      <c r="Z1058" s="72" t="s">
        <v>4</v>
      </c>
      <c r="AA1058" s="95" t="s">
        <v>3414</v>
      </c>
      <c r="AB1058" s="132"/>
      <c r="AC1058" s="132"/>
      <c r="AD1058" s="132"/>
      <c r="AE1058" s="63"/>
      <c r="AF1058" s="63"/>
      <c r="AG1058" s="63"/>
    </row>
    <row r="1059" spans="1:33" ht="17.2" customHeight="1">
      <c r="A1059" s="64" t="str">
        <f>IF(priority(Main[[#This Row],[Comments]])&lt;&gt;0, priority(Main[[#This Row],[Comments]]),"")</f>
        <v/>
      </c>
      <c r="B1059" s="60" t="s">
        <v>3612</v>
      </c>
      <c r="C1059" s="72" t="s">
        <v>4</v>
      </c>
      <c r="D1059" s="59" t="s">
        <v>3613</v>
      </c>
      <c r="E1059" s="85">
        <v>40963.259918981479</v>
      </c>
      <c r="F1059" s="85"/>
      <c r="G1059" s="64" t="str">
        <f>IF(stdProdLT(Main[[#This Row],[Comments]])=0.1,"N/A",IF(stdProdLT(Main[[#This Row],[Comments]])=0,"",TRIM(stdProdLT(Main[[#This Row],[Comments]]))))</f>
        <v/>
      </c>
      <c r="H1059" s="94" t="str">
        <f>IF(OR(Main[[#This Row],[Std. Prod. Lead Time]]="N/A",Main[[#This Row],[Std. Prod. Lead Time]]=""), "",IF(AND(Main[[#This Row],[In Stock Date]]&lt;&gt;"",Main[[#This Row],[Revised Due Date]]&lt;&gt;"",Main[[#This Row],[In Stock Date]]&lt;&gt;""),Main[[#This Row],[In Stock Date]]-Main[[#This Row],[Revised Due Date]],""))</f>
        <v/>
      </c>
      <c r="I1059" s="101" t="s">
        <v>4</v>
      </c>
      <c r="J1059" s="95" t="s">
        <v>4</v>
      </c>
      <c r="K1059" s="95" t="s">
        <v>4</v>
      </c>
      <c r="L1059" s="85"/>
      <c r="M1059" s="73" t="str">
        <f>IF(Main[[#This Row],[Tech Start Date]]&lt;1/1/1990,"",IF(Main[[#This Row],[Class]]="C",WORKDAY(Main[[#This Row],[Tech Start Date]],9),IF(Main[[#This Row],[Class]]="B", WORKDAY(Main[[#This Row],[Tech Start Date]],6),IF(Main[[#This Row],[Class]]="A",WORKDAY(Main[[#This Row],[Tech Start Date]],2),""))))</f>
        <v/>
      </c>
      <c r="N1059" s="73" t="str">
        <f>IF(Main[[#This Row],[Tech Start Date]]&lt;1/1/1990,"",IF(Main[[#This Row],[Class]]="C",WORKDAY(Main[[#This Row],[Tech Start Date]],19),IF(Main[[#This Row],[Class]]="B", WORKDAY(Main[[#This Row],[Tech Start Date]],12),IF(Main[[#This Row],[Class]]="A",WORKDAY(Main[[#This Row],[Tech Start Date]],4),""))))</f>
        <v/>
      </c>
      <c r="O1059" s="73" t="str">
        <f>IF(Main[[#This Row],[Tech Start Date]]&lt;1/1/1990,"",IF(Main[[#This Row],[Class]]="C",WORKDAY(Main[[#This Row],[Tech Start Date]],23),IF(Main[[#This Row],[Class]]="B", WORKDAY(Main[[#This Row],[Tech Start Date]],15),IF(Main[[#This Row],[Class]]="A",WORKDAY(Main[[#This Row],[Tech Start Date]],5),""))))</f>
        <v/>
      </c>
      <c r="P1059" s="73" t="str">
        <f>IF(Main[[#This Row],[Tech Start Date]]&lt;1/1/1990,"",IF(Main[[#This Row],[Class]]="C",WORKDAY(Main[[#This Row],[Tech Start Date]],28),IF(Main[[#This Row],[Class]]="B", WORKDAY(Main[[#This Row],[Tech Start Date]],19),IF(Main[[#This Row],[Class]]="A",WORKDAY(Main[[#This Row],[Tech Start Date]],9),""))))</f>
        <v/>
      </c>
      <c r="Q1059" s="85">
        <v>40977</v>
      </c>
      <c r="R1059" s="112"/>
      <c r="S1059" s="95" t="s">
        <v>6</v>
      </c>
      <c r="T1059" s="74" t="s">
        <v>4</v>
      </c>
      <c r="U1059" s="95" t="s">
        <v>7</v>
      </c>
      <c r="V1059" s="95" t="s">
        <v>1911</v>
      </c>
      <c r="W1059" s="95" t="s">
        <v>4</v>
      </c>
      <c r="X1059" s="95" t="s">
        <v>2831</v>
      </c>
      <c r="Y1059" s="72" t="s">
        <v>2964</v>
      </c>
      <c r="Z1059" s="72" t="s">
        <v>4</v>
      </c>
      <c r="AA1059" s="95" t="s">
        <v>2831</v>
      </c>
      <c r="AB1059" s="132"/>
      <c r="AC1059" s="132"/>
      <c r="AD1059" s="132"/>
      <c r="AE1059" s="63"/>
      <c r="AF1059" s="63"/>
      <c r="AG1059" s="63"/>
    </row>
    <row r="1060" spans="1:33" ht="17.2" customHeight="1">
      <c r="A1060" s="64" t="str">
        <f>IF(priority(Main[[#This Row],[Comments]])&lt;&gt;0, priority(Main[[#This Row],[Comments]]),"")</f>
        <v/>
      </c>
      <c r="B1060" s="60" t="s">
        <v>3565</v>
      </c>
      <c r="C1060" s="72" t="s">
        <v>3566</v>
      </c>
      <c r="D1060" s="59" t="s">
        <v>3567</v>
      </c>
      <c r="E1060" s="85">
        <v>40956.576782407406</v>
      </c>
      <c r="F1060" s="85"/>
      <c r="G1060" s="64" t="str">
        <f>IF(stdProdLT(Main[[#This Row],[Comments]])=0.1,"N/A",IF(stdProdLT(Main[[#This Row],[Comments]])=0,"",TRIM(stdProdLT(Main[[#This Row],[Comments]]))))</f>
        <v>N/A</v>
      </c>
      <c r="H1060" s="94" t="str">
        <f>IF(OR(Main[[#This Row],[Std. Prod. Lead Time]]="N/A",Main[[#This Row],[Std. Prod. Lead Time]]=""), "",IF(AND(Main[[#This Row],[In Stock Date]]&lt;&gt;"",Main[[#This Row],[Revised Due Date]]&lt;&gt;"",Main[[#This Row],[In Stock Date]]&lt;&gt;""),Main[[#This Row],[In Stock Date]]-Main[[#This Row],[Revised Due Date]],""))</f>
        <v/>
      </c>
      <c r="I1060" s="101" t="s">
        <v>941</v>
      </c>
      <c r="J1060" s="95" t="s">
        <v>28</v>
      </c>
      <c r="K1060" s="95" t="s">
        <v>1918</v>
      </c>
      <c r="L1060" s="85"/>
      <c r="M1060" s="73" t="str">
        <f>IF(Main[[#This Row],[Tech Start Date]]&lt;1/1/1990,"",IF(Main[[#This Row],[Class]]="C",WORKDAY(Main[[#This Row],[Tech Start Date]],9),IF(Main[[#This Row],[Class]]="B", WORKDAY(Main[[#This Row],[Tech Start Date]],6),IF(Main[[#This Row],[Class]]="A",WORKDAY(Main[[#This Row],[Tech Start Date]],2),""))))</f>
        <v/>
      </c>
      <c r="N1060" s="73" t="str">
        <f>IF(Main[[#This Row],[Tech Start Date]]&lt;1/1/1990,"",IF(Main[[#This Row],[Class]]="C",WORKDAY(Main[[#This Row],[Tech Start Date]],19),IF(Main[[#This Row],[Class]]="B", WORKDAY(Main[[#This Row],[Tech Start Date]],12),IF(Main[[#This Row],[Class]]="A",WORKDAY(Main[[#This Row],[Tech Start Date]],4),""))))</f>
        <v/>
      </c>
      <c r="O1060" s="73" t="str">
        <f>IF(Main[[#This Row],[Tech Start Date]]&lt;1/1/1990,"",IF(Main[[#This Row],[Class]]="C",WORKDAY(Main[[#This Row],[Tech Start Date]],23),IF(Main[[#This Row],[Class]]="B", WORKDAY(Main[[#This Row],[Tech Start Date]],15),IF(Main[[#This Row],[Class]]="A",WORKDAY(Main[[#This Row],[Tech Start Date]],5),""))))</f>
        <v/>
      </c>
      <c r="P1060" s="73" t="str">
        <f>IF(Main[[#This Row],[Tech Start Date]]&lt;1/1/1990,"",IF(Main[[#This Row],[Class]]="C",WORKDAY(Main[[#This Row],[Tech Start Date]],28),IF(Main[[#This Row],[Class]]="B", WORKDAY(Main[[#This Row],[Tech Start Date]],19),IF(Main[[#This Row],[Class]]="A",WORKDAY(Main[[#This Row],[Tech Start Date]],9),""))))</f>
        <v/>
      </c>
      <c r="Q1060" s="85"/>
      <c r="R1060" s="112"/>
      <c r="S1060" s="95" t="s">
        <v>6</v>
      </c>
      <c r="T1060" s="74" t="s">
        <v>3201</v>
      </c>
      <c r="U1060" s="95" t="s">
        <v>29</v>
      </c>
      <c r="V1060" s="95" t="s">
        <v>1912</v>
      </c>
      <c r="W1060" s="95" t="s">
        <v>1915</v>
      </c>
      <c r="X1060" s="95" t="s">
        <v>2796</v>
      </c>
      <c r="Y1060" s="72" t="s">
        <v>2971</v>
      </c>
      <c r="Z1060" s="72" t="s">
        <v>2047</v>
      </c>
      <c r="AA1060" s="95" t="s">
        <v>3568</v>
      </c>
      <c r="AB1060" s="132"/>
      <c r="AC1060" s="132"/>
      <c r="AD1060" s="132"/>
      <c r="AE1060" s="63"/>
      <c r="AF1060" s="63"/>
      <c r="AG1060" s="63"/>
    </row>
    <row r="1061" spans="1:33" ht="17.2" customHeight="1">
      <c r="A1061" s="64" t="str">
        <f>IF(priority(Main[[#This Row],[Comments]])&lt;&gt;0, priority(Main[[#This Row],[Comments]]),"")</f>
        <v/>
      </c>
      <c r="B1061" s="60" t="s">
        <v>3569</v>
      </c>
      <c r="C1061" s="72" t="s">
        <v>4</v>
      </c>
      <c r="D1061" s="59" t="s">
        <v>3570</v>
      </c>
      <c r="E1061" s="85">
        <v>40953.403587962966</v>
      </c>
      <c r="F1061" s="85"/>
      <c r="G1061" s="64" t="str">
        <f>IF(stdProdLT(Main[[#This Row],[Comments]])=0.1,"N/A",IF(stdProdLT(Main[[#This Row],[Comments]])=0,"",TRIM(stdProdLT(Main[[#This Row],[Comments]]))))</f>
        <v/>
      </c>
      <c r="H1061" s="94" t="str">
        <f>IF(OR(Main[[#This Row],[Std. Prod. Lead Time]]="N/A",Main[[#This Row],[Std. Prod. Lead Time]]=""), "",IF(AND(Main[[#This Row],[In Stock Date]]&lt;&gt;"",Main[[#This Row],[Revised Due Date]]&lt;&gt;"",Main[[#This Row],[In Stock Date]]&lt;&gt;""),Main[[#This Row],[In Stock Date]]-Main[[#This Row],[Revised Due Date]],""))</f>
        <v/>
      </c>
      <c r="I1061" s="101" t="s">
        <v>530</v>
      </c>
      <c r="J1061" s="95" t="s">
        <v>28</v>
      </c>
      <c r="K1061" s="95" t="s">
        <v>1920</v>
      </c>
      <c r="L1061" s="85"/>
      <c r="M1061" s="73" t="str">
        <f>IF(Main[[#This Row],[Tech Start Date]]&lt;1/1/1990,"",IF(Main[[#This Row],[Class]]="C",WORKDAY(Main[[#This Row],[Tech Start Date]],9),IF(Main[[#This Row],[Class]]="B", WORKDAY(Main[[#This Row],[Tech Start Date]],6),IF(Main[[#This Row],[Class]]="A",WORKDAY(Main[[#This Row],[Tech Start Date]],2),""))))</f>
        <v/>
      </c>
      <c r="N1061" s="73" t="str">
        <f>IF(Main[[#This Row],[Tech Start Date]]&lt;1/1/1990,"",IF(Main[[#This Row],[Class]]="C",WORKDAY(Main[[#This Row],[Tech Start Date]],19),IF(Main[[#This Row],[Class]]="B", WORKDAY(Main[[#This Row],[Tech Start Date]],12),IF(Main[[#This Row],[Class]]="A",WORKDAY(Main[[#This Row],[Tech Start Date]],4),""))))</f>
        <v/>
      </c>
      <c r="O1061" s="73" t="str">
        <f>IF(Main[[#This Row],[Tech Start Date]]&lt;1/1/1990,"",IF(Main[[#This Row],[Class]]="C",WORKDAY(Main[[#This Row],[Tech Start Date]],23),IF(Main[[#This Row],[Class]]="B", WORKDAY(Main[[#This Row],[Tech Start Date]],15),IF(Main[[#This Row],[Class]]="A",WORKDAY(Main[[#This Row],[Tech Start Date]],5),""))))</f>
        <v/>
      </c>
      <c r="P1061" s="73" t="str">
        <f>IF(Main[[#This Row],[Tech Start Date]]&lt;1/1/1990,"",IF(Main[[#This Row],[Class]]="C",WORKDAY(Main[[#This Row],[Tech Start Date]],28),IF(Main[[#This Row],[Class]]="B", WORKDAY(Main[[#This Row],[Tech Start Date]],19),IF(Main[[#This Row],[Class]]="A",WORKDAY(Main[[#This Row],[Tech Start Date]],9),""))))</f>
        <v/>
      </c>
      <c r="Q1061" s="85"/>
      <c r="R1061" s="112"/>
      <c r="S1061" s="95" t="s">
        <v>6</v>
      </c>
      <c r="T1061" s="74" t="s">
        <v>4</v>
      </c>
      <c r="U1061" s="95" t="s">
        <v>29</v>
      </c>
      <c r="V1061" s="95" t="s">
        <v>1914</v>
      </c>
      <c r="W1061" s="95" t="s">
        <v>1913</v>
      </c>
      <c r="X1061" s="95" t="s">
        <v>530</v>
      </c>
      <c r="Y1061" s="72" t="s">
        <v>3122</v>
      </c>
      <c r="Z1061" s="72" t="s">
        <v>30</v>
      </c>
      <c r="AA1061" s="95" t="s">
        <v>530</v>
      </c>
      <c r="AB1061" s="132"/>
      <c r="AC1061" s="132"/>
      <c r="AD1061" s="132"/>
      <c r="AE1061" s="63"/>
      <c r="AF1061" s="63"/>
      <c r="AG1061" s="63"/>
    </row>
    <row r="1062" spans="1:33" ht="17.2" customHeight="1">
      <c r="A1062" s="64" t="str">
        <f>IF(priority(Main[[#This Row],[Comments]])&lt;&gt;0, priority(Main[[#This Row],[Comments]]),"")</f>
        <v/>
      </c>
      <c r="B1062" s="60" t="s">
        <v>2071</v>
      </c>
      <c r="C1062" s="72" t="s">
        <v>4</v>
      </c>
      <c r="D1062" s="59" t="s">
        <v>2072</v>
      </c>
      <c r="E1062" s="85"/>
      <c r="F1062" s="85"/>
      <c r="G1062" s="64" t="str">
        <f>IF(stdProdLT(Main[[#This Row],[Comments]])=0.1,"N/A",IF(stdProdLT(Main[[#This Row],[Comments]])=0,"",TRIM(stdProdLT(Main[[#This Row],[Comments]]))))</f>
        <v/>
      </c>
      <c r="H1062" s="94" t="str">
        <f>IF(OR(Main[[#This Row],[Std. Prod. Lead Time]]="N/A",Main[[#This Row],[Std. Prod. Lead Time]]=""), "",IF(AND(Main[[#This Row],[In Stock Date]]&lt;&gt;"",Main[[#This Row],[Revised Due Date]]&lt;&gt;"",Main[[#This Row],[In Stock Date]]&lt;&gt;""),Main[[#This Row],[In Stock Date]]-Main[[#This Row],[Revised Due Date]],""))</f>
        <v/>
      </c>
      <c r="I1062" s="101" t="s">
        <v>4</v>
      </c>
      <c r="J1062" s="95" t="s">
        <v>4</v>
      </c>
      <c r="K1062" s="95" t="s">
        <v>4</v>
      </c>
      <c r="L1062" s="85"/>
      <c r="M1062" s="73" t="str">
        <f>IF(Main[[#This Row],[Tech Start Date]]&lt;1/1/1990,"",IF(Main[[#This Row],[Class]]="C",WORKDAY(Main[[#This Row],[Tech Start Date]],9),IF(Main[[#This Row],[Class]]="B", WORKDAY(Main[[#This Row],[Tech Start Date]],6),IF(Main[[#This Row],[Class]]="A",WORKDAY(Main[[#This Row],[Tech Start Date]],2),""))))</f>
        <v/>
      </c>
      <c r="N1062" s="73" t="str">
        <f>IF(Main[[#This Row],[Tech Start Date]]&lt;1/1/1990,"",IF(Main[[#This Row],[Class]]="C",WORKDAY(Main[[#This Row],[Tech Start Date]],19),IF(Main[[#This Row],[Class]]="B", WORKDAY(Main[[#This Row],[Tech Start Date]],12),IF(Main[[#This Row],[Class]]="A",WORKDAY(Main[[#This Row],[Tech Start Date]],4),""))))</f>
        <v/>
      </c>
      <c r="O1062" s="73" t="str">
        <f>IF(Main[[#This Row],[Tech Start Date]]&lt;1/1/1990,"",IF(Main[[#This Row],[Class]]="C",WORKDAY(Main[[#This Row],[Tech Start Date]],23),IF(Main[[#This Row],[Class]]="B", WORKDAY(Main[[#This Row],[Tech Start Date]],15),IF(Main[[#This Row],[Class]]="A",WORKDAY(Main[[#This Row],[Tech Start Date]],5),""))))</f>
        <v/>
      </c>
      <c r="P1062" s="73" t="str">
        <f>IF(Main[[#This Row],[Tech Start Date]]&lt;1/1/1990,"",IF(Main[[#This Row],[Class]]="C",WORKDAY(Main[[#This Row],[Tech Start Date]],28),IF(Main[[#This Row],[Class]]="B", WORKDAY(Main[[#This Row],[Tech Start Date]],19),IF(Main[[#This Row],[Class]]="A",WORKDAY(Main[[#This Row],[Tech Start Date]],9),""))))</f>
        <v/>
      </c>
      <c r="Q1062" s="85"/>
      <c r="R1062" s="112"/>
      <c r="S1062" s="95" t="s">
        <v>6</v>
      </c>
      <c r="T1062" s="74" t="s">
        <v>4</v>
      </c>
      <c r="U1062" s="95" t="s">
        <v>14</v>
      </c>
      <c r="V1062" s="95" t="s">
        <v>1911</v>
      </c>
      <c r="W1062" s="95" t="s">
        <v>1915</v>
      </c>
      <c r="X1062" s="95" t="s">
        <v>306</v>
      </c>
      <c r="Y1062" s="72" t="s">
        <v>4</v>
      </c>
      <c r="Z1062" s="72" t="s">
        <v>4</v>
      </c>
      <c r="AA1062" s="95" t="s">
        <v>4</v>
      </c>
      <c r="AB1062" s="132"/>
      <c r="AC1062" s="132"/>
      <c r="AD1062" s="132"/>
      <c r="AE1062" s="63"/>
      <c r="AF1062" s="63"/>
      <c r="AG1062" s="63"/>
    </row>
    <row r="1063" spans="1:33" ht="17.2" customHeight="1">
      <c r="A1063" s="64" t="str">
        <f>IF(priority(Main[[#This Row],[Comments]])&lt;&gt;0, priority(Main[[#This Row],[Comments]]),"")</f>
        <v/>
      </c>
      <c r="B1063" s="60" t="s">
        <v>1756</v>
      </c>
      <c r="C1063" s="72" t="s">
        <v>4</v>
      </c>
      <c r="D1063" s="59" t="s">
        <v>2406</v>
      </c>
      <c r="E1063" s="85">
        <v>40616.425347222219</v>
      </c>
      <c r="F1063" s="85"/>
      <c r="G1063" s="64" t="str">
        <f>IF(stdProdLT(Main[[#This Row],[Comments]])=0.1,"N/A",IF(stdProdLT(Main[[#This Row],[Comments]])=0,"",TRIM(stdProdLT(Main[[#This Row],[Comments]]))))</f>
        <v/>
      </c>
      <c r="H1063" s="94" t="str">
        <f>IF(OR(Main[[#This Row],[Std. Prod. Lead Time]]="N/A",Main[[#This Row],[Std. Prod. Lead Time]]=""), "",IF(AND(Main[[#This Row],[In Stock Date]]&lt;&gt;"",Main[[#This Row],[Revised Due Date]]&lt;&gt;"",Main[[#This Row],[In Stock Date]]&lt;&gt;""),Main[[#This Row],[In Stock Date]]-Main[[#This Row],[Revised Due Date]],""))</f>
        <v/>
      </c>
      <c r="I1063" s="101" t="s">
        <v>912</v>
      </c>
      <c r="J1063" s="95" t="s">
        <v>52</v>
      </c>
      <c r="K1063" s="96" t="s">
        <v>1920</v>
      </c>
      <c r="L1063" s="85"/>
      <c r="M1063" s="73" t="str">
        <f>IF(Main[[#This Row],[Tech Start Date]]&lt;1/1/1990,"",IF(Main[[#This Row],[Class]]="C",WORKDAY(Main[[#This Row],[Tech Start Date]],9),IF(Main[[#This Row],[Class]]="B", WORKDAY(Main[[#This Row],[Tech Start Date]],6),IF(Main[[#This Row],[Class]]="A",WORKDAY(Main[[#This Row],[Tech Start Date]],2),""))))</f>
        <v/>
      </c>
      <c r="N1063" s="73" t="str">
        <f>IF(Main[[#This Row],[Tech Start Date]]&lt;1/1/1990,"",IF(Main[[#This Row],[Class]]="C",WORKDAY(Main[[#This Row],[Tech Start Date]],19),IF(Main[[#This Row],[Class]]="B", WORKDAY(Main[[#This Row],[Tech Start Date]],12),IF(Main[[#This Row],[Class]]="A",WORKDAY(Main[[#This Row],[Tech Start Date]],4),""))))</f>
        <v/>
      </c>
      <c r="O1063" s="73" t="str">
        <f>IF(Main[[#This Row],[Tech Start Date]]&lt;1/1/1990,"",IF(Main[[#This Row],[Class]]="C",WORKDAY(Main[[#This Row],[Tech Start Date]],23),IF(Main[[#This Row],[Class]]="B", WORKDAY(Main[[#This Row],[Tech Start Date]],15),IF(Main[[#This Row],[Class]]="A",WORKDAY(Main[[#This Row],[Tech Start Date]],5),""))))</f>
        <v/>
      </c>
      <c r="P1063" s="73" t="str">
        <f>IF(Main[[#This Row],[Tech Start Date]]&lt;1/1/1990,"",IF(Main[[#This Row],[Class]]="C",WORKDAY(Main[[#This Row],[Tech Start Date]],28),IF(Main[[#This Row],[Class]]="B", WORKDAY(Main[[#This Row],[Tech Start Date]],19),IF(Main[[#This Row],[Class]]="A",WORKDAY(Main[[#This Row],[Tech Start Date]],9),""))))</f>
        <v/>
      </c>
      <c r="Q1063" s="85"/>
      <c r="R1063" s="112"/>
      <c r="S1063" s="95" t="s">
        <v>6</v>
      </c>
      <c r="T1063" s="74" t="s">
        <v>4</v>
      </c>
      <c r="U1063" s="95" t="s">
        <v>29</v>
      </c>
      <c r="V1063" s="95" t="s">
        <v>1911</v>
      </c>
      <c r="W1063" s="95" t="s">
        <v>1915</v>
      </c>
      <c r="X1063" s="95" t="s">
        <v>2883</v>
      </c>
      <c r="Y1063" s="72" t="s">
        <v>3061</v>
      </c>
      <c r="Z1063" s="72" t="s">
        <v>530</v>
      </c>
      <c r="AA1063" s="95" t="s">
        <v>2883</v>
      </c>
      <c r="AB1063" s="132"/>
      <c r="AC1063" s="132"/>
      <c r="AD1063" s="132"/>
      <c r="AE1063" s="63"/>
      <c r="AF1063" s="63"/>
      <c r="AG1063" s="63"/>
    </row>
    <row r="1064" spans="1:33" ht="17.2" customHeight="1">
      <c r="A1064" s="64" t="str">
        <f>IF(priority(Main[[#This Row],[Comments]])&lt;&gt;0, priority(Main[[#This Row],[Comments]]),"")</f>
        <v/>
      </c>
      <c r="B1064" s="60" t="s">
        <v>2260</v>
      </c>
      <c r="C1064" s="72" t="s">
        <v>4</v>
      </c>
      <c r="D1064" s="59" t="s">
        <v>2261</v>
      </c>
      <c r="E1064" s="85">
        <v>40808.345057870371</v>
      </c>
      <c r="F1064" s="85"/>
      <c r="G1064" s="64" t="str">
        <f>IF(stdProdLT(Main[[#This Row],[Comments]])=0.1,"N/A",IF(stdProdLT(Main[[#This Row],[Comments]])=0,"",TRIM(stdProdLT(Main[[#This Row],[Comments]]))))</f>
        <v/>
      </c>
      <c r="H1064" s="94" t="str">
        <f>IF(OR(Main[[#This Row],[Std. Prod. Lead Time]]="N/A",Main[[#This Row],[Std. Prod. Lead Time]]=""), "",IF(AND(Main[[#This Row],[In Stock Date]]&lt;&gt;"",Main[[#This Row],[Revised Due Date]]&lt;&gt;"",Main[[#This Row],[In Stock Date]]&lt;&gt;""),Main[[#This Row],[In Stock Date]]-Main[[#This Row],[Revised Due Date]],""))</f>
        <v/>
      </c>
      <c r="I1064" s="101" t="s">
        <v>4</v>
      </c>
      <c r="J1064" s="95" t="s">
        <v>4</v>
      </c>
      <c r="K1064" s="96" t="s">
        <v>4</v>
      </c>
      <c r="L1064" s="85"/>
      <c r="M1064" s="73" t="str">
        <f>IF(Main[[#This Row],[Tech Start Date]]&lt;1/1/1990,"",IF(Main[[#This Row],[Class]]="C",WORKDAY(Main[[#This Row],[Tech Start Date]],9),IF(Main[[#This Row],[Class]]="B", WORKDAY(Main[[#This Row],[Tech Start Date]],6),IF(Main[[#This Row],[Class]]="A",WORKDAY(Main[[#This Row],[Tech Start Date]],2),""))))</f>
        <v/>
      </c>
      <c r="N1064" s="73" t="str">
        <f>IF(Main[[#This Row],[Tech Start Date]]&lt;1/1/1990,"",IF(Main[[#This Row],[Class]]="C",WORKDAY(Main[[#This Row],[Tech Start Date]],19),IF(Main[[#This Row],[Class]]="B", WORKDAY(Main[[#This Row],[Tech Start Date]],12),IF(Main[[#This Row],[Class]]="A",WORKDAY(Main[[#This Row],[Tech Start Date]],4),""))))</f>
        <v/>
      </c>
      <c r="O1064" s="73" t="str">
        <f>IF(Main[[#This Row],[Tech Start Date]]&lt;1/1/1990,"",IF(Main[[#This Row],[Class]]="C",WORKDAY(Main[[#This Row],[Tech Start Date]],23),IF(Main[[#This Row],[Class]]="B", WORKDAY(Main[[#This Row],[Tech Start Date]],15),IF(Main[[#This Row],[Class]]="A",WORKDAY(Main[[#This Row],[Tech Start Date]],5),""))))</f>
        <v/>
      </c>
      <c r="P1064" s="73" t="str">
        <f>IF(Main[[#This Row],[Tech Start Date]]&lt;1/1/1990,"",IF(Main[[#This Row],[Class]]="C",WORKDAY(Main[[#This Row],[Tech Start Date]],28),IF(Main[[#This Row],[Class]]="B", WORKDAY(Main[[#This Row],[Tech Start Date]],19),IF(Main[[#This Row],[Class]]="A",WORKDAY(Main[[#This Row],[Tech Start Date]],9),""))))</f>
        <v/>
      </c>
      <c r="Q1064" s="85"/>
      <c r="R1064" s="112"/>
      <c r="S1064" s="95" t="s">
        <v>17</v>
      </c>
      <c r="T1064" s="74" t="s">
        <v>4</v>
      </c>
      <c r="U1064" s="95" t="s">
        <v>7</v>
      </c>
      <c r="V1064" s="95" t="s">
        <v>1921</v>
      </c>
      <c r="W1064" s="95" t="s">
        <v>1913</v>
      </c>
      <c r="X1064" s="95" t="s">
        <v>2846</v>
      </c>
      <c r="Y1064" s="72" t="s">
        <v>2978</v>
      </c>
      <c r="Z1064" s="72" t="s">
        <v>4</v>
      </c>
      <c r="AA1064" s="95" t="s">
        <v>2846</v>
      </c>
      <c r="AB1064" s="132"/>
      <c r="AC1064" s="132"/>
      <c r="AD1064" s="132"/>
      <c r="AE1064" s="63"/>
      <c r="AF1064" s="63"/>
      <c r="AG1064" s="63"/>
    </row>
    <row r="1065" spans="1:33" ht="17.2" customHeight="1">
      <c r="A1065" s="64" t="str">
        <f>IF(priority(Main[[#This Row],[Comments]])&lt;&gt;0, priority(Main[[#This Row],[Comments]]),"")</f>
        <v/>
      </c>
      <c r="B1065" s="60" t="s">
        <v>2232</v>
      </c>
      <c r="C1065" s="72" t="s">
        <v>4</v>
      </c>
      <c r="D1065" s="59" t="s">
        <v>2233</v>
      </c>
      <c r="E1065" s="85"/>
      <c r="F1065" s="85"/>
      <c r="G1065" s="64" t="str">
        <f>IF(stdProdLT(Main[[#This Row],[Comments]])=0.1,"N/A",IF(stdProdLT(Main[[#This Row],[Comments]])=0,"",TRIM(stdProdLT(Main[[#This Row],[Comments]]))))</f>
        <v/>
      </c>
      <c r="H1065" s="94" t="str">
        <f>IF(OR(Main[[#This Row],[Std. Prod. Lead Time]]="N/A",Main[[#This Row],[Std. Prod. Lead Time]]=""), "",IF(AND(Main[[#This Row],[In Stock Date]]&lt;&gt;"",Main[[#This Row],[Revised Due Date]]&lt;&gt;"",Main[[#This Row],[In Stock Date]]&lt;&gt;""),Main[[#This Row],[In Stock Date]]-Main[[#This Row],[Revised Due Date]],""))</f>
        <v/>
      </c>
      <c r="I1065" s="101" t="s">
        <v>4</v>
      </c>
      <c r="J1065" s="95" t="s">
        <v>4</v>
      </c>
      <c r="K1065" s="95" t="s">
        <v>4</v>
      </c>
      <c r="L1065" s="85"/>
      <c r="M1065" s="73" t="str">
        <f>IF(Main[[#This Row],[Tech Start Date]]&lt;1/1/1990,"",IF(Main[[#This Row],[Class]]="C",WORKDAY(Main[[#This Row],[Tech Start Date]],9),IF(Main[[#This Row],[Class]]="B", WORKDAY(Main[[#This Row],[Tech Start Date]],6),IF(Main[[#This Row],[Class]]="A",WORKDAY(Main[[#This Row],[Tech Start Date]],2),""))))</f>
        <v/>
      </c>
      <c r="N1065" s="73" t="str">
        <f>IF(Main[[#This Row],[Tech Start Date]]&lt;1/1/1990,"",IF(Main[[#This Row],[Class]]="C",WORKDAY(Main[[#This Row],[Tech Start Date]],19),IF(Main[[#This Row],[Class]]="B", WORKDAY(Main[[#This Row],[Tech Start Date]],12),IF(Main[[#This Row],[Class]]="A",WORKDAY(Main[[#This Row],[Tech Start Date]],4),""))))</f>
        <v/>
      </c>
      <c r="O1065" s="73" t="str">
        <f>IF(Main[[#This Row],[Tech Start Date]]&lt;1/1/1990,"",IF(Main[[#This Row],[Class]]="C",WORKDAY(Main[[#This Row],[Tech Start Date]],23),IF(Main[[#This Row],[Class]]="B", WORKDAY(Main[[#This Row],[Tech Start Date]],15),IF(Main[[#This Row],[Class]]="A",WORKDAY(Main[[#This Row],[Tech Start Date]],5),""))))</f>
        <v/>
      </c>
      <c r="P1065" s="73" t="str">
        <f>IF(Main[[#This Row],[Tech Start Date]]&lt;1/1/1990,"",IF(Main[[#This Row],[Class]]="C",WORKDAY(Main[[#This Row],[Tech Start Date]],28),IF(Main[[#This Row],[Class]]="B", WORKDAY(Main[[#This Row],[Tech Start Date]],19),IF(Main[[#This Row],[Class]]="A",WORKDAY(Main[[#This Row],[Tech Start Date]],9),""))))</f>
        <v/>
      </c>
      <c r="Q1065" s="85"/>
      <c r="R1065" s="112"/>
      <c r="S1065" s="95" t="s">
        <v>6</v>
      </c>
      <c r="T1065" s="74" t="s">
        <v>4</v>
      </c>
      <c r="U1065" s="95" t="s">
        <v>14</v>
      </c>
      <c r="V1065" s="95" t="s">
        <v>1914</v>
      </c>
      <c r="W1065" s="95" t="s">
        <v>1915</v>
      </c>
      <c r="X1065" s="95" t="s">
        <v>102</v>
      </c>
      <c r="Y1065" s="72" t="s">
        <v>4</v>
      </c>
      <c r="Z1065" s="72" t="s">
        <v>4</v>
      </c>
      <c r="AA1065" s="95" t="s">
        <v>3413</v>
      </c>
      <c r="AB1065" s="132"/>
      <c r="AC1065" s="132"/>
      <c r="AD1065" s="132"/>
      <c r="AE1065" s="63"/>
      <c r="AF1065" s="63"/>
      <c r="AG1065" s="63"/>
    </row>
    <row r="1066" spans="1:33" ht="17.2" customHeight="1">
      <c r="A1066" s="64" t="str">
        <f>IF(priority(Main[[#This Row],[Comments]])&lt;&gt;0, priority(Main[[#This Row],[Comments]]),"")</f>
        <v/>
      </c>
      <c r="B1066" s="60" t="s">
        <v>2234</v>
      </c>
      <c r="C1066" s="72" t="s">
        <v>4</v>
      </c>
      <c r="D1066" s="59" t="s">
        <v>2235</v>
      </c>
      <c r="E1066" s="85">
        <v>40801.476770833331</v>
      </c>
      <c r="F1066" s="85"/>
      <c r="G1066" s="64" t="str">
        <f>IF(stdProdLT(Main[[#This Row],[Comments]])=0.1,"N/A",IF(stdProdLT(Main[[#This Row],[Comments]])=0,"",TRIM(stdProdLT(Main[[#This Row],[Comments]]))))</f>
        <v/>
      </c>
      <c r="H1066" s="94" t="str">
        <f>IF(OR(Main[[#This Row],[Std. Prod. Lead Time]]="N/A",Main[[#This Row],[Std. Prod. Lead Time]]=""), "",IF(AND(Main[[#This Row],[In Stock Date]]&lt;&gt;"",Main[[#This Row],[Revised Due Date]]&lt;&gt;"",Main[[#This Row],[In Stock Date]]&lt;&gt;""),Main[[#This Row],[In Stock Date]]-Main[[#This Row],[Revised Due Date]],""))</f>
        <v/>
      </c>
      <c r="I1066" s="101" t="s">
        <v>4</v>
      </c>
      <c r="J1066" s="95" t="s">
        <v>4</v>
      </c>
      <c r="K1066" s="95" t="s">
        <v>4</v>
      </c>
      <c r="L1066" s="85"/>
      <c r="M1066" s="73" t="str">
        <f>IF(Main[[#This Row],[Tech Start Date]]&lt;1/1/1990,"",IF(Main[[#This Row],[Class]]="C",WORKDAY(Main[[#This Row],[Tech Start Date]],9),IF(Main[[#This Row],[Class]]="B", WORKDAY(Main[[#This Row],[Tech Start Date]],6),IF(Main[[#This Row],[Class]]="A",WORKDAY(Main[[#This Row],[Tech Start Date]],2),""))))</f>
        <v/>
      </c>
      <c r="N1066" s="73" t="str">
        <f>IF(Main[[#This Row],[Tech Start Date]]&lt;1/1/1990,"",IF(Main[[#This Row],[Class]]="C",WORKDAY(Main[[#This Row],[Tech Start Date]],19),IF(Main[[#This Row],[Class]]="B", WORKDAY(Main[[#This Row],[Tech Start Date]],12),IF(Main[[#This Row],[Class]]="A",WORKDAY(Main[[#This Row],[Tech Start Date]],4),""))))</f>
        <v/>
      </c>
      <c r="O1066" s="73" t="str">
        <f>IF(Main[[#This Row],[Tech Start Date]]&lt;1/1/1990,"",IF(Main[[#This Row],[Class]]="C",WORKDAY(Main[[#This Row],[Tech Start Date]],23),IF(Main[[#This Row],[Class]]="B", WORKDAY(Main[[#This Row],[Tech Start Date]],15),IF(Main[[#This Row],[Class]]="A",WORKDAY(Main[[#This Row],[Tech Start Date]],5),""))))</f>
        <v/>
      </c>
      <c r="P1066" s="73" t="str">
        <f>IF(Main[[#This Row],[Tech Start Date]]&lt;1/1/1990,"",IF(Main[[#This Row],[Class]]="C",WORKDAY(Main[[#This Row],[Tech Start Date]],28),IF(Main[[#This Row],[Class]]="B", WORKDAY(Main[[#This Row],[Tech Start Date]],19),IF(Main[[#This Row],[Class]]="A",WORKDAY(Main[[#This Row],[Tech Start Date]],9),""))))</f>
        <v/>
      </c>
      <c r="Q1066" s="85">
        <v>40828</v>
      </c>
      <c r="R1066" s="112"/>
      <c r="S1066" s="95" t="s">
        <v>6</v>
      </c>
      <c r="T1066" s="74" t="s">
        <v>4</v>
      </c>
      <c r="U1066" s="95" t="s">
        <v>7</v>
      </c>
      <c r="V1066" s="95" t="s">
        <v>1911</v>
      </c>
      <c r="W1066" s="95" t="s">
        <v>1919</v>
      </c>
      <c r="X1066" s="95" t="s">
        <v>2801</v>
      </c>
      <c r="Y1066" s="72" t="s">
        <v>2914</v>
      </c>
      <c r="Z1066" s="72" t="s">
        <v>4</v>
      </c>
      <c r="AA1066" s="95" t="s">
        <v>2801</v>
      </c>
      <c r="AB1066" s="132"/>
      <c r="AC1066" s="132"/>
      <c r="AD1066" s="132"/>
      <c r="AE1066" s="63"/>
      <c r="AF1066" s="63"/>
      <c r="AG1066" s="63"/>
    </row>
    <row r="1067" spans="1:33" ht="17.2" customHeight="1">
      <c r="A1067" s="64" t="str">
        <f>IF(priority(Main[[#This Row],[Comments]])&lt;&gt;0, priority(Main[[#This Row],[Comments]]),"")</f>
        <v/>
      </c>
      <c r="B1067" s="60" t="s">
        <v>1174</v>
      </c>
      <c r="C1067" s="72" t="s">
        <v>4</v>
      </c>
      <c r="D1067" s="59" t="s">
        <v>229</v>
      </c>
      <c r="E1067" s="85">
        <v>40847.6950462963</v>
      </c>
      <c r="F1067" s="85"/>
      <c r="G1067" s="64" t="str">
        <f>IF(stdProdLT(Main[[#This Row],[Comments]])=0.1,"N/A",IF(stdProdLT(Main[[#This Row],[Comments]])=0,"",TRIM(stdProdLT(Main[[#This Row],[Comments]]))))</f>
        <v/>
      </c>
      <c r="H1067" s="94" t="str">
        <f>IF(OR(Main[[#This Row],[Std. Prod. Lead Time]]="N/A",Main[[#This Row],[Std. Prod. Lead Time]]=""), "",IF(AND(Main[[#This Row],[In Stock Date]]&lt;&gt;"",Main[[#This Row],[Revised Due Date]]&lt;&gt;"",Main[[#This Row],[In Stock Date]]&lt;&gt;""),Main[[#This Row],[In Stock Date]]-Main[[#This Row],[Revised Due Date]],""))</f>
        <v/>
      </c>
      <c r="I1067" s="101" t="s">
        <v>4</v>
      </c>
      <c r="J1067" s="95" t="s">
        <v>4</v>
      </c>
      <c r="K1067" s="95" t="s">
        <v>4</v>
      </c>
      <c r="L1067" s="85"/>
      <c r="M1067" s="73" t="str">
        <f>IF(Main[[#This Row],[Tech Start Date]]&lt;1/1/1990,"",IF(Main[[#This Row],[Class]]="C",WORKDAY(Main[[#This Row],[Tech Start Date]],9),IF(Main[[#This Row],[Class]]="B", WORKDAY(Main[[#This Row],[Tech Start Date]],6),IF(Main[[#This Row],[Class]]="A",WORKDAY(Main[[#This Row],[Tech Start Date]],2),""))))</f>
        <v/>
      </c>
      <c r="N1067" s="73" t="str">
        <f>IF(Main[[#This Row],[Tech Start Date]]&lt;1/1/1990,"",IF(Main[[#This Row],[Class]]="C",WORKDAY(Main[[#This Row],[Tech Start Date]],19),IF(Main[[#This Row],[Class]]="B", WORKDAY(Main[[#This Row],[Tech Start Date]],12),IF(Main[[#This Row],[Class]]="A",WORKDAY(Main[[#This Row],[Tech Start Date]],4),""))))</f>
        <v/>
      </c>
      <c r="O1067" s="73" t="str">
        <f>IF(Main[[#This Row],[Tech Start Date]]&lt;1/1/1990,"",IF(Main[[#This Row],[Class]]="C",WORKDAY(Main[[#This Row],[Tech Start Date]],23),IF(Main[[#This Row],[Class]]="B", WORKDAY(Main[[#This Row],[Tech Start Date]],15),IF(Main[[#This Row],[Class]]="A",WORKDAY(Main[[#This Row],[Tech Start Date]],5),""))))</f>
        <v/>
      </c>
      <c r="P1067" s="73" t="str">
        <f>IF(Main[[#This Row],[Tech Start Date]]&lt;1/1/1990,"",IF(Main[[#This Row],[Class]]="C",WORKDAY(Main[[#This Row],[Tech Start Date]],28),IF(Main[[#This Row],[Class]]="B", WORKDAY(Main[[#This Row],[Tech Start Date]],19),IF(Main[[#This Row],[Class]]="A",WORKDAY(Main[[#This Row],[Tech Start Date]],9),""))))</f>
        <v/>
      </c>
      <c r="Q1067" s="85"/>
      <c r="R1067" s="112"/>
      <c r="S1067" s="95" t="s">
        <v>49</v>
      </c>
      <c r="T1067" s="74" t="s">
        <v>4</v>
      </c>
      <c r="U1067" s="95" t="s">
        <v>7</v>
      </c>
      <c r="V1067" s="95" t="s">
        <v>1911</v>
      </c>
      <c r="W1067" s="95" t="s">
        <v>1915</v>
      </c>
      <c r="X1067" s="95" t="s">
        <v>907</v>
      </c>
      <c r="Y1067" s="72" t="s">
        <v>2995</v>
      </c>
      <c r="Z1067" s="72" t="s">
        <v>4</v>
      </c>
      <c r="AA1067" s="95" t="s">
        <v>907</v>
      </c>
      <c r="AB1067" s="132"/>
      <c r="AC1067" s="132"/>
      <c r="AD1067" s="132"/>
      <c r="AE1067" s="63"/>
      <c r="AF1067" s="63"/>
      <c r="AG1067" s="63"/>
    </row>
    <row r="1068" spans="1:33" ht="17.2" customHeight="1">
      <c r="A1068" s="64" t="str">
        <f>IF(priority(Main[[#This Row],[Comments]])&lt;&gt;0, priority(Main[[#This Row],[Comments]]),"")</f>
        <v/>
      </c>
      <c r="B1068" s="60" t="s">
        <v>1629</v>
      </c>
      <c r="C1068" s="72" t="s">
        <v>79</v>
      </c>
      <c r="D1068" s="59" t="s">
        <v>704</v>
      </c>
      <c r="E1068" s="85">
        <v>40610.683993055558</v>
      </c>
      <c r="F1068" s="85"/>
      <c r="G1068" s="64" t="str">
        <f>IF(stdProdLT(Main[[#This Row],[Comments]])=0.1,"N/A",IF(stdProdLT(Main[[#This Row],[Comments]])=0,"",TRIM(stdProdLT(Main[[#This Row],[Comments]]))))</f>
        <v/>
      </c>
      <c r="H1068" s="94" t="str">
        <f>IF(OR(Main[[#This Row],[Std. Prod. Lead Time]]="N/A",Main[[#This Row],[Std. Prod. Lead Time]]=""), "",IF(AND(Main[[#This Row],[In Stock Date]]&lt;&gt;"",Main[[#This Row],[Revised Due Date]]&lt;&gt;"",Main[[#This Row],[In Stock Date]]&lt;&gt;""),Main[[#This Row],[In Stock Date]]-Main[[#This Row],[Revised Due Date]],""))</f>
        <v/>
      </c>
      <c r="I1068" s="101" t="s">
        <v>530</v>
      </c>
      <c r="J1068" s="95" t="s">
        <v>28</v>
      </c>
      <c r="K1068" s="95" t="s">
        <v>1923</v>
      </c>
      <c r="L1068" s="85"/>
      <c r="M1068" s="73" t="str">
        <f>IF(Main[[#This Row],[Tech Start Date]]&lt;1/1/1990,"",IF(Main[[#This Row],[Class]]="C",WORKDAY(Main[[#This Row],[Tech Start Date]],9),IF(Main[[#This Row],[Class]]="B", WORKDAY(Main[[#This Row],[Tech Start Date]],6),IF(Main[[#This Row],[Class]]="A",WORKDAY(Main[[#This Row],[Tech Start Date]],2),""))))</f>
        <v/>
      </c>
      <c r="N1068" s="73" t="str">
        <f>IF(Main[[#This Row],[Tech Start Date]]&lt;1/1/1990,"",IF(Main[[#This Row],[Class]]="C",WORKDAY(Main[[#This Row],[Tech Start Date]],19),IF(Main[[#This Row],[Class]]="B", WORKDAY(Main[[#This Row],[Tech Start Date]],12),IF(Main[[#This Row],[Class]]="A",WORKDAY(Main[[#This Row],[Tech Start Date]],4),""))))</f>
        <v/>
      </c>
      <c r="O1068" s="73" t="str">
        <f>IF(Main[[#This Row],[Tech Start Date]]&lt;1/1/1990,"",IF(Main[[#This Row],[Class]]="C",WORKDAY(Main[[#This Row],[Tech Start Date]],23),IF(Main[[#This Row],[Class]]="B", WORKDAY(Main[[#This Row],[Tech Start Date]],15),IF(Main[[#This Row],[Class]]="A",WORKDAY(Main[[#This Row],[Tech Start Date]],5),""))))</f>
        <v/>
      </c>
      <c r="P1068" s="73" t="str">
        <f>IF(Main[[#This Row],[Tech Start Date]]&lt;1/1/1990,"",IF(Main[[#This Row],[Class]]="C",WORKDAY(Main[[#This Row],[Tech Start Date]],28),IF(Main[[#This Row],[Class]]="B", WORKDAY(Main[[#This Row],[Tech Start Date]],19),IF(Main[[#This Row],[Class]]="A",WORKDAY(Main[[#This Row],[Tech Start Date]],9),""))))</f>
        <v/>
      </c>
      <c r="Q1068" s="85">
        <v>40725</v>
      </c>
      <c r="R1068" s="112"/>
      <c r="S1068" s="95" t="s">
        <v>6</v>
      </c>
      <c r="T1068" s="74" t="s">
        <v>4</v>
      </c>
      <c r="U1068" s="95" t="s">
        <v>29</v>
      </c>
      <c r="V1068" s="95" t="s">
        <v>1914</v>
      </c>
      <c r="W1068" s="95" t="s">
        <v>1913</v>
      </c>
      <c r="X1068" s="95" t="s">
        <v>553</v>
      </c>
      <c r="Y1068" s="72" t="s">
        <v>2930</v>
      </c>
      <c r="Z1068" s="72" t="s">
        <v>30</v>
      </c>
      <c r="AA1068" s="95" t="s">
        <v>553</v>
      </c>
      <c r="AB1068" s="132"/>
      <c r="AC1068" s="132"/>
      <c r="AD1068" s="132"/>
      <c r="AE1068" s="63"/>
      <c r="AF1068" s="63"/>
      <c r="AG1068" s="63"/>
    </row>
    <row r="1069" spans="1:33" ht="17.2" customHeight="1">
      <c r="A1069" s="64" t="str">
        <f>IF(priority(Main[[#This Row],[Comments]])&lt;&gt;0, priority(Main[[#This Row],[Comments]]),"")</f>
        <v/>
      </c>
      <c r="B1069" s="60" t="s">
        <v>1171</v>
      </c>
      <c r="C1069" s="72" t="s">
        <v>4</v>
      </c>
      <c r="D1069" s="59" t="s">
        <v>2415</v>
      </c>
      <c r="E1069" s="85">
        <v>40567.661041666666</v>
      </c>
      <c r="F1069" s="85">
        <v>40602</v>
      </c>
      <c r="G1069" s="64" t="str">
        <f>IF(stdProdLT(Main[[#This Row],[Comments]])=0.1,"N/A",IF(stdProdLT(Main[[#This Row],[Comments]])=0,"",TRIM(stdProdLT(Main[[#This Row],[Comments]]))))</f>
        <v/>
      </c>
      <c r="H1069" s="94" t="str">
        <f>IF(OR(Main[[#This Row],[Std. Prod. Lead Time]]="N/A",Main[[#This Row],[Std. Prod. Lead Time]]=""), "",IF(AND(Main[[#This Row],[In Stock Date]]&lt;&gt;"",Main[[#This Row],[Revised Due Date]]&lt;&gt;"",Main[[#This Row],[In Stock Date]]&lt;&gt;""),Main[[#This Row],[In Stock Date]]-Main[[#This Row],[Revised Due Date]],""))</f>
        <v/>
      </c>
      <c r="I1069" s="101" t="s">
        <v>912</v>
      </c>
      <c r="J1069" s="95" t="s">
        <v>52</v>
      </c>
      <c r="K1069" s="95" t="s">
        <v>1920</v>
      </c>
      <c r="L1069" s="85"/>
      <c r="M1069" s="73" t="str">
        <f>IF(Main[[#This Row],[Tech Start Date]]&lt;1/1/1990,"",IF(Main[[#This Row],[Class]]="C",WORKDAY(Main[[#This Row],[Tech Start Date]],9),IF(Main[[#This Row],[Class]]="B", WORKDAY(Main[[#This Row],[Tech Start Date]],6),IF(Main[[#This Row],[Class]]="A",WORKDAY(Main[[#This Row],[Tech Start Date]],2),""))))</f>
        <v/>
      </c>
      <c r="N1069" s="73" t="str">
        <f>IF(Main[[#This Row],[Tech Start Date]]&lt;1/1/1990,"",IF(Main[[#This Row],[Class]]="C",WORKDAY(Main[[#This Row],[Tech Start Date]],19),IF(Main[[#This Row],[Class]]="B", WORKDAY(Main[[#This Row],[Tech Start Date]],12),IF(Main[[#This Row],[Class]]="A",WORKDAY(Main[[#This Row],[Tech Start Date]],4),""))))</f>
        <v/>
      </c>
      <c r="O1069" s="73" t="str">
        <f>IF(Main[[#This Row],[Tech Start Date]]&lt;1/1/1990,"",IF(Main[[#This Row],[Class]]="C",WORKDAY(Main[[#This Row],[Tech Start Date]],23),IF(Main[[#This Row],[Class]]="B", WORKDAY(Main[[#This Row],[Tech Start Date]],15),IF(Main[[#This Row],[Class]]="A",WORKDAY(Main[[#This Row],[Tech Start Date]],5),""))))</f>
        <v/>
      </c>
      <c r="P1069" s="73" t="str">
        <f>IF(Main[[#This Row],[Tech Start Date]]&lt;1/1/1990,"",IF(Main[[#This Row],[Class]]="C",WORKDAY(Main[[#This Row],[Tech Start Date]],28),IF(Main[[#This Row],[Class]]="B", WORKDAY(Main[[#This Row],[Tech Start Date]],19),IF(Main[[#This Row],[Class]]="A",WORKDAY(Main[[#This Row],[Tech Start Date]],9),""))))</f>
        <v/>
      </c>
      <c r="Q1069" s="85">
        <v>40602</v>
      </c>
      <c r="R1069" s="112"/>
      <c r="S1069" s="95" t="s">
        <v>6</v>
      </c>
      <c r="T1069" s="74" t="s">
        <v>4</v>
      </c>
      <c r="U1069" s="95" t="s">
        <v>29</v>
      </c>
      <c r="V1069" s="95" t="s">
        <v>1911</v>
      </c>
      <c r="W1069" s="95" t="s">
        <v>1913</v>
      </c>
      <c r="X1069" s="95" t="s">
        <v>2798</v>
      </c>
      <c r="Y1069" s="72" t="s">
        <v>2908</v>
      </c>
      <c r="Z1069" s="72" t="s">
        <v>129</v>
      </c>
      <c r="AA1069" s="95" t="s">
        <v>2798</v>
      </c>
      <c r="AB1069" s="132"/>
      <c r="AC1069" s="132"/>
      <c r="AD1069" s="132"/>
      <c r="AE1069" s="63"/>
      <c r="AF1069" s="63"/>
      <c r="AG1069" s="63"/>
    </row>
    <row r="1070" spans="1:33" ht="17.2" customHeight="1">
      <c r="A1070" s="64" t="str">
        <f>IF(priority(Main[[#This Row],[Comments]])&lt;&gt;0, priority(Main[[#This Row],[Comments]]),"")</f>
        <v/>
      </c>
      <c r="B1070" s="60" t="s">
        <v>1572</v>
      </c>
      <c r="C1070" s="72" t="s">
        <v>4</v>
      </c>
      <c r="D1070" s="59" t="s">
        <v>2416</v>
      </c>
      <c r="E1070" s="85">
        <v>40463.34134259259</v>
      </c>
      <c r="F1070" s="85"/>
      <c r="G1070" s="64" t="str">
        <f>IF(stdProdLT(Main[[#This Row],[Comments]])=0.1,"N/A",IF(stdProdLT(Main[[#This Row],[Comments]])=0,"",TRIM(stdProdLT(Main[[#This Row],[Comments]]))))</f>
        <v/>
      </c>
      <c r="H1070" s="94" t="str">
        <f>IF(OR(Main[[#This Row],[Std. Prod. Lead Time]]="N/A",Main[[#This Row],[Std. Prod. Lead Time]]=""), "",IF(AND(Main[[#This Row],[In Stock Date]]&lt;&gt;"",Main[[#This Row],[Revised Due Date]]&lt;&gt;"",Main[[#This Row],[In Stock Date]]&lt;&gt;""),Main[[#This Row],[In Stock Date]]-Main[[#This Row],[Revised Due Date]],""))</f>
        <v/>
      </c>
      <c r="I1070" s="101" t="s">
        <v>912</v>
      </c>
      <c r="J1070" s="95" t="s">
        <v>52</v>
      </c>
      <c r="K1070" s="95" t="s">
        <v>4</v>
      </c>
      <c r="L1070" s="85"/>
      <c r="M1070" s="73" t="str">
        <f>IF(Main[[#This Row],[Tech Start Date]]&lt;1/1/1990,"",IF(Main[[#This Row],[Class]]="C",WORKDAY(Main[[#This Row],[Tech Start Date]],9),IF(Main[[#This Row],[Class]]="B", WORKDAY(Main[[#This Row],[Tech Start Date]],6),IF(Main[[#This Row],[Class]]="A",WORKDAY(Main[[#This Row],[Tech Start Date]],2),""))))</f>
        <v/>
      </c>
      <c r="N1070" s="73" t="str">
        <f>IF(Main[[#This Row],[Tech Start Date]]&lt;1/1/1990,"",IF(Main[[#This Row],[Class]]="C",WORKDAY(Main[[#This Row],[Tech Start Date]],19),IF(Main[[#This Row],[Class]]="B", WORKDAY(Main[[#This Row],[Tech Start Date]],12),IF(Main[[#This Row],[Class]]="A",WORKDAY(Main[[#This Row],[Tech Start Date]],4),""))))</f>
        <v/>
      </c>
      <c r="O1070" s="73" t="str">
        <f>IF(Main[[#This Row],[Tech Start Date]]&lt;1/1/1990,"",IF(Main[[#This Row],[Class]]="C",WORKDAY(Main[[#This Row],[Tech Start Date]],23),IF(Main[[#This Row],[Class]]="B", WORKDAY(Main[[#This Row],[Tech Start Date]],15),IF(Main[[#This Row],[Class]]="A",WORKDAY(Main[[#This Row],[Tech Start Date]],5),""))))</f>
        <v/>
      </c>
      <c r="P1070" s="73" t="str">
        <f>IF(Main[[#This Row],[Tech Start Date]]&lt;1/1/1990,"",IF(Main[[#This Row],[Class]]="C",WORKDAY(Main[[#This Row],[Tech Start Date]],28),IF(Main[[#This Row],[Class]]="B", WORKDAY(Main[[#This Row],[Tech Start Date]],19),IF(Main[[#This Row],[Class]]="A",WORKDAY(Main[[#This Row],[Tech Start Date]],9),""))))</f>
        <v/>
      </c>
      <c r="Q1070" s="85">
        <v>40497</v>
      </c>
      <c r="R1070" s="112"/>
      <c r="S1070" s="95" t="s">
        <v>6</v>
      </c>
      <c r="T1070" s="74" t="s">
        <v>4</v>
      </c>
      <c r="U1070" s="95" t="s">
        <v>29</v>
      </c>
      <c r="V1070" s="95" t="s">
        <v>1911</v>
      </c>
      <c r="W1070" s="95" t="s">
        <v>1915</v>
      </c>
      <c r="X1070" s="95" t="s">
        <v>2798</v>
      </c>
      <c r="Y1070" s="72" t="s">
        <v>2908</v>
      </c>
      <c r="Z1070" s="72" t="s">
        <v>129</v>
      </c>
      <c r="AA1070" s="95" t="s">
        <v>2798</v>
      </c>
      <c r="AB1070" s="132"/>
      <c r="AC1070" s="132"/>
      <c r="AD1070" s="132"/>
      <c r="AE1070" s="63"/>
      <c r="AF1070" s="63"/>
      <c r="AG1070" s="63"/>
    </row>
    <row r="1071" spans="1:33" ht="17.2" customHeight="1">
      <c r="A1071" s="64" t="str">
        <f>IF(priority(Main[[#This Row],[Comments]])&lt;&gt;0, priority(Main[[#This Row],[Comments]]),"")</f>
        <v/>
      </c>
      <c r="B1071" s="60" t="s">
        <v>2417</v>
      </c>
      <c r="C1071" s="72" t="s">
        <v>4</v>
      </c>
      <c r="D1071" s="59" t="s">
        <v>2418</v>
      </c>
      <c r="E1071" s="85">
        <v>40833.65898148148</v>
      </c>
      <c r="F1071" s="85"/>
      <c r="G1071" s="64" t="str">
        <f>IF(stdProdLT(Main[[#This Row],[Comments]])=0.1,"N/A",IF(stdProdLT(Main[[#This Row],[Comments]])=0,"",TRIM(stdProdLT(Main[[#This Row],[Comments]]))))</f>
        <v/>
      </c>
      <c r="H1071" s="94" t="str">
        <f>IF(OR(Main[[#This Row],[Std. Prod. Lead Time]]="N/A",Main[[#This Row],[Std. Prod. Lead Time]]=""), "",IF(AND(Main[[#This Row],[In Stock Date]]&lt;&gt;"",Main[[#This Row],[Revised Due Date]]&lt;&gt;"",Main[[#This Row],[In Stock Date]]&lt;&gt;""),Main[[#This Row],[In Stock Date]]-Main[[#This Row],[Revised Due Date]],""))</f>
        <v/>
      </c>
      <c r="I1071" s="101" t="s">
        <v>530</v>
      </c>
      <c r="J1071" s="95" t="s">
        <v>28</v>
      </c>
      <c r="K1071" s="95" t="s">
        <v>1920</v>
      </c>
      <c r="L1071" s="85"/>
      <c r="M1071" s="73" t="str">
        <f>IF(Main[[#This Row],[Tech Start Date]]&lt;1/1/1990,"",IF(Main[[#This Row],[Class]]="C",WORKDAY(Main[[#This Row],[Tech Start Date]],9),IF(Main[[#This Row],[Class]]="B", WORKDAY(Main[[#This Row],[Tech Start Date]],6),IF(Main[[#This Row],[Class]]="A",WORKDAY(Main[[#This Row],[Tech Start Date]],2),""))))</f>
        <v/>
      </c>
      <c r="N1071" s="73" t="str">
        <f>IF(Main[[#This Row],[Tech Start Date]]&lt;1/1/1990,"",IF(Main[[#This Row],[Class]]="C",WORKDAY(Main[[#This Row],[Tech Start Date]],19),IF(Main[[#This Row],[Class]]="B", WORKDAY(Main[[#This Row],[Tech Start Date]],12),IF(Main[[#This Row],[Class]]="A",WORKDAY(Main[[#This Row],[Tech Start Date]],4),""))))</f>
        <v/>
      </c>
      <c r="O1071" s="73" t="str">
        <f>IF(Main[[#This Row],[Tech Start Date]]&lt;1/1/1990,"",IF(Main[[#This Row],[Class]]="C",WORKDAY(Main[[#This Row],[Tech Start Date]],23),IF(Main[[#This Row],[Class]]="B", WORKDAY(Main[[#This Row],[Tech Start Date]],15),IF(Main[[#This Row],[Class]]="A",WORKDAY(Main[[#This Row],[Tech Start Date]],5),""))))</f>
        <v/>
      </c>
      <c r="P1071" s="73" t="str">
        <f>IF(Main[[#This Row],[Tech Start Date]]&lt;1/1/1990,"",IF(Main[[#This Row],[Class]]="C",WORKDAY(Main[[#This Row],[Tech Start Date]],28),IF(Main[[#This Row],[Class]]="B", WORKDAY(Main[[#This Row],[Tech Start Date]],19),IF(Main[[#This Row],[Class]]="A",WORKDAY(Main[[#This Row],[Tech Start Date]],9),""))))</f>
        <v/>
      </c>
      <c r="Q1071" s="85">
        <v>40923</v>
      </c>
      <c r="R1071" s="112"/>
      <c r="S1071" s="95" t="s">
        <v>6</v>
      </c>
      <c r="T1071" s="74" t="s">
        <v>4</v>
      </c>
      <c r="U1071" s="95" t="s">
        <v>29</v>
      </c>
      <c r="V1071" s="95" t="s">
        <v>1914</v>
      </c>
      <c r="W1071" s="95" t="s">
        <v>1915</v>
      </c>
      <c r="X1071" s="95" t="s">
        <v>553</v>
      </c>
      <c r="Y1071" s="72" t="s">
        <v>2930</v>
      </c>
      <c r="Z1071" s="72" t="s">
        <v>30</v>
      </c>
      <c r="AA1071" s="95" t="s">
        <v>553</v>
      </c>
      <c r="AB1071" s="132"/>
      <c r="AC1071" s="132"/>
      <c r="AD1071" s="132"/>
      <c r="AE1071" s="63"/>
      <c r="AF1071" s="63"/>
      <c r="AG1071" s="63"/>
    </row>
    <row r="1072" spans="1:33" ht="17.2" customHeight="1">
      <c r="A1072" s="64" t="str">
        <f>IF(priority(Main[[#This Row],[Comments]])&lt;&gt;0, priority(Main[[#This Row],[Comments]]),"")</f>
        <v/>
      </c>
      <c r="B1072" s="60" t="s">
        <v>1763</v>
      </c>
      <c r="C1072" s="72" t="s">
        <v>4</v>
      </c>
      <c r="D1072" s="59" t="s">
        <v>2305</v>
      </c>
      <c r="E1072" s="85">
        <v>40660.402291666665</v>
      </c>
      <c r="F1072" s="85"/>
      <c r="G1072" s="64" t="str">
        <f>IF(stdProdLT(Main[[#This Row],[Comments]])=0.1,"N/A",IF(stdProdLT(Main[[#This Row],[Comments]])=0,"",TRIM(stdProdLT(Main[[#This Row],[Comments]]))))</f>
        <v/>
      </c>
      <c r="H1072" s="94" t="str">
        <f>IF(OR(Main[[#This Row],[Std. Prod. Lead Time]]="N/A",Main[[#This Row],[Std. Prod. Lead Time]]=""), "",IF(AND(Main[[#This Row],[In Stock Date]]&lt;&gt;"",Main[[#This Row],[Revised Due Date]]&lt;&gt;"",Main[[#This Row],[In Stock Date]]&lt;&gt;""),Main[[#This Row],[In Stock Date]]-Main[[#This Row],[Revised Due Date]],""))</f>
        <v/>
      </c>
      <c r="I1072" s="101" t="s">
        <v>561</v>
      </c>
      <c r="J1072" s="95" t="s">
        <v>21</v>
      </c>
      <c r="K1072" s="95" t="s">
        <v>4</v>
      </c>
      <c r="L1072" s="85"/>
      <c r="M1072" s="73" t="str">
        <f>IF(Main[[#This Row],[Tech Start Date]]&lt;1/1/1990,"",IF(Main[[#This Row],[Class]]="C",WORKDAY(Main[[#This Row],[Tech Start Date]],9),IF(Main[[#This Row],[Class]]="B", WORKDAY(Main[[#This Row],[Tech Start Date]],6),IF(Main[[#This Row],[Class]]="A",WORKDAY(Main[[#This Row],[Tech Start Date]],2),""))))</f>
        <v/>
      </c>
      <c r="N1072" s="73" t="str">
        <f>IF(Main[[#This Row],[Tech Start Date]]&lt;1/1/1990,"",IF(Main[[#This Row],[Class]]="C",WORKDAY(Main[[#This Row],[Tech Start Date]],19),IF(Main[[#This Row],[Class]]="B", WORKDAY(Main[[#This Row],[Tech Start Date]],12),IF(Main[[#This Row],[Class]]="A",WORKDAY(Main[[#This Row],[Tech Start Date]],4),""))))</f>
        <v/>
      </c>
      <c r="O1072" s="73" t="str">
        <f>IF(Main[[#This Row],[Tech Start Date]]&lt;1/1/1990,"",IF(Main[[#This Row],[Class]]="C",WORKDAY(Main[[#This Row],[Tech Start Date]],23),IF(Main[[#This Row],[Class]]="B", WORKDAY(Main[[#This Row],[Tech Start Date]],15),IF(Main[[#This Row],[Class]]="A",WORKDAY(Main[[#This Row],[Tech Start Date]],5),""))))</f>
        <v/>
      </c>
      <c r="P1072" s="73" t="str">
        <f>IF(Main[[#This Row],[Tech Start Date]]&lt;1/1/1990,"",IF(Main[[#This Row],[Class]]="C",WORKDAY(Main[[#This Row],[Tech Start Date]],28),IF(Main[[#This Row],[Class]]="B", WORKDAY(Main[[#This Row],[Tech Start Date]],19),IF(Main[[#This Row],[Class]]="A",WORKDAY(Main[[#This Row],[Tech Start Date]],9),""))))</f>
        <v/>
      </c>
      <c r="Q1072" s="85">
        <v>40676</v>
      </c>
      <c r="R1072" s="112"/>
      <c r="S1072" s="95" t="s">
        <v>6</v>
      </c>
      <c r="T1072" s="74" t="s">
        <v>4</v>
      </c>
      <c r="U1072" s="95" t="s">
        <v>29</v>
      </c>
      <c r="V1072" s="95" t="s">
        <v>1911</v>
      </c>
      <c r="W1072" s="95" t="s">
        <v>1915</v>
      </c>
      <c r="X1072" s="95" t="s">
        <v>2801</v>
      </c>
      <c r="Y1072" s="72" t="s">
        <v>2914</v>
      </c>
      <c r="Z1072" s="72" t="s">
        <v>4</v>
      </c>
      <c r="AA1072" s="95" t="s">
        <v>2801</v>
      </c>
      <c r="AB1072" s="132"/>
      <c r="AC1072" s="132"/>
      <c r="AD1072" s="132"/>
      <c r="AE1072" s="63"/>
      <c r="AF1072" s="63"/>
      <c r="AG1072" s="63"/>
    </row>
    <row r="1073" spans="1:33" ht="17.2" customHeight="1">
      <c r="A1073" s="64" t="str">
        <f>IF(priority(Main[[#This Row],[Comments]])&lt;&gt;0, priority(Main[[#This Row],[Comments]]),"")</f>
        <v/>
      </c>
      <c r="B1073" s="60" t="s">
        <v>2487</v>
      </c>
      <c r="C1073" s="72" t="s">
        <v>4</v>
      </c>
      <c r="D1073" s="59" t="s">
        <v>2488</v>
      </c>
      <c r="E1073" s="85"/>
      <c r="F1073" s="85"/>
      <c r="G1073" s="64" t="str">
        <f>IF(stdProdLT(Main[[#This Row],[Comments]])=0.1,"N/A",IF(stdProdLT(Main[[#This Row],[Comments]])=0,"",TRIM(stdProdLT(Main[[#This Row],[Comments]]))))</f>
        <v/>
      </c>
      <c r="H1073" s="94" t="str">
        <f>IF(OR(Main[[#This Row],[Std. Prod. Lead Time]]="N/A",Main[[#This Row],[Std. Prod. Lead Time]]=""), "",IF(AND(Main[[#This Row],[In Stock Date]]&lt;&gt;"",Main[[#This Row],[Revised Due Date]]&lt;&gt;"",Main[[#This Row],[In Stock Date]]&lt;&gt;""),Main[[#This Row],[In Stock Date]]-Main[[#This Row],[Revised Due Date]],""))</f>
        <v/>
      </c>
      <c r="I1073" s="101" t="s">
        <v>530</v>
      </c>
      <c r="J1073" s="95" t="s">
        <v>28</v>
      </c>
      <c r="K1073" s="95" t="s">
        <v>1920</v>
      </c>
      <c r="L1073" s="85"/>
      <c r="M1073" s="73" t="str">
        <f>IF(Main[[#This Row],[Tech Start Date]]&lt;1/1/1990,"",IF(Main[[#This Row],[Class]]="C",WORKDAY(Main[[#This Row],[Tech Start Date]],9),IF(Main[[#This Row],[Class]]="B", WORKDAY(Main[[#This Row],[Tech Start Date]],6),IF(Main[[#This Row],[Class]]="A",WORKDAY(Main[[#This Row],[Tech Start Date]],2),""))))</f>
        <v/>
      </c>
      <c r="N1073" s="73" t="str">
        <f>IF(Main[[#This Row],[Tech Start Date]]&lt;1/1/1990,"",IF(Main[[#This Row],[Class]]="C",WORKDAY(Main[[#This Row],[Tech Start Date]],19),IF(Main[[#This Row],[Class]]="B", WORKDAY(Main[[#This Row],[Tech Start Date]],12),IF(Main[[#This Row],[Class]]="A",WORKDAY(Main[[#This Row],[Tech Start Date]],4),""))))</f>
        <v/>
      </c>
      <c r="O1073" s="73" t="str">
        <f>IF(Main[[#This Row],[Tech Start Date]]&lt;1/1/1990,"",IF(Main[[#This Row],[Class]]="C",WORKDAY(Main[[#This Row],[Tech Start Date]],23),IF(Main[[#This Row],[Class]]="B", WORKDAY(Main[[#This Row],[Tech Start Date]],15),IF(Main[[#This Row],[Class]]="A",WORKDAY(Main[[#This Row],[Tech Start Date]],5),""))))</f>
        <v/>
      </c>
      <c r="P1073" s="73" t="str">
        <f>IF(Main[[#This Row],[Tech Start Date]]&lt;1/1/1990,"",IF(Main[[#This Row],[Class]]="C",WORKDAY(Main[[#This Row],[Tech Start Date]],28),IF(Main[[#This Row],[Class]]="B", WORKDAY(Main[[#This Row],[Tech Start Date]],19),IF(Main[[#This Row],[Class]]="A",WORKDAY(Main[[#This Row],[Tech Start Date]],9),""))))</f>
        <v/>
      </c>
      <c r="Q1073" s="85">
        <v>40939</v>
      </c>
      <c r="R1073" s="112"/>
      <c r="S1073" s="95" t="s">
        <v>6</v>
      </c>
      <c r="T1073" s="74" t="s">
        <v>4</v>
      </c>
      <c r="U1073" s="95" t="s">
        <v>14</v>
      </c>
      <c r="V1073" s="95" t="s">
        <v>1914</v>
      </c>
      <c r="W1073" s="95" t="s">
        <v>1915</v>
      </c>
      <c r="X1073" s="95" t="s">
        <v>553</v>
      </c>
      <c r="Y1073" s="72" t="s">
        <v>2930</v>
      </c>
      <c r="Z1073" s="72" t="s">
        <v>30</v>
      </c>
      <c r="AA1073" s="95" t="s">
        <v>553</v>
      </c>
      <c r="AB1073" s="132"/>
      <c r="AC1073" s="132"/>
      <c r="AD1073" s="132"/>
      <c r="AE1073" s="63"/>
      <c r="AF1073" s="63"/>
      <c r="AG1073" s="63"/>
    </row>
    <row r="1074" spans="1:33" ht="17.2" customHeight="1">
      <c r="A1074" s="64" t="str">
        <f>IF(priority(Main[[#This Row],[Comments]])&lt;&gt;0, priority(Main[[#This Row],[Comments]]),"")</f>
        <v/>
      </c>
      <c r="B1074" s="60" t="s">
        <v>3893</v>
      </c>
      <c r="C1074" s="72" t="s">
        <v>4</v>
      </c>
      <c r="D1074" s="59" t="s">
        <v>3891</v>
      </c>
      <c r="E1074" s="85"/>
      <c r="F1074" s="85"/>
      <c r="G1074" s="64" t="str">
        <f>IF(stdProdLT(Main[[#This Row],[Comments]])=0.1,"N/A",IF(stdProdLT(Main[[#This Row],[Comments]])=0,"",TRIM(stdProdLT(Main[[#This Row],[Comments]]))))</f>
        <v/>
      </c>
      <c r="H1074" s="94" t="str">
        <f>IF(OR(Main[[#This Row],[Std. Prod. Lead Time]]="N/A",Main[[#This Row],[Std. Prod. Lead Time]]=""), "",IF(AND(Main[[#This Row],[In Stock Date]]&lt;&gt;"",Main[[#This Row],[Revised Due Date]]&lt;&gt;"",Main[[#This Row],[In Stock Date]]&lt;&gt;""),Main[[#This Row],[In Stock Date]]-Main[[#This Row],[Revised Due Date]],""))</f>
        <v/>
      </c>
      <c r="I1074" s="101" t="s">
        <v>4</v>
      </c>
      <c r="J1074" s="95" t="s">
        <v>4</v>
      </c>
      <c r="K1074" s="95" t="s">
        <v>4</v>
      </c>
      <c r="L1074" s="85"/>
      <c r="M1074" s="73" t="str">
        <f>IF(Main[[#This Row],[Tech Start Date]]&lt;1/1/1990,"",IF(Main[[#This Row],[Class]]="C",WORKDAY(Main[[#This Row],[Tech Start Date]],9),IF(Main[[#This Row],[Class]]="B", WORKDAY(Main[[#This Row],[Tech Start Date]],6),IF(Main[[#This Row],[Class]]="A",WORKDAY(Main[[#This Row],[Tech Start Date]],2),""))))</f>
        <v/>
      </c>
      <c r="N1074" s="73" t="str">
        <f>IF(Main[[#This Row],[Tech Start Date]]&lt;1/1/1990,"",IF(Main[[#This Row],[Class]]="C",WORKDAY(Main[[#This Row],[Tech Start Date]],19),IF(Main[[#This Row],[Class]]="B", WORKDAY(Main[[#This Row],[Tech Start Date]],12),IF(Main[[#This Row],[Class]]="A",WORKDAY(Main[[#This Row],[Tech Start Date]],4),""))))</f>
        <v/>
      </c>
      <c r="O1074" s="73" t="str">
        <f>IF(Main[[#This Row],[Tech Start Date]]&lt;1/1/1990,"",IF(Main[[#This Row],[Class]]="C",WORKDAY(Main[[#This Row],[Tech Start Date]],23),IF(Main[[#This Row],[Class]]="B", WORKDAY(Main[[#This Row],[Tech Start Date]],15),IF(Main[[#This Row],[Class]]="A",WORKDAY(Main[[#This Row],[Tech Start Date]],5),""))))</f>
        <v/>
      </c>
      <c r="P1074" s="73" t="str">
        <f>IF(Main[[#This Row],[Tech Start Date]]&lt;1/1/1990,"",IF(Main[[#This Row],[Class]]="C",WORKDAY(Main[[#This Row],[Tech Start Date]],28),IF(Main[[#This Row],[Class]]="B", WORKDAY(Main[[#This Row],[Tech Start Date]],19),IF(Main[[#This Row],[Class]]="A",WORKDAY(Main[[#This Row],[Tech Start Date]],9),""))))</f>
        <v/>
      </c>
      <c r="Q1074" s="85"/>
      <c r="R1074" s="112"/>
      <c r="S1074" s="95" t="s">
        <v>6</v>
      </c>
      <c r="T1074" s="74" t="s">
        <v>4</v>
      </c>
      <c r="U1074" s="95" t="s">
        <v>12</v>
      </c>
      <c r="V1074" s="95" t="s">
        <v>1914</v>
      </c>
      <c r="W1074" s="95" t="s">
        <v>1915</v>
      </c>
      <c r="X1074" s="95" t="s">
        <v>2045</v>
      </c>
      <c r="Y1074" s="72" t="s">
        <v>3892</v>
      </c>
      <c r="Z1074" s="72" t="s">
        <v>4</v>
      </c>
      <c r="AA1074" s="95" t="s">
        <v>2045</v>
      </c>
      <c r="AB1074" s="132"/>
      <c r="AC1074" s="132"/>
      <c r="AD1074" s="132"/>
      <c r="AE1074" s="63"/>
      <c r="AF1074" s="63"/>
      <c r="AG1074" s="63"/>
    </row>
    <row r="1075" spans="1:33" ht="17.2" customHeight="1">
      <c r="A1075" s="64" t="str">
        <f>IF(priority(Main[[#This Row],[Comments]])&lt;&gt;0, priority(Main[[#This Row],[Comments]]),"")</f>
        <v/>
      </c>
      <c r="B1075" s="60" t="s">
        <v>1904</v>
      </c>
      <c r="C1075" s="72" t="s">
        <v>4</v>
      </c>
      <c r="D1075" s="59" t="s">
        <v>957</v>
      </c>
      <c r="E1075" s="85">
        <v>40140.581273148149</v>
      </c>
      <c r="F1075" s="85"/>
      <c r="G1075" s="64" t="str">
        <f>IF(stdProdLT(Main[[#This Row],[Comments]])=0.1,"N/A",IF(stdProdLT(Main[[#This Row],[Comments]])=0,"",TRIM(stdProdLT(Main[[#This Row],[Comments]]))))</f>
        <v/>
      </c>
      <c r="H1075" s="94" t="str">
        <f>IF(OR(Main[[#This Row],[Std. Prod. Lead Time]]="N/A",Main[[#This Row],[Std. Prod. Lead Time]]=""), "",IF(AND(Main[[#This Row],[In Stock Date]]&lt;&gt;"",Main[[#This Row],[Revised Due Date]]&lt;&gt;"",Main[[#This Row],[In Stock Date]]&lt;&gt;""),Main[[#This Row],[In Stock Date]]-Main[[#This Row],[Revised Due Date]],""))</f>
        <v/>
      </c>
      <c r="I1075" s="101" t="s">
        <v>431</v>
      </c>
      <c r="J1075" s="95" t="s">
        <v>28</v>
      </c>
      <c r="K1075" s="95" t="s">
        <v>1923</v>
      </c>
      <c r="L1075" s="85"/>
      <c r="M1075" s="73" t="str">
        <f>IF(Main[[#This Row],[Tech Start Date]]&lt;1/1/1990,"",IF(Main[[#This Row],[Class]]="C",WORKDAY(Main[[#This Row],[Tech Start Date]],9),IF(Main[[#This Row],[Class]]="B", WORKDAY(Main[[#This Row],[Tech Start Date]],6),IF(Main[[#This Row],[Class]]="A",WORKDAY(Main[[#This Row],[Tech Start Date]],2),""))))</f>
        <v/>
      </c>
      <c r="N1075" s="73" t="str">
        <f>IF(Main[[#This Row],[Tech Start Date]]&lt;1/1/1990,"",IF(Main[[#This Row],[Class]]="C",WORKDAY(Main[[#This Row],[Tech Start Date]],19),IF(Main[[#This Row],[Class]]="B", WORKDAY(Main[[#This Row],[Tech Start Date]],12),IF(Main[[#This Row],[Class]]="A",WORKDAY(Main[[#This Row],[Tech Start Date]],4),""))))</f>
        <v/>
      </c>
      <c r="O1075" s="73" t="str">
        <f>IF(Main[[#This Row],[Tech Start Date]]&lt;1/1/1990,"",IF(Main[[#This Row],[Class]]="C",WORKDAY(Main[[#This Row],[Tech Start Date]],23),IF(Main[[#This Row],[Class]]="B", WORKDAY(Main[[#This Row],[Tech Start Date]],15),IF(Main[[#This Row],[Class]]="A",WORKDAY(Main[[#This Row],[Tech Start Date]],5),""))))</f>
        <v/>
      </c>
      <c r="P1075" s="73" t="str">
        <f>IF(Main[[#This Row],[Tech Start Date]]&lt;1/1/1990,"",IF(Main[[#This Row],[Class]]="C",WORKDAY(Main[[#This Row],[Tech Start Date]],28),IF(Main[[#This Row],[Class]]="B", WORKDAY(Main[[#This Row],[Tech Start Date]],19),IF(Main[[#This Row],[Class]]="A",WORKDAY(Main[[#This Row],[Tech Start Date]],9),""))))</f>
        <v/>
      </c>
      <c r="Q1075" s="85">
        <v>40326</v>
      </c>
      <c r="R1075" s="112">
        <v>40966</v>
      </c>
      <c r="S1075" s="95" t="s">
        <v>17</v>
      </c>
      <c r="T1075" s="74" t="s">
        <v>4</v>
      </c>
      <c r="U1075" s="95" t="s">
        <v>29</v>
      </c>
      <c r="V1075" s="95" t="s">
        <v>1914</v>
      </c>
      <c r="W1075" s="95" t="s">
        <v>1916</v>
      </c>
      <c r="X1075" s="95" t="s">
        <v>415</v>
      </c>
      <c r="Y1075" s="72" t="s">
        <v>2953</v>
      </c>
      <c r="Z1075" s="72" t="s">
        <v>415</v>
      </c>
      <c r="AA1075" s="95" t="s">
        <v>415</v>
      </c>
      <c r="AB1075" s="132"/>
      <c r="AC1075" s="132"/>
      <c r="AD1075" s="132"/>
      <c r="AE1075" s="63"/>
      <c r="AF1075" s="63"/>
      <c r="AG1075" s="63"/>
    </row>
    <row r="1076" spans="1:33" ht="17.2" customHeight="1">
      <c r="A1076" s="64" t="str">
        <f>IF(priority(Main[[#This Row],[Comments]])&lt;&gt;0, priority(Main[[#This Row],[Comments]]),"")</f>
        <v/>
      </c>
      <c r="B1076" s="60" t="s">
        <v>2118</v>
      </c>
      <c r="C1076" s="72" t="s">
        <v>4</v>
      </c>
      <c r="D1076" s="59" t="s">
        <v>2413</v>
      </c>
      <c r="E1076" s="85"/>
      <c r="F1076" s="85"/>
      <c r="G1076" s="64" t="str">
        <f>IF(stdProdLT(Main[[#This Row],[Comments]])=0.1,"N/A",IF(stdProdLT(Main[[#This Row],[Comments]])=0,"",TRIM(stdProdLT(Main[[#This Row],[Comments]]))))</f>
        <v/>
      </c>
      <c r="H1076" s="94" t="str">
        <f>IF(OR(Main[[#This Row],[Std. Prod. Lead Time]]="N/A",Main[[#This Row],[Std. Prod. Lead Time]]=""), "",IF(AND(Main[[#This Row],[In Stock Date]]&lt;&gt;"",Main[[#This Row],[Revised Due Date]]&lt;&gt;"",Main[[#This Row],[In Stock Date]]&lt;&gt;""),Main[[#This Row],[In Stock Date]]-Main[[#This Row],[Revised Due Date]],""))</f>
        <v/>
      </c>
      <c r="I1076" s="101" t="s">
        <v>2045</v>
      </c>
      <c r="J1076" s="95" t="s">
        <v>28</v>
      </c>
      <c r="K1076" s="95" t="s">
        <v>1920</v>
      </c>
      <c r="L1076" s="85"/>
      <c r="M1076" s="73" t="str">
        <f>IF(Main[[#This Row],[Tech Start Date]]&lt;1/1/1990,"",IF(Main[[#This Row],[Class]]="C",WORKDAY(Main[[#This Row],[Tech Start Date]],9),IF(Main[[#This Row],[Class]]="B", WORKDAY(Main[[#This Row],[Tech Start Date]],6),IF(Main[[#This Row],[Class]]="A",WORKDAY(Main[[#This Row],[Tech Start Date]],2),""))))</f>
        <v/>
      </c>
      <c r="N1076" s="73" t="str">
        <f>IF(Main[[#This Row],[Tech Start Date]]&lt;1/1/1990,"",IF(Main[[#This Row],[Class]]="C",WORKDAY(Main[[#This Row],[Tech Start Date]],19),IF(Main[[#This Row],[Class]]="B", WORKDAY(Main[[#This Row],[Tech Start Date]],12),IF(Main[[#This Row],[Class]]="A",WORKDAY(Main[[#This Row],[Tech Start Date]],4),""))))</f>
        <v/>
      </c>
      <c r="O1076" s="73" t="str">
        <f>IF(Main[[#This Row],[Tech Start Date]]&lt;1/1/1990,"",IF(Main[[#This Row],[Class]]="C",WORKDAY(Main[[#This Row],[Tech Start Date]],23),IF(Main[[#This Row],[Class]]="B", WORKDAY(Main[[#This Row],[Tech Start Date]],15),IF(Main[[#This Row],[Class]]="A",WORKDAY(Main[[#This Row],[Tech Start Date]],5),""))))</f>
        <v/>
      </c>
      <c r="P1076" s="73" t="str">
        <f>IF(Main[[#This Row],[Tech Start Date]]&lt;1/1/1990,"",IF(Main[[#This Row],[Class]]="C",WORKDAY(Main[[#This Row],[Tech Start Date]],28),IF(Main[[#This Row],[Class]]="B", WORKDAY(Main[[#This Row],[Tech Start Date]],19),IF(Main[[#This Row],[Class]]="A",WORKDAY(Main[[#This Row],[Tech Start Date]],9),""))))</f>
        <v/>
      </c>
      <c r="Q1076" s="85">
        <v>40816</v>
      </c>
      <c r="R1076" s="112"/>
      <c r="S1076" s="95" t="s">
        <v>6</v>
      </c>
      <c r="T1076" s="74" t="s">
        <v>4</v>
      </c>
      <c r="U1076" s="95" t="s">
        <v>14</v>
      </c>
      <c r="V1076" s="95" t="s">
        <v>1921</v>
      </c>
      <c r="W1076" s="95" t="s">
        <v>1915</v>
      </c>
      <c r="X1076" s="95" t="s">
        <v>2883</v>
      </c>
      <c r="Y1076" s="72" t="s">
        <v>3061</v>
      </c>
      <c r="Z1076" s="72" t="s">
        <v>44</v>
      </c>
      <c r="AA1076" s="95" t="s">
        <v>2883</v>
      </c>
      <c r="AB1076" s="132"/>
      <c r="AC1076" s="132"/>
      <c r="AD1076" s="132"/>
      <c r="AE1076" s="63"/>
      <c r="AF1076" s="63"/>
      <c r="AG1076" s="63"/>
    </row>
    <row r="1077" spans="1:33" ht="17.2" customHeight="1">
      <c r="A1077" s="64" t="str">
        <f>IF(priority(Main[[#This Row],[Comments]])&lt;&gt;0, priority(Main[[#This Row],[Comments]]),"")</f>
        <v/>
      </c>
      <c r="B1077" s="60" t="s">
        <v>2452</v>
      </c>
      <c r="C1077" s="72" t="s">
        <v>95</v>
      </c>
      <c r="D1077" s="59" t="s">
        <v>2669</v>
      </c>
      <c r="E1077" s="85">
        <v>40876.601030092592</v>
      </c>
      <c r="F1077" s="85"/>
      <c r="G1077" s="64" t="str">
        <f>IF(stdProdLT(Main[[#This Row],[Comments]])=0.1,"N/A",IF(stdProdLT(Main[[#This Row],[Comments]])=0,"",TRIM(stdProdLT(Main[[#This Row],[Comments]]))))</f>
        <v/>
      </c>
      <c r="H1077" s="94" t="str">
        <f>IF(OR(Main[[#This Row],[Std. Prod. Lead Time]]="N/A",Main[[#This Row],[Std. Prod. Lead Time]]=""), "",IF(AND(Main[[#This Row],[In Stock Date]]&lt;&gt;"",Main[[#This Row],[Revised Due Date]]&lt;&gt;"",Main[[#This Row],[In Stock Date]]&lt;&gt;""),Main[[#This Row],[In Stock Date]]-Main[[#This Row],[Revised Due Date]],""))</f>
        <v/>
      </c>
      <c r="I1077" s="101" t="s">
        <v>530</v>
      </c>
      <c r="J1077" s="95" t="s">
        <v>28</v>
      </c>
      <c r="K1077" s="95" t="s">
        <v>1920</v>
      </c>
      <c r="L1077" s="85"/>
      <c r="M1077" s="73" t="str">
        <f>IF(Main[[#This Row],[Tech Start Date]]&lt;1/1/1990,"",IF(Main[[#This Row],[Class]]="C",WORKDAY(Main[[#This Row],[Tech Start Date]],9),IF(Main[[#This Row],[Class]]="B", WORKDAY(Main[[#This Row],[Tech Start Date]],6),IF(Main[[#This Row],[Class]]="A",WORKDAY(Main[[#This Row],[Tech Start Date]],2),""))))</f>
        <v/>
      </c>
      <c r="N1077" s="73" t="str">
        <f>IF(Main[[#This Row],[Tech Start Date]]&lt;1/1/1990,"",IF(Main[[#This Row],[Class]]="C",WORKDAY(Main[[#This Row],[Tech Start Date]],19),IF(Main[[#This Row],[Class]]="B", WORKDAY(Main[[#This Row],[Tech Start Date]],12),IF(Main[[#This Row],[Class]]="A",WORKDAY(Main[[#This Row],[Tech Start Date]],4),""))))</f>
        <v/>
      </c>
      <c r="O1077" s="73" t="str">
        <f>IF(Main[[#This Row],[Tech Start Date]]&lt;1/1/1990,"",IF(Main[[#This Row],[Class]]="C",WORKDAY(Main[[#This Row],[Tech Start Date]],23),IF(Main[[#This Row],[Class]]="B", WORKDAY(Main[[#This Row],[Tech Start Date]],15),IF(Main[[#This Row],[Class]]="A",WORKDAY(Main[[#This Row],[Tech Start Date]],5),""))))</f>
        <v/>
      </c>
      <c r="P1077" s="73" t="str">
        <f>IF(Main[[#This Row],[Tech Start Date]]&lt;1/1/1990,"",IF(Main[[#This Row],[Class]]="C",WORKDAY(Main[[#This Row],[Tech Start Date]],28),IF(Main[[#This Row],[Class]]="B", WORKDAY(Main[[#This Row],[Tech Start Date]],19),IF(Main[[#This Row],[Class]]="A",WORKDAY(Main[[#This Row],[Tech Start Date]],9),""))))</f>
        <v/>
      </c>
      <c r="Q1077" s="85">
        <v>40900</v>
      </c>
      <c r="R1077" s="112"/>
      <c r="S1077" s="95" t="s">
        <v>6</v>
      </c>
      <c r="T1077" s="74" t="s">
        <v>4</v>
      </c>
      <c r="U1077" s="95" t="s">
        <v>29</v>
      </c>
      <c r="V1077" s="95" t="s">
        <v>1921</v>
      </c>
      <c r="W1077" s="95" t="s">
        <v>1919</v>
      </c>
      <c r="X1077" s="95" t="s">
        <v>883</v>
      </c>
      <c r="Y1077" s="72" t="s">
        <v>2941</v>
      </c>
      <c r="Z1077" s="72" t="s">
        <v>30</v>
      </c>
      <c r="AA1077" s="95" t="s">
        <v>883</v>
      </c>
      <c r="AB1077" s="132"/>
      <c r="AC1077" s="132"/>
      <c r="AD1077" s="132"/>
      <c r="AE1077" s="63"/>
      <c r="AF1077" s="63"/>
      <c r="AG1077" s="63"/>
    </row>
    <row r="1078" spans="1:33" ht="17.2" customHeight="1">
      <c r="A1078" s="64" t="str">
        <f>IF(priority(Main[[#This Row],[Comments]])&lt;&gt;0, priority(Main[[#This Row],[Comments]]),"")</f>
        <v/>
      </c>
      <c r="B1078" s="60" t="s">
        <v>2753</v>
      </c>
      <c r="C1078" s="72" t="s">
        <v>2754</v>
      </c>
      <c r="D1078" s="59" t="s">
        <v>3236</v>
      </c>
      <c r="E1078" s="85"/>
      <c r="F1078" s="85"/>
      <c r="G1078" s="64" t="str">
        <f>IF(stdProdLT(Main[[#This Row],[Comments]])=0.1,"N/A",IF(stdProdLT(Main[[#This Row],[Comments]])=0,"",TRIM(stdProdLT(Main[[#This Row],[Comments]]))))</f>
        <v>112</v>
      </c>
      <c r="H1078" s="94" t="str">
        <f>IF(OR(Main[[#This Row],[Std. Prod. Lead Time]]="N/A",Main[[#This Row],[Std. Prod. Lead Time]]=""), "",IF(AND(Main[[#This Row],[In Stock Date]]&lt;&gt;"",Main[[#This Row],[Revised Due Date]]&lt;&gt;"",Main[[#This Row],[In Stock Date]]&lt;&gt;""),Main[[#This Row],[In Stock Date]]-Main[[#This Row],[Revised Due Date]],""))</f>
        <v/>
      </c>
      <c r="I1078" s="101" t="s">
        <v>4</v>
      </c>
      <c r="J1078" s="95" t="s">
        <v>4</v>
      </c>
      <c r="K1078" s="95" t="s">
        <v>4</v>
      </c>
      <c r="L1078" s="85"/>
      <c r="M1078" s="73" t="str">
        <f>IF(Main[[#This Row],[Tech Start Date]]&lt;1/1/1990,"",IF(Main[[#This Row],[Class]]="C",WORKDAY(Main[[#This Row],[Tech Start Date]],9),IF(Main[[#This Row],[Class]]="B", WORKDAY(Main[[#This Row],[Tech Start Date]],6),IF(Main[[#This Row],[Class]]="A",WORKDAY(Main[[#This Row],[Tech Start Date]],2),""))))</f>
        <v/>
      </c>
      <c r="N1078" s="73" t="str">
        <f>IF(Main[[#This Row],[Tech Start Date]]&lt;1/1/1990,"",IF(Main[[#This Row],[Class]]="C",WORKDAY(Main[[#This Row],[Tech Start Date]],19),IF(Main[[#This Row],[Class]]="B", WORKDAY(Main[[#This Row],[Tech Start Date]],12),IF(Main[[#This Row],[Class]]="A",WORKDAY(Main[[#This Row],[Tech Start Date]],4),""))))</f>
        <v/>
      </c>
      <c r="O1078" s="73" t="str">
        <f>IF(Main[[#This Row],[Tech Start Date]]&lt;1/1/1990,"",IF(Main[[#This Row],[Class]]="C",WORKDAY(Main[[#This Row],[Tech Start Date]],23),IF(Main[[#This Row],[Class]]="B", WORKDAY(Main[[#This Row],[Tech Start Date]],15),IF(Main[[#This Row],[Class]]="A",WORKDAY(Main[[#This Row],[Tech Start Date]],5),""))))</f>
        <v/>
      </c>
      <c r="P1078" s="73" t="str">
        <f>IF(Main[[#This Row],[Tech Start Date]]&lt;1/1/1990,"",IF(Main[[#This Row],[Class]]="C",WORKDAY(Main[[#This Row],[Tech Start Date]],28),IF(Main[[#This Row],[Class]]="B", WORKDAY(Main[[#This Row],[Tech Start Date]],19),IF(Main[[#This Row],[Class]]="A",WORKDAY(Main[[#This Row],[Tech Start Date]],9),""))))</f>
        <v/>
      </c>
      <c r="Q1078" s="85"/>
      <c r="R1078" s="112"/>
      <c r="S1078" s="95" t="s">
        <v>11</v>
      </c>
      <c r="T1078" s="74" t="s">
        <v>3150</v>
      </c>
      <c r="U1078" s="95" t="s">
        <v>14</v>
      </c>
      <c r="V1078" s="95" t="s">
        <v>1914</v>
      </c>
      <c r="W1078" s="95" t="s">
        <v>1919</v>
      </c>
      <c r="X1078" s="95" t="s">
        <v>306</v>
      </c>
      <c r="Y1078" s="72" t="s">
        <v>4</v>
      </c>
      <c r="Z1078" s="72" t="s">
        <v>4</v>
      </c>
      <c r="AA1078" s="95" t="s">
        <v>4</v>
      </c>
      <c r="AB1078" s="132"/>
      <c r="AC1078" s="132"/>
      <c r="AD1078" s="132"/>
      <c r="AE1078" s="63"/>
      <c r="AF1078" s="63"/>
      <c r="AG1078" s="63"/>
    </row>
    <row r="1079" spans="1:33" ht="17.2" customHeight="1">
      <c r="A1079" s="64" t="str">
        <f>IF(priority(Main[[#This Row],[Comments]])&lt;&gt;0, priority(Main[[#This Row],[Comments]]),"")</f>
        <v/>
      </c>
      <c r="B1079" s="60" t="s">
        <v>3573</v>
      </c>
      <c r="C1079" s="72" t="s">
        <v>4</v>
      </c>
      <c r="D1079" s="59" t="s">
        <v>3574</v>
      </c>
      <c r="E1079" s="85">
        <v>40959.588020833333</v>
      </c>
      <c r="F1079" s="85"/>
      <c r="G1079" s="64" t="str">
        <f>IF(stdProdLT(Main[[#This Row],[Comments]])=0.1,"N/A",IF(stdProdLT(Main[[#This Row],[Comments]])=0,"",TRIM(stdProdLT(Main[[#This Row],[Comments]]))))</f>
        <v/>
      </c>
      <c r="H1079" s="94" t="str">
        <f>IF(OR(Main[[#This Row],[Std. Prod. Lead Time]]="N/A",Main[[#This Row],[Std. Prod. Lead Time]]=""), "",IF(AND(Main[[#This Row],[In Stock Date]]&lt;&gt;"",Main[[#This Row],[Revised Due Date]]&lt;&gt;"",Main[[#This Row],[In Stock Date]]&lt;&gt;""),Main[[#This Row],[In Stock Date]]-Main[[#This Row],[Revised Due Date]],""))</f>
        <v/>
      </c>
      <c r="I1079" s="101" t="s">
        <v>4</v>
      </c>
      <c r="J1079" s="95" t="s">
        <v>4</v>
      </c>
      <c r="K1079" s="95" t="s">
        <v>4</v>
      </c>
      <c r="L1079" s="85"/>
      <c r="M1079" s="73" t="str">
        <f>IF(Main[[#This Row],[Tech Start Date]]&lt;1/1/1990,"",IF(Main[[#This Row],[Class]]="C",WORKDAY(Main[[#This Row],[Tech Start Date]],9),IF(Main[[#This Row],[Class]]="B", WORKDAY(Main[[#This Row],[Tech Start Date]],6),IF(Main[[#This Row],[Class]]="A",WORKDAY(Main[[#This Row],[Tech Start Date]],2),""))))</f>
        <v/>
      </c>
      <c r="N1079" s="73" t="str">
        <f>IF(Main[[#This Row],[Tech Start Date]]&lt;1/1/1990,"",IF(Main[[#This Row],[Class]]="C",WORKDAY(Main[[#This Row],[Tech Start Date]],19),IF(Main[[#This Row],[Class]]="B", WORKDAY(Main[[#This Row],[Tech Start Date]],12),IF(Main[[#This Row],[Class]]="A",WORKDAY(Main[[#This Row],[Tech Start Date]],4),""))))</f>
        <v/>
      </c>
      <c r="O1079" s="73" t="str">
        <f>IF(Main[[#This Row],[Tech Start Date]]&lt;1/1/1990,"",IF(Main[[#This Row],[Class]]="C",WORKDAY(Main[[#This Row],[Tech Start Date]],23),IF(Main[[#This Row],[Class]]="B", WORKDAY(Main[[#This Row],[Tech Start Date]],15),IF(Main[[#This Row],[Class]]="A",WORKDAY(Main[[#This Row],[Tech Start Date]],5),""))))</f>
        <v/>
      </c>
      <c r="P1079" s="73" t="str">
        <f>IF(Main[[#This Row],[Tech Start Date]]&lt;1/1/1990,"",IF(Main[[#This Row],[Class]]="C",WORKDAY(Main[[#This Row],[Tech Start Date]],28),IF(Main[[#This Row],[Class]]="B", WORKDAY(Main[[#This Row],[Tech Start Date]],19),IF(Main[[#This Row],[Class]]="A",WORKDAY(Main[[#This Row],[Tech Start Date]],9),""))))</f>
        <v/>
      </c>
      <c r="Q1079" s="85"/>
      <c r="R1079" s="112"/>
      <c r="S1079" s="95" t="s">
        <v>6</v>
      </c>
      <c r="T1079" s="74" t="s">
        <v>4</v>
      </c>
      <c r="U1079" s="95" t="s">
        <v>29</v>
      </c>
      <c r="V1079" s="95" t="s">
        <v>1921</v>
      </c>
      <c r="W1079" s="95" t="s">
        <v>4</v>
      </c>
      <c r="X1079" s="95" t="s">
        <v>102</v>
      </c>
      <c r="Y1079" s="72" t="s">
        <v>3103</v>
      </c>
      <c r="Z1079" s="72" t="s">
        <v>4</v>
      </c>
      <c r="AA1079" s="95" t="s">
        <v>3415</v>
      </c>
      <c r="AB1079" s="132"/>
      <c r="AC1079" s="132"/>
      <c r="AD1079" s="132"/>
      <c r="AE1079" s="63"/>
      <c r="AF1079" s="63"/>
      <c r="AG1079" s="63"/>
    </row>
    <row r="1080" spans="1:33" ht="17.2" customHeight="1">
      <c r="A1080" s="64" t="str">
        <f>IF(priority(Main[[#This Row],[Comments]])&lt;&gt;0, priority(Main[[#This Row],[Comments]]),"")</f>
        <v/>
      </c>
      <c r="B1080" s="60" t="s">
        <v>3485</v>
      </c>
      <c r="C1080" s="72" t="s">
        <v>4</v>
      </c>
      <c r="D1080" s="59" t="s">
        <v>3486</v>
      </c>
      <c r="E1080" s="85">
        <v>40947.470821759256</v>
      </c>
      <c r="F1080" s="85"/>
      <c r="G1080" s="64" t="str">
        <f>IF(stdProdLT(Main[[#This Row],[Comments]])=0.1,"N/A",IF(stdProdLT(Main[[#This Row],[Comments]])=0,"",TRIM(stdProdLT(Main[[#This Row],[Comments]]))))</f>
        <v/>
      </c>
      <c r="H1080" s="94" t="str">
        <f>IF(OR(Main[[#This Row],[Std. Prod. Lead Time]]="N/A",Main[[#This Row],[Std. Prod. Lead Time]]=""), "",IF(AND(Main[[#This Row],[In Stock Date]]&lt;&gt;"",Main[[#This Row],[Revised Due Date]]&lt;&gt;"",Main[[#This Row],[In Stock Date]]&lt;&gt;""),Main[[#This Row],[In Stock Date]]-Main[[#This Row],[Revised Due Date]],""))</f>
        <v/>
      </c>
      <c r="I1080" s="101" t="s">
        <v>4</v>
      </c>
      <c r="J1080" s="95" t="s">
        <v>4</v>
      </c>
      <c r="K1080" s="95" t="s">
        <v>4</v>
      </c>
      <c r="L1080" s="85"/>
      <c r="M1080" s="73" t="str">
        <f>IF(Main[[#This Row],[Tech Start Date]]&lt;1/1/1990,"",IF(Main[[#This Row],[Class]]="C",WORKDAY(Main[[#This Row],[Tech Start Date]],9),IF(Main[[#This Row],[Class]]="B", WORKDAY(Main[[#This Row],[Tech Start Date]],6),IF(Main[[#This Row],[Class]]="A",WORKDAY(Main[[#This Row],[Tech Start Date]],2),""))))</f>
        <v/>
      </c>
      <c r="N1080" s="73" t="str">
        <f>IF(Main[[#This Row],[Tech Start Date]]&lt;1/1/1990,"",IF(Main[[#This Row],[Class]]="C",WORKDAY(Main[[#This Row],[Tech Start Date]],19),IF(Main[[#This Row],[Class]]="B", WORKDAY(Main[[#This Row],[Tech Start Date]],12),IF(Main[[#This Row],[Class]]="A",WORKDAY(Main[[#This Row],[Tech Start Date]],4),""))))</f>
        <v/>
      </c>
      <c r="O1080" s="73" t="str">
        <f>IF(Main[[#This Row],[Tech Start Date]]&lt;1/1/1990,"",IF(Main[[#This Row],[Class]]="C",WORKDAY(Main[[#This Row],[Tech Start Date]],23),IF(Main[[#This Row],[Class]]="B", WORKDAY(Main[[#This Row],[Tech Start Date]],15),IF(Main[[#This Row],[Class]]="A",WORKDAY(Main[[#This Row],[Tech Start Date]],5),""))))</f>
        <v/>
      </c>
      <c r="P1080" s="73" t="str">
        <f>IF(Main[[#This Row],[Tech Start Date]]&lt;1/1/1990,"",IF(Main[[#This Row],[Class]]="C",WORKDAY(Main[[#This Row],[Tech Start Date]],28),IF(Main[[#This Row],[Class]]="B", WORKDAY(Main[[#This Row],[Tech Start Date]],19),IF(Main[[#This Row],[Class]]="A",WORKDAY(Main[[#This Row],[Tech Start Date]],9),""))))</f>
        <v/>
      </c>
      <c r="Q1080" s="85"/>
      <c r="R1080" s="112"/>
      <c r="S1080" s="95" t="s">
        <v>6</v>
      </c>
      <c r="T1080" s="74" t="s">
        <v>4</v>
      </c>
      <c r="U1080" s="95" t="s">
        <v>29</v>
      </c>
      <c r="V1080" s="95" t="s">
        <v>1912</v>
      </c>
      <c r="W1080" s="95" t="s">
        <v>1915</v>
      </c>
      <c r="X1080" s="95" t="s">
        <v>306</v>
      </c>
      <c r="Y1080" s="72" t="s">
        <v>4</v>
      </c>
      <c r="Z1080" s="72" t="s">
        <v>4</v>
      </c>
      <c r="AA1080" s="95" t="s">
        <v>4</v>
      </c>
      <c r="AB1080" s="132"/>
      <c r="AC1080" s="132"/>
      <c r="AD1080" s="132"/>
      <c r="AE1080" s="63"/>
      <c r="AF1080" s="63"/>
      <c r="AG1080" s="63"/>
    </row>
    <row r="1081" spans="1:33" ht="17.2" customHeight="1">
      <c r="A1081" s="64" t="str">
        <f>IF(priority(Main[[#This Row],[Comments]])&lt;&gt;0, priority(Main[[#This Row],[Comments]]),"")</f>
        <v/>
      </c>
      <c r="B1081" s="60" t="s">
        <v>2561</v>
      </c>
      <c r="C1081" s="72" t="s">
        <v>4</v>
      </c>
      <c r="D1081" s="59" t="s">
        <v>2562</v>
      </c>
      <c r="E1081" s="85"/>
      <c r="F1081" s="85"/>
      <c r="G1081" s="64" t="str">
        <f>IF(stdProdLT(Main[[#This Row],[Comments]])=0.1,"N/A",IF(stdProdLT(Main[[#This Row],[Comments]])=0,"",TRIM(stdProdLT(Main[[#This Row],[Comments]]))))</f>
        <v/>
      </c>
      <c r="H1081" s="94" t="str">
        <f>IF(OR(Main[[#This Row],[Std. Prod. Lead Time]]="N/A",Main[[#This Row],[Std. Prod. Lead Time]]=""), "",IF(AND(Main[[#This Row],[In Stock Date]]&lt;&gt;"",Main[[#This Row],[Revised Due Date]]&lt;&gt;"",Main[[#This Row],[In Stock Date]]&lt;&gt;""),Main[[#This Row],[In Stock Date]]-Main[[#This Row],[Revised Due Date]],""))</f>
        <v/>
      </c>
      <c r="I1081" s="101" t="s">
        <v>4</v>
      </c>
      <c r="J1081" s="95" t="s">
        <v>4</v>
      </c>
      <c r="K1081" s="96" t="s">
        <v>4</v>
      </c>
      <c r="L1081" s="85"/>
      <c r="M1081" s="73" t="str">
        <f>IF(Main[[#This Row],[Tech Start Date]]&lt;1/1/1990,"",IF(Main[[#This Row],[Class]]="C",WORKDAY(Main[[#This Row],[Tech Start Date]],9),IF(Main[[#This Row],[Class]]="B", WORKDAY(Main[[#This Row],[Tech Start Date]],6),IF(Main[[#This Row],[Class]]="A",WORKDAY(Main[[#This Row],[Tech Start Date]],2),""))))</f>
        <v/>
      </c>
      <c r="N1081" s="73" t="str">
        <f>IF(Main[[#This Row],[Tech Start Date]]&lt;1/1/1990,"",IF(Main[[#This Row],[Class]]="C",WORKDAY(Main[[#This Row],[Tech Start Date]],19),IF(Main[[#This Row],[Class]]="B", WORKDAY(Main[[#This Row],[Tech Start Date]],12),IF(Main[[#This Row],[Class]]="A",WORKDAY(Main[[#This Row],[Tech Start Date]],4),""))))</f>
        <v/>
      </c>
      <c r="O1081" s="73" t="str">
        <f>IF(Main[[#This Row],[Tech Start Date]]&lt;1/1/1990,"",IF(Main[[#This Row],[Class]]="C",WORKDAY(Main[[#This Row],[Tech Start Date]],23),IF(Main[[#This Row],[Class]]="B", WORKDAY(Main[[#This Row],[Tech Start Date]],15),IF(Main[[#This Row],[Class]]="A",WORKDAY(Main[[#This Row],[Tech Start Date]],5),""))))</f>
        <v/>
      </c>
      <c r="P1081" s="73" t="str">
        <f>IF(Main[[#This Row],[Tech Start Date]]&lt;1/1/1990,"",IF(Main[[#This Row],[Class]]="C",WORKDAY(Main[[#This Row],[Tech Start Date]],28),IF(Main[[#This Row],[Class]]="B", WORKDAY(Main[[#This Row],[Tech Start Date]],19),IF(Main[[#This Row],[Class]]="A",WORKDAY(Main[[#This Row],[Tech Start Date]],9),""))))</f>
        <v/>
      </c>
      <c r="Q1081" s="85"/>
      <c r="R1081" s="112"/>
      <c r="S1081" s="95" t="s">
        <v>6</v>
      </c>
      <c r="T1081" s="74" t="s">
        <v>4</v>
      </c>
      <c r="U1081" s="95" t="s">
        <v>14</v>
      </c>
      <c r="V1081" s="95" t="s">
        <v>1914</v>
      </c>
      <c r="W1081" s="95" t="s">
        <v>1915</v>
      </c>
      <c r="X1081" s="95" t="s">
        <v>306</v>
      </c>
      <c r="Y1081" s="72" t="s">
        <v>2919</v>
      </c>
      <c r="Z1081" s="72" t="s">
        <v>4</v>
      </c>
      <c r="AA1081" s="95" t="s">
        <v>306</v>
      </c>
      <c r="AB1081" s="132"/>
      <c r="AC1081" s="132"/>
      <c r="AD1081" s="132"/>
      <c r="AE1081" s="63"/>
      <c r="AF1081" s="63"/>
      <c r="AG1081" s="63"/>
    </row>
    <row r="1082" spans="1:33" ht="17.2" customHeight="1">
      <c r="A1082" s="64" t="str">
        <f>IF(priority(Main[[#This Row],[Comments]])&lt;&gt;0, priority(Main[[#This Row],[Comments]]),"")</f>
        <v/>
      </c>
      <c r="B1082" s="60" t="s">
        <v>2266</v>
      </c>
      <c r="C1082" s="72" t="s">
        <v>4</v>
      </c>
      <c r="D1082" s="59" t="s">
        <v>2267</v>
      </c>
      <c r="E1082" s="85">
        <v>40809.888067129628</v>
      </c>
      <c r="F1082" s="85"/>
      <c r="G1082" s="64" t="str">
        <f>IF(stdProdLT(Main[[#This Row],[Comments]])=0.1,"N/A",IF(stdProdLT(Main[[#This Row],[Comments]])=0,"",TRIM(stdProdLT(Main[[#This Row],[Comments]]))))</f>
        <v/>
      </c>
      <c r="H1082" s="94" t="str">
        <f>IF(OR(Main[[#This Row],[Std. Prod. Lead Time]]="N/A",Main[[#This Row],[Std. Prod. Lead Time]]=""), "",IF(AND(Main[[#This Row],[In Stock Date]]&lt;&gt;"",Main[[#This Row],[Revised Due Date]]&lt;&gt;"",Main[[#This Row],[In Stock Date]]&lt;&gt;""),Main[[#This Row],[In Stock Date]]-Main[[#This Row],[Revised Due Date]],""))</f>
        <v/>
      </c>
      <c r="I1082" s="101" t="s">
        <v>81</v>
      </c>
      <c r="J1082" s="95" t="s">
        <v>52</v>
      </c>
      <c r="K1082" s="95" t="s">
        <v>1920</v>
      </c>
      <c r="L1082" s="85"/>
      <c r="M1082" s="73" t="str">
        <f>IF(Main[[#This Row],[Tech Start Date]]&lt;1/1/1990,"",IF(Main[[#This Row],[Class]]="C",WORKDAY(Main[[#This Row],[Tech Start Date]],9),IF(Main[[#This Row],[Class]]="B", WORKDAY(Main[[#This Row],[Tech Start Date]],6),IF(Main[[#This Row],[Class]]="A",WORKDAY(Main[[#This Row],[Tech Start Date]],2),""))))</f>
        <v/>
      </c>
      <c r="N1082" s="73" t="str">
        <f>IF(Main[[#This Row],[Tech Start Date]]&lt;1/1/1990,"",IF(Main[[#This Row],[Class]]="C",WORKDAY(Main[[#This Row],[Tech Start Date]],19),IF(Main[[#This Row],[Class]]="B", WORKDAY(Main[[#This Row],[Tech Start Date]],12),IF(Main[[#This Row],[Class]]="A",WORKDAY(Main[[#This Row],[Tech Start Date]],4),""))))</f>
        <v/>
      </c>
      <c r="O1082" s="73" t="str">
        <f>IF(Main[[#This Row],[Tech Start Date]]&lt;1/1/1990,"",IF(Main[[#This Row],[Class]]="C",WORKDAY(Main[[#This Row],[Tech Start Date]],23),IF(Main[[#This Row],[Class]]="B", WORKDAY(Main[[#This Row],[Tech Start Date]],15),IF(Main[[#This Row],[Class]]="A",WORKDAY(Main[[#This Row],[Tech Start Date]],5),""))))</f>
        <v/>
      </c>
      <c r="P1082" s="73" t="str">
        <f>IF(Main[[#This Row],[Tech Start Date]]&lt;1/1/1990,"",IF(Main[[#This Row],[Class]]="C",WORKDAY(Main[[#This Row],[Tech Start Date]],28),IF(Main[[#This Row],[Class]]="B", WORKDAY(Main[[#This Row],[Tech Start Date]],19),IF(Main[[#This Row],[Class]]="A",WORKDAY(Main[[#This Row],[Tech Start Date]],9),""))))</f>
        <v/>
      </c>
      <c r="Q1082" s="85"/>
      <c r="R1082" s="112"/>
      <c r="S1082" s="95" t="s">
        <v>6</v>
      </c>
      <c r="T1082" s="74" t="s">
        <v>4</v>
      </c>
      <c r="U1082" s="95" t="s">
        <v>29</v>
      </c>
      <c r="V1082" s="95" t="s">
        <v>1921</v>
      </c>
      <c r="W1082" s="95" t="s">
        <v>1915</v>
      </c>
      <c r="X1082" s="95" t="s">
        <v>2845</v>
      </c>
      <c r="Y1082" s="72" t="s">
        <v>2988</v>
      </c>
      <c r="Z1082" s="72" t="s">
        <v>30</v>
      </c>
      <c r="AA1082" s="95" t="s">
        <v>2845</v>
      </c>
      <c r="AB1082" s="132"/>
      <c r="AC1082" s="132"/>
      <c r="AD1082" s="132"/>
      <c r="AE1082" s="63"/>
      <c r="AF1082" s="63"/>
      <c r="AG1082" s="63"/>
    </row>
    <row r="1083" spans="1:33" ht="17.2" customHeight="1">
      <c r="A1083" s="64" t="str">
        <f>IF(priority(Main[[#This Row],[Comments]])&lt;&gt;0, priority(Main[[#This Row],[Comments]]),"")</f>
        <v/>
      </c>
      <c r="B1083" s="60" t="s">
        <v>2244</v>
      </c>
      <c r="C1083" s="72" t="s">
        <v>4</v>
      </c>
      <c r="D1083" s="59" t="s">
        <v>2245</v>
      </c>
      <c r="E1083" s="85">
        <v>40806.354490740741</v>
      </c>
      <c r="F1083" s="85"/>
      <c r="G1083" s="64" t="str">
        <f>IF(stdProdLT(Main[[#This Row],[Comments]])=0.1,"N/A",IF(stdProdLT(Main[[#This Row],[Comments]])=0,"",TRIM(stdProdLT(Main[[#This Row],[Comments]]))))</f>
        <v/>
      </c>
      <c r="H1083" s="94" t="str">
        <f>IF(OR(Main[[#This Row],[Std. Prod. Lead Time]]="N/A",Main[[#This Row],[Std. Prod. Lead Time]]=""), "",IF(AND(Main[[#This Row],[In Stock Date]]&lt;&gt;"",Main[[#This Row],[Revised Due Date]]&lt;&gt;"",Main[[#This Row],[In Stock Date]]&lt;&gt;""),Main[[#This Row],[In Stock Date]]-Main[[#This Row],[Revised Due Date]],""))</f>
        <v/>
      </c>
      <c r="I1083" s="101" t="s">
        <v>4</v>
      </c>
      <c r="J1083" s="95" t="s">
        <v>4</v>
      </c>
      <c r="K1083" s="95" t="s">
        <v>4</v>
      </c>
      <c r="L1083" s="85"/>
      <c r="M1083" s="73" t="str">
        <f>IF(Main[[#This Row],[Tech Start Date]]&lt;1/1/1990,"",IF(Main[[#This Row],[Class]]="C",WORKDAY(Main[[#This Row],[Tech Start Date]],9),IF(Main[[#This Row],[Class]]="B", WORKDAY(Main[[#This Row],[Tech Start Date]],6),IF(Main[[#This Row],[Class]]="A",WORKDAY(Main[[#This Row],[Tech Start Date]],2),""))))</f>
        <v/>
      </c>
      <c r="N1083" s="73" t="str">
        <f>IF(Main[[#This Row],[Tech Start Date]]&lt;1/1/1990,"",IF(Main[[#This Row],[Class]]="C",WORKDAY(Main[[#This Row],[Tech Start Date]],19),IF(Main[[#This Row],[Class]]="B", WORKDAY(Main[[#This Row],[Tech Start Date]],12),IF(Main[[#This Row],[Class]]="A",WORKDAY(Main[[#This Row],[Tech Start Date]],4),""))))</f>
        <v/>
      </c>
      <c r="O1083" s="73" t="str">
        <f>IF(Main[[#This Row],[Tech Start Date]]&lt;1/1/1990,"",IF(Main[[#This Row],[Class]]="C",WORKDAY(Main[[#This Row],[Tech Start Date]],23),IF(Main[[#This Row],[Class]]="B", WORKDAY(Main[[#This Row],[Tech Start Date]],15),IF(Main[[#This Row],[Class]]="A",WORKDAY(Main[[#This Row],[Tech Start Date]],5),""))))</f>
        <v/>
      </c>
      <c r="P1083" s="73" t="str">
        <f>IF(Main[[#This Row],[Tech Start Date]]&lt;1/1/1990,"",IF(Main[[#This Row],[Class]]="C",WORKDAY(Main[[#This Row],[Tech Start Date]],28),IF(Main[[#This Row],[Class]]="B", WORKDAY(Main[[#This Row],[Tech Start Date]],19),IF(Main[[#This Row],[Class]]="A",WORKDAY(Main[[#This Row],[Tech Start Date]],9),""))))</f>
        <v/>
      </c>
      <c r="Q1083" s="85"/>
      <c r="R1083" s="112"/>
      <c r="S1083" s="95" t="s">
        <v>17</v>
      </c>
      <c r="T1083" s="74" t="s">
        <v>4</v>
      </c>
      <c r="U1083" s="95" t="s">
        <v>7</v>
      </c>
      <c r="V1083" s="95" t="s">
        <v>1912</v>
      </c>
      <c r="W1083" s="95" t="s">
        <v>1913</v>
      </c>
      <c r="X1083" s="95" t="s">
        <v>2846</v>
      </c>
      <c r="Y1083" s="72" t="s">
        <v>2978</v>
      </c>
      <c r="Z1083" s="72" t="s">
        <v>4</v>
      </c>
      <c r="AA1083" s="95" t="s">
        <v>2846</v>
      </c>
      <c r="AB1083" s="132"/>
      <c r="AC1083" s="132"/>
      <c r="AD1083" s="132"/>
      <c r="AE1083" s="63"/>
      <c r="AF1083" s="63"/>
      <c r="AG1083" s="63"/>
    </row>
    <row r="1084" spans="1:33" ht="17.2" customHeight="1">
      <c r="A1084" s="64" t="str">
        <f>IF(priority(Main[[#This Row],[Comments]])&lt;&gt;0, priority(Main[[#This Row],[Comments]]),"")</f>
        <v/>
      </c>
      <c r="B1084" s="60" t="s">
        <v>2419</v>
      </c>
      <c r="C1084" s="72" t="s">
        <v>4</v>
      </c>
      <c r="D1084" s="59" t="s">
        <v>2420</v>
      </c>
      <c r="E1084" s="85"/>
      <c r="F1084" s="85"/>
      <c r="G1084" s="64" t="str">
        <f>IF(stdProdLT(Main[[#This Row],[Comments]])=0.1,"N/A",IF(stdProdLT(Main[[#This Row],[Comments]])=0,"",TRIM(stdProdLT(Main[[#This Row],[Comments]]))))</f>
        <v/>
      </c>
      <c r="H1084" s="94" t="str">
        <f>IF(OR(Main[[#This Row],[Std. Prod. Lead Time]]="N/A",Main[[#This Row],[Std. Prod. Lead Time]]=""), "",IF(AND(Main[[#This Row],[In Stock Date]]&lt;&gt;"",Main[[#This Row],[Revised Due Date]]&lt;&gt;"",Main[[#This Row],[In Stock Date]]&lt;&gt;""),Main[[#This Row],[In Stock Date]]-Main[[#This Row],[Revised Due Date]],""))</f>
        <v/>
      </c>
      <c r="I1084" s="101" t="s">
        <v>4</v>
      </c>
      <c r="J1084" s="95" t="s">
        <v>4</v>
      </c>
      <c r="K1084" s="95" t="s">
        <v>4</v>
      </c>
      <c r="L1084" s="85"/>
      <c r="M1084" s="73" t="str">
        <f>IF(Main[[#This Row],[Tech Start Date]]&lt;1/1/1990,"",IF(Main[[#This Row],[Class]]="C",WORKDAY(Main[[#This Row],[Tech Start Date]],9),IF(Main[[#This Row],[Class]]="B", WORKDAY(Main[[#This Row],[Tech Start Date]],6),IF(Main[[#This Row],[Class]]="A",WORKDAY(Main[[#This Row],[Tech Start Date]],2),""))))</f>
        <v/>
      </c>
      <c r="N1084" s="73" t="str">
        <f>IF(Main[[#This Row],[Tech Start Date]]&lt;1/1/1990,"",IF(Main[[#This Row],[Class]]="C",WORKDAY(Main[[#This Row],[Tech Start Date]],19),IF(Main[[#This Row],[Class]]="B", WORKDAY(Main[[#This Row],[Tech Start Date]],12),IF(Main[[#This Row],[Class]]="A",WORKDAY(Main[[#This Row],[Tech Start Date]],4),""))))</f>
        <v/>
      </c>
      <c r="O1084" s="73" t="str">
        <f>IF(Main[[#This Row],[Tech Start Date]]&lt;1/1/1990,"",IF(Main[[#This Row],[Class]]="C",WORKDAY(Main[[#This Row],[Tech Start Date]],23),IF(Main[[#This Row],[Class]]="B", WORKDAY(Main[[#This Row],[Tech Start Date]],15),IF(Main[[#This Row],[Class]]="A",WORKDAY(Main[[#This Row],[Tech Start Date]],5),""))))</f>
        <v/>
      </c>
      <c r="P1084" s="73" t="str">
        <f>IF(Main[[#This Row],[Tech Start Date]]&lt;1/1/1990,"",IF(Main[[#This Row],[Class]]="C",WORKDAY(Main[[#This Row],[Tech Start Date]],28),IF(Main[[#This Row],[Class]]="B", WORKDAY(Main[[#This Row],[Tech Start Date]],19),IF(Main[[#This Row],[Class]]="A",WORKDAY(Main[[#This Row],[Tech Start Date]],9),""))))</f>
        <v/>
      </c>
      <c r="Q1084" s="85">
        <v>40907</v>
      </c>
      <c r="R1084" s="112"/>
      <c r="S1084" s="95" t="s">
        <v>6</v>
      </c>
      <c r="T1084" s="74" t="s">
        <v>4</v>
      </c>
      <c r="U1084" s="95" t="s">
        <v>14</v>
      </c>
      <c r="V1084" s="95" t="s">
        <v>1911</v>
      </c>
      <c r="W1084" s="95" t="s">
        <v>1915</v>
      </c>
      <c r="X1084" s="95" t="s">
        <v>2801</v>
      </c>
      <c r="Y1084" s="72" t="s">
        <v>2914</v>
      </c>
      <c r="Z1084" s="72" t="s">
        <v>4</v>
      </c>
      <c r="AA1084" s="95" t="s">
        <v>2801</v>
      </c>
      <c r="AB1084" s="132"/>
      <c r="AC1084" s="132"/>
      <c r="AD1084" s="132"/>
      <c r="AE1084" s="63"/>
      <c r="AF1084" s="63"/>
      <c r="AG1084" s="63"/>
    </row>
    <row r="1085" spans="1:33" ht="17.2" customHeight="1">
      <c r="A1085" s="64" t="str">
        <f>IF(priority(Main[[#This Row],[Comments]])&lt;&gt;0, priority(Main[[#This Row],[Comments]]),"")</f>
        <v/>
      </c>
      <c r="B1085" s="60" t="s">
        <v>2111</v>
      </c>
      <c r="C1085" s="72" t="s">
        <v>4</v>
      </c>
      <c r="D1085" s="59" t="s">
        <v>3468</v>
      </c>
      <c r="E1085" s="85">
        <v>40780.253831018519</v>
      </c>
      <c r="F1085" s="85"/>
      <c r="G1085" s="64" t="str">
        <f>IF(stdProdLT(Main[[#This Row],[Comments]])=0.1,"N/A",IF(stdProdLT(Main[[#This Row],[Comments]])=0,"",TRIM(stdProdLT(Main[[#This Row],[Comments]]))))</f>
        <v/>
      </c>
      <c r="H1085" s="94" t="str">
        <f>IF(OR(Main[[#This Row],[Std. Prod. Lead Time]]="N/A",Main[[#This Row],[Std. Prod. Lead Time]]=""), "",IF(AND(Main[[#This Row],[In Stock Date]]&lt;&gt;"",Main[[#This Row],[Revised Due Date]]&lt;&gt;"",Main[[#This Row],[In Stock Date]]&lt;&gt;""),Main[[#This Row],[In Stock Date]]-Main[[#This Row],[Revised Due Date]],""))</f>
        <v/>
      </c>
      <c r="I1085" s="101" t="s">
        <v>2045</v>
      </c>
      <c r="J1085" s="95" t="s">
        <v>52</v>
      </c>
      <c r="K1085" s="95" t="s">
        <v>1920</v>
      </c>
      <c r="L1085" s="85"/>
      <c r="M1085" s="73" t="str">
        <f>IF(Main[[#This Row],[Tech Start Date]]&lt;1/1/1990,"",IF(Main[[#This Row],[Class]]="C",WORKDAY(Main[[#This Row],[Tech Start Date]],9),IF(Main[[#This Row],[Class]]="B", WORKDAY(Main[[#This Row],[Tech Start Date]],6),IF(Main[[#This Row],[Class]]="A",WORKDAY(Main[[#This Row],[Tech Start Date]],2),""))))</f>
        <v/>
      </c>
      <c r="N1085" s="73" t="str">
        <f>IF(Main[[#This Row],[Tech Start Date]]&lt;1/1/1990,"",IF(Main[[#This Row],[Class]]="C",WORKDAY(Main[[#This Row],[Tech Start Date]],19),IF(Main[[#This Row],[Class]]="B", WORKDAY(Main[[#This Row],[Tech Start Date]],12),IF(Main[[#This Row],[Class]]="A",WORKDAY(Main[[#This Row],[Tech Start Date]],4),""))))</f>
        <v/>
      </c>
      <c r="O1085" s="73" t="str">
        <f>IF(Main[[#This Row],[Tech Start Date]]&lt;1/1/1990,"",IF(Main[[#This Row],[Class]]="C",WORKDAY(Main[[#This Row],[Tech Start Date]],23),IF(Main[[#This Row],[Class]]="B", WORKDAY(Main[[#This Row],[Tech Start Date]],15),IF(Main[[#This Row],[Class]]="A",WORKDAY(Main[[#This Row],[Tech Start Date]],5),""))))</f>
        <v/>
      </c>
      <c r="P1085" s="73" t="str">
        <f>IF(Main[[#This Row],[Tech Start Date]]&lt;1/1/1990,"",IF(Main[[#This Row],[Class]]="C",WORKDAY(Main[[#This Row],[Tech Start Date]],28),IF(Main[[#This Row],[Class]]="B", WORKDAY(Main[[#This Row],[Tech Start Date]],19),IF(Main[[#This Row],[Class]]="A",WORKDAY(Main[[#This Row],[Tech Start Date]],9),""))))</f>
        <v/>
      </c>
      <c r="Q1085" s="85">
        <v>40800</v>
      </c>
      <c r="R1085" s="112"/>
      <c r="S1085" s="95" t="s">
        <v>6</v>
      </c>
      <c r="T1085" s="74" t="s">
        <v>4</v>
      </c>
      <c r="U1085" s="95" t="s">
        <v>29</v>
      </c>
      <c r="V1085" s="95" t="s">
        <v>1914</v>
      </c>
      <c r="W1085" s="95" t="s">
        <v>1915</v>
      </c>
      <c r="X1085" s="95" t="s">
        <v>2802</v>
      </c>
      <c r="Y1085" s="72" t="s">
        <v>2916</v>
      </c>
      <c r="Z1085" s="72" t="s">
        <v>30</v>
      </c>
      <c r="AA1085" s="95" t="s">
        <v>2802</v>
      </c>
      <c r="AB1085" s="132"/>
      <c r="AC1085" s="132"/>
      <c r="AD1085" s="132"/>
      <c r="AE1085" s="63"/>
      <c r="AF1085" s="63"/>
      <c r="AG1085" s="63"/>
    </row>
    <row r="1086" spans="1:33" ht="17.2" customHeight="1">
      <c r="A1086" s="64" t="str">
        <f>IF(priority(Main[[#This Row],[Comments]])&lt;&gt;0, priority(Main[[#This Row],[Comments]]),"")</f>
        <v/>
      </c>
      <c r="B1086" s="60" t="s">
        <v>3576</v>
      </c>
      <c r="C1086" s="72" t="s">
        <v>3577</v>
      </c>
      <c r="D1086" s="59" t="s">
        <v>3578</v>
      </c>
      <c r="E1086" s="85"/>
      <c r="F1086" s="85">
        <v>41044</v>
      </c>
      <c r="G1086" s="64" t="str">
        <f>IF(stdProdLT(Main[[#This Row],[Comments]])=0.1,"N/A",IF(stdProdLT(Main[[#This Row],[Comments]])=0,"",TRIM(stdProdLT(Main[[#This Row],[Comments]]))))</f>
        <v/>
      </c>
      <c r="H1086" s="94" t="str">
        <f>IF(OR(Main[[#This Row],[Std. Prod. Lead Time]]="N/A",Main[[#This Row],[Std. Prod. Lead Time]]=""), "",IF(AND(Main[[#This Row],[In Stock Date]]&lt;&gt;"",Main[[#This Row],[Revised Due Date]]&lt;&gt;"",Main[[#This Row],[In Stock Date]]&lt;&gt;""),Main[[#This Row],[In Stock Date]]-Main[[#This Row],[Revised Due Date]],""))</f>
        <v/>
      </c>
      <c r="I1086" s="101" t="s">
        <v>4</v>
      </c>
      <c r="J1086" s="95" t="s">
        <v>4</v>
      </c>
      <c r="K1086" s="95" t="s">
        <v>4</v>
      </c>
      <c r="L1086" s="85"/>
      <c r="M1086" s="73" t="str">
        <f>IF(Main[[#This Row],[Tech Start Date]]&lt;1/1/1990,"",IF(Main[[#This Row],[Class]]="C",WORKDAY(Main[[#This Row],[Tech Start Date]],9),IF(Main[[#This Row],[Class]]="B", WORKDAY(Main[[#This Row],[Tech Start Date]],6),IF(Main[[#This Row],[Class]]="A",WORKDAY(Main[[#This Row],[Tech Start Date]],2),""))))</f>
        <v/>
      </c>
      <c r="N1086" s="73" t="str">
        <f>IF(Main[[#This Row],[Tech Start Date]]&lt;1/1/1990,"",IF(Main[[#This Row],[Class]]="C",WORKDAY(Main[[#This Row],[Tech Start Date]],19),IF(Main[[#This Row],[Class]]="B", WORKDAY(Main[[#This Row],[Tech Start Date]],12),IF(Main[[#This Row],[Class]]="A",WORKDAY(Main[[#This Row],[Tech Start Date]],4),""))))</f>
        <v/>
      </c>
      <c r="O1086" s="73" t="str">
        <f>IF(Main[[#This Row],[Tech Start Date]]&lt;1/1/1990,"",IF(Main[[#This Row],[Class]]="C",WORKDAY(Main[[#This Row],[Tech Start Date]],23),IF(Main[[#This Row],[Class]]="B", WORKDAY(Main[[#This Row],[Tech Start Date]],15),IF(Main[[#This Row],[Class]]="A",WORKDAY(Main[[#This Row],[Tech Start Date]],5),""))))</f>
        <v/>
      </c>
      <c r="P1086" s="73" t="str">
        <f>IF(Main[[#This Row],[Tech Start Date]]&lt;1/1/1990,"",IF(Main[[#This Row],[Class]]="C",WORKDAY(Main[[#This Row],[Tech Start Date]],28),IF(Main[[#This Row],[Class]]="B", WORKDAY(Main[[#This Row],[Tech Start Date]],19),IF(Main[[#This Row],[Class]]="A",WORKDAY(Main[[#This Row],[Tech Start Date]],9),""))))</f>
        <v/>
      </c>
      <c r="Q1086" s="85">
        <v>40904</v>
      </c>
      <c r="R1086" s="112"/>
      <c r="S1086" s="95" t="s">
        <v>11</v>
      </c>
      <c r="T1086" s="74" t="s">
        <v>4</v>
      </c>
      <c r="U1086" s="95" t="s">
        <v>12</v>
      </c>
      <c r="V1086" s="95" t="s">
        <v>1911</v>
      </c>
      <c r="W1086" s="95" t="s">
        <v>1919</v>
      </c>
      <c r="X1086" s="95" t="s">
        <v>2823</v>
      </c>
      <c r="Y1086" s="72" t="s">
        <v>4</v>
      </c>
      <c r="Z1086" s="72" t="s">
        <v>4</v>
      </c>
      <c r="AA1086" s="95" t="s">
        <v>2823</v>
      </c>
      <c r="AB1086" s="132"/>
      <c r="AC1086" s="132"/>
      <c r="AD1086" s="132"/>
      <c r="AE1086" s="63"/>
      <c r="AF1086" s="63"/>
      <c r="AG1086" s="63"/>
    </row>
    <row r="1087" spans="1:33" ht="17.2" customHeight="1">
      <c r="A1087" s="64" t="str">
        <f>IF(priority(Main[[#This Row],[Comments]])&lt;&gt;0, priority(Main[[#This Row],[Comments]]),"")</f>
        <v/>
      </c>
      <c r="B1087" s="60" t="s">
        <v>3894</v>
      </c>
      <c r="C1087" s="72" t="s">
        <v>4</v>
      </c>
      <c r="D1087" s="59" t="s">
        <v>3895</v>
      </c>
      <c r="E1087" s="85">
        <v>40974.338356481479</v>
      </c>
      <c r="F1087" s="85"/>
      <c r="G1087" s="64" t="str">
        <f>IF(stdProdLT(Main[[#This Row],[Comments]])=0.1,"N/A",IF(stdProdLT(Main[[#This Row],[Comments]])=0,"",TRIM(stdProdLT(Main[[#This Row],[Comments]]))))</f>
        <v/>
      </c>
      <c r="H1087" s="94" t="str">
        <f>IF(OR(Main[[#This Row],[Std. Prod. Lead Time]]="N/A",Main[[#This Row],[Std. Prod. Lead Time]]=""), "",IF(AND(Main[[#This Row],[In Stock Date]]&lt;&gt;"",Main[[#This Row],[Revised Due Date]]&lt;&gt;"",Main[[#This Row],[In Stock Date]]&lt;&gt;""),Main[[#This Row],[In Stock Date]]-Main[[#This Row],[Revised Due Date]],""))</f>
        <v/>
      </c>
      <c r="I1087" s="101" t="s">
        <v>4</v>
      </c>
      <c r="J1087" s="95" t="s">
        <v>4</v>
      </c>
      <c r="K1087" s="95" t="s">
        <v>4</v>
      </c>
      <c r="L1087" s="85"/>
      <c r="M1087" s="73" t="str">
        <f>IF(Main[[#This Row],[Tech Start Date]]&lt;1/1/1990,"",IF(Main[[#This Row],[Class]]="C",WORKDAY(Main[[#This Row],[Tech Start Date]],9),IF(Main[[#This Row],[Class]]="B", WORKDAY(Main[[#This Row],[Tech Start Date]],6),IF(Main[[#This Row],[Class]]="A",WORKDAY(Main[[#This Row],[Tech Start Date]],2),""))))</f>
        <v/>
      </c>
      <c r="N1087" s="73" t="str">
        <f>IF(Main[[#This Row],[Tech Start Date]]&lt;1/1/1990,"",IF(Main[[#This Row],[Class]]="C",WORKDAY(Main[[#This Row],[Tech Start Date]],19),IF(Main[[#This Row],[Class]]="B", WORKDAY(Main[[#This Row],[Tech Start Date]],12),IF(Main[[#This Row],[Class]]="A",WORKDAY(Main[[#This Row],[Tech Start Date]],4),""))))</f>
        <v/>
      </c>
      <c r="O1087" s="73" t="str">
        <f>IF(Main[[#This Row],[Tech Start Date]]&lt;1/1/1990,"",IF(Main[[#This Row],[Class]]="C",WORKDAY(Main[[#This Row],[Tech Start Date]],23),IF(Main[[#This Row],[Class]]="B", WORKDAY(Main[[#This Row],[Tech Start Date]],15),IF(Main[[#This Row],[Class]]="A",WORKDAY(Main[[#This Row],[Tech Start Date]],5),""))))</f>
        <v/>
      </c>
      <c r="P1087" s="73" t="str">
        <f>IF(Main[[#This Row],[Tech Start Date]]&lt;1/1/1990,"",IF(Main[[#This Row],[Class]]="C",WORKDAY(Main[[#This Row],[Tech Start Date]],28),IF(Main[[#This Row],[Class]]="B", WORKDAY(Main[[#This Row],[Tech Start Date]],19),IF(Main[[#This Row],[Class]]="A",WORKDAY(Main[[#This Row],[Tech Start Date]],9),""))))</f>
        <v/>
      </c>
      <c r="Q1087" s="85"/>
      <c r="R1087" s="112"/>
      <c r="S1087" s="95" t="s">
        <v>6</v>
      </c>
      <c r="T1087" s="74" t="s">
        <v>4</v>
      </c>
      <c r="U1087" s="95" t="s">
        <v>29</v>
      </c>
      <c r="V1087" s="95" t="s">
        <v>1912</v>
      </c>
      <c r="W1087" s="95" t="s">
        <v>1915</v>
      </c>
      <c r="X1087" s="95" t="s">
        <v>306</v>
      </c>
      <c r="Y1087" s="72" t="s">
        <v>4</v>
      </c>
      <c r="Z1087" s="72" t="s">
        <v>4</v>
      </c>
      <c r="AA1087" s="95" t="s">
        <v>4</v>
      </c>
      <c r="AB1087" s="132"/>
      <c r="AC1087" s="132"/>
      <c r="AD1087" s="132"/>
      <c r="AE1087" s="63"/>
      <c r="AF1087" s="63"/>
      <c r="AG1087" s="63"/>
    </row>
    <row r="1088" spans="1:33" ht="17.2" customHeight="1">
      <c r="A1088" s="64" t="str">
        <f>IF(priority(Main[[#This Row],[Comments]])&lt;&gt;0, priority(Main[[#This Row],[Comments]]),"")</f>
        <v/>
      </c>
      <c r="B1088" s="60" t="s">
        <v>2430</v>
      </c>
      <c r="C1088" s="72" t="s">
        <v>4</v>
      </c>
      <c r="D1088" s="59" t="s">
        <v>2431</v>
      </c>
      <c r="E1088" s="85">
        <v>40820.810810185183</v>
      </c>
      <c r="F1088" s="85"/>
      <c r="G1088" s="64" t="str">
        <f>IF(stdProdLT(Main[[#This Row],[Comments]])=0.1,"N/A",IF(stdProdLT(Main[[#This Row],[Comments]])=0,"",TRIM(stdProdLT(Main[[#This Row],[Comments]]))))</f>
        <v/>
      </c>
      <c r="H1088" s="94" t="str">
        <f>IF(OR(Main[[#This Row],[Std. Prod. Lead Time]]="N/A",Main[[#This Row],[Std. Prod. Lead Time]]=""), "",IF(AND(Main[[#This Row],[In Stock Date]]&lt;&gt;"",Main[[#This Row],[Revised Due Date]]&lt;&gt;"",Main[[#This Row],[In Stock Date]]&lt;&gt;""),Main[[#This Row],[In Stock Date]]-Main[[#This Row],[Revised Due Date]],""))</f>
        <v/>
      </c>
      <c r="I1088" s="101" t="s">
        <v>429</v>
      </c>
      <c r="J1088" s="95" t="s">
        <v>1972</v>
      </c>
      <c r="K1088" s="95" t="s">
        <v>1920</v>
      </c>
      <c r="L1088" s="85"/>
      <c r="M1088" s="73" t="str">
        <f>IF(Main[[#This Row],[Tech Start Date]]&lt;1/1/1990,"",IF(Main[[#This Row],[Class]]="C",WORKDAY(Main[[#This Row],[Tech Start Date]],9),IF(Main[[#This Row],[Class]]="B", WORKDAY(Main[[#This Row],[Tech Start Date]],6),IF(Main[[#This Row],[Class]]="A",WORKDAY(Main[[#This Row],[Tech Start Date]],2),""))))</f>
        <v/>
      </c>
      <c r="N1088" s="73" t="str">
        <f>IF(Main[[#This Row],[Tech Start Date]]&lt;1/1/1990,"",IF(Main[[#This Row],[Class]]="C",WORKDAY(Main[[#This Row],[Tech Start Date]],19),IF(Main[[#This Row],[Class]]="B", WORKDAY(Main[[#This Row],[Tech Start Date]],12),IF(Main[[#This Row],[Class]]="A",WORKDAY(Main[[#This Row],[Tech Start Date]],4),""))))</f>
        <v/>
      </c>
      <c r="O1088" s="73" t="str">
        <f>IF(Main[[#This Row],[Tech Start Date]]&lt;1/1/1990,"",IF(Main[[#This Row],[Class]]="C",WORKDAY(Main[[#This Row],[Tech Start Date]],23),IF(Main[[#This Row],[Class]]="B", WORKDAY(Main[[#This Row],[Tech Start Date]],15),IF(Main[[#This Row],[Class]]="A",WORKDAY(Main[[#This Row],[Tech Start Date]],5),""))))</f>
        <v/>
      </c>
      <c r="P1088" s="73" t="str">
        <f>IF(Main[[#This Row],[Tech Start Date]]&lt;1/1/1990,"",IF(Main[[#This Row],[Class]]="C",WORKDAY(Main[[#This Row],[Tech Start Date]],28),IF(Main[[#This Row],[Class]]="B", WORKDAY(Main[[#This Row],[Tech Start Date]],19),IF(Main[[#This Row],[Class]]="A",WORKDAY(Main[[#This Row],[Tech Start Date]],9),""))))</f>
        <v/>
      </c>
      <c r="Q1088" s="85">
        <v>40847</v>
      </c>
      <c r="R1088" s="112"/>
      <c r="S1088" s="95" t="s">
        <v>6</v>
      </c>
      <c r="T1088" s="74" t="s">
        <v>4</v>
      </c>
      <c r="U1088" s="95" t="s">
        <v>29</v>
      </c>
      <c r="V1088" s="95" t="s">
        <v>1914</v>
      </c>
      <c r="W1088" s="95" t="s">
        <v>1915</v>
      </c>
      <c r="X1088" s="95" t="s">
        <v>30</v>
      </c>
      <c r="Y1088" s="72" t="s">
        <v>2918</v>
      </c>
      <c r="Z1088" s="72" t="s">
        <v>30</v>
      </c>
      <c r="AA1088" s="95" t="s">
        <v>30</v>
      </c>
      <c r="AB1088" s="132"/>
      <c r="AC1088" s="132"/>
      <c r="AD1088" s="132"/>
      <c r="AE1088" s="63"/>
      <c r="AF1088" s="63"/>
      <c r="AG1088" s="63"/>
    </row>
    <row r="1089" spans="1:33" ht="17.2" customHeight="1">
      <c r="A1089" s="64" t="str">
        <f>IF(priority(Main[[#This Row],[Comments]])&lt;&gt;0, priority(Main[[#This Row],[Comments]]),"")</f>
        <v/>
      </c>
      <c r="B1089" s="60" t="s">
        <v>2432</v>
      </c>
      <c r="C1089" s="72" t="s">
        <v>4</v>
      </c>
      <c r="D1089" s="59" t="s">
        <v>2433</v>
      </c>
      <c r="E1089" s="85">
        <v>40834.538703703707</v>
      </c>
      <c r="F1089" s="85"/>
      <c r="G1089" s="64" t="str">
        <f>IF(stdProdLT(Main[[#This Row],[Comments]])=0.1,"N/A",IF(stdProdLT(Main[[#This Row],[Comments]])=0,"",TRIM(stdProdLT(Main[[#This Row],[Comments]]))))</f>
        <v/>
      </c>
      <c r="H1089" s="94" t="str">
        <f>IF(OR(Main[[#This Row],[Std. Prod. Lead Time]]="N/A",Main[[#This Row],[Std. Prod. Lead Time]]=""), "",IF(AND(Main[[#This Row],[In Stock Date]]&lt;&gt;"",Main[[#This Row],[Revised Due Date]]&lt;&gt;"",Main[[#This Row],[In Stock Date]]&lt;&gt;""),Main[[#This Row],[In Stock Date]]-Main[[#This Row],[Revised Due Date]],""))</f>
        <v/>
      </c>
      <c r="I1089" s="101" t="s">
        <v>4</v>
      </c>
      <c r="J1089" s="95" t="s">
        <v>4</v>
      </c>
      <c r="K1089" s="95" t="s">
        <v>4</v>
      </c>
      <c r="L1089" s="85"/>
      <c r="M1089" s="73" t="str">
        <f>IF(Main[[#This Row],[Tech Start Date]]&lt;1/1/1990,"",IF(Main[[#This Row],[Class]]="C",WORKDAY(Main[[#This Row],[Tech Start Date]],9),IF(Main[[#This Row],[Class]]="B", WORKDAY(Main[[#This Row],[Tech Start Date]],6),IF(Main[[#This Row],[Class]]="A",WORKDAY(Main[[#This Row],[Tech Start Date]],2),""))))</f>
        <v/>
      </c>
      <c r="N1089" s="73" t="str">
        <f>IF(Main[[#This Row],[Tech Start Date]]&lt;1/1/1990,"",IF(Main[[#This Row],[Class]]="C",WORKDAY(Main[[#This Row],[Tech Start Date]],19),IF(Main[[#This Row],[Class]]="B", WORKDAY(Main[[#This Row],[Tech Start Date]],12),IF(Main[[#This Row],[Class]]="A",WORKDAY(Main[[#This Row],[Tech Start Date]],4),""))))</f>
        <v/>
      </c>
      <c r="O1089" s="73" t="str">
        <f>IF(Main[[#This Row],[Tech Start Date]]&lt;1/1/1990,"",IF(Main[[#This Row],[Class]]="C",WORKDAY(Main[[#This Row],[Tech Start Date]],23),IF(Main[[#This Row],[Class]]="B", WORKDAY(Main[[#This Row],[Tech Start Date]],15),IF(Main[[#This Row],[Class]]="A",WORKDAY(Main[[#This Row],[Tech Start Date]],5),""))))</f>
        <v/>
      </c>
      <c r="P1089" s="73" t="str">
        <f>IF(Main[[#This Row],[Tech Start Date]]&lt;1/1/1990,"",IF(Main[[#This Row],[Class]]="C",WORKDAY(Main[[#This Row],[Tech Start Date]],28),IF(Main[[#This Row],[Class]]="B", WORKDAY(Main[[#This Row],[Tech Start Date]],19),IF(Main[[#This Row],[Class]]="A",WORKDAY(Main[[#This Row],[Tech Start Date]],9),""))))</f>
        <v/>
      </c>
      <c r="Q1089" s="85"/>
      <c r="R1089" s="112"/>
      <c r="S1089" s="95" t="s">
        <v>6</v>
      </c>
      <c r="T1089" s="74" t="s">
        <v>4</v>
      </c>
      <c r="U1089" s="95" t="s">
        <v>29</v>
      </c>
      <c r="V1089" s="95" t="s">
        <v>1911</v>
      </c>
      <c r="W1089" s="95" t="s">
        <v>1913</v>
      </c>
      <c r="X1089" s="95" t="s">
        <v>306</v>
      </c>
      <c r="Y1089" s="72" t="s">
        <v>4</v>
      </c>
      <c r="Z1089" s="72" t="s">
        <v>4</v>
      </c>
      <c r="AA1089" s="95" t="s">
        <v>4</v>
      </c>
      <c r="AB1089" s="132"/>
      <c r="AC1089" s="132"/>
      <c r="AD1089" s="132"/>
      <c r="AE1089" s="63"/>
      <c r="AF1089" s="63"/>
      <c r="AG1089" s="63"/>
    </row>
    <row r="1090" spans="1:33" ht="17.2" customHeight="1">
      <c r="A1090" s="64" t="str">
        <f>IF(priority(Main[[#This Row],[Comments]])&lt;&gt;0, priority(Main[[#This Row],[Comments]]),"")</f>
        <v/>
      </c>
      <c r="B1090" s="60" t="s">
        <v>2435</v>
      </c>
      <c r="C1090" s="72" t="s">
        <v>2346</v>
      </c>
      <c r="D1090" s="59" t="s">
        <v>2436</v>
      </c>
      <c r="E1090" s="85"/>
      <c r="F1090" s="85">
        <v>40940</v>
      </c>
      <c r="G1090" s="64" t="str">
        <f>IF(stdProdLT(Main[[#This Row],[Comments]])=0.1,"N/A",IF(stdProdLT(Main[[#This Row],[Comments]])=0,"",TRIM(stdProdLT(Main[[#This Row],[Comments]]))))</f>
        <v/>
      </c>
      <c r="H1090" s="94" t="str">
        <f>IF(OR(Main[[#This Row],[Std. Prod. Lead Time]]="N/A",Main[[#This Row],[Std. Prod. Lead Time]]=""), "",IF(AND(Main[[#This Row],[In Stock Date]]&lt;&gt;"",Main[[#This Row],[Revised Due Date]]&lt;&gt;"",Main[[#This Row],[In Stock Date]]&lt;&gt;""),Main[[#This Row],[In Stock Date]]-Main[[#This Row],[Revised Due Date]],""))</f>
        <v/>
      </c>
      <c r="I1090" s="101" t="s">
        <v>4</v>
      </c>
      <c r="J1090" s="95" t="s">
        <v>4</v>
      </c>
      <c r="K1090" s="95" t="s">
        <v>4</v>
      </c>
      <c r="L1090" s="85"/>
      <c r="M1090" s="73" t="str">
        <f>IF(Main[[#This Row],[Tech Start Date]]&lt;1/1/1990,"",IF(Main[[#This Row],[Class]]="C",WORKDAY(Main[[#This Row],[Tech Start Date]],9),IF(Main[[#This Row],[Class]]="B", WORKDAY(Main[[#This Row],[Tech Start Date]],6),IF(Main[[#This Row],[Class]]="A",WORKDAY(Main[[#This Row],[Tech Start Date]],2),""))))</f>
        <v/>
      </c>
      <c r="N1090" s="73" t="str">
        <f>IF(Main[[#This Row],[Tech Start Date]]&lt;1/1/1990,"",IF(Main[[#This Row],[Class]]="C",WORKDAY(Main[[#This Row],[Tech Start Date]],19),IF(Main[[#This Row],[Class]]="B", WORKDAY(Main[[#This Row],[Tech Start Date]],12),IF(Main[[#This Row],[Class]]="A",WORKDAY(Main[[#This Row],[Tech Start Date]],4),""))))</f>
        <v/>
      </c>
      <c r="O1090" s="73" t="str">
        <f>IF(Main[[#This Row],[Tech Start Date]]&lt;1/1/1990,"",IF(Main[[#This Row],[Class]]="C",WORKDAY(Main[[#This Row],[Tech Start Date]],23),IF(Main[[#This Row],[Class]]="B", WORKDAY(Main[[#This Row],[Tech Start Date]],15),IF(Main[[#This Row],[Class]]="A",WORKDAY(Main[[#This Row],[Tech Start Date]],5),""))))</f>
        <v/>
      </c>
      <c r="P1090" s="73" t="str">
        <f>IF(Main[[#This Row],[Tech Start Date]]&lt;1/1/1990,"",IF(Main[[#This Row],[Class]]="C",WORKDAY(Main[[#This Row],[Tech Start Date]],28),IF(Main[[#This Row],[Class]]="B", WORKDAY(Main[[#This Row],[Tech Start Date]],19),IF(Main[[#This Row],[Class]]="A",WORKDAY(Main[[#This Row],[Tech Start Date]],9),""))))</f>
        <v/>
      </c>
      <c r="Q1090" s="85">
        <v>40878</v>
      </c>
      <c r="R1090" s="112"/>
      <c r="S1090" s="95" t="s">
        <v>11</v>
      </c>
      <c r="T1090" s="74" t="s">
        <v>4</v>
      </c>
      <c r="U1090" s="95" t="s">
        <v>14</v>
      </c>
      <c r="V1090" s="95" t="s">
        <v>1921</v>
      </c>
      <c r="W1090" s="95" t="s">
        <v>1919</v>
      </c>
      <c r="X1090" s="95" t="s">
        <v>2828</v>
      </c>
      <c r="Y1090" s="72" t="s">
        <v>2957</v>
      </c>
      <c r="Z1090" s="72" t="s">
        <v>4</v>
      </c>
      <c r="AA1090" s="95" t="s">
        <v>2828</v>
      </c>
      <c r="AB1090" s="132"/>
      <c r="AC1090" s="132"/>
      <c r="AD1090" s="132"/>
      <c r="AE1090" s="63"/>
      <c r="AF1090" s="63"/>
      <c r="AG1090" s="63"/>
    </row>
    <row r="1091" spans="1:33" ht="17.2" customHeight="1">
      <c r="A1091" s="64" t="str">
        <f>IF(priority(Main[[#This Row],[Comments]])&lt;&gt;0, priority(Main[[#This Row],[Comments]]),"")</f>
        <v/>
      </c>
      <c r="B1091" s="60" t="s">
        <v>1979</v>
      </c>
      <c r="C1091" s="72" t="s">
        <v>4</v>
      </c>
      <c r="D1091" s="59" t="s">
        <v>2438</v>
      </c>
      <c r="E1091" s="85">
        <v>40737.702951388892</v>
      </c>
      <c r="F1091" s="85">
        <v>40755</v>
      </c>
      <c r="G1091" s="64" t="str">
        <f>IF(stdProdLT(Main[[#This Row],[Comments]])=0.1,"N/A",IF(stdProdLT(Main[[#This Row],[Comments]])=0,"",TRIM(stdProdLT(Main[[#This Row],[Comments]]))))</f>
        <v/>
      </c>
      <c r="H1091" s="94" t="str">
        <f>IF(OR(Main[[#This Row],[Std. Prod. Lead Time]]="N/A",Main[[#This Row],[Std. Prod. Lead Time]]=""), "",IF(AND(Main[[#This Row],[In Stock Date]]&lt;&gt;"",Main[[#This Row],[Revised Due Date]]&lt;&gt;"",Main[[#This Row],[In Stock Date]]&lt;&gt;""),Main[[#This Row],[In Stock Date]]-Main[[#This Row],[Revised Due Date]],""))</f>
        <v/>
      </c>
      <c r="I1091" s="101" t="s">
        <v>530</v>
      </c>
      <c r="J1091" s="95" t="s">
        <v>21</v>
      </c>
      <c r="K1091" s="95" t="s">
        <v>1920</v>
      </c>
      <c r="L1091" s="85"/>
      <c r="M1091" s="73" t="str">
        <f>IF(Main[[#This Row],[Tech Start Date]]&lt;1/1/1990,"",IF(Main[[#This Row],[Class]]="C",WORKDAY(Main[[#This Row],[Tech Start Date]],9),IF(Main[[#This Row],[Class]]="B", WORKDAY(Main[[#This Row],[Tech Start Date]],6),IF(Main[[#This Row],[Class]]="A",WORKDAY(Main[[#This Row],[Tech Start Date]],2),""))))</f>
        <v/>
      </c>
      <c r="N1091" s="73" t="str">
        <f>IF(Main[[#This Row],[Tech Start Date]]&lt;1/1/1990,"",IF(Main[[#This Row],[Class]]="C",WORKDAY(Main[[#This Row],[Tech Start Date]],19),IF(Main[[#This Row],[Class]]="B", WORKDAY(Main[[#This Row],[Tech Start Date]],12),IF(Main[[#This Row],[Class]]="A",WORKDAY(Main[[#This Row],[Tech Start Date]],4),""))))</f>
        <v/>
      </c>
      <c r="O1091" s="73" t="str">
        <f>IF(Main[[#This Row],[Tech Start Date]]&lt;1/1/1990,"",IF(Main[[#This Row],[Class]]="C",WORKDAY(Main[[#This Row],[Tech Start Date]],23),IF(Main[[#This Row],[Class]]="B", WORKDAY(Main[[#This Row],[Tech Start Date]],15),IF(Main[[#This Row],[Class]]="A",WORKDAY(Main[[#This Row],[Tech Start Date]],5),""))))</f>
        <v/>
      </c>
      <c r="P1091" s="73" t="str">
        <f>IF(Main[[#This Row],[Tech Start Date]]&lt;1/1/1990,"",IF(Main[[#This Row],[Class]]="C",WORKDAY(Main[[#This Row],[Tech Start Date]],28),IF(Main[[#This Row],[Class]]="B", WORKDAY(Main[[#This Row],[Tech Start Date]],19),IF(Main[[#This Row],[Class]]="A",WORKDAY(Main[[#This Row],[Tech Start Date]],9),""))))</f>
        <v/>
      </c>
      <c r="Q1091" s="85">
        <v>40770</v>
      </c>
      <c r="R1091" s="112"/>
      <c r="S1091" s="95" t="s">
        <v>6</v>
      </c>
      <c r="T1091" s="74" t="s">
        <v>4</v>
      </c>
      <c r="U1091" s="95" t="s">
        <v>29</v>
      </c>
      <c r="V1091" s="95" t="s">
        <v>1921</v>
      </c>
      <c r="W1091" s="95" t="s">
        <v>1915</v>
      </c>
      <c r="X1091" s="95" t="s">
        <v>2821</v>
      </c>
      <c r="Y1091" s="72" t="s">
        <v>2949</v>
      </c>
      <c r="Z1091" s="72" t="s">
        <v>30</v>
      </c>
      <c r="AA1091" s="95" t="s">
        <v>2821</v>
      </c>
      <c r="AB1091" s="132"/>
      <c r="AC1091" s="132"/>
      <c r="AD1091" s="132"/>
      <c r="AE1091" s="63"/>
      <c r="AF1091" s="63"/>
      <c r="AG1091" s="63"/>
    </row>
    <row r="1092" spans="1:33" ht="17.2" customHeight="1">
      <c r="A1092" s="64" t="str">
        <f>IF(priority(Main[[#This Row],[Comments]])&lt;&gt;0, priority(Main[[#This Row],[Comments]]),"")</f>
        <v/>
      </c>
      <c r="B1092" s="60" t="s">
        <v>3580</v>
      </c>
      <c r="C1092" s="72" t="s">
        <v>4</v>
      </c>
      <c r="D1092" s="59" t="s">
        <v>3581</v>
      </c>
      <c r="E1092" s="85">
        <v>40960.474270833336</v>
      </c>
      <c r="F1092" s="85"/>
      <c r="G1092" s="64" t="str">
        <f>IF(stdProdLT(Main[[#This Row],[Comments]])=0.1,"N/A",IF(stdProdLT(Main[[#This Row],[Comments]])=0,"",TRIM(stdProdLT(Main[[#This Row],[Comments]]))))</f>
        <v/>
      </c>
      <c r="H1092" s="94" t="str">
        <f>IF(OR(Main[[#This Row],[Std. Prod. Lead Time]]="N/A",Main[[#This Row],[Std. Prod. Lead Time]]=""), "",IF(AND(Main[[#This Row],[In Stock Date]]&lt;&gt;"",Main[[#This Row],[Revised Due Date]]&lt;&gt;"",Main[[#This Row],[In Stock Date]]&lt;&gt;""),Main[[#This Row],[In Stock Date]]-Main[[#This Row],[Revised Due Date]],""))</f>
        <v/>
      </c>
      <c r="I1092" s="101" t="s">
        <v>2045</v>
      </c>
      <c r="J1092" s="95" t="s">
        <v>52</v>
      </c>
      <c r="K1092" s="95" t="s">
        <v>1920</v>
      </c>
      <c r="L1092" s="85"/>
      <c r="M1092" s="73" t="str">
        <f>IF(Main[[#This Row],[Tech Start Date]]&lt;1/1/1990,"",IF(Main[[#This Row],[Class]]="C",WORKDAY(Main[[#This Row],[Tech Start Date]],9),IF(Main[[#This Row],[Class]]="B", WORKDAY(Main[[#This Row],[Tech Start Date]],6),IF(Main[[#This Row],[Class]]="A",WORKDAY(Main[[#This Row],[Tech Start Date]],2),""))))</f>
        <v/>
      </c>
      <c r="N1092" s="73" t="str">
        <f>IF(Main[[#This Row],[Tech Start Date]]&lt;1/1/1990,"",IF(Main[[#This Row],[Class]]="C",WORKDAY(Main[[#This Row],[Tech Start Date]],19),IF(Main[[#This Row],[Class]]="B", WORKDAY(Main[[#This Row],[Tech Start Date]],12),IF(Main[[#This Row],[Class]]="A",WORKDAY(Main[[#This Row],[Tech Start Date]],4),""))))</f>
        <v/>
      </c>
      <c r="O1092" s="73" t="str">
        <f>IF(Main[[#This Row],[Tech Start Date]]&lt;1/1/1990,"",IF(Main[[#This Row],[Class]]="C",WORKDAY(Main[[#This Row],[Tech Start Date]],23),IF(Main[[#This Row],[Class]]="B", WORKDAY(Main[[#This Row],[Tech Start Date]],15),IF(Main[[#This Row],[Class]]="A",WORKDAY(Main[[#This Row],[Tech Start Date]],5),""))))</f>
        <v/>
      </c>
      <c r="P1092" s="73" t="str">
        <f>IF(Main[[#This Row],[Tech Start Date]]&lt;1/1/1990,"",IF(Main[[#This Row],[Class]]="C",WORKDAY(Main[[#This Row],[Tech Start Date]],28),IF(Main[[#This Row],[Class]]="B", WORKDAY(Main[[#This Row],[Tech Start Date]],19),IF(Main[[#This Row],[Class]]="A",WORKDAY(Main[[#This Row],[Tech Start Date]],9),""))))</f>
        <v/>
      </c>
      <c r="Q1092" s="85">
        <v>40974</v>
      </c>
      <c r="R1092" s="112"/>
      <c r="S1092" s="95" t="s">
        <v>6</v>
      </c>
      <c r="T1092" s="74" t="s">
        <v>4</v>
      </c>
      <c r="U1092" s="95" t="s">
        <v>29</v>
      </c>
      <c r="V1092" s="95" t="s">
        <v>1914</v>
      </c>
      <c r="W1092" s="95" t="s">
        <v>1915</v>
      </c>
      <c r="X1092" s="95" t="s">
        <v>2045</v>
      </c>
      <c r="Y1092" s="72" t="s">
        <v>4</v>
      </c>
      <c r="Z1092" s="72" t="s">
        <v>30</v>
      </c>
      <c r="AA1092" s="95" t="s">
        <v>3582</v>
      </c>
      <c r="AB1092" s="132"/>
      <c r="AC1092" s="132"/>
      <c r="AD1092" s="132"/>
      <c r="AE1092" s="63"/>
      <c r="AF1092" s="63"/>
      <c r="AG1092" s="63"/>
    </row>
    <row r="1093" spans="1:33" ht="17.2" customHeight="1">
      <c r="A1093" s="64" t="str">
        <f>IF(priority(Main[[#This Row],[Comments]])&lt;&gt;0, priority(Main[[#This Row],[Comments]]),"")</f>
        <v/>
      </c>
      <c r="B1093" s="60" t="s">
        <v>3579</v>
      </c>
      <c r="C1093" s="72" t="s">
        <v>3577</v>
      </c>
      <c r="D1093" s="59" t="s">
        <v>3578</v>
      </c>
      <c r="E1093" s="85"/>
      <c r="F1093" s="85">
        <v>41108</v>
      </c>
      <c r="G1093" s="64" t="str">
        <f>IF(stdProdLT(Main[[#This Row],[Comments]])=0.1,"N/A",IF(stdProdLT(Main[[#This Row],[Comments]])=0,"",TRIM(stdProdLT(Main[[#This Row],[Comments]]))))</f>
        <v/>
      </c>
      <c r="H1093" s="94" t="str">
        <f>IF(OR(Main[[#This Row],[Std. Prod. Lead Time]]="N/A",Main[[#This Row],[Std. Prod. Lead Time]]=""), "",IF(AND(Main[[#This Row],[In Stock Date]]&lt;&gt;"",Main[[#This Row],[Revised Due Date]]&lt;&gt;"",Main[[#This Row],[In Stock Date]]&lt;&gt;""),Main[[#This Row],[In Stock Date]]-Main[[#This Row],[Revised Due Date]],""))</f>
        <v/>
      </c>
      <c r="I1093" s="101" t="s">
        <v>4</v>
      </c>
      <c r="J1093" s="95" t="s">
        <v>4</v>
      </c>
      <c r="K1093" s="95" t="s">
        <v>4</v>
      </c>
      <c r="L1093" s="85"/>
      <c r="M1093" s="73" t="str">
        <f>IF(Main[[#This Row],[Tech Start Date]]&lt;1/1/1990,"",IF(Main[[#This Row],[Class]]="C",WORKDAY(Main[[#This Row],[Tech Start Date]],9),IF(Main[[#This Row],[Class]]="B", WORKDAY(Main[[#This Row],[Tech Start Date]],6),IF(Main[[#This Row],[Class]]="A",WORKDAY(Main[[#This Row],[Tech Start Date]],2),""))))</f>
        <v/>
      </c>
      <c r="N1093" s="73" t="str">
        <f>IF(Main[[#This Row],[Tech Start Date]]&lt;1/1/1990,"",IF(Main[[#This Row],[Class]]="C",WORKDAY(Main[[#This Row],[Tech Start Date]],19),IF(Main[[#This Row],[Class]]="B", WORKDAY(Main[[#This Row],[Tech Start Date]],12),IF(Main[[#This Row],[Class]]="A",WORKDAY(Main[[#This Row],[Tech Start Date]],4),""))))</f>
        <v/>
      </c>
      <c r="O1093" s="73" t="str">
        <f>IF(Main[[#This Row],[Tech Start Date]]&lt;1/1/1990,"",IF(Main[[#This Row],[Class]]="C",WORKDAY(Main[[#This Row],[Tech Start Date]],23),IF(Main[[#This Row],[Class]]="B", WORKDAY(Main[[#This Row],[Tech Start Date]],15),IF(Main[[#This Row],[Class]]="A",WORKDAY(Main[[#This Row],[Tech Start Date]],5),""))))</f>
        <v/>
      </c>
      <c r="P1093" s="73" t="str">
        <f>IF(Main[[#This Row],[Tech Start Date]]&lt;1/1/1990,"",IF(Main[[#This Row],[Class]]="C",WORKDAY(Main[[#This Row],[Tech Start Date]],28),IF(Main[[#This Row],[Class]]="B", WORKDAY(Main[[#This Row],[Tech Start Date]],19),IF(Main[[#This Row],[Class]]="A",WORKDAY(Main[[#This Row],[Tech Start Date]],9),""))))</f>
        <v/>
      </c>
      <c r="Q1093" s="85">
        <v>40968</v>
      </c>
      <c r="R1093" s="112"/>
      <c r="S1093" s="95" t="s">
        <v>11</v>
      </c>
      <c r="T1093" s="74" t="s">
        <v>4</v>
      </c>
      <c r="U1093" s="95" t="s">
        <v>12</v>
      </c>
      <c r="V1093" s="95" t="s">
        <v>1911</v>
      </c>
      <c r="W1093" s="95" t="s">
        <v>1919</v>
      </c>
      <c r="X1093" s="95" t="s">
        <v>2823</v>
      </c>
      <c r="Y1093" s="72" t="s">
        <v>4</v>
      </c>
      <c r="Z1093" s="72" t="s">
        <v>4</v>
      </c>
      <c r="AA1093" s="95" t="s">
        <v>2823</v>
      </c>
      <c r="AB1093" s="132"/>
      <c r="AC1093" s="132"/>
      <c r="AD1093" s="132"/>
      <c r="AE1093" s="63"/>
      <c r="AF1093" s="63"/>
      <c r="AG1093" s="63"/>
    </row>
    <row r="1094" spans="1:33" ht="17.2" customHeight="1">
      <c r="A1094" s="64" t="str">
        <f>IF(priority(Main[[#This Row],[Comments]])&lt;&gt;0, priority(Main[[#This Row],[Comments]]),"")</f>
        <v/>
      </c>
      <c r="B1094" s="60" t="s">
        <v>1200</v>
      </c>
      <c r="C1094" s="72" t="s">
        <v>4</v>
      </c>
      <c r="D1094" s="59" t="s">
        <v>3270</v>
      </c>
      <c r="E1094" s="85"/>
      <c r="F1094" s="85"/>
      <c r="G1094" s="64" t="str">
        <f>IF(stdProdLT(Main[[#This Row],[Comments]])=0.1,"N/A",IF(stdProdLT(Main[[#This Row],[Comments]])=0,"",TRIM(stdProdLT(Main[[#This Row],[Comments]]))))</f>
        <v/>
      </c>
      <c r="H1094" s="94" t="str">
        <f>IF(OR(Main[[#This Row],[Std. Prod. Lead Time]]="N/A",Main[[#This Row],[Std. Prod. Lead Time]]=""), "",IF(AND(Main[[#This Row],[In Stock Date]]&lt;&gt;"",Main[[#This Row],[Revised Due Date]]&lt;&gt;"",Main[[#This Row],[In Stock Date]]&lt;&gt;""),Main[[#This Row],[In Stock Date]]-Main[[#This Row],[Revised Due Date]],""))</f>
        <v/>
      </c>
      <c r="I1094" s="101" t="s">
        <v>2045</v>
      </c>
      <c r="J1094" s="95" t="s">
        <v>28</v>
      </c>
      <c r="K1094" s="95" t="s">
        <v>1920</v>
      </c>
      <c r="L1094" s="85"/>
      <c r="M1094" s="73" t="str">
        <f>IF(Main[[#This Row],[Tech Start Date]]&lt;1/1/1990,"",IF(Main[[#This Row],[Class]]="C",WORKDAY(Main[[#This Row],[Tech Start Date]],9),IF(Main[[#This Row],[Class]]="B", WORKDAY(Main[[#This Row],[Tech Start Date]],6),IF(Main[[#This Row],[Class]]="A",WORKDAY(Main[[#This Row],[Tech Start Date]],2),""))))</f>
        <v/>
      </c>
      <c r="N1094" s="73" t="str">
        <f>IF(Main[[#This Row],[Tech Start Date]]&lt;1/1/1990,"",IF(Main[[#This Row],[Class]]="C",WORKDAY(Main[[#This Row],[Tech Start Date]],19),IF(Main[[#This Row],[Class]]="B", WORKDAY(Main[[#This Row],[Tech Start Date]],12),IF(Main[[#This Row],[Class]]="A",WORKDAY(Main[[#This Row],[Tech Start Date]],4),""))))</f>
        <v/>
      </c>
      <c r="O1094" s="73" t="str">
        <f>IF(Main[[#This Row],[Tech Start Date]]&lt;1/1/1990,"",IF(Main[[#This Row],[Class]]="C",WORKDAY(Main[[#This Row],[Tech Start Date]],23),IF(Main[[#This Row],[Class]]="B", WORKDAY(Main[[#This Row],[Tech Start Date]],15),IF(Main[[#This Row],[Class]]="A",WORKDAY(Main[[#This Row],[Tech Start Date]],5),""))))</f>
        <v/>
      </c>
      <c r="P1094" s="73" t="str">
        <f>IF(Main[[#This Row],[Tech Start Date]]&lt;1/1/1990,"",IF(Main[[#This Row],[Class]]="C",WORKDAY(Main[[#This Row],[Tech Start Date]],28),IF(Main[[#This Row],[Class]]="B", WORKDAY(Main[[#This Row],[Tech Start Date]],19),IF(Main[[#This Row],[Class]]="A",WORKDAY(Main[[#This Row],[Tech Start Date]],9),""))))</f>
        <v/>
      </c>
      <c r="Q1094" s="85"/>
      <c r="R1094" s="112"/>
      <c r="S1094" s="95" t="s">
        <v>6</v>
      </c>
      <c r="T1094" s="74" t="s">
        <v>4</v>
      </c>
      <c r="U1094" s="95" t="s">
        <v>14</v>
      </c>
      <c r="V1094" s="95" t="s">
        <v>1914</v>
      </c>
      <c r="W1094" s="95" t="s">
        <v>1915</v>
      </c>
      <c r="X1094" s="95" t="s">
        <v>2799</v>
      </c>
      <c r="Y1094" s="72" t="s">
        <v>2910</v>
      </c>
      <c r="Z1094" s="72" t="s">
        <v>30</v>
      </c>
      <c r="AA1094" s="95" t="s">
        <v>2799</v>
      </c>
      <c r="AB1094" s="132"/>
      <c r="AC1094" s="132"/>
      <c r="AD1094" s="132"/>
      <c r="AE1094" s="63"/>
      <c r="AF1094" s="63"/>
      <c r="AG1094" s="63"/>
    </row>
    <row r="1095" spans="1:33" ht="17.2" customHeight="1">
      <c r="A1095" s="64" t="str">
        <f>IF(priority(Main[[#This Row],[Comments]])&lt;&gt;0, priority(Main[[#This Row],[Comments]]),"")</f>
        <v/>
      </c>
      <c r="B1095" s="60" t="s">
        <v>1841</v>
      </c>
      <c r="C1095" s="72" t="s">
        <v>4</v>
      </c>
      <c r="D1095" s="59" t="s">
        <v>900</v>
      </c>
      <c r="E1095" s="85">
        <v>40478.709317129629</v>
      </c>
      <c r="F1095" s="85">
        <v>40492</v>
      </c>
      <c r="G1095" s="64" t="str">
        <f>IF(stdProdLT(Main[[#This Row],[Comments]])=0.1,"N/A",IF(stdProdLT(Main[[#This Row],[Comments]])=0,"",TRIM(stdProdLT(Main[[#This Row],[Comments]]))))</f>
        <v/>
      </c>
      <c r="H1095" s="94" t="str">
        <f>IF(OR(Main[[#This Row],[Std. Prod. Lead Time]]="N/A",Main[[#This Row],[Std. Prod. Lead Time]]=""), "",IF(AND(Main[[#This Row],[In Stock Date]]&lt;&gt;"",Main[[#This Row],[Revised Due Date]]&lt;&gt;"",Main[[#This Row],[In Stock Date]]&lt;&gt;""),Main[[#This Row],[In Stock Date]]-Main[[#This Row],[Revised Due Date]],""))</f>
        <v/>
      </c>
      <c r="I1095" s="101" t="s">
        <v>4</v>
      </c>
      <c r="J1095" s="95" t="s">
        <v>28</v>
      </c>
      <c r="K1095" s="96" t="s">
        <v>1918</v>
      </c>
      <c r="L1095" s="85"/>
      <c r="M1095" s="73" t="str">
        <f>IF(Main[[#This Row],[Tech Start Date]]&lt;1/1/1990,"",IF(Main[[#This Row],[Class]]="C",WORKDAY(Main[[#This Row],[Tech Start Date]],9),IF(Main[[#This Row],[Class]]="B", WORKDAY(Main[[#This Row],[Tech Start Date]],6),IF(Main[[#This Row],[Class]]="A",WORKDAY(Main[[#This Row],[Tech Start Date]],2),""))))</f>
        <v/>
      </c>
      <c r="N1095" s="73" t="str">
        <f>IF(Main[[#This Row],[Tech Start Date]]&lt;1/1/1990,"",IF(Main[[#This Row],[Class]]="C",WORKDAY(Main[[#This Row],[Tech Start Date]],19),IF(Main[[#This Row],[Class]]="B", WORKDAY(Main[[#This Row],[Tech Start Date]],12),IF(Main[[#This Row],[Class]]="A",WORKDAY(Main[[#This Row],[Tech Start Date]],4),""))))</f>
        <v/>
      </c>
      <c r="O1095" s="73" t="str">
        <f>IF(Main[[#This Row],[Tech Start Date]]&lt;1/1/1990,"",IF(Main[[#This Row],[Class]]="C",WORKDAY(Main[[#This Row],[Tech Start Date]],23),IF(Main[[#This Row],[Class]]="B", WORKDAY(Main[[#This Row],[Tech Start Date]],15),IF(Main[[#This Row],[Class]]="A",WORKDAY(Main[[#This Row],[Tech Start Date]],5),""))))</f>
        <v/>
      </c>
      <c r="P1095" s="73" t="str">
        <f>IF(Main[[#This Row],[Tech Start Date]]&lt;1/1/1990,"",IF(Main[[#This Row],[Class]]="C",WORKDAY(Main[[#This Row],[Tech Start Date]],28),IF(Main[[#This Row],[Class]]="B", WORKDAY(Main[[#This Row],[Tech Start Date]],19),IF(Main[[#This Row],[Class]]="A",WORKDAY(Main[[#This Row],[Tech Start Date]],9),""))))</f>
        <v/>
      </c>
      <c r="Q1095" s="85">
        <v>40908</v>
      </c>
      <c r="R1095" s="112">
        <v>40495</v>
      </c>
      <c r="S1095" s="95" t="s">
        <v>17</v>
      </c>
      <c r="T1095" s="74" t="s">
        <v>2425</v>
      </c>
      <c r="U1095" s="95" t="s">
        <v>29</v>
      </c>
      <c r="V1095" s="95" t="s">
        <v>1912</v>
      </c>
      <c r="W1095" s="95" t="s">
        <v>1913</v>
      </c>
      <c r="X1095" s="95" t="s">
        <v>50</v>
      </c>
      <c r="Y1095" s="72" t="s">
        <v>4</v>
      </c>
      <c r="Z1095" s="72" t="s">
        <v>4</v>
      </c>
      <c r="AA1095" s="95" t="s">
        <v>975</v>
      </c>
      <c r="AB1095" s="132"/>
      <c r="AC1095" s="132"/>
      <c r="AD1095" s="132"/>
      <c r="AE1095" s="63"/>
      <c r="AF1095" s="63"/>
      <c r="AG1095" s="63"/>
    </row>
    <row r="1096" spans="1:33" ht="17.2" customHeight="1">
      <c r="A1096" s="64" t="str">
        <f>IF(priority(Main[[#This Row],[Comments]])&lt;&gt;0, priority(Main[[#This Row],[Comments]]),"")</f>
        <v/>
      </c>
      <c r="B1096" s="60" t="s">
        <v>1124</v>
      </c>
      <c r="C1096" s="72" t="s">
        <v>4</v>
      </c>
      <c r="D1096" s="59" t="s">
        <v>2426</v>
      </c>
      <c r="E1096" s="85">
        <v>40581.512430555558</v>
      </c>
      <c r="F1096" s="85">
        <v>40627</v>
      </c>
      <c r="G1096" s="64" t="str">
        <f>IF(stdProdLT(Main[[#This Row],[Comments]])=0.1,"N/A",IF(stdProdLT(Main[[#This Row],[Comments]])=0,"",TRIM(stdProdLT(Main[[#This Row],[Comments]]))))</f>
        <v/>
      </c>
      <c r="H1096" s="94" t="str">
        <f>IF(OR(Main[[#This Row],[Std. Prod. Lead Time]]="N/A",Main[[#This Row],[Std. Prod. Lead Time]]=""), "",IF(AND(Main[[#This Row],[In Stock Date]]&lt;&gt;"",Main[[#This Row],[Revised Due Date]]&lt;&gt;"",Main[[#This Row],[In Stock Date]]&lt;&gt;""),Main[[#This Row],[In Stock Date]]-Main[[#This Row],[Revised Due Date]],""))</f>
        <v/>
      </c>
      <c r="I1096" s="101" t="s">
        <v>912</v>
      </c>
      <c r="J1096" s="95" t="s">
        <v>52</v>
      </c>
      <c r="K1096" s="96" t="s">
        <v>1918</v>
      </c>
      <c r="L1096" s="85"/>
      <c r="M1096" s="73" t="str">
        <f>IF(Main[[#This Row],[Tech Start Date]]&lt;1/1/1990,"",IF(Main[[#This Row],[Class]]="C",WORKDAY(Main[[#This Row],[Tech Start Date]],9),IF(Main[[#This Row],[Class]]="B", WORKDAY(Main[[#This Row],[Tech Start Date]],6),IF(Main[[#This Row],[Class]]="A",WORKDAY(Main[[#This Row],[Tech Start Date]],2),""))))</f>
        <v/>
      </c>
      <c r="N1096" s="73" t="str">
        <f>IF(Main[[#This Row],[Tech Start Date]]&lt;1/1/1990,"",IF(Main[[#This Row],[Class]]="C",WORKDAY(Main[[#This Row],[Tech Start Date]],19),IF(Main[[#This Row],[Class]]="B", WORKDAY(Main[[#This Row],[Tech Start Date]],12),IF(Main[[#This Row],[Class]]="A",WORKDAY(Main[[#This Row],[Tech Start Date]],4),""))))</f>
        <v/>
      </c>
      <c r="O1096" s="73" t="str">
        <f>IF(Main[[#This Row],[Tech Start Date]]&lt;1/1/1990,"",IF(Main[[#This Row],[Class]]="C",WORKDAY(Main[[#This Row],[Tech Start Date]],23),IF(Main[[#This Row],[Class]]="B", WORKDAY(Main[[#This Row],[Tech Start Date]],15),IF(Main[[#This Row],[Class]]="A",WORKDAY(Main[[#This Row],[Tech Start Date]],5),""))))</f>
        <v/>
      </c>
      <c r="P1096" s="73" t="str">
        <f>IF(Main[[#This Row],[Tech Start Date]]&lt;1/1/1990,"",IF(Main[[#This Row],[Class]]="C",WORKDAY(Main[[#This Row],[Tech Start Date]],28),IF(Main[[#This Row],[Class]]="B", WORKDAY(Main[[#This Row],[Tech Start Date]],19),IF(Main[[#This Row],[Class]]="A",WORKDAY(Main[[#This Row],[Tech Start Date]],9),""))))</f>
        <v/>
      </c>
      <c r="Q1096" s="85">
        <v>40627</v>
      </c>
      <c r="R1096" s="112"/>
      <c r="S1096" s="95" t="s">
        <v>6</v>
      </c>
      <c r="T1096" s="74" t="s">
        <v>4</v>
      </c>
      <c r="U1096" s="95" t="s">
        <v>29</v>
      </c>
      <c r="V1096" s="95" t="s">
        <v>1911</v>
      </c>
      <c r="W1096" s="95" t="s">
        <v>1913</v>
      </c>
      <c r="X1096" s="95" t="s">
        <v>2798</v>
      </c>
      <c r="Y1096" s="72" t="s">
        <v>2908</v>
      </c>
      <c r="Z1096" s="72" t="s">
        <v>129</v>
      </c>
      <c r="AA1096" s="95" t="s">
        <v>2798</v>
      </c>
      <c r="AB1096" s="132"/>
      <c r="AC1096" s="132"/>
      <c r="AD1096" s="132"/>
      <c r="AE1096" s="63"/>
      <c r="AF1096" s="63"/>
      <c r="AG1096" s="63"/>
    </row>
    <row r="1097" spans="1:33" ht="17.2" customHeight="1">
      <c r="A1097" s="64" t="str">
        <f>IF(priority(Main[[#This Row],[Comments]])&lt;&gt;0, priority(Main[[#This Row],[Comments]]),"")</f>
        <v/>
      </c>
      <c r="B1097" s="60" t="s">
        <v>1313</v>
      </c>
      <c r="C1097" s="72" t="s">
        <v>4</v>
      </c>
      <c r="D1097" s="59" t="s">
        <v>2298</v>
      </c>
      <c r="E1097" s="85">
        <v>40627.285358796296</v>
      </c>
      <c r="F1097" s="85"/>
      <c r="G1097" s="64" t="str">
        <f>IF(stdProdLT(Main[[#This Row],[Comments]])=0.1,"N/A",IF(stdProdLT(Main[[#This Row],[Comments]])=0,"",TRIM(stdProdLT(Main[[#This Row],[Comments]]))))</f>
        <v/>
      </c>
      <c r="H1097" s="94" t="str">
        <f>IF(OR(Main[[#This Row],[Std. Prod. Lead Time]]="N/A",Main[[#This Row],[Std. Prod. Lead Time]]=""), "",IF(AND(Main[[#This Row],[In Stock Date]]&lt;&gt;"",Main[[#This Row],[Revised Due Date]]&lt;&gt;"",Main[[#This Row],[In Stock Date]]&lt;&gt;""),Main[[#This Row],[In Stock Date]]-Main[[#This Row],[Revised Due Date]],""))</f>
        <v/>
      </c>
      <c r="I1097" s="101" t="s">
        <v>561</v>
      </c>
      <c r="J1097" s="95" t="s">
        <v>21</v>
      </c>
      <c r="K1097" s="95" t="s">
        <v>1920</v>
      </c>
      <c r="L1097" s="85"/>
      <c r="M1097" s="73" t="str">
        <f>IF(Main[[#This Row],[Tech Start Date]]&lt;1/1/1990,"",IF(Main[[#This Row],[Class]]="C",WORKDAY(Main[[#This Row],[Tech Start Date]],9),IF(Main[[#This Row],[Class]]="B", WORKDAY(Main[[#This Row],[Tech Start Date]],6),IF(Main[[#This Row],[Class]]="A",WORKDAY(Main[[#This Row],[Tech Start Date]],2),""))))</f>
        <v/>
      </c>
      <c r="N1097" s="73" t="str">
        <f>IF(Main[[#This Row],[Tech Start Date]]&lt;1/1/1990,"",IF(Main[[#This Row],[Class]]="C",WORKDAY(Main[[#This Row],[Tech Start Date]],19),IF(Main[[#This Row],[Class]]="B", WORKDAY(Main[[#This Row],[Tech Start Date]],12),IF(Main[[#This Row],[Class]]="A",WORKDAY(Main[[#This Row],[Tech Start Date]],4),""))))</f>
        <v/>
      </c>
      <c r="O1097" s="73" t="str">
        <f>IF(Main[[#This Row],[Tech Start Date]]&lt;1/1/1990,"",IF(Main[[#This Row],[Class]]="C",WORKDAY(Main[[#This Row],[Tech Start Date]],23),IF(Main[[#This Row],[Class]]="B", WORKDAY(Main[[#This Row],[Tech Start Date]],15),IF(Main[[#This Row],[Class]]="A",WORKDAY(Main[[#This Row],[Tech Start Date]],5),""))))</f>
        <v/>
      </c>
      <c r="P1097" s="73" t="str">
        <f>IF(Main[[#This Row],[Tech Start Date]]&lt;1/1/1990,"",IF(Main[[#This Row],[Class]]="C",WORKDAY(Main[[#This Row],[Tech Start Date]],28),IF(Main[[#This Row],[Class]]="B", WORKDAY(Main[[#This Row],[Tech Start Date]],19),IF(Main[[#This Row],[Class]]="A",WORKDAY(Main[[#This Row],[Tech Start Date]],9),""))))</f>
        <v/>
      </c>
      <c r="Q1097" s="85">
        <v>40658</v>
      </c>
      <c r="R1097" s="112"/>
      <c r="S1097" s="95" t="s">
        <v>6</v>
      </c>
      <c r="T1097" s="74" t="s">
        <v>4</v>
      </c>
      <c r="U1097" s="95" t="s">
        <v>29</v>
      </c>
      <c r="V1097" s="95" t="s">
        <v>1911</v>
      </c>
      <c r="W1097" s="95" t="s">
        <v>1913</v>
      </c>
      <c r="X1097" s="95" t="s">
        <v>2798</v>
      </c>
      <c r="Y1097" s="72" t="s">
        <v>2908</v>
      </c>
      <c r="Z1097" s="72" t="s">
        <v>530</v>
      </c>
      <c r="AA1097" s="95" t="s">
        <v>2798</v>
      </c>
      <c r="AB1097" s="132"/>
      <c r="AC1097" s="132"/>
      <c r="AD1097" s="132"/>
      <c r="AE1097" s="63"/>
      <c r="AF1097" s="63"/>
      <c r="AG1097" s="63"/>
    </row>
    <row r="1098" spans="1:33" ht="17.2" customHeight="1">
      <c r="A1098" s="64" t="str">
        <f>IF(priority(Main[[#This Row],[Comments]])&lt;&gt;0, priority(Main[[#This Row],[Comments]]),"")</f>
        <v/>
      </c>
      <c r="B1098" s="60" t="s">
        <v>2427</v>
      </c>
      <c r="C1098" s="72" t="s">
        <v>4</v>
      </c>
      <c r="D1098" s="59" t="s">
        <v>2428</v>
      </c>
      <c r="E1098" s="85"/>
      <c r="F1098" s="85"/>
      <c r="G1098" s="64" t="str">
        <f>IF(stdProdLT(Main[[#This Row],[Comments]])=0.1,"N/A",IF(stdProdLT(Main[[#This Row],[Comments]])=0,"",TRIM(stdProdLT(Main[[#This Row],[Comments]]))))</f>
        <v/>
      </c>
      <c r="H1098" s="94" t="str">
        <f>IF(OR(Main[[#This Row],[Std. Prod. Lead Time]]="N/A",Main[[#This Row],[Std. Prod. Lead Time]]=""), "",IF(AND(Main[[#This Row],[In Stock Date]]&lt;&gt;"",Main[[#This Row],[Revised Due Date]]&lt;&gt;"",Main[[#This Row],[In Stock Date]]&lt;&gt;""),Main[[#This Row],[In Stock Date]]-Main[[#This Row],[Revised Due Date]],""))</f>
        <v/>
      </c>
      <c r="I1098" s="101" t="s">
        <v>4</v>
      </c>
      <c r="J1098" s="95" t="s">
        <v>4</v>
      </c>
      <c r="K1098" s="96" t="s">
        <v>4</v>
      </c>
      <c r="L1098" s="85"/>
      <c r="M1098" s="73" t="str">
        <f>IF(Main[[#This Row],[Tech Start Date]]&lt;1/1/1990,"",IF(Main[[#This Row],[Class]]="C",WORKDAY(Main[[#This Row],[Tech Start Date]],9),IF(Main[[#This Row],[Class]]="B", WORKDAY(Main[[#This Row],[Tech Start Date]],6),IF(Main[[#This Row],[Class]]="A",WORKDAY(Main[[#This Row],[Tech Start Date]],2),""))))</f>
        <v/>
      </c>
      <c r="N1098" s="73" t="str">
        <f>IF(Main[[#This Row],[Tech Start Date]]&lt;1/1/1990,"",IF(Main[[#This Row],[Class]]="C",WORKDAY(Main[[#This Row],[Tech Start Date]],19),IF(Main[[#This Row],[Class]]="B", WORKDAY(Main[[#This Row],[Tech Start Date]],12),IF(Main[[#This Row],[Class]]="A",WORKDAY(Main[[#This Row],[Tech Start Date]],4),""))))</f>
        <v/>
      </c>
      <c r="O1098" s="73" t="str">
        <f>IF(Main[[#This Row],[Tech Start Date]]&lt;1/1/1990,"",IF(Main[[#This Row],[Class]]="C",WORKDAY(Main[[#This Row],[Tech Start Date]],23),IF(Main[[#This Row],[Class]]="B", WORKDAY(Main[[#This Row],[Tech Start Date]],15),IF(Main[[#This Row],[Class]]="A",WORKDAY(Main[[#This Row],[Tech Start Date]],5),""))))</f>
        <v/>
      </c>
      <c r="P1098" s="73" t="str">
        <f>IF(Main[[#This Row],[Tech Start Date]]&lt;1/1/1990,"",IF(Main[[#This Row],[Class]]="C",WORKDAY(Main[[#This Row],[Tech Start Date]],28),IF(Main[[#This Row],[Class]]="B", WORKDAY(Main[[#This Row],[Tech Start Date]],19),IF(Main[[#This Row],[Class]]="A",WORKDAY(Main[[#This Row],[Tech Start Date]],9),""))))</f>
        <v/>
      </c>
      <c r="Q1098" s="85">
        <v>40877</v>
      </c>
      <c r="R1098" s="112"/>
      <c r="S1098" s="95" t="s">
        <v>6</v>
      </c>
      <c r="T1098" s="74" t="s">
        <v>4</v>
      </c>
      <c r="U1098" s="95" t="s">
        <v>14</v>
      </c>
      <c r="V1098" s="95" t="s">
        <v>1911</v>
      </c>
      <c r="W1098" s="95" t="s">
        <v>1915</v>
      </c>
      <c r="X1098" s="95" t="s">
        <v>2801</v>
      </c>
      <c r="Y1098" s="72" t="s">
        <v>2914</v>
      </c>
      <c r="Z1098" s="72" t="s">
        <v>4</v>
      </c>
      <c r="AA1098" s="95" t="s">
        <v>2801</v>
      </c>
      <c r="AB1098" s="132"/>
      <c r="AC1098" s="132"/>
      <c r="AD1098" s="132"/>
      <c r="AE1098" s="63"/>
      <c r="AF1098" s="63"/>
      <c r="AG1098" s="63"/>
    </row>
    <row r="1099" spans="1:33" ht="17.2" customHeight="1">
      <c r="A1099" s="64" t="str">
        <f>IF(priority(Main[[#This Row],[Comments]])&lt;&gt;0, priority(Main[[#This Row],[Comments]]),"")</f>
        <v/>
      </c>
      <c r="B1099" s="60" t="s">
        <v>2429</v>
      </c>
      <c r="C1099" s="72" t="s">
        <v>2348</v>
      </c>
      <c r="D1099" s="59" t="s">
        <v>2349</v>
      </c>
      <c r="E1099" s="85"/>
      <c r="F1099" s="85">
        <v>41008</v>
      </c>
      <c r="G1099" s="64" t="str">
        <f>IF(stdProdLT(Main[[#This Row],[Comments]])=0.1,"N/A",IF(stdProdLT(Main[[#This Row],[Comments]])=0,"",TRIM(stdProdLT(Main[[#This Row],[Comments]]))))</f>
        <v/>
      </c>
      <c r="H1099" s="94" t="str">
        <f>IF(OR(Main[[#This Row],[Std. Prod. Lead Time]]="N/A",Main[[#This Row],[Std. Prod. Lead Time]]=""), "",IF(AND(Main[[#This Row],[In Stock Date]]&lt;&gt;"",Main[[#This Row],[Revised Due Date]]&lt;&gt;"",Main[[#This Row],[In Stock Date]]&lt;&gt;""),Main[[#This Row],[In Stock Date]]-Main[[#This Row],[Revised Due Date]],""))</f>
        <v/>
      </c>
      <c r="I1099" s="101" t="s">
        <v>4</v>
      </c>
      <c r="J1099" s="95" t="s">
        <v>4</v>
      </c>
      <c r="K1099" s="95" t="s">
        <v>4</v>
      </c>
      <c r="L1099" s="85"/>
      <c r="M1099" s="73" t="str">
        <f>IF(Main[[#This Row],[Tech Start Date]]&lt;1/1/1990,"",IF(Main[[#This Row],[Class]]="C",WORKDAY(Main[[#This Row],[Tech Start Date]],9),IF(Main[[#This Row],[Class]]="B", WORKDAY(Main[[#This Row],[Tech Start Date]],6),IF(Main[[#This Row],[Class]]="A",WORKDAY(Main[[#This Row],[Tech Start Date]],2),""))))</f>
        <v/>
      </c>
      <c r="N1099" s="73" t="str">
        <f>IF(Main[[#This Row],[Tech Start Date]]&lt;1/1/1990,"",IF(Main[[#This Row],[Class]]="C",WORKDAY(Main[[#This Row],[Tech Start Date]],19),IF(Main[[#This Row],[Class]]="B", WORKDAY(Main[[#This Row],[Tech Start Date]],12),IF(Main[[#This Row],[Class]]="A",WORKDAY(Main[[#This Row],[Tech Start Date]],4),""))))</f>
        <v/>
      </c>
      <c r="O1099" s="73" t="str">
        <f>IF(Main[[#This Row],[Tech Start Date]]&lt;1/1/1990,"",IF(Main[[#This Row],[Class]]="C",WORKDAY(Main[[#This Row],[Tech Start Date]],23),IF(Main[[#This Row],[Class]]="B", WORKDAY(Main[[#This Row],[Tech Start Date]],15),IF(Main[[#This Row],[Class]]="A",WORKDAY(Main[[#This Row],[Tech Start Date]],5),""))))</f>
        <v/>
      </c>
      <c r="P1099" s="73" t="str">
        <f>IF(Main[[#This Row],[Tech Start Date]]&lt;1/1/1990,"",IF(Main[[#This Row],[Class]]="C",WORKDAY(Main[[#This Row],[Tech Start Date]],28),IF(Main[[#This Row],[Class]]="B", WORKDAY(Main[[#This Row],[Tech Start Date]],19),IF(Main[[#This Row],[Class]]="A",WORKDAY(Main[[#This Row],[Tech Start Date]],9),""))))</f>
        <v/>
      </c>
      <c r="Q1099" s="85">
        <v>40826</v>
      </c>
      <c r="R1099" s="112"/>
      <c r="S1099" s="95" t="s">
        <v>11</v>
      </c>
      <c r="T1099" s="74" t="s">
        <v>4</v>
      </c>
      <c r="U1099" s="95" t="s">
        <v>12</v>
      </c>
      <c r="V1099" s="95" t="s">
        <v>1914</v>
      </c>
      <c r="W1099" s="95" t="s">
        <v>1917</v>
      </c>
      <c r="X1099" s="95" t="s">
        <v>2823</v>
      </c>
      <c r="Y1099" s="72" t="s">
        <v>4</v>
      </c>
      <c r="Z1099" s="72" t="s">
        <v>4</v>
      </c>
      <c r="AA1099" s="95" t="s">
        <v>2823</v>
      </c>
      <c r="AB1099" s="132"/>
      <c r="AC1099" s="132"/>
      <c r="AD1099" s="132"/>
      <c r="AE1099" s="63"/>
      <c r="AF1099" s="63"/>
      <c r="AG1099" s="63"/>
    </row>
    <row r="1100" spans="1:33" ht="17.2" customHeight="1">
      <c r="A1100" s="64" t="str">
        <f>IF(priority(Main[[#This Row],[Comments]])&lt;&gt;0, priority(Main[[#This Row],[Comments]]),"")</f>
        <v/>
      </c>
      <c r="B1100" s="60" t="s">
        <v>3482</v>
      </c>
      <c r="C1100" s="72" t="s">
        <v>4</v>
      </c>
      <c r="D1100" s="59" t="s">
        <v>3483</v>
      </c>
      <c r="E1100" s="85">
        <v>40948.6487037037</v>
      </c>
      <c r="F1100" s="85"/>
      <c r="G1100" s="64" t="str">
        <f>IF(stdProdLT(Main[[#This Row],[Comments]])=0.1,"N/A",IF(stdProdLT(Main[[#This Row],[Comments]])=0,"",TRIM(stdProdLT(Main[[#This Row],[Comments]]))))</f>
        <v/>
      </c>
      <c r="H1100" s="94" t="str">
        <f>IF(OR(Main[[#This Row],[Std. Prod. Lead Time]]="N/A",Main[[#This Row],[Std. Prod. Lead Time]]=""), "",IF(AND(Main[[#This Row],[In Stock Date]]&lt;&gt;"",Main[[#This Row],[Revised Due Date]]&lt;&gt;"",Main[[#This Row],[In Stock Date]]&lt;&gt;""),Main[[#This Row],[In Stock Date]]-Main[[#This Row],[Revised Due Date]],""))</f>
        <v/>
      </c>
      <c r="I1100" s="101" t="s">
        <v>530</v>
      </c>
      <c r="J1100" s="95" t="s">
        <v>28</v>
      </c>
      <c r="K1100" s="95" t="s">
        <v>1920</v>
      </c>
      <c r="L1100" s="85"/>
      <c r="M1100" s="73" t="str">
        <f>IF(Main[[#This Row],[Tech Start Date]]&lt;1/1/1990,"",IF(Main[[#This Row],[Class]]="C",WORKDAY(Main[[#This Row],[Tech Start Date]],9),IF(Main[[#This Row],[Class]]="B", WORKDAY(Main[[#This Row],[Tech Start Date]],6),IF(Main[[#This Row],[Class]]="A",WORKDAY(Main[[#This Row],[Tech Start Date]],2),""))))</f>
        <v/>
      </c>
      <c r="N1100" s="73" t="str">
        <f>IF(Main[[#This Row],[Tech Start Date]]&lt;1/1/1990,"",IF(Main[[#This Row],[Class]]="C",WORKDAY(Main[[#This Row],[Tech Start Date]],19),IF(Main[[#This Row],[Class]]="B", WORKDAY(Main[[#This Row],[Tech Start Date]],12),IF(Main[[#This Row],[Class]]="A",WORKDAY(Main[[#This Row],[Tech Start Date]],4),""))))</f>
        <v/>
      </c>
      <c r="O1100" s="73" t="str">
        <f>IF(Main[[#This Row],[Tech Start Date]]&lt;1/1/1990,"",IF(Main[[#This Row],[Class]]="C",WORKDAY(Main[[#This Row],[Tech Start Date]],23),IF(Main[[#This Row],[Class]]="B", WORKDAY(Main[[#This Row],[Tech Start Date]],15),IF(Main[[#This Row],[Class]]="A",WORKDAY(Main[[#This Row],[Tech Start Date]],5),""))))</f>
        <v/>
      </c>
      <c r="P1100" s="73" t="str">
        <f>IF(Main[[#This Row],[Tech Start Date]]&lt;1/1/1990,"",IF(Main[[#This Row],[Class]]="C",WORKDAY(Main[[#This Row],[Tech Start Date]],28),IF(Main[[#This Row],[Class]]="B", WORKDAY(Main[[#This Row],[Tech Start Date]],19),IF(Main[[#This Row],[Class]]="A",WORKDAY(Main[[#This Row],[Tech Start Date]],9),""))))</f>
        <v/>
      </c>
      <c r="Q1100" s="85">
        <v>40949</v>
      </c>
      <c r="R1100" s="112"/>
      <c r="S1100" s="95" t="s">
        <v>6</v>
      </c>
      <c r="T1100" s="74" t="s">
        <v>4</v>
      </c>
      <c r="U1100" s="95" t="s">
        <v>29</v>
      </c>
      <c r="V1100" s="95" t="s">
        <v>1914</v>
      </c>
      <c r="W1100" s="95" t="s">
        <v>1913</v>
      </c>
      <c r="X1100" s="95" t="s">
        <v>2875</v>
      </c>
      <c r="Y1100" s="72" t="s">
        <v>3038</v>
      </c>
      <c r="Z1100" s="72" t="s">
        <v>30</v>
      </c>
      <c r="AA1100" s="95" t="s">
        <v>2875</v>
      </c>
      <c r="AB1100" s="132"/>
      <c r="AC1100" s="132"/>
      <c r="AD1100" s="132"/>
      <c r="AE1100" s="63"/>
      <c r="AF1100" s="63"/>
      <c r="AG1100" s="63"/>
    </row>
    <row r="1101" spans="1:33" ht="17.2" customHeight="1">
      <c r="A1101" s="64" t="str">
        <f>IF(priority(Main[[#This Row],[Comments]])&lt;&gt;0, priority(Main[[#This Row],[Comments]]),"")</f>
        <v/>
      </c>
      <c r="B1101" s="60" t="s">
        <v>2060</v>
      </c>
      <c r="C1101" s="72" t="s">
        <v>4</v>
      </c>
      <c r="D1101" s="59" t="s">
        <v>2439</v>
      </c>
      <c r="E1101" s="85">
        <v>40772.422800925924</v>
      </c>
      <c r="F1101" s="85"/>
      <c r="G1101" s="64" t="str">
        <f>IF(stdProdLT(Main[[#This Row],[Comments]])=0.1,"N/A",IF(stdProdLT(Main[[#This Row],[Comments]])=0,"",TRIM(stdProdLT(Main[[#This Row],[Comments]]))))</f>
        <v/>
      </c>
      <c r="H1101" s="94" t="str">
        <f>IF(OR(Main[[#This Row],[Std. Prod. Lead Time]]="N/A",Main[[#This Row],[Std. Prod. Lead Time]]=""), "",IF(AND(Main[[#This Row],[In Stock Date]]&lt;&gt;"",Main[[#This Row],[Revised Due Date]]&lt;&gt;"",Main[[#This Row],[In Stock Date]]&lt;&gt;""),Main[[#This Row],[In Stock Date]]-Main[[#This Row],[Revised Due Date]],""))</f>
        <v/>
      </c>
      <c r="I1101" s="101" t="s">
        <v>912</v>
      </c>
      <c r="J1101" s="95" t="s">
        <v>52</v>
      </c>
      <c r="K1101" s="95" t="s">
        <v>4</v>
      </c>
      <c r="L1101" s="85"/>
      <c r="M1101" s="73" t="str">
        <f>IF(Main[[#This Row],[Tech Start Date]]&lt;1/1/1990,"",IF(Main[[#This Row],[Class]]="C",WORKDAY(Main[[#This Row],[Tech Start Date]],9),IF(Main[[#This Row],[Class]]="B", WORKDAY(Main[[#This Row],[Tech Start Date]],6),IF(Main[[#This Row],[Class]]="A",WORKDAY(Main[[#This Row],[Tech Start Date]],2),""))))</f>
        <v/>
      </c>
      <c r="N1101" s="73" t="str">
        <f>IF(Main[[#This Row],[Tech Start Date]]&lt;1/1/1990,"",IF(Main[[#This Row],[Class]]="C",WORKDAY(Main[[#This Row],[Tech Start Date]],19),IF(Main[[#This Row],[Class]]="B", WORKDAY(Main[[#This Row],[Tech Start Date]],12),IF(Main[[#This Row],[Class]]="A",WORKDAY(Main[[#This Row],[Tech Start Date]],4),""))))</f>
        <v/>
      </c>
      <c r="O1101" s="73" t="str">
        <f>IF(Main[[#This Row],[Tech Start Date]]&lt;1/1/1990,"",IF(Main[[#This Row],[Class]]="C",WORKDAY(Main[[#This Row],[Tech Start Date]],23),IF(Main[[#This Row],[Class]]="B", WORKDAY(Main[[#This Row],[Tech Start Date]],15),IF(Main[[#This Row],[Class]]="A",WORKDAY(Main[[#This Row],[Tech Start Date]],5),""))))</f>
        <v/>
      </c>
      <c r="P1101" s="73" t="str">
        <f>IF(Main[[#This Row],[Tech Start Date]]&lt;1/1/1990,"",IF(Main[[#This Row],[Class]]="C",WORKDAY(Main[[#This Row],[Tech Start Date]],28),IF(Main[[#This Row],[Class]]="B", WORKDAY(Main[[#This Row],[Tech Start Date]],19),IF(Main[[#This Row],[Class]]="A",WORKDAY(Main[[#This Row],[Tech Start Date]],9),""))))</f>
        <v/>
      </c>
      <c r="Q1101" s="85"/>
      <c r="R1101" s="112"/>
      <c r="S1101" s="95" t="s">
        <v>6</v>
      </c>
      <c r="T1101" s="74" t="s">
        <v>4</v>
      </c>
      <c r="U1101" s="95" t="s">
        <v>29</v>
      </c>
      <c r="V1101" s="95" t="s">
        <v>1911</v>
      </c>
      <c r="W1101" s="95" t="s">
        <v>1915</v>
      </c>
      <c r="X1101" s="95" t="s">
        <v>937</v>
      </c>
      <c r="Y1101" s="72" t="s">
        <v>2962</v>
      </c>
      <c r="Z1101" s="72" t="s">
        <v>129</v>
      </c>
      <c r="AA1101" s="95" t="s">
        <v>937</v>
      </c>
      <c r="AB1101" s="132"/>
      <c r="AC1101" s="132"/>
      <c r="AD1101" s="132"/>
      <c r="AE1101" s="63"/>
      <c r="AF1101" s="63"/>
      <c r="AG1101" s="63"/>
    </row>
    <row r="1102" spans="1:33" ht="17.2" customHeight="1">
      <c r="A1102" s="64" t="str">
        <f>IF(priority(Main[[#This Row],[Comments]])&lt;&gt;0, priority(Main[[#This Row],[Comments]]),"")</f>
        <v/>
      </c>
      <c r="B1102" s="60" t="s">
        <v>2440</v>
      </c>
      <c r="C1102" s="72" t="s">
        <v>4</v>
      </c>
      <c r="D1102" s="59" t="s">
        <v>2441</v>
      </c>
      <c r="E1102" s="85">
        <v>40834.417719907404</v>
      </c>
      <c r="F1102" s="85"/>
      <c r="G1102" s="64" t="str">
        <f>IF(stdProdLT(Main[[#This Row],[Comments]])=0.1,"N/A",IF(stdProdLT(Main[[#This Row],[Comments]])=0,"",TRIM(stdProdLT(Main[[#This Row],[Comments]]))))</f>
        <v/>
      </c>
      <c r="H1102" s="94" t="str">
        <f>IF(OR(Main[[#This Row],[Std. Prod. Lead Time]]="N/A",Main[[#This Row],[Std. Prod. Lead Time]]=""), "",IF(AND(Main[[#This Row],[In Stock Date]]&lt;&gt;"",Main[[#This Row],[Revised Due Date]]&lt;&gt;"",Main[[#This Row],[In Stock Date]]&lt;&gt;""),Main[[#This Row],[In Stock Date]]-Main[[#This Row],[Revised Due Date]],""))</f>
        <v/>
      </c>
      <c r="I1102" s="101" t="s">
        <v>4</v>
      </c>
      <c r="J1102" s="95" t="s">
        <v>4</v>
      </c>
      <c r="K1102" s="95" t="s">
        <v>4</v>
      </c>
      <c r="L1102" s="85"/>
      <c r="M1102" s="73" t="str">
        <f>IF(Main[[#This Row],[Tech Start Date]]&lt;1/1/1990,"",IF(Main[[#This Row],[Class]]="C",WORKDAY(Main[[#This Row],[Tech Start Date]],9),IF(Main[[#This Row],[Class]]="B", WORKDAY(Main[[#This Row],[Tech Start Date]],6),IF(Main[[#This Row],[Class]]="A",WORKDAY(Main[[#This Row],[Tech Start Date]],2),""))))</f>
        <v/>
      </c>
      <c r="N1102" s="73" t="str">
        <f>IF(Main[[#This Row],[Tech Start Date]]&lt;1/1/1990,"",IF(Main[[#This Row],[Class]]="C",WORKDAY(Main[[#This Row],[Tech Start Date]],19),IF(Main[[#This Row],[Class]]="B", WORKDAY(Main[[#This Row],[Tech Start Date]],12),IF(Main[[#This Row],[Class]]="A",WORKDAY(Main[[#This Row],[Tech Start Date]],4),""))))</f>
        <v/>
      </c>
      <c r="O1102" s="73" t="str">
        <f>IF(Main[[#This Row],[Tech Start Date]]&lt;1/1/1990,"",IF(Main[[#This Row],[Class]]="C",WORKDAY(Main[[#This Row],[Tech Start Date]],23),IF(Main[[#This Row],[Class]]="B", WORKDAY(Main[[#This Row],[Tech Start Date]],15),IF(Main[[#This Row],[Class]]="A",WORKDAY(Main[[#This Row],[Tech Start Date]],5),""))))</f>
        <v/>
      </c>
      <c r="P1102" s="73" t="str">
        <f>IF(Main[[#This Row],[Tech Start Date]]&lt;1/1/1990,"",IF(Main[[#This Row],[Class]]="C",WORKDAY(Main[[#This Row],[Tech Start Date]],28),IF(Main[[#This Row],[Class]]="B", WORKDAY(Main[[#This Row],[Tech Start Date]],19),IF(Main[[#This Row],[Class]]="A",WORKDAY(Main[[#This Row],[Tech Start Date]],9),""))))</f>
        <v/>
      </c>
      <c r="Q1102" s="85"/>
      <c r="R1102" s="112"/>
      <c r="S1102" s="95" t="s">
        <v>6</v>
      </c>
      <c r="T1102" s="74" t="s">
        <v>4</v>
      </c>
      <c r="U1102" s="95" t="s">
        <v>29</v>
      </c>
      <c r="V1102" s="95" t="s">
        <v>1914</v>
      </c>
      <c r="W1102" s="95" t="s">
        <v>1915</v>
      </c>
      <c r="X1102" s="95" t="s">
        <v>306</v>
      </c>
      <c r="Y1102" s="72" t="s">
        <v>4</v>
      </c>
      <c r="Z1102" s="72" t="s">
        <v>4</v>
      </c>
      <c r="AA1102" s="95" t="s">
        <v>4</v>
      </c>
      <c r="AB1102" s="132"/>
      <c r="AC1102" s="132"/>
      <c r="AD1102" s="132"/>
      <c r="AE1102" s="63"/>
      <c r="AF1102" s="63"/>
      <c r="AG1102" s="63"/>
    </row>
    <row r="1103" spans="1:33" ht="17.2" customHeight="1">
      <c r="A1103" s="64" t="str">
        <f>IF(priority(Main[[#This Row],[Comments]])&lt;&gt;0, priority(Main[[#This Row],[Comments]]),"")</f>
        <v/>
      </c>
      <c r="B1103" s="60" t="s">
        <v>2236</v>
      </c>
      <c r="C1103" s="72" t="s">
        <v>4</v>
      </c>
      <c r="D1103" s="59" t="s">
        <v>2442</v>
      </c>
      <c r="E1103" s="85">
        <v>40798.432673611111</v>
      </c>
      <c r="F1103" s="85"/>
      <c r="G1103" s="64" t="str">
        <f>IF(stdProdLT(Main[[#This Row],[Comments]])=0.1,"N/A",IF(stdProdLT(Main[[#This Row],[Comments]])=0,"",TRIM(stdProdLT(Main[[#This Row],[Comments]]))))</f>
        <v/>
      </c>
      <c r="H1103" s="94" t="str">
        <f>IF(OR(Main[[#This Row],[Std. Prod. Lead Time]]="N/A",Main[[#This Row],[Std. Prod. Lead Time]]=""), "",IF(AND(Main[[#This Row],[In Stock Date]]&lt;&gt;"",Main[[#This Row],[Revised Due Date]]&lt;&gt;"",Main[[#This Row],[In Stock Date]]&lt;&gt;""),Main[[#This Row],[In Stock Date]]-Main[[#This Row],[Revised Due Date]],""))</f>
        <v/>
      </c>
      <c r="I1103" s="101" t="s">
        <v>912</v>
      </c>
      <c r="J1103" s="95" t="s">
        <v>52</v>
      </c>
      <c r="K1103" s="95" t="s">
        <v>4</v>
      </c>
      <c r="L1103" s="85"/>
      <c r="M1103" s="73" t="str">
        <f>IF(Main[[#This Row],[Tech Start Date]]&lt;1/1/1990,"",IF(Main[[#This Row],[Class]]="C",WORKDAY(Main[[#This Row],[Tech Start Date]],9),IF(Main[[#This Row],[Class]]="B", WORKDAY(Main[[#This Row],[Tech Start Date]],6),IF(Main[[#This Row],[Class]]="A",WORKDAY(Main[[#This Row],[Tech Start Date]],2),""))))</f>
        <v/>
      </c>
      <c r="N1103" s="73" t="str">
        <f>IF(Main[[#This Row],[Tech Start Date]]&lt;1/1/1990,"",IF(Main[[#This Row],[Class]]="C",WORKDAY(Main[[#This Row],[Tech Start Date]],19),IF(Main[[#This Row],[Class]]="B", WORKDAY(Main[[#This Row],[Tech Start Date]],12),IF(Main[[#This Row],[Class]]="A",WORKDAY(Main[[#This Row],[Tech Start Date]],4),""))))</f>
        <v/>
      </c>
      <c r="O1103" s="73" t="str">
        <f>IF(Main[[#This Row],[Tech Start Date]]&lt;1/1/1990,"",IF(Main[[#This Row],[Class]]="C",WORKDAY(Main[[#This Row],[Tech Start Date]],23),IF(Main[[#This Row],[Class]]="B", WORKDAY(Main[[#This Row],[Tech Start Date]],15),IF(Main[[#This Row],[Class]]="A",WORKDAY(Main[[#This Row],[Tech Start Date]],5),""))))</f>
        <v/>
      </c>
      <c r="P1103" s="73" t="str">
        <f>IF(Main[[#This Row],[Tech Start Date]]&lt;1/1/1990,"",IF(Main[[#This Row],[Class]]="C",WORKDAY(Main[[#This Row],[Tech Start Date]],28),IF(Main[[#This Row],[Class]]="B", WORKDAY(Main[[#This Row],[Tech Start Date]],19),IF(Main[[#This Row],[Class]]="A",WORKDAY(Main[[#This Row],[Tech Start Date]],9),""))))</f>
        <v/>
      </c>
      <c r="Q1103" s="85"/>
      <c r="R1103" s="112"/>
      <c r="S1103" s="95" t="s">
        <v>6</v>
      </c>
      <c r="T1103" s="74" t="s">
        <v>4</v>
      </c>
      <c r="U1103" s="95" t="s">
        <v>29</v>
      </c>
      <c r="V1103" s="95" t="s">
        <v>1911</v>
      </c>
      <c r="W1103" s="95" t="s">
        <v>1915</v>
      </c>
      <c r="X1103" s="95" t="s">
        <v>561</v>
      </c>
      <c r="Y1103" s="72" t="s">
        <v>4</v>
      </c>
      <c r="Z1103" s="72" t="s">
        <v>129</v>
      </c>
      <c r="AA1103" s="95" t="s">
        <v>4</v>
      </c>
      <c r="AB1103" s="132"/>
      <c r="AC1103" s="132"/>
      <c r="AD1103" s="132"/>
      <c r="AE1103" s="63"/>
      <c r="AF1103" s="63"/>
      <c r="AG1103" s="63"/>
    </row>
    <row r="1104" spans="1:33" ht="17.2" customHeight="1">
      <c r="A1104" s="64" t="str">
        <f>IF(priority(Main[[#This Row],[Comments]])&lt;&gt;0, priority(Main[[#This Row],[Comments]]),"")</f>
        <v/>
      </c>
      <c r="B1104" s="60" t="s">
        <v>3898</v>
      </c>
      <c r="C1104" s="72" t="s">
        <v>4</v>
      </c>
      <c r="D1104" s="59" t="s">
        <v>3899</v>
      </c>
      <c r="E1104" s="85">
        <v>40973.484664351854</v>
      </c>
      <c r="F1104" s="85"/>
      <c r="G1104" s="64" t="str">
        <f>IF(stdProdLT(Main[[#This Row],[Comments]])=0.1,"N/A",IF(stdProdLT(Main[[#This Row],[Comments]])=0,"",TRIM(stdProdLT(Main[[#This Row],[Comments]]))))</f>
        <v/>
      </c>
      <c r="H1104" s="94" t="str">
        <f>IF(OR(Main[[#This Row],[Std. Prod. Lead Time]]="N/A",Main[[#This Row],[Std. Prod. Lead Time]]=""), "",IF(AND(Main[[#This Row],[In Stock Date]]&lt;&gt;"",Main[[#This Row],[Revised Due Date]]&lt;&gt;"",Main[[#This Row],[In Stock Date]]&lt;&gt;""),Main[[#This Row],[In Stock Date]]-Main[[#This Row],[Revised Due Date]],""))</f>
        <v/>
      </c>
      <c r="I1104" s="101" t="s">
        <v>4</v>
      </c>
      <c r="J1104" s="95" t="s">
        <v>4</v>
      </c>
      <c r="K1104" s="95" t="s">
        <v>4</v>
      </c>
      <c r="L1104" s="85"/>
      <c r="M1104" s="73" t="str">
        <f>IF(Main[[#This Row],[Tech Start Date]]&lt;1/1/1990,"",IF(Main[[#This Row],[Class]]="C",WORKDAY(Main[[#This Row],[Tech Start Date]],9),IF(Main[[#This Row],[Class]]="B", WORKDAY(Main[[#This Row],[Tech Start Date]],6),IF(Main[[#This Row],[Class]]="A",WORKDAY(Main[[#This Row],[Tech Start Date]],2),""))))</f>
        <v/>
      </c>
      <c r="N1104" s="73" t="str">
        <f>IF(Main[[#This Row],[Tech Start Date]]&lt;1/1/1990,"",IF(Main[[#This Row],[Class]]="C",WORKDAY(Main[[#This Row],[Tech Start Date]],19),IF(Main[[#This Row],[Class]]="B", WORKDAY(Main[[#This Row],[Tech Start Date]],12),IF(Main[[#This Row],[Class]]="A",WORKDAY(Main[[#This Row],[Tech Start Date]],4),""))))</f>
        <v/>
      </c>
      <c r="O1104" s="73" t="str">
        <f>IF(Main[[#This Row],[Tech Start Date]]&lt;1/1/1990,"",IF(Main[[#This Row],[Class]]="C",WORKDAY(Main[[#This Row],[Tech Start Date]],23),IF(Main[[#This Row],[Class]]="B", WORKDAY(Main[[#This Row],[Tech Start Date]],15),IF(Main[[#This Row],[Class]]="A",WORKDAY(Main[[#This Row],[Tech Start Date]],5),""))))</f>
        <v/>
      </c>
      <c r="P1104" s="73" t="str">
        <f>IF(Main[[#This Row],[Tech Start Date]]&lt;1/1/1990,"",IF(Main[[#This Row],[Class]]="C",WORKDAY(Main[[#This Row],[Tech Start Date]],28),IF(Main[[#This Row],[Class]]="B", WORKDAY(Main[[#This Row],[Tech Start Date]],19),IF(Main[[#This Row],[Class]]="A",WORKDAY(Main[[#This Row],[Tech Start Date]],9),""))))</f>
        <v/>
      </c>
      <c r="Q1104" s="85">
        <v>41005</v>
      </c>
      <c r="R1104" s="112"/>
      <c r="S1104" s="95" t="s">
        <v>6</v>
      </c>
      <c r="T1104" s="74" t="s">
        <v>4</v>
      </c>
      <c r="U1104" s="95" t="s">
        <v>7</v>
      </c>
      <c r="V1104" s="95" t="s">
        <v>1914</v>
      </c>
      <c r="W1104" s="95" t="s">
        <v>4</v>
      </c>
      <c r="X1104" s="95" t="s">
        <v>2798</v>
      </c>
      <c r="Y1104" s="72" t="s">
        <v>2908</v>
      </c>
      <c r="Z1104" s="72" t="s">
        <v>4</v>
      </c>
      <c r="AA1104" s="95" t="s">
        <v>2798</v>
      </c>
      <c r="AB1104" s="132"/>
      <c r="AC1104" s="132"/>
      <c r="AD1104" s="132"/>
      <c r="AE1104" s="63"/>
      <c r="AF1104" s="63"/>
      <c r="AG1104" s="63"/>
    </row>
    <row r="1105" spans="1:33" ht="17.2" customHeight="1">
      <c r="A1105" s="64" t="str">
        <f>IF(priority(Main[[#This Row],[Comments]])&lt;&gt;0, priority(Main[[#This Row],[Comments]]),"")</f>
        <v/>
      </c>
      <c r="B1105" s="60" t="s">
        <v>2737</v>
      </c>
      <c r="C1105" s="72" t="s">
        <v>4</v>
      </c>
      <c r="D1105" s="59" t="s">
        <v>2738</v>
      </c>
      <c r="E1105" s="85">
        <v>40911.432222222225</v>
      </c>
      <c r="F1105" s="85"/>
      <c r="G1105" s="64" t="str">
        <f>IF(stdProdLT(Main[[#This Row],[Comments]])=0.1,"N/A",IF(stdProdLT(Main[[#This Row],[Comments]])=0,"",TRIM(stdProdLT(Main[[#This Row],[Comments]]))))</f>
        <v/>
      </c>
      <c r="H1105" s="94" t="str">
        <f>IF(OR(Main[[#This Row],[Std. Prod. Lead Time]]="N/A",Main[[#This Row],[Std. Prod. Lead Time]]=""), "",IF(AND(Main[[#This Row],[In Stock Date]]&lt;&gt;"",Main[[#This Row],[Revised Due Date]]&lt;&gt;"",Main[[#This Row],[In Stock Date]]&lt;&gt;""),Main[[#This Row],[In Stock Date]]-Main[[#This Row],[Revised Due Date]],""))</f>
        <v/>
      </c>
      <c r="I1105" s="101" t="s">
        <v>937</v>
      </c>
      <c r="J1105" s="95" t="s">
        <v>52</v>
      </c>
      <c r="K1105" s="95" t="s">
        <v>1920</v>
      </c>
      <c r="L1105" s="85"/>
      <c r="M1105" s="73" t="str">
        <f>IF(Main[[#This Row],[Tech Start Date]]&lt;1/1/1990,"",IF(Main[[#This Row],[Class]]="C",WORKDAY(Main[[#This Row],[Tech Start Date]],9),IF(Main[[#This Row],[Class]]="B", WORKDAY(Main[[#This Row],[Tech Start Date]],6),IF(Main[[#This Row],[Class]]="A",WORKDAY(Main[[#This Row],[Tech Start Date]],2),""))))</f>
        <v/>
      </c>
      <c r="N1105" s="73" t="str">
        <f>IF(Main[[#This Row],[Tech Start Date]]&lt;1/1/1990,"",IF(Main[[#This Row],[Class]]="C",WORKDAY(Main[[#This Row],[Tech Start Date]],19),IF(Main[[#This Row],[Class]]="B", WORKDAY(Main[[#This Row],[Tech Start Date]],12),IF(Main[[#This Row],[Class]]="A",WORKDAY(Main[[#This Row],[Tech Start Date]],4),""))))</f>
        <v/>
      </c>
      <c r="O1105" s="73" t="str">
        <f>IF(Main[[#This Row],[Tech Start Date]]&lt;1/1/1990,"",IF(Main[[#This Row],[Class]]="C",WORKDAY(Main[[#This Row],[Tech Start Date]],23),IF(Main[[#This Row],[Class]]="B", WORKDAY(Main[[#This Row],[Tech Start Date]],15),IF(Main[[#This Row],[Class]]="A",WORKDAY(Main[[#This Row],[Tech Start Date]],5),""))))</f>
        <v/>
      </c>
      <c r="P1105" s="73" t="str">
        <f>IF(Main[[#This Row],[Tech Start Date]]&lt;1/1/1990,"",IF(Main[[#This Row],[Class]]="C",WORKDAY(Main[[#This Row],[Tech Start Date]],28),IF(Main[[#This Row],[Class]]="B", WORKDAY(Main[[#This Row],[Tech Start Date]],19),IF(Main[[#This Row],[Class]]="A",WORKDAY(Main[[#This Row],[Tech Start Date]],9),""))))</f>
        <v/>
      </c>
      <c r="Q1105" s="85"/>
      <c r="R1105" s="112"/>
      <c r="S1105" s="95" t="s">
        <v>6</v>
      </c>
      <c r="T1105" s="74" t="s">
        <v>4</v>
      </c>
      <c r="U1105" s="95" t="s">
        <v>29</v>
      </c>
      <c r="V1105" s="95" t="s">
        <v>1911</v>
      </c>
      <c r="W1105" s="95" t="s">
        <v>1915</v>
      </c>
      <c r="X1105" s="95" t="s">
        <v>2202</v>
      </c>
      <c r="Y1105" s="72" t="s">
        <v>3105</v>
      </c>
      <c r="Z1105" s="72" t="s">
        <v>912</v>
      </c>
      <c r="AA1105" s="95" t="s">
        <v>2202</v>
      </c>
      <c r="AB1105" s="132"/>
      <c r="AC1105" s="132"/>
      <c r="AD1105" s="132"/>
      <c r="AE1105" s="63"/>
      <c r="AF1105" s="63"/>
      <c r="AG1105" s="63"/>
    </row>
    <row r="1106" spans="1:33" ht="17.2" customHeight="1">
      <c r="A1106" s="64" t="str">
        <f>IF(priority(Main[[#This Row],[Comments]])&lt;&gt;0, priority(Main[[#This Row],[Comments]]),"")</f>
        <v/>
      </c>
      <c r="B1106" s="60" t="s">
        <v>2653</v>
      </c>
      <c r="C1106" s="72" t="s">
        <v>4</v>
      </c>
      <c r="D1106" s="59" t="s">
        <v>2654</v>
      </c>
      <c r="E1106" s="85">
        <v>40879.618761574071</v>
      </c>
      <c r="F1106" s="85"/>
      <c r="G1106" s="64" t="str">
        <f>IF(stdProdLT(Main[[#This Row],[Comments]])=0.1,"N/A",IF(stdProdLT(Main[[#This Row],[Comments]])=0,"",TRIM(stdProdLT(Main[[#This Row],[Comments]]))))</f>
        <v/>
      </c>
      <c r="H1106" s="94" t="str">
        <f>IF(OR(Main[[#This Row],[Std. Prod. Lead Time]]="N/A",Main[[#This Row],[Std. Prod. Lead Time]]=""), "",IF(AND(Main[[#This Row],[In Stock Date]]&lt;&gt;"",Main[[#This Row],[Revised Due Date]]&lt;&gt;"",Main[[#This Row],[In Stock Date]]&lt;&gt;""),Main[[#This Row],[In Stock Date]]-Main[[#This Row],[Revised Due Date]],""))</f>
        <v/>
      </c>
      <c r="I1106" s="101" t="s">
        <v>4</v>
      </c>
      <c r="J1106" s="95" t="s">
        <v>4</v>
      </c>
      <c r="K1106" s="95" t="s">
        <v>4</v>
      </c>
      <c r="L1106" s="85"/>
      <c r="M1106" s="73" t="str">
        <f>IF(Main[[#This Row],[Tech Start Date]]&lt;1/1/1990,"",IF(Main[[#This Row],[Class]]="C",WORKDAY(Main[[#This Row],[Tech Start Date]],9),IF(Main[[#This Row],[Class]]="B", WORKDAY(Main[[#This Row],[Tech Start Date]],6),IF(Main[[#This Row],[Class]]="A",WORKDAY(Main[[#This Row],[Tech Start Date]],2),""))))</f>
        <v/>
      </c>
      <c r="N1106" s="73" t="str">
        <f>IF(Main[[#This Row],[Tech Start Date]]&lt;1/1/1990,"",IF(Main[[#This Row],[Class]]="C",WORKDAY(Main[[#This Row],[Tech Start Date]],19),IF(Main[[#This Row],[Class]]="B", WORKDAY(Main[[#This Row],[Tech Start Date]],12),IF(Main[[#This Row],[Class]]="A",WORKDAY(Main[[#This Row],[Tech Start Date]],4),""))))</f>
        <v/>
      </c>
      <c r="O1106" s="73" t="str">
        <f>IF(Main[[#This Row],[Tech Start Date]]&lt;1/1/1990,"",IF(Main[[#This Row],[Class]]="C",WORKDAY(Main[[#This Row],[Tech Start Date]],23),IF(Main[[#This Row],[Class]]="B", WORKDAY(Main[[#This Row],[Tech Start Date]],15),IF(Main[[#This Row],[Class]]="A",WORKDAY(Main[[#This Row],[Tech Start Date]],5),""))))</f>
        <v/>
      </c>
      <c r="P1106" s="73" t="str">
        <f>IF(Main[[#This Row],[Tech Start Date]]&lt;1/1/1990,"",IF(Main[[#This Row],[Class]]="C",WORKDAY(Main[[#This Row],[Tech Start Date]],28),IF(Main[[#This Row],[Class]]="B", WORKDAY(Main[[#This Row],[Tech Start Date]],19),IF(Main[[#This Row],[Class]]="A",WORKDAY(Main[[#This Row],[Tech Start Date]],9),""))))</f>
        <v/>
      </c>
      <c r="Q1106" s="85"/>
      <c r="R1106" s="112"/>
      <c r="S1106" s="95" t="s">
        <v>17</v>
      </c>
      <c r="T1106" s="74" t="s">
        <v>4</v>
      </c>
      <c r="U1106" s="95" t="s">
        <v>7</v>
      </c>
      <c r="V1106" s="95" t="s">
        <v>1914</v>
      </c>
      <c r="W1106" s="95" t="s">
        <v>1916</v>
      </c>
      <c r="X1106" s="95" t="s">
        <v>553</v>
      </c>
      <c r="Y1106" s="72" t="s">
        <v>2930</v>
      </c>
      <c r="Z1106" s="72" t="s">
        <v>4</v>
      </c>
      <c r="AA1106" s="95" t="s">
        <v>553</v>
      </c>
      <c r="AB1106" s="132"/>
      <c r="AC1106" s="132"/>
      <c r="AD1106" s="132"/>
      <c r="AE1106" s="63"/>
      <c r="AF1106" s="63"/>
      <c r="AG1106" s="63"/>
    </row>
    <row r="1107" spans="1:33" ht="17.2" customHeight="1">
      <c r="A1107" s="64" t="str">
        <f>IF(priority(Main[[#This Row],[Comments]])&lt;&gt;0, priority(Main[[#This Row],[Comments]]),"")</f>
        <v/>
      </c>
      <c r="B1107" s="60" t="s">
        <v>1902</v>
      </c>
      <c r="C1107" s="72" t="s">
        <v>31</v>
      </c>
      <c r="D1107" s="59" t="s">
        <v>955</v>
      </c>
      <c r="E1107" s="85">
        <v>40528.412233796298</v>
      </c>
      <c r="F1107" s="85">
        <v>40634</v>
      </c>
      <c r="G1107" s="64" t="str">
        <f>IF(stdProdLT(Main[[#This Row],[Comments]])=0.1,"N/A",IF(stdProdLT(Main[[#This Row],[Comments]])=0,"",TRIM(stdProdLT(Main[[#This Row],[Comments]]))))</f>
        <v/>
      </c>
      <c r="H1107" s="94" t="str">
        <f>IF(OR(Main[[#This Row],[Std. Prod. Lead Time]]="N/A",Main[[#This Row],[Std. Prod. Lead Time]]=""), "",IF(AND(Main[[#This Row],[In Stock Date]]&lt;&gt;"",Main[[#This Row],[Revised Due Date]]&lt;&gt;"",Main[[#This Row],[In Stock Date]]&lt;&gt;""),Main[[#This Row],[In Stock Date]]-Main[[#This Row],[Revised Due Date]],""))</f>
        <v/>
      </c>
      <c r="I1107" s="101" t="s">
        <v>431</v>
      </c>
      <c r="J1107" s="95" t="s">
        <v>28</v>
      </c>
      <c r="K1107" s="95" t="s">
        <v>1923</v>
      </c>
      <c r="L1107" s="85"/>
      <c r="M1107" s="73" t="str">
        <f>IF(Main[[#This Row],[Tech Start Date]]&lt;1/1/1990,"",IF(Main[[#This Row],[Class]]="C",WORKDAY(Main[[#This Row],[Tech Start Date]],9),IF(Main[[#This Row],[Class]]="B", WORKDAY(Main[[#This Row],[Tech Start Date]],6),IF(Main[[#This Row],[Class]]="A",WORKDAY(Main[[#This Row],[Tech Start Date]],2),""))))</f>
        <v/>
      </c>
      <c r="N1107" s="73" t="str">
        <f>IF(Main[[#This Row],[Tech Start Date]]&lt;1/1/1990,"",IF(Main[[#This Row],[Class]]="C",WORKDAY(Main[[#This Row],[Tech Start Date]],19),IF(Main[[#This Row],[Class]]="B", WORKDAY(Main[[#This Row],[Tech Start Date]],12),IF(Main[[#This Row],[Class]]="A",WORKDAY(Main[[#This Row],[Tech Start Date]],4),""))))</f>
        <v/>
      </c>
      <c r="O1107" s="73" t="str">
        <f>IF(Main[[#This Row],[Tech Start Date]]&lt;1/1/1990,"",IF(Main[[#This Row],[Class]]="C",WORKDAY(Main[[#This Row],[Tech Start Date]],23),IF(Main[[#This Row],[Class]]="B", WORKDAY(Main[[#This Row],[Tech Start Date]],15),IF(Main[[#This Row],[Class]]="A",WORKDAY(Main[[#This Row],[Tech Start Date]],5),""))))</f>
        <v/>
      </c>
      <c r="P1107" s="73" t="str">
        <f>IF(Main[[#This Row],[Tech Start Date]]&lt;1/1/1990,"",IF(Main[[#This Row],[Class]]="C",WORKDAY(Main[[#This Row],[Tech Start Date]],28),IF(Main[[#This Row],[Class]]="B", WORKDAY(Main[[#This Row],[Tech Start Date]],19),IF(Main[[#This Row],[Class]]="A",WORKDAY(Main[[#This Row],[Tech Start Date]],9),""))))</f>
        <v/>
      </c>
      <c r="Q1107" s="85">
        <v>40634</v>
      </c>
      <c r="R1107" s="112">
        <v>40889</v>
      </c>
      <c r="S1107" s="95" t="s">
        <v>17</v>
      </c>
      <c r="T1107" s="74" t="s">
        <v>4</v>
      </c>
      <c r="U1107" s="95" t="s">
        <v>29</v>
      </c>
      <c r="V1107" s="95" t="s">
        <v>1914</v>
      </c>
      <c r="W1107" s="95" t="s">
        <v>1922</v>
      </c>
      <c r="X1107" s="95" t="s">
        <v>553</v>
      </c>
      <c r="Y1107" s="72" t="s">
        <v>3007</v>
      </c>
      <c r="Z1107" s="72" t="s">
        <v>415</v>
      </c>
      <c r="AA1107" s="95" t="s">
        <v>2872</v>
      </c>
      <c r="AB1107" s="132"/>
      <c r="AC1107" s="132"/>
      <c r="AD1107" s="132"/>
      <c r="AE1107" s="63"/>
      <c r="AF1107" s="63"/>
      <c r="AG1107" s="63"/>
    </row>
    <row r="1108" spans="1:33" ht="17.2" customHeight="1">
      <c r="A1108" s="64" t="str">
        <f>IF(priority(Main[[#This Row],[Comments]])&lt;&gt;0, priority(Main[[#This Row],[Comments]]),"")</f>
        <v/>
      </c>
      <c r="B1108" s="60" t="s">
        <v>2423</v>
      </c>
      <c r="C1108" s="72" t="s">
        <v>4</v>
      </c>
      <c r="D1108" s="59" t="s">
        <v>2424</v>
      </c>
      <c r="E1108" s="85">
        <v>40822.361354166664</v>
      </c>
      <c r="F1108" s="85"/>
      <c r="G1108" s="64" t="str">
        <f>IF(stdProdLT(Main[[#This Row],[Comments]])=0.1,"N/A",IF(stdProdLT(Main[[#This Row],[Comments]])=0,"",TRIM(stdProdLT(Main[[#This Row],[Comments]]))))</f>
        <v/>
      </c>
      <c r="H1108" s="94" t="str">
        <f>IF(OR(Main[[#This Row],[Std. Prod. Lead Time]]="N/A",Main[[#This Row],[Std. Prod. Lead Time]]=""), "",IF(AND(Main[[#This Row],[In Stock Date]]&lt;&gt;"",Main[[#This Row],[Revised Due Date]]&lt;&gt;"",Main[[#This Row],[In Stock Date]]&lt;&gt;""),Main[[#This Row],[In Stock Date]]-Main[[#This Row],[Revised Due Date]],""))</f>
        <v/>
      </c>
      <c r="I1108" s="101" t="s">
        <v>4</v>
      </c>
      <c r="J1108" s="95" t="s">
        <v>4</v>
      </c>
      <c r="K1108" s="95" t="s">
        <v>4</v>
      </c>
      <c r="L1108" s="85"/>
      <c r="M1108" s="73" t="str">
        <f>IF(Main[[#This Row],[Tech Start Date]]&lt;1/1/1990,"",IF(Main[[#This Row],[Class]]="C",WORKDAY(Main[[#This Row],[Tech Start Date]],9),IF(Main[[#This Row],[Class]]="B", WORKDAY(Main[[#This Row],[Tech Start Date]],6),IF(Main[[#This Row],[Class]]="A",WORKDAY(Main[[#This Row],[Tech Start Date]],2),""))))</f>
        <v/>
      </c>
      <c r="N1108" s="73" t="str">
        <f>IF(Main[[#This Row],[Tech Start Date]]&lt;1/1/1990,"",IF(Main[[#This Row],[Class]]="C",WORKDAY(Main[[#This Row],[Tech Start Date]],19),IF(Main[[#This Row],[Class]]="B", WORKDAY(Main[[#This Row],[Tech Start Date]],12),IF(Main[[#This Row],[Class]]="A",WORKDAY(Main[[#This Row],[Tech Start Date]],4),""))))</f>
        <v/>
      </c>
      <c r="O1108" s="73" t="str">
        <f>IF(Main[[#This Row],[Tech Start Date]]&lt;1/1/1990,"",IF(Main[[#This Row],[Class]]="C",WORKDAY(Main[[#This Row],[Tech Start Date]],23),IF(Main[[#This Row],[Class]]="B", WORKDAY(Main[[#This Row],[Tech Start Date]],15),IF(Main[[#This Row],[Class]]="A",WORKDAY(Main[[#This Row],[Tech Start Date]],5),""))))</f>
        <v/>
      </c>
      <c r="P1108" s="73" t="str">
        <f>IF(Main[[#This Row],[Tech Start Date]]&lt;1/1/1990,"",IF(Main[[#This Row],[Class]]="C",WORKDAY(Main[[#This Row],[Tech Start Date]],28),IF(Main[[#This Row],[Class]]="B", WORKDAY(Main[[#This Row],[Tech Start Date]],19),IF(Main[[#This Row],[Class]]="A",WORKDAY(Main[[#This Row],[Tech Start Date]],9),""))))</f>
        <v/>
      </c>
      <c r="Q1108" s="85">
        <v>40872</v>
      </c>
      <c r="R1108" s="112"/>
      <c r="S1108" s="95" t="s">
        <v>6</v>
      </c>
      <c r="T1108" s="74" t="s">
        <v>4</v>
      </c>
      <c r="U1108" s="95" t="s">
        <v>7</v>
      </c>
      <c r="V1108" s="95" t="s">
        <v>1911</v>
      </c>
      <c r="W1108" s="95" t="s">
        <v>4</v>
      </c>
      <c r="X1108" s="95" t="s">
        <v>2802</v>
      </c>
      <c r="Y1108" s="72" t="s">
        <v>2916</v>
      </c>
      <c r="Z1108" s="72" t="s">
        <v>4</v>
      </c>
      <c r="AA1108" s="95" t="s">
        <v>2802</v>
      </c>
      <c r="AB1108" s="132"/>
      <c r="AC1108" s="132"/>
      <c r="AD1108" s="132"/>
      <c r="AE1108" s="63"/>
      <c r="AF1108" s="63"/>
      <c r="AG1108" s="63"/>
    </row>
    <row r="1109" spans="1:33" ht="17.2" customHeight="1">
      <c r="A1109" s="64" t="str">
        <f>IF(priority(Main[[#This Row],[Comments]])&lt;&gt;0, priority(Main[[#This Row],[Comments]]),"")</f>
        <v/>
      </c>
      <c r="B1109" s="60" t="s">
        <v>3619</v>
      </c>
      <c r="C1109" s="72" t="s">
        <v>4</v>
      </c>
      <c r="D1109" s="59" t="s">
        <v>3620</v>
      </c>
      <c r="E1109" s="85">
        <v>40952.960995370369</v>
      </c>
      <c r="F1109" s="85"/>
      <c r="G1109" s="64" t="str">
        <f>IF(stdProdLT(Main[[#This Row],[Comments]])=0.1,"N/A",IF(stdProdLT(Main[[#This Row],[Comments]])=0,"",TRIM(stdProdLT(Main[[#This Row],[Comments]]))))</f>
        <v/>
      </c>
      <c r="H1109" s="94" t="str">
        <f>IF(OR(Main[[#This Row],[Std. Prod. Lead Time]]="N/A",Main[[#This Row],[Std. Prod. Lead Time]]=""), "",IF(AND(Main[[#This Row],[In Stock Date]]&lt;&gt;"",Main[[#This Row],[Revised Due Date]]&lt;&gt;"",Main[[#This Row],[In Stock Date]]&lt;&gt;""),Main[[#This Row],[In Stock Date]]-Main[[#This Row],[Revised Due Date]],""))</f>
        <v/>
      </c>
      <c r="I1109" s="101" t="s">
        <v>2045</v>
      </c>
      <c r="J1109" s="95" t="s">
        <v>28</v>
      </c>
      <c r="K1109" s="95" t="s">
        <v>4</v>
      </c>
      <c r="L1109" s="85"/>
      <c r="M1109" s="73" t="str">
        <f>IF(Main[[#This Row],[Tech Start Date]]&lt;1/1/1990,"",IF(Main[[#This Row],[Class]]="C",WORKDAY(Main[[#This Row],[Tech Start Date]],9),IF(Main[[#This Row],[Class]]="B", WORKDAY(Main[[#This Row],[Tech Start Date]],6),IF(Main[[#This Row],[Class]]="A",WORKDAY(Main[[#This Row],[Tech Start Date]],2),""))))</f>
        <v/>
      </c>
      <c r="N1109" s="73" t="str">
        <f>IF(Main[[#This Row],[Tech Start Date]]&lt;1/1/1990,"",IF(Main[[#This Row],[Class]]="C",WORKDAY(Main[[#This Row],[Tech Start Date]],19),IF(Main[[#This Row],[Class]]="B", WORKDAY(Main[[#This Row],[Tech Start Date]],12),IF(Main[[#This Row],[Class]]="A",WORKDAY(Main[[#This Row],[Tech Start Date]],4),""))))</f>
        <v/>
      </c>
      <c r="O1109" s="73" t="str">
        <f>IF(Main[[#This Row],[Tech Start Date]]&lt;1/1/1990,"",IF(Main[[#This Row],[Class]]="C",WORKDAY(Main[[#This Row],[Tech Start Date]],23),IF(Main[[#This Row],[Class]]="B", WORKDAY(Main[[#This Row],[Tech Start Date]],15),IF(Main[[#This Row],[Class]]="A",WORKDAY(Main[[#This Row],[Tech Start Date]],5),""))))</f>
        <v/>
      </c>
      <c r="P1109" s="73" t="str">
        <f>IF(Main[[#This Row],[Tech Start Date]]&lt;1/1/1990,"",IF(Main[[#This Row],[Class]]="C",WORKDAY(Main[[#This Row],[Tech Start Date]],28),IF(Main[[#This Row],[Class]]="B", WORKDAY(Main[[#This Row],[Tech Start Date]],19),IF(Main[[#This Row],[Class]]="A",WORKDAY(Main[[#This Row],[Tech Start Date]],9),""))))</f>
        <v/>
      </c>
      <c r="Q1109" s="85">
        <v>40953</v>
      </c>
      <c r="R1109" s="112"/>
      <c r="S1109" s="95" t="s">
        <v>6</v>
      </c>
      <c r="T1109" s="74" t="s">
        <v>4</v>
      </c>
      <c r="U1109" s="95" t="s">
        <v>29</v>
      </c>
      <c r="V1109" s="95" t="s">
        <v>1914</v>
      </c>
      <c r="W1109" s="95" t="s">
        <v>1915</v>
      </c>
      <c r="X1109" s="95" t="s">
        <v>2875</v>
      </c>
      <c r="Y1109" s="72" t="s">
        <v>3038</v>
      </c>
      <c r="Z1109" s="72" t="s">
        <v>30</v>
      </c>
      <c r="AA1109" s="95" t="s">
        <v>2875</v>
      </c>
      <c r="AB1109" s="132"/>
      <c r="AC1109" s="132"/>
      <c r="AD1109" s="132"/>
      <c r="AE1109" s="63"/>
      <c r="AF1109" s="63"/>
      <c r="AG1109" s="63"/>
    </row>
    <row r="1110" spans="1:33" ht="17.2" customHeight="1">
      <c r="A1110" s="64" t="str">
        <f>IF(priority(Main[[#This Row],[Comments]])&lt;&gt;0, priority(Main[[#This Row],[Comments]]),"")</f>
        <v/>
      </c>
      <c r="B1110" s="60" t="s">
        <v>3285</v>
      </c>
      <c r="C1110" s="72" t="s">
        <v>4</v>
      </c>
      <c r="D1110" s="59" t="s">
        <v>3596</v>
      </c>
      <c r="E1110" s="85">
        <v>40939.635509259257</v>
      </c>
      <c r="F1110" s="85"/>
      <c r="G1110" s="64" t="str">
        <f>IF(stdProdLT(Main[[#This Row],[Comments]])=0.1,"N/A",IF(stdProdLT(Main[[#This Row],[Comments]])=0,"",TRIM(stdProdLT(Main[[#This Row],[Comments]]))))</f>
        <v/>
      </c>
      <c r="H1110" s="94" t="str">
        <f>IF(OR(Main[[#This Row],[Std. Prod. Lead Time]]="N/A",Main[[#This Row],[Std. Prod. Lead Time]]=""), "",IF(AND(Main[[#This Row],[In Stock Date]]&lt;&gt;"",Main[[#This Row],[Revised Due Date]]&lt;&gt;"",Main[[#This Row],[In Stock Date]]&lt;&gt;""),Main[[#This Row],[In Stock Date]]-Main[[#This Row],[Revised Due Date]],""))</f>
        <v/>
      </c>
      <c r="I1110" s="101" t="s">
        <v>2205</v>
      </c>
      <c r="J1110" s="95" t="s">
        <v>28</v>
      </c>
      <c r="K1110" s="95" t="s">
        <v>1923</v>
      </c>
      <c r="L1110" s="85"/>
      <c r="M1110" s="73" t="str">
        <f>IF(Main[[#This Row],[Tech Start Date]]&lt;1/1/1990,"",IF(Main[[#This Row],[Class]]="C",WORKDAY(Main[[#This Row],[Tech Start Date]],9),IF(Main[[#This Row],[Class]]="B", WORKDAY(Main[[#This Row],[Tech Start Date]],6),IF(Main[[#This Row],[Class]]="A",WORKDAY(Main[[#This Row],[Tech Start Date]],2),""))))</f>
        <v/>
      </c>
      <c r="N1110" s="73" t="str">
        <f>IF(Main[[#This Row],[Tech Start Date]]&lt;1/1/1990,"",IF(Main[[#This Row],[Class]]="C",WORKDAY(Main[[#This Row],[Tech Start Date]],19),IF(Main[[#This Row],[Class]]="B", WORKDAY(Main[[#This Row],[Tech Start Date]],12),IF(Main[[#This Row],[Class]]="A",WORKDAY(Main[[#This Row],[Tech Start Date]],4),""))))</f>
        <v/>
      </c>
      <c r="O1110" s="73" t="str">
        <f>IF(Main[[#This Row],[Tech Start Date]]&lt;1/1/1990,"",IF(Main[[#This Row],[Class]]="C",WORKDAY(Main[[#This Row],[Tech Start Date]],23),IF(Main[[#This Row],[Class]]="B", WORKDAY(Main[[#This Row],[Tech Start Date]],15),IF(Main[[#This Row],[Class]]="A",WORKDAY(Main[[#This Row],[Tech Start Date]],5),""))))</f>
        <v/>
      </c>
      <c r="P1110" s="73" t="str">
        <f>IF(Main[[#This Row],[Tech Start Date]]&lt;1/1/1990,"",IF(Main[[#This Row],[Class]]="C",WORKDAY(Main[[#This Row],[Tech Start Date]],28),IF(Main[[#This Row],[Class]]="B", WORKDAY(Main[[#This Row],[Tech Start Date]],19),IF(Main[[#This Row],[Class]]="A",WORKDAY(Main[[#This Row],[Tech Start Date]],9),""))))</f>
        <v/>
      </c>
      <c r="Q1110" s="85"/>
      <c r="R1110" s="112"/>
      <c r="S1110" s="95" t="s">
        <v>6</v>
      </c>
      <c r="T1110" s="74" t="s">
        <v>4</v>
      </c>
      <c r="U1110" s="95" t="s">
        <v>7</v>
      </c>
      <c r="V1110" s="95" t="s">
        <v>1926</v>
      </c>
      <c r="W1110" s="95" t="s">
        <v>1915</v>
      </c>
      <c r="X1110" s="95" t="s">
        <v>306</v>
      </c>
      <c r="Y1110" s="72" t="s">
        <v>4</v>
      </c>
      <c r="Z1110" s="72" t="s">
        <v>2205</v>
      </c>
      <c r="AA1110" s="95" t="s">
        <v>4</v>
      </c>
      <c r="AB1110" s="132"/>
      <c r="AC1110" s="132"/>
      <c r="AD1110" s="132"/>
      <c r="AE1110" s="63"/>
      <c r="AF1110" s="63"/>
      <c r="AG1110" s="63"/>
    </row>
    <row r="1111" spans="1:33" ht="17.2" customHeight="1">
      <c r="A1111" s="64" t="str">
        <f>IF(priority(Main[[#This Row],[Comments]])&lt;&gt;0, priority(Main[[#This Row],[Comments]]),"")</f>
        <v/>
      </c>
      <c r="B1111" s="60" t="s">
        <v>2443</v>
      </c>
      <c r="C1111" s="72" t="s">
        <v>4</v>
      </c>
      <c r="D1111" s="59" t="s">
        <v>2444</v>
      </c>
      <c r="E1111" s="85">
        <v>40841.609861111108</v>
      </c>
      <c r="F1111" s="85"/>
      <c r="G1111" s="64" t="str">
        <f>IF(stdProdLT(Main[[#This Row],[Comments]])=0.1,"N/A",IF(stdProdLT(Main[[#This Row],[Comments]])=0,"",TRIM(stdProdLT(Main[[#This Row],[Comments]]))))</f>
        <v/>
      </c>
      <c r="H1111" s="94" t="str">
        <f>IF(OR(Main[[#This Row],[Std. Prod. Lead Time]]="N/A",Main[[#This Row],[Std. Prod. Lead Time]]=""), "",IF(AND(Main[[#This Row],[In Stock Date]]&lt;&gt;"",Main[[#This Row],[Revised Due Date]]&lt;&gt;"",Main[[#This Row],[In Stock Date]]&lt;&gt;""),Main[[#This Row],[In Stock Date]]-Main[[#This Row],[Revised Due Date]],""))</f>
        <v/>
      </c>
      <c r="I1111" s="101" t="s">
        <v>4</v>
      </c>
      <c r="J1111" s="95" t="s">
        <v>4</v>
      </c>
      <c r="K1111" s="95" t="s">
        <v>4</v>
      </c>
      <c r="L1111" s="85"/>
      <c r="M1111" s="73" t="str">
        <f>IF(Main[[#This Row],[Tech Start Date]]&lt;1/1/1990,"",IF(Main[[#This Row],[Class]]="C",WORKDAY(Main[[#This Row],[Tech Start Date]],9),IF(Main[[#This Row],[Class]]="B", WORKDAY(Main[[#This Row],[Tech Start Date]],6),IF(Main[[#This Row],[Class]]="A",WORKDAY(Main[[#This Row],[Tech Start Date]],2),""))))</f>
        <v/>
      </c>
      <c r="N1111" s="73" t="str">
        <f>IF(Main[[#This Row],[Tech Start Date]]&lt;1/1/1990,"",IF(Main[[#This Row],[Class]]="C",WORKDAY(Main[[#This Row],[Tech Start Date]],19),IF(Main[[#This Row],[Class]]="B", WORKDAY(Main[[#This Row],[Tech Start Date]],12),IF(Main[[#This Row],[Class]]="A",WORKDAY(Main[[#This Row],[Tech Start Date]],4),""))))</f>
        <v/>
      </c>
      <c r="O1111" s="73" t="str">
        <f>IF(Main[[#This Row],[Tech Start Date]]&lt;1/1/1990,"",IF(Main[[#This Row],[Class]]="C",WORKDAY(Main[[#This Row],[Tech Start Date]],23),IF(Main[[#This Row],[Class]]="B", WORKDAY(Main[[#This Row],[Tech Start Date]],15),IF(Main[[#This Row],[Class]]="A",WORKDAY(Main[[#This Row],[Tech Start Date]],5),""))))</f>
        <v/>
      </c>
      <c r="P1111" s="73" t="str">
        <f>IF(Main[[#This Row],[Tech Start Date]]&lt;1/1/1990,"",IF(Main[[#This Row],[Class]]="C",WORKDAY(Main[[#This Row],[Tech Start Date]],28),IF(Main[[#This Row],[Class]]="B", WORKDAY(Main[[#This Row],[Tech Start Date]],19),IF(Main[[#This Row],[Class]]="A",WORKDAY(Main[[#This Row],[Tech Start Date]],9),""))))</f>
        <v/>
      </c>
      <c r="Q1111" s="85"/>
      <c r="R1111" s="112"/>
      <c r="S1111" s="95" t="s">
        <v>6</v>
      </c>
      <c r="T1111" s="74" t="s">
        <v>4</v>
      </c>
      <c r="U1111" s="95" t="s">
        <v>7</v>
      </c>
      <c r="V1111" s="95" t="s">
        <v>1911</v>
      </c>
      <c r="W1111" s="95" t="s">
        <v>4</v>
      </c>
      <c r="X1111" s="95" t="s">
        <v>912</v>
      </c>
      <c r="Y1111" s="72" t="s">
        <v>3035</v>
      </c>
      <c r="Z1111" s="72" t="s">
        <v>4</v>
      </c>
      <c r="AA1111" s="95" t="s">
        <v>912</v>
      </c>
      <c r="AB1111" s="132"/>
      <c r="AC1111" s="132"/>
      <c r="AD1111" s="132"/>
      <c r="AE1111" s="63"/>
      <c r="AF1111" s="63"/>
      <c r="AG1111" s="63"/>
    </row>
    <row r="1112" spans="1:33" ht="17.2" customHeight="1">
      <c r="A1112" s="64" t="str">
        <f>IF(priority(Main[[#This Row],[Comments]])&lt;&gt;0, priority(Main[[#This Row],[Comments]]),"")</f>
        <v/>
      </c>
      <c r="B1112" s="60" t="s">
        <v>1634</v>
      </c>
      <c r="C1112" s="72" t="s">
        <v>4</v>
      </c>
      <c r="D1112" s="59" t="s">
        <v>707</v>
      </c>
      <c r="E1112" s="85">
        <v>40634.328217592592</v>
      </c>
      <c r="F1112" s="85"/>
      <c r="G1112" s="64" t="str">
        <f>IF(stdProdLT(Main[[#This Row],[Comments]])=0.1,"N/A",IF(stdProdLT(Main[[#This Row],[Comments]])=0,"",TRIM(stdProdLT(Main[[#This Row],[Comments]]))))</f>
        <v/>
      </c>
      <c r="H1112" s="94" t="str">
        <f>IF(OR(Main[[#This Row],[Std. Prod. Lead Time]]="N/A",Main[[#This Row],[Std. Prod. Lead Time]]=""), "",IF(AND(Main[[#This Row],[In Stock Date]]&lt;&gt;"",Main[[#This Row],[Revised Due Date]]&lt;&gt;"",Main[[#This Row],[In Stock Date]]&lt;&gt;""),Main[[#This Row],[In Stock Date]]-Main[[#This Row],[Revised Due Date]],""))</f>
        <v/>
      </c>
      <c r="I1112" s="101" t="s">
        <v>912</v>
      </c>
      <c r="J1112" s="95" t="s">
        <v>4</v>
      </c>
      <c r="K1112" s="95" t="s">
        <v>4</v>
      </c>
      <c r="L1112" s="85"/>
      <c r="M1112" s="73" t="str">
        <f>IF(Main[[#This Row],[Tech Start Date]]&lt;1/1/1990,"",IF(Main[[#This Row],[Class]]="C",WORKDAY(Main[[#This Row],[Tech Start Date]],9),IF(Main[[#This Row],[Class]]="B", WORKDAY(Main[[#This Row],[Tech Start Date]],6),IF(Main[[#This Row],[Class]]="A",WORKDAY(Main[[#This Row],[Tech Start Date]],2),""))))</f>
        <v/>
      </c>
      <c r="N1112" s="73" t="str">
        <f>IF(Main[[#This Row],[Tech Start Date]]&lt;1/1/1990,"",IF(Main[[#This Row],[Class]]="C",WORKDAY(Main[[#This Row],[Tech Start Date]],19),IF(Main[[#This Row],[Class]]="B", WORKDAY(Main[[#This Row],[Tech Start Date]],12),IF(Main[[#This Row],[Class]]="A",WORKDAY(Main[[#This Row],[Tech Start Date]],4),""))))</f>
        <v/>
      </c>
      <c r="O1112" s="73" t="str">
        <f>IF(Main[[#This Row],[Tech Start Date]]&lt;1/1/1990,"",IF(Main[[#This Row],[Class]]="C",WORKDAY(Main[[#This Row],[Tech Start Date]],23),IF(Main[[#This Row],[Class]]="B", WORKDAY(Main[[#This Row],[Tech Start Date]],15),IF(Main[[#This Row],[Class]]="A",WORKDAY(Main[[#This Row],[Tech Start Date]],5),""))))</f>
        <v/>
      </c>
      <c r="P1112" s="73" t="str">
        <f>IF(Main[[#This Row],[Tech Start Date]]&lt;1/1/1990,"",IF(Main[[#This Row],[Class]]="C",WORKDAY(Main[[#This Row],[Tech Start Date]],28),IF(Main[[#This Row],[Class]]="B", WORKDAY(Main[[#This Row],[Tech Start Date]],19),IF(Main[[#This Row],[Class]]="A",WORKDAY(Main[[#This Row],[Tech Start Date]],9),""))))</f>
        <v/>
      </c>
      <c r="Q1112" s="85"/>
      <c r="R1112" s="112"/>
      <c r="S1112" s="95" t="s">
        <v>6</v>
      </c>
      <c r="T1112" s="74" t="s">
        <v>4</v>
      </c>
      <c r="U1112" s="95" t="s">
        <v>7</v>
      </c>
      <c r="V1112" s="95" t="s">
        <v>1911</v>
      </c>
      <c r="W1112" s="95" t="s">
        <v>1915</v>
      </c>
      <c r="X1112" s="95" t="s">
        <v>399</v>
      </c>
      <c r="Y1112" s="72" t="s">
        <v>4</v>
      </c>
      <c r="Z1112" s="72" t="s">
        <v>4</v>
      </c>
      <c r="AA1112" s="95" t="s">
        <v>3416</v>
      </c>
      <c r="AB1112" s="132"/>
      <c r="AC1112" s="132"/>
      <c r="AD1112" s="132"/>
      <c r="AE1112" s="63"/>
      <c r="AF1112" s="63"/>
      <c r="AG1112" s="63"/>
    </row>
    <row r="1113" spans="1:33" ht="17.2" customHeight="1">
      <c r="A1113" s="64" t="str">
        <f>IF(priority(Main[[#This Row],[Comments]])&lt;&gt;0, priority(Main[[#This Row],[Comments]]),"")</f>
        <v/>
      </c>
      <c r="B1113" s="60" t="s">
        <v>1833</v>
      </c>
      <c r="C1113" s="72" t="s">
        <v>4</v>
      </c>
      <c r="D1113" s="59" t="s">
        <v>890</v>
      </c>
      <c r="E1113" s="85">
        <v>40351.730219907404</v>
      </c>
      <c r="F1113" s="85"/>
      <c r="G1113" s="64" t="str">
        <f>IF(stdProdLT(Main[[#This Row],[Comments]])=0.1,"N/A",IF(stdProdLT(Main[[#This Row],[Comments]])=0,"",TRIM(stdProdLT(Main[[#This Row],[Comments]]))))</f>
        <v/>
      </c>
      <c r="H1113" s="94" t="str">
        <f>IF(OR(Main[[#This Row],[Std. Prod. Lead Time]]="N/A",Main[[#This Row],[Std. Prod. Lead Time]]=""), "",IF(AND(Main[[#This Row],[In Stock Date]]&lt;&gt;"",Main[[#This Row],[Revised Due Date]]&lt;&gt;"",Main[[#This Row],[In Stock Date]]&lt;&gt;""),Main[[#This Row],[In Stock Date]]-Main[[#This Row],[Revised Due Date]],""))</f>
        <v/>
      </c>
      <c r="I1113" s="101" t="s">
        <v>2047</v>
      </c>
      <c r="J1113" s="95" t="s">
        <v>28</v>
      </c>
      <c r="K1113" s="95" t="s">
        <v>1923</v>
      </c>
      <c r="L1113" s="85"/>
      <c r="M1113" s="73" t="str">
        <f>IF(Main[[#This Row],[Tech Start Date]]&lt;1/1/1990,"",IF(Main[[#This Row],[Class]]="C",WORKDAY(Main[[#This Row],[Tech Start Date]],9),IF(Main[[#This Row],[Class]]="B", WORKDAY(Main[[#This Row],[Tech Start Date]],6),IF(Main[[#This Row],[Class]]="A",WORKDAY(Main[[#This Row],[Tech Start Date]],2),""))))</f>
        <v/>
      </c>
      <c r="N1113" s="73" t="str">
        <f>IF(Main[[#This Row],[Tech Start Date]]&lt;1/1/1990,"",IF(Main[[#This Row],[Class]]="C",WORKDAY(Main[[#This Row],[Tech Start Date]],19),IF(Main[[#This Row],[Class]]="B", WORKDAY(Main[[#This Row],[Tech Start Date]],12),IF(Main[[#This Row],[Class]]="A",WORKDAY(Main[[#This Row],[Tech Start Date]],4),""))))</f>
        <v/>
      </c>
      <c r="O1113" s="73" t="str">
        <f>IF(Main[[#This Row],[Tech Start Date]]&lt;1/1/1990,"",IF(Main[[#This Row],[Class]]="C",WORKDAY(Main[[#This Row],[Tech Start Date]],23),IF(Main[[#This Row],[Class]]="B", WORKDAY(Main[[#This Row],[Tech Start Date]],15),IF(Main[[#This Row],[Class]]="A",WORKDAY(Main[[#This Row],[Tech Start Date]],5),""))))</f>
        <v/>
      </c>
      <c r="P1113" s="73" t="str">
        <f>IF(Main[[#This Row],[Tech Start Date]]&lt;1/1/1990,"",IF(Main[[#This Row],[Class]]="C",WORKDAY(Main[[#This Row],[Tech Start Date]],28),IF(Main[[#This Row],[Class]]="B", WORKDAY(Main[[#This Row],[Tech Start Date]],19),IF(Main[[#This Row],[Class]]="A",WORKDAY(Main[[#This Row],[Tech Start Date]],9),""))))</f>
        <v/>
      </c>
      <c r="Q1113" s="85">
        <v>40906</v>
      </c>
      <c r="R1113" s="112">
        <v>40436</v>
      </c>
      <c r="S1113" s="95" t="s">
        <v>17</v>
      </c>
      <c r="T1113" s="74" t="s">
        <v>4</v>
      </c>
      <c r="U1113" s="95" t="s">
        <v>29</v>
      </c>
      <c r="V1113" s="95" t="s">
        <v>1912</v>
      </c>
      <c r="W1113" s="95" t="s">
        <v>1916</v>
      </c>
      <c r="X1113" s="95" t="s">
        <v>2842</v>
      </c>
      <c r="Y1113" s="72" t="s">
        <v>2984</v>
      </c>
      <c r="Z1113" s="72" t="s">
        <v>108</v>
      </c>
      <c r="AA1113" s="95" t="s">
        <v>2842</v>
      </c>
      <c r="AB1113" s="132"/>
      <c r="AC1113" s="132"/>
      <c r="AD1113" s="132"/>
      <c r="AE1113" s="63"/>
      <c r="AF1113" s="63"/>
      <c r="AG1113" s="63"/>
    </row>
    <row r="1114" spans="1:33" ht="17.2" customHeight="1">
      <c r="A1114" s="64" t="str">
        <f>IF(priority(Main[[#This Row],[Comments]])&lt;&gt;0, priority(Main[[#This Row],[Comments]]),"")</f>
        <v/>
      </c>
      <c r="B1114" s="60" t="s">
        <v>3184</v>
      </c>
      <c r="C1114" s="72" t="s">
        <v>4</v>
      </c>
      <c r="D1114" s="59" t="s">
        <v>3590</v>
      </c>
      <c r="E1114" s="85">
        <v>40921.629143518519</v>
      </c>
      <c r="F1114" s="85"/>
      <c r="G1114" s="64" t="str">
        <f>IF(stdProdLT(Main[[#This Row],[Comments]])=0.1,"N/A",IF(stdProdLT(Main[[#This Row],[Comments]])=0,"",TRIM(stdProdLT(Main[[#This Row],[Comments]]))))</f>
        <v/>
      </c>
      <c r="H1114" s="94" t="str">
        <f>IF(OR(Main[[#This Row],[Std. Prod. Lead Time]]="N/A",Main[[#This Row],[Std. Prod. Lead Time]]=""), "",IF(AND(Main[[#This Row],[In Stock Date]]&lt;&gt;"",Main[[#This Row],[Revised Due Date]]&lt;&gt;"",Main[[#This Row],[In Stock Date]]&lt;&gt;""),Main[[#This Row],[In Stock Date]]-Main[[#This Row],[Revised Due Date]],""))</f>
        <v/>
      </c>
      <c r="I1114" s="101" t="s">
        <v>2045</v>
      </c>
      <c r="J1114" s="95" t="s">
        <v>28</v>
      </c>
      <c r="K1114" s="95" t="s">
        <v>1920</v>
      </c>
      <c r="L1114" s="85"/>
      <c r="M1114" s="73" t="str">
        <f>IF(Main[[#This Row],[Tech Start Date]]&lt;1/1/1990,"",IF(Main[[#This Row],[Class]]="C",WORKDAY(Main[[#This Row],[Tech Start Date]],9),IF(Main[[#This Row],[Class]]="B", WORKDAY(Main[[#This Row],[Tech Start Date]],6),IF(Main[[#This Row],[Class]]="A",WORKDAY(Main[[#This Row],[Tech Start Date]],2),""))))</f>
        <v/>
      </c>
      <c r="N1114" s="73" t="str">
        <f>IF(Main[[#This Row],[Tech Start Date]]&lt;1/1/1990,"",IF(Main[[#This Row],[Class]]="C",WORKDAY(Main[[#This Row],[Tech Start Date]],19),IF(Main[[#This Row],[Class]]="B", WORKDAY(Main[[#This Row],[Tech Start Date]],12),IF(Main[[#This Row],[Class]]="A",WORKDAY(Main[[#This Row],[Tech Start Date]],4),""))))</f>
        <v/>
      </c>
      <c r="O1114" s="73" t="str">
        <f>IF(Main[[#This Row],[Tech Start Date]]&lt;1/1/1990,"",IF(Main[[#This Row],[Class]]="C",WORKDAY(Main[[#This Row],[Tech Start Date]],23),IF(Main[[#This Row],[Class]]="B", WORKDAY(Main[[#This Row],[Tech Start Date]],15),IF(Main[[#This Row],[Class]]="A",WORKDAY(Main[[#This Row],[Tech Start Date]],5),""))))</f>
        <v/>
      </c>
      <c r="P1114" s="73" t="str">
        <f>IF(Main[[#This Row],[Tech Start Date]]&lt;1/1/1990,"",IF(Main[[#This Row],[Class]]="C",WORKDAY(Main[[#This Row],[Tech Start Date]],28),IF(Main[[#This Row],[Class]]="B", WORKDAY(Main[[#This Row],[Tech Start Date]],19),IF(Main[[#This Row],[Class]]="A",WORKDAY(Main[[#This Row],[Tech Start Date]],9),""))))</f>
        <v/>
      </c>
      <c r="Q1114" s="85"/>
      <c r="R1114" s="112"/>
      <c r="S1114" s="95" t="s">
        <v>6</v>
      </c>
      <c r="T1114" s="74" t="s">
        <v>4</v>
      </c>
      <c r="U1114" s="95" t="s">
        <v>29</v>
      </c>
      <c r="V1114" s="95" t="s">
        <v>1921</v>
      </c>
      <c r="W1114" s="95" t="s">
        <v>1915</v>
      </c>
      <c r="X1114" s="95" t="s">
        <v>306</v>
      </c>
      <c r="Y1114" s="72" t="s">
        <v>4</v>
      </c>
      <c r="Z1114" s="72" t="s">
        <v>30</v>
      </c>
      <c r="AA1114" s="95" t="s">
        <v>4</v>
      </c>
      <c r="AB1114" s="132"/>
      <c r="AC1114" s="132"/>
      <c r="AD1114" s="132"/>
      <c r="AE1114" s="63"/>
      <c r="AF1114" s="63"/>
      <c r="AG1114" s="63"/>
    </row>
    <row r="1115" spans="1:33" ht="17.2" customHeight="1">
      <c r="A1115" s="64" t="str">
        <f>IF(priority(Main[[#This Row],[Comments]])&lt;&gt;0, priority(Main[[#This Row],[Comments]]),"")</f>
        <v/>
      </c>
      <c r="B1115" s="60" t="s">
        <v>2396</v>
      </c>
      <c r="C1115" s="72" t="s">
        <v>4</v>
      </c>
      <c r="D1115" s="59" t="s">
        <v>2397</v>
      </c>
      <c r="E1115" s="85">
        <v>40820.81591435185</v>
      </c>
      <c r="F1115" s="85"/>
      <c r="G1115" s="64" t="str">
        <f>IF(stdProdLT(Main[[#This Row],[Comments]])=0.1,"N/A",IF(stdProdLT(Main[[#This Row],[Comments]])=0,"",TRIM(stdProdLT(Main[[#This Row],[Comments]]))))</f>
        <v/>
      </c>
      <c r="H1115" s="94" t="str">
        <f>IF(OR(Main[[#This Row],[Std. Prod. Lead Time]]="N/A",Main[[#This Row],[Std. Prod. Lead Time]]=""), "",IF(AND(Main[[#This Row],[In Stock Date]]&lt;&gt;"",Main[[#This Row],[Revised Due Date]]&lt;&gt;"",Main[[#This Row],[In Stock Date]]&lt;&gt;""),Main[[#This Row],[In Stock Date]]-Main[[#This Row],[Revised Due Date]],""))</f>
        <v/>
      </c>
      <c r="I1115" s="101" t="s">
        <v>239</v>
      </c>
      <c r="J1115" s="95" t="s">
        <v>28</v>
      </c>
      <c r="K1115" s="95" t="s">
        <v>1920</v>
      </c>
      <c r="L1115" s="85"/>
      <c r="M1115" s="73" t="str">
        <f>IF(Main[[#This Row],[Tech Start Date]]&lt;1/1/1990,"",IF(Main[[#This Row],[Class]]="C",WORKDAY(Main[[#This Row],[Tech Start Date]],9),IF(Main[[#This Row],[Class]]="B", WORKDAY(Main[[#This Row],[Tech Start Date]],6),IF(Main[[#This Row],[Class]]="A",WORKDAY(Main[[#This Row],[Tech Start Date]],2),""))))</f>
        <v/>
      </c>
      <c r="N1115" s="73" t="str">
        <f>IF(Main[[#This Row],[Tech Start Date]]&lt;1/1/1990,"",IF(Main[[#This Row],[Class]]="C",WORKDAY(Main[[#This Row],[Tech Start Date]],19),IF(Main[[#This Row],[Class]]="B", WORKDAY(Main[[#This Row],[Tech Start Date]],12),IF(Main[[#This Row],[Class]]="A",WORKDAY(Main[[#This Row],[Tech Start Date]],4),""))))</f>
        <v/>
      </c>
      <c r="O1115" s="73" t="str">
        <f>IF(Main[[#This Row],[Tech Start Date]]&lt;1/1/1990,"",IF(Main[[#This Row],[Class]]="C",WORKDAY(Main[[#This Row],[Tech Start Date]],23),IF(Main[[#This Row],[Class]]="B", WORKDAY(Main[[#This Row],[Tech Start Date]],15),IF(Main[[#This Row],[Class]]="A",WORKDAY(Main[[#This Row],[Tech Start Date]],5),""))))</f>
        <v/>
      </c>
      <c r="P1115" s="73" t="str">
        <f>IF(Main[[#This Row],[Tech Start Date]]&lt;1/1/1990,"",IF(Main[[#This Row],[Class]]="C",WORKDAY(Main[[#This Row],[Tech Start Date]],28),IF(Main[[#This Row],[Class]]="B", WORKDAY(Main[[#This Row],[Tech Start Date]],19),IF(Main[[#This Row],[Class]]="A",WORKDAY(Main[[#This Row],[Tech Start Date]],9),""))))</f>
        <v/>
      </c>
      <c r="Q1115" s="85">
        <v>40847</v>
      </c>
      <c r="R1115" s="112"/>
      <c r="S1115" s="95" t="s">
        <v>6</v>
      </c>
      <c r="T1115" s="74" t="s">
        <v>4</v>
      </c>
      <c r="U1115" s="95" t="s">
        <v>29</v>
      </c>
      <c r="V1115" s="95" t="s">
        <v>1914</v>
      </c>
      <c r="W1115" s="95" t="s">
        <v>1915</v>
      </c>
      <c r="X1115" s="95" t="s">
        <v>30</v>
      </c>
      <c r="Y1115" s="72" t="s">
        <v>2918</v>
      </c>
      <c r="Z1115" s="72" t="s">
        <v>30</v>
      </c>
      <c r="AA1115" s="95" t="s">
        <v>30</v>
      </c>
      <c r="AB1115" s="132"/>
      <c r="AC1115" s="132"/>
      <c r="AD1115" s="132"/>
      <c r="AE1115" s="63"/>
      <c r="AF1115" s="63"/>
      <c r="AG1115" s="63"/>
    </row>
    <row r="1116" spans="1:33" ht="17.2" customHeight="1">
      <c r="A1116" s="64" t="str">
        <f>IF(priority(Main[[#This Row],[Comments]])&lt;&gt;0, priority(Main[[#This Row],[Comments]]),"")</f>
        <v/>
      </c>
      <c r="B1116" s="60" t="s">
        <v>3593</v>
      </c>
      <c r="C1116" s="72" t="s">
        <v>3544</v>
      </c>
      <c r="D1116" s="59" t="s">
        <v>3545</v>
      </c>
      <c r="E1116" s="85"/>
      <c r="F1116" s="85">
        <v>40982</v>
      </c>
      <c r="G1116" s="64" t="str">
        <f>IF(stdProdLT(Main[[#This Row],[Comments]])=0.1,"N/A",IF(stdProdLT(Main[[#This Row],[Comments]])=0,"",TRIM(stdProdLT(Main[[#This Row],[Comments]]))))</f>
        <v/>
      </c>
      <c r="H1116" s="94" t="str">
        <f>IF(OR(Main[[#This Row],[Std. Prod. Lead Time]]="N/A",Main[[#This Row],[Std. Prod. Lead Time]]=""), "",IF(AND(Main[[#This Row],[In Stock Date]]&lt;&gt;"",Main[[#This Row],[Revised Due Date]]&lt;&gt;"",Main[[#This Row],[In Stock Date]]&lt;&gt;""),Main[[#This Row],[In Stock Date]]-Main[[#This Row],[Revised Due Date]],""))</f>
        <v/>
      </c>
      <c r="I1116" s="101" t="s">
        <v>4</v>
      </c>
      <c r="J1116" s="95" t="s">
        <v>4</v>
      </c>
      <c r="K1116" s="95" t="s">
        <v>4</v>
      </c>
      <c r="L1116" s="85"/>
      <c r="M1116" s="73" t="str">
        <f>IF(Main[[#This Row],[Tech Start Date]]&lt;1/1/1990,"",IF(Main[[#This Row],[Class]]="C",WORKDAY(Main[[#This Row],[Tech Start Date]],9),IF(Main[[#This Row],[Class]]="B", WORKDAY(Main[[#This Row],[Tech Start Date]],6),IF(Main[[#This Row],[Class]]="A",WORKDAY(Main[[#This Row],[Tech Start Date]],2),""))))</f>
        <v/>
      </c>
      <c r="N1116" s="73" t="str">
        <f>IF(Main[[#This Row],[Tech Start Date]]&lt;1/1/1990,"",IF(Main[[#This Row],[Class]]="C",WORKDAY(Main[[#This Row],[Tech Start Date]],19),IF(Main[[#This Row],[Class]]="B", WORKDAY(Main[[#This Row],[Tech Start Date]],12),IF(Main[[#This Row],[Class]]="A",WORKDAY(Main[[#This Row],[Tech Start Date]],4),""))))</f>
        <v/>
      </c>
      <c r="O1116" s="73" t="str">
        <f>IF(Main[[#This Row],[Tech Start Date]]&lt;1/1/1990,"",IF(Main[[#This Row],[Class]]="C",WORKDAY(Main[[#This Row],[Tech Start Date]],23),IF(Main[[#This Row],[Class]]="B", WORKDAY(Main[[#This Row],[Tech Start Date]],15),IF(Main[[#This Row],[Class]]="A",WORKDAY(Main[[#This Row],[Tech Start Date]],5),""))))</f>
        <v/>
      </c>
      <c r="P1116" s="73" t="str">
        <f>IF(Main[[#This Row],[Tech Start Date]]&lt;1/1/1990,"",IF(Main[[#This Row],[Class]]="C",WORKDAY(Main[[#This Row],[Tech Start Date]],28),IF(Main[[#This Row],[Class]]="B", WORKDAY(Main[[#This Row],[Tech Start Date]],19),IF(Main[[#This Row],[Class]]="A",WORKDAY(Main[[#This Row],[Tech Start Date]],9),""))))</f>
        <v/>
      </c>
      <c r="Q1116" s="85"/>
      <c r="R1116" s="112"/>
      <c r="S1116" s="95" t="s">
        <v>11</v>
      </c>
      <c r="T1116" s="74" t="s">
        <v>4</v>
      </c>
      <c r="U1116" s="95" t="s">
        <v>12</v>
      </c>
      <c r="V1116" s="95" t="s">
        <v>1914</v>
      </c>
      <c r="W1116" s="95" t="s">
        <v>1916</v>
      </c>
      <c r="X1116" s="95" t="s">
        <v>2814</v>
      </c>
      <c r="Y1116" s="72" t="s">
        <v>3536</v>
      </c>
      <c r="Z1116" s="72" t="s">
        <v>4</v>
      </c>
      <c r="AA1116" s="95" t="s">
        <v>2814</v>
      </c>
      <c r="AB1116" s="132"/>
      <c r="AC1116" s="132"/>
      <c r="AD1116" s="132"/>
      <c r="AE1116" s="63"/>
      <c r="AF1116" s="63"/>
      <c r="AG1116" s="63"/>
    </row>
    <row r="1117" spans="1:33" ht="17.2" customHeight="1">
      <c r="A1117" s="64" t="str">
        <f>IF(priority(Main[[#This Row],[Comments]])&lt;&gt;0, priority(Main[[#This Row],[Comments]]),"")</f>
        <v/>
      </c>
      <c r="B1117" s="60" t="s">
        <v>3555</v>
      </c>
      <c r="C1117" s="72" t="s">
        <v>4</v>
      </c>
      <c r="D1117" s="59" t="s">
        <v>3556</v>
      </c>
      <c r="E1117" s="85"/>
      <c r="F1117" s="85"/>
      <c r="G1117" s="64" t="str">
        <f>IF(stdProdLT(Main[[#This Row],[Comments]])=0.1,"N/A",IF(stdProdLT(Main[[#This Row],[Comments]])=0,"",TRIM(stdProdLT(Main[[#This Row],[Comments]]))))</f>
        <v/>
      </c>
      <c r="H1117" s="94" t="str">
        <f>IF(OR(Main[[#This Row],[Std. Prod. Lead Time]]="N/A",Main[[#This Row],[Std. Prod. Lead Time]]=""), "",IF(AND(Main[[#This Row],[In Stock Date]]&lt;&gt;"",Main[[#This Row],[Revised Due Date]]&lt;&gt;"",Main[[#This Row],[In Stock Date]]&lt;&gt;""),Main[[#This Row],[In Stock Date]]-Main[[#This Row],[Revised Due Date]],""))</f>
        <v/>
      </c>
      <c r="I1117" s="101" t="s">
        <v>2038</v>
      </c>
      <c r="J1117" s="95" t="s">
        <v>28</v>
      </c>
      <c r="K1117" s="95" t="s">
        <v>1920</v>
      </c>
      <c r="L1117" s="85"/>
      <c r="M1117" s="73" t="str">
        <f>IF(Main[[#This Row],[Tech Start Date]]&lt;1/1/1990,"",IF(Main[[#This Row],[Class]]="C",WORKDAY(Main[[#This Row],[Tech Start Date]],9),IF(Main[[#This Row],[Class]]="B", WORKDAY(Main[[#This Row],[Tech Start Date]],6),IF(Main[[#This Row],[Class]]="A",WORKDAY(Main[[#This Row],[Tech Start Date]],2),""))))</f>
        <v/>
      </c>
      <c r="N1117" s="73" t="str">
        <f>IF(Main[[#This Row],[Tech Start Date]]&lt;1/1/1990,"",IF(Main[[#This Row],[Class]]="C",WORKDAY(Main[[#This Row],[Tech Start Date]],19),IF(Main[[#This Row],[Class]]="B", WORKDAY(Main[[#This Row],[Tech Start Date]],12),IF(Main[[#This Row],[Class]]="A",WORKDAY(Main[[#This Row],[Tech Start Date]],4),""))))</f>
        <v/>
      </c>
      <c r="O1117" s="73" t="str">
        <f>IF(Main[[#This Row],[Tech Start Date]]&lt;1/1/1990,"",IF(Main[[#This Row],[Class]]="C",WORKDAY(Main[[#This Row],[Tech Start Date]],23),IF(Main[[#This Row],[Class]]="B", WORKDAY(Main[[#This Row],[Tech Start Date]],15),IF(Main[[#This Row],[Class]]="A",WORKDAY(Main[[#This Row],[Tech Start Date]],5),""))))</f>
        <v/>
      </c>
      <c r="P1117" s="73" t="str">
        <f>IF(Main[[#This Row],[Tech Start Date]]&lt;1/1/1990,"",IF(Main[[#This Row],[Class]]="C",WORKDAY(Main[[#This Row],[Tech Start Date]],28),IF(Main[[#This Row],[Class]]="B", WORKDAY(Main[[#This Row],[Tech Start Date]],19),IF(Main[[#This Row],[Class]]="A",WORKDAY(Main[[#This Row],[Tech Start Date]],9),""))))</f>
        <v/>
      </c>
      <c r="Q1117" s="85">
        <v>40964</v>
      </c>
      <c r="R1117" s="112"/>
      <c r="S1117" s="95" t="s">
        <v>6</v>
      </c>
      <c r="T1117" s="74" t="s">
        <v>4</v>
      </c>
      <c r="U1117" s="95" t="s">
        <v>14</v>
      </c>
      <c r="V1117" s="95" t="s">
        <v>1921</v>
      </c>
      <c r="W1117" s="95" t="s">
        <v>1915</v>
      </c>
      <c r="X1117" s="95" t="s">
        <v>2038</v>
      </c>
      <c r="Y1117" s="72" t="s">
        <v>3134</v>
      </c>
      <c r="Z1117" s="72" t="s">
        <v>30</v>
      </c>
      <c r="AA1117" s="95" t="s">
        <v>2038</v>
      </c>
      <c r="AB1117" s="132"/>
      <c r="AC1117" s="132"/>
      <c r="AD1117" s="132"/>
      <c r="AE1117" s="63"/>
      <c r="AF1117" s="63"/>
      <c r="AG1117" s="63"/>
    </row>
    <row r="1118" spans="1:33" ht="17.2" customHeight="1">
      <c r="A1118" s="64" t="str">
        <f>IF(priority(Main[[#This Row],[Comments]])&lt;&gt;0, priority(Main[[#This Row],[Comments]]),"")</f>
        <v/>
      </c>
      <c r="B1118" s="60" t="s">
        <v>3591</v>
      </c>
      <c r="C1118" s="72" t="s">
        <v>4</v>
      </c>
      <c r="D1118" s="59" t="s">
        <v>3592</v>
      </c>
      <c r="E1118" s="85">
        <v>40962.575243055559</v>
      </c>
      <c r="F1118" s="85"/>
      <c r="G1118" s="64" t="str">
        <f>IF(stdProdLT(Main[[#This Row],[Comments]])=0.1,"N/A",IF(stdProdLT(Main[[#This Row],[Comments]])=0,"",TRIM(stdProdLT(Main[[#This Row],[Comments]]))))</f>
        <v/>
      </c>
      <c r="H1118" s="94" t="str">
        <f>IF(OR(Main[[#This Row],[Std. Prod. Lead Time]]="N/A",Main[[#This Row],[Std. Prod. Lead Time]]=""), "",IF(AND(Main[[#This Row],[In Stock Date]]&lt;&gt;"",Main[[#This Row],[Revised Due Date]]&lt;&gt;"",Main[[#This Row],[In Stock Date]]&lt;&gt;""),Main[[#This Row],[In Stock Date]]-Main[[#This Row],[Revised Due Date]],""))</f>
        <v/>
      </c>
      <c r="I1118" s="101" t="s">
        <v>2045</v>
      </c>
      <c r="J1118" s="95" t="s">
        <v>28</v>
      </c>
      <c r="K1118" s="95" t="s">
        <v>4</v>
      </c>
      <c r="L1118" s="85"/>
      <c r="M1118" s="73" t="str">
        <f>IF(Main[[#This Row],[Tech Start Date]]&lt;1/1/1990,"",IF(Main[[#This Row],[Class]]="C",WORKDAY(Main[[#This Row],[Tech Start Date]],9),IF(Main[[#This Row],[Class]]="B", WORKDAY(Main[[#This Row],[Tech Start Date]],6),IF(Main[[#This Row],[Class]]="A",WORKDAY(Main[[#This Row],[Tech Start Date]],2),""))))</f>
        <v/>
      </c>
      <c r="N1118" s="73" t="str">
        <f>IF(Main[[#This Row],[Tech Start Date]]&lt;1/1/1990,"",IF(Main[[#This Row],[Class]]="C",WORKDAY(Main[[#This Row],[Tech Start Date]],19),IF(Main[[#This Row],[Class]]="B", WORKDAY(Main[[#This Row],[Tech Start Date]],12),IF(Main[[#This Row],[Class]]="A",WORKDAY(Main[[#This Row],[Tech Start Date]],4),""))))</f>
        <v/>
      </c>
      <c r="O1118" s="73" t="str">
        <f>IF(Main[[#This Row],[Tech Start Date]]&lt;1/1/1990,"",IF(Main[[#This Row],[Class]]="C",WORKDAY(Main[[#This Row],[Tech Start Date]],23),IF(Main[[#This Row],[Class]]="B", WORKDAY(Main[[#This Row],[Tech Start Date]],15),IF(Main[[#This Row],[Class]]="A",WORKDAY(Main[[#This Row],[Tech Start Date]],5),""))))</f>
        <v/>
      </c>
      <c r="P1118" s="73" t="str">
        <f>IF(Main[[#This Row],[Tech Start Date]]&lt;1/1/1990,"",IF(Main[[#This Row],[Class]]="C",WORKDAY(Main[[#This Row],[Tech Start Date]],28),IF(Main[[#This Row],[Class]]="B", WORKDAY(Main[[#This Row],[Tech Start Date]],19),IF(Main[[#This Row],[Class]]="A",WORKDAY(Main[[#This Row],[Tech Start Date]],9),""))))</f>
        <v/>
      </c>
      <c r="Q1118" s="85">
        <v>40998</v>
      </c>
      <c r="R1118" s="112"/>
      <c r="S1118" s="95" t="s">
        <v>6</v>
      </c>
      <c r="T1118" s="74" t="s">
        <v>4</v>
      </c>
      <c r="U1118" s="95" t="s">
        <v>29</v>
      </c>
      <c r="V1118" s="95" t="s">
        <v>1921</v>
      </c>
      <c r="W1118" s="95" t="s">
        <v>1915</v>
      </c>
      <c r="X1118" s="95" t="s">
        <v>2798</v>
      </c>
      <c r="Y1118" s="72" t="s">
        <v>2908</v>
      </c>
      <c r="Z1118" s="72" t="s">
        <v>30</v>
      </c>
      <c r="AA1118" s="95" t="s">
        <v>2798</v>
      </c>
      <c r="AB1118" s="132"/>
      <c r="AC1118" s="132"/>
      <c r="AD1118" s="132"/>
      <c r="AE1118" s="63"/>
      <c r="AF1118" s="63"/>
      <c r="AG1118" s="63"/>
    </row>
    <row r="1119" spans="1:33" ht="17.2" customHeight="1">
      <c r="A1119" s="64" t="str">
        <f>IF(priority(Main[[#This Row],[Comments]])&lt;&gt;0, priority(Main[[#This Row],[Comments]]),"")</f>
        <v/>
      </c>
      <c r="B1119" s="60" t="s">
        <v>1865</v>
      </c>
      <c r="C1119" s="72" t="s">
        <v>4</v>
      </c>
      <c r="D1119" s="59" t="s">
        <v>924</v>
      </c>
      <c r="E1119" s="85">
        <v>39968.4141087963</v>
      </c>
      <c r="F1119" s="85">
        <v>40298</v>
      </c>
      <c r="G1119" s="64" t="str">
        <f>IF(stdProdLT(Main[[#This Row],[Comments]])=0.1,"N/A",IF(stdProdLT(Main[[#This Row],[Comments]])=0,"",TRIM(stdProdLT(Main[[#This Row],[Comments]]))))</f>
        <v/>
      </c>
      <c r="H1119" s="94" t="str">
        <f>IF(OR(Main[[#This Row],[Std. Prod. Lead Time]]="N/A",Main[[#This Row],[Std. Prod. Lead Time]]=""), "",IF(AND(Main[[#This Row],[In Stock Date]]&lt;&gt;"",Main[[#This Row],[Revised Due Date]]&lt;&gt;"",Main[[#This Row],[In Stock Date]]&lt;&gt;""),Main[[#This Row],[In Stock Date]]-Main[[#This Row],[Revised Due Date]],""))</f>
        <v/>
      </c>
      <c r="I1119" s="101" t="s">
        <v>974</v>
      </c>
      <c r="J1119" s="95" t="s">
        <v>4</v>
      </c>
      <c r="K1119" s="95" t="s">
        <v>1923</v>
      </c>
      <c r="L1119" s="85"/>
      <c r="M1119" s="73" t="str">
        <f>IF(Main[[#This Row],[Tech Start Date]]&lt;1/1/1990,"",IF(Main[[#This Row],[Class]]="C",WORKDAY(Main[[#This Row],[Tech Start Date]],9),IF(Main[[#This Row],[Class]]="B", WORKDAY(Main[[#This Row],[Tech Start Date]],6),IF(Main[[#This Row],[Class]]="A",WORKDAY(Main[[#This Row],[Tech Start Date]],2),""))))</f>
        <v/>
      </c>
      <c r="N1119" s="73" t="str">
        <f>IF(Main[[#This Row],[Tech Start Date]]&lt;1/1/1990,"",IF(Main[[#This Row],[Class]]="C",WORKDAY(Main[[#This Row],[Tech Start Date]],19),IF(Main[[#This Row],[Class]]="B", WORKDAY(Main[[#This Row],[Tech Start Date]],12),IF(Main[[#This Row],[Class]]="A",WORKDAY(Main[[#This Row],[Tech Start Date]],4),""))))</f>
        <v/>
      </c>
      <c r="O1119" s="73" t="str">
        <f>IF(Main[[#This Row],[Tech Start Date]]&lt;1/1/1990,"",IF(Main[[#This Row],[Class]]="C",WORKDAY(Main[[#This Row],[Tech Start Date]],23),IF(Main[[#This Row],[Class]]="B", WORKDAY(Main[[#This Row],[Tech Start Date]],15),IF(Main[[#This Row],[Class]]="A",WORKDAY(Main[[#This Row],[Tech Start Date]],5),""))))</f>
        <v/>
      </c>
      <c r="P1119" s="73" t="str">
        <f>IF(Main[[#This Row],[Tech Start Date]]&lt;1/1/1990,"",IF(Main[[#This Row],[Class]]="C",WORKDAY(Main[[#This Row],[Tech Start Date]],28),IF(Main[[#This Row],[Class]]="B", WORKDAY(Main[[#This Row],[Tech Start Date]],19),IF(Main[[#This Row],[Class]]="A",WORKDAY(Main[[#This Row],[Tech Start Date]],9),""))))</f>
        <v/>
      </c>
      <c r="Q1119" s="85">
        <v>40165</v>
      </c>
      <c r="R1119" s="112">
        <v>40995</v>
      </c>
      <c r="S1119" s="95" t="s">
        <v>17</v>
      </c>
      <c r="T1119" s="74" t="s">
        <v>4</v>
      </c>
      <c r="U1119" s="95" t="s">
        <v>29</v>
      </c>
      <c r="V1119" s="95" t="s">
        <v>1914</v>
      </c>
      <c r="W1119" s="95" t="s">
        <v>1919</v>
      </c>
      <c r="X1119" s="95" t="s">
        <v>968</v>
      </c>
      <c r="Y1119" s="72" t="s">
        <v>3093</v>
      </c>
      <c r="Z1119" s="72" t="s">
        <v>415</v>
      </c>
      <c r="AA1119" s="95" t="s">
        <v>968</v>
      </c>
      <c r="AB1119" s="132"/>
      <c r="AC1119" s="132"/>
      <c r="AD1119" s="132">
        <v>40235.424178240741</v>
      </c>
      <c r="AE1119" s="63"/>
      <c r="AF1119" s="63"/>
      <c r="AG1119" s="63"/>
    </row>
    <row r="1120" spans="1:33" ht="17.2" customHeight="1">
      <c r="A1120" s="64" t="str">
        <f>IF(priority(Main[[#This Row],[Comments]])&lt;&gt;0, priority(Main[[#This Row],[Comments]]),"")</f>
        <v/>
      </c>
      <c r="B1120" s="60" t="s">
        <v>2283</v>
      </c>
      <c r="C1120" s="72" t="s">
        <v>67</v>
      </c>
      <c r="D1120" s="59" t="s">
        <v>2279</v>
      </c>
      <c r="E1120" s="85">
        <v>40813.66920138889</v>
      </c>
      <c r="F1120" s="85">
        <v>41075</v>
      </c>
      <c r="G1120" s="64" t="str">
        <f>IF(stdProdLT(Main[[#This Row],[Comments]])=0.1,"N/A",IF(stdProdLT(Main[[#This Row],[Comments]])=0,"",TRIM(stdProdLT(Main[[#This Row],[Comments]]))))</f>
        <v/>
      </c>
      <c r="H1120" s="94" t="str">
        <f>IF(OR(Main[[#This Row],[Std. Prod. Lead Time]]="N/A",Main[[#This Row],[Std. Prod. Lead Time]]=""), "",IF(AND(Main[[#This Row],[In Stock Date]]&lt;&gt;"",Main[[#This Row],[Revised Due Date]]&lt;&gt;"",Main[[#This Row],[In Stock Date]]&lt;&gt;""),Main[[#This Row],[In Stock Date]]-Main[[#This Row],[Revised Due Date]],""))</f>
        <v/>
      </c>
      <c r="I1120" s="101" t="s">
        <v>239</v>
      </c>
      <c r="J1120" s="95" t="s">
        <v>28</v>
      </c>
      <c r="K1120" s="95" t="s">
        <v>1923</v>
      </c>
      <c r="L1120" s="85"/>
      <c r="M1120" s="73" t="str">
        <f>IF(Main[[#This Row],[Tech Start Date]]&lt;1/1/1990,"",IF(Main[[#This Row],[Class]]="C",WORKDAY(Main[[#This Row],[Tech Start Date]],9),IF(Main[[#This Row],[Class]]="B", WORKDAY(Main[[#This Row],[Tech Start Date]],6),IF(Main[[#This Row],[Class]]="A",WORKDAY(Main[[#This Row],[Tech Start Date]],2),""))))</f>
        <v/>
      </c>
      <c r="N1120" s="73" t="str">
        <f>IF(Main[[#This Row],[Tech Start Date]]&lt;1/1/1990,"",IF(Main[[#This Row],[Class]]="C",WORKDAY(Main[[#This Row],[Tech Start Date]],19),IF(Main[[#This Row],[Class]]="B", WORKDAY(Main[[#This Row],[Tech Start Date]],12),IF(Main[[#This Row],[Class]]="A",WORKDAY(Main[[#This Row],[Tech Start Date]],4),""))))</f>
        <v/>
      </c>
      <c r="O1120" s="73" t="str">
        <f>IF(Main[[#This Row],[Tech Start Date]]&lt;1/1/1990,"",IF(Main[[#This Row],[Class]]="C",WORKDAY(Main[[#This Row],[Tech Start Date]],23),IF(Main[[#This Row],[Class]]="B", WORKDAY(Main[[#This Row],[Tech Start Date]],15),IF(Main[[#This Row],[Class]]="A",WORKDAY(Main[[#This Row],[Tech Start Date]],5),""))))</f>
        <v/>
      </c>
      <c r="P1120" s="73" t="str">
        <f>IF(Main[[#This Row],[Tech Start Date]]&lt;1/1/1990,"",IF(Main[[#This Row],[Class]]="C",WORKDAY(Main[[#This Row],[Tech Start Date]],28),IF(Main[[#This Row],[Class]]="B", WORKDAY(Main[[#This Row],[Tech Start Date]],19),IF(Main[[#This Row],[Class]]="A",WORKDAY(Main[[#This Row],[Tech Start Date]],9),""))))</f>
        <v/>
      </c>
      <c r="Q1120" s="85">
        <v>41258</v>
      </c>
      <c r="R1120" s="112"/>
      <c r="S1120" s="95" t="s">
        <v>17</v>
      </c>
      <c r="T1120" s="74" t="s">
        <v>4</v>
      </c>
      <c r="U1120" s="95" t="s">
        <v>29</v>
      </c>
      <c r="V1120" s="95" t="s">
        <v>1921</v>
      </c>
      <c r="W1120" s="95" t="s">
        <v>1922</v>
      </c>
      <c r="X1120" s="95" t="s">
        <v>553</v>
      </c>
      <c r="Y1120" s="72" t="s">
        <v>2930</v>
      </c>
      <c r="Z1120" s="72" t="s">
        <v>239</v>
      </c>
      <c r="AA1120" s="95" t="s">
        <v>553</v>
      </c>
      <c r="AB1120" s="132"/>
      <c r="AC1120" s="132"/>
      <c r="AD1120" s="132"/>
      <c r="AE1120" s="63"/>
      <c r="AF1120" s="63"/>
      <c r="AG1120" s="63"/>
    </row>
    <row r="1121" spans="1:33" ht="17.2" customHeight="1">
      <c r="A1121" s="64" t="str">
        <f>IF(priority(Main[[#This Row],[Comments]])&lt;&gt;0, priority(Main[[#This Row],[Comments]]),"")</f>
        <v/>
      </c>
      <c r="B1121" s="60" t="s">
        <v>2153</v>
      </c>
      <c r="C1121" s="72" t="s">
        <v>2154</v>
      </c>
      <c r="D1121" s="59" t="s">
        <v>2335</v>
      </c>
      <c r="E1121" s="85">
        <v>40781.400787037041</v>
      </c>
      <c r="F1121" s="85"/>
      <c r="G1121" s="64" t="str">
        <f>IF(stdProdLT(Main[[#This Row],[Comments]])=0.1,"N/A",IF(stdProdLT(Main[[#This Row],[Comments]])=0,"",TRIM(stdProdLT(Main[[#This Row],[Comments]]))))</f>
        <v/>
      </c>
      <c r="H1121" s="94" t="str">
        <f>IF(OR(Main[[#This Row],[Std. Prod. Lead Time]]="N/A",Main[[#This Row],[Std. Prod. Lead Time]]=""), "",IF(AND(Main[[#This Row],[In Stock Date]]&lt;&gt;"",Main[[#This Row],[Revised Due Date]]&lt;&gt;"",Main[[#This Row],[In Stock Date]]&lt;&gt;""),Main[[#This Row],[In Stock Date]]-Main[[#This Row],[Revised Due Date]],""))</f>
        <v/>
      </c>
      <c r="I1121" s="101" t="s">
        <v>4</v>
      </c>
      <c r="J1121" s="95" t="s">
        <v>28</v>
      </c>
      <c r="K1121" s="95" t="s">
        <v>1920</v>
      </c>
      <c r="L1121" s="85"/>
      <c r="M1121" s="73" t="str">
        <f>IF(Main[[#This Row],[Tech Start Date]]&lt;1/1/1990,"",IF(Main[[#This Row],[Class]]="C",WORKDAY(Main[[#This Row],[Tech Start Date]],9),IF(Main[[#This Row],[Class]]="B", WORKDAY(Main[[#This Row],[Tech Start Date]],6),IF(Main[[#This Row],[Class]]="A",WORKDAY(Main[[#This Row],[Tech Start Date]],2),""))))</f>
        <v/>
      </c>
      <c r="N1121" s="73" t="str">
        <f>IF(Main[[#This Row],[Tech Start Date]]&lt;1/1/1990,"",IF(Main[[#This Row],[Class]]="C",WORKDAY(Main[[#This Row],[Tech Start Date]],19),IF(Main[[#This Row],[Class]]="B", WORKDAY(Main[[#This Row],[Tech Start Date]],12),IF(Main[[#This Row],[Class]]="A",WORKDAY(Main[[#This Row],[Tech Start Date]],4),""))))</f>
        <v/>
      </c>
      <c r="O1121" s="73" t="str">
        <f>IF(Main[[#This Row],[Tech Start Date]]&lt;1/1/1990,"",IF(Main[[#This Row],[Class]]="C",WORKDAY(Main[[#This Row],[Tech Start Date]],23),IF(Main[[#This Row],[Class]]="B", WORKDAY(Main[[#This Row],[Tech Start Date]],15),IF(Main[[#This Row],[Class]]="A",WORKDAY(Main[[#This Row],[Tech Start Date]],5),""))))</f>
        <v/>
      </c>
      <c r="P1121" s="73" t="str">
        <f>IF(Main[[#This Row],[Tech Start Date]]&lt;1/1/1990,"",IF(Main[[#This Row],[Class]]="C",WORKDAY(Main[[#This Row],[Tech Start Date]],28),IF(Main[[#This Row],[Class]]="B", WORKDAY(Main[[#This Row],[Tech Start Date]],19),IF(Main[[#This Row],[Class]]="A",WORKDAY(Main[[#This Row],[Tech Start Date]],9),""))))</f>
        <v/>
      </c>
      <c r="Q1121" s="85">
        <v>40836</v>
      </c>
      <c r="R1121" s="112"/>
      <c r="S1121" s="95" t="s">
        <v>6</v>
      </c>
      <c r="T1121" s="74" t="s">
        <v>4</v>
      </c>
      <c r="U1121" s="95" t="s">
        <v>29</v>
      </c>
      <c r="V1121" s="95" t="s">
        <v>1914</v>
      </c>
      <c r="W1121" s="95" t="s">
        <v>1915</v>
      </c>
      <c r="X1121" s="95" t="s">
        <v>2816</v>
      </c>
      <c r="Y1121" s="72" t="s">
        <v>2943</v>
      </c>
      <c r="Z1121" s="72" t="s">
        <v>30</v>
      </c>
      <c r="AA1121" s="95" t="s">
        <v>2816</v>
      </c>
      <c r="AB1121" s="132"/>
      <c r="AC1121" s="132"/>
      <c r="AD1121" s="132"/>
      <c r="AE1121" s="63"/>
      <c r="AF1121" s="63"/>
      <c r="AG1121" s="63"/>
    </row>
    <row r="1122" spans="1:33" ht="17.2" customHeight="1">
      <c r="A1122" s="64" t="str">
        <f>IF(priority(Main[[#This Row],[Comments]])&lt;&gt;0, priority(Main[[#This Row],[Comments]]),"")</f>
        <v/>
      </c>
      <c r="B1122" s="60" t="s">
        <v>2731</v>
      </c>
      <c r="C1122" s="72" t="s">
        <v>4</v>
      </c>
      <c r="D1122" s="59" t="s">
        <v>2732</v>
      </c>
      <c r="E1122" s="85">
        <v>40883.642361111109</v>
      </c>
      <c r="F1122" s="85"/>
      <c r="G1122" s="64" t="str">
        <f>IF(stdProdLT(Main[[#This Row],[Comments]])=0.1,"N/A",IF(stdProdLT(Main[[#This Row],[Comments]])=0,"",TRIM(stdProdLT(Main[[#This Row],[Comments]]))))</f>
        <v/>
      </c>
      <c r="H1122" s="94" t="str">
        <f>IF(OR(Main[[#This Row],[Std. Prod. Lead Time]]="N/A",Main[[#This Row],[Std. Prod. Lead Time]]=""), "",IF(AND(Main[[#This Row],[In Stock Date]]&lt;&gt;"",Main[[#This Row],[Revised Due Date]]&lt;&gt;"",Main[[#This Row],[In Stock Date]]&lt;&gt;""),Main[[#This Row],[In Stock Date]]-Main[[#This Row],[Revised Due Date]],""))</f>
        <v/>
      </c>
      <c r="I1122" s="101" t="s">
        <v>74</v>
      </c>
      <c r="J1122" s="95" t="s">
        <v>4</v>
      </c>
      <c r="K1122" s="95" t="s">
        <v>1923</v>
      </c>
      <c r="L1122" s="85"/>
      <c r="M1122" s="73" t="str">
        <f>IF(Main[[#This Row],[Tech Start Date]]&lt;1/1/1990,"",IF(Main[[#This Row],[Class]]="C",WORKDAY(Main[[#This Row],[Tech Start Date]],9),IF(Main[[#This Row],[Class]]="B", WORKDAY(Main[[#This Row],[Tech Start Date]],6),IF(Main[[#This Row],[Class]]="A",WORKDAY(Main[[#This Row],[Tech Start Date]],2),""))))</f>
        <v/>
      </c>
      <c r="N1122" s="73" t="str">
        <f>IF(Main[[#This Row],[Tech Start Date]]&lt;1/1/1990,"",IF(Main[[#This Row],[Class]]="C",WORKDAY(Main[[#This Row],[Tech Start Date]],19),IF(Main[[#This Row],[Class]]="B", WORKDAY(Main[[#This Row],[Tech Start Date]],12),IF(Main[[#This Row],[Class]]="A",WORKDAY(Main[[#This Row],[Tech Start Date]],4),""))))</f>
        <v/>
      </c>
      <c r="O1122" s="73" t="str">
        <f>IF(Main[[#This Row],[Tech Start Date]]&lt;1/1/1990,"",IF(Main[[#This Row],[Class]]="C",WORKDAY(Main[[#This Row],[Tech Start Date]],23),IF(Main[[#This Row],[Class]]="B", WORKDAY(Main[[#This Row],[Tech Start Date]],15),IF(Main[[#This Row],[Class]]="A",WORKDAY(Main[[#This Row],[Tech Start Date]],5),""))))</f>
        <v/>
      </c>
      <c r="P1122" s="73" t="str">
        <f>IF(Main[[#This Row],[Tech Start Date]]&lt;1/1/1990,"",IF(Main[[#This Row],[Class]]="C",WORKDAY(Main[[#This Row],[Tech Start Date]],28),IF(Main[[#This Row],[Class]]="B", WORKDAY(Main[[#This Row],[Tech Start Date]],19),IF(Main[[#This Row],[Class]]="A",WORKDAY(Main[[#This Row],[Tech Start Date]],9),""))))</f>
        <v/>
      </c>
      <c r="Q1122" s="85"/>
      <c r="R1122" s="112"/>
      <c r="S1122" s="95" t="s">
        <v>17</v>
      </c>
      <c r="T1122" s="74" t="s">
        <v>4</v>
      </c>
      <c r="U1122" s="95" t="s">
        <v>29</v>
      </c>
      <c r="V1122" s="95" t="s">
        <v>1914</v>
      </c>
      <c r="W1122" s="95" t="s">
        <v>1916</v>
      </c>
      <c r="X1122" s="95" t="s">
        <v>415</v>
      </c>
      <c r="Y1122" s="72" t="s">
        <v>2953</v>
      </c>
      <c r="Z1122" s="72" t="s">
        <v>415</v>
      </c>
      <c r="AA1122" s="95" t="s">
        <v>415</v>
      </c>
      <c r="AB1122" s="132"/>
      <c r="AC1122" s="132"/>
      <c r="AD1122" s="132"/>
      <c r="AE1122" s="63"/>
      <c r="AF1122" s="63"/>
      <c r="AG1122" s="63"/>
    </row>
    <row r="1123" spans="1:33" ht="17.2" customHeight="1">
      <c r="A1123" s="64" t="str">
        <f>IF(priority(Main[[#This Row],[Comments]])&lt;&gt;0, priority(Main[[#This Row],[Comments]]),"")</f>
        <v/>
      </c>
      <c r="B1123" s="60" t="s">
        <v>2494</v>
      </c>
      <c r="C1123" s="72" t="s">
        <v>4</v>
      </c>
      <c r="D1123" s="59" t="s">
        <v>2495</v>
      </c>
      <c r="E1123" s="85">
        <v>40849.455775462964</v>
      </c>
      <c r="F1123" s="85"/>
      <c r="G1123" s="64" t="str">
        <f>IF(stdProdLT(Main[[#This Row],[Comments]])=0.1,"N/A",IF(stdProdLT(Main[[#This Row],[Comments]])=0,"",TRIM(stdProdLT(Main[[#This Row],[Comments]]))))</f>
        <v/>
      </c>
      <c r="H1123" s="94" t="str">
        <f>IF(OR(Main[[#This Row],[Std. Prod. Lead Time]]="N/A",Main[[#This Row],[Std. Prod. Lead Time]]=""), "",IF(AND(Main[[#This Row],[In Stock Date]]&lt;&gt;"",Main[[#This Row],[Revised Due Date]]&lt;&gt;"",Main[[#This Row],[In Stock Date]]&lt;&gt;""),Main[[#This Row],[In Stock Date]]-Main[[#This Row],[Revised Due Date]],""))</f>
        <v/>
      </c>
      <c r="I1123" s="101" t="s">
        <v>69</v>
      </c>
      <c r="J1123" s="95" t="s">
        <v>70</v>
      </c>
      <c r="K1123" s="95" t="s">
        <v>1920</v>
      </c>
      <c r="L1123" s="85"/>
      <c r="M1123" s="73" t="str">
        <f>IF(Main[[#This Row],[Tech Start Date]]&lt;1/1/1990,"",IF(Main[[#This Row],[Class]]="C",WORKDAY(Main[[#This Row],[Tech Start Date]],9),IF(Main[[#This Row],[Class]]="B", WORKDAY(Main[[#This Row],[Tech Start Date]],6),IF(Main[[#This Row],[Class]]="A",WORKDAY(Main[[#This Row],[Tech Start Date]],2),""))))</f>
        <v/>
      </c>
      <c r="N1123" s="73" t="str">
        <f>IF(Main[[#This Row],[Tech Start Date]]&lt;1/1/1990,"",IF(Main[[#This Row],[Class]]="C",WORKDAY(Main[[#This Row],[Tech Start Date]],19),IF(Main[[#This Row],[Class]]="B", WORKDAY(Main[[#This Row],[Tech Start Date]],12),IF(Main[[#This Row],[Class]]="A",WORKDAY(Main[[#This Row],[Tech Start Date]],4),""))))</f>
        <v/>
      </c>
      <c r="O1123" s="73" t="str">
        <f>IF(Main[[#This Row],[Tech Start Date]]&lt;1/1/1990,"",IF(Main[[#This Row],[Class]]="C",WORKDAY(Main[[#This Row],[Tech Start Date]],23),IF(Main[[#This Row],[Class]]="B", WORKDAY(Main[[#This Row],[Tech Start Date]],15),IF(Main[[#This Row],[Class]]="A",WORKDAY(Main[[#This Row],[Tech Start Date]],5),""))))</f>
        <v/>
      </c>
      <c r="P1123" s="73" t="str">
        <f>IF(Main[[#This Row],[Tech Start Date]]&lt;1/1/1990,"",IF(Main[[#This Row],[Class]]="C",WORKDAY(Main[[#This Row],[Tech Start Date]],28),IF(Main[[#This Row],[Class]]="B", WORKDAY(Main[[#This Row],[Tech Start Date]],19),IF(Main[[#This Row],[Class]]="A",WORKDAY(Main[[#This Row],[Tech Start Date]],9),""))))</f>
        <v/>
      </c>
      <c r="Q1123" s="85">
        <v>40879</v>
      </c>
      <c r="R1123" s="112"/>
      <c r="S1123" s="95" t="s">
        <v>6</v>
      </c>
      <c r="T1123" s="74" t="s">
        <v>4</v>
      </c>
      <c r="U1123" s="95" t="s">
        <v>29</v>
      </c>
      <c r="V1123" s="95" t="s">
        <v>1914</v>
      </c>
      <c r="W1123" s="95" t="s">
        <v>1915</v>
      </c>
      <c r="X1123" s="95" t="s">
        <v>2883</v>
      </c>
      <c r="Y1123" s="72" t="s">
        <v>3061</v>
      </c>
      <c r="Z1123" s="72" t="s">
        <v>30</v>
      </c>
      <c r="AA1123" s="95" t="s">
        <v>2883</v>
      </c>
      <c r="AB1123" s="132"/>
      <c r="AC1123" s="132"/>
      <c r="AD1123" s="132"/>
      <c r="AE1123" s="63"/>
      <c r="AF1123" s="63"/>
      <c r="AG1123" s="63"/>
    </row>
    <row r="1124" spans="1:33" ht="17.2" customHeight="1">
      <c r="A1124" s="64" t="str">
        <f>IF(priority(Main[[#This Row],[Comments]])&lt;&gt;0, priority(Main[[#This Row],[Comments]]),"")</f>
        <v/>
      </c>
      <c r="B1124" s="60" t="s">
        <v>3901</v>
      </c>
      <c r="C1124" s="72" t="s">
        <v>3863</v>
      </c>
      <c r="D1124" s="59" t="s">
        <v>3902</v>
      </c>
      <c r="E1124" s="85">
        <v>40973.344849537039</v>
      </c>
      <c r="F1124" s="85">
        <v>41029</v>
      </c>
      <c r="G1124" s="64" t="str">
        <f>IF(stdProdLT(Main[[#This Row],[Comments]])=0.1,"N/A",IF(stdProdLT(Main[[#This Row],[Comments]])=0,"",TRIM(stdProdLT(Main[[#This Row],[Comments]]))))</f>
        <v/>
      </c>
      <c r="H1124" s="94" t="str">
        <f>IF(OR(Main[[#This Row],[Std. Prod. Lead Time]]="N/A",Main[[#This Row],[Std. Prod. Lead Time]]=""), "",IF(AND(Main[[#This Row],[In Stock Date]]&lt;&gt;"",Main[[#This Row],[Revised Due Date]]&lt;&gt;"",Main[[#This Row],[In Stock Date]]&lt;&gt;""),Main[[#This Row],[In Stock Date]]-Main[[#This Row],[Revised Due Date]],""))</f>
        <v/>
      </c>
      <c r="I1124" s="101" t="s">
        <v>4</v>
      </c>
      <c r="J1124" s="95" t="s">
        <v>4</v>
      </c>
      <c r="K1124" s="95" t="s">
        <v>4</v>
      </c>
      <c r="L1124" s="85"/>
      <c r="M1124" s="73" t="str">
        <f>IF(Main[[#This Row],[Tech Start Date]]&lt;1/1/1990,"",IF(Main[[#This Row],[Class]]="C",WORKDAY(Main[[#This Row],[Tech Start Date]],9),IF(Main[[#This Row],[Class]]="B", WORKDAY(Main[[#This Row],[Tech Start Date]],6),IF(Main[[#This Row],[Class]]="A",WORKDAY(Main[[#This Row],[Tech Start Date]],2),""))))</f>
        <v/>
      </c>
      <c r="N1124" s="73" t="str">
        <f>IF(Main[[#This Row],[Tech Start Date]]&lt;1/1/1990,"",IF(Main[[#This Row],[Class]]="C",WORKDAY(Main[[#This Row],[Tech Start Date]],19),IF(Main[[#This Row],[Class]]="B", WORKDAY(Main[[#This Row],[Tech Start Date]],12),IF(Main[[#This Row],[Class]]="A",WORKDAY(Main[[#This Row],[Tech Start Date]],4),""))))</f>
        <v/>
      </c>
      <c r="O1124" s="73" t="str">
        <f>IF(Main[[#This Row],[Tech Start Date]]&lt;1/1/1990,"",IF(Main[[#This Row],[Class]]="C",WORKDAY(Main[[#This Row],[Tech Start Date]],23),IF(Main[[#This Row],[Class]]="B", WORKDAY(Main[[#This Row],[Tech Start Date]],15),IF(Main[[#This Row],[Class]]="A",WORKDAY(Main[[#This Row],[Tech Start Date]],5),""))))</f>
        <v/>
      </c>
      <c r="P1124" s="73" t="str">
        <f>IF(Main[[#This Row],[Tech Start Date]]&lt;1/1/1990,"",IF(Main[[#This Row],[Class]]="C",WORKDAY(Main[[#This Row],[Tech Start Date]],28),IF(Main[[#This Row],[Class]]="B", WORKDAY(Main[[#This Row],[Tech Start Date]],19),IF(Main[[#This Row],[Class]]="A",WORKDAY(Main[[#This Row],[Tech Start Date]],9),""))))</f>
        <v/>
      </c>
      <c r="Q1124" s="85">
        <v>40976</v>
      </c>
      <c r="R1124" s="112"/>
      <c r="S1124" s="95" t="s">
        <v>11</v>
      </c>
      <c r="T1124" s="74" t="s">
        <v>3903</v>
      </c>
      <c r="U1124" s="95" t="s">
        <v>694</v>
      </c>
      <c r="V1124" s="95" t="s">
        <v>1921</v>
      </c>
      <c r="W1124" s="95" t="s">
        <v>1913</v>
      </c>
      <c r="X1124" s="95" t="s">
        <v>3866</v>
      </c>
      <c r="Y1124" s="72" t="s">
        <v>3867</v>
      </c>
      <c r="Z1124" s="72" t="s">
        <v>4</v>
      </c>
      <c r="AA1124" s="95" t="s">
        <v>3866</v>
      </c>
      <c r="AB1124" s="132"/>
      <c r="AC1124" s="132"/>
      <c r="AD1124" s="132"/>
      <c r="AE1124" s="63"/>
      <c r="AF1124" s="63"/>
      <c r="AG1124" s="63"/>
    </row>
    <row r="1125" spans="1:33" ht="17.2" customHeight="1">
      <c r="A1125" s="64" t="str">
        <f>IF(priority(Main[[#This Row],[Comments]])&lt;&gt;0, priority(Main[[#This Row],[Comments]]),"")</f>
        <v/>
      </c>
      <c r="B1125" s="60" t="s">
        <v>3189</v>
      </c>
      <c r="C1125" s="72" t="s">
        <v>4</v>
      </c>
      <c r="D1125" s="59" t="s">
        <v>3190</v>
      </c>
      <c r="E1125" s="85">
        <v>40924.459930555553</v>
      </c>
      <c r="F1125" s="85"/>
      <c r="G1125" s="64" t="str">
        <f>IF(stdProdLT(Main[[#This Row],[Comments]])=0.1,"N/A",IF(stdProdLT(Main[[#This Row],[Comments]])=0,"",TRIM(stdProdLT(Main[[#This Row],[Comments]]))))</f>
        <v/>
      </c>
      <c r="H1125" s="94" t="str">
        <f>IF(OR(Main[[#This Row],[Std. Prod. Lead Time]]="N/A",Main[[#This Row],[Std. Prod. Lead Time]]=""), "",IF(AND(Main[[#This Row],[In Stock Date]]&lt;&gt;"",Main[[#This Row],[Revised Due Date]]&lt;&gt;"",Main[[#This Row],[In Stock Date]]&lt;&gt;""),Main[[#This Row],[In Stock Date]]-Main[[#This Row],[Revised Due Date]],""))</f>
        <v/>
      </c>
      <c r="I1125" s="101" t="s">
        <v>4</v>
      </c>
      <c r="J1125" s="95" t="s">
        <v>28</v>
      </c>
      <c r="K1125" s="95" t="s">
        <v>4</v>
      </c>
      <c r="L1125" s="85"/>
      <c r="M1125" s="73" t="str">
        <f>IF(Main[[#This Row],[Tech Start Date]]&lt;1/1/1990,"",IF(Main[[#This Row],[Class]]="C",WORKDAY(Main[[#This Row],[Tech Start Date]],9),IF(Main[[#This Row],[Class]]="B", WORKDAY(Main[[#This Row],[Tech Start Date]],6),IF(Main[[#This Row],[Class]]="A",WORKDAY(Main[[#This Row],[Tech Start Date]],2),""))))</f>
        <v/>
      </c>
      <c r="N1125" s="73" t="str">
        <f>IF(Main[[#This Row],[Tech Start Date]]&lt;1/1/1990,"",IF(Main[[#This Row],[Class]]="C",WORKDAY(Main[[#This Row],[Tech Start Date]],19),IF(Main[[#This Row],[Class]]="B", WORKDAY(Main[[#This Row],[Tech Start Date]],12),IF(Main[[#This Row],[Class]]="A",WORKDAY(Main[[#This Row],[Tech Start Date]],4),""))))</f>
        <v/>
      </c>
      <c r="O1125" s="73" t="str">
        <f>IF(Main[[#This Row],[Tech Start Date]]&lt;1/1/1990,"",IF(Main[[#This Row],[Class]]="C",WORKDAY(Main[[#This Row],[Tech Start Date]],23),IF(Main[[#This Row],[Class]]="B", WORKDAY(Main[[#This Row],[Tech Start Date]],15),IF(Main[[#This Row],[Class]]="A",WORKDAY(Main[[#This Row],[Tech Start Date]],5),""))))</f>
        <v/>
      </c>
      <c r="P1125" s="73" t="str">
        <f>IF(Main[[#This Row],[Tech Start Date]]&lt;1/1/1990,"",IF(Main[[#This Row],[Class]]="C",WORKDAY(Main[[#This Row],[Tech Start Date]],28),IF(Main[[#This Row],[Class]]="B", WORKDAY(Main[[#This Row],[Tech Start Date]],19),IF(Main[[#This Row],[Class]]="A",WORKDAY(Main[[#This Row],[Tech Start Date]],9),""))))</f>
        <v/>
      </c>
      <c r="Q1125" s="85"/>
      <c r="R1125" s="112"/>
      <c r="S1125" s="95" t="s">
        <v>6</v>
      </c>
      <c r="T1125" s="74" t="s">
        <v>4</v>
      </c>
      <c r="U1125" s="95" t="s">
        <v>29</v>
      </c>
      <c r="V1125" s="95" t="s">
        <v>1914</v>
      </c>
      <c r="W1125" s="95" t="s">
        <v>1915</v>
      </c>
      <c r="X1125" s="95" t="s">
        <v>102</v>
      </c>
      <c r="Y1125" s="72" t="s">
        <v>3191</v>
      </c>
      <c r="Z1125" s="72" t="s">
        <v>30</v>
      </c>
      <c r="AA1125" s="95" t="s">
        <v>3417</v>
      </c>
      <c r="AB1125" s="132"/>
      <c r="AC1125" s="132"/>
      <c r="AD1125" s="132"/>
      <c r="AE1125" s="63"/>
      <c r="AF1125" s="63"/>
      <c r="AG1125" s="63"/>
    </row>
    <row r="1126" spans="1:33" ht="17.2" customHeight="1">
      <c r="A1126" s="64" t="str">
        <f>IF(priority(Main[[#This Row],[Comments]])&lt;&gt;0, priority(Main[[#This Row],[Comments]]),"")</f>
        <v/>
      </c>
      <c r="B1126" s="60" t="s">
        <v>3249</v>
      </c>
      <c r="C1126" s="72" t="s">
        <v>4</v>
      </c>
      <c r="D1126" s="59" t="s">
        <v>3250</v>
      </c>
      <c r="E1126" s="85">
        <v>40933.367569444446</v>
      </c>
      <c r="F1126" s="85"/>
      <c r="G1126" s="64" t="str">
        <f>IF(stdProdLT(Main[[#This Row],[Comments]])=0.1,"N/A",IF(stdProdLT(Main[[#This Row],[Comments]])=0,"",TRIM(stdProdLT(Main[[#This Row],[Comments]]))))</f>
        <v/>
      </c>
      <c r="H1126" s="94" t="str">
        <f>IF(OR(Main[[#This Row],[Std. Prod. Lead Time]]="N/A",Main[[#This Row],[Std. Prod. Lead Time]]=""), "",IF(AND(Main[[#This Row],[In Stock Date]]&lt;&gt;"",Main[[#This Row],[Revised Due Date]]&lt;&gt;"",Main[[#This Row],[In Stock Date]]&lt;&gt;""),Main[[#This Row],[In Stock Date]]-Main[[#This Row],[Revised Due Date]],""))</f>
        <v/>
      </c>
      <c r="I1126" s="101" t="s">
        <v>530</v>
      </c>
      <c r="J1126" s="95" t="s">
        <v>52</v>
      </c>
      <c r="K1126" s="95" t="s">
        <v>1920</v>
      </c>
      <c r="L1126" s="85"/>
      <c r="M1126" s="73" t="str">
        <f>IF(Main[[#This Row],[Tech Start Date]]&lt;1/1/1990,"",IF(Main[[#This Row],[Class]]="C",WORKDAY(Main[[#This Row],[Tech Start Date]],9),IF(Main[[#This Row],[Class]]="B", WORKDAY(Main[[#This Row],[Tech Start Date]],6),IF(Main[[#This Row],[Class]]="A",WORKDAY(Main[[#This Row],[Tech Start Date]],2),""))))</f>
        <v/>
      </c>
      <c r="N1126" s="73" t="str">
        <f>IF(Main[[#This Row],[Tech Start Date]]&lt;1/1/1990,"",IF(Main[[#This Row],[Class]]="C",WORKDAY(Main[[#This Row],[Tech Start Date]],19),IF(Main[[#This Row],[Class]]="B", WORKDAY(Main[[#This Row],[Tech Start Date]],12),IF(Main[[#This Row],[Class]]="A",WORKDAY(Main[[#This Row],[Tech Start Date]],4),""))))</f>
        <v/>
      </c>
      <c r="O1126" s="73" t="str">
        <f>IF(Main[[#This Row],[Tech Start Date]]&lt;1/1/1990,"",IF(Main[[#This Row],[Class]]="C",WORKDAY(Main[[#This Row],[Tech Start Date]],23),IF(Main[[#This Row],[Class]]="B", WORKDAY(Main[[#This Row],[Tech Start Date]],15),IF(Main[[#This Row],[Class]]="A",WORKDAY(Main[[#This Row],[Tech Start Date]],5),""))))</f>
        <v/>
      </c>
      <c r="P1126" s="73" t="str">
        <f>IF(Main[[#This Row],[Tech Start Date]]&lt;1/1/1990,"",IF(Main[[#This Row],[Class]]="C",WORKDAY(Main[[#This Row],[Tech Start Date]],28),IF(Main[[#This Row],[Class]]="B", WORKDAY(Main[[#This Row],[Tech Start Date]],19),IF(Main[[#This Row],[Class]]="A",WORKDAY(Main[[#This Row],[Tech Start Date]],9),""))))</f>
        <v/>
      </c>
      <c r="Q1126" s="85"/>
      <c r="R1126" s="112"/>
      <c r="S1126" s="95" t="s">
        <v>6</v>
      </c>
      <c r="T1126" s="74" t="s">
        <v>4</v>
      </c>
      <c r="U1126" s="95" t="s">
        <v>29</v>
      </c>
      <c r="V1126" s="95" t="s">
        <v>1914</v>
      </c>
      <c r="W1126" s="95" t="s">
        <v>1915</v>
      </c>
      <c r="X1126" s="95" t="s">
        <v>2846</v>
      </c>
      <c r="Y1126" s="72" t="s">
        <v>2978</v>
      </c>
      <c r="Z1126" s="72" t="s">
        <v>30</v>
      </c>
      <c r="AA1126" s="95" t="s">
        <v>2846</v>
      </c>
      <c r="AB1126" s="132"/>
      <c r="AC1126" s="132"/>
      <c r="AD1126" s="132"/>
      <c r="AE1126" s="63"/>
      <c r="AF1126" s="63"/>
      <c r="AG1126" s="63"/>
    </row>
    <row r="1127" spans="1:33" ht="17.2" customHeight="1">
      <c r="A1127" s="64" t="str">
        <f>IF(priority(Main[[#This Row],[Comments]])&lt;&gt;0, priority(Main[[#This Row],[Comments]]),"")</f>
        <v/>
      </c>
      <c r="B1127" s="60" t="s">
        <v>2706</v>
      </c>
      <c r="C1127" s="72" t="s">
        <v>4</v>
      </c>
      <c r="D1127" s="59" t="s">
        <v>3182</v>
      </c>
      <c r="E1127" s="85">
        <v>40899.185671296298</v>
      </c>
      <c r="F1127" s="85"/>
      <c r="G1127" s="64" t="str">
        <f>IF(stdProdLT(Main[[#This Row],[Comments]])=0.1,"N/A",IF(stdProdLT(Main[[#This Row],[Comments]])=0,"",TRIM(stdProdLT(Main[[#This Row],[Comments]]))))</f>
        <v/>
      </c>
      <c r="H1127" s="94" t="str">
        <f>IF(OR(Main[[#This Row],[Std. Prod. Lead Time]]="N/A",Main[[#This Row],[Std. Prod. Lead Time]]=""), "",IF(AND(Main[[#This Row],[In Stock Date]]&lt;&gt;"",Main[[#This Row],[Revised Due Date]]&lt;&gt;"",Main[[#This Row],[In Stock Date]]&lt;&gt;""),Main[[#This Row],[In Stock Date]]-Main[[#This Row],[Revised Due Date]],""))</f>
        <v/>
      </c>
      <c r="I1127" s="101" t="s">
        <v>69</v>
      </c>
      <c r="J1127" s="95" t="s">
        <v>28</v>
      </c>
      <c r="K1127" s="95" t="s">
        <v>1920</v>
      </c>
      <c r="L1127" s="85"/>
      <c r="M1127" s="73" t="str">
        <f>IF(Main[[#This Row],[Tech Start Date]]&lt;1/1/1990,"",IF(Main[[#This Row],[Class]]="C",WORKDAY(Main[[#This Row],[Tech Start Date]],9),IF(Main[[#This Row],[Class]]="B", WORKDAY(Main[[#This Row],[Tech Start Date]],6),IF(Main[[#This Row],[Class]]="A",WORKDAY(Main[[#This Row],[Tech Start Date]],2),""))))</f>
        <v/>
      </c>
      <c r="N1127" s="73" t="str">
        <f>IF(Main[[#This Row],[Tech Start Date]]&lt;1/1/1990,"",IF(Main[[#This Row],[Class]]="C",WORKDAY(Main[[#This Row],[Tech Start Date]],19),IF(Main[[#This Row],[Class]]="B", WORKDAY(Main[[#This Row],[Tech Start Date]],12),IF(Main[[#This Row],[Class]]="A",WORKDAY(Main[[#This Row],[Tech Start Date]],4),""))))</f>
        <v/>
      </c>
      <c r="O1127" s="73" t="str">
        <f>IF(Main[[#This Row],[Tech Start Date]]&lt;1/1/1990,"",IF(Main[[#This Row],[Class]]="C",WORKDAY(Main[[#This Row],[Tech Start Date]],23),IF(Main[[#This Row],[Class]]="B", WORKDAY(Main[[#This Row],[Tech Start Date]],15),IF(Main[[#This Row],[Class]]="A",WORKDAY(Main[[#This Row],[Tech Start Date]],5),""))))</f>
        <v/>
      </c>
      <c r="P1127" s="73" t="str">
        <f>IF(Main[[#This Row],[Tech Start Date]]&lt;1/1/1990,"",IF(Main[[#This Row],[Class]]="C",WORKDAY(Main[[#This Row],[Tech Start Date]],28),IF(Main[[#This Row],[Class]]="B", WORKDAY(Main[[#This Row],[Tech Start Date]],19),IF(Main[[#This Row],[Class]]="A",WORKDAY(Main[[#This Row],[Tech Start Date]],9),""))))</f>
        <v/>
      </c>
      <c r="Q1127" s="85">
        <v>40931</v>
      </c>
      <c r="R1127" s="112"/>
      <c r="S1127" s="95" t="s">
        <v>6</v>
      </c>
      <c r="T1127" s="74" t="s">
        <v>4</v>
      </c>
      <c r="U1127" s="95" t="s">
        <v>29</v>
      </c>
      <c r="V1127" s="95" t="s">
        <v>1914</v>
      </c>
      <c r="W1127" s="95" t="s">
        <v>1915</v>
      </c>
      <c r="X1127" s="95" t="s">
        <v>2802</v>
      </c>
      <c r="Y1127" s="72" t="s">
        <v>2916</v>
      </c>
      <c r="Z1127" s="72" t="s">
        <v>30</v>
      </c>
      <c r="AA1127" s="95" t="s">
        <v>2802</v>
      </c>
      <c r="AB1127" s="132"/>
      <c r="AC1127" s="132"/>
      <c r="AD1127" s="132"/>
      <c r="AE1127" s="63"/>
      <c r="AF1127" s="63"/>
      <c r="AG1127" s="63"/>
    </row>
    <row r="1128" spans="1:33" ht="17.2" customHeight="1">
      <c r="A1128" s="64" t="str">
        <f>IF(priority(Main[[#This Row],[Comments]])&lt;&gt;0, priority(Main[[#This Row],[Comments]]),"")</f>
        <v/>
      </c>
      <c r="B1128" s="60" t="s">
        <v>2667</v>
      </c>
      <c r="C1128" s="72" t="s">
        <v>4</v>
      </c>
      <c r="D1128" s="59" t="s">
        <v>2668</v>
      </c>
      <c r="E1128" s="85">
        <v>40890.683576388888</v>
      </c>
      <c r="F1128" s="85"/>
      <c r="G1128" s="64" t="str">
        <f>IF(stdProdLT(Main[[#This Row],[Comments]])=0.1,"N/A",IF(stdProdLT(Main[[#This Row],[Comments]])=0,"",TRIM(stdProdLT(Main[[#This Row],[Comments]]))))</f>
        <v/>
      </c>
      <c r="H1128" s="94" t="str">
        <f>IF(OR(Main[[#This Row],[Std. Prod. Lead Time]]="N/A",Main[[#This Row],[Std. Prod. Lead Time]]=""), "",IF(AND(Main[[#This Row],[In Stock Date]]&lt;&gt;"",Main[[#This Row],[Revised Due Date]]&lt;&gt;"",Main[[#This Row],[In Stock Date]]&lt;&gt;""),Main[[#This Row],[In Stock Date]]-Main[[#This Row],[Revised Due Date]],""))</f>
        <v/>
      </c>
      <c r="I1128" s="101" t="s">
        <v>239</v>
      </c>
      <c r="J1128" s="95" t="s">
        <v>21</v>
      </c>
      <c r="K1128" s="95" t="s">
        <v>1920</v>
      </c>
      <c r="L1128" s="85"/>
      <c r="M1128" s="73" t="str">
        <f>IF(Main[[#This Row],[Tech Start Date]]&lt;1/1/1990,"",IF(Main[[#This Row],[Class]]="C",WORKDAY(Main[[#This Row],[Tech Start Date]],9),IF(Main[[#This Row],[Class]]="B", WORKDAY(Main[[#This Row],[Tech Start Date]],6),IF(Main[[#This Row],[Class]]="A",WORKDAY(Main[[#This Row],[Tech Start Date]],2),""))))</f>
        <v/>
      </c>
      <c r="N1128" s="73" t="str">
        <f>IF(Main[[#This Row],[Tech Start Date]]&lt;1/1/1990,"",IF(Main[[#This Row],[Class]]="C",WORKDAY(Main[[#This Row],[Tech Start Date]],19),IF(Main[[#This Row],[Class]]="B", WORKDAY(Main[[#This Row],[Tech Start Date]],12),IF(Main[[#This Row],[Class]]="A",WORKDAY(Main[[#This Row],[Tech Start Date]],4),""))))</f>
        <v/>
      </c>
      <c r="O1128" s="73" t="str">
        <f>IF(Main[[#This Row],[Tech Start Date]]&lt;1/1/1990,"",IF(Main[[#This Row],[Class]]="C",WORKDAY(Main[[#This Row],[Tech Start Date]],23),IF(Main[[#This Row],[Class]]="B", WORKDAY(Main[[#This Row],[Tech Start Date]],15),IF(Main[[#This Row],[Class]]="A",WORKDAY(Main[[#This Row],[Tech Start Date]],5),""))))</f>
        <v/>
      </c>
      <c r="P1128" s="73" t="str">
        <f>IF(Main[[#This Row],[Tech Start Date]]&lt;1/1/1990,"",IF(Main[[#This Row],[Class]]="C",WORKDAY(Main[[#This Row],[Tech Start Date]],28),IF(Main[[#This Row],[Class]]="B", WORKDAY(Main[[#This Row],[Tech Start Date]],19),IF(Main[[#This Row],[Class]]="A",WORKDAY(Main[[#This Row],[Tech Start Date]],9),""))))</f>
        <v/>
      </c>
      <c r="Q1128" s="85">
        <v>40939</v>
      </c>
      <c r="R1128" s="112"/>
      <c r="S1128" s="95" t="s">
        <v>6</v>
      </c>
      <c r="T1128" s="74" t="s">
        <v>4</v>
      </c>
      <c r="U1128" s="95" t="s">
        <v>29</v>
      </c>
      <c r="V1128" s="95" t="s">
        <v>1914</v>
      </c>
      <c r="W1128" s="95" t="s">
        <v>1915</v>
      </c>
      <c r="X1128" s="95" t="s">
        <v>765</v>
      </c>
      <c r="Y1128" s="72" t="s">
        <v>2913</v>
      </c>
      <c r="Z1128" s="72" t="s">
        <v>30</v>
      </c>
      <c r="AA1128" s="95" t="s">
        <v>765</v>
      </c>
      <c r="AB1128" s="132"/>
      <c r="AC1128" s="132"/>
      <c r="AD1128" s="132"/>
      <c r="AE1128" s="63"/>
      <c r="AF1128" s="63"/>
      <c r="AG1128" s="63"/>
    </row>
    <row r="1129" spans="1:33" ht="17.2" customHeight="1">
      <c r="A1129" s="64" t="str">
        <f>IF(priority(Main[[#This Row],[Comments]])&lt;&gt;0, priority(Main[[#This Row],[Comments]]),"")</f>
        <v/>
      </c>
      <c r="B1129" s="60" t="s">
        <v>2093</v>
      </c>
      <c r="C1129" s="72" t="s">
        <v>4</v>
      </c>
      <c r="D1129" s="59" t="s">
        <v>3234</v>
      </c>
      <c r="E1129" s="85">
        <v>40763.171296296299</v>
      </c>
      <c r="F1129" s="85"/>
      <c r="G1129" s="64" t="str">
        <f>IF(stdProdLT(Main[[#This Row],[Comments]])=0.1,"N/A",IF(stdProdLT(Main[[#This Row],[Comments]])=0,"",TRIM(stdProdLT(Main[[#This Row],[Comments]]))))</f>
        <v/>
      </c>
      <c r="H1129" s="94" t="str">
        <f>IF(OR(Main[[#This Row],[Std. Prod. Lead Time]]="N/A",Main[[#This Row],[Std. Prod. Lead Time]]=""), "",IF(AND(Main[[#This Row],[In Stock Date]]&lt;&gt;"",Main[[#This Row],[Revised Due Date]]&lt;&gt;"",Main[[#This Row],[In Stock Date]]&lt;&gt;""),Main[[#This Row],[In Stock Date]]-Main[[#This Row],[Revised Due Date]],""))</f>
        <v/>
      </c>
      <c r="I1129" s="101" t="s">
        <v>530</v>
      </c>
      <c r="J1129" s="95" t="s">
        <v>3235</v>
      </c>
      <c r="K1129" s="95" t="s">
        <v>1920</v>
      </c>
      <c r="L1129" s="85"/>
      <c r="M1129" s="73" t="str">
        <f>IF(Main[[#This Row],[Tech Start Date]]&lt;1/1/1990,"",IF(Main[[#This Row],[Class]]="C",WORKDAY(Main[[#This Row],[Tech Start Date]],9),IF(Main[[#This Row],[Class]]="B", WORKDAY(Main[[#This Row],[Tech Start Date]],6),IF(Main[[#This Row],[Class]]="A",WORKDAY(Main[[#This Row],[Tech Start Date]],2),""))))</f>
        <v/>
      </c>
      <c r="N1129" s="73" t="str">
        <f>IF(Main[[#This Row],[Tech Start Date]]&lt;1/1/1990,"",IF(Main[[#This Row],[Class]]="C",WORKDAY(Main[[#This Row],[Tech Start Date]],19),IF(Main[[#This Row],[Class]]="B", WORKDAY(Main[[#This Row],[Tech Start Date]],12),IF(Main[[#This Row],[Class]]="A",WORKDAY(Main[[#This Row],[Tech Start Date]],4),""))))</f>
        <v/>
      </c>
      <c r="O1129" s="73" t="str">
        <f>IF(Main[[#This Row],[Tech Start Date]]&lt;1/1/1990,"",IF(Main[[#This Row],[Class]]="C",WORKDAY(Main[[#This Row],[Tech Start Date]],23),IF(Main[[#This Row],[Class]]="B", WORKDAY(Main[[#This Row],[Tech Start Date]],15),IF(Main[[#This Row],[Class]]="A",WORKDAY(Main[[#This Row],[Tech Start Date]],5),""))))</f>
        <v/>
      </c>
      <c r="P1129" s="73" t="str">
        <f>IF(Main[[#This Row],[Tech Start Date]]&lt;1/1/1990,"",IF(Main[[#This Row],[Class]]="C",WORKDAY(Main[[#This Row],[Tech Start Date]],28),IF(Main[[#This Row],[Class]]="B", WORKDAY(Main[[#This Row],[Tech Start Date]],19),IF(Main[[#This Row],[Class]]="A",WORKDAY(Main[[#This Row],[Tech Start Date]],9),""))))</f>
        <v/>
      </c>
      <c r="Q1129" s="85">
        <v>40784</v>
      </c>
      <c r="R1129" s="112"/>
      <c r="S1129" s="95" t="s">
        <v>6</v>
      </c>
      <c r="T1129" s="74" t="s">
        <v>4</v>
      </c>
      <c r="U1129" s="95" t="s">
        <v>29</v>
      </c>
      <c r="V1129" s="95" t="s">
        <v>1914</v>
      </c>
      <c r="W1129" s="95" t="s">
        <v>1915</v>
      </c>
      <c r="X1129" s="95" t="s">
        <v>2831</v>
      </c>
      <c r="Y1129" s="72" t="s">
        <v>2964</v>
      </c>
      <c r="Z1129" s="72" t="s">
        <v>30</v>
      </c>
      <c r="AA1129" s="95" t="s">
        <v>2831</v>
      </c>
      <c r="AB1129" s="132"/>
      <c r="AC1129" s="132"/>
      <c r="AD1129" s="132"/>
      <c r="AE1129" s="63"/>
      <c r="AF1129" s="63"/>
      <c r="AG1129" s="63"/>
    </row>
    <row r="1130" spans="1:33" ht="17.2" customHeight="1">
      <c r="A1130" s="64" t="str">
        <f>IF(priority(Main[[#This Row],[Comments]])&lt;&gt;0, priority(Main[[#This Row],[Comments]]),"")</f>
        <v/>
      </c>
      <c r="B1130" s="60" t="s">
        <v>2445</v>
      </c>
      <c r="C1130" s="72" t="s">
        <v>4</v>
      </c>
      <c r="D1130" s="59" t="s">
        <v>2446</v>
      </c>
      <c r="E1130" s="85"/>
      <c r="F1130" s="85"/>
      <c r="G1130" s="64" t="str">
        <f>IF(stdProdLT(Main[[#This Row],[Comments]])=0.1,"N/A",IF(stdProdLT(Main[[#This Row],[Comments]])=0,"",TRIM(stdProdLT(Main[[#This Row],[Comments]]))))</f>
        <v/>
      </c>
      <c r="H1130" s="94" t="str">
        <f>IF(OR(Main[[#This Row],[Std. Prod. Lead Time]]="N/A",Main[[#This Row],[Std. Prod. Lead Time]]=""), "",IF(AND(Main[[#This Row],[In Stock Date]]&lt;&gt;"",Main[[#This Row],[Revised Due Date]]&lt;&gt;"",Main[[#This Row],[In Stock Date]]&lt;&gt;""),Main[[#This Row],[In Stock Date]]-Main[[#This Row],[Revised Due Date]],""))</f>
        <v/>
      </c>
      <c r="I1130" s="101" t="s">
        <v>530</v>
      </c>
      <c r="J1130" s="95" t="s">
        <v>28</v>
      </c>
      <c r="K1130" s="95" t="s">
        <v>1920</v>
      </c>
      <c r="L1130" s="85"/>
      <c r="M1130" s="73" t="str">
        <f>IF(Main[[#This Row],[Tech Start Date]]&lt;1/1/1990,"",IF(Main[[#This Row],[Class]]="C",WORKDAY(Main[[#This Row],[Tech Start Date]],9),IF(Main[[#This Row],[Class]]="B", WORKDAY(Main[[#This Row],[Tech Start Date]],6),IF(Main[[#This Row],[Class]]="A",WORKDAY(Main[[#This Row],[Tech Start Date]],2),""))))</f>
        <v/>
      </c>
      <c r="N1130" s="73" t="str">
        <f>IF(Main[[#This Row],[Tech Start Date]]&lt;1/1/1990,"",IF(Main[[#This Row],[Class]]="C",WORKDAY(Main[[#This Row],[Tech Start Date]],19),IF(Main[[#This Row],[Class]]="B", WORKDAY(Main[[#This Row],[Tech Start Date]],12),IF(Main[[#This Row],[Class]]="A",WORKDAY(Main[[#This Row],[Tech Start Date]],4),""))))</f>
        <v/>
      </c>
      <c r="O1130" s="73" t="str">
        <f>IF(Main[[#This Row],[Tech Start Date]]&lt;1/1/1990,"",IF(Main[[#This Row],[Class]]="C",WORKDAY(Main[[#This Row],[Tech Start Date]],23),IF(Main[[#This Row],[Class]]="B", WORKDAY(Main[[#This Row],[Tech Start Date]],15),IF(Main[[#This Row],[Class]]="A",WORKDAY(Main[[#This Row],[Tech Start Date]],5),""))))</f>
        <v/>
      </c>
      <c r="P1130" s="73" t="str">
        <f>IF(Main[[#This Row],[Tech Start Date]]&lt;1/1/1990,"",IF(Main[[#This Row],[Class]]="C",WORKDAY(Main[[#This Row],[Tech Start Date]],28),IF(Main[[#This Row],[Class]]="B", WORKDAY(Main[[#This Row],[Tech Start Date]],19),IF(Main[[#This Row],[Class]]="A",WORKDAY(Main[[#This Row],[Tech Start Date]],9),""))))</f>
        <v/>
      </c>
      <c r="Q1130" s="85">
        <v>40954</v>
      </c>
      <c r="R1130" s="112"/>
      <c r="S1130" s="95" t="s">
        <v>6</v>
      </c>
      <c r="T1130" s="74" t="s">
        <v>4</v>
      </c>
      <c r="U1130" s="95" t="s">
        <v>14</v>
      </c>
      <c r="V1130" s="95" t="s">
        <v>1914</v>
      </c>
      <c r="W1130" s="95" t="s">
        <v>1915</v>
      </c>
      <c r="X1130" s="95" t="s">
        <v>553</v>
      </c>
      <c r="Y1130" s="72" t="s">
        <v>2930</v>
      </c>
      <c r="Z1130" s="72" t="s">
        <v>30</v>
      </c>
      <c r="AA1130" s="95" t="s">
        <v>553</v>
      </c>
      <c r="AB1130" s="132"/>
      <c r="AC1130" s="132"/>
      <c r="AD1130" s="132"/>
      <c r="AE1130" s="63"/>
      <c r="AF1130" s="63"/>
      <c r="AG1130" s="63"/>
    </row>
    <row r="1131" spans="1:33" ht="17.2" customHeight="1">
      <c r="A1131" s="64" t="str">
        <f>IF(priority(Main[[#This Row],[Comments]])&lt;&gt;0, priority(Main[[#This Row],[Comments]]),"")</f>
        <v/>
      </c>
      <c r="B1131" s="60" t="s">
        <v>2447</v>
      </c>
      <c r="C1131" s="72" t="s">
        <v>113</v>
      </c>
      <c r="D1131" s="59" t="s">
        <v>2448</v>
      </c>
      <c r="E1131" s="85"/>
      <c r="F1131" s="85">
        <v>40841</v>
      </c>
      <c r="G1131" s="64" t="str">
        <f>IF(stdProdLT(Main[[#This Row],[Comments]])=0.1,"N/A",IF(stdProdLT(Main[[#This Row],[Comments]])=0,"",TRIM(stdProdLT(Main[[#This Row],[Comments]]))))</f>
        <v/>
      </c>
      <c r="H1131" s="94" t="str">
        <f>IF(OR(Main[[#This Row],[Std. Prod. Lead Time]]="N/A",Main[[#This Row],[Std. Prod. Lead Time]]=""), "",IF(AND(Main[[#This Row],[In Stock Date]]&lt;&gt;"",Main[[#This Row],[Revised Due Date]]&lt;&gt;"",Main[[#This Row],[In Stock Date]]&lt;&gt;""),Main[[#This Row],[In Stock Date]]-Main[[#This Row],[Revised Due Date]],""))</f>
        <v/>
      </c>
      <c r="I1131" s="101" t="s">
        <v>4</v>
      </c>
      <c r="J1131" s="95" t="s">
        <v>4</v>
      </c>
      <c r="K1131" s="96" t="s">
        <v>4</v>
      </c>
      <c r="L1131" s="85"/>
      <c r="M1131" s="73" t="str">
        <f>IF(Main[[#This Row],[Tech Start Date]]&lt;1/1/1990,"",IF(Main[[#This Row],[Class]]="C",WORKDAY(Main[[#This Row],[Tech Start Date]],9),IF(Main[[#This Row],[Class]]="B", WORKDAY(Main[[#This Row],[Tech Start Date]],6),IF(Main[[#This Row],[Class]]="A",WORKDAY(Main[[#This Row],[Tech Start Date]],2),""))))</f>
        <v/>
      </c>
      <c r="N1131" s="73" t="str">
        <f>IF(Main[[#This Row],[Tech Start Date]]&lt;1/1/1990,"",IF(Main[[#This Row],[Class]]="C",WORKDAY(Main[[#This Row],[Tech Start Date]],19),IF(Main[[#This Row],[Class]]="B", WORKDAY(Main[[#This Row],[Tech Start Date]],12),IF(Main[[#This Row],[Class]]="A",WORKDAY(Main[[#This Row],[Tech Start Date]],4),""))))</f>
        <v/>
      </c>
      <c r="O1131" s="73" t="str">
        <f>IF(Main[[#This Row],[Tech Start Date]]&lt;1/1/1990,"",IF(Main[[#This Row],[Class]]="C",WORKDAY(Main[[#This Row],[Tech Start Date]],23),IF(Main[[#This Row],[Class]]="B", WORKDAY(Main[[#This Row],[Tech Start Date]],15),IF(Main[[#This Row],[Class]]="A",WORKDAY(Main[[#This Row],[Tech Start Date]],5),""))))</f>
        <v/>
      </c>
      <c r="P1131" s="73" t="str">
        <f>IF(Main[[#This Row],[Tech Start Date]]&lt;1/1/1990,"",IF(Main[[#This Row],[Class]]="C",WORKDAY(Main[[#This Row],[Tech Start Date]],28),IF(Main[[#This Row],[Class]]="B", WORKDAY(Main[[#This Row],[Tech Start Date]],19),IF(Main[[#This Row],[Class]]="A",WORKDAY(Main[[#This Row],[Tech Start Date]],9),""))))</f>
        <v/>
      </c>
      <c r="Q1131" s="85"/>
      <c r="R1131" s="112"/>
      <c r="S1131" s="95" t="s">
        <v>11</v>
      </c>
      <c r="T1131" s="74" t="s">
        <v>4</v>
      </c>
      <c r="U1131" s="95" t="s">
        <v>12</v>
      </c>
      <c r="V1131" s="95" t="s">
        <v>1911</v>
      </c>
      <c r="W1131" s="95" t="s">
        <v>1913</v>
      </c>
      <c r="X1131" s="95" t="s">
        <v>2813</v>
      </c>
      <c r="Y1131" s="72" t="s">
        <v>2917</v>
      </c>
      <c r="Z1131" s="72" t="s">
        <v>4</v>
      </c>
      <c r="AA1131" s="95" t="s">
        <v>2813</v>
      </c>
      <c r="AB1131" s="132"/>
      <c r="AC1131" s="132"/>
      <c r="AD1131" s="132"/>
      <c r="AE1131" s="63"/>
      <c r="AF1131" s="63"/>
      <c r="AG1131" s="63"/>
    </row>
    <row r="1132" spans="1:33" ht="17.2" customHeight="1">
      <c r="A1132" s="64" t="str">
        <f>IF(priority(Main[[#This Row],[Comments]])&lt;&gt;0, priority(Main[[#This Row],[Comments]]),"")</f>
        <v/>
      </c>
      <c r="B1132" s="60" t="s">
        <v>3501</v>
      </c>
      <c r="C1132" s="72" t="s">
        <v>4</v>
      </c>
      <c r="D1132" s="59" t="s">
        <v>3502</v>
      </c>
      <c r="E1132" s="85">
        <v>40946.701331018521</v>
      </c>
      <c r="F1132" s="85"/>
      <c r="G1132" s="64" t="str">
        <f>IF(stdProdLT(Main[[#This Row],[Comments]])=0.1,"N/A",IF(stdProdLT(Main[[#This Row],[Comments]])=0,"",TRIM(stdProdLT(Main[[#This Row],[Comments]]))))</f>
        <v/>
      </c>
      <c r="H1132" s="94" t="str">
        <f>IF(OR(Main[[#This Row],[Std. Prod. Lead Time]]="N/A",Main[[#This Row],[Std. Prod. Lead Time]]=""), "",IF(AND(Main[[#This Row],[In Stock Date]]&lt;&gt;"",Main[[#This Row],[Revised Due Date]]&lt;&gt;"",Main[[#This Row],[In Stock Date]]&lt;&gt;""),Main[[#This Row],[In Stock Date]]-Main[[#This Row],[Revised Due Date]],""))</f>
        <v/>
      </c>
      <c r="I1132" s="101" t="s">
        <v>4</v>
      </c>
      <c r="J1132" s="95" t="s">
        <v>4</v>
      </c>
      <c r="K1132" s="96" t="s">
        <v>4</v>
      </c>
      <c r="L1132" s="85"/>
      <c r="M1132" s="73" t="str">
        <f>IF(Main[[#This Row],[Tech Start Date]]&lt;1/1/1990,"",IF(Main[[#This Row],[Class]]="C",WORKDAY(Main[[#This Row],[Tech Start Date]],9),IF(Main[[#This Row],[Class]]="B", WORKDAY(Main[[#This Row],[Tech Start Date]],6),IF(Main[[#This Row],[Class]]="A",WORKDAY(Main[[#This Row],[Tech Start Date]],2),""))))</f>
        <v/>
      </c>
      <c r="N1132" s="73" t="str">
        <f>IF(Main[[#This Row],[Tech Start Date]]&lt;1/1/1990,"",IF(Main[[#This Row],[Class]]="C",WORKDAY(Main[[#This Row],[Tech Start Date]],19),IF(Main[[#This Row],[Class]]="B", WORKDAY(Main[[#This Row],[Tech Start Date]],12),IF(Main[[#This Row],[Class]]="A",WORKDAY(Main[[#This Row],[Tech Start Date]],4),""))))</f>
        <v/>
      </c>
      <c r="O1132" s="73" t="str">
        <f>IF(Main[[#This Row],[Tech Start Date]]&lt;1/1/1990,"",IF(Main[[#This Row],[Class]]="C",WORKDAY(Main[[#This Row],[Tech Start Date]],23),IF(Main[[#This Row],[Class]]="B", WORKDAY(Main[[#This Row],[Tech Start Date]],15),IF(Main[[#This Row],[Class]]="A",WORKDAY(Main[[#This Row],[Tech Start Date]],5),""))))</f>
        <v/>
      </c>
      <c r="P1132" s="73" t="str">
        <f>IF(Main[[#This Row],[Tech Start Date]]&lt;1/1/1990,"",IF(Main[[#This Row],[Class]]="C",WORKDAY(Main[[#This Row],[Tech Start Date]],28),IF(Main[[#This Row],[Class]]="B", WORKDAY(Main[[#This Row],[Tech Start Date]],19),IF(Main[[#This Row],[Class]]="A",WORKDAY(Main[[#This Row],[Tech Start Date]],9),""))))</f>
        <v/>
      </c>
      <c r="Q1132" s="85">
        <v>40953</v>
      </c>
      <c r="R1132" s="112"/>
      <c r="S1132" s="95" t="s">
        <v>6</v>
      </c>
      <c r="T1132" s="74" t="s">
        <v>4</v>
      </c>
      <c r="U1132" s="95" t="s">
        <v>7</v>
      </c>
      <c r="V1132" s="95" t="s">
        <v>1911</v>
      </c>
      <c r="W1132" s="95" t="s">
        <v>1919</v>
      </c>
      <c r="X1132" s="95" t="s">
        <v>2801</v>
      </c>
      <c r="Y1132" s="72" t="s">
        <v>2914</v>
      </c>
      <c r="Z1132" s="72" t="s">
        <v>4</v>
      </c>
      <c r="AA1132" s="95" t="s">
        <v>2801</v>
      </c>
      <c r="AB1132" s="132"/>
      <c r="AC1132" s="132"/>
      <c r="AD1132" s="132"/>
      <c r="AE1132" s="63"/>
      <c r="AF1132" s="63"/>
      <c r="AG1132" s="63"/>
    </row>
    <row r="1133" spans="1:33" ht="17.2" customHeight="1">
      <c r="A1133" s="64" t="str">
        <f>IF(priority(Main[[#This Row],[Comments]])&lt;&gt;0, priority(Main[[#This Row],[Comments]]),"")</f>
        <v/>
      </c>
      <c r="B1133" s="60" t="s">
        <v>1844</v>
      </c>
      <c r="C1133" s="72" t="s">
        <v>67</v>
      </c>
      <c r="D1133" s="59" t="s">
        <v>902</v>
      </c>
      <c r="E1133" s="85">
        <v>39937.597453703704</v>
      </c>
      <c r="F1133" s="85">
        <v>40533</v>
      </c>
      <c r="G1133" s="64" t="str">
        <f>IF(stdProdLT(Main[[#This Row],[Comments]])=0.1,"N/A",IF(stdProdLT(Main[[#This Row],[Comments]])=0,"",TRIM(stdProdLT(Main[[#This Row],[Comments]]))))</f>
        <v/>
      </c>
      <c r="H1133" s="94" t="str">
        <f>IF(OR(Main[[#This Row],[Std. Prod. Lead Time]]="N/A",Main[[#This Row],[Std. Prod. Lead Time]]=""), "",IF(AND(Main[[#This Row],[In Stock Date]]&lt;&gt;"",Main[[#This Row],[Revised Due Date]]&lt;&gt;"",Main[[#This Row],[In Stock Date]]&lt;&gt;""),Main[[#This Row],[In Stock Date]]-Main[[#This Row],[Revised Due Date]],""))</f>
        <v/>
      </c>
      <c r="I1133" s="101" t="s">
        <v>74</v>
      </c>
      <c r="J1133" s="95" t="s">
        <v>28</v>
      </c>
      <c r="K1133" s="95" t="s">
        <v>1923</v>
      </c>
      <c r="L1133" s="85"/>
      <c r="M1133" s="73" t="str">
        <f>IF(Main[[#This Row],[Tech Start Date]]&lt;1/1/1990,"",IF(Main[[#This Row],[Class]]="C",WORKDAY(Main[[#This Row],[Tech Start Date]],9),IF(Main[[#This Row],[Class]]="B", WORKDAY(Main[[#This Row],[Tech Start Date]],6),IF(Main[[#This Row],[Class]]="A",WORKDAY(Main[[#This Row],[Tech Start Date]],2),""))))</f>
        <v/>
      </c>
      <c r="N1133" s="73" t="str">
        <f>IF(Main[[#This Row],[Tech Start Date]]&lt;1/1/1990,"",IF(Main[[#This Row],[Class]]="C",WORKDAY(Main[[#This Row],[Tech Start Date]],19),IF(Main[[#This Row],[Class]]="B", WORKDAY(Main[[#This Row],[Tech Start Date]],12),IF(Main[[#This Row],[Class]]="A",WORKDAY(Main[[#This Row],[Tech Start Date]],4),""))))</f>
        <v/>
      </c>
      <c r="O1133" s="73" t="str">
        <f>IF(Main[[#This Row],[Tech Start Date]]&lt;1/1/1990,"",IF(Main[[#This Row],[Class]]="C",WORKDAY(Main[[#This Row],[Tech Start Date]],23),IF(Main[[#This Row],[Class]]="B", WORKDAY(Main[[#This Row],[Tech Start Date]],15),IF(Main[[#This Row],[Class]]="A",WORKDAY(Main[[#This Row],[Tech Start Date]],5),""))))</f>
        <v/>
      </c>
      <c r="P1133" s="73" t="str">
        <f>IF(Main[[#This Row],[Tech Start Date]]&lt;1/1/1990,"",IF(Main[[#This Row],[Class]]="C",WORKDAY(Main[[#This Row],[Tech Start Date]],28),IF(Main[[#This Row],[Class]]="B", WORKDAY(Main[[#This Row],[Tech Start Date]],19),IF(Main[[#This Row],[Class]]="A",WORKDAY(Main[[#This Row],[Tech Start Date]],9),""))))</f>
        <v/>
      </c>
      <c r="Q1133" s="85"/>
      <c r="R1133" s="112">
        <v>40875</v>
      </c>
      <c r="S1133" s="95" t="s">
        <v>17</v>
      </c>
      <c r="T1133" s="74" t="s">
        <v>4</v>
      </c>
      <c r="U1133" s="95" t="s">
        <v>29</v>
      </c>
      <c r="V1133" s="95" t="s">
        <v>1914</v>
      </c>
      <c r="W1133" s="95" t="s">
        <v>1919</v>
      </c>
      <c r="X1133" s="95" t="s">
        <v>399</v>
      </c>
      <c r="Y1133" s="72" t="s">
        <v>4</v>
      </c>
      <c r="Z1133" s="72" t="s">
        <v>415</v>
      </c>
      <c r="AA1133" s="95" t="s">
        <v>3419</v>
      </c>
      <c r="AB1133" s="132"/>
      <c r="AC1133" s="132"/>
      <c r="AD1133" s="132"/>
      <c r="AE1133" s="63"/>
      <c r="AF1133" s="63"/>
      <c r="AG1133" s="63"/>
    </row>
    <row r="1134" spans="1:33" ht="17.2" customHeight="1">
      <c r="A1134" s="64" t="str">
        <f>IF(priority(Main[[#This Row],[Comments]])&lt;&gt;0, priority(Main[[#This Row],[Comments]]),"")</f>
        <v/>
      </c>
      <c r="B1134" s="60" t="s">
        <v>3331</v>
      </c>
      <c r="C1134" s="72" t="s">
        <v>4</v>
      </c>
      <c r="D1134" s="59" t="s">
        <v>3897</v>
      </c>
      <c r="E1134" s="85">
        <v>40940.228032407409</v>
      </c>
      <c r="F1134" s="85"/>
      <c r="G1134" s="64" t="str">
        <f>IF(stdProdLT(Main[[#This Row],[Comments]])=0.1,"N/A",IF(stdProdLT(Main[[#This Row],[Comments]])=0,"",TRIM(stdProdLT(Main[[#This Row],[Comments]]))))</f>
        <v/>
      </c>
      <c r="H1134" s="94" t="str">
        <f>IF(OR(Main[[#This Row],[Std. Prod. Lead Time]]="N/A",Main[[#This Row],[Std. Prod. Lead Time]]=""), "",IF(AND(Main[[#This Row],[In Stock Date]]&lt;&gt;"",Main[[#This Row],[Revised Due Date]]&lt;&gt;"",Main[[#This Row],[In Stock Date]]&lt;&gt;""),Main[[#This Row],[In Stock Date]]-Main[[#This Row],[Revised Due Date]],""))</f>
        <v/>
      </c>
      <c r="I1134" s="101" t="s">
        <v>130</v>
      </c>
      <c r="J1134" s="95" t="s">
        <v>70</v>
      </c>
      <c r="K1134" s="96" t="s">
        <v>1920</v>
      </c>
      <c r="L1134" s="85"/>
      <c r="M1134" s="73" t="str">
        <f>IF(Main[[#This Row],[Tech Start Date]]&lt;1/1/1990,"",IF(Main[[#This Row],[Class]]="C",WORKDAY(Main[[#This Row],[Tech Start Date]],9),IF(Main[[#This Row],[Class]]="B", WORKDAY(Main[[#This Row],[Tech Start Date]],6),IF(Main[[#This Row],[Class]]="A",WORKDAY(Main[[#This Row],[Tech Start Date]],2),""))))</f>
        <v/>
      </c>
      <c r="N1134" s="73" t="str">
        <f>IF(Main[[#This Row],[Tech Start Date]]&lt;1/1/1990,"",IF(Main[[#This Row],[Class]]="C",WORKDAY(Main[[#This Row],[Tech Start Date]],19),IF(Main[[#This Row],[Class]]="B", WORKDAY(Main[[#This Row],[Tech Start Date]],12),IF(Main[[#This Row],[Class]]="A",WORKDAY(Main[[#This Row],[Tech Start Date]],4),""))))</f>
        <v/>
      </c>
      <c r="O1134" s="73" t="str">
        <f>IF(Main[[#This Row],[Tech Start Date]]&lt;1/1/1990,"",IF(Main[[#This Row],[Class]]="C",WORKDAY(Main[[#This Row],[Tech Start Date]],23),IF(Main[[#This Row],[Class]]="B", WORKDAY(Main[[#This Row],[Tech Start Date]],15),IF(Main[[#This Row],[Class]]="A",WORKDAY(Main[[#This Row],[Tech Start Date]],5),""))))</f>
        <v/>
      </c>
      <c r="P1134" s="73" t="str">
        <f>IF(Main[[#This Row],[Tech Start Date]]&lt;1/1/1990,"",IF(Main[[#This Row],[Class]]="C",WORKDAY(Main[[#This Row],[Tech Start Date]],28),IF(Main[[#This Row],[Class]]="B", WORKDAY(Main[[#This Row],[Tech Start Date]],19),IF(Main[[#This Row],[Class]]="A",WORKDAY(Main[[#This Row],[Tech Start Date]],9),""))))</f>
        <v/>
      </c>
      <c r="Q1134" s="85">
        <v>40969</v>
      </c>
      <c r="R1134" s="112"/>
      <c r="S1134" s="95" t="s">
        <v>6</v>
      </c>
      <c r="T1134" s="74" t="s">
        <v>4</v>
      </c>
      <c r="U1134" s="95" t="s">
        <v>29</v>
      </c>
      <c r="V1134" s="95" t="s">
        <v>1914</v>
      </c>
      <c r="W1134" s="95" t="s">
        <v>1915</v>
      </c>
      <c r="X1134" s="95" t="s">
        <v>2802</v>
      </c>
      <c r="Y1134" s="72" t="s">
        <v>2916</v>
      </c>
      <c r="Z1134" s="72" t="s">
        <v>30</v>
      </c>
      <c r="AA1134" s="95" t="s">
        <v>2802</v>
      </c>
      <c r="AB1134" s="132"/>
      <c r="AC1134" s="132"/>
      <c r="AD1134" s="132"/>
      <c r="AE1134" s="63"/>
      <c r="AF1134" s="63"/>
      <c r="AG1134" s="63"/>
    </row>
    <row r="1135" spans="1:33" ht="17.2" customHeight="1">
      <c r="A1135" s="12" t="str">
        <f>IF(priority(Main[[#This Row],[Comments]])&lt;&gt;0, priority(Main[[#This Row],[Comments]]),"")</f>
        <v/>
      </c>
      <c r="B1135" s="60" t="s">
        <v>3584</v>
      </c>
      <c r="C1135" s="75" t="s">
        <v>4</v>
      </c>
      <c r="D1135" s="110" t="s">
        <v>3585</v>
      </c>
      <c r="E1135" s="86">
        <v>40956.460902777777</v>
      </c>
      <c r="F1135" s="86"/>
      <c r="G1135" s="12" t="str">
        <f>IF(stdProdLT(Main[[#This Row],[Comments]])=0.1,"N/A",IF(stdProdLT(Main[[#This Row],[Comments]])=0,"",TRIM(stdProdLT(Main[[#This Row],[Comments]]))))</f>
        <v/>
      </c>
      <c r="H1135" s="97" t="str">
        <f>IF(OR(Main[[#This Row],[Std. Prod. Lead Time]]="N/A",Main[[#This Row],[Std. Prod. Lead Time]]=""), "",IF(AND(Main[[#This Row],[In Stock Date]]&lt;&gt;"",Main[[#This Row],[Revised Due Date]]&lt;&gt;"",Main[[#This Row],[In Stock Date]]&lt;&gt;""),Main[[#This Row],[In Stock Date]]-Main[[#This Row],[Revised Due Date]],""))</f>
        <v/>
      </c>
      <c r="I1135" s="102" t="s">
        <v>2045</v>
      </c>
      <c r="J1135" s="12" t="s">
        <v>28</v>
      </c>
      <c r="K1135" s="12" t="s">
        <v>4</v>
      </c>
      <c r="L1135" s="86"/>
      <c r="M1135" s="73" t="str">
        <f>IF(Main[[#This Row],[Tech Start Date]]&lt;1/1/1990,"",IF(Main[[#This Row],[Class]]="C",WORKDAY(Main[[#This Row],[Tech Start Date]],9),IF(Main[[#This Row],[Class]]="B", WORKDAY(Main[[#This Row],[Tech Start Date]],6),IF(Main[[#This Row],[Class]]="A",WORKDAY(Main[[#This Row],[Tech Start Date]],2),""))))</f>
        <v/>
      </c>
      <c r="N1135" s="73" t="str">
        <f>IF(Main[[#This Row],[Tech Start Date]]&lt;1/1/1990,"",IF(Main[[#This Row],[Class]]="C",WORKDAY(Main[[#This Row],[Tech Start Date]],19),IF(Main[[#This Row],[Class]]="B", WORKDAY(Main[[#This Row],[Tech Start Date]],12),IF(Main[[#This Row],[Class]]="A",WORKDAY(Main[[#This Row],[Tech Start Date]],4),""))))</f>
        <v/>
      </c>
      <c r="O1135" s="73" t="str">
        <f>IF(Main[[#This Row],[Tech Start Date]]&lt;1/1/1990,"",IF(Main[[#This Row],[Class]]="C",WORKDAY(Main[[#This Row],[Tech Start Date]],23),IF(Main[[#This Row],[Class]]="B", WORKDAY(Main[[#This Row],[Tech Start Date]],15),IF(Main[[#This Row],[Class]]="A",WORKDAY(Main[[#This Row],[Tech Start Date]],5),""))))</f>
        <v/>
      </c>
      <c r="P1135" s="73" t="str">
        <f>IF(Main[[#This Row],[Tech Start Date]]&lt;1/1/1990,"",IF(Main[[#This Row],[Class]]="C",WORKDAY(Main[[#This Row],[Tech Start Date]],28),IF(Main[[#This Row],[Class]]="B", WORKDAY(Main[[#This Row],[Tech Start Date]],19),IF(Main[[#This Row],[Class]]="A",WORKDAY(Main[[#This Row],[Tech Start Date]],9),""))))</f>
        <v/>
      </c>
      <c r="Q1135" s="86">
        <v>40991</v>
      </c>
      <c r="R1135" s="115"/>
      <c r="S1135" s="12" t="s">
        <v>6</v>
      </c>
      <c r="T1135" s="76" t="s">
        <v>4</v>
      </c>
      <c r="U1135" s="12" t="s">
        <v>29</v>
      </c>
      <c r="V1135" s="12" t="s">
        <v>1914</v>
      </c>
      <c r="W1135" s="12" t="s">
        <v>1915</v>
      </c>
      <c r="X1135" s="12" t="s">
        <v>2798</v>
      </c>
      <c r="Y1135" s="75" t="s">
        <v>2908</v>
      </c>
      <c r="Z1135" s="75" t="s">
        <v>30</v>
      </c>
      <c r="AA1135" s="95" t="s">
        <v>2798</v>
      </c>
      <c r="AB1135" s="132"/>
      <c r="AC1135" s="132"/>
      <c r="AD1135" s="132"/>
      <c r="AE1135" s="63"/>
      <c r="AF1135" s="63"/>
      <c r="AG1135" s="63"/>
    </row>
    <row r="1136" spans="1:33" ht="17.2" customHeight="1">
      <c r="A1136" s="12" t="str">
        <f>IF(priority(Main[[#This Row],[Comments]])&lt;&gt;0, priority(Main[[#This Row],[Comments]]),"")</f>
        <v/>
      </c>
      <c r="B1136" s="60" t="s">
        <v>2288</v>
      </c>
      <c r="C1136" s="75" t="s">
        <v>4</v>
      </c>
      <c r="D1136" s="110" t="s">
        <v>3586</v>
      </c>
      <c r="E1136" s="86">
        <v>40814.667314814818</v>
      </c>
      <c r="F1136" s="86"/>
      <c r="G1136" s="12" t="str">
        <f>IF(stdProdLT(Main[[#This Row],[Comments]])=0.1,"N/A",IF(stdProdLT(Main[[#This Row],[Comments]])=0,"",TRIM(stdProdLT(Main[[#This Row],[Comments]]))))</f>
        <v/>
      </c>
      <c r="H1136" s="97" t="str">
        <f>IF(OR(Main[[#This Row],[Std. Prod. Lead Time]]="N/A",Main[[#This Row],[Std. Prod. Lead Time]]=""), "",IF(AND(Main[[#This Row],[In Stock Date]]&lt;&gt;"",Main[[#This Row],[Revised Due Date]]&lt;&gt;"",Main[[#This Row],[In Stock Date]]&lt;&gt;""),Main[[#This Row],[In Stock Date]]-Main[[#This Row],[Revised Due Date]],""))</f>
        <v/>
      </c>
      <c r="I1136" s="102" t="s">
        <v>883</v>
      </c>
      <c r="J1136" s="12" t="s">
        <v>51</v>
      </c>
      <c r="K1136" s="12" t="s">
        <v>1920</v>
      </c>
      <c r="L1136" s="86"/>
      <c r="M1136" s="73" t="str">
        <f>IF(Main[[#This Row],[Tech Start Date]]&lt;1/1/1990,"",IF(Main[[#This Row],[Class]]="C",WORKDAY(Main[[#This Row],[Tech Start Date]],9),IF(Main[[#This Row],[Class]]="B", WORKDAY(Main[[#This Row],[Tech Start Date]],6),IF(Main[[#This Row],[Class]]="A",WORKDAY(Main[[#This Row],[Tech Start Date]],2),""))))</f>
        <v/>
      </c>
      <c r="N1136" s="73" t="str">
        <f>IF(Main[[#This Row],[Tech Start Date]]&lt;1/1/1990,"",IF(Main[[#This Row],[Class]]="C",WORKDAY(Main[[#This Row],[Tech Start Date]],19),IF(Main[[#This Row],[Class]]="B", WORKDAY(Main[[#This Row],[Tech Start Date]],12),IF(Main[[#This Row],[Class]]="A",WORKDAY(Main[[#This Row],[Tech Start Date]],4),""))))</f>
        <v/>
      </c>
      <c r="O1136" s="73" t="str">
        <f>IF(Main[[#This Row],[Tech Start Date]]&lt;1/1/1990,"",IF(Main[[#This Row],[Class]]="C",WORKDAY(Main[[#This Row],[Tech Start Date]],23),IF(Main[[#This Row],[Class]]="B", WORKDAY(Main[[#This Row],[Tech Start Date]],15),IF(Main[[#This Row],[Class]]="A",WORKDAY(Main[[#This Row],[Tech Start Date]],5),""))))</f>
        <v/>
      </c>
      <c r="P1136" s="73" t="str">
        <f>IF(Main[[#This Row],[Tech Start Date]]&lt;1/1/1990,"",IF(Main[[#This Row],[Class]]="C",WORKDAY(Main[[#This Row],[Tech Start Date]],28),IF(Main[[#This Row],[Class]]="B", WORKDAY(Main[[#This Row],[Tech Start Date]],19),IF(Main[[#This Row],[Class]]="A",WORKDAY(Main[[#This Row],[Tech Start Date]],9),""))))</f>
        <v/>
      </c>
      <c r="Q1136" s="86"/>
      <c r="R1136" s="115"/>
      <c r="S1136" s="12" t="s">
        <v>6</v>
      </c>
      <c r="T1136" s="76" t="s">
        <v>4</v>
      </c>
      <c r="U1136" s="12" t="s">
        <v>29</v>
      </c>
      <c r="V1136" s="12" t="s">
        <v>1914</v>
      </c>
      <c r="W1136" s="12" t="s">
        <v>1915</v>
      </c>
      <c r="X1136" s="12" t="s">
        <v>399</v>
      </c>
      <c r="Y1136" s="75" t="s">
        <v>2941</v>
      </c>
      <c r="Z1136" s="75" t="s">
        <v>306</v>
      </c>
      <c r="AA1136" s="95" t="s">
        <v>883</v>
      </c>
      <c r="AB1136" s="132"/>
      <c r="AC1136" s="132"/>
      <c r="AD1136" s="132"/>
      <c r="AE1136" s="63"/>
      <c r="AF1136" s="63"/>
      <c r="AG1136" s="63"/>
    </row>
    <row r="1137" spans="1:33" ht="17.2" customHeight="1">
      <c r="A1137" s="12" t="str">
        <f>IF(priority(Main[[#This Row],[Comments]])&lt;&gt;0, priority(Main[[#This Row],[Comments]]),"")</f>
        <v/>
      </c>
      <c r="B1137" s="60" t="s">
        <v>2480</v>
      </c>
      <c r="C1137" s="75" t="s">
        <v>4</v>
      </c>
      <c r="D1137" s="110" t="s">
        <v>2481</v>
      </c>
      <c r="E1137" s="86"/>
      <c r="F1137" s="86"/>
      <c r="G1137" s="12" t="str">
        <f>IF(stdProdLT(Main[[#This Row],[Comments]])=0.1,"N/A",IF(stdProdLT(Main[[#This Row],[Comments]])=0,"",TRIM(stdProdLT(Main[[#This Row],[Comments]]))))</f>
        <v/>
      </c>
      <c r="H1137" s="97" t="str">
        <f>IF(OR(Main[[#This Row],[Std. Prod. Lead Time]]="N/A",Main[[#This Row],[Std. Prod. Lead Time]]=""), "",IF(AND(Main[[#This Row],[In Stock Date]]&lt;&gt;"",Main[[#This Row],[Revised Due Date]]&lt;&gt;"",Main[[#This Row],[In Stock Date]]&lt;&gt;""),Main[[#This Row],[In Stock Date]]-Main[[#This Row],[Revised Due Date]],""))</f>
        <v/>
      </c>
      <c r="I1137" s="102" t="s">
        <v>530</v>
      </c>
      <c r="J1137" s="12" t="s">
        <v>21</v>
      </c>
      <c r="K1137" s="12" t="s">
        <v>1920</v>
      </c>
      <c r="L1137" s="86"/>
      <c r="M1137" s="73" t="str">
        <f>IF(Main[[#This Row],[Tech Start Date]]&lt;1/1/1990,"",IF(Main[[#This Row],[Class]]="C",WORKDAY(Main[[#This Row],[Tech Start Date]],9),IF(Main[[#This Row],[Class]]="B", WORKDAY(Main[[#This Row],[Tech Start Date]],6),IF(Main[[#This Row],[Class]]="A",WORKDAY(Main[[#This Row],[Tech Start Date]],2),""))))</f>
        <v/>
      </c>
      <c r="N1137" s="73" t="str">
        <f>IF(Main[[#This Row],[Tech Start Date]]&lt;1/1/1990,"",IF(Main[[#This Row],[Class]]="C",WORKDAY(Main[[#This Row],[Tech Start Date]],19),IF(Main[[#This Row],[Class]]="B", WORKDAY(Main[[#This Row],[Tech Start Date]],12),IF(Main[[#This Row],[Class]]="A",WORKDAY(Main[[#This Row],[Tech Start Date]],4),""))))</f>
        <v/>
      </c>
      <c r="O1137" s="73" t="str">
        <f>IF(Main[[#This Row],[Tech Start Date]]&lt;1/1/1990,"",IF(Main[[#This Row],[Class]]="C",WORKDAY(Main[[#This Row],[Tech Start Date]],23),IF(Main[[#This Row],[Class]]="B", WORKDAY(Main[[#This Row],[Tech Start Date]],15),IF(Main[[#This Row],[Class]]="A",WORKDAY(Main[[#This Row],[Tech Start Date]],5),""))))</f>
        <v/>
      </c>
      <c r="P1137" s="73" t="str">
        <f>IF(Main[[#This Row],[Tech Start Date]]&lt;1/1/1990,"",IF(Main[[#This Row],[Class]]="C",WORKDAY(Main[[#This Row],[Tech Start Date]],28),IF(Main[[#This Row],[Class]]="B", WORKDAY(Main[[#This Row],[Tech Start Date]],19),IF(Main[[#This Row],[Class]]="A",WORKDAY(Main[[#This Row],[Tech Start Date]],9),""))))</f>
        <v/>
      </c>
      <c r="Q1137" s="86">
        <v>40939</v>
      </c>
      <c r="R1137" s="115"/>
      <c r="S1137" s="12" t="s">
        <v>6</v>
      </c>
      <c r="T1137" s="76" t="s">
        <v>4</v>
      </c>
      <c r="U1137" s="12" t="s">
        <v>14</v>
      </c>
      <c r="V1137" s="12" t="s">
        <v>1914</v>
      </c>
      <c r="W1137" s="12" t="s">
        <v>1915</v>
      </c>
      <c r="X1137" s="12" t="s">
        <v>553</v>
      </c>
      <c r="Y1137" s="75" t="s">
        <v>2930</v>
      </c>
      <c r="Z1137" s="75" t="s">
        <v>30</v>
      </c>
      <c r="AA1137" s="95" t="s">
        <v>553</v>
      </c>
      <c r="AB1137" s="132"/>
      <c r="AC1137" s="132"/>
      <c r="AD1137" s="132"/>
      <c r="AE1137" s="63"/>
      <c r="AF1137" s="63"/>
      <c r="AG1137" s="63"/>
    </row>
    <row r="1138" spans="1:33" ht="17.2" customHeight="1">
      <c r="A1138" s="12" t="str">
        <f>IF(priority(Main[[#This Row],[Comments]])&lt;&gt;0, priority(Main[[#This Row],[Comments]]),"")</f>
        <v/>
      </c>
      <c r="B1138" s="60" t="s">
        <v>2451</v>
      </c>
      <c r="C1138" s="75" t="s">
        <v>4</v>
      </c>
      <c r="D1138" s="110" t="s">
        <v>2657</v>
      </c>
      <c r="E1138" s="86">
        <v>40865.334965277776</v>
      </c>
      <c r="F1138" s="86"/>
      <c r="G1138" s="12" t="str">
        <f>IF(stdProdLT(Main[[#This Row],[Comments]])=0.1,"N/A",IF(stdProdLT(Main[[#This Row],[Comments]])=0,"",TRIM(stdProdLT(Main[[#This Row],[Comments]]))))</f>
        <v/>
      </c>
      <c r="H1138" s="97" t="str">
        <f>IF(OR(Main[[#This Row],[Std. Prod. Lead Time]]="N/A",Main[[#This Row],[Std. Prod. Lead Time]]=""), "",IF(AND(Main[[#This Row],[In Stock Date]]&lt;&gt;"",Main[[#This Row],[Revised Due Date]]&lt;&gt;"",Main[[#This Row],[In Stock Date]]&lt;&gt;""),Main[[#This Row],[In Stock Date]]-Main[[#This Row],[Revised Due Date]],""))</f>
        <v/>
      </c>
      <c r="I1138" s="102" t="s">
        <v>4</v>
      </c>
      <c r="J1138" s="12" t="s">
        <v>4</v>
      </c>
      <c r="K1138" s="12" t="s">
        <v>4</v>
      </c>
      <c r="L1138" s="86"/>
      <c r="M1138" s="73" t="str">
        <f>IF(Main[[#This Row],[Tech Start Date]]&lt;1/1/1990,"",IF(Main[[#This Row],[Class]]="C",WORKDAY(Main[[#This Row],[Tech Start Date]],9),IF(Main[[#This Row],[Class]]="B", WORKDAY(Main[[#This Row],[Tech Start Date]],6),IF(Main[[#This Row],[Class]]="A",WORKDAY(Main[[#This Row],[Tech Start Date]],2),""))))</f>
        <v/>
      </c>
      <c r="N1138" s="73" t="str">
        <f>IF(Main[[#This Row],[Tech Start Date]]&lt;1/1/1990,"",IF(Main[[#This Row],[Class]]="C",WORKDAY(Main[[#This Row],[Tech Start Date]],19),IF(Main[[#This Row],[Class]]="B", WORKDAY(Main[[#This Row],[Tech Start Date]],12),IF(Main[[#This Row],[Class]]="A",WORKDAY(Main[[#This Row],[Tech Start Date]],4),""))))</f>
        <v/>
      </c>
      <c r="O1138" s="73" t="str">
        <f>IF(Main[[#This Row],[Tech Start Date]]&lt;1/1/1990,"",IF(Main[[#This Row],[Class]]="C",WORKDAY(Main[[#This Row],[Tech Start Date]],23),IF(Main[[#This Row],[Class]]="B", WORKDAY(Main[[#This Row],[Tech Start Date]],15),IF(Main[[#This Row],[Class]]="A",WORKDAY(Main[[#This Row],[Tech Start Date]],5),""))))</f>
        <v/>
      </c>
      <c r="P1138" s="73" t="str">
        <f>IF(Main[[#This Row],[Tech Start Date]]&lt;1/1/1990,"",IF(Main[[#This Row],[Class]]="C",WORKDAY(Main[[#This Row],[Tech Start Date]],28),IF(Main[[#This Row],[Class]]="B", WORKDAY(Main[[#This Row],[Tech Start Date]],19),IF(Main[[#This Row],[Class]]="A",WORKDAY(Main[[#This Row],[Tech Start Date]],9),""))))</f>
        <v/>
      </c>
      <c r="Q1138" s="86"/>
      <c r="R1138" s="115"/>
      <c r="S1138" s="12" t="s">
        <v>6</v>
      </c>
      <c r="T1138" s="76" t="s">
        <v>4</v>
      </c>
      <c r="U1138" s="12" t="s">
        <v>7</v>
      </c>
      <c r="V1138" s="12" t="s">
        <v>1911</v>
      </c>
      <c r="W1138" s="12" t="s">
        <v>1915</v>
      </c>
      <c r="X1138" s="12" t="s">
        <v>102</v>
      </c>
      <c r="Y1138" s="75" t="s">
        <v>3058</v>
      </c>
      <c r="Z1138" s="75" t="s">
        <v>4</v>
      </c>
      <c r="AA1138" s="95" t="s">
        <v>3346</v>
      </c>
      <c r="AB1138" s="132"/>
      <c r="AC1138" s="132"/>
      <c r="AD1138" s="132"/>
      <c r="AE1138" s="63"/>
      <c r="AF1138" s="63"/>
      <c r="AG1138" s="63"/>
    </row>
    <row r="1139" spans="1:33" ht="17.2" customHeight="1">
      <c r="A1139" s="64" t="str">
        <f>IF(priority(Main[[#This Row],[Comments]])&lt;&gt;0, priority(Main[[#This Row],[Comments]]),"")</f>
        <v/>
      </c>
      <c r="B1139" s="60" t="s">
        <v>2369</v>
      </c>
      <c r="C1139" s="72" t="s">
        <v>4</v>
      </c>
      <c r="D1139" s="59" t="s">
        <v>2370</v>
      </c>
      <c r="E1139" s="85">
        <v>40835.331365740742</v>
      </c>
      <c r="F1139" s="85"/>
      <c r="G1139" s="64" t="str">
        <f>IF(stdProdLT(Main[[#This Row],[Comments]])=0.1,"N/A",IF(stdProdLT(Main[[#This Row],[Comments]])=0,"",TRIM(stdProdLT(Main[[#This Row],[Comments]]))))</f>
        <v/>
      </c>
      <c r="H1139" s="94" t="str">
        <f>IF(OR(Main[[#This Row],[Std. Prod. Lead Time]]="N/A",Main[[#This Row],[Std. Prod. Lead Time]]=""), "",IF(AND(Main[[#This Row],[In Stock Date]]&lt;&gt;"",Main[[#This Row],[Revised Due Date]]&lt;&gt;"",Main[[#This Row],[In Stock Date]]&lt;&gt;""),Main[[#This Row],[In Stock Date]]-Main[[#This Row],[Revised Due Date]],""))</f>
        <v/>
      </c>
      <c r="I1139" s="101" t="s">
        <v>530</v>
      </c>
      <c r="J1139" s="95" t="s">
        <v>21</v>
      </c>
      <c r="K1139" s="95" t="s">
        <v>1920</v>
      </c>
      <c r="L1139" s="85"/>
      <c r="M1139" s="73" t="str">
        <f>IF(Main[[#This Row],[Tech Start Date]]&lt;1/1/1990,"",IF(Main[[#This Row],[Class]]="C",WORKDAY(Main[[#This Row],[Tech Start Date]],9),IF(Main[[#This Row],[Class]]="B", WORKDAY(Main[[#This Row],[Tech Start Date]],6),IF(Main[[#This Row],[Class]]="A",WORKDAY(Main[[#This Row],[Tech Start Date]],2),""))))</f>
        <v/>
      </c>
      <c r="N1139" s="73" t="str">
        <f>IF(Main[[#This Row],[Tech Start Date]]&lt;1/1/1990,"",IF(Main[[#This Row],[Class]]="C",WORKDAY(Main[[#This Row],[Tech Start Date]],19),IF(Main[[#This Row],[Class]]="B", WORKDAY(Main[[#This Row],[Tech Start Date]],12),IF(Main[[#This Row],[Class]]="A",WORKDAY(Main[[#This Row],[Tech Start Date]],4),""))))</f>
        <v/>
      </c>
      <c r="O1139" s="73" t="str">
        <f>IF(Main[[#This Row],[Tech Start Date]]&lt;1/1/1990,"",IF(Main[[#This Row],[Class]]="C",WORKDAY(Main[[#This Row],[Tech Start Date]],23),IF(Main[[#This Row],[Class]]="B", WORKDAY(Main[[#This Row],[Tech Start Date]],15),IF(Main[[#This Row],[Class]]="A",WORKDAY(Main[[#This Row],[Tech Start Date]],5),""))))</f>
        <v/>
      </c>
      <c r="P1139" s="73" t="str">
        <f>IF(Main[[#This Row],[Tech Start Date]]&lt;1/1/1990,"",IF(Main[[#This Row],[Class]]="C",WORKDAY(Main[[#This Row],[Tech Start Date]],28),IF(Main[[#This Row],[Class]]="B", WORKDAY(Main[[#This Row],[Tech Start Date]],19),IF(Main[[#This Row],[Class]]="A",WORKDAY(Main[[#This Row],[Tech Start Date]],9),""))))</f>
        <v/>
      </c>
      <c r="Q1139" s="85"/>
      <c r="R1139" s="112"/>
      <c r="S1139" s="95" t="s">
        <v>6</v>
      </c>
      <c r="T1139" s="74" t="s">
        <v>4</v>
      </c>
      <c r="U1139" s="95" t="s">
        <v>29</v>
      </c>
      <c r="V1139" s="95" t="s">
        <v>1914</v>
      </c>
      <c r="W1139" s="95" t="s">
        <v>1915</v>
      </c>
      <c r="X1139" s="95" t="s">
        <v>399</v>
      </c>
      <c r="Y1139" s="72" t="s">
        <v>4</v>
      </c>
      <c r="Z1139" s="72" t="s">
        <v>530</v>
      </c>
      <c r="AA1139" s="95" t="s">
        <v>3357</v>
      </c>
      <c r="AB1139" s="132"/>
      <c r="AC1139" s="132"/>
      <c r="AD1139" s="132"/>
      <c r="AE1139" s="63"/>
      <c r="AF1139" s="63"/>
      <c r="AG1139" s="63"/>
    </row>
    <row r="1140" spans="1:33" ht="17.2" customHeight="1">
      <c r="A1140" s="64" t="str">
        <f>IF(priority(Main[[#This Row],[Comments]])&lt;&gt;0, priority(Main[[#This Row],[Comments]]),"")</f>
        <v/>
      </c>
      <c r="B1140" s="60" t="s">
        <v>3587</v>
      </c>
      <c r="C1140" s="72" t="s">
        <v>122</v>
      </c>
      <c r="D1140" s="59" t="s">
        <v>3588</v>
      </c>
      <c r="E1140" s="85">
        <v>40966.422523148147</v>
      </c>
      <c r="F1140" s="85">
        <v>40998</v>
      </c>
      <c r="G1140" s="64" t="str">
        <f>IF(stdProdLT(Main[[#This Row],[Comments]])=0.1,"N/A",IF(stdProdLT(Main[[#This Row],[Comments]])=0,"",TRIM(stdProdLT(Main[[#This Row],[Comments]]))))</f>
        <v/>
      </c>
      <c r="H1140" s="94" t="str">
        <f>IF(OR(Main[[#This Row],[Std. Prod. Lead Time]]="N/A",Main[[#This Row],[Std. Prod. Lead Time]]=""), "",IF(AND(Main[[#This Row],[In Stock Date]]&lt;&gt;"",Main[[#This Row],[Revised Due Date]]&lt;&gt;"",Main[[#This Row],[In Stock Date]]&lt;&gt;""),Main[[#This Row],[In Stock Date]]-Main[[#This Row],[Revised Due Date]],""))</f>
        <v/>
      </c>
      <c r="I1140" s="101" t="s">
        <v>4</v>
      </c>
      <c r="J1140" s="95" t="s">
        <v>4</v>
      </c>
      <c r="K1140" s="95" t="s">
        <v>4</v>
      </c>
      <c r="L1140" s="85"/>
      <c r="M1140" s="73" t="str">
        <f>IF(Main[[#This Row],[Tech Start Date]]&lt;1/1/1990,"",IF(Main[[#This Row],[Class]]="C",WORKDAY(Main[[#This Row],[Tech Start Date]],9),IF(Main[[#This Row],[Class]]="B", WORKDAY(Main[[#This Row],[Tech Start Date]],6),IF(Main[[#This Row],[Class]]="A",WORKDAY(Main[[#This Row],[Tech Start Date]],2),""))))</f>
        <v/>
      </c>
      <c r="N1140" s="73" t="str">
        <f>IF(Main[[#This Row],[Tech Start Date]]&lt;1/1/1990,"",IF(Main[[#This Row],[Class]]="C",WORKDAY(Main[[#This Row],[Tech Start Date]],19),IF(Main[[#This Row],[Class]]="B", WORKDAY(Main[[#This Row],[Tech Start Date]],12),IF(Main[[#This Row],[Class]]="A",WORKDAY(Main[[#This Row],[Tech Start Date]],4),""))))</f>
        <v/>
      </c>
      <c r="O1140" s="73" t="str">
        <f>IF(Main[[#This Row],[Tech Start Date]]&lt;1/1/1990,"",IF(Main[[#This Row],[Class]]="C",WORKDAY(Main[[#This Row],[Tech Start Date]],23),IF(Main[[#This Row],[Class]]="B", WORKDAY(Main[[#This Row],[Tech Start Date]],15),IF(Main[[#This Row],[Class]]="A",WORKDAY(Main[[#This Row],[Tech Start Date]],5),""))))</f>
        <v/>
      </c>
      <c r="P1140" s="73" t="str">
        <f>IF(Main[[#This Row],[Tech Start Date]]&lt;1/1/1990,"",IF(Main[[#This Row],[Class]]="C",WORKDAY(Main[[#This Row],[Tech Start Date]],28),IF(Main[[#This Row],[Class]]="B", WORKDAY(Main[[#This Row],[Tech Start Date]],19),IF(Main[[#This Row],[Class]]="A",WORKDAY(Main[[#This Row],[Tech Start Date]],9),""))))</f>
        <v/>
      </c>
      <c r="Q1140" s="85"/>
      <c r="R1140" s="112"/>
      <c r="S1140" s="95" t="s">
        <v>17</v>
      </c>
      <c r="T1140" s="74" t="s">
        <v>4</v>
      </c>
      <c r="U1140" s="95" t="s">
        <v>7</v>
      </c>
      <c r="V1140" s="95" t="s">
        <v>1914</v>
      </c>
      <c r="W1140" s="95" t="s">
        <v>1919</v>
      </c>
      <c r="X1140" s="95" t="s">
        <v>50</v>
      </c>
      <c r="Y1140" s="72" t="s">
        <v>3532</v>
      </c>
      <c r="Z1140" s="72" t="s">
        <v>4</v>
      </c>
      <c r="AA1140" s="95" t="s">
        <v>65</v>
      </c>
      <c r="AB1140" s="132"/>
      <c r="AC1140" s="132"/>
      <c r="AD1140" s="132"/>
      <c r="AE1140" s="63"/>
      <c r="AF1140" s="63"/>
      <c r="AG1140" s="63"/>
    </row>
    <row r="1141" spans="1:33" ht="17.2" customHeight="1">
      <c r="A1141" s="64" t="str">
        <f>IF(priority(Main[[#This Row],[Comments]])&lt;&gt;0, priority(Main[[#This Row],[Comments]]),"")</f>
        <v/>
      </c>
      <c r="B1141" s="60" t="s">
        <v>2375</v>
      </c>
      <c r="C1141" s="72" t="s">
        <v>72</v>
      </c>
      <c r="D1141" s="59" t="s">
        <v>2376</v>
      </c>
      <c r="E1141" s="85">
        <v>40856.064849537041</v>
      </c>
      <c r="F1141" s="85"/>
      <c r="G1141" s="64" t="str">
        <f>IF(stdProdLT(Main[[#This Row],[Comments]])=0.1,"N/A",IF(stdProdLT(Main[[#This Row],[Comments]])=0,"",TRIM(stdProdLT(Main[[#This Row],[Comments]]))))</f>
        <v/>
      </c>
      <c r="H1141" s="94" t="str">
        <f>IF(OR(Main[[#This Row],[Std. Prod. Lead Time]]="N/A",Main[[#This Row],[Std. Prod. Lead Time]]=""), "",IF(AND(Main[[#This Row],[In Stock Date]]&lt;&gt;"",Main[[#This Row],[Revised Due Date]]&lt;&gt;"",Main[[#This Row],[In Stock Date]]&lt;&gt;""),Main[[#This Row],[In Stock Date]]-Main[[#This Row],[Revised Due Date]],""))</f>
        <v/>
      </c>
      <c r="I1141" s="101" t="s">
        <v>4</v>
      </c>
      <c r="J1141" s="95" t="s">
        <v>4</v>
      </c>
      <c r="K1141" s="95" t="s">
        <v>4</v>
      </c>
      <c r="L1141" s="85"/>
      <c r="M1141" s="73" t="str">
        <f>IF(Main[[#This Row],[Tech Start Date]]&lt;1/1/1990,"",IF(Main[[#This Row],[Class]]="C",WORKDAY(Main[[#This Row],[Tech Start Date]],9),IF(Main[[#This Row],[Class]]="B", WORKDAY(Main[[#This Row],[Tech Start Date]],6),IF(Main[[#This Row],[Class]]="A",WORKDAY(Main[[#This Row],[Tech Start Date]],2),""))))</f>
        <v/>
      </c>
      <c r="N1141" s="73" t="str">
        <f>IF(Main[[#This Row],[Tech Start Date]]&lt;1/1/1990,"",IF(Main[[#This Row],[Class]]="C",WORKDAY(Main[[#This Row],[Tech Start Date]],19),IF(Main[[#This Row],[Class]]="B", WORKDAY(Main[[#This Row],[Tech Start Date]],12),IF(Main[[#This Row],[Class]]="A",WORKDAY(Main[[#This Row],[Tech Start Date]],4),""))))</f>
        <v/>
      </c>
      <c r="O1141" s="73" t="str">
        <f>IF(Main[[#This Row],[Tech Start Date]]&lt;1/1/1990,"",IF(Main[[#This Row],[Class]]="C",WORKDAY(Main[[#This Row],[Tech Start Date]],23),IF(Main[[#This Row],[Class]]="B", WORKDAY(Main[[#This Row],[Tech Start Date]],15),IF(Main[[#This Row],[Class]]="A",WORKDAY(Main[[#This Row],[Tech Start Date]],5),""))))</f>
        <v/>
      </c>
      <c r="P1141" s="73" t="str">
        <f>IF(Main[[#This Row],[Tech Start Date]]&lt;1/1/1990,"",IF(Main[[#This Row],[Class]]="C",WORKDAY(Main[[#This Row],[Tech Start Date]],28),IF(Main[[#This Row],[Class]]="B", WORKDAY(Main[[#This Row],[Tech Start Date]],19),IF(Main[[#This Row],[Class]]="A",WORKDAY(Main[[#This Row],[Tech Start Date]],9),""))))</f>
        <v/>
      </c>
      <c r="Q1141" s="85"/>
      <c r="R1141" s="112"/>
      <c r="S1141" s="95" t="s">
        <v>17</v>
      </c>
      <c r="T1141" s="74" t="s">
        <v>4</v>
      </c>
      <c r="U1141" s="95" t="s">
        <v>7</v>
      </c>
      <c r="V1141" s="95" t="s">
        <v>1912</v>
      </c>
      <c r="W1141" s="95" t="s">
        <v>1913</v>
      </c>
      <c r="X1141" s="95" t="s">
        <v>2870</v>
      </c>
      <c r="Y1141" s="72" t="s">
        <v>3025</v>
      </c>
      <c r="Z1141" s="72" t="s">
        <v>4</v>
      </c>
      <c r="AA1141" s="95" t="s">
        <v>2870</v>
      </c>
      <c r="AB1141" s="132"/>
      <c r="AC1141" s="132"/>
      <c r="AD1141" s="132"/>
      <c r="AE1141" s="63"/>
      <c r="AF1141" s="63"/>
      <c r="AG1141" s="63"/>
    </row>
    <row r="1142" spans="1:33" ht="17.2" customHeight="1">
      <c r="A1142" s="64" t="str">
        <f>IF(priority(Main[[#This Row],[Comments]])&lt;&gt;0, priority(Main[[#This Row],[Comments]]),"")</f>
        <v/>
      </c>
      <c r="B1142" s="60" t="s">
        <v>2458</v>
      </c>
      <c r="C1142" s="72" t="s">
        <v>47</v>
      </c>
      <c r="D1142" s="59" t="s">
        <v>2459</v>
      </c>
      <c r="E1142" s="85">
        <v>40847.703182870369</v>
      </c>
      <c r="F1142" s="85"/>
      <c r="G1142" s="64" t="str">
        <f>IF(stdProdLT(Main[[#This Row],[Comments]])=0.1,"N/A",IF(stdProdLT(Main[[#This Row],[Comments]])=0,"",TRIM(stdProdLT(Main[[#This Row],[Comments]]))))</f>
        <v/>
      </c>
      <c r="H1142" s="94" t="str">
        <f>IF(OR(Main[[#This Row],[Std. Prod. Lead Time]]="N/A",Main[[#This Row],[Std. Prod. Lead Time]]=""), "",IF(AND(Main[[#This Row],[In Stock Date]]&lt;&gt;"",Main[[#This Row],[Revised Due Date]]&lt;&gt;"",Main[[#This Row],[In Stock Date]]&lt;&gt;""),Main[[#This Row],[In Stock Date]]-Main[[#This Row],[Revised Due Date]],""))</f>
        <v/>
      </c>
      <c r="I1142" s="101" t="s">
        <v>69</v>
      </c>
      <c r="J1142" s="95" t="s">
        <v>28</v>
      </c>
      <c r="K1142" s="95" t="s">
        <v>1920</v>
      </c>
      <c r="L1142" s="85"/>
      <c r="M1142" s="73" t="str">
        <f>IF(Main[[#This Row],[Tech Start Date]]&lt;1/1/1990,"",IF(Main[[#This Row],[Class]]="C",WORKDAY(Main[[#This Row],[Tech Start Date]],9),IF(Main[[#This Row],[Class]]="B", WORKDAY(Main[[#This Row],[Tech Start Date]],6),IF(Main[[#This Row],[Class]]="A",WORKDAY(Main[[#This Row],[Tech Start Date]],2),""))))</f>
        <v/>
      </c>
      <c r="N1142" s="73" t="str">
        <f>IF(Main[[#This Row],[Tech Start Date]]&lt;1/1/1990,"",IF(Main[[#This Row],[Class]]="C",WORKDAY(Main[[#This Row],[Tech Start Date]],19),IF(Main[[#This Row],[Class]]="B", WORKDAY(Main[[#This Row],[Tech Start Date]],12),IF(Main[[#This Row],[Class]]="A",WORKDAY(Main[[#This Row],[Tech Start Date]],4),""))))</f>
        <v/>
      </c>
      <c r="O1142" s="73" t="str">
        <f>IF(Main[[#This Row],[Tech Start Date]]&lt;1/1/1990,"",IF(Main[[#This Row],[Class]]="C",WORKDAY(Main[[#This Row],[Tech Start Date]],23),IF(Main[[#This Row],[Class]]="B", WORKDAY(Main[[#This Row],[Tech Start Date]],15),IF(Main[[#This Row],[Class]]="A",WORKDAY(Main[[#This Row],[Tech Start Date]],5),""))))</f>
        <v/>
      </c>
      <c r="P1142" s="73" t="str">
        <f>IF(Main[[#This Row],[Tech Start Date]]&lt;1/1/1990,"",IF(Main[[#This Row],[Class]]="C",WORKDAY(Main[[#This Row],[Tech Start Date]],28),IF(Main[[#This Row],[Class]]="B", WORKDAY(Main[[#This Row],[Tech Start Date]],19),IF(Main[[#This Row],[Class]]="A",WORKDAY(Main[[#This Row],[Tech Start Date]],9),""))))</f>
        <v/>
      </c>
      <c r="Q1142" s="85">
        <v>40862</v>
      </c>
      <c r="R1142" s="112"/>
      <c r="S1142" s="95" t="s">
        <v>6</v>
      </c>
      <c r="T1142" s="74" t="s">
        <v>4</v>
      </c>
      <c r="U1142" s="95" t="s">
        <v>29</v>
      </c>
      <c r="V1142" s="95" t="s">
        <v>1914</v>
      </c>
      <c r="W1142" s="95" t="s">
        <v>1915</v>
      </c>
      <c r="X1142" s="95" t="s">
        <v>2845</v>
      </c>
      <c r="Y1142" s="72" t="s">
        <v>2988</v>
      </c>
      <c r="Z1142" s="72" t="s">
        <v>30</v>
      </c>
      <c r="AA1142" s="95" t="s">
        <v>2845</v>
      </c>
      <c r="AB1142" s="132"/>
      <c r="AC1142" s="132"/>
      <c r="AD1142" s="132"/>
      <c r="AE1142" s="63"/>
      <c r="AF1142" s="63"/>
      <c r="AG1142" s="63"/>
    </row>
    <row r="1143" spans="1:33" ht="17.2" customHeight="1">
      <c r="A1143" s="64" t="str">
        <f>IF(priority(Main[[#This Row],[Comments]])&lt;&gt;0, priority(Main[[#This Row],[Comments]]),"")</f>
        <v/>
      </c>
      <c r="B1143" s="60" t="s">
        <v>3774</v>
      </c>
      <c r="C1143" s="72" t="s">
        <v>4</v>
      </c>
      <c r="D1143" s="59" t="s">
        <v>3775</v>
      </c>
      <c r="E1143" s="85">
        <v>40968.434988425928</v>
      </c>
      <c r="F1143" s="85"/>
      <c r="G1143" s="64" t="str">
        <f>IF(stdProdLT(Main[[#This Row],[Comments]])=0.1,"N/A",IF(stdProdLT(Main[[#This Row],[Comments]])=0,"",TRIM(stdProdLT(Main[[#This Row],[Comments]]))))</f>
        <v/>
      </c>
      <c r="H1143" s="94" t="str">
        <f>IF(OR(Main[[#This Row],[Std. Prod. Lead Time]]="N/A",Main[[#This Row],[Std. Prod. Lead Time]]=""), "",IF(AND(Main[[#This Row],[In Stock Date]]&lt;&gt;"",Main[[#This Row],[Revised Due Date]]&lt;&gt;"",Main[[#This Row],[In Stock Date]]&lt;&gt;""),Main[[#This Row],[In Stock Date]]-Main[[#This Row],[Revised Due Date]],""))</f>
        <v/>
      </c>
      <c r="I1143" s="101" t="s">
        <v>4</v>
      </c>
      <c r="J1143" s="95" t="s">
        <v>4</v>
      </c>
      <c r="K1143" s="95" t="s">
        <v>4</v>
      </c>
      <c r="L1143" s="85"/>
      <c r="M1143" s="73" t="str">
        <f>IF(Main[[#This Row],[Tech Start Date]]&lt;1/1/1990,"",IF(Main[[#This Row],[Class]]="C",WORKDAY(Main[[#This Row],[Tech Start Date]],9),IF(Main[[#This Row],[Class]]="B", WORKDAY(Main[[#This Row],[Tech Start Date]],6),IF(Main[[#This Row],[Class]]="A",WORKDAY(Main[[#This Row],[Tech Start Date]],2),""))))</f>
        <v/>
      </c>
      <c r="N1143" s="73" t="str">
        <f>IF(Main[[#This Row],[Tech Start Date]]&lt;1/1/1990,"",IF(Main[[#This Row],[Class]]="C",WORKDAY(Main[[#This Row],[Tech Start Date]],19),IF(Main[[#This Row],[Class]]="B", WORKDAY(Main[[#This Row],[Tech Start Date]],12),IF(Main[[#This Row],[Class]]="A",WORKDAY(Main[[#This Row],[Tech Start Date]],4),""))))</f>
        <v/>
      </c>
      <c r="O1143" s="73" t="str">
        <f>IF(Main[[#This Row],[Tech Start Date]]&lt;1/1/1990,"",IF(Main[[#This Row],[Class]]="C",WORKDAY(Main[[#This Row],[Tech Start Date]],23),IF(Main[[#This Row],[Class]]="B", WORKDAY(Main[[#This Row],[Tech Start Date]],15),IF(Main[[#This Row],[Class]]="A",WORKDAY(Main[[#This Row],[Tech Start Date]],5),""))))</f>
        <v/>
      </c>
      <c r="P1143" s="73" t="str">
        <f>IF(Main[[#This Row],[Tech Start Date]]&lt;1/1/1990,"",IF(Main[[#This Row],[Class]]="C",WORKDAY(Main[[#This Row],[Tech Start Date]],28),IF(Main[[#This Row],[Class]]="B", WORKDAY(Main[[#This Row],[Tech Start Date]],19),IF(Main[[#This Row],[Class]]="A",WORKDAY(Main[[#This Row],[Tech Start Date]],9),""))))</f>
        <v/>
      </c>
      <c r="Q1143" s="85"/>
      <c r="R1143" s="112"/>
      <c r="S1143" s="95" t="s">
        <v>6</v>
      </c>
      <c r="T1143" s="74" t="s">
        <v>4</v>
      </c>
      <c r="U1143" s="95" t="s">
        <v>7</v>
      </c>
      <c r="V1143" s="95" t="s">
        <v>1914</v>
      </c>
      <c r="W1143" s="95" t="s">
        <v>1915</v>
      </c>
      <c r="X1143" s="95" t="s">
        <v>2821</v>
      </c>
      <c r="Y1143" s="72" t="s">
        <v>2949</v>
      </c>
      <c r="Z1143" s="72" t="s">
        <v>4</v>
      </c>
      <c r="AA1143" s="95" t="s">
        <v>2821</v>
      </c>
      <c r="AB1143" s="132"/>
      <c r="AC1143" s="132"/>
      <c r="AD1143" s="132"/>
      <c r="AE1143" s="63"/>
      <c r="AF1143" s="63"/>
      <c r="AG1143" s="63"/>
    </row>
    <row r="1144" spans="1:33" ht="17.2" customHeight="1">
      <c r="A1144" s="64" t="str">
        <f>IF(priority(Main[[#This Row],[Comments]])&lt;&gt;0, priority(Main[[#This Row],[Comments]]),"")</f>
        <v/>
      </c>
      <c r="B1144" s="60" t="s">
        <v>3846</v>
      </c>
      <c r="C1144" s="72" t="s">
        <v>4</v>
      </c>
      <c r="D1144" s="59" t="s">
        <v>3847</v>
      </c>
      <c r="E1144" s="85">
        <v>40970.120752314811</v>
      </c>
      <c r="F1144" s="85"/>
      <c r="G1144" s="64" t="str">
        <f>IF(stdProdLT(Main[[#This Row],[Comments]])=0.1,"N/A",IF(stdProdLT(Main[[#This Row],[Comments]])=0,"",TRIM(stdProdLT(Main[[#This Row],[Comments]]))))</f>
        <v/>
      </c>
      <c r="H1144" s="94" t="str">
        <f>IF(OR(Main[[#This Row],[Std. Prod. Lead Time]]="N/A",Main[[#This Row],[Std. Prod. Lead Time]]=""), "",IF(AND(Main[[#This Row],[In Stock Date]]&lt;&gt;"",Main[[#This Row],[Revised Due Date]]&lt;&gt;"",Main[[#This Row],[In Stock Date]]&lt;&gt;""),Main[[#This Row],[In Stock Date]]-Main[[#This Row],[Revised Due Date]],""))</f>
        <v/>
      </c>
      <c r="I1144" s="101" t="s">
        <v>4</v>
      </c>
      <c r="J1144" s="95" t="s">
        <v>4</v>
      </c>
      <c r="K1144" s="95" t="s">
        <v>4</v>
      </c>
      <c r="L1144" s="85"/>
      <c r="M1144" s="73" t="str">
        <f>IF(Main[[#This Row],[Tech Start Date]]&lt;1/1/1990,"",IF(Main[[#This Row],[Class]]="C",WORKDAY(Main[[#This Row],[Tech Start Date]],9),IF(Main[[#This Row],[Class]]="B", WORKDAY(Main[[#This Row],[Tech Start Date]],6),IF(Main[[#This Row],[Class]]="A",WORKDAY(Main[[#This Row],[Tech Start Date]],2),""))))</f>
        <v/>
      </c>
      <c r="N1144" s="73" t="str">
        <f>IF(Main[[#This Row],[Tech Start Date]]&lt;1/1/1990,"",IF(Main[[#This Row],[Class]]="C",WORKDAY(Main[[#This Row],[Tech Start Date]],19),IF(Main[[#This Row],[Class]]="B", WORKDAY(Main[[#This Row],[Tech Start Date]],12),IF(Main[[#This Row],[Class]]="A",WORKDAY(Main[[#This Row],[Tech Start Date]],4),""))))</f>
        <v/>
      </c>
      <c r="O1144" s="73" t="str">
        <f>IF(Main[[#This Row],[Tech Start Date]]&lt;1/1/1990,"",IF(Main[[#This Row],[Class]]="C",WORKDAY(Main[[#This Row],[Tech Start Date]],23),IF(Main[[#This Row],[Class]]="B", WORKDAY(Main[[#This Row],[Tech Start Date]],15),IF(Main[[#This Row],[Class]]="A",WORKDAY(Main[[#This Row],[Tech Start Date]],5),""))))</f>
        <v/>
      </c>
      <c r="P1144" s="73" t="str">
        <f>IF(Main[[#This Row],[Tech Start Date]]&lt;1/1/1990,"",IF(Main[[#This Row],[Class]]="C",WORKDAY(Main[[#This Row],[Tech Start Date]],28),IF(Main[[#This Row],[Class]]="B", WORKDAY(Main[[#This Row],[Tech Start Date]],19),IF(Main[[#This Row],[Class]]="A",WORKDAY(Main[[#This Row],[Tech Start Date]],9),""))))</f>
        <v/>
      </c>
      <c r="Q1144" s="85">
        <v>41001</v>
      </c>
      <c r="R1144" s="112"/>
      <c r="S1144" s="95" t="s">
        <v>6</v>
      </c>
      <c r="T1144" s="74" t="s">
        <v>4</v>
      </c>
      <c r="U1144" s="95" t="s">
        <v>7</v>
      </c>
      <c r="V1144" s="95" t="s">
        <v>1914</v>
      </c>
      <c r="W1144" s="95" t="s">
        <v>4</v>
      </c>
      <c r="X1144" s="95" t="s">
        <v>2802</v>
      </c>
      <c r="Y1144" s="72" t="s">
        <v>2916</v>
      </c>
      <c r="Z1144" s="72" t="s">
        <v>4</v>
      </c>
      <c r="AA1144" s="95" t="s">
        <v>2802</v>
      </c>
      <c r="AB1144" s="132"/>
      <c r="AC1144" s="132"/>
      <c r="AD1144" s="132"/>
      <c r="AE1144" s="63"/>
      <c r="AF1144" s="63"/>
      <c r="AG1144" s="63"/>
    </row>
    <row r="1145" spans="1:33" ht="17.2" customHeight="1">
      <c r="A1145" s="64" t="str">
        <f>IF(priority(Main[[#This Row],[Comments]])&lt;&gt;0, priority(Main[[#This Row],[Comments]]),"")</f>
        <v/>
      </c>
      <c r="B1145" s="60" t="s">
        <v>1872</v>
      </c>
      <c r="C1145" s="72" t="s">
        <v>99</v>
      </c>
      <c r="D1145" s="59" t="s">
        <v>928</v>
      </c>
      <c r="E1145" s="85"/>
      <c r="F1145" s="85">
        <v>40644</v>
      </c>
      <c r="G1145" s="64" t="str">
        <f>IF(stdProdLT(Main[[#This Row],[Comments]])=0.1,"N/A",IF(stdProdLT(Main[[#This Row],[Comments]])=0,"",TRIM(stdProdLT(Main[[#This Row],[Comments]]))))</f>
        <v/>
      </c>
      <c r="H1145" s="94" t="str">
        <f>IF(OR(Main[[#This Row],[Std. Prod. Lead Time]]="N/A",Main[[#This Row],[Std. Prod. Lead Time]]=""), "",IF(AND(Main[[#This Row],[In Stock Date]]&lt;&gt;"",Main[[#This Row],[Revised Due Date]]&lt;&gt;"",Main[[#This Row],[In Stock Date]]&lt;&gt;""),Main[[#This Row],[In Stock Date]]-Main[[#This Row],[Revised Due Date]],""))</f>
        <v/>
      </c>
      <c r="I1145" s="101" t="s">
        <v>4</v>
      </c>
      <c r="J1145" s="95" t="s">
        <v>21</v>
      </c>
      <c r="K1145" s="96" t="s">
        <v>1923</v>
      </c>
      <c r="L1145" s="85"/>
      <c r="M1145" s="73" t="str">
        <f>IF(Main[[#This Row],[Tech Start Date]]&lt;1/1/1990,"",IF(Main[[#This Row],[Class]]="C",WORKDAY(Main[[#This Row],[Tech Start Date]],9),IF(Main[[#This Row],[Class]]="B", WORKDAY(Main[[#This Row],[Tech Start Date]],6),IF(Main[[#This Row],[Class]]="A",WORKDAY(Main[[#This Row],[Tech Start Date]],2),""))))</f>
        <v/>
      </c>
      <c r="N1145" s="73" t="str">
        <f>IF(Main[[#This Row],[Tech Start Date]]&lt;1/1/1990,"",IF(Main[[#This Row],[Class]]="C",WORKDAY(Main[[#This Row],[Tech Start Date]],19),IF(Main[[#This Row],[Class]]="B", WORKDAY(Main[[#This Row],[Tech Start Date]],12),IF(Main[[#This Row],[Class]]="A",WORKDAY(Main[[#This Row],[Tech Start Date]],4),""))))</f>
        <v/>
      </c>
      <c r="O1145" s="73" t="str">
        <f>IF(Main[[#This Row],[Tech Start Date]]&lt;1/1/1990,"",IF(Main[[#This Row],[Class]]="C",WORKDAY(Main[[#This Row],[Tech Start Date]],23),IF(Main[[#This Row],[Class]]="B", WORKDAY(Main[[#This Row],[Tech Start Date]],15),IF(Main[[#This Row],[Class]]="A",WORKDAY(Main[[#This Row],[Tech Start Date]],5),""))))</f>
        <v/>
      </c>
      <c r="P1145" s="73" t="str">
        <f>IF(Main[[#This Row],[Tech Start Date]]&lt;1/1/1990,"",IF(Main[[#This Row],[Class]]="C",WORKDAY(Main[[#This Row],[Tech Start Date]],28),IF(Main[[#This Row],[Class]]="B", WORKDAY(Main[[#This Row],[Tech Start Date]],19),IF(Main[[#This Row],[Class]]="A",WORKDAY(Main[[#This Row],[Tech Start Date]],9),""))))</f>
        <v/>
      </c>
      <c r="Q1145" s="85">
        <v>40663</v>
      </c>
      <c r="R1145" s="112">
        <v>40663</v>
      </c>
      <c r="S1145" s="95" t="s">
        <v>11</v>
      </c>
      <c r="T1145" s="74" t="s">
        <v>4</v>
      </c>
      <c r="U1145" s="95" t="s">
        <v>14</v>
      </c>
      <c r="V1145" s="95" t="s">
        <v>1911</v>
      </c>
      <c r="W1145" s="95" t="s">
        <v>1916</v>
      </c>
      <c r="X1145" s="95" t="s">
        <v>2817</v>
      </c>
      <c r="Y1145" s="72" t="s">
        <v>2944</v>
      </c>
      <c r="Z1145" s="72" t="s">
        <v>129</v>
      </c>
      <c r="AA1145" s="95" t="s">
        <v>2814</v>
      </c>
      <c r="AB1145" s="132"/>
      <c r="AC1145" s="132"/>
      <c r="AD1145" s="132"/>
      <c r="AE1145" s="63"/>
      <c r="AF1145" s="63"/>
      <c r="AG1145" s="63"/>
    </row>
    <row r="1146" spans="1:33" ht="17.2" customHeight="1">
      <c r="A1146" s="64" t="str">
        <f>IF(priority(Main[[#This Row],[Comments]])&lt;&gt;0, priority(Main[[#This Row],[Comments]]),"")</f>
        <v/>
      </c>
      <c r="B1146" s="60" t="s">
        <v>1438</v>
      </c>
      <c r="C1146" s="72" t="s">
        <v>4</v>
      </c>
      <c r="D1146" s="59" t="s">
        <v>516</v>
      </c>
      <c r="E1146" s="85">
        <v>40584.460439814815</v>
      </c>
      <c r="F1146" s="85">
        <v>40599</v>
      </c>
      <c r="G1146" s="64" t="str">
        <f>IF(stdProdLT(Main[[#This Row],[Comments]])=0.1,"N/A",IF(stdProdLT(Main[[#This Row],[Comments]])=0,"",TRIM(stdProdLT(Main[[#This Row],[Comments]]))))</f>
        <v/>
      </c>
      <c r="H1146" s="94" t="str">
        <f>IF(OR(Main[[#This Row],[Std. Prod. Lead Time]]="N/A",Main[[#This Row],[Std. Prod. Lead Time]]=""), "",IF(AND(Main[[#This Row],[In Stock Date]]&lt;&gt;"",Main[[#This Row],[Revised Due Date]]&lt;&gt;"",Main[[#This Row],[In Stock Date]]&lt;&gt;""),Main[[#This Row],[In Stock Date]]-Main[[#This Row],[Revised Due Date]],""))</f>
        <v/>
      </c>
      <c r="I1146" s="101" t="s">
        <v>415</v>
      </c>
      <c r="J1146" s="95" t="s">
        <v>21</v>
      </c>
      <c r="K1146" s="95" t="s">
        <v>1920</v>
      </c>
      <c r="L1146" s="85"/>
      <c r="M1146" s="73" t="str">
        <f>IF(Main[[#This Row],[Tech Start Date]]&lt;1/1/1990,"",IF(Main[[#This Row],[Class]]="C",WORKDAY(Main[[#This Row],[Tech Start Date]],9),IF(Main[[#This Row],[Class]]="B", WORKDAY(Main[[#This Row],[Tech Start Date]],6),IF(Main[[#This Row],[Class]]="A",WORKDAY(Main[[#This Row],[Tech Start Date]],2),""))))</f>
        <v/>
      </c>
      <c r="N1146" s="73" t="str">
        <f>IF(Main[[#This Row],[Tech Start Date]]&lt;1/1/1990,"",IF(Main[[#This Row],[Class]]="C",WORKDAY(Main[[#This Row],[Tech Start Date]],19),IF(Main[[#This Row],[Class]]="B", WORKDAY(Main[[#This Row],[Tech Start Date]],12),IF(Main[[#This Row],[Class]]="A",WORKDAY(Main[[#This Row],[Tech Start Date]],4),""))))</f>
        <v/>
      </c>
      <c r="O1146" s="73" t="str">
        <f>IF(Main[[#This Row],[Tech Start Date]]&lt;1/1/1990,"",IF(Main[[#This Row],[Class]]="C",WORKDAY(Main[[#This Row],[Tech Start Date]],23),IF(Main[[#This Row],[Class]]="B", WORKDAY(Main[[#This Row],[Tech Start Date]],15),IF(Main[[#This Row],[Class]]="A",WORKDAY(Main[[#This Row],[Tech Start Date]],5),""))))</f>
        <v/>
      </c>
      <c r="P1146" s="73" t="str">
        <f>IF(Main[[#This Row],[Tech Start Date]]&lt;1/1/1990,"",IF(Main[[#This Row],[Class]]="C",WORKDAY(Main[[#This Row],[Tech Start Date]],28),IF(Main[[#This Row],[Class]]="B", WORKDAY(Main[[#This Row],[Tech Start Date]],19),IF(Main[[#This Row],[Class]]="A",WORKDAY(Main[[#This Row],[Tech Start Date]],9),""))))</f>
        <v/>
      </c>
      <c r="Q1146" s="85">
        <v>40599</v>
      </c>
      <c r="R1146" s="112"/>
      <c r="S1146" s="95" t="s">
        <v>6</v>
      </c>
      <c r="T1146" s="74" t="s">
        <v>4</v>
      </c>
      <c r="U1146" s="95" t="s">
        <v>29</v>
      </c>
      <c r="V1146" s="95" t="s">
        <v>1921</v>
      </c>
      <c r="W1146" s="95" t="s">
        <v>1913</v>
      </c>
      <c r="X1146" s="95" t="s">
        <v>415</v>
      </c>
      <c r="Y1146" s="72" t="s">
        <v>2953</v>
      </c>
      <c r="Z1146" s="72" t="s">
        <v>415</v>
      </c>
      <c r="AA1146" s="95" t="s">
        <v>415</v>
      </c>
      <c r="AB1146" s="132"/>
      <c r="AC1146" s="132"/>
      <c r="AD1146" s="132"/>
      <c r="AE1146" s="63"/>
      <c r="AF1146" s="63"/>
      <c r="AG1146" s="63"/>
    </row>
    <row r="1147" spans="1:33" ht="17.2" customHeight="1">
      <c r="A1147" s="64" t="str">
        <f>IF(priority(Main[[#This Row],[Comments]])&lt;&gt;0, priority(Main[[#This Row],[Comments]]),"")</f>
        <v/>
      </c>
      <c r="B1147" s="60" t="s">
        <v>2460</v>
      </c>
      <c r="C1147" s="72" t="s">
        <v>4</v>
      </c>
      <c r="D1147" s="59" t="s">
        <v>2461</v>
      </c>
      <c r="E1147" s="85"/>
      <c r="F1147" s="85"/>
      <c r="G1147" s="64" t="str">
        <f>IF(stdProdLT(Main[[#This Row],[Comments]])=0.1,"N/A",IF(stdProdLT(Main[[#This Row],[Comments]])=0,"",TRIM(stdProdLT(Main[[#This Row],[Comments]]))))</f>
        <v/>
      </c>
      <c r="H1147" s="94" t="str">
        <f>IF(OR(Main[[#This Row],[Std. Prod. Lead Time]]="N/A",Main[[#This Row],[Std. Prod. Lead Time]]=""), "",IF(AND(Main[[#This Row],[In Stock Date]]&lt;&gt;"",Main[[#This Row],[Revised Due Date]]&lt;&gt;"",Main[[#This Row],[In Stock Date]]&lt;&gt;""),Main[[#This Row],[In Stock Date]]-Main[[#This Row],[Revised Due Date]],""))</f>
        <v/>
      </c>
      <c r="I1147" s="101" t="s">
        <v>4</v>
      </c>
      <c r="J1147" s="95" t="s">
        <v>4</v>
      </c>
      <c r="K1147" s="95" t="s">
        <v>4</v>
      </c>
      <c r="L1147" s="85"/>
      <c r="M1147" s="73" t="str">
        <f>IF(Main[[#This Row],[Tech Start Date]]&lt;1/1/1990,"",IF(Main[[#This Row],[Class]]="C",WORKDAY(Main[[#This Row],[Tech Start Date]],9),IF(Main[[#This Row],[Class]]="B", WORKDAY(Main[[#This Row],[Tech Start Date]],6),IF(Main[[#This Row],[Class]]="A",WORKDAY(Main[[#This Row],[Tech Start Date]],2),""))))</f>
        <v/>
      </c>
      <c r="N1147" s="73" t="str">
        <f>IF(Main[[#This Row],[Tech Start Date]]&lt;1/1/1990,"",IF(Main[[#This Row],[Class]]="C",WORKDAY(Main[[#This Row],[Tech Start Date]],19),IF(Main[[#This Row],[Class]]="B", WORKDAY(Main[[#This Row],[Tech Start Date]],12),IF(Main[[#This Row],[Class]]="A",WORKDAY(Main[[#This Row],[Tech Start Date]],4),""))))</f>
        <v/>
      </c>
      <c r="O1147" s="73" t="str">
        <f>IF(Main[[#This Row],[Tech Start Date]]&lt;1/1/1990,"",IF(Main[[#This Row],[Class]]="C",WORKDAY(Main[[#This Row],[Tech Start Date]],23),IF(Main[[#This Row],[Class]]="B", WORKDAY(Main[[#This Row],[Tech Start Date]],15),IF(Main[[#This Row],[Class]]="A",WORKDAY(Main[[#This Row],[Tech Start Date]],5),""))))</f>
        <v/>
      </c>
      <c r="P1147" s="73" t="str">
        <f>IF(Main[[#This Row],[Tech Start Date]]&lt;1/1/1990,"",IF(Main[[#This Row],[Class]]="C",WORKDAY(Main[[#This Row],[Tech Start Date]],28),IF(Main[[#This Row],[Class]]="B", WORKDAY(Main[[#This Row],[Tech Start Date]],19),IF(Main[[#This Row],[Class]]="A",WORKDAY(Main[[#This Row],[Tech Start Date]],9),""))))</f>
        <v/>
      </c>
      <c r="Q1147" s="85"/>
      <c r="R1147" s="112"/>
      <c r="S1147" s="95" t="s">
        <v>11</v>
      </c>
      <c r="T1147" s="74" t="s">
        <v>4</v>
      </c>
      <c r="U1147" s="95" t="s">
        <v>14</v>
      </c>
      <c r="V1147" s="95" t="s">
        <v>1912</v>
      </c>
      <c r="W1147" s="95" t="s">
        <v>4</v>
      </c>
      <c r="X1147" s="95" t="s">
        <v>2243</v>
      </c>
      <c r="Y1147" s="72" t="s">
        <v>4</v>
      </c>
      <c r="Z1147" s="72" t="s">
        <v>4</v>
      </c>
      <c r="AA1147" s="95" t="s">
        <v>4</v>
      </c>
      <c r="AB1147" s="132"/>
      <c r="AC1147" s="132"/>
      <c r="AD1147" s="132"/>
      <c r="AE1147" s="63"/>
      <c r="AF1147" s="63"/>
      <c r="AG1147" s="63"/>
    </row>
    <row r="1148" spans="1:33" ht="17.2" customHeight="1">
      <c r="A1148" s="64" t="str">
        <f>IF(priority(Main[[#This Row],[Comments]])&lt;&gt;0, priority(Main[[#This Row],[Comments]]),"")</f>
        <v/>
      </c>
      <c r="B1148" s="60" t="s">
        <v>2462</v>
      </c>
      <c r="C1148" s="72" t="s">
        <v>2412</v>
      </c>
      <c r="D1148" s="59" t="s">
        <v>2463</v>
      </c>
      <c r="E1148" s="85"/>
      <c r="F1148" s="85">
        <v>40969</v>
      </c>
      <c r="G1148" s="64" t="str">
        <f>IF(stdProdLT(Main[[#This Row],[Comments]])=0.1,"N/A",IF(stdProdLT(Main[[#This Row],[Comments]])=0,"",TRIM(stdProdLT(Main[[#This Row],[Comments]]))))</f>
        <v/>
      </c>
      <c r="H1148" s="94" t="str">
        <f>IF(OR(Main[[#This Row],[Std. Prod. Lead Time]]="N/A",Main[[#This Row],[Std. Prod. Lead Time]]=""), "",IF(AND(Main[[#This Row],[In Stock Date]]&lt;&gt;"",Main[[#This Row],[Revised Due Date]]&lt;&gt;"",Main[[#This Row],[In Stock Date]]&lt;&gt;""),Main[[#This Row],[In Stock Date]]-Main[[#This Row],[Revised Due Date]],""))</f>
        <v/>
      </c>
      <c r="I1148" s="101" t="s">
        <v>4</v>
      </c>
      <c r="J1148" s="95" t="s">
        <v>4</v>
      </c>
      <c r="K1148" s="95" t="s">
        <v>4</v>
      </c>
      <c r="L1148" s="85"/>
      <c r="M1148" s="73" t="str">
        <f>IF(Main[[#This Row],[Tech Start Date]]&lt;1/1/1990,"",IF(Main[[#This Row],[Class]]="C",WORKDAY(Main[[#This Row],[Tech Start Date]],9),IF(Main[[#This Row],[Class]]="B", WORKDAY(Main[[#This Row],[Tech Start Date]],6),IF(Main[[#This Row],[Class]]="A",WORKDAY(Main[[#This Row],[Tech Start Date]],2),""))))</f>
        <v/>
      </c>
      <c r="N1148" s="73" t="str">
        <f>IF(Main[[#This Row],[Tech Start Date]]&lt;1/1/1990,"",IF(Main[[#This Row],[Class]]="C",WORKDAY(Main[[#This Row],[Tech Start Date]],19),IF(Main[[#This Row],[Class]]="B", WORKDAY(Main[[#This Row],[Tech Start Date]],12),IF(Main[[#This Row],[Class]]="A",WORKDAY(Main[[#This Row],[Tech Start Date]],4),""))))</f>
        <v/>
      </c>
      <c r="O1148" s="73" t="str">
        <f>IF(Main[[#This Row],[Tech Start Date]]&lt;1/1/1990,"",IF(Main[[#This Row],[Class]]="C",WORKDAY(Main[[#This Row],[Tech Start Date]],23),IF(Main[[#This Row],[Class]]="B", WORKDAY(Main[[#This Row],[Tech Start Date]],15),IF(Main[[#This Row],[Class]]="A",WORKDAY(Main[[#This Row],[Tech Start Date]],5),""))))</f>
        <v/>
      </c>
      <c r="P1148" s="73" t="str">
        <f>IF(Main[[#This Row],[Tech Start Date]]&lt;1/1/1990,"",IF(Main[[#This Row],[Class]]="C",WORKDAY(Main[[#This Row],[Tech Start Date]],28),IF(Main[[#This Row],[Class]]="B", WORKDAY(Main[[#This Row],[Tech Start Date]],19),IF(Main[[#This Row],[Class]]="A",WORKDAY(Main[[#This Row],[Tech Start Date]],9),""))))</f>
        <v/>
      </c>
      <c r="Q1148" s="85"/>
      <c r="R1148" s="112"/>
      <c r="S1148" s="95" t="s">
        <v>4</v>
      </c>
      <c r="T1148" s="74" t="s">
        <v>2464</v>
      </c>
      <c r="U1148" s="95" t="s">
        <v>14</v>
      </c>
      <c r="V1148" s="95" t="s">
        <v>1914</v>
      </c>
      <c r="W1148" s="95" t="s">
        <v>4</v>
      </c>
      <c r="X1148" s="95" t="s">
        <v>2836</v>
      </c>
      <c r="Y1148" s="72" t="s">
        <v>4</v>
      </c>
      <c r="Z1148" s="72" t="s">
        <v>4</v>
      </c>
      <c r="AA1148" s="95" t="s">
        <v>4</v>
      </c>
      <c r="AB1148" s="132"/>
      <c r="AC1148" s="132"/>
      <c r="AD1148" s="132"/>
      <c r="AE1148" s="63"/>
      <c r="AF1148" s="63"/>
      <c r="AG1148" s="63"/>
    </row>
    <row r="1149" spans="1:33" ht="17.2" customHeight="1">
      <c r="A1149" s="64" t="str">
        <f>IF(priority(Main[[#This Row],[Comments]])&lt;&gt;0, priority(Main[[#This Row],[Comments]]),"")</f>
        <v/>
      </c>
      <c r="B1149" s="60" t="s">
        <v>1283</v>
      </c>
      <c r="C1149" s="72" t="s">
        <v>37</v>
      </c>
      <c r="D1149" s="59" t="s">
        <v>2472</v>
      </c>
      <c r="E1149" s="85">
        <v>40767.457106481481</v>
      </c>
      <c r="F1149" s="85"/>
      <c r="G1149" s="64" t="str">
        <f>IF(stdProdLT(Main[[#This Row],[Comments]])=0.1,"N/A",IF(stdProdLT(Main[[#This Row],[Comments]])=0,"",TRIM(stdProdLT(Main[[#This Row],[Comments]]))))</f>
        <v/>
      </c>
      <c r="H1149" s="94" t="str">
        <f>IF(OR(Main[[#This Row],[Std. Prod. Lead Time]]="N/A",Main[[#This Row],[Std. Prod. Lead Time]]=""), "",IF(AND(Main[[#This Row],[In Stock Date]]&lt;&gt;"",Main[[#This Row],[Revised Due Date]]&lt;&gt;"",Main[[#This Row],[In Stock Date]]&lt;&gt;""),Main[[#This Row],[In Stock Date]]-Main[[#This Row],[Revised Due Date]],""))</f>
        <v/>
      </c>
      <c r="I1149" s="101" t="s">
        <v>4</v>
      </c>
      <c r="J1149" s="95" t="s">
        <v>4</v>
      </c>
      <c r="K1149" s="95" t="s">
        <v>4</v>
      </c>
      <c r="L1149" s="85"/>
      <c r="M1149" s="73" t="str">
        <f>IF(Main[[#This Row],[Tech Start Date]]&lt;1/1/1990,"",IF(Main[[#This Row],[Class]]="C",WORKDAY(Main[[#This Row],[Tech Start Date]],9),IF(Main[[#This Row],[Class]]="B", WORKDAY(Main[[#This Row],[Tech Start Date]],6),IF(Main[[#This Row],[Class]]="A",WORKDAY(Main[[#This Row],[Tech Start Date]],2),""))))</f>
        <v/>
      </c>
      <c r="N1149" s="73" t="str">
        <f>IF(Main[[#This Row],[Tech Start Date]]&lt;1/1/1990,"",IF(Main[[#This Row],[Class]]="C",WORKDAY(Main[[#This Row],[Tech Start Date]],19),IF(Main[[#This Row],[Class]]="B", WORKDAY(Main[[#This Row],[Tech Start Date]],12),IF(Main[[#This Row],[Class]]="A",WORKDAY(Main[[#This Row],[Tech Start Date]],4),""))))</f>
        <v/>
      </c>
      <c r="O1149" s="73" t="str">
        <f>IF(Main[[#This Row],[Tech Start Date]]&lt;1/1/1990,"",IF(Main[[#This Row],[Class]]="C",WORKDAY(Main[[#This Row],[Tech Start Date]],23),IF(Main[[#This Row],[Class]]="B", WORKDAY(Main[[#This Row],[Tech Start Date]],15),IF(Main[[#This Row],[Class]]="A",WORKDAY(Main[[#This Row],[Tech Start Date]],5),""))))</f>
        <v/>
      </c>
      <c r="P1149" s="73" t="str">
        <f>IF(Main[[#This Row],[Tech Start Date]]&lt;1/1/1990,"",IF(Main[[#This Row],[Class]]="C",WORKDAY(Main[[#This Row],[Tech Start Date]],28),IF(Main[[#This Row],[Class]]="B", WORKDAY(Main[[#This Row],[Tech Start Date]],19),IF(Main[[#This Row],[Class]]="A",WORKDAY(Main[[#This Row],[Tech Start Date]],9),""))))</f>
        <v/>
      </c>
      <c r="Q1149" s="85">
        <v>40715</v>
      </c>
      <c r="R1149" s="112"/>
      <c r="S1149" s="95" t="s">
        <v>6</v>
      </c>
      <c r="T1149" s="74" t="s">
        <v>4</v>
      </c>
      <c r="U1149" s="95" t="s">
        <v>7</v>
      </c>
      <c r="V1149" s="95" t="s">
        <v>1911</v>
      </c>
      <c r="W1149" s="95" t="s">
        <v>1922</v>
      </c>
      <c r="X1149" s="95" t="s">
        <v>970</v>
      </c>
      <c r="Y1149" s="72" t="s">
        <v>3075</v>
      </c>
      <c r="Z1149" s="72" t="s">
        <v>4</v>
      </c>
      <c r="AA1149" s="95" t="s">
        <v>970</v>
      </c>
      <c r="AB1149" s="132"/>
      <c r="AC1149" s="132"/>
      <c r="AD1149" s="132"/>
      <c r="AE1149" s="63"/>
      <c r="AF1149" s="63"/>
      <c r="AG1149" s="63"/>
    </row>
    <row r="1150" spans="1:33" ht="17.2" customHeight="1">
      <c r="A1150" s="64" t="str">
        <f>IF(priority(Main[[#This Row],[Comments]])&lt;&gt;0, priority(Main[[#This Row],[Comments]]),"")</f>
        <v/>
      </c>
      <c r="B1150" s="60" t="s">
        <v>1113</v>
      </c>
      <c r="C1150" s="72" t="s">
        <v>37</v>
      </c>
      <c r="D1150" s="59" t="s">
        <v>2473</v>
      </c>
      <c r="E1150" s="85">
        <v>40767.459861111114</v>
      </c>
      <c r="F1150" s="85"/>
      <c r="G1150" s="64" t="str">
        <f>IF(stdProdLT(Main[[#This Row],[Comments]])=0.1,"N/A",IF(stdProdLT(Main[[#This Row],[Comments]])=0,"",TRIM(stdProdLT(Main[[#This Row],[Comments]]))))</f>
        <v/>
      </c>
      <c r="H1150" s="94" t="str">
        <f>IF(OR(Main[[#This Row],[Std. Prod. Lead Time]]="N/A",Main[[#This Row],[Std. Prod. Lead Time]]=""), "",IF(AND(Main[[#This Row],[In Stock Date]]&lt;&gt;"",Main[[#This Row],[Revised Due Date]]&lt;&gt;"",Main[[#This Row],[In Stock Date]]&lt;&gt;""),Main[[#This Row],[In Stock Date]]-Main[[#This Row],[Revised Due Date]],""))</f>
        <v/>
      </c>
      <c r="I1150" s="101" t="s">
        <v>4</v>
      </c>
      <c r="J1150" s="95" t="s">
        <v>4</v>
      </c>
      <c r="K1150" s="95" t="s">
        <v>4</v>
      </c>
      <c r="L1150" s="85"/>
      <c r="M1150" s="73" t="str">
        <f>IF(Main[[#This Row],[Tech Start Date]]&lt;1/1/1990,"",IF(Main[[#This Row],[Class]]="C",WORKDAY(Main[[#This Row],[Tech Start Date]],9),IF(Main[[#This Row],[Class]]="B", WORKDAY(Main[[#This Row],[Tech Start Date]],6),IF(Main[[#This Row],[Class]]="A",WORKDAY(Main[[#This Row],[Tech Start Date]],2),""))))</f>
        <v/>
      </c>
      <c r="N1150" s="73" t="str">
        <f>IF(Main[[#This Row],[Tech Start Date]]&lt;1/1/1990,"",IF(Main[[#This Row],[Class]]="C",WORKDAY(Main[[#This Row],[Tech Start Date]],19),IF(Main[[#This Row],[Class]]="B", WORKDAY(Main[[#This Row],[Tech Start Date]],12),IF(Main[[#This Row],[Class]]="A",WORKDAY(Main[[#This Row],[Tech Start Date]],4),""))))</f>
        <v/>
      </c>
      <c r="O1150" s="73" t="str">
        <f>IF(Main[[#This Row],[Tech Start Date]]&lt;1/1/1990,"",IF(Main[[#This Row],[Class]]="C",WORKDAY(Main[[#This Row],[Tech Start Date]],23),IF(Main[[#This Row],[Class]]="B", WORKDAY(Main[[#This Row],[Tech Start Date]],15),IF(Main[[#This Row],[Class]]="A",WORKDAY(Main[[#This Row],[Tech Start Date]],5),""))))</f>
        <v/>
      </c>
      <c r="P1150" s="73" t="str">
        <f>IF(Main[[#This Row],[Tech Start Date]]&lt;1/1/1990,"",IF(Main[[#This Row],[Class]]="C",WORKDAY(Main[[#This Row],[Tech Start Date]],28),IF(Main[[#This Row],[Class]]="B", WORKDAY(Main[[#This Row],[Tech Start Date]],19),IF(Main[[#This Row],[Class]]="A",WORKDAY(Main[[#This Row],[Tech Start Date]],9),""))))</f>
        <v/>
      </c>
      <c r="Q1150" s="85">
        <v>40716</v>
      </c>
      <c r="R1150" s="112"/>
      <c r="S1150" s="95" t="s">
        <v>6</v>
      </c>
      <c r="T1150" s="74" t="s">
        <v>4</v>
      </c>
      <c r="U1150" s="95" t="s">
        <v>7</v>
      </c>
      <c r="V1150" s="95" t="s">
        <v>1911</v>
      </c>
      <c r="W1150" s="95" t="s">
        <v>1922</v>
      </c>
      <c r="X1150" s="95" t="s">
        <v>970</v>
      </c>
      <c r="Y1150" s="72" t="s">
        <v>3075</v>
      </c>
      <c r="Z1150" s="72" t="s">
        <v>4</v>
      </c>
      <c r="AA1150" s="95" t="s">
        <v>970</v>
      </c>
      <c r="AB1150" s="132"/>
      <c r="AC1150" s="132"/>
      <c r="AD1150" s="132"/>
      <c r="AE1150" s="63"/>
      <c r="AF1150" s="63"/>
      <c r="AG1150" s="63"/>
    </row>
    <row r="1151" spans="1:33" ht="17.2" customHeight="1">
      <c r="A1151" s="64" t="str">
        <f>IF(priority(Main[[#This Row],[Comments]])&lt;&gt;0, priority(Main[[#This Row],[Comments]]),"")</f>
        <v/>
      </c>
      <c r="B1151" s="60" t="s">
        <v>2476</v>
      </c>
      <c r="C1151" s="72" t="s">
        <v>4</v>
      </c>
      <c r="D1151" s="59" t="s">
        <v>2477</v>
      </c>
      <c r="E1151" s="85">
        <v>40857.542858796296</v>
      </c>
      <c r="F1151" s="85"/>
      <c r="G1151" s="64" t="str">
        <f>IF(stdProdLT(Main[[#This Row],[Comments]])=0.1,"N/A",IF(stdProdLT(Main[[#This Row],[Comments]])=0,"",TRIM(stdProdLT(Main[[#This Row],[Comments]]))))</f>
        <v/>
      </c>
      <c r="H1151" s="94" t="str">
        <f>IF(OR(Main[[#This Row],[Std. Prod. Lead Time]]="N/A",Main[[#This Row],[Std. Prod. Lead Time]]=""), "",IF(AND(Main[[#This Row],[In Stock Date]]&lt;&gt;"",Main[[#This Row],[Revised Due Date]]&lt;&gt;"",Main[[#This Row],[In Stock Date]]&lt;&gt;""),Main[[#This Row],[In Stock Date]]-Main[[#This Row],[Revised Due Date]],""))</f>
        <v/>
      </c>
      <c r="I1151" s="101" t="s">
        <v>4</v>
      </c>
      <c r="J1151" s="95" t="s">
        <v>4</v>
      </c>
      <c r="K1151" s="95" t="s">
        <v>4</v>
      </c>
      <c r="L1151" s="85"/>
      <c r="M1151" s="73" t="str">
        <f>IF(Main[[#This Row],[Tech Start Date]]&lt;1/1/1990,"",IF(Main[[#This Row],[Class]]="C",WORKDAY(Main[[#This Row],[Tech Start Date]],9),IF(Main[[#This Row],[Class]]="B", WORKDAY(Main[[#This Row],[Tech Start Date]],6),IF(Main[[#This Row],[Class]]="A",WORKDAY(Main[[#This Row],[Tech Start Date]],2),""))))</f>
        <v/>
      </c>
      <c r="N1151" s="73" t="str">
        <f>IF(Main[[#This Row],[Tech Start Date]]&lt;1/1/1990,"",IF(Main[[#This Row],[Class]]="C",WORKDAY(Main[[#This Row],[Tech Start Date]],19),IF(Main[[#This Row],[Class]]="B", WORKDAY(Main[[#This Row],[Tech Start Date]],12),IF(Main[[#This Row],[Class]]="A",WORKDAY(Main[[#This Row],[Tech Start Date]],4),""))))</f>
        <v/>
      </c>
      <c r="O1151" s="73" t="str">
        <f>IF(Main[[#This Row],[Tech Start Date]]&lt;1/1/1990,"",IF(Main[[#This Row],[Class]]="C",WORKDAY(Main[[#This Row],[Tech Start Date]],23),IF(Main[[#This Row],[Class]]="B", WORKDAY(Main[[#This Row],[Tech Start Date]],15),IF(Main[[#This Row],[Class]]="A",WORKDAY(Main[[#This Row],[Tech Start Date]],5),""))))</f>
        <v/>
      </c>
      <c r="P1151" s="73" t="str">
        <f>IF(Main[[#This Row],[Tech Start Date]]&lt;1/1/1990,"",IF(Main[[#This Row],[Class]]="C",WORKDAY(Main[[#This Row],[Tech Start Date]],28),IF(Main[[#This Row],[Class]]="B", WORKDAY(Main[[#This Row],[Tech Start Date]],19),IF(Main[[#This Row],[Class]]="A",WORKDAY(Main[[#This Row],[Tech Start Date]],9),""))))</f>
        <v/>
      </c>
      <c r="Q1151" s="85"/>
      <c r="R1151" s="112"/>
      <c r="S1151" s="95" t="s">
        <v>11</v>
      </c>
      <c r="T1151" s="74" t="s">
        <v>4</v>
      </c>
      <c r="U1151" s="95" t="s">
        <v>29</v>
      </c>
      <c r="V1151" s="95" t="s">
        <v>1912</v>
      </c>
      <c r="W1151" s="95" t="s">
        <v>4</v>
      </c>
      <c r="X1151" s="95" t="s">
        <v>2243</v>
      </c>
      <c r="Y1151" s="72" t="s">
        <v>4</v>
      </c>
      <c r="Z1151" s="72" t="s">
        <v>4</v>
      </c>
      <c r="AA1151" s="95" t="s">
        <v>4</v>
      </c>
      <c r="AB1151" s="132"/>
      <c r="AC1151" s="132"/>
      <c r="AD1151" s="132"/>
      <c r="AE1151" s="63"/>
      <c r="AF1151" s="63"/>
      <c r="AG1151" s="63"/>
    </row>
    <row r="1152" spans="1:33" ht="17.2" customHeight="1">
      <c r="A1152" s="64" t="str">
        <f>IF(priority(Main[[#This Row],[Comments]])&lt;&gt;0, priority(Main[[#This Row],[Comments]]),"")</f>
        <v/>
      </c>
      <c r="B1152" s="60" t="s">
        <v>2478</v>
      </c>
      <c r="C1152" s="72" t="s">
        <v>4</v>
      </c>
      <c r="D1152" s="59" t="s">
        <v>2479</v>
      </c>
      <c r="E1152" s="85">
        <v>40820.695763888885</v>
      </c>
      <c r="F1152" s="85"/>
      <c r="G1152" s="64" t="str">
        <f>IF(stdProdLT(Main[[#This Row],[Comments]])=0.1,"N/A",IF(stdProdLT(Main[[#This Row],[Comments]])=0,"",TRIM(stdProdLT(Main[[#This Row],[Comments]]))))</f>
        <v/>
      </c>
      <c r="H1152" s="94" t="str">
        <f>IF(OR(Main[[#This Row],[Std. Prod. Lead Time]]="N/A",Main[[#This Row],[Std. Prod. Lead Time]]=""), "",IF(AND(Main[[#This Row],[In Stock Date]]&lt;&gt;"",Main[[#This Row],[Revised Due Date]]&lt;&gt;"",Main[[#This Row],[In Stock Date]]&lt;&gt;""),Main[[#This Row],[In Stock Date]]-Main[[#This Row],[Revised Due Date]],""))</f>
        <v/>
      </c>
      <c r="I1152" s="101" t="s">
        <v>4</v>
      </c>
      <c r="J1152" s="95" t="s">
        <v>4</v>
      </c>
      <c r="K1152" s="95" t="s">
        <v>4</v>
      </c>
      <c r="L1152" s="85"/>
      <c r="M1152" s="73" t="str">
        <f>IF(Main[[#This Row],[Tech Start Date]]&lt;1/1/1990,"",IF(Main[[#This Row],[Class]]="C",WORKDAY(Main[[#This Row],[Tech Start Date]],9),IF(Main[[#This Row],[Class]]="B", WORKDAY(Main[[#This Row],[Tech Start Date]],6),IF(Main[[#This Row],[Class]]="A",WORKDAY(Main[[#This Row],[Tech Start Date]],2),""))))</f>
        <v/>
      </c>
      <c r="N1152" s="73" t="str">
        <f>IF(Main[[#This Row],[Tech Start Date]]&lt;1/1/1990,"",IF(Main[[#This Row],[Class]]="C",WORKDAY(Main[[#This Row],[Tech Start Date]],19),IF(Main[[#This Row],[Class]]="B", WORKDAY(Main[[#This Row],[Tech Start Date]],12),IF(Main[[#This Row],[Class]]="A",WORKDAY(Main[[#This Row],[Tech Start Date]],4),""))))</f>
        <v/>
      </c>
      <c r="O1152" s="73" t="str">
        <f>IF(Main[[#This Row],[Tech Start Date]]&lt;1/1/1990,"",IF(Main[[#This Row],[Class]]="C",WORKDAY(Main[[#This Row],[Tech Start Date]],23),IF(Main[[#This Row],[Class]]="B", WORKDAY(Main[[#This Row],[Tech Start Date]],15),IF(Main[[#This Row],[Class]]="A",WORKDAY(Main[[#This Row],[Tech Start Date]],5),""))))</f>
        <v/>
      </c>
      <c r="P1152" s="73" t="str">
        <f>IF(Main[[#This Row],[Tech Start Date]]&lt;1/1/1990,"",IF(Main[[#This Row],[Class]]="C",WORKDAY(Main[[#This Row],[Tech Start Date]],28),IF(Main[[#This Row],[Class]]="B", WORKDAY(Main[[#This Row],[Tech Start Date]],19),IF(Main[[#This Row],[Class]]="A",WORKDAY(Main[[#This Row],[Tech Start Date]],9),""))))</f>
        <v/>
      </c>
      <c r="Q1152" s="85"/>
      <c r="R1152" s="112"/>
      <c r="S1152" s="95" t="s">
        <v>6</v>
      </c>
      <c r="T1152" s="74" t="s">
        <v>4</v>
      </c>
      <c r="U1152" s="95" t="s">
        <v>29</v>
      </c>
      <c r="V1152" s="95" t="s">
        <v>1914</v>
      </c>
      <c r="W1152" s="95" t="s">
        <v>1915</v>
      </c>
      <c r="X1152" s="95" t="s">
        <v>102</v>
      </c>
      <c r="Y1152" s="72" t="s">
        <v>3092</v>
      </c>
      <c r="Z1152" s="72" t="s">
        <v>4</v>
      </c>
      <c r="AA1152" s="95" t="s">
        <v>883</v>
      </c>
      <c r="AB1152" s="132"/>
      <c r="AC1152" s="132"/>
      <c r="AD1152" s="132"/>
      <c r="AE1152" s="63"/>
      <c r="AF1152" s="63"/>
      <c r="AG1152" s="63"/>
    </row>
    <row r="1153" spans="1:33" ht="17.2" customHeight="1">
      <c r="A1153" s="64" t="str">
        <f>IF(priority(Main[[#This Row],[Comments]])&lt;&gt;0, priority(Main[[#This Row],[Comments]]),"")</f>
        <v/>
      </c>
      <c r="B1153" s="60" t="s">
        <v>3487</v>
      </c>
      <c r="C1153" s="72" t="s">
        <v>4</v>
      </c>
      <c r="D1153" s="59" t="s">
        <v>3488</v>
      </c>
      <c r="E1153" s="85">
        <v>40949.644756944443</v>
      </c>
      <c r="F1153" s="85"/>
      <c r="G1153" s="64" t="str">
        <f>IF(stdProdLT(Main[[#This Row],[Comments]])=0.1,"N/A",IF(stdProdLT(Main[[#This Row],[Comments]])=0,"",TRIM(stdProdLT(Main[[#This Row],[Comments]]))))</f>
        <v/>
      </c>
      <c r="H1153" s="94" t="str">
        <f>IF(OR(Main[[#This Row],[Std. Prod. Lead Time]]="N/A",Main[[#This Row],[Std. Prod. Lead Time]]=""), "",IF(AND(Main[[#This Row],[In Stock Date]]&lt;&gt;"",Main[[#This Row],[Revised Due Date]]&lt;&gt;"",Main[[#This Row],[In Stock Date]]&lt;&gt;""),Main[[#This Row],[In Stock Date]]-Main[[#This Row],[Revised Due Date]],""))</f>
        <v/>
      </c>
      <c r="I1153" s="101" t="s">
        <v>4</v>
      </c>
      <c r="J1153" s="95" t="s">
        <v>4</v>
      </c>
      <c r="K1153" s="95" t="s">
        <v>4</v>
      </c>
      <c r="L1153" s="85"/>
      <c r="M1153" s="73" t="str">
        <f>IF(Main[[#This Row],[Tech Start Date]]&lt;1/1/1990,"",IF(Main[[#This Row],[Class]]="C",WORKDAY(Main[[#This Row],[Tech Start Date]],9),IF(Main[[#This Row],[Class]]="B", WORKDAY(Main[[#This Row],[Tech Start Date]],6),IF(Main[[#This Row],[Class]]="A",WORKDAY(Main[[#This Row],[Tech Start Date]],2),""))))</f>
        <v/>
      </c>
      <c r="N1153" s="73" t="str">
        <f>IF(Main[[#This Row],[Tech Start Date]]&lt;1/1/1990,"",IF(Main[[#This Row],[Class]]="C",WORKDAY(Main[[#This Row],[Tech Start Date]],19),IF(Main[[#This Row],[Class]]="B", WORKDAY(Main[[#This Row],[Tech Start Date]],12),IF(Main[[#This Row],[Class]]="A",WORKDAY(Main[[#This Row],[Tech Start Date]],4),""))))</f>
        <v/>
      </c>
      <c r="O1153" s="73" t="str">
        <f>IF(Main[[#This Row],[Tech Start Date]]&lt;1/1/1990,"",IF(Main[[#This Row],[Class]]="C",WORKDAY(Main[[#This Row],[Tech Start Date]],23),IF(Main[[#This Row],[Class]]="B", WORKDAY(Main[[#This Row],[Tech Start Date]],15),IF(Main[[#This Row],[Class]]="A",WORKDAY(Main[[#This Row],[Tech Start Date]],5),""))))</f>
        <v/>
      </c>
      <c r="P1153" s="73" t="str">
        <f>IF(Main[[#This Row],[Tech Start Date]]&lt;1/1/1990,"",IF(Main[[#This Row],[Class]]="C",WORKDAY(Main[[#This Row],[Tech Start Date]],28),IF(Main[[#This Row],[Class]]="B", WORKDAY(Main[[#This Row],[Tech Start Date]],19),IF(Main[[#This Row],[Class]]="A",WORKDAY(Main[[#This Row],[Tech Start Date]],9),""))))</f>
        <v/>
      </c>
      <c r="Q1153" s="85">
        <v>40959</v>
      </c>
      <c r="R1153" s="112"/>
      <c r="S1153" s="95" t="s">
        <v>4</v>
      </c>
      <c r="T1153" s="74" t="s">
        <v>4</v>
      </c>
      <c r="U1153" s="95" t="s">
        <v>7</v>
      </c>
      <c r="V1153" s="95" t="s">
        <v>1911</v>
      </c>
      <c r="W1153" s="95" t="s">
        <v>4</v>
      </c>
      <c r="X1153" s="95" t="s">
        <v>956</v>
      </c>
      <c r="Y1153" s="72" t="s">
        <v>4</v>
      </c>
      <c r="Z1153" s="72" t="s">
        <v>4</v>
      </c>
      <c r="AA1153" s="95" t="s">
        <v>4</v>
      </c>
      <c r="AB1153" s="132"/>
      <c r="AC1153" s="132"/>
      <c r="AD1153" s="132"/>
      <c r="AE1153" s="63"/>
      <c r="AF1153" s="63"/>
      <c r="AG1153" s="63"/>
    </row>
    <row r="1154" spans="1:33" ht="17.2" customHeight="1">
      <c r="A1154" s="64" t="str">
        <f>IF(priority(Main[[#This Row],[Comments]])&lt;&gt;0, priority(Main[[#This Row],[Comments]]),"")</f>
        <v/>
      </c>
      <c r="B1154" s="60" t="s">
        <v>3655</v>
      </c>
      <c r="C1154" s="72" t="s">
        <v>4</v>
      </c>
      <c r="D1154" s="59" t="s">
        <v>4077</v>
      </c>
      <c r="E1154" s="85">
        <v>40961.570833333331</v>
      </c>
      <c r="F1154" s="85"/>
      <c r="G1154" s="64" t="str">
        <f>IF(stdProdLT(Main[[#This Row],[Comments]])=0.1,"N/A",IF(stdProdLT(Main[[#This Row],[Comments]])=0,"",TRIM(stdProdLT(Main[[#This Row],[Comments]]))))</f>
        <v/>
      </c>
      <c r="H1154" s="94" t="str">
        <f>IF(OR(Main[[#This Row],[Std. Prod. Lead Time]]="N/A",Main[[#This Row],[Std. Prod. Lead Time]]=""), "",IF(AND(Main[[#This Row],[In Stock Date]]&lt;&gt;"",Main[[#This Row],[Revised Due Date]]&lt;&gt;"",Main[[#This Row],[In Stock Date]]&lt;&gt;""),Main[[#This Row],[In Stock Date]]-Main[[#This Row],[Revised Due Date]],""))</f>
        <v/>
      </c>
      <c r="I1154" s="101" t="s">
        <v>30</v>
      </c>
      <c r="J1154" s="95" t="s">
        <v>52</v>
      </c>
      <c r="K1154" s="95" t="s">
        <v>1920</v>
      </c>
      <c r="L1154" s="85"/>
      <c r="M1154" s="73" t="str">
        <f>IF(Main[[#This Row],[Tech Start Date]]&lt;1/1/1990,"",IF(Main[[#This Row],[Class]]="C",WORKDAY(Main[[#This Row],[Tech Start Date]],9),IF(Main[[#This Row],[Class]]="B", WORKDAY(Main[[#This Row],[Tech Start Date]],6),IF(Main[[#This Row],[Class]]="A",WORKDAY(Main[[#This Row],[Tech Start Date]],2),""))))</f>
        <v/>
      </c>
      <c r="N1154" s="73" t="str">
        <f>IF(Main[[#This Row],[Tech Start Date]]&lt;1/1/1990,"",IF(Main[[#This Row],[Class]]="C",WORKDAY(Main[[#This Row],[Tech Start Date]],19),IF(Main[[#This Row],[Class]]="B", WORKDAY(Main[[#This Row],[Tech Start Date]],12),IF(Main[[#This Row],[Class]]="A",WORKDAY(Main[[#This Row],[Tech Start Date]],4),""))))</f>
        <v/>
      </c>
      <c r="O1154" s="73" t="str">
        <f>IF(Main[[#This Row],[Tech Start Date]]&lt;1/1/1990,"",IF(Main[[#This Row],[Class]]="C",WORKDAY(Main[[#This Row],[Tech Start Date]],23),IF(Main[[#This Row],[Class]]="B", WORKDAY(Main[[#This Row],[Tech Start Date]],15),IF(Main[[#This Row],[Class]]="A",WORKDAY(Main[[#This Row],[Tech Start Date]],5),""))))</f>
        <v/>
      </c>
      <c r="P1154" s="73" t="str">
        <f>IF(Main[[#This Row],[Tech Start Date]]&lt;1/1/1990,"",IF(Main[[#This Row],[Class]]="C",WORKDAY(Main[[#This Row],[Tech Start Date]],28),IF(Main[[#This Row],[Class]]="B", WORKDAY(Main[[#This Row],[Tech Start Date]],19),IF(Main[[#This Row],[Class]]="A",WORKDAY(Main[[#This Row],[Tech Start Date]],9),""))))</f>
        <v/>
      </c>
      <c r="Q1154" s="85"/>
      <c r="R1154" s="112"/>
      <c r="S1154" s="95" t="s">
        <v>6</v>
      </c>
      <c r="T1154" s="74" t="s">
        <v>4</v>
      </c>
      <c r="U1154" s="95" t="s">
        <v>29</v>
      </c>
      <c r="V1154" s="95" t="s">
        <v>1914</v>
      </c>
      <c r="W1154" s="95" t="s">
        <v>1915</v>
      </c>
      <c r="X1154" s="95" t="s">
        <v>2821</v>
      </c>
      <c r="Y1154" s="72" t="s">
        <v>2949</v>
      </c>
      <c r="Z1154" s="72" t="s">
        <v>30</v>
      </c>
      <c r="AA1154" s="95" t="s">
        <v>2821</v>
      </c>
      <c r="AB1154" s="132"/>
      <c r="AC1154" s="132"/>
      <c r="AD1154" s="132"/>
      <c r="AE1154" s="63"/>
      <c r="AF1154" s="63"/>
      <c r="AG1154" s="63"/>
    </row>
    <row r="1155" spans="1:33" ht="17.2" customHeight="1">
      <c r="A1155" s="64" t="str">
        <f>IF(priority(Main[[#This Row],[Comments]])&lt;&gt;0, priority(Main[[#This Row],[Comments]]),"")</f>
        <v/>
      </c>
      <c r="B1155" s="60" t="s">
        <v>2482</v>
      </c>
      <c r="C1155" s="72" t="s">
        <v>4</v>
      </c>
      <c r="D1155" s="59" t="s">
        <v>2483</v>
      </c>
      <c r="E1155" s="85">
        <v>40855.647002314814</v>
      </c>
      <c r="F1155" s="85"/>
      <c r="G1155" s="64" t="str">
        <f>IF(stdProdLT(Main[[#This Row],[Comments]])=0.1,"N/A",IF(stdProdLT(Main[[#This Row],[Comments]])=0,"",TRIM(stdProdLT(Main[[#This Row],[Comments]]))))</f>
        <v/>
      </c>
      <c r="H1155" s="94" t="str">
        <f>IF(OR(Main[[#This Row],[Std. Prod. Lead Time]]="N/A",Main[[#This Row],[Std. Prod. Lead Time]]=""), "",IF(AND(Main[[#This Row],[In Stock Date]]&lt;&gt;"",Main[[#This Row],[Revised Due Date]]&lt;&gt;"",Main[[#This Row],[In Stock Date]]&lt;&gt;""),Main[[#This Row],[In Stock Date]]-Main[[#This Row],[Revised Due Date]],""))</f>
        <v/>
      </c>
      <c r="I1155" s="101" t="s">
        <v>4</v>
      </c>
      <c r="J1155" s="95" t="s">
        <v>4</v>
      </c>
      <c r="K1155" s="95" t="s">
        <v>4</v>
      </c>
      <c r="L1155" s="85"/>
      <c r="M1155" s="73" t="str">
        <f>IF(Main[[#This Row],[Tech Start Date]]&lt;1/1/1990,"",IF(Main[[#This Row],[Class]]="C",WORKDAY(Main[[#This Row],[Tech Start Date]],9),IF(Main[[#This Row],[Class]]="B", WORKDAY(Main[[#This Row],[Tech Start Date]],6),IF(Main[[#This Row],[Class]]="A",WORKDAY(Main[[#This Row],[Tech Start Date]],2),""))))</f>
        <v/>
      </c>
      <c r="N1155" s="73" t="str">
        <f>IF(Main[[#This Row],[Tech Start Date]]&lt;1/1/1990,"",IF(Main[[#This Row],[Class]]="C",WORKDAY(Main[[#This Row],[Tech Start Date]],19),IF(Main[[#This Row],[Class]]="B", WORKDAY(Main[[#This Row],[Tech Start Date]],12),IF(Main[[#This Row],[Class]]="A",WORKDAY(Main[[#This Row],[Tech Start Date]],4),""))))</f>
        <v/>
      </c>
      <c r="O1155" s="73" t="str">
        <f>IF(Main[[#This Row],[Tech Start Date]]&lt;1/1/1990,"",IF(Main[[#This Row],[Class]]="C",WORKDAY(Main[[#This Row],[Tech Start Date]],23),IF(Main[[#This Row],[Class]]="B", WORKDAY(Main[[#This Row],[Tech Start Date]],15),IF(Main[[#This Row],[Class]]="A",WORKDAY(Main[[#This Row],[Tech Start Date]],5),""))))</f>
        <v/>
      </c>
      <c r="P1155" s="73" t="str">
        <f>IF(Main[[#This Row],[Tech Start Date]]&lt;1/1/1990,"",IF(Main[[#This Row],[Class]]="C",WORKDAY(Main[[#This Row],[Tech Start Date]],28),IF(Main[[#This Row],[Class]]="B", WORKDAY(Main[[#This Row],[Tech Start Date]],19),IF(Main[[#This Row],[Class]]="A",WORKDAY(Main[[#This Row],[Tech Start Date]],9),""))))</f>
        <v/>
      </c>
      <c r="Q1155" s="85">
        <v>40892</v>
      </c>
      <c r="R1155" s="112"/>
      <c r="S1155" s="95" t="s">
        <v>6</v>
      </c>
      <c r="T1155" s="74" t="s">
        <v>4</v>
      </c>
      <c r="U1155" s="95" t="s">
        <v>7</v>
      </c>
      <c r="V1155" s="95" t="s">
        <v>1911</v>
      </c>
      <c r="W1155" s="95" t="s">
        <v>1919</v>
      </c>
      <c r="X1155" s="95" t="s">
        <v>2801</v>
      </c>
      <c r="Y1155" s="72" t="s">
        <v>2914</v>
      </c>
      <c r="Z1155" s="72" t="s">
        <v>4</v>
      </c>
      <c r="AA1155" s="95" t="s">
        <v>2801</v>
      </c>
      <c r="AB1155" s="132"/>
      <c r="AC1155" s="132"/>
      <c r="AD1155" s="132"/>
      <c r="AE1155" s="63"/>
      <c r="AF1155" s="63"/>
      <c r="AG1155" s="63"/>
    </row>
    <row r="1156" spans="1:33" ht="17.2" customHeight="1">
      <c r="A1156" s="64" t="str">
        <f>IF(priority(Main[[#This Row],[Comments]])&lt;&gt;0, priority(Main[[#This Row],[Comments]]),"")</f>
        <v/>
      </c>
      <c r="B1156" s="60" t="s">
        <v>2355</v>
      </c>
      <c r="C1156" s="72" t="s">
        <v>4</v>
      </c>
      <c r="D1156" s="59" t="s">
        <v>3459</v>
      </c>
      <c r="E1156" s="85">
        <v>40854.718263888892</v>
      </c>
      <c r="F1156" s="85"/>
      <c r="G1156" s="64" t="str">
        <f>IF(stdProdLT(Main[[#This Row],[Comments]])=0.1,"N/A",IF(stdProdLT(Main[[#This Row],[Comments]])=0,"",TRIM(stdProdLT(Main[[#This Row],[Comments]]))))</f>
        <v/>
      </c>
      <c r="H1156" s="94" t="str">
        <f>IF(OR(Main[[#This Row],[Std. Prod. Lead Time]]="N/A",Main[[#This Row],[Std. Prod. Lead Time]]=""), "",IF(AND(Main[[#This Row],[In Stock Date]]&lt;&gt;"",Main[[#This Row],[Revised Due Date]]&lt;&gt;"",Main[[#This Row],[In Stock Date]]&lt;&gt;""),Main[[#This Row],[In Stock Date]]-Main[[#This Row],[Revised Due Date]],""))</f>
        <v/>
      </c>
      <c r="I1156" s="101" t="s">
        <v>4</v>
      </c>
      <c r="J1156" s="95" t="s">
        <v>4</v>
      </c>
      <c r="K1156" s="95" t="s">
        <v>4</v>
      </c>
      <c r="L1156" s="85"/>
      <c r="M1156" s="73" t="str">
        <f>IF(Main[[#This Row],[Tech Start Date]]&lt;1/1/1990,"",IF(Main[[#This Row],[Class]]="C",WORKDAY(Main[[#This Row],[Tech Start Date]],9),IF(Main[[#This Row],[Class]]="B", WORKDAY(Main[[#This Row],[Tech Start Date]],6),IF(Main[[#This Row],[Class]]="A",WORKDAY(Main[[#This Row],[Tech Start Date]],2),""))))</f>
        <v/>
      </c>
      <c r="N1156" s="73" t="str">
        <f>IF(Main[[#This Row],[Tech Start Date]]&lt;1/1/1990,"",IF(Main[[#This Row],[Class]]="C",WORKDAY(Main[[#This Row],[Tech Start Date]],19),IF(Main[[#This Row],[Class]]="B", WORKDAY(Main[[#This Row],[Tech Start Date]],12),IF(Main[[#This Row],[Class]]="A",WORKDAY(Main[[#This Row],[Tech Start Date]],4),""))))</f>
        <v/>
      </c>
      <c r="O1156" s="73" t="str">
        <f>IF(Main[[#This Row],[Tech Start Date]]&lt;1/1/1990,"",IF(Main[[#This Row],[Class]]="C",WORKDAY(Main[[#This Row],[Tech Start Date]],23),IF(Main[[#This Row],[Class]]="B", WORKDAY(Main[[#This Row],[Tech Start Date]],15),IF(Main[[#This Row],[Class]]="A",WORKDAY(Main[[#This Row],[Tech Start Date]],5),""))))</f>
        <v/>
      </c>
      <c r="P1156" s="73" t="str">
        <f>IF(Main[[#This Row],[Tech Start Date]]&lt;1/1/1990,"",IF(Main[[#This Row],[Class]]="C",WORKDAY(Main[[#This Row],[Tech Start Date]],28),IF(Main[[#This Row],[Class]]="B", WORKDAY(Main[[#This Row],[Tech Start Date]],19),IF(Main[[#This Row],[Class]]="A",WORKDAY(Main[[#This Row],[Tech Start Date]],9),""))))</f>
        <v/>
      </c>
      <c r="Q1156" s="85">
        <v>40884</v>
      </c>
      <c r="R1156" s="112"/>
      <c r="S1156" s="95" t="s">
        <v>6</v>
      </c>
      <c r="T1156" s="74" t="s">
        <v>4</v>
      </c>
      <c r="U1156" s="95" t="s">
        <v>7</v>
      </c>
      <c r="V1156" s="95" t="s">
        <v>2277</v>
      </c>
      <c r="W1156" s="95" t="s">
        <v>4</v>
      </c>
      <c r="X1156" s="95" t="s">
        <v>2845</v>
      </c>
      <c r="Y1156" s="72" t="s">
        <v>2988</v>
      </c>
      <c r="Z1156" s="72" t="s">
        <v>4</v>
      </c>
      <c r="AA1156" s="95" t="s">
        <v>2845</v>
      </c>
      <c r="AB1156" s="132"/>
      <c r="AC1156" s="132"/>
      <c r="AD1156" s="132"/>
      <c r="AE1156" s="63"/>
      <c r="AF1156" s="63"/>
      <c r="AG1156" s="63"/>
    </row>
    <row r="1157" spans="1:33" ht="17.2" customHeight="1">
      <c r="A1157" s="64" t="str">
        <f>IF(priority(Main[[#This Row],[Comments]])&lt;&gt;0, priority(Main[[#This Row],[Comments]]),"")</f>
        <v/>
      </c>
      <c r="B1157" s="60" t="s">
        <v>2489</v>
      </c>
      <c r="C1157" s="72" t="s">
        <v>4</v>
      </c>
      <c r="D1157" s="59" t="s">
        <v>2490</v>
      </c>
      <c r="E1157" s="85"/>
      <c r="F1157" s="85"/>
      <c r="G1157" s="64" t="str">
        <f>IF(stdProdLT(Main[[#This Row],[Comments]])=0.1,"N/A",IF(stdProdLT(Main[[#This Row],[Comments]])=0,"",TRIM(stdProdLT(Main[[#This Row],[Comments]]))))</f>
        <v/>
      </c>
      <c r="H1157" s="94" t="str">
        <f>IF(OR(Main[[#This Row],[Std. Prod. Lead Time]]="N/A",Main[[#This Row],[Std. Prod. Lead Time]]=""), "",IF(AND(Main[[#This Row],[In Stock Date]]&lt;&gt;"",Main[[#This Row],[Revised Due Date]]&lt;&gt;"",Main[[#This Row],[In Stock Date]]&lt;&gt;""),Main[[#This Row],[In Stock Date]]-Main[[#This Row],[Revised Due Date]],""))</f>
        <v/>
      </c>
      <c r="I1157" s="101" t="s">
        <v>4</v>
      </c>
      <c r="J1157" s="95" t="s">
        <v>4</v>
      </c>
      <c r="K1157" s="95" t="s">
        <v>4</v>
      </c>
      <c r="L1157" s="85"/>
      <c r="M1157" s="73" t="str">
        <f>IF(Main[[#This Row],[Tech Start Date]]&lt;1/1/1990,"",IF(Main[[#This Row],[Class]]="C",WORKDAY(Main[[#This Row],[Tech Start Date]],9),IF(Main[[#This Row],[Class]]="B", WORKDAY(Main[[#This Row],[Tech Start Date]],6),IF(Main[[#This Row],[Class]]="A",WORKDAY(Main[[#This Row],[Tech Start Date]],2),""))))</f>
        <v/>
      </c>
      <c r="N1157" s="73" t="str">
        <f>IF(Main[[#This Row],[Tech Start Date]]&lt;1/1/1990,"",IF(Main[[#This Row],[Class]]="C",WORKDAY(Main[[#This Row],[Tech Start Date]],19),IF(Main[[#This Row],[Class]]="B", WORKDAY(Main[[#This Row],[Tech Start Date]],12),IF(Main[[#This Row],[Class]]="A",WORKDAY(Main[[#This Row],[Tech Start Date]],4),""))))</f>
        <v/>
      </c>
      <c r="O1157" s="73" t="str">
        <f>IF(Main[[#This Row],[Tech Start Date]]&lt;1/1/1990,"",IF(Main[[#This Row],[Class]]="C",WORKDAY(Main[[#This Row],[Tech Start Date]],23),IF(Main[[#This Row],[Class]]="B", WORKDAY(Main[[#This Row],[Tech Start Date]],15),IF(Main[[#This Row],[Class]]="A",WORKDAY(Main[[#This Row],[Tech Start Date]],5),""))))</f>
        <v/>
      </c>
      <c r="P1157" s="73" t="str">
        <f>IF(Main[[#This Row],[Tech Start Date]]&lt;1/1/1990,"",IF(Main[[#This Row],[Class]]="C",WORKDAY(Main[[#This Row],[Tech Start Date]],28),IF(Main[[#This Row],[Class]]="B", WORKDAY(Main[[#This Row],[Tech Start Date]],19),IF(Main[[#This Row],[Class]]="A",WORKDAY(Main[[#This Row],[Tech Start Date]],9),""))))</f>
        <v/>
      </c>
      <c r="Q1157" s="85"/>
      <c r="R1157" s="112"/>
      <c r="S1157" s="95" t="s">
        <v>11</v>
      </c>
      <c r="T1157" s="74" t="s">
        <v>4</v>
      </c>
      <c r="U1157" s="95" t="s">
        <v>14</v>
      </c>
      <c r="V1157" s="95" t="s">
        <v>1911</v>
      </c>
      <c r="W1157" s="95" t="s">
        <v>1919</v>
      </c>
      <c r="X1157" s="95" t="s">
        <v>2886</v>
      </c>
      <c r="Y1157" s="72" t="s">
        <v>3074</v>
      </c>
      <c r="Z1157" s="72" t="s">
        <v>877</v>
      </c>
      <c r="AA1157" s="95" t="s">
        <v>2886</v>
      </c>
      <c r="AB1157" s="132"/>
      <c r="AC1157" s="132"/>
      <c r="AD1157" s="132"/>
      <c r="AE1157" s="63"/>
      <c r="AF1157" s="63"/>
      <c r="AG1157" s="63"/>
    </row>
    <row r="1158" spans="1:33" ht="17.2" customHeight="1">
      <c r="A1158" s="64" t="str">
        <f>IF(priority(Main[[#This Row],[Comments]])&lt;&gt;0, priority(Main[[#This Row],[Comments]]),"")</f>
        <v/>
      </c>
      <c r="B1158" s="60" t="s">
        <v>2465</v>
      </c>
      <c r="C1158" s="72" t="s">
        <v>4</v>
      </c>
      <c r="D1158" s="59" t="s">
        <v>2466</v>
      </c>
      <c r="E1158" s="85">
        <v>40834.323900462965</v>
      </c>
      <c r="F1158" s="85"/>
      <c r="G1158" s="64" t="str">
        <f>IF(stdProdLT(Main[[#This Row],[Comments]])=0.1,"N/A",IF(stdProdLT(Main[[#This Row],[Comments]])=0,"",TRIM(stdProdLT(Main[[#This Row],[Comments]]))))</f>
        <v/>
      </c>
      <c r="H1158" s="94" t="str">
        <f>IF(OR(Main[[#This Row],[Std. Prod. Lead Time]]="N/A",Main[[#This Row],[Std. Prod. Lead Time]]=""), "",IF(AND(Main[[#This Row],[In Stock Date]]&lt;&gt;"",Main[[#This Row],[Revised Due Date]]&lt;&gt;"",Main[[#This Row],[In Stock Date]]&lt;&gt;""),Main[[#This Row],[In Stock Date]]-Main[[#This Row],[Revised Due Date]],""))</f>
        <v/>
      </c>
      <c r="I1158" s="101" t="s">
        <v>4</v>
      </c>
      <c r="J1158" s="95" t="s">
        <v>4</v>
      </c>
      <c r="K1158" s="95" t="s">
        <v>4</v>
      </c>
      <c r="L1158" s="85"/>
      <c r="M1158" s="73" t="str">
        <f>IF(Main[[#This Row],[Tech Start Date]]&lt;1/1/1990,"",IF(Main[[#This Row],[Class]]="C",WORKDAY(Main[[#This Row],[Tech Start Date]],9),IF(Main[[#This Row],[Class]]="B", WORKDAY(Main[[#This Row],[Tech Start Date]],6),IF(Main[[#This Row],[Class]]="A",WORKDAY(Main[[#This Row],[Tech Start Date]],2),""))))</f>
        <v/>
      </c>
      <c r="N1158" s="73" t="str">
        <f>IF(Main[[#This Row],[Tech Start Date]]&lt;1/1/1990,"",IF(Main[[#This Row],[Class]]="C",WORKDAY(Main[[#This Row],[Tech Start Date]],19),IF(Main[[#This Row],[Class]]="B", WORKDAY(Main[[#This Row],[Tech Start Date]],12),IF(Main[[#This Row],[Class]]="A",WORKDAY(Main[[#This Row],[Tech Start Date]],4),""))))</f>
        <v/>
      </c>
      <c r="O1158" s="73" t="str">
        <f>IF(Main[[#This Row],[Tech Start Date]]&lt;1/1/1990,"",IF(Main[[#This Row],[Class]]="C",WORKDAY(Main[[#This Row],[Tech Start Date]],23),IF(Main[[#This Row],[Class]]="B", WORKDAY(Main[[#This Row],[Tech Start Date]],15),IF(Main[[#This Row],[Class]]="A",WORKDAY(Main[[#This Row],[Tech Start Date]],5),""))))</f>
        <v/>
      </c>
      <c r="P1158" s="73" t="str">
        <f>IF(Main[[#This Row],[Tech Start Date]]&lt;1/1/1990,"",IF(Main[[#This Row],[Class]]="C",WORKDAY(Main[[#This Row],[Tech Start Date]],28),IF(Main[[#This Row],[Class]]="B", WORKDAY(Main[[#This Row],[Tech Start Date]],19),IF(Main[[#This Row],[Class]]="A",WORKDAY(Main[[#This Row],[Tech Start Date]],9),""))))</f>
        <v/>
      </c>
      <c r="Q1158" s="85"/>
      <c r="R1158" s="112"/>
      <c r="S1158" s="95" t="s">
        <v>6</v>
      </c>
      <c r="T1158" s="74" t="s">
        <v>4</v>
      </c>
      <c r="U1158" s="95" t="s">
        <v>7</v>
      </c>
      <c r="V1158" s="95" t="s">
        <v>1911</v>
      </c>
      <c r="W1158" s="95" t="s">
        <v>1915</v>
      </c>
      <c r="X1158" s="95" t="s">
        <v>399</v>
      </c>
      <c r="Y1158" s="72" t="s">
        <v>4</v>
      </c>
      <c r="Z1158" s="72" t="s">
        <v>4</v>
      </c>
      <c r="AA1158" s="95" t="s">
        <v>3346</v>
      </c>
      <c r="AB1158" s="132"/>
      <c r="AC1158" s="132"/>
      <c r="AD1158" s="132"/>
      <c r="AE1158" s="63"/>
      <c r="AF1158" s="63"/>
      <c r="AG1158" s="63"/>
    </row>
    <row r="1159" spans="1:33" ht="17.2" customHeight="1">
      <c r="A1159" s="64" t="str">
        <f>IF(priority(Main[[#This Row],[Comments]])&lt;&gt;0, priority(Main[[#This Row],[Comments]]),"")</f>
        <v/>
      </c>
      <c r="B1159" s="60" t="s">
        <v>2467</v>
      </c>
      <c r="C1159" s="72" t="s">
        <v>347</v>
      </c>
      <c r="D1159" s="59" t="s">
        <v>2330</v>
      </c>
      <c r="E1159" s="85">
        <v>40827.600601851853</v>
      </c>
      <c r="F1159" s="85"/>
      <c r="G1159" s="64" t="str">
        <f>IF(stdProdLT(Main[[#This Row],[Comments]])=0.1,"N/A",IF(stdProdLT(Main[[#This Row],[Comments]])=0,"",TRIM(stdProdLT(Main[[#This Row],[Comments]]))))</f>
        <v/>
      </c>
      <c r="H1159" s="94" t="str">
        <f>IF(OR(Main[[#This Row],[Std. Prod. Lead Time]]="N/A",Main[[#This Row],[Std. Prod. Lead Time]]=""), "",IF(AND(Main[[#This Row],[In Stock Date]]&lt;&gt;"",Main[[#This Row],[Revised Due Date]]&lt;&gt;"",Main[[#This Row],[In Stock Date]]&lt;&gt;""),Main[[#This Row],[In Stock Date]]-Main[[#This Row],[Revised Due Date]],""))</f>
        <v/>
      </c>
      <c r="I1159" s="101" t="s">
        <v>4</v>
      </c>
      <c r="J1159" s="95" t="s">
        <v>4</v>
      </c>
      <c r="K1159" s="95" t="s">
        <v>4</v>
      </c>
      <c r="L1159" s="85"/>
      <c r="M1159" s="73" t="str">
        <f>IF(Main[[#This Row],[Tech Start Date]]&lt;1/1/1990,"",IF(Main[[#This Row],[Class]]="C",WORKDAY(Main[[#This Row],[Tech Start Date]],9),IF(Main[[#This Row],[Class]]="B", WORKDAY(Main[[#This Row],[Tech Start Date]],6),IF(Main[[#This Row],[Class]]="A",WORKDAY(Main[[#This Row],[Tech Start Date]],2),""))))</f>
        <v/>
      </c>
      <c r="N1159" s="73" t="str">
        <f>IF(Main[[#This Row],[Tech Start Date]]&lt;1/1/1990,"",IF(Main[[#This Row],[Class]]="C",WORKDAY(Main[[#This Row],[Tech Start Date]],19),IF(Main[[#This Row],[Class]]="B", WORKDAY(Main[[#This Row],[Tech Start Date]],12),IF(Main[[#This Row],[Class]]="A",WORKDAY(Main[[#This Row],[Tech Start Date]],4),""))))</f>
        <v/>
      </c>
      <c r="O1159" s="73" t="str">
        <f>IF(Main[[#This Row],[Tech Start Date]]&lt;1/1/1990,"",IF(Main[[#This Row],[Class]]="C",WORKDAY(Main[[#This Row],[Tech Start Date]],23),IF(Main[[#This Row],[Class]]="B", WORKDAY(Main[[#This Row],[Tech Start Date]],15),IF(Main[[#This Row],[Class]]="A",WORKDAY(Main[[#This Row],[Tech Start Date]],5),""))))</f>
        <v/>
      </c>
      <c r="P1159" s="73" t="str">
        <f>IF(Main[[#This Row],[Tech Start Date]]&lt;1/1/1990,"",IF(Main[[#This Row],[Class]]="C",WORKDAY(Main[[#This Row],[Tech Start Date]],28),IF(Main[[#This Row],[Class]]="B", WORKDAY(Main[[#This Row],[Tech Start Date]],19),IF(Main[[#This Row],[Class]]="A",WORKDAY(Main[[#This Row],[Tech Start Date]],9),""))))</f>
        <v/>
      </c>
      <c r="Q1159" s="85">
        <v>40847</v>
      </c>
      <c r="R1159" s="112"/>
      <c r="S1159" s="95" t="s">
        <v>4</v>
      </c>
      <c r="T1159" s="74" t="s">
        <v>4</v>
      </c>
      <c r="U1159" s="95" t="s">
        <v>7</v>
      </c>
      <c r="V1159" s="95" t="s">
        <v>1911</v>
      </c>
      <c r="W1159" s="95" t="s">
        <v>4</v>
      </c>
      <c r="X1159" s="95" t="s">
        <v>2829</v>
      </c>
      <c r="Y1159" s="72" t="s">
        <v>2961</v>
      </c>
      <c r="Z1159" s="72" t="s">
        <v>4</v>
      </c>
      <c r="AA1159" s="95" t="s">
        <v>2829</v>
      </c>
      <c r="AB1159" s="132"/>
      <c r="AC1159" s="132"/>
      <c r="AD1159" s="132"/>
      <c r="AE1159" s="63"/>
      <c r="AF1159" s="63"/>
      <c r="AG1159" s="63"/>
    </row>
    <row r="1160" spans="1:33" ht="17.2" customHeight="1">
      <c r="A1160" s="64" t="str">
        <f>IF(priority(Main[[#This Row],[Comments]])&lt;&gt;0, priority(Main[[#This Row],[Comments]]),"")</f>
        <v/>
      </c>
      <c r="B1160" s="60" t="s">
        <v>2468</v>
      </c>
      <c r="C1160" s="72" t="s">
        <v>347</v>
      </c>
      <c r="D1160" s="59" t="s">
        <v>2469</v>
      </c>
      <c r="E1160" s="85">
        <v>40827.603530092594</v>
      </c>
      <c r="F1160" s="85"/>
      <c r="G1160" s="64" t="str">
        <f>IF(stdProdLT(Main[[#This Row],[Comments]])=0.1,"N/A",IF(stdProdLT(Main[[#This Row],[Comments]])=0,"",TRIM(stdProdLT(Main[[#This Row],[Comments]]))))</f>
        <v/>
      </c>
      <c r="H1160" s="94" t="str">
        <f>IF(OR(Main[[#This Row],[Std. Prod. Lead Time]]="N/A",Main[[#This Row],[Std. Prod. Lead Time]]=""), "",IF(AND(Main[[#This Row],[In Stock Date]]&lt;&gt;"",Main[[#This Row],[Revised Due Date]]&lt;&gt;"",Main[[#This Row],[In Stock Date]]&lt;&gt;""),Main[[#This Row],[In Stock Date]]-Main[[#This Row],[Revised Due Date]],""))</f>
        <v/>
      </c>
      <c r="I1160" s="101" t="s">
        <v>4</v>
      </c>
      <c r="J1160" s="95" t="s">
        <v>4</v>
      </c>
      <c r="K1160" s="95" t="s">
        <v>4</v>
      </c>
      <c r="L1160" s="85"/>
      <c r="M1160" s="73" t="str">
        <f>IF(Main[[#This Row],[Tech Start Date]]&lt;1/1/1990,"",IF(Main[[#This Row],[Class]]="C",WORKDAY(Main[[#This Row],[Tech Start Date]],9),IF(Main[[#This Row],[Class]]="B", WORKDAY(Main[[#This Row],[Tech Start Date]],6),IF(Main[[#This Row],[Class]]="A",WORKDAY(Main[[#This Row],[Tech Start Date]],2),""))))</f>
        <v/>
      </c>
      <c r="N1160" s="73" t="str">
        <f>IF(Main[[#This Row],[Tech Start Date]]&lt;1/1/1990,"",IF(Main[[#This Row],[Class]]="C",WORKDAY(Main[[#This Row],[Tech Start Date]],19),IF(Main[[#This Row],[Class]]="B", WORKDAY(Main[[#This Row],[Tech Start Date]],12),IF(Main[[#This Row],[Class]]="A",WORKDAY(Main[[#This Row],[Tech Start Date]],4),""))))</f>
        <v/>
      </c>
      <c r="O1160" s="73" t="str">
        <f>IF(Main[[#This Row],[Tech Start Date]]&lt;1/1/1990,"",IF(Main[[#This Row],[Class]]="C",WORKDAY(Main[[#This Row],[Tech Start Date]],23),IF(Main[[#This Row],[Class]]="B", WORKDAY(Main[[#This Row],[Tech Start Date]],15),IF(Main[[#This Row],[Class]]="A",WORKDAY(Main[[#This Row],[Tech Start Date]],5),""))))</f>
        <v/>
      </c>
      <c r="P1160" s="73" t="str">
        <f>IF(Main[[#This Row],[Tech Start Date]]&lt;1/1/1990,"",IF(Main[[#This Row],[Class]]="C",WORKDAY(Main[[#This Row],[Tech Start Date]],28),IF(Main[[#This Row],[Class]]="B", WORKDAY(Main[[#This Row],[Tech Start Date]],19),IF(Main[[#This Row],[Class]]="A",WORKDAY(Main[[#This Row],[Tech Start Date]],9),""))))</f>
        <v/>
      </c>
      <c r="Q1160" s="85">
        <v>40847</v>
      </c>
      <c r="R1160" s="112"/>
      <c r="S1160" s="95" t="s">
        <v>11</v>
      </c>
      <c r="T1160" s="74" t="s">
        <v>4</v>
      </c>
      <c r="U1160" s="95" t="s">
        <v>7</v>
      </c>
      <c r="V1160" s="95" t="s">
        <v>1911</v>
      </c>
      <c r="W1160" s="95" t="s">
        <v>4</v>
      </c>
      <c r="X1160" s="95" t="s">
        <v>2829</v>
      </c>
      <c r="Y1160" s="72" t="s">
        <v>2961</v>
      </c>
      <c r="Z1160" s="72" t="s">
        <v>4</v>
      </c>
      <c r="AA1160" s="95" t="s">
        <v>2829</v>
      </c>
      <c r="AB1160" s="132"/>
      <c r="AC1160" s="132"/>
      <c r="AD1160" s="132"/>
      <c r="AE1160" s="63"/>
      <c r="AF1160" s="63"/>
      <c r="AG1160" s="63"/>
    </row>
    <row r="1161" spans="1:33" ht="17.2" customHeight="1">
      <c r="A1161" s="64" t="str">
        <f>IF(priority(Main[[#This Row],[Comments]])&lt;&gt;0, priority(Main[[#This Row],[Comments]]),"")</f>
        <v/>
      </c>
      <c r="B1161" s="60" t="s">
        <v>2470</v>
      </c>
      <c r="C1161" s="72" t="s">
        <v>4</v>
      </c>
      <c r="D1161" s="59" t="s">
        <v>2471</v>
      </c>
      <c r="E1161" s="85"/>
      <c r="F1161" s="85"/>
      <c r="G1161" s="64" t="str">
        <f>IF(stdProdLT(Main[[#This Row],[Comments]])=0.1,"N/A",IF(stdProdLT(Main[[#This Row],[Comments]])=0,"",TRIM(stdProdLT(Main[[#This Row],[Comments]]))))</f>
        <v/>
      </c>
      <c r="H1161" s="94" t="str">
        <f>IF(OR(Main[[#This Row],[Std. Prod. Lead Time]]="N/A",Main[[#This Row],[Std. Prod. Lead Time]]=""), "",IF(AND(Main[[#This Row],[In Stock Date]]&lt;&gt;"",Main[[#This Row],[Revised Due Date]]&lt;&gt;"",Main[[#This Row],[In Stock Date]]&lt;&gt;""),Main[[#This Row],[In Stock Date]]-Main[[#This Row],[Revised Due Date]],""))</f>
        <v/>
      </c>
      <c r="I1161" s="101" t="s">
        <v>4</v>
      </c>
      <c r="J1161" s="95" t="s">
        <v>4</v>
      </c>
      <c r="K1161" s="95" t="s">
        <v>4</v>
      </c>
      <c r="L1161" s="85"/>
      <c r="M1161" s="73" t="str">
        <f>IF(Main[[#This Row],[Tech Start Date]]&lt;1/1/1990,"",IF(Main[[#This Row],[Class]]="C",WORKDAY(Main[[#This Row],[Tech Start Date]],9),IF(Main[[#This Row],[Class]]="B", WORKDAY(Main[[#This Row],[Tech Start Date]],6),IF(Main[[#This Row],[Class]]="A",WORKDAY(Main[[#This Row],[Tech Start Date]],2),""))))</f>
        <v/>
      </c>
      <c r="N1161" s="73" t="str">
        <f>IF(Main[[#This Row],[Tech Start Date]]&lt;1/1/1990,"",IF(Main[[#This Row],[Class]]="C",WORKDAY(Main[[#This Row],[Tech Start Date]],19),IF(Main[[#This Row],[Class]]="B", WORKDAY(Main[[#This Row],[Tech Start Date]],12),IF(Main[[#This Row],[Class]]="A",WORKDAY(Main[[#This Row],[Tech Start Date]],4),""))))</f>
        <v/>
      </c>
      <c r="O1161" s="73" t="str">
        <f>IF(Main[[#This Row],[Tech Start Date]]&lt;1/1/1990,"",IF(Main[[#This Row],[Class]]="C",WORKDAY(Main[[#This Row],[Tech Start Date]],23),IF(Main[[#This Row],[Class]]="B", WORKDAY(Main[[#This Row],[Tech Start Date]],15),IF(Main[[#This Row],[Class]]="A",WORKDAY(Main[[#This Row],[Tech Start Date]],5),""))))</f>
        <v/>
      </c>
      <c r="P1161" s="73" t="str">
        <f>IF(Main[[#This Row],[Tech Start Date]]&lt;1/1/1990,"",IF(Main[[#This Row],[Class]]="C",WORKDAY(Main[[#This Row],[Tech Start Date]],28),IF(Main[[#This Row],[Class]]="B", WORKDAY(Main[[#This Row],[Tech Start Date]],19),IF(Main[[#This Row],[Class]]="A",WORKDAY(Main[[#This Row],[Tech Start Date]],9),""))))</f>
        <v/>
      </c>
      <c r="Q1161" s="85"/>
      <c r="R1161" s="112"/>
      <c r="S1161" s="95" t="s">
        <v>11</v>
      </c>
      <c r="T1161" s="74" t="s">
        <v>4</v>
      </c>
      <c r="U1161" s="95" t="s">
        <v>14</v>
      </c>
      <c r="V1161" s="95" t="s">
        <v>1912</v>
      </c>
      <c r="W1161" s="95" t="s">
        <v>4</v>
      </c>
      <c r="X1161" s="95" t="s">
        <v>2243</v>
      </c>
      <c r="Y1161" s="72" t="s">
        <v>4</v>
      </c>
      <c r="Z1161" s="72" t="s">
        <v>4</v>
      </c>
      <c r="AA1161" s="95" t="s">
        <v>4</v>
      </c>
      <c r="AB1161" s="132"/>
      <c r="AC1161" s="132"/>
      <c r="AD1161" s="132"/>
      <c r="AE1161" s="63"/>
      <c r="AF1161" s="63"/>
      <c r="AG1161" s="63"/>
    </row>
    <row r="1162" spans="1:33" ht="17.2" customHeight="1">
      <c r="A1162" s="64" t="str">
        <f>IF(priority(Main[[#This Row],[Comments]])&lt;&gt;0, priority(Main[[#This Row],[Comments]]),"")</f>
        <v/>
      </c>
      <c r="B1162" s="60" t="s">
        <v>2541</v>
      </c>
      <c r="C1162" s="72" t="s">
        <v>4</v>
      </c>
      <c r="D1162" s="59" t="s">
        <v>4048</v>
      </c>
      <c r="E1162" s="85">
        <v>40861.17015046296</v>
      </c>
      <c r="F1162" s="85"/>
      <c r="G1162" s="64" t="str">
        <f>IF(stdProdLT(Main[[#This Row],[Comments]])=0.1,"N/A",IF(stdProdLT(Main[[#This Row],[Comments]])=0,"",TRIM(stdProdLT(Main[[#This Row],[Comments]]))))</f>
        <v/>
      </c>
      <c r="H1162" s="94" t="str">
        <f>IF(OR(Main[[#This Row],[Std. Prod. Lead Time]]="N/A",Main[[#This Row],[Std. Prod. Lead Time]]=""), "",IF(AND(Main[[#This Row],[In Stock Date]]&lt;&gt;"",Main[[#This Row],[Revised Due Date]]&lt;&gt;"",Main[[#This Row],[In Stock Date]]&lt;&gt;""),Main[[#This Row],[In Stock Date]]-Main[[#This Row],[Revised Due Date]],""))</f>
        <v/>
      </c>
      <c r="I1162" s="101" t="s">
        <v>30</v>
      </c>
      <c r="J1162" s="95" t="s">
        <v>52</v>
      </c>
      <c r="K1162" s="95" t="s">
        <v>1920</v>
      </c>
      <c r="L1162" s="85"/>
      <c r="M1162" s="73" t="str">
        <f>IF(Main[[#This Row],[Tech Start Date]]&lt;1/1/1990,"",IF(Main[[#This Row],[Class]]="C",WORKDAY(Main[[#This Row],[Tech Start Date]],9),IF(Main[[#This Row],[Class]]="B", WORKDAY(Main[[#This Row],[Tech Start Date]],6),IF(Main[[#This Row],[Class]]="A",WORKDAY(Main[[#This Row],[Tech Start Date]],2),""))))</f>
        <v/>
      </c>
      <c r="N1162" s="73" t="str">
        <f>IF(Main[[#This Row],[Tech Start Date]]&lt;1/1/1990,"",IF(Main[[#This Row],[Class]]="C",WORKDAY(Main[[#This Row],[Tech Start Date]],19),IF(Main[[#This Row],[Class]]="B", WORKDAY(Main[[#This Row],[Tech Start Date]],12),IF(Main[[#This Row],[Class]]="A",WORKDAY(Main[[#This Row],[Tech Start Date]],4),""))))</f>
        <v/>
      </c>
      <c r="O1162" s="73" t="str">
        <f>IF(Main[[#This Row],[Tech Start Date]]&lt;1/1/1990,"",IF(Main[[#This Row],[Class]]="C",WORKDAY(Main[[#This Row],[Tech Start Date]],23),IF(Main[[#This Row],[Class]]="B", WORKDAY(Main[[#This Row],[Tech Start Date]],15),IF(Main[[#This Row],[Class]]="A",WORKDAY(Main[[#This Row],[Tech Start Date]],5),""))))</f>
        <v/>
      </c>
      <c r="P1162" s="73" t="str">
        <f>IF(Main[[#This Row],[Tech Start Date]]&lt;1/1/1990,"",IF(Main[[#This Row],[Class]]="C",WORKDAY(Main[[#This Row],[Tech Start Date]],28),IF(Main[[#This Row],[Class]]="B", WORKDAY(Main[[#This Row],[Tech Start Date]],19),IF(Main[[#This Row],[Class]]="A",WORKDAY(Main[[#This Row],[Tech Start Date]],9),""))))</f>
        <v/>
      </c>
      <c r="Q1162" s="85">
        <v>40891</v>
      </c>
      <c r="R1162" s="112"/>
      <c r="S1162" s="95" t="s">
        <v>6</v>
      </c>
      <c r="T1162" s="74" t="s">
        <v>4</v>
      </c>
      <c r="U1162" s="95" t="s">
        <v>29</v>
      </c>
      <c r="V1162" s="95" t="s">
        <v>1914</v>
      </c>
      <c r="W1162" s="95" t="s">
        <v>1915</v>
      </c>
      <c r="X1162" s="95" t="s">
        <v>2802</v>
      </c>
      <c r="Y1162" s="72" t="s">
        <v>2916</v>
      </c>
      <c r="Z1162" s="72" t="s">
        <v>30</v>
      </c>
      <c r="AA1162" s="95" t="s">
        <v>2802</v>
      </c>
      <c r="AB1162" s="132"/>
      <c r="AC1162" s="132"/>
      <c r="AD1162" s="132"/>
      <c r="AE1162" s="63"/>
      <c r="AF1162" s="63"/>
      <c r="AG1162" s="63"/>
    </row>
    <row r="1163" spans="1:33" ht="17.2" customHeight="1">
      <c r="A1163" s="64" t="str">
        <f>IF(priority(Main[[#This Row],[Comments]])&lt;&gt;0, priority(Main[[#This Row],[Comments]]),"")</f>
        <v/>
      </c>
      <c r="B1163" s="60" t="s">
        <v>2496</v>
      </c>
      <c r="C1163" s="72" t="s">
        <v>4</v>
      </c>
      <c r="D1163" s="59" t="s">
        <v>2497</v>
      </c>
      <c r="E1163" s="85"/>
      <c r="F1163" s="85"/>
      <c r="G1163" s="64" t="str">
        <f>IF(stdProdLT(Main[[#This Row],[Comments]])=0.1,"N/A",IF(stdProdLT(Main[[#This Row],[Comments]])=0,"",TRIM(stdProdLT(Main[[#This Row],[Comments]]))))</f>
        <v/>
      </c>
      <c r="H1163" s="94" t="str">
        <f>IF(OR(Main[[#This Row],[Std. Prod. Lead Time]]="N/A",Main[[#This Row],[Std. Prod. Lead Time]]=""), "",IF(AND(Main[[#This Row],[In Stock Date]]&lt;&gt;"",Main[[#This Row],[Revised Due Date]]&lt;&gt;"",Main[[#This Row],[In Stock Date]]&lt;&gt;""),Main[[#This Row],[In Stock Date]]-Main[[#This Row],[Revised Due Date]],""))</f>
        <v/>
      </c>
      <c r="I1163" s="101" t="s">
        <v>4</v>
      </c>
      <c r="J1163" s="95" t="s">
        <v>4</v>
      </c>
      <c r="K1163" s="95" t="s">
        <v>4</v>
      </c>
      <c r="L1163" s="85"/>
      <c r="M1163" s="73" t="str">
        <f>IF(Main[[#This Row],[Tech Start Date]]&lt;1/1/1990,"",IF(Main[[#This Row],[Class]]="C",WORKDAY(Main[[#This Row],[Tech Start Date]],9),IF(Main[[#This Row],[Class]]="B", WORKDAY(Main[[#This Row],[Tech Start Date]],6),IF(Main[[#This Row],[Class]]="A",WORKDAY(Main[[#This Row],[Tech Start Date]],2),""))))</f>
        <v/>
      </c>
      <c r="N1163" s="73" t="str">
        <f>IF(Main[[#This Row],[Tech Start Date]]&lt;1/1/1990,"",IF(Main[[#This Row],[Class]]="C",WORKDAY(Main[[#This Row],[Tech Start Date]],19),IF(Main[[#This Row],[Class]]="B", WORKDAY(Main[[#This Row],[Tech Start Date]],12),IF(Main[[#This Row],[Class]]="A",WORKDAY(Main[[#This Row],[Tech Start Date]],4),""))))</f>
        <v/>
      </c>
      <c r="O1163" s="73" t="str">
        <f>IF(Main[[#This Row],[Tech Start Date]]&lt;1/1/1990,"",IF(Main[[#This Row],[Class]]="C",WORKDAY(Main[[#This Row],[Tech Start Date]],23),IF(Main[[#This Row],[Class]]="B", WORKDAY(Main[[#This Row],[Tech Start Date]],15),IF(Main[[#This Row],[Class]]="A",WORKDAY(Main[[#This Row],[Tech Start Date]],5),""))))</f>
        <v/>
      </c>
      <c r="P1163" s="73" t="str">
        <f>IF(Main[[#This Row],[Tech Start Date]]&lt;1/1/1990,"",IF(Main[[#This Row],[Class]]="C",WORKDAY(Main[[#This Row],[Tech Start Date]],28),IF(Main[[#This Row],[Class]]="B", WORKDAY(Main[[#This Row],[Tech Start Date]],19),IF(Main[[#This Row],[Class]]="A",WORKDAY(Main[[#This Row],[Tech Start Date]],9),""))))</f>
        <v/>
      </c>
      <c r="Q1163" s="85">
        <v>40837</v>
      </c>
      <c r="R1163" s="112"/>
      <c r="S1163" s="95" t="s">
        <v>11</v>
      </c>
      <c r="T1163" s="74" t="s">
        <v>4</v>
      </c>
      <c r="U1163" s="95" t="s">
        <v>14</v>
      </c>
      <c r="V1163" s="95" t="s">
        <v>1912</v>
      </c>
      <c r="W1163" s="95" t="s">
        <v>1919</v>
      </c>
      <c r="X1163" s="95" t="s">
        <v>2886</v>
      </c>
      <c r="Y1163" s="72" t="s">
        <v>3074</v>
      </c>
      <c r="Z1163" s="72" t="s">
        <v>4</v>
      </c>
      <c r="AA1163" s="95" t="s">
        <v>2886</v>
      </c>
      <c r="AB1163" s="132"/>
      <c r="AC1163" s="132"/>
      <c r="AD1163" s="132"/>
      <c r="AE1163" s="63"/>
      <c r="AF1163" s="63"/>
      <c r="AG1163" s="63"/>
    </row>
    <row r="1164" spans="1:33" ht="17.2" customHeight="1">
      <c r="A1164" s="64" t="str">
        <f>IF(priority(Main[[#This Row],[Comments]])&lt;&gt;0, priority(Main[[#This Row],[Comments]]),"")</f>
        <v/>
      </c>
      <c r="B1164" s="60" t="s">
        <v>1381</v>
      </c>
      <c r="C1164" s="72" t="s">
        <v>4</v>
      </c>
      <c r="D1164" s="59" t="s">
        <v>2009</v>
      </c>
      <c r="E1164" s="85"/>
      <c r="F1164" s="85"/>
      <c r="G1164" s="64" t="str">
        <f>IF(stdProdLT(Main[[#This Row],[Comments]])=0.1,"N/A",IF(stdProdLT(Main[[#This Row],[Comments]])=0,"",TRIM(stdProdLT(Main[[#This Row],[Comments]]))))</f>
        <v/>
      </c>
      <c r="H1164" s="94" t="str">
        <f>IF(OR(Main[[#This Row],[Std. Prod. Lead Time]]="N/A",Main[[#This Row],[Std. Prod. Lead Time]]=""), "",IF(AND(Main[[#This Row],[In Stock Date]]&lt;&gt;"",Main[[#This Row],[Revised Due Date]]&lt;&gt;"",Main[[#This Row],[In Stock Date]]&lt;&gt;""),Main[[#This Row],[In Stock Date]]-Main[[#This Row],[Revised Due Date]],""))</f>
        <v/>
      </c>
      <c r="I1164" s="101" t="s">
        <v>4</v>
      </c>
      <c r="J1164" s="95" t="s">
        <v>4</v>
      </c>
      <c r="K1164" s="95" t="s">
        <v>4</v>
      </c>
      <c r="L1164" s="85"/>
      <c r="M1164" s="73" t="str">
        <f>IF(Main[[#This Row],[Tech Start Date]]&lt;1/1/1990,"",IF(Main[[#This Row],[Class]]="C",WORKDAY(Main[[#This Row],[Tech Start Date]],9),IF(Main[[#This Row],[Class]]="B", WORKDAY(Main[[#This Row],[Tech Start Date]],6),IF(Main[[#This Row],[Class]]="A",WORKDAY(Main[[#This Row],[Tech Start Date]],2),""))))</f>
        <v/>
      </c>
      <c r="N1164" s="73" t="str">
        <f>IF(Main[[#This Row],[Tech Start Date]]&lt;1/1/1990,"",IF(Main[[#This Row],[Class]]="C",WORKDAY(Main[[#This Row],[Tech Start Date]],19),IF(Main[[#This Row],[Class]]="B", WORKDAY(Main[[#This Row],[Tech Start Date]],12),IF(Main[[#This Row],[Class]]="A",WORKDAY(Main[[#This Row],[Tech Start Date]],4),""))))</f>
        <v/>
      </c>
      <c r="O1164" s="73" t="str">
        <f>IF(Main[[#This Row],[Tech Start Date]]&lt;1/1/1990,"",IF(Main[[#This Row],[Class]]="C",WORKDAY(Main[[#This Row],[Tech Start Date]],23),IF(Main[[#This Row],[Class]]="B", WORKDAY(Main[[#This Row],[Tech Start Date]],15),IF(Main[[#This Row],[Class]]="A",WORKDAY(Main[[#This Row],[Tech Start Date]],5),""))))</f>
        <v/>
      </c>
      <c r="P1164" s="73" t="str">
        <f>IF(Main[[#This Row],[Tech Start Date]]&lt;1/1/1990,"",IF(Main[[#This Row],[Class]]="C",WORKDAY(Main[[#This Row],[Tech Start Date]],28),IF(Main[[#This Row],[Class]]="B", WORKDAY(Main[[#This Row],[Tech Start Date]],19),IF(Main[[#This Row],[Class]]="A",WORKDAY(Main[[#This Row],[Tech Start Date]],9),""))))</f>
        <v/>
      </c>
      <c r="Q1164" s="85">
        <v>40310</v>
      </c>
      <c r="R1164" s="112"/>
      <c r="S1164" s="95" t="s">
        <v>6</v>
      </c>
      <c r="T1164" s="74" t="s">
        <v>4</v>
      </c>
      <c r="U1164" s="95" t="s">
        <v>14</v>
      </c>
      <c r="V1164" s="95" t="s">
        <v>1911</v>
      </c>
      <c r="W1164" s="95" t="s">
        <v>1916</v>
      </c>
      <c r="X1164" s="95" t="s">
        <v>883</v>
      </c>
      <c r="Y1164" s="72" t="s">
        <v>2941</v>
      </c>
      <c r="Z1164" s="72" t="s">
        <v>4</v>
      </c>
      <c r="AA1164" s="95" t="s">
        <v>883</v>
      </c>
      <c r="AB1164" s="132"/>
      <c r="AC1164" s="132"/>
      <c r="AD1164" s="132"/>
      <c r="AE1164" s="63"/>
      <c r="AF1164" s="63"/>
      <c r="AG1164" s="63"/>
    </row>
    <row r="1165" spans="1:33" ht="17.2" customHeight="1">
      <c r="A1165" s="64" t="str">
        <f>IF(priority(Main[[#This Row],[Comments]])&lt;&gt;0, priority(Main[[#This Row],[Comments]]),"")</f>
        <v/>
      </c>
      <c r="B1165" s="60" t="s">
        <v>2572</v>
      </c>
      <c r="C1165" s="72" t="s">
        <v>4</v>
      </c>
      <c r="D1165" s="59" t="s">
        <v>2744</v>
      </c>
      <c r="E1165" s="85"/>
      <c r="F1165" s="85"/>
      <c r="G1165" s="64" t="str">
        <f>IF(stdProdLT(Main[[#This Row],[Comments]])=0.1,"N/A",IF(stdProdLT(Main[[#This Row],[Comments]])=0,"",TRIM(stdProdLT(Main[[#This Row],[Comments]]))))</f>
        <v/>
      </c>
      <c r="H1165" s="94" t="str">
        <f>IF(OR(Main[[#This Row],[Std. Prod. Lead Time]]="N/A",Main[[#This Row],[Std. Prod. Lead Time]]=""), "",IF(AND(Main[[#This Row],[In Stock Date]]&lt;&gt;"",Main[[#This Row],[Revised Due Date]]&lt;&gt;"",Main[[#This Row],[In Stock Date]]&lt;&gt;""),Main[[#This Row],[In Stock Date]]-Main[[#This Row],[Revised Due Date]],""))</f>
        <v/>
      </c>
      <c r="I1165" s="101" t="s">
        <v>239</v>
      </c>
      <c r="J1165" s="95" t="s">
        <v>28</v>
      </c>
      <c r="K1165" s="95" t="s">
        <v>1920</v>
      </c>
      <c r="L1165" s="85"/>
      <c r="M1165" s="73" t="str">
        <f>IF(Main[[#This Row],[Tech Start Date]]&lt;1/1/1990,"",IF(Main[[#This Row],[Class]]="C",WORKDAY(Main[[#This Row],[Tech Start Date]],9),IF(Main[[#This Row],[Class]]="B", WORKDAY(Main[[#This Row],[Tech Start Date]],6),IF(Main[[#This Row],[Class]]="A",WORKDAY(Main[[#This Row],[Tech Start Date]],2),""))))</f>
        <v/>
      </c>
      <c r="N1165" s="73" t="str">
        <f>IF(Main[[#This Row],[Tech Start Date]]&lt;1/1/1990,"",IF(Main[[#This Row],[Class]]="C",WORKDAY(Main[[#This Row],[Tech Start Date]],19),IF(Main[[#This Row],[Class]]="B", WORKDAY(Main[[#This Row],[Tech Start Date]],12),IF(Main[[#This Row],[Class]]="A",WORKDAY(Main[[#This Row],[Tech Start Date]],4),""))))</f>
        <v/>
      </c>
      <c r="O1165" s="73" t="str">
        <f>IF(Main[[#This Row],[Tech Start Date]]&lt;1/1/1990,"",IF(Main[[#This Row],[Class]]="C",WORKDAY(Main[[#This Row],[Tech Start Date]],23),IF(Main[[#This Row],[Class]]="B", WORKDAY(Main[[#This Row],[Tech Start Date]],15),IF(Main[[#This Row],[Class]]="A",WORKDAY(Main[[#This Row],[Tech Start Date]],5),""))))</f>
        <v/>
      </c>
      <c r="P1165" s="73" t="str">
        <f>IF(Main[[#This Row],[Tech Start Date]]&lt;1/1/1990,"",IF(Main[[#This Row],[Class]]="C",WORKDAY(Main[[#This Row],[Tech Start Date]],28),IF(Main[[#This Row],[Class]]="B", WORKDAY(Main[[#This Row],[Tech Start Date]],19),IF(Main[[#This Row],[Class]]="A",WORKDAY(Main[[#This Row],[Tech Start Date]],9),""))))</f>
        <v/>
      </c>
      <c r="Q1165" s="85">
        <v>40907</v>
      </c>
      <c r="R1165" s="112"/>
      <c r="S1165" s="95" t="s">
        <v>6</v>
      </c>
      <c r="T1165" s="74" t="s">
        <v>4</v>
      </c>
      <c r="U1165" s="95" t="s">
        <v>14</v>
      </c>
      <c r="V1165" s="95" t="s">
        <v>1914</v>
      </c>
      <c r="W1165" s="95" t="s">
        <v>1915</v>
      </c>
      <c r="X1165" s="95" t="s">
        <v>2799</v>
      </c>
      <c r="Y1165" s="72" t="s">
        <v>2910</v>
      </c>
      <c r="Z1165" s="72" t="s">
        <v>30</v>
      </c>
      <c r="AA1165" s="95" t="s">
        <v>2799</v>
      </c>
      <c r="AB1165" s="132"/>
      <c r="AC1165" s="132"/>
      <c r="AD1165" s="132"/>
      <c r="AE1165" s="63"/>
      <c r="AF1165" s="63"/>
      <c r="AG1165" s="63"/>
    </row>
    <row r="1166" spans="1:33" ht="17.2" customHeight="1">
      <c r="A1166" s="64" t="str">
        <f>IF(priority(Main[[#This Row],[Comments]])&lt;&gt;0, priority(Main[[#This Row],[Comments]]),"")</f>
        <v/>
      </c>
      <c r="B1166" s="60" t="s">
        <v>2498</v>
      </c>
      <c r="C1166" s="72" t="s">
        <v>2499</v>
      </c>
      <c r="D1166" s="59" t="s">
        <v>2500</v>
      </c>
      <c r="E1166" s="85"/>
      <c r="F1166" s="85"/>
      <c r="G1166" s="64" t="str">
        <f>IF(stdProdLT(Main[[#This Row],[Comments]])=0.1,"N/A",IF(stdProdLT(Main[[#This Row],[Comments]])=0,"",TRIM(stdProdLT(Main[[#This Row],[Comments]]))))</f>
        <v/>
      </c>
      <c r="H1166" s="94" t="str">
        <f>IF(OR(Main[[#This Row],[Std. Prod. Lead Time]]="N/A",Main[[#This Row],[Std. Prod. Lead Time]]=""), "",IF(AND(Main[[#This Row],[In Stock Date]]&lt;&gt;"",Main[[#This Row],[Revised Due Date]]&lt;&gt;"",Main[[#This Row],[In Stock Date]]&lt;&gt;""),Main[[#This Row],[In Stock Date]]-Main[[#This Row],[Revised Due Date]],""))</f>
        <v/>
      </c>
      <c r="I1166" s="101" t="s">
        <v>4</v>
      </c>
      <c r="J1166" s="95" t="s">
        <v>4</v>
      </c>
      <c r="K1166" s="95" t="s">
        <v>4</v>
      </c>
      <c r="L1166" s="85"/>
      <c r="M1166" s="73" t="str">
        <f>IF(Main[[#This Row],[Tech Start Date]]&lt;1/1/1990,"",IF(Main[[#This Row],[Class]]="C",WORKDAY(Main[[#This Row],[Tech Start Date]],9),IF(Main[[#This Row],[Class]]="B", WORKDAY(Main[[#This Row],[Tech Start Date]],6),IF(Main[[#This Row],[Class]]="A",WORKDAY(Main[[#This Row],[Tech Start Date]],2),""))))</f>
        <v/>
      </c>
      <c r="N1166" s="73" t="str">
        <f>IF(Main[[#This Row],[Tech Start Date]]&lt;1/1/1990,"",IF(Main[[#This Row],[Class]]="C",WORKDAY(Main[[#This Row],[Tech Start Date]],19),IF(Main[[#This Row],[Class]]="B", WORKDAY(Main[[#This Row],[Tech Start Date]],12),IF(Main[[#This Row],[Class]]="A",WORKDAY(Main[[#This Row],[Tech Start Date]],4),""))))</f>
        <v/>
      </c>
      <c r="O1166" s="73" t="str">
        <f>IF(Main[[#This Row],[Tech Start Date]]&lt;1/1/1990,"",IF(Main[[#This Row],[Class]]="C",WORKDAY(Main[[#This Row],[Tech Start Date]],23),IF(Main[[#This Row],[Class]]="B", WORKDAY(Main[[#This Row],[Tech Start Date]],15),IF(Main[[#This Row],[Class]]="A",WORKDAY(Main[[#This Row],[Tech Start Date]],5),""))))</f>
        <v/>
      </c>
      <c r="P1166" s="73" t="str">
        <f>IF(Main[[#This Row],[Tech Start Date]]&lt;1/1/1990,"",IF(Main[[#This Row],[Class]]="C",WORKDAY(Main[[#This Row],[Tech Start Date]],28),IF(Main[[#This Row],[Class]]="B", WORKDAY(Main[[#This Row],[Tech Start Date]],19),IF(Main[[#This Row],[Class]]="A",WORKDAY(Main[[#This Row],[Tech Start Date]],9),""))))</f>
        <v/>
      </c>
      <c r="Q1166" s="85"/>
      <c r="R1166" s="112"/>
      <c r="S1166" s="95" t="s">
        <v>11</v>
      </c>
      <c r="T1166" s="74" t="s">
        <v>4</v>
      </c>
      <c r="U1166" s="95" t="s">
        <v>14</v>
      </c>
      <c r="V1166" s="95" t="s">
        <v>1912</v>
      </c>
      <c r="W1166" s="95" t="s">
        <v>1919</v>
      </c>
      <c r="X1166" s="95" t="s">
        <v>2243</v>
      </c>
      <c r="Y1166" s="72" t="s">
        <v>4</v>
      </c>
      <c r="Z1166" s="72" t="s">
        <v>4</v>
      </c>
      <c r="AA1166" s="95" t="s">
        <v>3420</v>
      </c>
      <c r="AB1166" s="132"/>
      <c r="AC1166" s="132"/>
      <c r="AD1166" s="132"/>
      <c r="AE1166" s="63"/>
      <c r="AF1166" s="63"/>
      <c r="AG1166" s="63"/>
    </row>
    <row r="1167" spans="1:33" ht="17.2" customHeight="1">
      <c r="A1167" s="64" t="str">
        <f>IF(priority(Main[[#This Row],[Comments]])&lt;&gt;0, priority(Main[[#This Row],[Comments]]),"")</f>
        <v/>
      </c>
      <c r="B1167" s="60" t="s">
        <v>2502</v>
      </c>
      <c r="C1167" s="72" t="s">
        <v>4</v>
      </c>
      <c r="D1167" s="59" t="s">
        <v>2503</v>
      </c>
      <c r="E1167" s="85"/>
      <c r="F1167" s="85"/>
      <c r="G1167" s="64" t="str">
        <f>IF(stdProdLT(Main[[#This Row],[Comments]])=0.1,"N/A",IF(stdProdLT(Main[[#This Row],[Comments]])=0,"",TRIM(stdProdLT(Main[[#This Row],[Comments]]))))</f>
        <v/>
      </c>
      <c r="H1167" s="94" t="str">
        <f>IF(OR(Main[[#This Row],[Std. Prod. Lead Time]]="N/A",Main[[#This Row],[Std. Prod. Lead Time]]=""), "",IF(AND(Main[[#This Row],[In Stock Date]]&lt;&gt;"",Main[[#This Row],[Revised Due Date]]&lt;&gt;"",Main[[#This Row],[In Stock Date]]&lt;&gt;""),Main[[#This Row],[In Stock Date]]-Main[[#This Row],[Revised Due Date]],""))</f>
        <v/>
      </c>
      <c r="I1167" s="101" t="s">
        <v>4</v>
      </c>
      <c r="J1167" s="95" t="s">
        <v>4</v>
      </c>
      <c r="K1167" s="95" t="s">
        <v>4</v>
      </c>
      <c r="L1167" s="85"/>
      <c r="M1167" s="73" t="str">
        <f>IF(Main[[#This Row],[Tech Start Date]]&lt;1/1/1990,"",IF(Main[[#This Row],[Class]]="C",WORKDAY(Main[[#This Row],[Tech Start Date]],9),IF(Main[[#This Row],[Class]]="B", WORKDAY(Main[[#This Row],[Tech Start Date]],6),IF(Main[[#This Row],[Class]]="A",WORKDAY(Main[[#This Row],[Tech Start Date]],2),""))))</f>
        <v/>
      </c>
      <c r="N1167" s="73" t="str">
        <f>IF(Main[[#This Row],[Tech Start Date]]&lt;1/1/1990,"",IF(Main[[#This Row],[Class]]="C",WORKDAY(Main[[#This Row],[Tech Start Date]],19),IF(Main[[#This Row],[Class]]="B", WORKDAY(Main[[#This Row],[Tech Start Date]],12),IF(Main[[#This Row],[Class]]="A",WORKDAY(Main[[#This Row],[Tech Start Date]],4),""))))</f>
        <v/>
      </c>
      <c r="O1167" s="73" t="str">
        <f>IF(Main[[#This Row],[Tech Start Date]]&lt;1/1/1990,"",IF(Main[[#This Row],[Class]]="C",WORKDAY(Main[[#This Row],[Tech Start Date]],23),IF(Main[[#This Row],[Class]]="B", WORKDAY(Main[[#This Row],[Tech Start Date]],15),IF(Main[[#This Row],[Class]]="A",WORKDAY(Main[[#This Row],[Tech Start Date]],5),""))))</f>
        <v/>
      </c>
      <c r="P1167" s="73" t="str">
        <f>IF(Main[[#This Row],[Tech Start Date]]&lt;1/1/1990,"",IF(Main[[#This Row],[Class]]="C",WORKDAY(Main[[#This Row],[Tech Start Date]],28),IF(Main[[#This Row],[Class]]="B", WORKDAY(Main[[#This Row],[Tech Start Date]],19),IF(Main[[#This Row],[Class]]="A",WORKDAY(Main[[#This Row],[Tech Start Date]],9),""))))</f>
        <v/>
      </c>
      <c r="Q1167" s="85">
        <v>40878</v>
      </c>
      <c r="R1167" s="112"/>
      <c r="S1167" s="95" t="s">
        <v>6</v>
      </c>
      <c r="T1167" s="74" t="s">
        <v>4</v>
      </c>
      <c r="U1167" s="95" t="s">
        <v>12</v>
      </c>
      <c r="V1167" s="95" t="s">
        <v>2277</v>
      </c>
      <c r="W1167" s="95" t="s">
        <v>4</v>
      </c>
      <c r="X1167" s="95" t="s">
        <v>2816</v>
      </c>
      <c r="Y1167" s="72" t="s">
        <v>2943</v>
      </c>
      <c r="Z1167" s="72" t="s">
        <v>4</v>
      </c>
      <c r="AA1167" s="95" t="s">
        <v>2816</v>
      </c>
      <c r="AB1167" s="132"/>
      <c r="AC1167" s="132"/>
      <c r="AD1167" s="132"/>
      <c r="AE1167" s="63"/>
      <c r="AF1167" s="63"/>
      <c r="AG1167" s="63"/>
    </row>
    <row r="1168" spans="1:33" ht="17.2" customHeight="1">
      <c r="A1168" s="64" t="str">
        <f>IF(priority(Main[[#This Row],[Comments]])&lt;&gt;0, priority(Main[[#This Row],[Comments]]),"")</f>
        <v/>
      </c>
      <c r="B1168" s="60" t="s">
        <v>3299</v>
      </c>
      <c r="C1168" s="72" t="s">
        <v>3300</v>
      </c>
      <c r="D1168" s="59" t="s">
        <v>3301</v>
      </c>
      <c r="E1168" s="85"/>
      <c r="F1168" s="85"/>
      <c r="G1168" s="64" t="str">
        <f>IF(stdProdLT(Main[[#This Row],[Comments]])=0.1,"N/A",IF(stdProdLT(Main[[#This Row],[Comments]])=0,"",TRIM(stdProdLT(Main[[#This Row],[Comments]]))))</f>
        <v/>
      </c>
      <c r="H1168" s="94" t="str">
        <f>IF(OR(Main[[#This Row],[Std. Prod. Lead Time]]="N/A",Main[[#This Row],[Std. Prod. Lead Time]]=""), "",IF(AND(Main[[#This Row],[In Stock Date]]&lt;&gt;"",Main[[#This Row],[Revised Due Date]]&lt;&gt;"",Main[[#This Row],[In Stock Date]]&lt;&gt;""),Main[[#This Row],[In Stock Date]]-Main[[#This Row],[Revised Due Date]],""))</f>
        <v/>
      </c>
      <c r="I1168" s="101" t="s">
        <v>2202</v>
      </c>
      <c r="J1168" s="95" t="s">
        <v>75</v>
      </c>
      <c r="K1168" s="95" t="s">
        <v>1920</v>
      </c>
      <c r="L1168" s="85"/>
      <c r="M1168" s="73" t="str">
        <f>IF(Main[[#This Row],[Tech Start Date]]&lt;1/1/1990,"",IF(Main[[#This Row],[Class]]="C",WORKDAY(Main[[#This Row],[Tech Start Date]],9),IF(Main[[#This Row],[Class]]="B", WORKDAY(Main[[#This Row],[Tech Start Date]],6),IF(Main[[#This Row],[Class]]="A",WORKDAY(Main[[#This Row],[Tech Start Date]],2),""))))</f>
        <v/>
      </c>
      <c r="N1168" s="73" t="str">
        <f>IF(Main[[#This Row],[Tech Start Date]]&lt;1/1/1990,"",IF(Main[[#This Row],[Class]]="C",WORKDAY(Main[[#This Row],[Tech Start Date]],19),IF(Main[[#This Row],[Class]]="B", WORKDAY(Main[[#This Row],[Tech Start Date]],12),IF(Main[[#This Row],[Class]]="A",WORKDAY(Main[[#This Row],[Tech Start Date]],4),""))))</f>
        <v/>
      </c>
      <c r="O1168" s="73" t="str">
        <f>IF(Main[[#This Row],[Tech Start Date]]&lt;1/1/1990,"",IF(Main[[#This Row],[Class]]="C",WORKDAY(Main[[#This Row],[Tech Start Date]],23),IF(Main[[#This Row],[Class]]="B", WORKDAY(Main[[#This Row],[Tech Start Date]],15),IF(Main[[#This Row],[Class]]="A",WORKDAY(Main[[#This Row],[Tech Start Date]],5),""))))</f>
        <v/>
      </c>
      <c r="P1168" s="73" t="str">
        <f>IF(Main[[#This Row],[Tech Start Date]]&lt;1/1/1990,"",IF(Main[[#This Row],[Class]]="C",WORKDAY(Main[[#This Row],[Tech Start Date]],28),IF(Main[[#This Row],[Class]]="B", WORKDAY(Main[[#This Row],[Tech Start Date]],19),IF(Main[[#This Row],[Class]]="A",WORKDAY(Main[[#This Row],[Tech Start Date]],9),""))))</f>
        <v/>
      </c>
      <c r="Q1168" s="85"/>
      <c r="R1168" s="112"/>
      <c r="S1168" s="95" t="s">
        <v>6</v>
      </c>
      <c r="T1168" s="74" t="s">
        <v>4</v>
      </c>
      <c r="U1168" s="95" t="s">
        <v>14</v>
      </c>
      <c r="V1168" s="95" t="s">
        <v>1911</v>
      </c>
      <c r="W1168" s="95" t="s">
        <v>1915</v>
      </c>
      <c r="X1168" s="95" t="s">
        <v>2202</v>
      </c>
      <c r="Y1168" s="72" t="s">
        <v>3302</v>
      </c>
      <c r="Z1168" s="72" t="s">
        <v>306</v>
      </c>
      <c r="AA1168" s="95" t="s">
        <v>3421</v>
      </c>
      <c r="AB1168" s="132">
        <v>40938</v>
      </c>
      <c r="AC1168" s="132">
        <v>40949</v>
      </c>
      <c r="AD1168" s="132"/>
      <c r="AE1168" s="63"/>
      <c r="AF1168" s="63"/>
      <c r="AG1168" s="63"/>
    </row>
    <row r="1169" spans="1:33" ht="17.2" customHeight="1">
      <c r="A1169" s="64" t="str">
        <f>IF(priority(Main[[#This Row],[Comments]])&lt;&gt;0, priority(Main[[#This Row],[Comments]]),"")</f>
        <v/>
      </c>
      <c r="B1169" s="60" t="s">
        <v>2740</v>
      </c>
      <c r="C1169" s="72" t="s">
        <v>4</v>
      </c>
      <c r="D1169" s="59" t="s">
        <v>2741</v>
      </c>
      <c r="E1169" s="85">
        <v>40911.566932870373</v>
      </c>
      <c r="F1169" s="85"/>
      <c r="G1169" s="64" t="str">
        <f>IF(stdProdLT(Main[[#This Row],[Comments]])=0.1,"N/A",IF(stdProdLT(Main[[#This Row],[Comments]])=0,"",TRIM(stdProdLT(Main[[#This Row],[Comments]]))))</f>
        <v/>
      </c>
      <c r="H1169" s="94" t="str">
        <f>IF(OR(Main[[#This Row],[Std. Prod. Lead Time]]="N/A",Main[[#This Row],[Std. Prod. Lead Time]]=""), "",IF(AND(Main[[#This Row],[In Stock Date]]&lt;&gt;"",Main[[#This Row],[Revised Due Date]]&lt;&gt;"",Main[[#This Row],[In Stock Date]]&lt;&gt;""),Main[[#This Row],[In Stock Date]]-Main[[#This Row],[Revised Due Date]],""))</f>
        <v/>
      </c>
      <c r="I1169" s="101" t="s">
        <v>530</v>
      </c>
      <c r="J1169" s="95" t="s">
        <v>28</v>
      </c>
      <c r="K1169" s="95" t="s">
        <v>1920</v>
      </c>
      <c r="L1169" s="85"/>
      <c r="M1169" s="73" t="str">
        <f>IF(Main[[#This Row],[Tech Start Date]]&lt;1/1/1990,"",IF(Main[[#This Row],[Class]]="C",WORKDAY(Main[[#This Row],[Tech Start Date]],9),IF(Main[[#This Row],[Class]]="B", WORKDAY(Main[[#This Row],[Tech Start Date]],6),IF(Main[[#This Row],[Class]]="A",WORKDAY(Main[[#This Row],[Tech Start Date]],2),""))))</f>
        <v/>
      </c>
      <c r="N1169" s="73" t="str">
        <f>IF(Main[[#This Row],[Tech Start Date]]&lt;1/1/1990,"",IF(Main[[#This Row],[Class]]="C",WORKDAY(Main[[#This Row],[Tech Start Date]],19),IF(Main[[#This Row],[Class]]="B", WORKDAY(Main[[#This Row],[Tech Start Date]],12),IF(Main[[#This Row],[Class]]="A",WORKDAY(Main[[#This Row],[Tech Start Date]],4),""))))</f>
        <v/>
      </c>
      <c r="O1169" s="73" t="str">
        <f>IF(Main[[#This Row],[Tech Start Date]]&lt;1/1/1990,"",IF(Main[[#This Row],[Class]]="C",WORKDAY(Main[[#This Row],[Tech Start Date]],23),IF(Main[[#This Row],[Class]]="B", WORKDAY(Main[[#This Row],[Tech Start Date]],15),IF(Main[[#This Row],[Class]]="A",WORKDAY(Main[[#This Row],[Tech Start Date]],5),""))))</f>
        <v/>
      </c>
      <c r="P1169" s="73" t="str">
        <f>IF(Main[[#This Row],[Tech Start Date]]&lt;1/1/1990,"",IF(Main[[#This Row],[Class]]="C",WORKDAY(Main[[#This Row],[Tech Start Date]],28),IF(Main[[#This Row],[Class]]="B", WORKDAY(Main[[#This Row],[Tech Start Date]],19),IF(Main[[#This Row],[Class]]="A",WORKDAY(Main[[#This Row],[Tech Start Date]],9),""))))</f>
        <v/>
      </c>
      <c r="Q1169" s="85">
        <v>40963</v>
      </c>
      <c r="R1169" s="112"/>
      <c r="S1169" s="95" t="s">
        <v>6</v>
      </c>
      <c r="T1169" s="74" t="s">
        <v>4</v>
      </c>
      <c r="U1169" s="95" t="s">
        <v>29</v>
      </c>
      <c r="V1169" s="95" t="s">
        <v>1914</v>
      </c>
      <c r="W1169" s="95" t="s">
        <v>1915</v>
      </c>
      <c r="X1169" s="95" t="s">
        <v>765</v>
      </c>
      <c r="Y1169" s="72" t="s">
        <v>2913</v>
      </c>
      <c r="Z1169" s="72" t="s">
        <v>30</v>
      </c>
      <c r="AA1169" s="95" t="s">
        <v>765</v>
      </c>
      <c r="AB1169" s="132"/>
      <c r="AC1169" s="132"/>
      <c r="AD1169" s="132"/>
      <c r="AE1169" s="63"/>
      <c r="AF1169" s="63"/>
      <c r="AG1169" s="63"/>
    </row>
    <row r="1170" spans="1:33" ht="17.2" customHeight="1">
      <c r="A1170" s="64" t="str">
        <f>IF(priority(Main[[#This Row],[Comments]])&lt;&gt;0, priority(Main[[#This Row],[Comments]]),"")</f>
        <v/>
      </c>
      <c r="B1170" s="60" t="s">
        <v>3456</v>
      </c>
      <c r="C1170" s="72" t="s">
        <v>47</v>
      </c>
      <c r="D1170" s="59" t="s">
        <v>3458</v>
      </c>
      <c r="E1170" s="85">
        <v>40941.662106481483</v>
      </c>
      <c r="F1170" s="85"/>
      <c r="G1170" s="64" t="str">
        <f>IF(stdProdLT(Main[[#This Row],[Comments]])=0.1,"N/A",IF(stdProdLT(Main[[#This Row],[Comments]])=0,"",TRIM(stdProdLT(Main[[#This Row],[Comments]]))))</f>
        <v/>
      </c>
      <c r="H1170" s="94" t="str">
        <f>IF(OR(Main[[#This Row],[Std. Prod. Lead Time]]="N/A",Main[[#This Row],[Std. Prod. Lead Time]]=""), "",IF(AND(Main[[#This Row],[In Stock Date]]&lt;&gt;"",Main[[#This Row],[Revised Due Date]]&lt;&gt;"",Main[[#This Row],[In Stock Date]]&lt;&gt;""),Main[[#This Row],[In Stock Date]]-Main[[#This Row],[Revised Due Date]],""))</f>
        <v/>
      </c>
      <c r="I1170" s="101" t="s">
        <v>4</v>
      </c>
      <c r="J1170" s="95" t="s">
        <v>4</v>
      </c>
      <c r="K1170" s="95" t="s">
        <v>4</v>
      </c>
      <c r="L1170" s="85"/>
      <c r="M1170" s="73" t="str">
        <f>IF(Main[[#This Row],[Tech Start Date]]&lt;1/1/1990,"",IF(Main[[#This Row],[Class]]="C",WORKDAY(Main[[#This Row],[Tech Start Date]],9),IF(Main[[#This Row],[Class]]="B", WORKDAY(Main[[#This Row],[Tech Start Date]],6),IF(Main[[#This Row],[Class]]="A",WORKDAY(Main[[#This Row],[Tech Start Date]],2),""))))</f>
        <v/>
      </c>
      <c r="N1170" s="73" t="str">
        <f>IF(Main[[#This Row],[Tech Start Date]]&lt;1/1/1990,"",IF(Main[[#This Row],[Class]]="C",WORKDAY(Main[[#This Row],[Tech Start Date]],19),IF(Main[[#This Row],[Class]]="B", WORKDAY(Main[[#This Row],[Tech Start Date]],12),IF(Main[[#This Row],[Class]]="A",WORKDAY(Main[[#This Row],[Tech Start Date]],4),""))))</f>
        <v/>
      </c>
      <c r="O1170" s="73" t="str">
        <f>IF(Main[[#This Row],[Tech Start Date]]&lt;1/1/1990,"",IF(Main[[#This Row],[Class]]="C",WORKDAY(Main[[#This Row],[Tech Start Date]],23),IF(Main[[#This Row],[Class]]="B", WORKDAY(Main[[#This Row],[Tech Start Date]],15),IF(Main[[#This Row],[Class]]="A",WORKDAY(Main[[#This Row],[Tech Start Date]],5),""))))</f>
        <v/>
      </c>
      <c r="P1170" s="73" t="str">
        <f>IF(Main[[#This Row],[Tech Start Date]]&lt;1/1/1990,"",IF(Main[[#This Row],[Class]]="C",WORKDAY(Main[[#This Row],[Tech Start Date]],28),IF(Main[[#This Row],[Class]]="B", WORKDAY(Main[[#This Row],[Tech Start Date]],19),IF(Main[[#This Row],[Class]]="A",WORKDAY(Main[[#This Row],[Tech Start Date]],9),""))))</f>
        <v/>
      </c>
      <c r="Q1170" s="85">
        <v>40968</v>
      </c>
      <c r="R1170" s="112"/>
      <c r="S1170" s="95" t="s">
        <v>6</v>
      </c>
      <c r="T1170" s="74" t="s">
        <v>4</v>
      </c>
      <c r="U1170" s="95" t="s">
        <v>29</v>
      </c>
      <c r="V1170" s="95" t="s">
        <v>2277</v>
      </c>
      <c r="W1170" s="95" t="s">
        <v>4</v>
      </c>
      <c r="X1170" s="95" t="s">
        <v>2845</v>
      </c>
      <c r="Y1170" s="72" t="s">
        <v>2988</v>
      </c>
      <c r="Z1170" s="72" t="s">
        <v>4</v>
      </c>
      <c r="AA1170" s="95" t="s">
        <v>2845</v>
      </c>
      <c r="AB1170" s="132"/>
      <c r="AC1170" s="132"/>
      <c r="AD1170" s="132"/>
      <c r="AE1170" s="63"/>
      <c r="AF1170" s="63"/>
      <c r="AG1170" s="63"/>
    </row>
    <row r="1171" spans="1:33" ht="17.2" customHeight="1">
      <c r="A1171" s="64" t="str">
        <f>IF(priority(Main[[#This Row],[Comments]])&lt;&gt;0, priority(Main[[#This Row],[Comments]]),"")</f>
        <v/>
      </c>
      <c r="B1171" s="60" t="s">
        <v>2309</v>
      </c>
      <c r="C1171" s="72" t="s">
        <v>4</v>
      </c>
      <c r="D1171" s="59" t="s">
        <v>2310</v>
      </c>
      <c r="E1171" s="85">
        <v>40819.669872685183</v>
      </c>
      <c r="F1171" s="85"/>
      <c r="G1171" s="64" t="str">
        <f>IF(stdProdLT(Main[[#This Row],[Comments]])=0.1,"N/A",IF(stdProdLT(Main[[#This Row],[Comments]])=0,"",TRIM(stdProdLT(Main[[#This Row],[Comments]]))))</f>
        <v/>
      </c>
      <c r="H1171" s="94" t="str">
        <f>IF(OR(Main[[#This Row],[Std. Prod. Lead Time]]="N/A",Main[[#This Row],[Std. Prod. Lead Time]]=""), "",IF(AND(Main[[#This Row],[In Stock Date]]&lt;&gt;"",Main[[#This Row],[Revised Due Date]]&lt;&gt;"",Main[[#This Row],[In Stock Date]]&lt;&gt;""),Main[[#This Row],[In Stock Date]]-Main[[#This Row],[Revised Due Date]],""))</f>
        <v/>
      </c>
      <c r="I1171" s="101" t="s">
        <v>239</v>
      </c>
      <c r="J1171" s="95" t="s">
        <v>28</v>
      </c>
      <c r="K1171" s="95" t="s">
        <v>1920</v>
      </c>
      <c r="L1171" s="85"/>
      <c r="M1171" s="73" t="str">
        <f>IF(Main[[#This Row],[Tech Start Date]]&lt;1/1/1990,"",IF(Main[[#This Row],[Class]]="C",WORKDAY(Main[[#This Row],[Tech Start Date]],9),IF(Main[[#This Row],[Class]]="B", WORKDAY(Main[[#This Row],[Tech Start Date]],6),IF(Main[[#This Row],[Class]]="A",WORKDAY(Main[[#This Row],[Tech Start Date]],2),""))))</f>
        <v/>
      </c>
      <c r="N1171" s="73" t="str">
        <f>IF(Main[[#This Row],[Tech Start Date]]&lt;1/1/1990,"",IF(Main[[#This Row],[Class]]="C",WORKDAY(Main[[#This Row],[Tech Start Date]],19),IF(Main[[#This Row],[Class]]="B", WORKDAY(Main[[#This Row],[Tech Start Date]],12),IF(Main[[#This Row],[Class]]="A",WORKDAY(Main[[#This Row],[Tech Start Date]],4),""))))</f>
        <v/>
      </c>
      <c r="O1171" s="73" t="str">
        <f>IF(Main[[#This Row],[Tech Start Date]]&lt;1/1/1990,"",IF(Main[[#This Row],[Class]]="C",WORKDAY(Main[[#This Row],[Tech Start Date]],23),IF(Main[[#This Row],[Class]]="B", WORKDAY(Main[[#This Row],[Tech Start Date]],15),IF(Main[[#This Row],[Class]]="A",WORKDAY(Main[[#This Row],[Tech Start Date]],5),""))))</f>
        <v/>
      </c>
      <c r="P1171" s="73" t="str">
        <f>IF(Main[[#This Row],[Tech Start Date]]&lt;1/1/1990,"",IF(Main[[#This Row],[Class]]="C",WORKDAY(Main[[#This Row],[Tech Start Date]],28),IF(Main[[#This Row],[Class]]="B", WORKDAY(Main[[#This Row],[Tech Start Date]],19),IF(Main[[#This Row],[Class]]="A",WORKDAY(Main[[#This Row],[Tech Start Date]],9),""))))</f>
        <v/>
      </c>
      <c r="Q1171" s="85">
        <v>40847</v>
      </c>
      <c r="R1171" s="112"/>
      <c r="S1171" s="95" t="s">
        <v>6</v>
      </c>
      <c r="T1171" s="74" t="s">
        <v>4</v>
      </c>
      <c r="U1171" s="95" t="s">
        <v>29</v>
      </c>
      <c r="V1171" s="95" t="s">
        <v>1914</v>
      </c>
      <c r="W1171" s="95" t="s">
        <v>1915</v>
      </c>
      <c r="X1171" s="95" t="s">
        <v>30</v>
      </c>
      <c r="Y1171" s="72" t="s">
        <v>2918</v>
      </c>
      <c r="Z1171" s="72" t="s">
        <v>30</v>
      </c>
      <c r="AA1171" s="95" t="s">
        <v>30</v>
      </c>
      <c r="AB1171" s="132"/>
      <c r="AC1171" s="132"/>
      <c r="AD1171" s="132"/>
      <c r="AE1171" s="63"/>
      <c r="AF1171" s="63"/>
      <c r="AG1171" s="63"/>
    </row>
    <row r="1172" spans="1:33" ht="17.2" customHeight="1">
      <c r="A1172" s="64" t="str">
        <f>IF(priority(Main[[#This Row],[Comments]])&lt;&gt;0, priority(Main[[#This Row],[Comments]]),"")</f>
        <v/>
      </c>
      <c r="B1172" s="60" t="s">
        <v>2508</v>
      </c>
      <c r="C1172" s="72" t="s">
        <v>2499</v>
      </c>
      <c r="D1172" s="59" t="s">
        <v>2509</v>
      </c>
      <c r="E1172" s="85"/>
      <c r="F1172" s="85"/>
      <c r="G1172" s="64" t="str">
        <f>IF(stdProdLT(Main[[#This Row],[Comments]])=0.1,"N/A",IF(stdProdLT(Main[[#This Row],[Comments]])=0,"",TRIM(stdProdLT(Main[[#This Row],[Comments]]))))</f>
        <v/>
      </c>
      <c r="H1172" s="94" t="str">
        <f>IF(OR(Main[[#This Row],[Std. Prod. Lead Time]]="N/A",Main[[#This Row],[Std. Prod. Lead Time]]=""), "",IF(AND(Main[[#This Row],[In Stock Date]]&lt;&gt;"",Main[[#This Row],[Revised Due Date]]&lt;&gt;"",Main[[#This Row],[In Stock Date]]&lt;&gt;""),Main[[#This Row],[In Stock Date]]-Main[[#This Row],[Revised Due Date]],""))</f>
        <v/>
      </c>
      <c r="I1172" s="101" t="s">
        <v>4</v>
      </c>
      <c r="J1172" s="95" t="s">
        <v>4</v>
      </c>
      <c r="K1172" s="95" t="s">
        <v>4</v>
      </c>
      <c r="L1172" s="85"/>
      <c r="M1172" s="73" t="str">
        <f>IF(Main[[#This Row],[Tech Start Date]]&lt;1/1/1990,"",IF(Main[[#This Row],[Class]]="C",WORKDAY(Main[[#This Row],[Tech Start Date]],9),IF(Main[[#This Row],[Class]]="B", WORKDAY(Main[[#This Row],[Tech Start Date]],6),IF(Main[[#This Row],[Class]]="A",WORKDAY(Main[[#This Row],[Tech Start Date]],2),""))))</f>
        <v/>
      </c>
      <c r="N1172" s="73" t="str">
        <f>IF(Main[[#This Row],[Tech Start Date]]&lt;1/1/1990,"",IF(Main[[#This Row],[Class]]="C",WORKDAY(Main[[#This Row],[Tech Start Date]],19),IF(Main[[#This Row],[Class]]="B", WORKDAY(Main[[#This Row],[Tech Start Date]],12),IF(Main[[#This Row],[Class]]="A",WORKDAY(Main[[#This Row],[Tech Start Date]],4),""))))</f>
        <v/>
      </c>
      <c r="O1172" s="73" t="str">
        <f>IF(Main[[#This Row],[Tech Start Date]]&lt;1/1/1990,"",IF(Main[[#This Row],[Class]]="C",WORKDAY(Main[[#This Row],[Tech Start Date]],23),IF(Main[[#This Row],[Class]]="B", WORKDAY(Main[[#This Row],[Tech Start Date]],15),IF(Main[[#This Row],[Class]]="A",WORKDAY(Main[[#This Row],[Tech Start Date]],5),""))))</f>
        <v/>
      </c>
      <c r="P1172" s="73" t="str">
        <f>IF(Main[[#This Row],[Tech Start Date]]&lt;1/1/1990,"",IF(Main[[#This Row],[Class]]="C",WORKDAY(Main[[#This Row],[Tech Start Date]],28),IF(Main[[#This Row],[Class]]="B", WORKDAY(Main[[#This Row],[Tech Start Date]],19),IF(Main[[#This Row],[Class]]="A",WORKDAY(Main[[#This Row],[Tech Start Date]],9),""))))</f>
        <v/>
      </c>
      <c r="Q1172" s="85"/>
      <c r="R1172" s="112"/>
      <c r="S1172" s="95" t="s">
        <v>11</v>
      </c>
      <c r="T1172" s="74" t="s">
        <v>4</v>
      </c>
      <c r="U1172" s="95" t="s">
        <v>14</v>
      </c>
      <c r="V1172" s="95" t="s">
        <v>1912</v>
      </c>
      <c r="W1172" s="95" t="s">
        <v>1919</v>
      </c>
      <c r="X1172" s="95" t="s">
        <v>306</v>
      </c>
      <c r="Y1172" s="72" t="s">
        <v>4</v>
      </c>
      <c r="Z1172" s="72" t="s">
        <v>4</v>
      </c>
      <c r="AA1172" s="95" t="s">
        <v>3420</v>
      </c>
      <c r="AB1172" s="132"/>
      <c r="AC1172" s="132"/>
      <c r="AD1172" s="132"/>
      <c r="AE1172" s="63"/>
      <c r="AF1172" s="63"/>
      <c r="AG1172" s="63"/>
    </row>
    <row r="1173" spans="1:33" ht="17.2" customHeight="1">
      <c r="A1173" s="64" t="str">
        <f>IF(priority(Main[[#This Row],[Comments]])&lt;&gt;0, priority(Main[[#This Row],[Comments]]),"")</f>
        <v/>
      </c>
      <c r="B1173" s="60" t="s">
        <v>2510</v>
      </c>
      <c r="C1173" s="72" t="s">
        <v>2321</v>
      </c>
      <c r="D1173" s="59" t="s">
        <v>2511</v>
      </c>
      <c r="E1173" s="85">
        <v>40843.623680555553</v>
      </c>
      <c r="F1173" s="85"/>
      <c r="G1173" s="64" t="str">
        <f>IF(stdProdLT(Main[[#This Row],[Comments]])=0.1,"N/A",IF(stdProdLT(Main[[#This Row],[Comments]])=0,"",TRIM(stdProdLT(Main[[#This Row],[Comments]]))))</f>
        <v/>
      </c>
      <c r="H1173" s="94" t="str">
        <f>IF(OR(Main[[#This Row],[Std. Prod. Lead Time]]="N/A",Main[[#This Row],[Std. Prod. Lead Time]]=""), "",IF(AND(Main[[#This Row],[In Stock Date]]&lt;&gt;"",Main[[#This Row],[Revised Due Date]]&lt;&gt;"",Main[[#This Row],[In Stock Date]]&lt;&gt;""),Main[[#This Row],[In Stock Date]]-Main[[#This Row],[Revised Due Date]],""))</f>
        <v/>
      </c>
      <c r="I1173" s="101" t="s">
        <v>4</v>
      </c>
      <c r="J1173" s="95" t="s">
        <v>4</v>
      </c>
      <c r="K1173" s="95" t="s">
        <v>4</v>
      </c>
      <c r="L1173" s="85"/>
      <c r="M1173" s="73" t="str">
        <f>IF(Main[[#This Row],[Tech Start Date]]&lt;1/1/1990,"",IF(Main[[#This Row],[Class]]="C",WORKDAY(Main[[#This Row],[Tech Start Date]],9),IF(Main[[#This Row],[Class]]="B", WORKDAY(Main[[#This Row],[Tech Start Date]],6),IF(Main[[#This Row],[Class]]="A",WORKDAY(Main[[#This Row],[Tech Start Date]],2),""))))</f>
        <v/>
      </c>
      <c r="N1173" s="73" t="str">
        <f>IF(Main[[#This Row],[Tech Start Date]]&lt;1/1/1990,"",IF(Main[[#This Row],[Class]]="C",WORKDAY(Main[[#This Row],[Tech Start Date]],19),IF(Main[[#This Row],[Class]]="B", WORKDAY(Main[[#This Row],[Tech Start Date]],12),IF(Main[[#This Row],[Class]]="A",WORKDAY(Main[[#This Row],[Tech Start Date]],4),""))))</f>
        <v/>
      </c>
      <c r="O1173" s="73" t="str">
        <f>IF(Main[[#This Row],[Tech Start Date]]&lt;1/1/1990,"",IF(Main[[#This Row],[Class]]="C",WORKDAY(Main[[#This Row],[Tech Start Date]],23),IF(Main[[#This Row],[Class]]="B", WORKDAY(Main[[#This Row],[Tech Start Date]],15),IF(Main[[#This Row],[Class]]="A",WORKDAY(Main[[#This Row],[Tech Start Date]],5),""))))</f>
        <v/>
      </c>
      <c r="P1173" s="73" t="str">
        <f>IF(Main[[#This Row],[Tech Start Date]]&lt;1/1/1990,"",IF(Main[[#This Row],[Class]]="C",WORKDAY(Main[[#This Row],[Tech Start Date]],28),IF(Main[[#This Row],[Class]]="B", WORKDAY(Main[[#This Row],[Tech Start Date]],19),IF(Main[[#This Row],[Class]]="A",WORKDAY(Main[[#This Row],[Tech Start Date]],9),""))))</f>
        <v/>
      </c>
      <c r="Q1173" s="85"/>
      <c r="R1173" s="112"/>
      <c r="S1173" s="95" t="s">
        <v>6</v>
      </c>
      <c r="T1173" s="74" t="s">
        <v>4</v>
      </c>
      <c r="U1173" s="95" t="s">
        <v>7</v>
      </c>
      <c r="V1173" s="95" t="s">
        <v>1911</v>
      </c>
      <c r="W1173" s="95" t="s">
        <v>1915</v>
      </c>
      <c r="X1173" s="95" t="s">
        <v>2859</v>
      </c>
      <c r="Y1173" s="72" t="s">
        <v>3005</v>
      </c>
      <c r="Z1173" s="72" t="s">
        <v>4</v>
      </c>
      <c r="AA1173" s="95" t="s">
        <v>2859</v>
      </c>
      <c r="AB1173" s="132"/>
      <c r="AC1173" s="132"/>
      <c r="AD1173" s="132"/>
      <c r="AE1173" s="63"/>
      <c r="AF1173" s="63"/>
      <c r="AG1173" s="63"/>
    </row>
    <row r="1174" spans="1:33" ht="17.2" customHeight="1">
      <c r="A1174" s="64" t="str">
        <f>IF(priority(Main[[#This Row],[Comments]])&lt;&gt;0, priority(Main[[#This Row],[Comments]]),"")</f>
        <v/>
      </c>
      <c r="B1174" s="60" t="s">
        <v>2720</v>
      </c>
      <c r="C1174" s="72" t="s">
        <v>4</v>
      </c>
      <c r="D1174" s="59" t="s">
        <v>3203</v>
      </c>
      <c r="E1174" s="85"/>
      <c r="F1174" s="85"/>
      <c r="G1174" s="64" t="str">
        <f>IF(stdProdLT(Main[[#This Row],[Comments]])=0.1,"N/A",IF(stdProdLT(Main[[#This Row],[Comments]])=0,"",TRIM(stdProdLT(Main[[#This Row],[Comments]]))))</f>
        <v/>
      </c>
      <c r="H1174" s="94" t="str">
        <f>IF(OR(Main[[#This Row],[Std. Prod. Lead Time]]="N/A",Main[[#This Row],[Std. Prod. Lead Time]]=""), "",IF(AND(Main[[#This Row],[In Stock Date]]&lt;&gt;"",Main[[#This Row],[Revised Due Date]]&lt;&gt;"",Main[[#This Row],[In Stock Date]]&lt;&gt;""),Main[[#This Row],[In Stock Date]]-Main[[#This Row],[Revised Due Date]],""))</f>
        <v/>
      </c>
      <c r="I1174" s="101" t="s">
        <v>2202</v>
      </c>
      <c r="J1174" s="95" t="s">
        <v>75</v>
      </c>
      <c r="K1174" s="95" t="s">
        <v>1920</v>
      </c>
      <c r="L1174" s="85"/>
      <c r="M1174" s="73" t="str">
        <f>IF(Main[[#This Row],[Tech Start Date]]&lt;1/1/1990,"",IF(Main[[#This Row],[Class]]="C",WORKDAY(Main[[#This Row],[Tech Start Date]],9),IF(Main[[#This Row],[Class]]="B", WORKDAY(Main[[#This Row],[Tech Start Date]],6),IF(Main[[#This Row],[Class]]="A",WORKDAY(Main[[#This Row],[Tech Start Date]],2),""))))</f>
        <v/>
      </c>
      <c r="N1174" s="73" t="str">
        <f>IF(Main[[#This Row],[Tech Start Date]]&lt;1/1/1990,"",IF(Main[[#This Row],[Class]]="C",WORKDAY(Main[[#This Row],[Tech Start Date]],19),IF(Main[[#This Row],[Class]]="B", WORKDAY(Main[[#This Row],[Tech Start Date]],12),IF(Main[[#This Row],[Class]]="A",WORKDAY(Main[[#This Row],[Tech Start Date]],4),""))))</f>
        <v/>
      </c>
      <c r="O1174" s="73" t="str">
        <f>IF(Main[[#This Row],[Tech Start Date]]&lt;1/1/1990,"",IF(Main[[#This Row],[Class]]="C",WORKDAY(Main[[#This Row],[Tech Start Date]],23),IF(Main[[#This Row],[Class]]="B", WORKDAY(Main[[#This Row],[Tech Start Date]],15),IF(Main[[#This Row],[Class]]="A",WORKDAY(Main[[#This Row],[Tech Start Date]],5),""))))</f>
        <v/>
      </c>
      <c r="P1174" s="73" t="str">
        <f>IF(Main[[#This Row],[Tech Start Date]]&lt;1/1/1990,"",IF(Main[[#This Row],[Class]]="C",WORKDAY(Main[[#This Row],[Tech Start Date]],28),IF(Main[[#This Row],[Class]]="B", WORKDAY(Main[[#This Row],[Tech Start Date]],19),IF(Main[[#This Row],[Class]]="A",WORKDAY(Main[[#This Row],[Tech Start Date]],9),""))))</f>
        <v/>
      </c>
      <c r="Q1174" s="85">
        <v>40935</v>
      </c>
      <c r="R1174" s="112"/>
      <c r="S1174" s="95" t="s">
        <v>6</v>
      </c>
      <c r="T1174" s="74" t="s">
        <v>4</v>
      </c>
      <c r="U1174" s="95" t="s">
        <v>14</v>
      </c>
      <c r="V1174" s="95" t="s">
        <v>1914</v>
      </c>
      <c r="W1174" s="95" t="s">
        <v>1915</v>
      </c>
      <c r="X1174" s="95" t="s">
        <v>2799</v>
      </c>
      <c r="Y1174" s="72" t="s">
        <v>2910</v>
      </c>
      <c r="Z1174" s="72" t="s">
        <v>30</v>
      </c>
      <c r="AA1174" s="95" t="s">
        <v>2799</v>
      </c>
      <c r="AB1174" s="132">
        <v>40927</v>
      </c>
      <c r="AC1174" s="132">
        <v>40927</v>
      </c>
      <c r="AD1174" s="132"/>
      <c r="AE1174" s="63"/>
      <c r="AF1174" s="63"/>
      <c r="AG1174" s="63"/>
    </row>
    <row r="1175" spans="1:33" ht="17.2" customHeight="1">
      <c r="A1175" s="64" t="str">
        <f>IF(priority(Main[[#This Row],[Comments]])&lt;&gt;0, priority(Main[[#This Row],[Comments]]),"")</f>
        <v/>
      </c>
      <c r="B1175" s="60" t="s">
        <v>3258</v>
      </c>
      <c r="C1175" s="72" t="s">
        <v>4</v>
      </c>
      <c r="D1175" s="59" t="s">
        <v>3602</v>
      </c>
      <c r="E1175" s="85">
        <v>40932.426516203705</v>
      </c>
      <c r="F1175" s="85"/>
      <c r="G1175" s="64" t="str">
        <f>IF(stdProdLT(Main[[#This Row],[Comments]])=0.1,"N/A",IF(stdProdLT(Main[[#This Row],[Comments]])=0,"",TRIM(stdProdLT(Main[[#This Row],[Comments]]))))</f>
        <v/>
      </c>
      <c r="H1175" s="94" t="str">
        <f>IF(OR(Main[[#This Row],[Std. Prod. Lead Time]]="N/A",Main[[#This Row],[Std. Prod. Lead Time]]=""), "",IF(AND(Main[[#This Row],[In Stock Date]]&lt;&gt;"",Main[[#This Row],[Revised Due Date]]&lt;&gt;"",Main[[#This Row],[In Stock Date]]&lt;&gt;""),Main[[#This Row],[In Stock Date]]-Main[[#This Row],[Revised Due Date]],""))</f>
        <v/>
      </c>
      <c r="I1175" s="101" t="s">
        <v>530</v>
      </c>
      <c r="J1175" s="95" t="s">
        <v>28</v>
      </c>
      <c r="K1175" s="95" t="s">
        <v>1920</v>
      </c>
      <c r="L1175" s="85"/>
      <c r="M1175" s="73" t="str">
        <f>IF(Main[[#This Row],[Tech Start Date]]&lt;1/1/1990,"",IF(Main[[#This Row],[Class]]="C",WORKDAY(Main[[#This Row],[Tech Start Date]],9),IF(Main[[#This Row],[Class]]="B", WORKDAY(Main[[#This Row],[Tech Start Date]],6),IF(Main[[#This Row],[Class]]="A",WORKDAY(Main[[#This Row],[Tech Start Date]],2),""))))</f>
        <v/>
      </c>
      <c r="N1175" s="73" t="str">
        <f>IF(Main[[#This Row],[Tech Start Date]]&lt;1/1/1990,"",IF(Main[[#This Row],[Class]]="C",WORKDAY(Main[[#This Row],[Tech Start Date]],19),IF(Main[[#This Row],[Class]]="B", WORKDAY(Main[[#This Row],[Tech Start Date]],12),IF(Main[[#This Row],[Class]]="A",WORKDAY(Main[[#This Row],[Tech Start Date]],4),""))))</f>
        <v/>
      </c>
      <c r="O1175" s="73" t="str">
        <f>IF(Main[[#This Row],[Tech Start Date]]&lt;1/1/1990,"",IF(Main[[#This Row],[Class]]="C",WORKDAY(Main[[#This Row],[Tech Start Date]],23),IF(Main[[#This Row],[Class]]="B", WORKDAY(Main[[#This Row],[Tech Start Date]],15),IF(Main[[#This Row],[Class]]="A",WORKDAY(Main[[#This Row],[Tech Start Date]],5),""))))</f>
        <v/>
      </c>
      <c r="P1175" s="73" t="str">
        <f>IF(Main[[#This Row],[Tech Start Date]]&lt;1/1/1990,"",IF(Main[[#This Row],[Class]]="C",WORKDAY(Main[[#This Row],[Tech Start Date]],28),IF(Main[[#This Row],[Class]]="B", WORKDAY(Main[[#This Row],[Tech Start Date]],19),IF(Main[[#This Row],[Class]]="A",WORKDAY(Main[[#This Row],[Tech Start Date]],9),""))))</f>
        <v/>
      </c>
      <c r="Q1175" s="85">
        <v>41019</v>
      </c>
      <c r="R1175" s="112"/>
      <c r="S1175" s="95" t="s">
        <v>6</v>
      </c>
      <c r="T1175" s="74" t="s">
        <v>4</v>
      </c>
      <c r="U1175" s="95" t="s">
        <v>29</v>
      </c>
      <c r="V1175" s="95" t="s">
        <v>1914</v>
      </c>
      <c r="W1175" s="95" t="s">
        <v>1915</v>
      </c>
      <c r="X1175" s="95" t="s">
        <v>2846</v>
      </c>
      <c r="Y1175" s="72" t="s">
        <v>2978</v>
      </c>
      <c r="Z1175" s="72" t="s">
        <v>30</v>
      </c>
      <c r="AA1175" s="95" t="s">
        <v>2846</v>
      </c>
      <c r="AB1175" s="132"/>
      <c r="AC1175" s="132"/>
      <c r="AD1175" s="132"/>
      <c r="AE1175" s="63"/>
      <c r="AF1175" s="63"/>
      <c r="AG1175" s="63"/>
    </row>
    <row r="1176" spans="1:33" ht="17.2" customHeight="1">
      <c r="A1176" s="116" t="str">
        <f>IF(priority(Main[[#This Row],[Comments]])&lt;&gt;0, priority(Main[[#This Row],[Comments]]),"")</f>
        <v/>
      </c>
      <c r="B1176" s="117" t="s">
        <v>2505</v>
      </c>
      <c r="C1176" s="125" t="s">
        <v>4</v>
      </c>
      <c r="D1176" s="137" t="s">
        <v>2506</v>
      </c>
      <c r="E1176" s="118">
        <v>40840.652592592596</v>
      </c>
      <c r="F1176" s="118"/>
      <c r="G1176" s="116" t="str">
        <f>IF(stdProdLT(Main[[#This Row],[Comments]])=0.1,"N/A",IF(stdProdLT(Main[[#This Row],[Comments]])=0,"",TRIM(stdProdLT(Main[[#This Row],[Comments]]))))</f>
        <v/>
      </c>
      <c r="H1176" s="119" t="str">
        <f>IF(OR(Main[[#This Row],[Std. Prod. Lead Time]]="N/A",Main[[#This Row],[Std. Prod. Lead Time]]=""), "",IF(AND(Main[[#This Row],[In Stock Date]]&lt;&gt;"",Main[[#This Row],[Revised Due Date]]&lt;&gt;"",Main[[#This Row],[In Stock Date]]&lt;&gt;""),Main[[#This Row],[In Stock Date]]-Main[[#This Row],[Revised Due Date]],""))</f>
        <v/>
      </c>
      <c r="I1176" s="120" t="s">
        <v>4</v>
      </c>
      <c r="J1176" s="121" t="s">
        <v>4</v>
      </c>
      <c r="K1176" s="121" t="s">
        <v>4</v>
      </c>
      <c r="L1176" s="118"/>
      <c r="M1176" s="122" t="str">
        <f>IF(Main[[#This Row],[Tech Start Date]]&lt;1/1/1990,"",IF(Main[[#This Row],[Class]]="C",WORKDAY(Main[[#This Row],[Tech Start Date]],9),IF(Main[[#This Row],[Class]]="B", WORKDAY(Main[[#This Row],[Tech Start Date]],6),IF(Main[[#This Row],[Class]]="A",WORKDAY(Main[[#This Row],[Tech Start Date]],2),""))))</f>
        <v/>
      </c>
      <c r="N1176" s="122" t="str">
        <f>IF(Main[[#This Row],[Tech Start Date]]&lt;1/1/1990,"",IF(Main[[#This Row],[Class]]="C",WORKDAY(Main[[#This Row],[Tech Start Date]],19),IF(Main[[#This Row],[Class]]="B", WORKDAY(Main[[#This Row],[Tech Start Date]],12),IF(Main[[#This Row],[Class]]="A",WORKDAY(Main[[#This Row],[Tech Start Date]],4),""))))</f>
        <v/>
      </c>
      <c r="O1176" s="122" t="str">
        <f>IF(Main[[#This Row],[Tech Start Date]]&lt;1/1/1990,"",IF(Main[[#This Row],[Class]]="C",WORKDAY(Main[[#This Row],[Tech Start Date]],23),IF(Main[[#This Row],[Class]]="B", WORKDAY(Main[[#This Row],[Tech Start Date]],15),IF(Main[[#This Row],[Class]]="A",WORKDAY(Main[[#This Row],[Tech Start Date]],5),""))))</f>
        <v/>
      </c>
      <c r="P1176" s="122" t="str">
        <f>IF(Main[[#This Row],[Tech Start Date]]&lt;1/1/1990,"",IF(Main[[#This Row],[Class]]="C",WORKDAY(Main[[#This Row],[Tech Start Date]],28),IF(Main[[#This Row],[Class]]="B", WORKDAY(Main[[#This Row],[Tech Start Date]],19),IF(Main[[#This Row],[Class]]="A",WORKDAY(Main[[#This Row],[Tech Start Date]],9),""))))</f>
        <v/>
      </c>
      <c r="Q1176" s="118"/>
      <c r="R1176" s="123"/>
      <c r="S1176" s="121" t="s">
        <v>6</v>
      </c>
      <c r="T1176" s="124" t="s">
        <v>4</v>
      </c>
      <c r="U1176" s="121" t="s">
        <v>29</v>
      </c>
      <c r="V1176" s="121" t="s">
        <v>1911</v>
      </c>
      <c r="W1176" s="121" t="s">
        <v>4</v>
      </c>
      <c r="X1176" s="121" t="s">
        <v>937</v>
      </c>
      <c r="Y1176" s="125" t="s">
        <v>2962</v>
      </c>
      <c r="Z1176" s="125" t="s">
        <v>4</v>
      </c>
      <c r="AA1176" s="121" t="s">
        <v>937</v>
      </c>
      <c r="AB1176" s="132"/>
      <c r="AC1176" s="132"/>
      <c r="AD1176" s="132"/>
      <c r="AE1176" s="63"/>
      <c r="AF1176" s="63"/>
      <c r="AG1176" s="63"/>
    </row>
    <row r="1177" spans="1:33" ht="17.2" customHeight="1">
      <c r="A1177" s="64" t="str">
        <f>IF(priority(Main[[#This Row],[Comments]])&lt;&gt;0, priority(Main[[#This Row],[Comments]]),"")</f>
        <v/>
      </c>
      <c r="B1177" s="60" t="s">
        <v>2516</v>
      </c>
      <c r="C1177" s="72" t="s">
        <v>4</v>
      </c>
      <c r="D1177" s="59" t="s">
        <v>2517</v>
      </c>
      <c r="E1177" s="85"/>
      <c r="F1177" s="85"/>
      <c r="G1177" s="64" t="str">
        <f>IF(stdProdLT(Main[[#This Row],[Comments]])=0.1,"N/A",IF(stdProdLT(Main[[#This Row],[Comments]])=0,"",TRIM(stdProdLT(Main[[#This Row],[Comments]]))))</f>
        <v/>
      </c>
      <c r="H1177" s="94" t="str">
        <f>IF(OR(Main[[#This Row],[Std. Prod. Lead Time]]="N/A",Main[[#This Row],[Std. Prod. Lead Time]]=""), "",IF(AND(Main[[#This Row],[In Stock Date]]&lt;&gt;"",Main[[#This Row],[Revised Due Date]]&lt;&gt;"",Main[[#This Row],[In Stock Date]]&lt;&gt;""),Main[[#This Row],[In Stock Date]]-Main[[#This Row],[Revised Due Date]],""))</f>
        <v/>
      </c>
      <c r="I1177" s="101" t="s">
        <v>4</v>
      </c>
      <c r="J1177" s="95" t="s">
        <v>4</v>
      </c>
      <c r="K1177" s="95" t="s">
        <v>4</v>
      </c>
      <c r="L1177" s="85"/>
      <c r="M1177" s="73" t="str">
        <f>IF(Main[[#This Row],[Tech Start Date]]&lt;1/1/1990,"",IF(Main[[#This Row],[Class]]="C",WORKDAY(Main[[#This Row],[Tech Start Date]],9),IF(Main[[#This Row],[Class]]="B", WORKDAY(Main[[#This Row],[Tech Start Date]],6),IF(Main[[#This Row],[Class]]="A",WORKDAY(Main[[#This Row],[Tech Start Date]],2),""))))</f>
        <v/>
      </c>
      <c r="N1177" s="73" t="str">
        <f>IF(Main[[#This Row],[Tech Start Date]]&lt;1/1/1990,"",IF(Main[[#This Row],[Class]]="C",WORKDAY(Main[[#This Row],[Tech Start Date]],19),IF(Main[[#This Row],[Class]]="B", WORKDAY(Main[[#This Row],[Tech Start Date]],12),IF(Main[[#This Row],[Class]]="A",WORKDAY(Main[[#This Row],[Tech Start Date]],4),""))))</f>
        <v/>
      </c>
      <c r="O1177" s="73" t="str">
        <f>IF(Main[[#This Row],[Tech Start Date]]&lt;1/1/1990,"",IF(Main[[#This Row],[Class]]="C",WORKDAY(Main[[#This Row],[Tech Start Date]],23),IF(Main[[#This Row],[Class]]="B", WORKDAY(Main[[#This Row],[Tech Start Date]],15),IF(Main[[#This Row],[Class]]="A",WORKDAY(Main[[#This Row],[Tech Start Date]],5),""))))</f>
        <v/>
      </c>
      <c r="P1177" s="73" t="str">
        <f>IF(Main[[#This Row],[Tech Start Date]]&lt;1/1/1990,"",IF(Main[[#This Row],[Class]]="C",WORKDAY(Main[[#This Row],[Tech Start Date]],28),IF(Main[[#This Row],[Class]]="B", WORKDAY(Main[[#This Row],[Tech Start Date]],19),IF(Main[[#This Row],[Class]]="A",WORKDAY(Main[[#This Row],[Tech Start Date]],9),""))))</f>
        <v/>
      </c>
      <c r="Q1177" s="85"/>
      <c r="R1177" s="112"/>
      <c r="S1177" s="95" t="s">
        <v>11</v>
      </c>
      <c r="T1177" s="74" t="s">
        <v>4</v>
      </c>
      <c r="U1177" s="95" t="s">
        <v>14</v>
      </c>
      <c r="V1177" s="95" t="s">
        <v>1912</v>
      </c>
      <c r="W1177" s="95" t="s">
        <v>4</v>
      </c>
      <c r="X1177" s="95" t="s">
        <v>2243</v>
      </c>
      <c r="Y1177" s="72" t="s">
        <v>4</v>
      </c>
      <c r="Z1177" s="72" t="s">
        <v>4</v>
      </c>
      <c r="AA1177" s="95" t="s">
        <v>4</v>
      </c>
      <c r="AB1177" s="132"/>
      <c r="AC1177" s="132"/>
      <c r="AD1177" s="132"/>
      <c r="AE1177" s="63"/>
      <c r="AF1177" s="63"/>
      <c r="AG1177" s="63"/>
    </row>
    <row r="1178" spans="1:33" ht="17.2" customHeight="1">
      <c r="A1178" s="64" t="str">
        <f>IF(priority(Main[[#This Row],[Comments]])&lt;&gt;0, priority(Main[[#This Row],[Comments]]),"")</f>
        <v/>
      </c>
      <c r="B1178" s="60" t="s">
        <v>3496</v>
      </c>
      <c r="C1178" s="72" t="s">
        <v>3484</v>
      </c>
      <c r="D1178" s="59" t="s">
        <v>3497</v>
      </c>
      <c r="E1178" s="85"/>
      <c r="F1178" s="85">
        <v>41026</v>
      </c>
      <c r="G1178" s="64" t="str">
        <f>IF(stdProdLT(Main[[#This Row],[Comments]])=0.1,"N/A",IF(stdProdLT(Main[[#This Row],[Comments]])=0,"",TRIM(stdProdLT(Main[[#This Row],[Comments]]))))</f>
        <v/>
      </c>
      <c r="H1178" s="94" t="str">
        <f>IF(OR(Main[[#This Row],[Std. Prod. Lead Time]]="N/A",Main[[#This Row],[Std. Prod. Lead Time]]=""), "",IF(AND(Main[[#This Row],[In Stock Date]]&lt;&gt;"",Main[[#This Row],[Revised Due Date]]&lt;&gt;"",Main[[#This Row],[In Stock Date]]&lt;&gt;""),Main[[#This Row],[In Stock Date]]-Main[[#This Row],[Revised Due Date]],""))</f>
        <v/>
      </c>
      <c r="I1178" s="101" t="s">
        <v>4</v>
      </c>
      <c r="J1178" s="95" t="s">
        <v>75</v>
      </c>
      <c r="K1178" s="96" t="s">
        <v>4</v>
      </c>
      <c r="L1178" s="85"/>
      <c r="M1178" s="73" t="str">
        <f>IF(Main[[#This Row],[Tech Start Date]]&lt;1/1/1990,"",IF(Main[[#This Row],[Class]]="C",WORKDAY(Main[[#This Row],[Tech Start Date]],9),IF(Main[[#This Row],[Class]]="B", WORKDAY(Main[[#This Row],[Tech Start Date]],6),IF(Main[[#This Row],[Class]]="A",WORKDAY(Main[[#This Row],[Tech Start Date]],2),""))))</f>
        <v/>
      </c>
      <c r="N1178" s="73" t="str">
        <f>IF(Main[[#This Row],[Tech Start Date]]&lt;1/1/1990,"",IF(Main[[#This Row],[Class]]="C",WORKDAY(Main[[#This Row],[Tech Start Date]],19),IF(Main[[#This Row],[Class]]="B", WORKDAY(Main[[#This Row],[Tech Start Date]],12),IF(Main[[#This Row],[Class]]="A",WORKDAY(Main[[#This Row],[Tech Start Date]],4),""))))</f>
        <v/>
      </c>
      <c r="O1178" s="73" t="str">
        <f>IF(Main[[#This Row],[Tech Start Date]]&lt;1/1/1990,"",IF(Main[[#This Row],[Class]]="C",WORKDAY(Main[[#This Row],[Tech Start Date]],23),IF(Main[[#This Row],[Class]]="B", WORKDAY(Main[[#This Row],[Tech Start Date]],15),IF(Main[[#This Row],[Class]]="A",WORKDAY(Main[[#This Row],[Tech Start Date]],5),""))))</f>
        <v/>
      </c>
      <c r="P1178" s="73" t="str">
        <f>IF(Main[[#This Row],[Tech Start Date]]&lt;1/1/1990,"",IF(Main[[#This Row],[Class]]="C",WORKDAY(Main[[#This Row],[Tech Start Date]],28),IF(Main[[#This Row],[Class]]="B", WORKDAY(Main[[#This Row],[Tech Start Date]],19),IF(Main[[#This Row],[Class]]="A",WORKDAY(Main[[#This Row],[Tech Start Date]],9),""))))</f>
        <v/>
      </c>
      <c r="Q1178" s="85">
        <v>40954</v>
      </c>
      <c r="R1178" s="112"/>
      <c r="S1178" s="95" t="s">
        <v>11</v>
      </c>
      <c r="T1178" s="74" t="s">
        <v>4</v>
      </c>
      <c r="U1178" s="95" t="s">
        <v>14</v>
      </c>
      <c r="V1178" s="95" t="s">
        <v>1921</v>
      </c>
      <c r="W1178" s="95" t="s">
        <v>1919</v>
      </c>
      <c r="X1178" s="95" t="s">
        <v>2809</v>
      </c>
      <c r="Y1178" s="72" t="s">
        <v>2929</v>
      </c>
      <c r="Z1178" s="72" t="s">
        <v>530</v>
      </c>
      <c r="AA1178" s="95" t="s">
        <v>2809</v>
      </c>
      <c r="AB1178" s="132"/>
      <c r="AC1178" s="132"/>
      <c r="AD1178" s="132"/>
      <c r="AE1178" s="63"/>
      <c r="AF1178" s="63"/>
      <c r="AG1178" s="63"/>
    </row>
    <row r="1179" spans="1:33" ht="17.2" customHeight="1">
      <c r="A1179" s="64" t="str">
        <f>IF(priority(Main[[#This Row],[Comments]])&lt;&gt;0, priority(Main[[#This Row],[Comments]]),"")</f>
        <v/>
      </c>
      <c r="B1179" s="60" t="s">
        <v>3498</v>
      </c>
      <c r="C1179" s="72" t="s">
        <v>4</v>
      </c>
      <c r="D1179" s="59" t="s">
        <v>3499</v>
      </c>
      <c r="E1179" s="85">
        <v>40949.904050925928</v>
      </c>
      <c r="F1179" s="85"/>
      <c r="G1179" s="64" t="str">
        <f>IF(stdProdLT(Main[[#This Row],[Comments]])=0.1,"N/A",IF(stdProdLT(Main[[#This Row],[Comments]])=0,"",TRIM(stdProdLT(Main[[#This Row],[Comments]]))))</f>
        <v/>
      </c>
      <c r="H1179" s="94" t="str">
        <f>IF(OR(Main[[#This Row],[Std. Prod. Lead Time]]="N/A",Main[[#This Row],[Std. Prod. Lead Time]]=""), "",IF(AND(Main[[#This Row],[In Stock Date]]&lt;&gt;"",Main[[#This Row],[Revised Due Date]]&lt;&gt;"",Main[[#This Row],[In Stock Date]]&lt;&gt;""),Main[[#This Row],[In Stock Date]]-Main[[#This Row],[Revised Due Date]],""))</f>
        <v/>
      </c>
      <c r="I1179" s="101" t="s">
        <v>530</v>
      </c>
      <c r="J1179" s="95" t="s">
        <v>28</v>
      </c>
      <c r="K1179" s="96" t="s">
        <v>1920</v>
      </c>
      <c r="L1179" s="85"/>
      <c r="M1179" s="73" t="str">
        <f>IF(Main[[#This Row],[Tech Start Date]]&lt;1/1/1990,"",IF(Main[[#This Row],[Class]]="C",WORKDAY(Main[[#This Row],[Tech Start Date]],9),IF(Main[[#This Row],[Class]]="B", WORKDAY(Main[[#This Row],[Tech Start Date]],6),IF(Main[[#This Row],[Class]]="A",WORKDAY(Main[[#This Row],[Tech Start Date]],2),""))))</f>
        <v/>
      </c>
      <c r="N1179" s="73" t="str">
        <f>IF(Main[[#This Row],[Tech Start Date]]&lt;1/1/1990,"",IF(Main[[#This Row],[Class]]="C",WORKDAY(Main[[#This Row],[Tech Start Date]],19),IF(Main[[#This Row],[Class]]="B", WORKDAY(Main[[#This Row],[Tech Start Date]],12),IF(Main[[#This Row],[Class]]="A",WORKDAY(Main[[#This Row],[Tech Start Date]],4),""))))</f>
        <v/>
      </c>
      <c r="O1179" s="73" t="str">
        <f>IF(Main[[#This Row],[Tech Start Date]]&lt;1/1/1990,"",IF(Main[[#This Row],[Class]]="C",WORKDAY(Main[[#This Row],[Tech Start Date]],23),IF(Main[[#This Row],[Class]]="B", WORKDAY(Main[[#This Row],[Tech Start Date]],15),IF(Main[[#This Row],[Class]]="A",WORKDAY(Main[[#This Row],[Tech Start Date]],5),""))))</f>
        <v/>
      </c>
      <c r="P1179" s="73" t="str">
        <f>IF(Main[[#This Row],[Tech Start Date]]&lt;1/1/1990,"",IF(Main[[#This Row],[Class]]="C",WORKDAY(Main[[#This Row],[Tech Start Date]],28),IF(Main[[#This Row],[Class]]="B", WORKDAY(Main[[#This Row],[Tech Start Date]],19),IF(Main[[#This Row],[Class]]="A",WORKDAY(Main[[#This Row],[Tech Start Date]],9),""))))</f>
        <v/>
      </c>
      <c r="Q1179" s="85">
        <v>40952</v>
      </c>
      <c r="R1179" s="112"/>
      <c r="S1179" s="95" t="s">
        <v>6</v>
      </c>
      <c r="T1179" s="74" t="s">
        <v>4</v>
      </c>
      <c r="U1179" s="95" t="s">
        <v>29</v>
      </c>
      <c r="V1179" s="95" t="s">
        <v>1914</v>
      </c>
      <c r="W1179" s="95" t="s">
        <v>1915</v>
      </c>
      <c r="X1179" s="95" t="s">
        <v>2875</v>
      </c>
      <c r="Y1179" s="72" t="s">
        <v>3038</v>
      </c>
      <c r="Z1179" s="72" t="s">
        <v>30</v>
      </c>
      <c r="AA1179" s="95" t="s">
        <v>2875</v>
      </c>
      <c r="AB1179" s="132"/>
      <c r="AC1179" s="132"/>
      <c r="AD1179" s="132"/>
      <c r="AE1179" s="63"/>
      <c r="AF1179" s="63"/>
      <c r="AG1179" s="63"/>
    </row>
    <row r="1180" spans="1:33" ht="17.2" customHeight="1">
      <c r="A1180" s="64" t="str">
        <f>IF(priority(Main[[#This Row],[Comments]])&lt;&gt;0, priority(Main[[#This Row],[Comments]]),"")</f>
        <v/>
      </c>
      <c r="B1180" s="60" t="s">
        <v>3603</v>
      </c>
      <c r="C1180" s="72" t="s">
        <v>3604</v>
      </c>
      <c r="D1180" s="59" t="s">
        <v>3605</v>
      </c>
      <c r="E1180" s="85">
        <v>40954.685243055559</v>
      </c>
      <c r="F1180" s="85"/>
      <c r="G1180" s="64" t="str">
        <f>IF(stdProdLT(Main[[#This Row],[Comments]])=0.1,"N/A",IF(stdProdLT(Main[[#This Row],[Comments]])=0,"",TRIM(stdProdLT(Main[[#This Row],[Comments]]))))</f>
        <v>N/A</v>
      </c>
      <c r="H1180" s="94" t="str">
        <f>IF(OR(Main[[#This Row],[Std. Prod. Lead Time]]="N/A",Main[[#This Row],[Std. Prod. Lead Time]]=""), "",IF(AND(Main[[#This Row],[In Stock Date]]&lt;&gt;"",Main[[#This Row],[Revised Due Date]]&lt;&gt;"",Main[[#This Row],[In Stock Date]]&lt;&gt;""),Main[[#This Row],[In Stock Date]]-Main[[#This Row],[Revised Due Date]],""))</f>
        <v/>
      </c>
      <c r="I1180" s="101" t="s">
        <v>2243</v>
      </c>
      <c r="J1180" s="95" t="s">
        <v>28</v>
      </c>
      <c r="K1180" s="96" t="s">
        <v>1920</v>
      </c>
      <c r="L1180" s="85"/>
      <c r="M1180" s="73" t="str">
        <f>IF(Main[[#This Row],[Tech Start Date]]&lt;1/1/1990,"",IF(Main[[#This Row],[Class]]="C",WORKDAY(Main[[#This Row],[Tech Start Date]],9),IF(Main[[#This Row],[Class]]="B", WORKDAY(Main[[#This Row],[Tech Start Date]],6),IF(Main[[#This Row],[Class]]="A",WORKDAY(Main[[#This Row],[Tech Start Date]],2),""))))</f>
        <v/>
      </c>
      <c r="N1180" s="73" t="str">
        <f>IF(Main[[#This Row],[Tech Start Date]]&lt;1/1/1990,"",IF(Main[[#This Row],[Class]]="C",WORKDAY(Main[[#This Row],[Tech Start Date]],19),IF(Main[[#This Row],[Class]]="B", WORKDAY(Main[[#This Row],[Tech Start Date]],12),IF(Main[[#This Row],[Class]]="A",WORKDAY(Main[[#This Row],[Tech Start Date]],4),""))))</f>
        <v/>
      </c>
      <c r="O1180" s="73" t="str">
        <f>IF(Main[[#This Row],[Tech Start Date]]&lt;1/1/1990,"",IF(Main[[#This Row],[Class]]="C",WORKDAY(Main[[#This Row],[Tech Start Date]],23),IF(Main[[#This Row],[Class]]="B", WORKDAY(Main[[#This Row],[Tech Start Date]],15),IF(Main[[#This Row],[Class]]="A",WORKDAY(Main[[#This Row],[Tech Start Date]],5),""))))</f>
        <v/>
      </c>
      <c r="P1180" s="73" t="str">
        <f>IF(Main[[#This Row],[Tech Start Date]]&lt;1/1/1990,"",IF(Main[[#This Row],[Class]]="C",WORKDAY(Main[[#This Row],[Tech Start Date]],28),IF(Main[[#This Row],[Class]]="B", WORKDAY(Main[[#This Row],[Tech Start Date]],19),IF(Main[[#This Row],[Class]]="A",WORKDAY(Main[[#This Row],[Tech Start Date]],9),""))))</f>
        <v/>
      </c>
      <c r="Q1180" s="85">
        <v>40961</v>
      </c>
      <c r="R1180" s="112"/>
      <c r="S1180" s="95" t="s">
        <v>6</v>
      </c>
      <c r="T1180" s="74" t="s">
        <v>3201</v>
      </c>
      <c r="U1180" s="95" t="s">
        <v>29</v>
      </c>
      <c r="V1180" s="95" t="s">
        <v>1912</v>
      </c>
      <c r="W1180" s="95" t="s">
        <v>1913</v>
      </c>
      <c r="X1180" s="95" t="s">
        <v>2796</v>
      </c>
      <c r="Y1180" s="72" t="s">
        <v>4</v>
      </c>
      <c r="Z1180" s="72" t="s">
        <v>2047</v>
      </c>
      <c r="AA1180" s="95" t="s">
        <v>2796</v>
      </c>
      <c r="AB1180" s="132"/>
      <c r="AC1180" s="132"/>
      <c r="AD1180" s="132"/>
      <c r="AE1180" s="63"/>
      <c r="AF1180" s="63"/>
      <c r="AG1180" s="63"/>
    </row>
    <row r="1181" spans="1:33" ht="17.2" customHeight="1">
      <c r="A1181" s="64" t="str">
        <f>IF(priority(Main[[#This Row],[Comments]])&lt;&gt;0, priority(Main[[#This Row],[Comments]]),"")</f>
        <v/>
      </c>
      <c r="B1181" s="60" t="s">
        <v>2360</v>
      </c>
      <c r="C1181" s="72" t="s">
        <v>4</v>
      </c>
      <c r="D1181" s="59" t="s">
        <v>3305</v>
      </c>
      <c r="E1181" s="85">
        <v>40842.639374999999</v>
      </c>
      <c r="F1181" s="85"/>
      <c r="G1181" s="64" t="str">
        <f>IF(stdProdLT(Main[[#This Row],[Comments]])=0.1,"N/A",IF(stdProdLT(Main[[#This Row],[Comments]])=0,"",TRIM(stdProdLT(Main[[#This Row],[Comments]]))))</f>
        <v/>
      </c>
      <c r="H1181" s="94" t="str">
        <f>IF(OR(Main[[#This Row],[Std. Prod. Lead Time]]="N/A",Main[[#This Row],[Std. Prod. Lead Time]]=""), "",IF(AND(Main[[#This Row],[In Stock Date]]&lt;&gt;"",Main[[#This Row],[Revised Due Date]]&lt;&gt;"",Main[[#This Row],[In Stock Date]]&lt;&gt;""),Main[[#This Row],[In Stock Date]]-Main[[#This Row],[Revised Due Date]],""))</f>
        <v/>
      </c>
      <c r="I1181" s="101" t="s">
        <v>69</v>
      </c>
      <c r="J1181" s="95" t="s">
        <v>70</v>
      </c>
      <c r="K1181" s="95" t="s">
        <v>1920</v>
      </c>
      <c r="L1181" s="85"/>
      <c r="M1181" s="73" t="str">
        <f>IF(Main[[#This Row],[Tech Start Date]]&lt;1/1/1990,"",IF(Main[[#This Row],[Class]]="C",WORKDAY(Main[[#This Row],[Tech Start Date]],9),IF(Main[[#This Row],[Class]]="B", WORKDAY(Main[[#This Row],[Tech Start Date]],6),IF(Main[[#This Row],[Class]]="A",WORKDAY(Main[[#This Row],[Tech Start Date]],2),""))))</f>
        <v/>
      </c>
      <c r="N1181" s="73" t="str">
        <f>IF(Main[[#This Row],[Tech Start Date]]&lt;1/1/1990,"",IF(Main[[#This Row],[Class]]="C",WORKDAY(Main[[#This Row],[Tech Start Date]],19),IF(Main[[#This Row],[Class]]="B", WORKDAY(Main[[#This Row],[Tech Start Date]],12),IF(Main[[#This Row],[Class]]="A",WORKDAY(Main[[#This Row],[Tech Start Date]],4),""))))</f>
        <v/>
      </c>
      <c r="O1181" s="73" t="str">
        <f>IF(Main[[#This Row],[Tech Start Date]]&lt;1/1/1990,"",IF(Main[[#This Row],[Class]]="C",WORKDAY(Main[[#This Row],[Tech Start Date]],23),IF(Main[[#This Row],[Class]]="B", WORKDAY(Main[[#This Row],[Tech Start Date]],15),IF(Main[[#This Row],[Class]]="A",WORKDAY(Main[[#This Row],[Tech Start Date]],5),""))))</f>
        <v/>
      </c>
      <c r="P1181" s="73" t="str">
        <f>IF(Main[[#This Row],[Tech Start Date]]&lt;1/1/1990,"",IF(Main[[#This Row],[Class]]="C",WORKDAY(Main[[#This Row],[Tech Start Date]],28),IF(Main[[#This Row],[Class]]="B", WORKDAY(Main[[#This Row],[Tech Start Date]],19),IF(Main[[#This Row],[Class]]="A",WORKDAY(Main[[#This Row],[Tech Start Date]],9),""))))</f>
        <v/>
      </c>
      <c r="Q1181" s="85">
        <v>40872</v>
      </c>
      <c r="R1181" s="112"/>
      <c r="S1181" s="95" t="s">
        <v>6</v>
      </c>
      <c r="T1181" s="74" t="s">
        <v>4</v>
      </c>
      <c r="U1181" s="95" t="s">
        <v>29</v>
      </c>
      <c r="V1181" s="95" t="s">
        <v>1914</v>
      </c>
      <c r="W1181" s="95" t="s">
        <v>1915</v>
      </c>
      <c r="X1181" s="95" t="s">
        <v>2799</v>
      </c>
      <c r="Y1181" s="72" t="s">
        <v>2910</v>
      </c>
      <c r="Z1181" s="72" t="s">
        <v>30</v>
      </c>
      <c r="AA1181" s="95" t="s">
        <v>2799</v>
      </c>
      <c r="AB1181" s="132"/>
      <c r="AC1181" s="132"/>
      <c r="AD1181" s="132"/>
      <c r="AE1181" s="63"/>
      <c r="AF1181" s="63"/>
      <c r="AG1181" s="63"/>
    </row>
    <row r="1182" spans="1:33" ht="17.2" customHeight="1">
      <c r="A1182" s="64" t="str">
        <f>IF(priority(Main[[#This Row],[Comments]])&lt;&gt;0, priority(Main[[#This Row],[Comments]]),"")</f>
        <v/>
      </c>
      <c r="B1182" s="60" t="s">
        <v>3306</v>
      </c>
      <c r="C1182" s="72" t="s">
        <v>4</v>
      </c>
      <c r="D1182" s="59" t="s">
        <v>3307</v>
      </c>
      <c r="E1182" s="85">
        <v>40939.631828703707</v>
      </c>
      <c r="F1182" s="85"/>
      <c r="G1182" s="64" t="str">
        <f>IF(stdProdLT(Main[[#This Row],[Comments]])=0.1,"N/A",IF(stdProdLT(Main[[#This Row],[Comments]])=0,"",TRIM(stdProdLT(Main[[#This Row],[Comments]]))))</f>
        <v/>
      </c>
      <c r="H1182" s="94" t="str">
        <f>IF(OR(Main[[#This Row],[Std. Prod. Lead Time]]="N/A",Main[[#This Row],[Std. Prod. Lead Time]]=""), "",IF(AND(Main[[#This Row],[In Stock Date]]&lt;&gt;"",Main[[#This Row],[Revised Due Date]]&lt;&gt;"",Main[[#This Row],[In Stock Date]]&lt;&gt;""),Main[[#This Row],[In Stock Date]]-Main[[#This Row],[Revised Due Date]],""))</f>
        <v/>
      </c>
      <c r="I1182" s="101" t="s">
        <v>4</v>
      </c>
      <c r="J1182" s="95" t="s">
        <v>4</v>
      </c>
      <c r="K1182" s="95" t="s">
        <v>4</v>
      </c>
      <c r="L1182" s="85"/>
      <c r="M1182" s="73" t="str">
        <f>IF(Main[[#This Row],[Tech Start Date]]&lt;1/1/1990,"",IF(Main[[#This Row],[Class]]="C",WORKDAY(Main[[#This Row],[Tech Start Date]],9),IF(Main[[#This Row],[Class]]="B", WORKDAY(Main[[#This Row],[Tech Start Date]],6),IF(Main[[#This Row],[Class]]="A",WORKDAY(Main[[#This Row],[Tech Start Date]],2),""))))</f>
        <v/>
      </c>
      <c r="N1182" s="73" t="str">
        <f>IF(Main[[#This Row],[Tech Start Date]]&lt;1/1/1990,"",IF(Main[[#This Row],[Class]]="C",WORKDAY(Main[[#This Row],[Tech Start Date]],19),IF(Main[[#This Row],[Class]]="B", WORKDAY(Main[[#This Row],[Tech Start Date]],12),IF(Main[[#This Row],[Class]]="A",WORKDAY(Main[[#This Row],[Tech Start Date]],4),""))))</f>
        <v/>
      </c>
      <c r="O1182" s="73" t="str">
        <f>IF(Main[[#This Row],[Tech Start Date]]&lt;1/1/1990,"",IF(Main[[#This Row],[Class]]="C",WORKDAY(Main[[#This Row],[Tech Start Date]],23),IF(Main[[#This Row],[Class]]="B", WORKDAY(Main[[#This Row],[Tech Start Date]],15),IF(Main[[#This Row],[Class]]="A",WORKDAY(Main[[#This Row],[Tech Start Date]],5),""))))</f>
        <v/>
      </c>
      <c r="P1182" s="73" t="str">
        <f>IF(Main[[#This Row],[Tech Start Date]]&lt;1/1/1990,"",IF(Main[[#This Row],[Class]]="C",WORKDAY(Main[[#This Row],[Tech Start Date]],28),IF(Main[[#This Row],[Class]]="B", WORKDAY(Main[[#This Row],[Tech Start Date]],19),IF(Main[[#This Row],[Class]]="A",WORKDAY(Main[[#This Row],[Tech Start Date]],9),""))))</f>
        <v/>
      </c>
      <c r="Q1182" s="85"/>
      <c r="R1182" s="112"/>
      <c r="S1182" s="95" t="s">
        <v>6</v>
      </c>
      <c r="T1182" s="74" t="s">
        <v>4</v>
      </c>
      <c r="U1182" s="95" t="s">
        <v>7</v>
      </c>
      <c r="V1182" s="95" t="s">
        <v>1911</v>
      </c>
      <c r="W1182" s="95" t="s">
        <v>1915</v>
      </c>
      <c r="X1182" s="95" t="s">
        <v>306</v>
      </c>
      <c r="Y1182" s="72" t="s">
        <v>4</v>
      </c>
      <c r="Z1182" s="72" t="s">
        <v>4</v>
      </c>
      <c r="AA1182" s="95" t="s">
        <v>4</v>
      </c>
      <c r="AB1182" s="132"/>
      <c r="AC1182" s="132"/>
      <c r="AD1182" s="132"/>
      <c r="AE1182" s="63"/>
      <c r="AF1182" s="63"/>
      <c r="AG1182" s="63"/>
    </row>
    <row r="1183" spans="1:33" ht="17.2" customHeight="1">
      <c r="A1183" s="64" t="str">
        <f>IF(priority(Main[[#This Row],[Comments]])&lt;&gt;0, priority(Main[[#This Row],[Comments]]),"")</f>
        <v/>
      </c>
      <c r="B1183" s="60" t="s">
        <v>1732</v>
      </c>
      <c r="C1183" s="72" t="s">
        <v>47</v>
      </c>
      <c r="D1183" s="59" t="s">
        <v>788</v>
      </c>
      <c r="E1183" s="85">
        <v>39937.598969907405</v>
      </c>
      <c r="F1183" s="85"/>
      <c r="G1183" s="64" t="str">
        <f>IF(stdProdLT(Main[[#This Row],[Comments]])=0.1,"N/A",IF(stdProdLT(Main[[#This Row],[Comments]])=0,"",TRIM(stdProdLT(Main[[#This Row],[Comments]]))))</f>
        <v/>
      </c>
      <c r="H1183" s="94" t="str">
        <f>IF(OR(Main[[#This Row],[Std. Prod. Lead Time]]="N/A",Main[[#This Row],[Std. Prod. Lead Time]]=""), "",IF(AND(Main[[#This Row],[In Stock Date]]&lt;&gt;"",Main[[#This Row],[Revised Due Date]]&lt;&gt;"",Main[[#This Row],[In Stock Date]]&lt;&gt;""),Main[[#This Row],[In Stock Date]]-Main[[#This Row],[Revised Due Date]],""))</f>
        <v/>
      </c>
      <c r="I1183" s="101" t="s">
        <v>4</v>
      </c>
      <c r="J1183" s="95" t="s">
        <v>4</v>
      </c>
      <c r="K1183" s="95" t="s">
        <v>4</v>
      </c>
      <c r="L1183" s="85"/>
      <c r="M1183" s="73" t="str">
        <f>IF(Main[[#This Row],[Tech Start Date]]&lt;1/1/1990,"",IF(Main[[#This Row],[Class]]="C",WORKDAY(Main[[#This Row],[Tech Start Date]],9),IF(Main[[#This Row],[Class]]="B", WORKDAY(Main[[#This Row],[Tech Start Date]],6),IF(Main[[#This Row],[Class]]="A",WORKDAY(Main[[#This Row],[Tech Start Date]],2),""))))</f>
        <v/>
      </c>
      <c r="N1183" s="73" t="str">
        <f>IF(Main[[#This Row],[Tech Start Date]]&lt;1/1/1990,"",IF(Main[[#This Row],[Class]]="C",WORKDAY(Main[[#This Row],[Tech Start Date]],19),IF(Main[[#This Row],[Class]]="B", WORKDAY(Main[[#This Row],[Tech Start Date]],12),IF(Main[[#This Row],[Class]]="A",WORKDAY(Main[[#This Row],[Tech Start Date]],4),""))))</f>
        <v/>
      </c>
      <c r="O1183" s="73" t="str">
        <f>IF(Main[[#This Row],[Tech Start Date]]&lt;1/1/1990,"",IF(Main[[#This Row],[Class]]="C",WORKDAY(Main[[#This Row],[Tech Start Date]],23),IF(Main[[#This Row],[Class]]="B", WORKDAY(Main[[#This Row],[Tech Start Date]],15),IF(Main[[#This Row],[Class]]="A",WORKDAY(Main[[#This Row],[Tech Start Date]],5),""))))</f>
        <v/>
      </c>
      <c r="P1183" s="73" t="str">
        <f>IF(Main[[#This Row],[Tech Start Date]]&lt;1/1/1990,"",IF(Main[[#This Row],[Class]]="C",WORKDAY(Main[[#This Row],[Tech Start Date]],28),IF(Main[[#This Row],[Class]]="B", WORKDAY(Main[[#This Row],[Tech Start Date]],19),IF(Main[[#This Row],[Class]]="A",WORKDAY(Main[[#This Row],[Tech Start Date]],9),""))))</f>
        <v/>
      </c>
      <c r="Q1183" s="85"/>
      <c r="R1183" s="112">
        <v>41172</v>
      </c>
      <c r="S1183" s="95" t="s">
        <v>17</v>
      </c>
      <c r="T1183" s="74" t="s">
        <v>4</v>
      </c>
      <c r="U1183" s="95" t="s">
        <v>29</v>
      </c>
      <c r="V1183" s="95" t="s">
        <v>1914</v>
      </c>
      <c r="W1183" s="95" t="s">
        <v>4</v>
      </c>
      <c r="X1183" s="95" t="s">
        <v>2807</v>
      </c>
      <c r="Y1183" s="72" t="s">
        <v>2926</v>
      </c>
      <c r="Z1183" s="72" t="s">
        <v>4</v>
      </c>
      <c r="AA1183" s="95" t="s">
        <v>2807</v>
      </c>
      <c r="AB1183" s="132"/>
      <c r="AC1183" s="132"/>
      <c r="AD1183" s="132"/>
      <c r="AE1183" s="63"/>
      <c r="AF1183" s="63"/>
      <c r="AG1183" s="63"/>
    </row>
    <row r="1184" spans="1:33" ht="17.2" customHeight="1">
      <c r="A1184" s="64" t="str">
        <f>IF(priority(Main[[#This Row],[Comments]])&lt;&gt;0, priority(Main[[#This Row],[Comments]]),"")</f>
        <v/>
      </c>
      <c r="B1184" s="60" t="s">
        <v>1400</v>
      </c>
      <c r="C1184" s="72" t="s">
        <v>483</v>
      </c>
      <c r="D1184" s="59" t="s">
        <v>2521</v>
      </c>
      <c r="E1184" s="85"/>
      <c r="F1184" s="85">
        <v>40452</v>
      </c>
      <c r="G1184" s="64" t="str">
        <f>IF(stdProdLT(Main[[#This Row],[Comments]])=0.1,"N/A",IF(stdProdLT(Main[[#This Row],[Comments]])=0,"",TRIM(stdProdLT(Main[[#This Row],[Comments]]))))</f>
        <v/>
      </c>
      <c r="H1184" s="94" t="str">
        <f>IF(OR(Main[[#This Row],[Std. Prod. Lead Time]]="N/A",Main[[#This Row],[Std. Prod. Lead Time]]=""), "",IF(AND(Main[[#This Row],[In Stock Date]]&lt;&gt;"",Main[[#This Row],[Revised Due Date]]&lt;&gt;"",Main[[#This Row],[In Stock Date]]&lt;&gt;""),Main[[#This Row],[In Stock Date]]-Main[[#This Row],[Revised Due Date]],""))</f>
        <v/>
      </c>
      <c r="I1184" s="101" t="s">
        <v>4</v>
      </c>
      <c r="J1184" s="95" t="s">
        <v>4</v>
      </c>
      <c r="K1184" s="96" t="s">
        <v>4</v>
      </c>
      <c r="L1184" s="85"/>
      <c r="M1184" s="73" t="str">
        <f>IF(Main[[#This Row],[Tech Start Date]]&lt;1/1/1990,"",IF(Main[[#This Row],[Class]]="C",WORKDAY(Main[[#This Row],[Tech Start Date]],9),IF(Main[[#This Row],[Class]]="B", WORKDAY(Main[[#This Row],[Tech Start Date]],6),IF(Main[[#This Row],[Class]]="A",WORKDAY(Main[[#This Row],[Tech Start Date]],2),""))))</f>
        <v/>
      </c>
      <c r="N1184" s="73" t="str">
        <f>IF(Main[[#This Row],[Tech Start Date]]&lt;1/1/1990,"",IF(Main[[#This Row],[Class]]="C",WORKDAY(Main[[#This Row],[Tech Start Date]],19),IF(Main[[#This Row],[Class]]="B", WORKDAY(Main[[#This Row],[Tech Start Date]],12),IF(Main[[#This Row],[Class]]="A",WORKDAY(Main[[#This Row],[Tech Start Date]],4),""))))</f>
        <v/>
      </c>
      <c r="O1184" s="73" t="str">
        <f>IF(Main[[#This Row],[Tech Start Date]]&lt;1/1/1990,"",IF(Main[[#This Row],[Class]]="C",WORKDAY(Main[[#This Row],[Tech Start Date]],23),IF(Main[[#This Row],[Class]]="B", WORKDAY(Main[[#This Row],[Tech Start Date]],15),IF(Main[[#This Row],[Class]]="A",WORKDAY(Main[[#This Row],[Tech Start Date]],5),""))))</f>
        <v/>
      </c>
      <c r="P1184" s="73" t="str">
        <f>IF(Main[[#This Row],[Tech Start Date]]&lt;1/1/1990,"",IF(Main[[#This Row],[Class]]="C",WORKDAY(Main[[#This Row],[Tech Start Date]],28),IF(Main[[#This Row],[Class]]="B", WORKDAY(Main[[#This Row],[Tech Start Date]],19),IF(Main[[#This Row],[Class]]="A",WORKDAY(Main[[#This Row],[Tech Start Date]],9),""))))</f>
        <v/>
      </c>
      <c r="Q1184" s="85">
        <v>40391</v>
      </c>
      <c r="R1184" s="112"/>
      <c r="S1184" s="95" t="s">
        <v>6</v>
      </c>
      <c r="T1184" s="74" t="s">
        <v>4</v>
      </c>
      <c r="U1184" s="95" t="s">
        <v>14</v>
      </c>
      <c r="V1184" s="95" t="s">
        <v>1911</v>
      </c>
      <c r="W1184" s="95" t="s">
        <v>1916</v>
      </c>
      <c r="X1184" s="95" t="s">
        <v>2804</v>
      </c>
      <c r="Y1184" s="72" t="s">
        <v>2921</v>
      </c>
      <c r="Z1184" s="72" t="s">
        <v>4</v>
      </c>
      <c r="AA1184" s="95" t="s">
        <v>2804</v>
      </c>
      <c r="AB1184" s="132"/>
      <c r="AC1184" s="132"/>
      <c r="AD1184" s="132"/>
      <c r="AE1184" s="63"/>
      <c r="AF1184" s="63"/>
      <c r="AG1184" s="63"/>
    </row>
    <row r="1185" spans="1:33" ht="17.2" customHeight="1">
      <c r="A1185" s="64" t="str">
        <f>IF(priority(Main[[#This Row],[Comments]])&lt;&gt;0, priority(Main[[#This Row],[Comments]]),"")</f>
        <v/>
      </c>
      <c r="B1185" s="60" t="s">
        <v>2727</v>
      </c>
      <c r="C1185" s="72" t="s">
        <v>4</v>
      </c>
      <c r="D1185" s="59" t="s">
        <v>2728</v>
      </c>
      <c r="E1185" s="85">
        <v>40911.721898148149</v>
      </c>
      <c r="F1185" s="85"/>
      <c r="G1185" s="64" t="str">
        <f>IF(stdProdLT(Main[[#This Row],[Comments]])=0.1,"N/A",IF(stdProdLT(Main[[#This Row],[Comments]])=0,"",TRIM(stdProdLT(Main[[#This Row],[Comments]]))))</f>
        <v/>
      </c>
      <c r="H1185" s="94" t="str">
        <f>IF(OR(Main[[#This Row],[Std. Prod. Lead Time]]="N/A",Main[[#This Row],[Std. Prod. Lead Time]]=""), "",IF(AND(Main[[#This Row],[In Stock Date]]&lt;&gt;"",Main[[#This Row],[Revised Due Date]]&lt;&gt;"",Main[[#This Row],[In Stock Date]]&lt;&gt;""),Main[[#This Row],[In Stock Date]]-Main[[#This Row],[Revised Due Date]],""))</f>
        <v/>
      </c>
      <c r="I1185" s="101" t="s">
        <v>4</v>
      </c>
      <c r="J1185" s="95" t="s">
        <v>4</v>
      </c>
      <c r="K1185" s="96" t="s">
        <v>4</v>
      </c>
      <c r="L1185" s="85"/>
      <c r="M1185" s="73" t="str">
        <f>IF(Main[[#This Row],[Tech Start Date]]&lt;1/1/1990,"",IF(Main[[#This Row],[Class]]="C",WORKDAY(Main[[#This Row],[Tech Start Date]],9),IF(Main[[#This Row],[Class]]="B", WORKDAY(Main[[#This Row],[Tech Start Date]],6),IF(Main[[#This Row],[Class]]="A",WORKDAY(Main[[#This Row],[Tech Start Date]],2),""))))</f>
        <v/>
      </c>
      <c r="N1185" s="73" t="str">
        <f>IF(Main[[#This Row],[Tech Start Date]]&lt;1/1/1990,"",IF(Main[[#This Row],[Class]]="C",WORKDAY(Main[[#This Row],[Tech Start Date]],19),IF(Main[[#This Row],[Class]]="B", WORKDAY(Main[[#This Row],[Tech Start Date]],12),IF(Main[[#This Row],[Class]]="A",WORKDAY(Main[[#This Row],[Tech Start Date]],4),""))))</f>
        <v/>
      </c>
      <c r="O1185" s="73" t="str">
        <f>IF(Main[[#This Row],[Tech Start Date]]&lt;1/1/1990,"",IF(Main[[#This Row],[Class]]="C",WORKDAY(Main[[#This Row],[Tech Start Date]],23),IF(Main[[#This Row],[Class]]="B", WORKDAY(Main[[#This Row],[Tech Start Date]],15),IF(Main[[#This Row],[Class]]="A",WORKDAY(Main[[#This Row],[Tech Start Date]],5),""))))</f>
        <v/>
      </c>
      <c r="P1185" s="73" t="str">
        <f>IF(Main[[#This Row],[Tech Start Date]]&lt;1/1/1990,"",IF(Main[[#This Row],[Class]]="C",WORKDAY(Main[[#This Row],[Tech Start Date]],28),IF(Main[[#This Row],[Class]]="B", WORKDAY(Main[[#This Row],[Tech Start Date]],19),IF(Main[[#This Row],[Class]]="A",WORKDAY(Main[[#This Row],[Tech Start Date]],9),""))))</f>
        <v/>
      </c>
      <c r="Q1185" s="85">
        <v>41015</v>
      </c>
      <c r="R1185" s="112"/>
      <c r="S1185" s="95" t="s">
        <v>6</v>
      </c>
      <c r="T1185" s="74" t="s">
        <v>3606</v>
      </c>
      <c r="U1185" s="95" t="s">
        <v>7</v>
      </c>
      <c r="V1185" s="95" t="s">
        <v>1911</v>
      </c>
      <c r="W1185" s="95" t="s">
        <v>1915</v>
      </c>
      <c r="X1185" s="95" t="s">
        <v>877</v>
      </c>
      <c r="Y1185" s="72" t="s">
        <v>2987</v>
      </c>
      <c r="Z1185" s="72" t="s">
        <v>4</v>
      </c>
      <c r="AA1185" s="95" t="s">
        <v>877</v>
      </c>
      <c r="AB1185" s="132"/>
      <c r="AC1185" s="132"/>
      <c r="AD1185" s="132"/>
      <c r="AE1185" s="63"/>
      <c r="AF1185" s="63"/>
      <c r="AG1185" s="63"/>
    </row>
    <row r="1186" spans="1:33" ht="17.2" customHeight="1">
      <c r="A1186" s="64" t="str">
        <f>IF(priority(Main[[#This Row],[Comments]])&lt;&gt;0, priority(Main[[#This Row],[Comments]]),"")</f>
        <v/>
      </c>
      <c r="B1186" s="60" t="s">
        <v>3905</v>
      </c>
      <c r="C1186" s="72" t="s">
        <v>2617</v>
      </c>
      <c r="D1186" s="59" t="s">
        <v>3906</v>
      </c>
      <c r="E1186" s="85">
        <v>40975.458182870374</v>
      </c>
      <c r="F1186" s="85">
        <v>41121</v>
      </c>
      <c r="G1186" s="64" t="str">
        <f>IF(stdProdLT(Main[[#This Row],[Comments]])=0.1,"N/A",IF(stdProdLT(Main[[#This Row],[Comments]])=0,"",TRIM(stdProdLT(Main[[#This Row],[Comments]]))))</f>
        <v>N/A</v>
      </c>
      <c r="H1186" s="94" t="str">
        <f>IF(OR(Main[[#This Row],[Std. Prod. Lead Time]]="N/A",Main[[#This Row],[Std. Prod. Lead Time]]=""), "",IF(AND(Main[[#This Row],[In Stock Date]]&lt;&gt;"",Main[[#This Row],[Revised Due Date]]&lt;&gt;"",Main[[#This Row],[In Stock Date]]&lt;&gt;""),Main[[#This Row],[In Stock Date]]-Main[[#This Row],[Revised Due Date]],""))</f>
        <v/>
      </c>
      <c r="I1186" s="101" t="s">
        <v>4</v>
      </c>
      <c r="J1186" s="95" t="s">
        <v>4</v>
      </c>
      <c r="K1186" s="95" t="s">
        <v>4</v>
      </c>
      <c r="L1186" s="85"/>
      <c r="M1186" s="73" t="str">
        <f>IF(Main[[#This Row],[Tech Start Date]]&lt;1/1/1990,"",IF(Main[[#This Row],[Class]]="C",WORKDAY(Main[[#This Row],[Tech Start Date]],9),IF(Main[[#This Row],[Class]]="B", WORKDAY(Main[[#This Row],[Tech Start Date]],6),IF(Main[[#This Row],[Class]]="A",WORKDAY(Main[[#This Row],[Tech Start Date]],2),""))))</f>
        <v/>
      </c>
      <c r="N1186" s="73" t="str">
        <f>IF(Main[[#This Row],[Tech Start Date]]&lt;1/1/1990,"",IF(Main[[#This Row],[Class]]="C",WORKDAY(Main[[#This Row],[Tech Start Date]],19),IF(Main[[#This Row],[Class]]="B", WORKDAY(Main[[#This Row],[Tech Start Date]],12),IF(Main[[#This Row],[Class]]="A",WORKDAY(Main[[#This Row],[Tech Start Date]],4),""))))</f>
        <v/>
      </c>
      <c r="O1186" s="73" t="str">
        <f>IF(Main[[#This Row],[Tech Start Date]]&lt;1/1/1990,"",IF(Main[[#This Row],[Class]]="C",WORKDAY(Main[[#This Row],[Tech Start Date]],23),IF(Main[[#This Row],[Class]]="B", WORKDAY(Main[[#This Row],[Tech Start Date]],15),IF(Main[[#This Row],[Class]]="A",WORKDAY(Main[[#This Row],[Tech Start Date]],5),""))))</f>
        <v/>
      </c>
      <c r="P1186" s="73" t="str">
        <f>IF(Main[[#This Row],[Tech Start Date]]&lt;1/1/1990,"",IF(Main[[#This Row],[Class]]="C",WORKDAY(Main[[#This Row],[Tech Start Date]],28),IF(Main[[#This Row],[Class]]="B", WORKDAY(Main[[#This Row],[Tech Start Date]],19),IF(Main[[#This Row],[Class]]="A",WORKDAY(Main[[#This Row],[Tech Start Date]],9),""))))</f>
        <v/>
      </c>
      <c r="Q1186" s="85">
        <v>41060</v>
      </c>
      <c r="R1186" s="112"/>
      <c r="S1186" s="95" t="s">
        <v>11</v>
      </c>
      <c r="T1186" s="74" t="s">
        <v>3201</v>
      </c>
      <c r="U1186" s="95" t="s">
        <v>7</v>
      </c>
      <c r="V1186" s="95" t="s">
        <v>1914</v>
      </c>
      <c r="W1186" s="95" t="s">
        <v>1917</v>
      </c>
      <c r="X1186" s="95" t="s">
        <v>2841</v>
      </c>
      <c r="Y1186" s="72" t="s">
        <v>2983</v>
      </c>
      <c r="Z1186" s="72" t="s">
        <v>4</v>
      </c>
      <c r="AA1186" s="95" t="s">
        <v>2841</v>
      </c>
      <c r="AB1186" s="132"/>
      <c r="AC1186" s="132"/>
      <c r="AD1186" s="132"/>
      <c r="AE1186" s="63"/>
      <c r="AF1186" s="63"/>
      <c r="AG1186" s="63"/>
    </row>
    <row r="1187" spans="1:33" ht="17.2" customHeight="1">
      <c r="A1187" s="64" t="str">
        <f>IF(priority(Main[[#This Row],[Comments]])&lt;&gt;0, priority(Main[[#This Row],[Comments]]),"")</f>
        <v/>
      </c>
      <c r="B1187" s="60" t="s">
        <v>2514</v>
      </c>
      <c r="C1187" s="72" t="s">
        <v>4</v>
      </c>
      <c r="D1187" s="59" t="s">
        <v>2515</v>
      </c>
      <c r="E1187" s="85"/>
      <c r="F1187" s="85"/>
      <c r="G1187" s="64" t="str">
        <f>IF(stdProdLT(Main[[#This Row],[Comments]])=0.1,"N/A",IF(stdProdLT(Main[[#This Row],[Comments]])=0,"",TRIM(stdProdLT(Main[[#This Row],[Comments]]))))</f>
        <v/>
      </c>
      <c r="H1187" s="94" t="str">
        <f>IF(OR(Main[[#This Row],[Std. Prod. Lead Time]]="N/A",Main[[#This Row],[Std. Prod. Lead Time]]=""), "",IF(AND(Main[[#This Row],[In Stock Date]]&lt;&gt;"",Main[[#This Row],[Revised Due Date]]&lt;&gt;"",Main[[#This Row],[In Stock Date]]&lt;&gt;""),Main[[#This Row],[In Stock Date]]-Main[[#This Row],[Revised Due Date]],""))</f>
        <v/>
      </c>
      <c r="I1187" s="101" t="s">
        <v>4</v>
      </c>
      <c r="J1187" s="95" t="s">
        <v>4</v>
      </c>
      <c r="K1187" s="95" t="s">
        <v>4</v>
      </c>
      <c r="L1187" s="85"/>
      <c r="M1187" s="73" t="str">
        <f>IF(Main[[#This Row],[Tech Start Date]]&lt;1/1/1990,"",IF(Main[[#This Row],[Class]]="C",WORKDAY(Main[[#This Row],[Tech Start Date]],9),IF(Main[[#This Row],[Class]]="B", WORKDAY(Main[[#This Row],[Tech Start Date]],6),IF(Main[[#This Row],[Class]]="A",WORKDAY(Main[[#This Row],[Tech Start Date]],2),""))))</f>
        <v/>
      </c>
      <c r="N1187" s="73" t="str">
        <f>IF(Main[[#This Row],[Tech Start Date]]&lt;1/1/1990,"",IF(Main[[#This Row],[Class]]="C",WORKDAY(Main[[#This Row],[Tech Start Date]],19),IF(Main[[#This Row],[Class]]="B", WORKDAY(Main[[#This Row],[Tech Start Date]],12),IF(Main[[#This Row],[Class]]="A",WORKDAY(Main[[#This Row],[Tech Start Date]],4),""))))</f>
        <v/>
      </c>
      <c r="O1187" s="73" t="str">
        <f>IF(Main[[#This Row],[Tech Start Date]]&lt;1/1/1990,"",IF(Main[[#This Row],[Class]]="C",WORKDAY(Main[[#This Row],[Tech Start Date]],23),IF(Main[[#This Row],[Class]]="B", WORKDAY(Main[[#This Row],[Tech Start Date]],15),IF(Main[[#This Row],[Class]]="A",WORKDAY(Main[[#This Row],[Tech Start Date]],5),""))))</f>
        <v/>
      </c>
      <c r="P1187" s="73" t="str">
        <f>IF(Main[[#This Row],[Tech Start Date]]&lt;1/1/1990,"",IF(Main[[#This Row],[Class]]="C",WORKDAY(Main[[#This Row],[Tech Start Date]],28),IF(Main[[#This Row],[Class]]="B", WORKDAY(Main[[#This Row],[Tech Start Date]],19),IF(Main[[#This Row],[Class]]="A",WORKDAY(Main[[#This Row],[Tech Start Date]],9),""))))</f>
        <v/>
      </c>
      <c r="Q1187" s="85"/>
      <c r="R1187" s="112"/>
      <c r="S1187" s="95" t="s">
        <v>23</v>
      </c>
      <c r="T1187" s="74" t="s">
        <v>4</v>
      </c>
      <c r="U1187" s="95" t="s">
        <v>14</v>
      </c>
      <c r="V1187" s="95" t="s">
        <v>1911</v>
      </c>
      <c r="W1187" s="95" t="s">
        <v>1917</v>
      </c>
      <c r="X1187" s="95" t="s">
        <v>399</v>
      </c>
      <c r="Y1187" s="72" t="s">
        <v>4</v>
      </c>
      <c r="Z1187" s="72" t="s">
        <v>4</v>
      </c>
      <c r="AA1187" s="95" t="s">
        <v>3384</v>
      </c>
      <c r="AB1187" s="132"/>
      <c r="AC1187" s="132"/>
      <c r="AD1187" s="132"/>
      <c r="AE1187" s="63"/>
      <c r="AF1187" s="63"/>
      <c r="AG1187" s="63"/>
    </row>
    <row r="1188" spans="1:33" ht="17.2" customHeight="1">
      <c r="A1188" s="64" t="str">
        <f>IF(priority(Main[[#This Row],[Comments]])&lt;&gt;0, priority(Main[[#This Row],[Comments]]),"")</f>
        <v/>
      </c>
      <c r="B1188" s="60" t="s">
        <v>3614</v>
      </c>
      <c r="C1188" s="72" t="s">
        <v>4</v>
      </c>
      <c r="D1188" s="59" t="s">
        <v>3907</v>
      </c>
      <c r="E1188" s="85">
        <v>40966.715914351851</v>
      </c>
      <c r="F1188" s="85"/>
      <c r="G1188" s="64" t="str">
        <f>IF(stdProdLT(Main[[#This Row],[Comments]])=0.1,"N/A",IF(stdProdLT(Main[[#This Row],[Comments]])=0,"",TRIM(stdProdLT(Main[[#This Row],[Comments]]))))</f>
        <v/>
      </c>
      <c r="H1188" s="94" t="str">
        <f>IF(OR(Main[[#This Row],[Std. Prod. Lead Time]]="N/A",Main[[#This Row],[Std. Prod. Lead Time]]=""), "",IF(AND(Main[[#This Row],[In Stock Date]]&lt;&gt;"",Main[[#This Row],[Revised Due Date]]&lt;&gt;"",Main[[#This Row],[In Stock Date]]&lt;&gt;""),Main[[#This Row],[In Stock Date]]-Main[[#This Row],[Revised Due Date]],""))</f>
        <v/>
      </c>
      <c r="I1188" s="101" t="s">
        <v>898</v>
      </c>
      <c r="J1188" s="95" t="s">
        <v>28</v>
      </c>
      <c r="K1188" s="95" t="s">
        <v>1918</v>
      </c>
      <c r="L1188" s="85"/>
      <c r="M1188" s="73" t="str">
        <f>IF(Main[[#This Row],[Tech Start Date]]&lt;1/1/1990,"",IF(Main[[#This Row],[Class]]="C",WORKDAY(Main[[#This Row],[Tech Start Date]],9),IF(Main[[#This Row],[Class]]="B", WORKDAY(Main[[#This Row],[Tech Start Date]],6),IF(Main[[#This Row],[Class]]="A",WORKDAY(Main[[#This Row],[Tech Start Date]],2),""))))</f>
        <v/>
      </c>
      <c r="N1188" s="73" t="str">
        <f>IF(Main[[#This Row],[Tech Start Date]]&lt;1/1/1990,"",IF(Main[[#This Row],[Class]]="C",WORKDAY(Main[[#This Row],[Tech Start Date]],19),IF(Main[[#This Row],[Class]]="B", WORKDAY(Main[[#This Row],[Tech Start Date]],12),IF(Main[[#This Row],[Class]]="A",WORKDAY(Main[[#This Row],[Tech Start Date]],4),""))))</f>
        <v/>
      </c>
      <c r="O1188" s="73" t="str">
        <f>IF(Main[[#This Row],[Tech Start Date]]&lt;1/1/1990,"",IF(Main[[#This Row],[Class]]="C",WORKDAY(Main[[#This Row],[Tech Start Date]],23),IF(Main[[#This Row],[Class]]="B", WORKDAY(Main[[#This Row],[Tech Start Date]],15),IF(Main[[#This Row],[Class]]="A",WORKDAY(Main[[#This Row],[Tech Start Date]],5),""))))</f>
        <v/>
      </c>
      <c r="P1188" s="73" t="str">
        <f>IF(Main[[#This Row],[Tech Start Date]]&lt;1/1/1990,"",IF(Main[[#This Row],[Class]]="C",WORKDAY(Main[[#This Row],[Tech Start Date]],28),IF(Main[[#This Row],[Class]]="B", WORKDAY(Main[[#This Row],[Tech Start Date]],19),IF(Main[[#This Row],[Class]]="A",WORKDAY(Main[[#This Row],[Tech Start Date]],9),""))))</f>
        <v/>
      </c>
      <c r="Q1188" s="85"/>
      <c r="R1188" s="112"/>
      <c r="S1188" s="95" t="s">
        <v>6</v>
      </c>
      <c r="T1188" s="74" t="s">
        <v>4</v>
      </c>
      <c r="U1188" s="95" t="s">
        <v>29</v>
      </c>
      <c r="V1188" s="95" t="s">
        <v>1914</v>
      </c>
      <c r="W1188" s="95" t="s">
        <v>1915</v>
      </c>
      <c r="X1188" s="95" t="s">
        <v>415</v>
      </c>
      <c r="Y1188" s="72" t="s">
        <v>2953</v>
      </c>
      <c r="Z1188" s="72" t="s">
        <v>415</v>
      </c>
      <c r="AA1188" s="95" t="s">
        <v>415</v>
      </c>
      <c r="AB1188" s="132"/>
      <c r="AC1188" s="132"/>
      <c r="AD1188" s="132"/>
      <c r="AE1188" s="63"/>
      <c r="AF1188" s="63"/>
      <c r="AG1188" s="63"/>
    </row>
    <row r="1189" spans="1:33" ht="17.2" customHeight="1">
      <c r="A1189" s="64" t="str">
        <f>IF(priority(Main[[#This Row],[Comments]])&lt;&gt;0, priority(Main[[#This Row],[Comments]]),"")</f>
        <v/>
      </c>
      <c r="B1189" s="60" t="s">
        <v>3610</v>
      </c>
      <c r="C1189" s="72" t="s">
        <v>4</v>
      </c>
      <c r="D1189" s="59" t="s">
        <v>3611</v>
      </c>
      <c r="E1189" s="85">
        <v>40962.337222222224</v>
      </c>
      <c r="F1189" s="85"/>
      <c r="G1189" s="64" t="str">
        <f>IF(stdProdLT(Main[[#This Row],[Comments]])=0.1,"N/A",IF(stdProdLT(Main[[#This Row],[Comments]])=0,"",TRIM(stdProdLT(Main[[#This Row],[Comments]]))))</f>
        <v/>
      </c>
      <c r="H1189" s="94" t="str">
        <f>IF(OR(Main[[#This Row],[Std. Prod. Lead Time]]="N/A",Main[[#This Row],[Std. Prod. Lead Time]]=""), "",IF(AND(Main[[#This Row],[In Stock Date]]&lt;&gt;"",Main[[#This Row],[Revised Due Date]]&lt;&gt;"",Main[[#This Row],[In Stock Date]]&lt;&gt;""),Main[[#This Row],[In Stock Date]]-Main[[#This Row],[Revised Due Date]],""))</f>
        <v/>
      </c>
      <c r="I1189" s="101" t="s">
        <v>4</v>
      </c>
      <c r="J1189" s="95" t="s">
        <v>4</v>
      </c>
      <c r="K1189" s="95" t="s">
        <v>4</v>
      </c>
      <c r="L1189" s="85"/>
      <c r="M1189" s="73" t="str">
        <f>IF(Main[[#This Row],[Tech Start Date]]&lt;1/1/1990,"",IF(Main[[#This Row],[Class]]="C",WORKDAY(Main[[#This Row],[Tech Start Date]],9),IF(Main[[#This Row],[Class]]="B", WORKDAY(Main[[#This Row],[Tech Start Date]],6),IF(Main[[#This Row],[Class]]="A",WORKDAY(Main[[#This Row],[Tech Start Date]],2),""))))</f>
        <v/>
      </c>
      <c r="N1189" s="73" t="str">
        <f>IF(Main[[#This Row],[Tech Start Date]]&lt;1/1/1990,"",IF(Main[[#This Row],[Class]]="C",WORKDAY(Main[[#This Row],[Tech Start Date]],19),IF(Main[[#This Row],[Class]]="B", WORKDAY(Main[[#This Row],[Tech Start Date]],12),IF(Main[[#This Row],[Class]]="A",WORKDAY(Main[[#This Row],[Tech Start Date]],4),""))))</f>
        <v/>
      </c>
      <c r="O1189" s="73" t="str">
        <f>IF(Main[[#This Row],[Tech Start Date]]&lt;1/1/1990,"",IF(Main[[#This Row],[Class]]="C",WORKDAY(Main[[#This Row],[Tech Start Date]],23),IF(Main[[#This Row],[Class]]="B", WORKDAY(Main[[#This Row],[Tech Start Date]],15),IF(Main[[#This Row],[Class]]="A",WORKDAY(Main[[#This Row],[Tech Start Date]],5),""))))</f>
        <v/>
      </c>
      <c r="P1189" s="73" t="str">
        <f>IF(Main[[#This Row],[Tech Start Date]]&lt;1/1/1990,"",IF(Main[[#This Row],[Class]]="C",WORKDAY(Main[[#This Row],[Tech Start Date]],28),IF(Main[[#This Row],[Class]]="B", WORKDAY(Main[[#This Row],[Tech Start Date]],19),IF(Main[[#This Row],[Class]]="A",WORKDAY(Main[[#This Row],[Tech Start Date]],9),""))))</f>
        <v/>
      </c>
      <c r="Q1189" s="85">
        <v>40991</v>
      </c>
      <c r="R1189" s="112"/>
      <c r="S1189" s="95" t="s">
        <v>6</v>
      </c>
      <c r="T1189" s="74" t="s">
        <v>4</v>
      </c>
      <c r="U1189" s="95" t="s">
        <v>7</v>
      </c>
      <c r="V1189" s="95" t="s">
        <v>1911</v>
      </c>
      <c r="W1189" s="95" t="s">
        <v>4</v>
      </c>
      <c r="X1189" s="95" t="s">
        <v>2802</v>
      </c>
      <c r="Y1189" s="72" t="s">
        <v>2916</v>
      </c>
      <c r="Z1189" s="72" t="s">
        <v>4</v>
      </c>
      <c r="AA1189" s="95" t="s">
        <v>2802</v>
      </c>
      <c r="AB1189" s="132"/>
      <c r="AC1189" s="132"/>
      <c r="AD1189" s="132"/>
      <c r="AE1189" s="63"/>
      <c r="AF1189" s="63"/>
      <c r="AG1189" s="63"/>
    </row>
    <row r="1190" spans="1:33" ht="17.2" customHeight="1">
      <c r="A1190" s="64" t="str">
        <f>IF(priority(Main[[#This Row],[Comments]])&lt;&gt;0, priority(Main[[#This Row],[Comments]]),"")</f>
        <v/>
      </c>
      <c r="B1190" s="60" t="s">
        <v>4049</v>
      </c>
      <c r="C1190" s="72" t="s">
        <v>113</v>
      </c>
      <c r="D1190" s="59" t="s">
        <v>4050</v>
      </c>
      <c r="E1190" s="85">
        <v>40976.33048611111</v>
      </c>
      <c r="F1190" s="85">
        <v>40983</v>
      </c>
      <c r="G1190" s="64" t="str">
        <f>IF(stdProdLT(Main[[#This Row],[Comments]])=0.1,"N/A",IF(stdProdLT(Main[[#This Row],[Comments]])=0,"",TRIM(stdProdLT(Main[[#This Row],[Comments]]))))</f>
        <v/>
      </c>
      <c r="H1190" s="94" t="str">
        <f>IF(OR(Main[[#This Row],[Std. Prod. Lead Time]]="N/A",Main[[#This Row],[Std. Prod. Lead Time]]=""), "",IF(AND(Main[[#This Row],[In Stock Date]]&lt;&gt;"",Main[[#This Row],[Revised Due Date]]&lt;&gt;"",Main[[#This Row],[In Stock Date]]&lt;&gt;""),Main[[#This Row],[In Stock Date]]-Main[[#This Row],[Revised Due Date]],""))</f>
        <v/>
      </c>
      <c r="I1190" s="101" t="s">
        <v>4</v>
      </c>
      <c r="J1190" s="95" t="s">
        <v>4</v>
      </c>
      <c r="K1190" s="95" t="s">
        <v>4</v>
      </c>
      <c r="L1190" s="85"/>
      <c r="M1190" s="73" t="str">
        <f>IF(Main[[#This Row],[Tech Start Date]]&lt;1/1/1990,"",IF(Main[[#This Row],[Class]]="C",WORKDAY(Main[[#This Row],[Tech Start Date]],9),IF(Main[[#This Row],[Class]]="B", WORKDAY(Main[[#This Row],[Tech Start Date]],6),IF(Main[[#This Row],[Class]]="A",WORKDAY(Main[[#This Row],[Tech Start Date]],2),""))))</f>
        <v/>
      </c>
      <c r="N1190" s="73" t="str">
        <f>IF(Main[[#This Row],[Tech Start Date]]&lt;1/1/1990,"",IF(Main[[#This Row],[Class]]="C",WORKDAY(Main[[#This Row],[Tech Start Date]],19),IF(Main[[#This Row],[Class]]="B", WORKDAY(Main[[#This Row],[Tech Start Date]],12),IF(Main[[#This Row],[Class]]="A",WORKDAY(Main[[#This Row],[Tech Start Date]],4),""))))</f>
        <v/>
      </c>
      <c r="O1190" s="73" t="str">
        <f>IF(Main[[#This Row],[Tech Start Date]]&lt;1/1/1990,"",IF(Main[[#This Row],[Class]]="C",WORKDAY(Main[[#This Row],[Tech Start Date]],23),IF(Main[[#This Row],[Class]]="B", WORKDAY(Main[[#This Row],[Tech Start Date]],15),IF(Main[[#This Row],[Class]]="A",WORKDAY(Main[[#This Row],[Tech Start Date]],5),""))))</f>
        <v/>
      </c>
      <c r="P1190" s="73" t="str">
        <f>IF(Main[[#This Row],[Tech Start Date]]&lt;1/1/1990,"",IF(Main[[#This Row],[Class]]="C",WORKDAY(Main[[#This Row],[Tech Start Date]],28),IF(Main[[#This Row],[Class]]="B", WORKDAY(Main[[#This Row],[Tech Start Date]],19),IF(Main[[#This Row],[Class]]="A",WORKDAY(Main[[#This Row],[Tech Start Date]],9),""))))</f>
        <v/>
      </c>
      <c r="Q1190" s="85">
        <v>40990</v>
      </c>
      <c r="R1190" s="112"/>
      <c r="S1190" s="95" t="s">
        <v>11</v>
      </c>
      <c r="T1190" s="74" t="s">
        <v>4</v>
      </c>
      <c r="U1190" s="95" t="s">
        <v>7</v>
      </c>
      <c r="V1190" s="95" t="s">
        <v>1914</v>
      </c>
      <c r="W1190" s="95" t="s">
        <v>1913</v>
      </c>
      <c r="X1190" s="95" t="s">
        <v>2813</v>
      </c>
      <c r="Y1190" s="72" t="s">
        <v>2917</v>
      </c>
      <c r="Z1190" s="72" t="s">
        <v>4</v>
      </c>
      <c r="AA1190" s="95" t="s">
        <v>2813</v>
      </c>
      <c r="AB1190" s="132"/>
      <c r="AC1190" s="132"/>
      <c r="AD1190" s="132"/>
      <c r="AE1190" s="63"/>
      <c r="AF1190" s="63"/>
      <c r="AG1190" s="63"/>
    </row>
    <row r="1191" spans="1:33" ht="17.2" customHeight="1">
      <c r="A1191" s="64" t="str">
        <f>IF(priority(Main[[#This Row],[Comments]])&lt;&gt;0, priority(Main[[#This Row],[Comments]]),"")</f>
        <v/>
      </c>
      <c r="B1191" s="60" t="s">
        <v>1182</v>
      </c>
      <c r="C1191" s="72" t="s">
        <v>42</v>
      </c>
      <c r="D1191" s="59" t="s">
        <v>242</v>
      </c>
      <c r="E1191" s="85">
        <v>39937.598217592589</v>
      </c>
      <c r="F1191" s="85"/>
      <c r="G1191" s="64" t="str">
        <f>IF(stdProdLT(Main[[#This Row],[Comments]])=0.1,"N/A",IF(stdProdLT(Main[[#This Row],[Comments]])=0,"",TRIM(stdProdLT(Main[[#This Row],[Comments]]))))</f>
        <v/>
      </c>
      <c r="H1191" s="94" t="str">
        <f>IF(OR(Main[[#This Row],[Std. Prod. Lead Time]]="N/A",Main[[#This Row],[Std. Prod. Lead Time]]=""), "",IF(AND(Main[[#This Row],[In Stock Date]]&lt;&gt;"",Main[[#This Row],[Revised Due Date]]&lt;&gt;"",Main[[#This Row],[In Stock Date]]&lt;&gt;""),Main[[#This Row],[In Stock Date]]-Main[[#This Row],[Revised Due Date]],""))</f>
        <v/>
      </c>
      <c r="I1191" s="101" t="s">
        <v>4</v>
      </c>
      <c r="J1191" s="95" t="s">
        <v>4</v>
      </c>
      <c r="K1191" s="95" t="s">
        <v>4</v>
      </c>
      <c r="L1191" s="85"/>
      <c r="M1191" s="73" t="str">
        <f>IF(Main[[#This Row],[Tech Start Date]]&lt;1/1/1990,"",IF(Main[[#This Row],[Class]]="C",WORKDAY(Main[[#This Row],[Tech Start Date]],9),IF(Main[[#This Row],[Class]]="B", WORKDAY(Main[[#This Row],[Tech Start Date]],6),IF(Main[[#This Row],[Class]]="A",WORKDAY(Main[[#This Row],[Tech Start Date]],2),""))))</f>
        <v/>
      </c>
      <c r="N1191" s="73" t="str">
        <f>IF(Main[[#This Row],[Tech Start Date]]&lt;1/1/1990,"",IF(Main[[#This Row],[Class]]="C",WORKDAY(Main[[#This Row],[Tech Start Date]],19),IF(Main[[#This Row],[Class]]="B", WORKDAY(Main[[#This Row],[Tech Start Date]],12),IF(Main[[#This Row],[Class]]="A",WORKDAY(Main[[#This Row],[Tech Start Date]],4),""))))</f>
        <v/>
      </c>
      <c r="O1191" s="73" t="str">
        <f>IF(Main[[#This Row],[Tech Start Date]]&lt;1/1/1990,"",IF(Main[[#This Row],[Class]]="C",WORKDAY(Main[[#This Row],[Tech Start Date]],23),IF(Main[[#This Row],[Class]]="B", WORKDAY(Main[[#This Row],[Tech Start Date]],15),IF(Main[[#This Row],[Class]]="A",WORKDAY(Main[[#This Row],[Tech Start Date]],5),""))))</f>
        <v/>
      </c>
      <c r="P1191" s="73" t="str">
        <f>IF(Main[[#This Row],[Tech Start Date]]&lt;1/1/1990,"",IF(Main[[#This Row],[Class]]="C",WORKDAY(Main[[#This Row],[Tech Start Date]],28),IF(Main[[#This Row],[Class]]="B", WORKDAY(Main[[#This Row],[Tech Start Date]],19),IF(Main[[#This Row],[Class]]="A",WORKDAY(Main[[#This Row],[Tech Start Date]],9),""))))</f>
        <v/>
      </c>
      <c r="Q1191" s="85"/>
      <c r="R1191" s="112">
        <v>41289</v>
      </c>
      <c r="S1191" s="95" t="s">
        <v>17</v>
      </c>
      <c r="T1191" s="74" t="s">
        <v>4</v>
      </c>
      <c r="U1191" s="95" t="s">
        <v>29</v>
      </c>
      <c r="V1191" s="95" t="s">
        <v>1914</v>
      </c>
      <c r="W1191" s="95" t="s">
        <v>4</v>
      </c>
      <c r="X1191" s="95" t="s">
        <v>399</v>
      </c>
      <c r="Y1191" s="72" t="s">
        <v>4</v>
      </c>
      <c r="Z1191" s="72" t="s">
        <v>652</v>
      </c>
      <c r="AA1191" s="95" t="s">
        <v>4</v>
      </c>
      <c r="AB1191" s="132"/>
      <c r="AC1191" s="132"/>
      <c r="AD1191" s="132"/>
      <c r="AE1191" s="63"/>
      <c r="AF1191" s="63"/>
      <c r="AG1191" s="63"/>
    </row>
    <row r="1192" spans="1:33" ht="17.2" customHeight="1">
      <c r="A1192" s="64" t="str">
        <f>IF(priority(Main[[#This Row],[Comments]])&lt;&gt;0, priority(Main[[#This Row],[Comments]]),"")</f>
        <v/>
      </c>
      <c r="B1192" s="60" t="s">
        <v>2161</v>
      </c>
      <c r="C1192" s="72" t="s">
        <v>2154</v>
      </c>
      <c r="D1192" s="59" t="s">
        <v>2155</v>
      </c>
      <c r="E1192" s="85">
        <v>40781.399756944447</v>
      </c>
      <c r="F1192" s="85"/>
      <c r="G1192" s="64" t="str">
        <f>IF(stdProdLT(Main[[#This Row],[Comments]])=0.1,"N/A",IF(stdProdLT(Main[[#This Row],[Comments]])=0,"",TRIM(stdProdLT(Main[[#This Row],[Comments]]))))</f>
        <v/>
      </c>
      <c r="H1192" s="94" t="str">
        <f>IF(OR(Main[[#This Row],[Std. Prod. Lead Time]]="N/A",Main[[#This Row],[Std. Prod. Lead Time]]=""), "",IF(AND(Main[[#This Row],[In Stock Date]]&lt;&gt;"",Main[[#This Row],[Revised Due Date]]&lt;&gt;"",Main[[#This Row],[In Stock Date]]&lt;&gt;""),Main[[#This Row],[In Stock Date]]-Main[[#This Row],[Revised Due Date]],""))</f>
        <v/>
      </c>
      <c r="I1192" s="101" t="s">
        <v>530</v>
      </c>
      <c r="J1192" s="95" t="s">
        <v>21</v>
      </c>
      <c r="K1192" s="95" t="s">
        <v>1920</v>
      </c>
      <c r="L1192" s="85"/>
      <c r="M1192" s="73" t="str">
        <f>IF(Main[[#This Row],[Tech Start Date]]&lt;1/1/1990,"",IF(Main[[#This Row],[Class]]="C",WORKDAY(Main[[#This Row],[Tech Start Date]],9),IF(Main[[#This Row],[Class]]="B", WORKDAY(Main[[#This Row],[Tech Start Date]],6),IF(Main[[#This Row],[Class]]="A",WORKDAY(Main[[#This Row],[Tech Start Date]],2),""))))</f>
        <v/>
      </c>
      <c r="N1192" s="73" t="str">
        <f>IF(Main[[#This Row],[Tech Start Date]]&lt;1/1/1990,"",IF(Main[[#This Row],[Class]]="C",WORKDAY(Main[[#This Row],[Tech Start Date]],19),IF(Main[[#This Row],[Class]]="B", WORKDAY(Main[[#This Row],[Tech Start Date]],12),IF(Main[[#This Row],[Class]]="A",WORKDAY(Main[[#This Row],[Tech Start Date]],4),""))))</f>
        <v/>
      </c>
      <c r="O1192" s="73" t="str">
        <f>IF(Main[[#This Row],[Tech Start Date]]&lt;1/1/1990,"",IF(Main[[#This Row],[Class]]="C",WORKDAY(Main[[#This Row],[Tech Start Date]],23),IF(Main[[#This Row],[Class]]="B", WORKDAY(Main[[#This Row],[Tech Start Date]],15),IF(Main[[#This Row],[Class]]="A",WORKDAY(Main[[#This Row],[Tech Start Date]],5),""))))</f>
        <v/>
      </c>
      <c r="P1192" s="73" t="str">
        <f>IF(Main[[#This Row],[Tech Start Date]]&lt;1/1/1990,"",IF(Main[[#This Row],[Class]]="C",WORKDAY(Main[[#This Row],[Tech Start Date]],28),IF(Main[[#This Row],[Class]]="B", WORKDAY(Main[[#This Row],[Tech Start Date]],19),IF(Main[[#This Row],[Class]]="A",WORKDAY(Main[[#This Row],[Tech Start Date]],9),""))))</f>
        <v/>
      </c>
      <c r="Q1192" s="85">
        <v>40836</v>
      </c>
      <c r="R1192" s="112"/>
      <c r="S1192" s="95" t="s">
        <v>6</v>
      </c>
      <c r="T1192" s="74" t="s">
        <v>4</v>
      </c>
      <c r="U1192" s="95" t="s">
        <v>29</v>
      </c>
      <c r="V1192" s="95" t="s">
        <v>1914</v>
      </c>
      <c r="W1192" s="95" t="s">
        <v>1915</v>
      </c>
      <c r="X1192" s="95" t="s">
        <v>2816</v>
      </c>
      <c r="Y1192" s="72" t="s">
        <v>2943</v>
      </c>
      <c r="Z1192" s="72" t="s">
        <v>30</v>
      </c>
      <c r="AA1192" s="95" t="s">
        <v>2816</v>
      </c>
      <c r="AB1192" s="132"/>
      <c r="AC1192" s="132"/>
      <c r="AD1192" s="132"/>
      <c r="AE1192" s="63"/>
      <c r="AF1192" s="63"/>
      <c r="AG1192" s="63"/>
    </row>
    <row r="1193" spans="1:33" ht="17.2" customHeight="1">
      <c r="A1193" s="64" t="str">
        <f>IF(priority(Main[[#This Row],[Comments]])&lt;&gt;0, priority(Main[[#This Row],[Comments]]),"")</f>
        <v/>
      </c>
      <c r="B1193" s="60" t="s">
        <v>2512</v>
      </c>
      <c r="C1193" s="72" t="s">
        <v>4</v>
      </c>
      <c r="D1193" s="59" t="s">
        <v>2513</v>
      </c>
      <c r="E1193" s="85"/>
      <c r="F1193" s="85"/>
      <c r="G1193" s="64" t="str">
        <f>IF(stdProdLT(Main[[#This Row],[Comments]])=0.1,"N/A",IF(stdProdLT(Main[[#This Row],[Comments]])=0,"",TRIM(stdProdLT(Main[[#This Row],[Comments]]))))</f>
        <v/>
      </c>
      <c r="H1193" s="94" t="str">
        <f>IF(OR(Main[[#This Row],[Std. Prod. Lead Time]]="N/A",Main[[#This Row],[Std. Prod. Lead Time]]=""), "",IF(AND(Main[[#This Row],[In Stock Date]]&lt;&gt;"",Main[[#This Row],[Revised Due Date]]&lt;&gt;"",Main[[#This Row],[In Stock Date]]&lt;&gt;""),Main[[#This Row],[In Stock Date]]-Main[[#This Row],[Revised Due Date]],""))</f>
        <v/>
      </c>
      <c r="I1193" s="101" t="s">
        <v>4</v>
      </c>
      <c r="J1193" s="95" t="s">
        <v>4</v>
      </c>
      <c r="K1193" s="96" t="s">
        <v>4</v>
      </c>
      <c r="L1193" s="85"/>
      <c r="M1193" s="73" t="str">
        <f>IF(Main[[#This Row],[Tech Start Date]]&lt;1/1/1990,"",IF(Main[[#This Row],[Class]]="C",WORKDAY(Main[[#This Row],[Tech Start Date]],9),IF(Main[[#This Row],[Class]]="B", WORKDAY(Main[[#This Row],[Tech Start Date]],6),IF(Main[[#This Row],[Class]]="A",WORKDAY(Main[[#This Row],[Tech Start Date]],2),""))))</f>
        <v/>
      </c>
      <c r="N1193" s="73" t="str">
        <f>IF(Main[[#This Row],[Tech Start Date]]&lt;1/1/1990,"",IF(Main[[#This Row],[Class]]="C",WORKDAY(Main[[#This Row],[Tech Start Date]],19),IF(Main[[#This Row],[Class]]="B", WORKDAY(Main[[#This Row],[Tech Start Date]],12),IF(Main[[#This Row],[Class]]="A",WORKDAY(Main[[#This Row],[Tech Start Date]],4),""))))</f>
        <v/>
      </c>
      <c r="O1193" s="73" t="str">
        <f>IF(Main[[#This Row],[Tech Start Date]]&lt;1/1/1990,"",IF(Main[[#This Row],[Class]]="C",WORKDAY(Main[[#This Row],[Tech Start Date]],23),IF(Main[[#This Row],[Class]]="B", WORKDAY(Main[[#This Row],[Tech Start Date]],15),IF(Main[[#This Row],[Class]]="A",WORKDAY(Main[[#This Row],[Tech Start Date]],5),""))))</f>
        <v/>
      </c>
      <c r="P1193" s="73" t="str">
        <f>IF(Main[[#This Row],[Tech Start Date]]&lt;1/1/1990,"",IF(Main[[#This Row],[Class]]="C",WORKDAY(Main[[#This Row],[Tech Start Date]],28),IF(Main[[#This Row],[Class]]="B", WORKDAY(Main[[#This Row],[Tech Start Date]],19),IF(Main[[#This Row],[Class]]="A",WORKDAY(Main[[#This Row],[Tech Start Date]],9),""))))</f>
        <v/>
      </c>
      <c r="Q1193" s="85">
        <v>40858</v>
      </c>
      <c r="R1193" s="112"/>
      <c r="S1193" s="95" t="s">
        <v>6</v>
      </c>
      <c r="T1193" s="74" t="s">
        <v>4</v>
      </c>
      <c r="U1193" s="95" t="s">
        <v>14</v>
      </c>
      <c r="V1193" s="95" t="s">
        <v>1914</v>
      </c>
      <c r="W1193" s="95" t="s">
        <v>4</v>
      </c>
      <c r="X1193" s="95" t="s">
        <v>2799</v>
      </c>
      <c r="Y1193" s="72" t="s">
        <v>2910</v>
      </c>
      <c r="Z1193" s="72" t="s">
        <v>4</v>
      </c>
      <c r="AA1193" s="95" t="s">
        <v>2799</v>
      </c>
      <c r="AB1193" s="132"/>
      <c r="AC1193" s="132"/>
      <c r="AD1193" s="132"/>
      <c r="AE1193" s="63"/>
      <c r="AF1193" s="63"/>
      <c r="AG1193" s="63"/>
    </row>
    <row r="1194" spans="1:33" ht="17.2" customHeight="1">
      <c r="A1194" s="64" t="str">
        <f>IF(priority(Main[[#This Row],[Comments]])&lt;&gt;0, priority(Main[[#This Row],[Comments]]),"")</f>
        <v/>
      </c>
      <c r="B1194" s="60" t="s">
        <v>3607</v>
      </c>
      <c r="C1194" s="72" t="s">
        <v>4</v>
      </c>
      <c r="D1194" s="59" t="s">
        <v>3791</v>
      </c>
      <c r="E1194" s="85">
        <v>40967.673217592594</v>
      </c>
      <c r="F1194" s="85"/>
      <c r="G1194" s="64" t="str">
        <f>IF(stdProdLT(Main[[#This Row],[Comments]])=0.1,"N/A",IF(stdProdLT(Main[[#This Row],[Comments]])=0,"",TRIM(stdProdLT(Main[[#This Row],[Comments]]))))</f>
        <v/>
      </c>
      <c r="H1194" s="94" t="str">
        <f>IF(OR(Main[[#This Row],[Std. Prod. Lead Time]]="N/A",Main[[#This Row],[Std. Prod. Lead Time]]=""), "",IF(AND(Main[[#This Row],[In Stock Date]]&lt;&gt;"",Main[[#This Row],[Revised Due Date]]&lt;&gt;"",Main[[#This Row],[In Stock Date]]&lt;&gt;""),Main[[#This Row],[In Stock Date]]-Main[[#This Row],[Revised Due Date]],""))</f>
        <v/>
      </c>
      <c r="I1194" s="101" t="s">
        <v>4</v>
      </c>
      <c r="J1194" s="95" t="s">
        <v>21</v>
      </c>
      <c r="K1194" s="95" t="s">
        <v>4</v>
      </c>
      <c r="L1194" s="85"/>
      <c r="M1194" s="73" t="str">
        <f>IF(Main[[#This Row],[Tech Start Date]]&lt;1/1/1990,"",IF(Main[[#This Row],[Class]]="C",WORKDAY(Main[[#This Row],[Tech Start Date]],9),IF(Main[[#This Row],[Class]]="B", WORKDAY(Main[[#This Row],[Tech Start Date]],6),IF(Main[[#This Row],[Class]]="A",WORKDAY(Main[[#This Row],[Tech Start Date]],2),""))))</f>
        <v/>
      </c>
      <c r="N1194" s="73" t="str">
        <f>IF(Main[[#This Row],[Tech Start Date]]&lt;1/1/1990,"",IF(Main[[#This Row],[Class]]="C",WORKDAY(Main[[#This Row],[Tech Start Date]],19),IF(Main[[#This Row],[Class]]="B", WORKDAY(Main[[#This Row],[Tech Start Date]],12),IF(Main[[#This Row],[Class]]="A",WORKDAY(Main[[#This Row],[Tech Start Date]],4),""))))</f>
        <v/>
      </c>
      <c r="O1194" s="73" t="str">
        <f>IF(Main[[#This Row],[Tech Start Date]]&lt;1/1/1990,"",IF(Main[[#This Row],[Class]]="C",WORKDAY(Main[[#This Row],[Tech Start Date]],23),IF(Main[[#This Row],[Class]]="B", WORKDAY(Main[[#This Row],[Tech Start Date]],15),IF(Main[[#This Row],[Class]]="A",WORKDAY(Main[[#This Row],[Tech Start Date]],5),""))))</f>
        <v/>
      </c>
      <c r="P1194" s="73" t="str">
        <f>IF(Main[[#This Row],[Tech Start Date]]&lt;1/1/1990,"",IF(Main[[#This Row],[Class]]="C",WORKDAY(Main[[#This Row],[Tech Start Date]],28),IF(Main[[#This Row],[Class]]="B", WORKDAY(Main[[#This Row],[Tech Start Date]],19),IF(Main[[#This Row],[Class]]="A",WORKDAY(Main[[#This Row],[Tech Start Date]],9),""))))</f>
        <v/>
      </c>
      <c r="Q1194" s="85">
        <v>40732</v>
      </c>
      <c r="R1194" s="112"/>
      <c r="S1194" s="95" t="s">
        <v>6</v>
      </c>
      <c r="T1194" s="74" t="s">
        <v>4</v>
      </c>
      <c r="U1194" s="95" t="s">
        <v>7</v>
      </c>
      <c r="V1194" s="95" t="s">
        <v>1911</v>
      </c>
      <c r="W1194" s="95" t="s">
        <v>1915</v>
      </c>
      <c r="X1194" s="95" t="s">
        <v>399</v>
      </c>
      <c r="Y1194" s="72" t="s">
        <v>3094</v>
      </c>
      <c r="Z1194" s="72" t="s">
        <v>877</v>
      </c>
      <c r="AA1194" s="95" t="s">
        <v>3351</v>
      </c>
      <c r="AB1194" s="132"/>
      <c r="AC1194" s="132"/>
      <c r="AD1194" s="132"/>
      <c r="AE1194" s="63"/>
      <c r="AF1194" s="63"/>
      <c r="AG1194" s="63"/>
    </row>
    <row r="1195" spans="1:33" ht="17.2" customHeight="1">
      <c r="A1195" s="64" t="str">
        <f>IF(priority(Main[[#This Row],[Comments]])&lt;&gt;0, priority(Main[[#This Row],[Comments]]),"")</f>
        <v/>
      </c>
      <c r="B1195" s="60" t="s">
        <v>3914</v>
      </c>
      <c r="C1195" s="72" t="s">
        <v>4</v>
      </c>
      <c r="D1195" s="59" t="s">
        <v>3915</v>
      </c>
      <c r="E1195" s="85">
        <v>40973.703773148147</v>
      </c>
      <c r="F1195" s="85"/>
      <c r="G1195" s="64" t="str">
        <f>IF(stdProdLT(Main[[#This Row],[Comments]])=0.1,"N/A",IF(stdProdLT(Main[[#This Row],[Comments]])=0,"",TRIM(stdProdLT(Main[[#This Row],[Comments]]))))</f>
        <v/>
      </c>
      <c r="H1195" s="94" t="str">
        <f>IF(OR(Main[[#This Row],[Std. Prod. Lead Time]]="N/A",Main[[#This Row],[Std. Prod. Lead Time]]=""), "",IF(AND(Main[[#This Row],[In Stock Date]]&lt;&gt;"",Main[[#This Row],[Revised Due Date]]&lt;&gt;"",Main[[#This Row],[In Stock Date]]&lt;&gt;""),Main[[#This Row],[In Stock Date]]-Main[[#This Row],[Revised Due Date]],""))</f>
        <v/>
      </c>
      <c r="I1195" s="101" t="s">
        <v>4</v>
      </c>
      <c r="J1195" s="95" t="s">
        <v>4</v>
      </c>
      <c r="K1195" s="95" t="s">
        <v>4</v>
      </c>
      <c r="L1195" s="85"/>
      <c r="M1195" s="73" t="str">
        <f>IF(Main[[#This Row],[Tech Start Date]]&lt;1/1/1990,"",IF(Main[[#This Row],[Class]]="C",WORKDAY(Main[[#This Row],[Tech Start Date]],9),IF(Main[[#This Row],[Class]]="B", WORKDAY(Main[[#This Row],[Tech Start Date]],6),IF(Main[[#This Row],[Class]]="A",WORKDAY(Main[[#This Row],[Tech Start Date]],2),""))))</f>
        <v/>
      </c>
      <c r="N1195" s="73" t="str">
        <f>IF(Main[[#This Row],[Tech Start Date]]&lt;1/1/1990,"",IF(Main[[#This Row],[Class]]="C",WORKDAY(Main[[#This Row],[Tech Start Date]],19),IF(Main[[#This Row],[Class]]="B", WORKDAY(Main[[#This Row],[Tech Start Date]],12),IF(Main[[#This Row],[Class]]="A",WORKDAY(Main[[#This Row],[Tech Start Date]],4),""))))</f>
        <v/>
      </c>
      <c r="O1195" s="73" t="str">
        <f>IF(Main[[#This Row],[Tech Start Date]]&lt;1/1/1990,"",IF(Main[[#This Row],[Class]]="C",WORKDAY(Main[[#This Row],[Tech Start Date]],23),IF(Main[[#This Row],[Class]]="B", WORKDAY(Main[[#This Row],[Tech Start Date]],15),IF(Main[[#This Row],[Class]]="A",WORKDAY(Main[[#This Row],[Tech Start Date]],5),""))))</f>
        <v/>
      </c>
      <c r="P1195" s="73" t="str">
        <f>IF(Main[[#This Row],[Tech Start Date]]&lt;1/1/1990,"",IF(Main[[#This Row],[Class]]="C",WORKDAY(Main[[#This Row],[Tech Start Date]],28),IF(Main[[#This Row],[Class]]="B", WORKDAY(Main[[#This Row],[Tech Start Date]],19),IF(Main[[#This Row],[Class]]="A",WORKDAY(Main[[#This Row],[Tech Start Date]],9),""))))</f>
        <v/>
      </c>
      <c r="Q1195" s="85"/>
      <c r="R1195" s="112"/>
      <c r="S1195" s="95" t="s">
        <v>11</v>
      </c>
      <c r="T1195" s="74" t="s">
        <v>4</v>
      </c>
      <c r="U1195" s="95" t="s">
        <v>7</v>
      </c>
      <c r="V1195" s="95" t="s">
        <v>1921</v>
      </c>
      <c r="W1195" s="95" t="s">
        <v>1917</v>
      </c>
      <c r="X1195" s="95" t="s">
        <v>2891</v>
      </c>
      <c r="Y1195" s="72" t="s">
        <v>3870</v>
      </c>
      <c r="Z1195" s="72" t="s">
        <v>4</v>
      </c>
      <c r="AA1195" s="95" t="s">
        <v>2891</v>
      </c>
      <c r="AB1195" s="132"/>
      <c r="AC1195" s="132"/>
      <c r="AD1195" s="132"/>
      <c r="AE1195" s="63"/>
      <c r="AF1195" s="63"/>
      <c r="AG1195" s="63"/>
    </row>
    <row r="1196" spans="1:33" ht="17.2" customHeight="1">
      <c r="A1196" s="64" t="str">
        <f>IF(priority(Main[[#This Row],[Comments]])&lt;&gt;0, priority(Main[[#This Row],[Comments]]),"")</f>
        <v/>
      </c>
      <c r="B1196" s="60" t="s">
        <v>3477</v>
      </c>
      <c r="C1196" s="72" t="s">
        <v>53</v>
      </c>
      <c r="D1196" s="59" t="s">
        <v>3575</v>
      </c>
      <c r="E1196" s="85">
        <v>40949.374872685185</v>
      </c>
      <c r="F1196" s="85"/>
      <c r="G1196" s="64" t="str">
        <f>IF(stdProdLT(Main[[#This Row],[Comments]])=0.1,"N/A",IF(stdProdLT(Main[[#This Row],[Comments]])=0,"",TRIM(stdProdLT(Main[[#This Row],[Comments]]))))</f>
        <v/>
      </c>
      <c r="H1196" s="94" t="str">
        <f>IF(OR(Main[[#This Row],[Std. Prod. Lead Time]]="N/A",Main[[#This Row],[Std. Prod. Lead Time]]=""), "",IF(AND(Main[[#This Row],[In Stock Date]]&lt;&gt;"",Main[[#This Row],[Revised Due Date]]&lt;&gt;"",Main[[#This Row],[In Stock Date]]&lt;&gt;""),Main[[#This Row],[In Stock Date]]-Main[[#This Row],[Revised Due Date]],""))</f>
        <v/>
      </c>
      <c r="I1196" s="101" t="s">
        <v>941</v>
      </c>
      <c r="J1196" s="95" t="s">
        <v>28</v>
      </c>
      <c r="K1196" s="95" t="s">
        <v>1920</v>
      </c>
      <c r="L1196" s="85"/>
      <c r="M1196" s="73" t="str">
        <f>IF(Main[[#This Row],[Tech Start Date]]&lt;1/1/1990,"",IF(Main[[#This Row],[Class]]="C",WORKDAY(Main[[#This Row],[Tech Start Date]],9),IF(Main[[#This Row],[Class]]="B", WORKDAY(Main[[#This Row],[Tech Start Date]],6),IF(Main[[#This Row],[Class]]="A",WORKDAY(Main[[#This Row],[Tech Start Date]],2),""))))</f>
        <v/>
      </c>
      <c r="N1196" s="73" t="str">
        <f>IF(Main[[#This Row],[Tech Start Date]]&lt;1/1/1990,"",IF(Main[[#This Row],[Class]]="C",WORKDAY(Main[[#This Row],[Tech Start Date]],19),IF(Main[[#This Row],[Class]]="B", WORKDAY(Main[[#This Row],[Tech Start Date]],12),IF(Main[[#This Row],[Class]]="A",WORKDAY(Main[[#This Row],[Tech Start Date]],4),""))))</f>
        <v/>
      </c>
      <c r="O1196" s="73" t="str">
        <f>IF(Main[[#This Row],[Tech Start Date]]&lt;1/1/1990,"",IF(Main[[#This Row],[Class]]="C",WORKDAY(Main[[#This Row],[Tech Start Date]],23),IF(Main[[#This Row],[Class]]="B", WORKDAY(Main[[#This Row],[Tech Start Date]],15),IF(Main[[#This Row],[Class]]="A",WORKDAY(Main[[#This Row],[Tech Start Date]],5),""))))</f>
        <v/>
      </c>
      <c r="P1196" s="73" t="str">
        <f>IF(Main[[#This Row],[Tech Start Date]]&lt;1/1/1990,"",IF(Main[[#This Row],[Class]]="C",WORKDAY(Main[[#This Row],[Tech Start Date]],28),IF(Main[[#This Row],[Class]]="B", WORKDAY(Main[[#This Row],[Tech Start Date]],19),IF(Main[[#This Row],[Class]]="A",WORKDAY(Main[[#This Row],[Tech Start Date]],9),""))))</f>
        <v/>
      </c>
      <c r="Q1196" s="85">
        <v>40956</v>
      </c>
      <c r="R1196" s="112"/>
      <c r="S1196" s="95" t="s">
        <v>6</v>
      </c>
      <c r="T1196" s="74" t="s">
        <v>4</v>
      </c>
      <c r="U1196" s="95" t="s">
        <v>29</v>
      </c>
      <c r="V1196" s="95" t="s">
        <v>1912</v>
      </c>
      <c r="W1196" s="95" t="s">
        <v>1913</v>
      </c>
      <c r="X1196" s="95" t="s">
        <v>2796</v>
      </c>
      <c r="Y1196" s="72" t="s">
        <v>4</v>
      </c>
      <c r="Z1196" s="72" t="s">
        <v>2047</v>
      </c>
      <c r="AA1196" s="95" t="s">
        <v>2796</v>
      </c>
      <c r="AB1196" s="132"/>
      <c r="AC1196" s="132"/>
      <c r="AD1196" s="132"/>
      <c r="AE1196" s="63"/>
      <c r="AF1196" s="63"/>
      <c r="AG1196" s="63"/>
    </row>
    <row r="1197" spans="1:33" ht="17.2" customHeight="1">
      <c r="A1197" s="64" t="str">
        <f>IF(priority(Main[[#This Row],[Comments]])&lt;&gt;0, priority(Main[[#This Row],[Comments]]),"")</f>
        <v/>
      </c>
      <c r="B1197" s="60" t="s">
        <v>3911</v>
      </c>
      <c r="C1197" s="72" t="s">
        <v>3912</v>
      </c>
      <c r="D1197" s="59" t="s">
        <v>3913</v>
      </c>
      <c r="E1197" s="85">
        <v>40973.465324074074</v>
      </c>
      <c r="F1197" s="85"/>
      <c r="G1197" s="64" t="str">
        <f>IF(stdProdLT(Main[[#This Row],[Comments]])=0.1,"N/A",IF(stdProdLT(Main[[#This Row],[Comments]])=0,"",TRIM(stdProdLT(Main[[#This Row],[Comments]]))))</f>
        <v>N/A</v>
      </c>
      <c r="H1197" s="94" t="str">
        <f>IF(OR(Main[[#This Row],[Std. Prod. Lead Time]]="N/A",Main[[#This Row],[Std. Prod. Lead Time]]=""), "",IF(AND(Main[[#This Row],[In Stock Date]]&lt;&gt;"",Main[[#This Row],[Revised Due Date]]&lt;&gt;"",Main[[#This Row],[In Stock Date]]&lt;&gt;""),Main[[#This Row],[In Stock Date]]-Main[[#This Row],[Revised Due Date]],""))</f>
        <v/>
      </c>
      <c r="I1197" s="101" t="s">
        <v>4</v>
      </c>
      <c r="J1197" s="95" t="s">
        <v>4</v>
      </c>
      <c r="K1197" s="95" t="s">
        <v>4</v>
      </c>
      <c r="L1197" s="85"/>
      <c r="M1197" s="73" t="str">
        <f>IF(Main[[#This Row],[Tech Start Date]]&lt;1/1/1990,"",IF(Main[[#This Row],[Class]]="C",WORKDAY(Main[[#This Row],[Tech Start Date]],9),IF(Main[[#This Row],[Class]]="B", WORKDAY(Main[[#This Row],[Tech Start Date]],6),IF(Main[[#This Row],[Class]]="A",WORKDAY(Main[[#This Row],[Tech Start Date]],2),""))))</f>
        <v/>
      </c>
      <c r="N1197" s="73" t="str">
        <f>IF(Main[[#This Row],[Tech Start Date]]&lt;1/1/1990,"",IF(Main[[#This Row],[Class]]="C",WORKDAY(Main[[#This Row],[Tech Start Date]],19),IF(Main[[#This Row],[Class]]="B", WORKDAY(Main[[#This Row],[Tech Start Date]],12),IF(Main[[#This Row],[Class]]="A",WORKDAY(Main[[#This Row],[Tech Start Date]],4),""))))</f>
        <v/>
      </c>
      <c r="O1197" s="73" t="str">
        <f>IF(Main[[#This Row],[Tech Start Date]]&lt;1/1/1990,"",IF(Main[[#This Row],[Class]]="C",WORKDAY(Main[[#This Row],[Tech Start Date]],23),IF(Main[[#This Row],[Class]]="B", WORKDAY(Main[[#This Row],[Tech Start Date]],15),IF(Main[[#This Row],[Class]]="A",WORKDAY(Main[[#This Row],[Tech Start Date]],5),""))))</f>
        <v/>
      </c>
      <c r="P1197" s="73" t="str">
        <f>IF(Main[[#This Row],[Tech Start Date]]&lt;1/1/1990,"",IF(Main[[#This Row],[Class]]="C",WORKDAY(Main[[#This Row],[Tech Start Date]],28),IF(Main[[#This Row],[Class]]="B", WORKDAY(Main[[#This Row],[Tech Start Date]],19),IF(Main[[#This Row],[Class]]="A",WORKDAY(Main[[#This Row],[Tech Start Date]],9),""))))</f>
        <v/>
      </c>
      <c r="Q1197" s="85">
        <v>41026</v>
      </c>
      <c r="R1197" s="112"/>
      <c r="S1197" s="95" t="s">
        <v>6</v>
      </c>
      <c r="T1197" s="74" t="s">
        <v>3201</v>
      </c>
      <c r="U1197" s="95" t="s">
        <v>7</v>
      </c>
      <c r="V1197" s="95" t="s">
        <v>1911</v>
      </c>
      <c r="W1197" s="95" t="s">
        <v>1913</v>
      </c>
      <c r="X1197" s="95" t="s">
        <v>2850</v>
      </c>
      <c r="Y1197" s="72" t="s">
        <v>2994</v>
      </c>
      <c r="Z1197" s="72" t="s">
        <v>4</v>
      </c>
      <c r="AA1197" s="95" t="s">
        <v>2850</v>
      </c>
      <c r="AB1197" s="132"/>
      <c r="AC1197" s="132"/>
      <c r="AD1197" s="132"/>
      <c r="AE1197" s="63"/>
      <c r="AF1197" s="63"/>
      <c r="AG1197" s="63"/>
    </row>
    <row r="1198" spans="1:33" ht="17.2" customHeight="1">
      <c r="A1198" s="64" t="str">
        <f>IF(priority(Main[[#This Row],[Comments]])&lt;&gt;0, priority(Main[[#This Row],[Comments]]),"")</f>
        <v/>
      </c>
      <c r="B1198" s="60" t="s">
        <v>2527</v>
      </c>
      <c r="C1198" s="72" t="s">
        <v>4</v>
      </c>
      <c r="D1198" s="59" t="s">
        <v>2528</v>
      </c>
      <c r="E1198" s="85"/>
      <c r="F1198" s="85"/>
      <c r="G1198" s="64" t="str">
        <f>IF(stdProdLT(Main[[#This Row],[Comments]])=0.1,"N/A",IF(stdProdLT(Main[[#This Row],[Comments]])=0,"",TRIM(stdProdLT(Main[[#This Row],[Comments]]))))</f>
        <v/>
      </c>
      <c r="H1198" s="94" t="str">
        <f>IF(OR(Main[[#This Row],[Std. Prod. Lead Time]]="N/A",Main[[#This Row],[Std. Prod. Lead Time]]=""), "",IF(AND(Main[[#This Row],[In Stock Date]]&lt;&gt;"",Main[[#This Row],[Revised Due Date]]&lt;&gt;"",Main[[#This Row],[In Stock Date]]&lt;&gt;""),Main[[#This Row],[In Stock Date]]-Main[[#This Row],[Revised Due Date]],""))</f>
        <v/>
      </c>
      <c r="I1198" s="101" t="s">
        <v>4</v>
      </c>
      <c r="J1198" s="95" t="s">
        <v>4</v>
      </c>
      <c r="K1198" s="95" t="s">
        <v>4</v>
      </c>
      <c r="L1198" s="85"/>
      <c r="M1198" s="73" t="str">
        <f>IF(Main[[#This Row],[Tech Start Date]]&lt;1/1/1990,"",IF(Main[[#This Row],[Class]]="C",WORKDAY(Main[[#This Row],[Tech Start Date]],9),IF(Main[[#This Row],[Class]]="B", WORKDAY(Main[[#This Row],[Tech Start Date]],6),IF(Main[[#This Row],[Class]]="A",WORKDAY(Main[[#This Row],[Tech Start Date]],2),""))))</f>
        <v/>
      </c>
      <c r="N1198" s="73" t="str">
        <f>IF(Main[[#This Row],[Tech Start Date]]&lt;1/1/1990,"",IF(Main[[#This Row],[Class]]="C",WORKDAY(Main[[#This Row],[Tech Start Date]],19),IF(Main[[#This Row],[Class]]="B", WORKDAY(Main[[#This Row],[Tech Start Date]],12),IF(Main[[#This Row],[Class]]="A",WORKDAY(Main[[#This Row],[Tech Start Date]],4),""))))</f>
        <v/>
      </c>
      <c r="O1198" s="73" t="str">
        <f>IF(Main[[#This Row],[Tech Start Date]]&lt;1/1/1990,"",IF(Main[[#This Row],[Class]]="C",WORKDAY(Main[[#This Row],[Tech Start Date]],23),IF(Main[[#This Row],[Class]]="B", WORKDAY(Main[[#This Row],[Tech Start Date]],15),IF(Main[[#This Row],[Class]]="A",WORKDAY(Main[[#This Row],[Tech Start Date]],5),""))))</f>
        <v/>
      </c>
      <c r="P1198" s="73" t="str">
        <f>IF(Main[[#This Row],[Tech Start Date]]&lt;1/1/1990,"",IF(Main[[#This Row],[Class]]="C",WORKDAY(Main[[#This Row],[Tech Start Date]],28),IF(Main[[#This Row],[Class]]="B", WORKDAY(Main[[#This Row],[Tech Start Date]],19),IF(Main[[#This Row],[Class]]="A",WORKDAY(Main[[#This Row],[Tech Start Date]],9),""))))</f>
        <v/>
      </c>
      <c r="Q1198" s="85"/>
      <c r="R1198" s="112"/>
      <c r="S1198" s="95" t="s">
        <v>6</v>
      </c>
      <c r="T1198" s="74" t="s">
        <v>4</v>
      </c>
      <c r="U1198" s="95" t="s">
        <v>14</v>
      </c>
      <c r="V1198" s="95" t="s">
        <v>1921</v>
      </c>
      <c r="W1198" s="95" t="s">
        <v>1915</v>
      </c>
      <c r="X1198" s="95" t="s">
        <v>102</v>
      </c>
      <c r="Y1198" s="72" t="s">
        <v>3107</v>
      </c>
      <c r="Z1198" s="72" t="s">
        <v>4</v>
      </c>
      <c r="AA1198" s="95" t="s">
        <v>3384</v>
      </c>
      <c r="AB1198" s="132"/>
      <c r="AC1198" s="132"/>
      <c r="AD1198" s="132"/>
      <c r="AE1198" s="63"/>
      <c r="AF1198" s="63"/>
      <c r="AG1198" s="63"/>
    </row>
    <row r="1199" spans="1:33" ht="17.2" customHeight="1">
      <c r="A1199" s="64" t="str">
        <f>IF(priority(Main[[#This Row],[Comments]])&lt;&gt;0, priority(Main[[#This Row],[Comments]]),"")</f>
        <v/>
      </c>
      <c r="B1199" s="60" t="s">
        <v>1733</v>
      </c>
      <c r="C1199" s="72" t="s">
        <v>4</v>
      </c>
      <c r="D1199" s="59" t="s">
        <v>3240</v>
      </c>
      <c r="E1199" s="85">
        <v>40540.606365740743</v>
      </c>
      <c r="F1199" s="85"/>
      <c r="G1199" s="64" t="str">
        <f>IF(stdProdLT(Main[[#This Row],[Comments]])=0.1,"N/A",IF(stdProdLT(Main[[#This Row],[Comments]])=0,"",TRIM(stdProdLT(Main[[#This Row],[Comments]]))))</f>
        <v/>
      </c>
      <c r="H1199" s="94" t="str">
        <f>IF(OR(Main[[#This Row],[Std. Prod. Lead Time]]="N/A",Main[[#This Row],[Std. Prod. Lead Time]]=""), "",IF(AND(Main[[#This Row],[In Stock Date]]&lt;&gt;"",Main[[#This Row],[Revised Due Date]]&lt;&gt;"",Main[[#This Row],[In Stock Date]]&lt;&gt;""),Main[[#This Row],[In Stock Date]]-Main[[#This Row],[Revised Due Date]],""))</f>
        <v/>
      </c>
      <c r="I1199" s="101" t="s">
        <v>1970</v>
      </c>
      <c r="J1199" s="95" t="s">
        <v>28</v>
      </c>
      <c r="K1199" s="96" t="s">
        <v>1923</v>
      </c>
      <c r="L1199" s="85"/>
      <c r="M1199" s="73" t="str">
        <f>IF(Main[[#This Row],[Tech Start Date]]&lt;1/1/1990,"",IF(Main[[#This Row],[Class]]="C",WORKDAY(Main[[#This Row],[Tech Start Date]],9),IF(Main[[#This Row],[Class]]="B", WORKDAY(Main[[#This Row],[Tech Start Date]],6),IF(Main[[#This Row],[Class]]="A",WORKDAY(Main[[#This Row],[Tech Start Date]],2),""))))</f>
        <v/>
      </c>
      <c r="N1199" s="73" t="str">
        <f>IF(Main[[#This Row],[Tech Start Date]]&lt;1/1/1990,"",IF(Main[[#This Row],[Class]]="C",WORKDAY(Main[[#This Row],[Tech Start Date]],19),IF(Main[[#This Row],[Class]]="B", WORKDAY(Main[[#This Row],[Tech Start Date]],12),IF(Main[[#This Row],[Class]]="A",WORKDAY(Main[[#This Row],[Tech Start Date]],4),""))))</f>
        <v/>
      </c>
      <c r="O1199" s="73" t="str">
        <f>IF(Main[[#This Row],[Tech Start Date]]&lt;1/1/1990,"",IF(Main[[#This Row],[Class]]="C",WORKDAY(Main[[#This Row],[Tech Start Date]],23),IF(Main[[#This Row],[Class]]="B", WORKDAY(Main[[#This Row],[Tech Start Date]],15),IF(Main[[#This Row],[Class]]="A",WORKDAY(Main[[#This Row],[Tech Start Date]],5),""))))</f>
        <v/>
      </c>
      <c r="P1199" s="73" t="str">
        <f>IF(Main[[#This Row],[Tech Start Date]]&lt;1/1/1990,"",IF(Main[[#This Row],[Class]]="C",WORKDAY(Main[[#This Row],[Tech Start Date]],28),IF(Main[[#This Row],[Class]]="B", WORKDAY(Main[[#This Row],[Tech Start Date]],19),IF(Main[[#This Row],[Class]]="A",WORKDAY(Main[[#This Row],[Tech Start Date]],9),""))))</f>
        <v/>
      </c>
      <c r="Q1199" s="85"/>
      <c r="R1199" s="112">
        <v>40875</v>
      </c>
      <c r="S1199" s="95" t="s">
        <v>17</v>
      </c>
      <c r="T1199" s="74" t="s">
        <v>4</v>
      </c>
      <c r="U1199" s="95" t="s">
        <v>29</v>
      </c>
      <c r="V1199" s="95" t="s">
        <v>1914</v>
      </c>
      <c r="W1199" s="95" t="s">
        <v>1916</v>
      </c>
      <c r="X1199" s="95" t="s">
        <v>553</v>
      </c>
      <c r="Y1199" s="72" t="s">
        <v>2930</v>
      </c>
      <c r="Z1199" s="72" t="s">
        <v>652</v>
      </c>
      <c r="AA1199" s="95" t="s">
        <v>553</v>
      </c>
      <c r="AB1199" s="132"/>
      <c r="AC1199" s="132"/>
      <c r="AD1199" s="132"/>
      <c r="AE1199" s="63"/>
      <c r="AF1199" s="63"/>
      <c r="AG1199" s="63"/>
    </row>
    <row r="1200" spans="1:33" ht="17.2" customHeight="1">
      <c r="A1200" s="64" t="str">
        <f>IF(priority(Main[[#This Row],[Comments]])&lt;&gt;0, priority(Main[[#This Row],[Comments]]),"")</f>
        <v/>
      </c>
      <c r="B1200" s="60" t="s">
        <v>4051</v>
      </c>
      <c r="C1200" s="72" t="s">
        <v>72</v>
      </c>
      <c r="D1200" s="59" t="s">
        <v>4052</v>
      </c>
      <c r="E1200" s="85"/>
      <c r="F1200" s="85">
        <v>41153</v>
      </c>
      <c r="G1200" s="64" t="str">
        <f>IF(stdProdLT(Main[[#This Row],[Comments]])=0.1,"N/A",IF(stdProdLT(Main[[#This Row],[Comments]])=0,"",TRIM(stdProdLT(Main[[#This Row],[Comments]]))))</f>
        <v/>
      </c>
      <c r="H1200" s="94" t="str">
        <f>IF(OR(Main[[#This Row],[Std. Prod. Lead Time]]="N/A",Main[[#This Row],[Std. Prod. Lead Time]]=""), "",IF(AND(Main[[#This Row],[In Stock Date]]&lt;&gt;"",Main[[#This Row],[Revised Due Date]]&lt;&gt;"",Main[[#This Row],[In Stock Date]]&lt;&gt;""),Main[[#This Row],[In Stock Date]]-Main[[#This Row],[Revised Due Date]],""))</f>
        <v/>
      </c>
      <c r="I1200" s="101" t="s">
        <v>4</v>
      </c>
      <c r="J1200" s="95" t="s">
        <v>4</v>
      </c>
      <c r="K1200" s="95" t="s">
        <v>4</v>
      </c>
      <c r="L1200" s="85"/>
      <c r="M1200" s="73" t="str">
        <f>IF(Main[[#This Row],[Tech Start Date]]&lt;1/1/1990,"",IF(Main[[#This Row],[Class]]="C",WORKDAY(Main[[#This Row],[Tech Start Date]],9),IF(Main[[#This Row],[Class]]="B", WORKDAY(Main[[#This Row],[Tech Start Date]],6),IF(Main[[#This Row],[Class]]="A",WORKDAY(Main[[#This Row],[Tech Start Date]],2),""))))</f>
        <v/>
      </c>
      <c r="N1200" s="73" t="str">
        <f>IF(Main[[#This Row],[Tech Start Date]]&lt;1/1/1990,"",IF(Main[[#This Row],[Class]]="C",WORKDAY(Main[[#This Row],[Tech Start Date]],19),IF(Main[[#This Row],[Class]]="B", WORKDAY(Main[[#This Row],[Tech Start Date]],12),IF(Main[[#This Row],[Class]]="A",WORKDAY(Main[[#This Row],[Tech Start Date]],4),""))))</f>
        <v/>
      </c>
      <c r="O1200" s="73" t="str">
        <f>IF(Main[[#This Row],[Tech Start Date]]&lt;1/1/1990,"",IF(Main[[#This Row],[Class]]="C",WORKDAY(Main[[#This Row],[Tech Start Date]],23),IF(Main[[#This Row],[Class]]="B", WORKDAY(Main[[#This Row],[Tech Start Date]],15),IF(Main[[#This Row],[Class]]="A",WORKDAY(Main[[#This Row],[Tech Start Date]],5),""))))</f>
        <v/>
      </c>
      <c r="P1200" s="73" t="str">
        <f>IF(Main[[#This Row],[Tech Start Date]]&lt;1/1/1990,"",IF(Main[[#This Row],[Class]]="C",WORKDAY(Main[[#This Row],[Tech Start Date]],28),IF(Main[[#This Row],[Class]]="B", WORKDAY(Main[[#This Row],[Tech Start Date]],19),IF(Main[[#This Row],[Class]]="A",WORKDAY(Main[[#This Row],[Tech Start Date]],9),""))))</f>
        <v/>
      </c>
      <c r="Q1200" s="85"/>
      <c r="R1200" s="112"/>
      <c r="S1200" s="95" t="s">
        <v>11</v>
      </c>
      <c r="T1200" s="74" t="s">
        <v>4</v>
      </c>
      <c r="U1200" s="95" t="s">
        <v>12</v>
      </c>
      <c r="V1200" s="95" t="s">
        <v>1912</v>
      </c>
      <c r="W1200" s="95" t="s">
        <v>1919</v>
      </c>
      <c r="X1200" s="95" t="s">
        <v>2881</v>
      </c>
      <c r="Y1200" s="72" t="s">
        <v>4053</v>
      </c>
      <c r="Z1200" s="72" t="s">
        <v>4</v>
      </c>
      <c r="AA1200" s="95" t="s">
        <v>2881</v>
      </c>
      <c r="AB1200" s="132"/>
      <c r="AC1200" s="132"/>
      <c r="AD1200" s="132"/>
      <c r="AE1200" s="63"/>
      <c r="AF1200" s="63"/>
      <c r="AG1200" s="63"/>
    </row>
    <row r="1201" spans="1:33" ht="17.2" customHeight="1">
      <c r="A1201" s="64" t="str">
        <f>IF(priority(Main[[#This Row],[Comments]])&lt;&gt;0, priority(Main[[#This Row],[Comments]]),"")</f>
        <v/>
      </c>
      <c r="B1201" s="60" t="s">
        <v>1296</v>
      </c>
      <c r="C1201" s="72" t="s">
        <v>4</v>
      </c>
      <c r="D1201" s="59" t="s">
        <v>369</v>
      </c>
      <c r="E1201" s="85">
        <v>40610.689421296294</v>
      </c>
      <c r="F1201" s="85"/>
      <c r="G1201" s="64" t="str">
        <f>IF(stdProdLT(Main[[#This Row],[Comments]])=0.1,"N/A",IF(stdProdLT(Main[[#This Row],[Comments]])=0,"",TRIM(stdProdLT(Main[[#This Row],[Comments]]))))</f>
        <v/>
      </c>
      <c r="H1201" s="94" t="str">
        <f>IF(OR(Main[[#This Row],[Std. Prod. Lead Time]]="N/A",Main[[#This Row],[Std. Prod. Lead Time]]=""), "",IF(AND(Main[[#This Row],[In Stock Date]]&lt;&gt;"",Main[[#This Row],[Revised Due Date]]&lt;&gt;"",Main[[#This Row],[In Stock Date]]&lt;&gt;""),Main[[#This Row],[In Stock Date]]-Main[[#This Row],[Revised Due Date]],""))</f>
        <v/>
      </c>
      <c r="I1201" s="101" t="s">
        <v>239</v>
      </c>
      <c r="J1201" s="95" t="s">
        <v>28</v>
      </c>
      <c r="K1201" s="95" t="s">
        <v>1920</v>
      </c>
      <c r="L1201" s="85"/>
      <c r="M1201" s="73" t="str">
        <f>IF(Main[[#This Row],[Tech Start Date]]&lt;1/1/1990,"",IF(Main[[#This Row],[Class]]="C",WORKDAY(Main[[#This Row],[Tech Start Date]],9),IF(Main[[#This Row],[Class]]="B", WORKDAY(Main[[#This Row],[Tech Start Date]],6),IF(Main[[#This Row],[Class]]="A",WORKDAY(Main[[#This Row],[Tech Start Date]],2),""))))</f>
        <v/>
      </c>
      <c r="N1201" s="73" t="str">
        <f>IF(Main[[#This Row],[Tech Start Date]]&lt;1/1/1990,"",IF(Main[[#This Row],[Class]]="C",WORKDAY(Main[[#This Row],[Tech Start Date]],19),IF(Main[[#This Row],[Class]]="B", WORKDAY(Main[[#This Row],[Tech Start Date]],12),IF(Main[[#This Row],[Class]]="A",WORKDAY(Main[[#This Row],[Tech Start Date]],4),""))))</f>
        <v/>
      </c>
      <c r="O1201" s="73" t="str">
        <f>IF(Main[[#This Row],[Tech Start Date]]&lt;1/1/1990,"",IF(Main[[#This Row],[Class]]="C",WORKDAY(Main[[#This Row],[Tech Start Date]],23),IF(Main[[#This Row],[Class]]="B", WORKDAY(Main[[#This Row],[Tech Start Date]],15),IF(Main[[#This Row],[Class]]="A",WORKDAY(Main[[#This Row],[Tech Start Date]],5),""))))</f>
        <v/>
      </c>
      <c r="P1201" s="73" t="str">
        <f>IF(Main[[#This Row],[Tech Start Date]]&lt;1/1/1990,"",IF(Main[[#This Row],[Class]]="C",WORKDAY(Main[[#This Row],[Tech Start Date]],28),IF(Main[[#This Row],[Class]]="B", WORKDAY(Main[[#This Row],[Tech Start Date]],19),IF(Main[[#This Row],[Class]]="A",WORKDAY(Main[[#This Row],[Tech Start Date]],9),""))))</f>
        <v/>
      </c>
      <c r="Q1201" s="85">
        <v>40695</v>
      </c>
      <c r="R1201" s="112"/>
      <c r="S1201" s="95" t="s">
        <v>6</v>
      </c>
      <c r="T1201" s="74" t="s">
        <v>4</v>
      </c>
      <c r="U1201" s="95" t="s">
        <v>29</v>
      </c>
      <c r="V1201" s="95" t="s">
        <v>1914</v>
      </c>
      <c r="W1201" s="95" t="s">
        <v>1913</v>
      </c>
      <c r="X1201" s="95" t="s">
        <v>553</v>
      </c>
      <c r="Y1201" s="72" t="s">
        <v>2930</v>
      </c>
      <c r="Z1201" s="72" t="s">
        <v>306</v>
      </c>
      <c r="AA1201" s="95" t="s">
        <v>553</v>
      </c>
      <c r="AB1201" s="132"/>
      <c r="AC1201" s="132"/>
      <c r="AD1201" s="132"/>
      <c r="AE1201" s="63"/>
      <c r="AF1201" s="63"/>
      <c r="AG1201" s="63"/>
    </row>
    <row r="1202" spans="1:33" ht="17.2" customHeight="1">
      <c r="A1202" s="64" t="str">
        <f>IF(priority(Main[[#This Row],[Comments]])&lt;&gt;0, priority(Main[[#This Row],[Comments]]),"")</f>
        <v/>
      </c>
      <c r="B1202" s="60" t="s">
        <v>2534</v>
      </c>
      <c r="C1202" s="72" t="s">
        <v>2535</v>
      </c>
      <c r="D1202" s="59" t="s">
        <v>2536</v>
      </c>
      <c r="E1202" s="85"/>
      <c r="F1202" s="85"/>
      <c r="G1202" s="64" t="str">
        <f>IF(stdProdLT(Main[[#This Row],[Comments]])=0.1,"N/A",IF(stdProdLT(Main[[#This Row],[Comments]])=0,"",TRIM(stdProdLT(Main[[#This Row],[Comments]]))))</f>
        <v/>
      </c>
      <c r="H1202" s="94" t="str">
        <f>IF(OR(Main[[#This Row],[Std. Prod. Lead Time]]="N/A",Main[[#This Row],[Std. Prod. Lead Time]]=""), "",IF(AND(Main[[#This Row],[In Stock Date]]&lt;&gt;"",Main[[#This Row],[Revised Due Date]]&lt;&gt;"",Main[[#This Row],[In Stock Date]]&lt;&gt;""),Main[[#This Row],[In Stock Date]]-Main[[#This Row],[Revised Due Date]],""))</f>
        <v/>
      </c>
      <c r="I1202" s="101" t="s">
        <v>4</v>
      </c>
      <c r="J1202" s="95" t="s">
        <v>4</v>
      </c>
      <c r="K1202" s="95" t="s">
        <v>4</v>
      </c>
      <c r="L1202" s="85"/>
      <c r="M1202" s="73" t="str">
        <f>IF(Main[[#This Row],[Tech Start Date]]&lt;1/1/1990,"",IF(Main[[#This Row],[Class]]="C",WORKDAY(Main[[#This Row],[Tech Start Date]],9),IF(Main[[#This Row],[Class]]="B", WORKDAY(Main[[#This Row],[Tech Start Date]],6),IF(Main[[#This Row],[Class]]="A",WORKDAY(Main[[#This Row],[Tech Start Date]],2),""))))</f>
        <v/>
      </c>
      <c r="N1202" s="73" t="str">
        <f>IF(Main[[#This Row],[Tech Start Date]]&lt;1/1/1990,"",IF(Main[[#This Row],[Class]]="C",WORKDAY(Main[[#This Row],[Tech Start Date]],19),IF(Main[[#This Row],[Class]]="B", WORKDAY(Main[[#This Row],[Tech Start Date]],12),IF(Main[[#This Row],[Class]]="A",WORKDAY(Main[[#This Row],[Tech Start Date]],4),""))))</f>
        <v/>
      </c>
      <c r="O1202" s="73" t="str">
        <f>IF(Main[[#This Row],[Tech Start Date]]&lt;1/1/1990,"",IF(Main[[#This Row],[Class]]="C",WORKDAY(Main[[#This Row],[Tech Start Date]],23),IF(Main[[#This Row],[Class]]="B", WORKDAY(Main[[#This Row],[Tech Start Date]],15),IF(Main[[#This Row],[Class]]="A",WORKDAY(Main[[#This Row],[Tech Start Date]],5),""))))</f>
        <v/>
      </c>
      <c r="P1202" s="73" t="str">
        <f>IF(Main[[#This Row],[Tech Start Date]]&lt;1/1/1990,"",IF(Main[[#This Row],[Class]]="C",WORKDAY(Main[[#This Row],[Tech Start Date]],28),IF(Main[[#This Row],[Class]]="B", WORKDAY(Main[[#This Row],[Tech Start Date]],19),IF(Main[[#This Row],[Class]]="A",WORKDAY(Main[[#This Row],[Tech Start Date]],9),""))))</f>
        <v/>
      </c>
      <c r="Q1202" s="85"/>
      <c r="R1202" s="112"/>
      <c r="S1202" s="95" t="s">
        <v>11</v>
      </c>
      <c r="T1202" s="74" t="s">
        <v>4</v>
      </c>
      <c r="U1202" s="95" t="s">
        <v>14</v>
      </c>
      <c r="V1202" s="95" t="s">
        <v>1912</v>
      </c>
      <c r="W1202" s="95" t="s">
        <v>1913</v>
      </c>
      <c r="X1202" s="95" t="s">
        <v>2796</v>
      </c>
      <c r="Y1202" s="72" t="s">
        <v>2971</v>
      </c>
      <c r="Z1202" s="72" t="s">
        <v>4</v>
      </c>
      <c r="AA1202" s="95" t="s">
        <v>3423</v>
      </c>
      <c r="AB1202" s="132"/>
      <c r="AC1202" s="132"/>
      <c r="AD1202" s="132"/>
      <c r="AE1202" s="63"/>
      <c r="AF1202" s="63"/>
      <c r="AG1202" s="63"/>
    </row>
    <row r="1203" spans="1:33" ht="17.2" customHeight="1">
      <c r="A1203" s="64" t="str">
        <f>IF(priority(Main[[#This Row],[Comments]])&lt;&gt;0, priority(Main[[#This Row],[Comments]]),"")</f>
        <v/>
      </c>
      <c r="B1203" s="60" t="s">
        <v>1321</v>
      </c>
      <c r="C1203" s="72" t="s">
        <v>4</v>
      </c>
      <c r="D1203" s="59" t="s">
        <v>3609</v>
      </c>
      <c r="E1203" s="85">
        <v>40585.595960648148</v>
      </c>
      <c r="F1203" s="85"/>
      <c r="G1203" s="64" t="str">
        <f>IF(stdProdLT(Main[[#This Row],[Comments]])=0.1,"N/A",IF(stdProdLT(Main[[#This Row],[Comments]])=0,"",TRIM(stdProdLT(Main[[#This Row],[Comments]]))))</f>
        <v/>
      </c>
      <c r="H1203" s="94" t="str">
        <f>IF(OR(Main[[#This Row],[Std. Prod. Lead Time]]="N/A",Main[[#This Row],[Std. Prod. Lead Time]]=""), "",IF(AND(Main[[#This Row],[In Stock Date]]&lt;&gt;"",Main[[#This Row],[Revised Due Date]]&lt;&gt;"",Main[[#This Row],[In Stock Date]]&lt;&gt;""),Main[[#This Row],[In Stock Date]]-Main[[#This Row],[Revised Due Date]],""))</f>
        <v/>
      </c>
      <c r="I1203" s="101" t="s">
        <v>74</v>
      </c>
      <c r="J1203" s="95" t="s">
        <v>4</v>
      </c>
      <c r="K1203" s="95" t="s">
        <v>4</v>
      </c>
      <c r="L1203" s="85"/>
      <c r="M1203" s="73" t="str">
        <f>IF(Main[[#This Row],[Tech Start Date]]&lt;1/1/1990,"",IF(Main[[#This Row],[Class]]="C",WORKDAY(Main[[#This Row],[Tech Start Date]],9),IF(Main[[#This Row],[Class]]="B", WORKDAY(Main[[#This Row],[Tech Start Date]],6),IF(Main[[#This Row],[Class]]="A",WORKDAY(Main[[#This Row],[Tech Start Date]],2),""))))</f>
        <v/>
      </c>
      <c r="N1203" s="73" t="str">
        <f>IF(Main[[#This Row],[Tech Start Date]]&lt;1/1/1990,"",IF(Main[[#This Row],[Class]]="C",WORKDAY(Main[[#This Row],[Tech Start Date]],19),IF(Main[[#This Row],[Class]]="B", WORKDAY(Main[[#This Row],[Tech Start Date]],12),IF(Main[[#This Row],[Class]]="A",WORKDAY(Main[[#This Row],[Tech Start Date]],4),""))))</f>
        <v/>
      </c>
      <c r="O1203" s="73" t="str">
        <f>IF(Main[[#This Row],[Tech Start Date]]&lt;1/1/1990,"",IF(Main[[#This Row],[Class]]="C",WORKDAY(Main[[#This Row],[Tech Start Date]],23),IF(Main[[#This Row],[Class]]="B", WORKDAY(Main[[#This Row],[Tech Start Date]],15),IF(Main[[#This Row],[Class]]="A",WORKDAY(Main[[#This Row],[Tech Start Date]],5),""))))</f>
        <v/>
      </c>
      <c r="P1203" s="73" t="str">
        <f>IF(Main[[#This Row],[Tech Start Date]]&lt;1/1/1990,"",IF(Main[[#This Row],[Class]]="C",WORKDAY(Main[[#This Row],[Tech Start Date]],28),IF(Main[[#This Row],[Class]]="B", WORKDAY(Main[[#This Row],[Tech Start Date]],19),IF(Main[[#This Row],[Class]]="A",WORKDAY(Main[[#This Row],[Tech Start Date]],9),""))))</f>
        <v/>
      </c>
      <c r="Q1203" s="85">
        <v>40592</v>
      </c>
      <c r="R1203" s="112"/>
      <c r="S1203" s="95" t="s">
        <v>6</v>
      </c>
      <c r="T1203" s="74" t="s">
        <v>4</v>
      </c>
      <c r="U1203" s="95" t="s">
        <v>29</v>
      </c>
      <c r="V1203" s="95" t="s">
        <v>1914</v>
      </c>
      <c r="W1203" s="95" t="s">
        <v>1915</v>
      </c>
      <c r="X1203" s="95" t="s">
        <v>74</v>
      </c>
      <c r="Y1203" s="72" t="s">
        <v>3009</v>
      </c>
      <c r="Z1203" s="72" t="s">
        <v>415</v>
      </c>
      <c r="AA1203" s="95" t="s">
        <v>74</v>
      </c>
      <c r="AB1203" s="132"/>
      <c r="AC1203" s="132"/>
      <c r="AD1203" s="132"/>
      <c r="AE1203" s="63"/>
      <c r="AF1203" s="63"/>
      <c r="AG1203" s="63"/>
    </row>
    <row r="1204" spans="1:33" ht="17.2" customHeight="1">
      <c r="A1204" s="64" t="str">
        <f>IF(priority(Main[[#This Row],[Comments]])&lt;&gt;0, priority(Main[[#This Row],[Comments]]),"")</f>
        <v/>
      </c>
      <c r="B1204" s="60" t="s">
        <v>2327</v>
      </c>
      <c r="C1204" s="72" t="s">
        <v>4</v>
      </c>
      <c r="D1204" s="59" t="s">
        <v>2328</v>
      </c>
      <c r="E1204" s="85"/>
      <c r="F1204" s="85"/>
      <c r="G1204" s="64" t="str">
        <f>IF(stdProdLT(Main[[#This Row],[Comments]])=0.1,"N/A",IF(stdProdLT(Main[[#This Row],[Comments]])=0,"",TRIM(stdProdLT(Main[[#This Row],[Comments]]))))</f>
        <v/>
      </c>
      <c r="H1204" s="94" t="str">
        <f>IF(OR(Main[[#This Row],[Std. Prod. Lead Time]]="N/A",Main[[#This Row],[Std. Prod. Lead Time]]=""), "",IF(AND(Main[[#This Row],[In Stock Date]]&lt;&gt;"",Main[[#This Row],[Revised Due Date]]&lt;&gt;"",Main[[#This Row],[In Stock Date]]&lt;&gt;""),Main[[#This Row],[In Stock Date]]-Main[[#This Row],[Revised Due Date]],""))</f>
        <v/>
      </c>
      <c r="I1204" s="101" t="s">
        <v>4</v>
      </c>
      <c r="J1204" s="95" t="s">
        <v>4</v>
      </c>
      <c r="K1204" s="95" t="s">
        <v>4</v>
      </c>
      <c r="L1204" s="85"/>
      <c r="M1204" s="73" t="str">
        <f>IF(Main[[#This Row],[Tech Start Date]]&lt;1/1/1990,"",IF(Main[[#This Row],[Class]]="C",WORKDAY(Main[[#This Row],[Tech Start Date]],9),IF(Main[[#This Row],[Class]]="B", WORKDAY(Main[[#This Row],[Tech Start Date]],6),IF(Main[[#This Row],[Class]]="A",WORKDAY(Main[[#This Row],[Tech Start Date]],2),""))))</f>
        <v/>
      </c>
      <c r="N1204" s="73" t="str">
        <f>IF(Main[[#This Row],[Tech Start Date]]&lt;1/1/1990,"",IF(Main[[#This Row],[Class]]="C",WORKDAY(Main[[#This Row],[Tech Start Date]],19),IF(Main[[#This Row],[Class]]="B", WORKDAY(Main[[#This Row],[Tech Start Date]],12),IF(Main[[#This Row],[Class]]="A",WORKDAY(Main[[#This Row],[Tech Start Date]],4),""))))</f>
        <v/>
      </c>
      <c r="O1204" s="73" t="str">
        <f>IF(Main[[#This Row],[Tech Start Date]]&lt;1/1/1990,"",IF(Main[[#This Row],[Class]]="C",WORKDAY(Main[[#This Row],[Tech Start Date]],23),IF(Main[[#This Row],[Class]]="B", WORKDAY(Main[[#This Row],[Tech Start Date]],15),IF(Main[[#This Row],[Class]]="A",WORKDAY(Main[[#This Row],[Tech Start Date]],5),""))))</f>
        <v/>
      </c>
      <c r="P1204" s="73" t="str">
        <f>IF(Main[[#This Row],[Tech Start Date]]&lt;1/1/1990,"",IF(Main[[#This Row],[Class]]="C",WORKDAY(Main[[#This Row],[Tech Start Date]],28),IF(Main[[#This Row],[Class]]="B", WORKDAY(Main[[#This Row],[Tech Start Date]],19),IF(Main[[#This Row],[Class]]="A",WORKDAY(Main[[#This Row],[Tech Start Date]],9),""))))</f>
        <v/>
      </c>
      <c r="Q1204" s="85"/>
      <c r="R1204" s="112"/>
      <c r="S1204" s="95" t="s">
        <v>11</v>
      </c>
      <c r="T1204" s="74" t="s">
        <v>4</v>
      </c>
      <c r="U1204" s="95" t="s">
        <v>14</v>
      </c>
      <c r="V1204" s="95" t="s">
        <v>1911</v>
      </c>
      <c r="W1204" s="95" t="s">
        <v>1919</v>
      </c>
      <c r="X1204" s="95" t="s">
        <v>306</v>
      </c>
      <c r="Y1204" s="72" t="s">
        <v>2919</v>
      </c>
      <c r="Z1204" s="72" t="s">
        <v>4</v>
      </c>
      <c r="AA1204" s="95" t="s">
        <v>306</v>
      </c>
      <c r="AB1204" s="132"/>
      <c r="AC1204" s="132"/>
      <c r="AD1204" s="132"/>
      <c r="AE1204" s="63"/>
      <c r="AF1204" s="63"/>
      <c r="AG1204" s="63"/>
    </row>
    <row r="1205" spans="1:33" ht="17.2" customHeight="1">
      <c r="A1205" s="64" t="str">
        <f>IF(priority(Main[[#This Row],[Comments]])&lt;&gt;0, priority(Main[[#This Row],[Comments]]),"")</f>
        <v/>
      </c>
      <c r="B1205" s="60" t="s">
        <v>2537</v>
      </c>
      <c r="C1205" s="72" t="s">
        <v>4</v>
      </c>
      <c r="D1205" s="59" t="s">
        <v>2749</v>
      </c>
      <c r="E1205" s="85">
        <v>40870.465879629628</v>
      </c>
      <c r="F1205" s="85"/>
      <c r="G1205" s="64" t="str">
        <f>IF(stdProdLT(Main[[#This Row],[Comments]])=0.1,"N/A",IF(stdProdLT(Main[[#This Row],[Comments]])=0,"",TRIM(stdProdLT(Main[[#This Row],[Comments]]))))</f>
        <v/>
      </c>
      <c r="H1205" s="94" t="str">
        <f>IF(OR(Main[[#This Row],[Std. Prod. Lead Time]]="N/A",Main[[#This Row],[Std. Prod. Lead Time]]=""), "",IF(AND(Main[[#This Row],[In Stock Date]]&lt;&gt;"",Main[[#This Row],[Revised Due Date]]&lt;&gt;"",Main[[#This Row],[In Stock Date]]&lt;&gt;""),Main[[#This Row],[In Stock Date]]-Main[[#This Row],[Revised Due Date]],""))</f>
        <v/>
      </c>
      <c r="I1205" s="101" t="s">
        <v>429</v>
      </c>
      <c r="J1205" s="95" t="s">
        <v>28</v>
      </c>
      <c r="K1205" s="95" t="s">
        <v>1920</v>
      </c>
      <c r="L1205" s="85"/>
      <c r="M1205" s="73" t="str">
        <f>IF(Main[[#This Row],[Tech Start Date]]&lt;1/1/1990,"",IF(Main[[#This Row],[Class]]="C",WORKDAY(Main[[#This Row],[Tech Start Date]],9),IF(Main[[#This Row],[Class]]="B", WORKDAY(Main[[#This Row],[Tech Start Date]],6),IF(Main[[#This Row],[Class]]="A",WORKDAY(Main[[#This Row],[Tech Start Date]],2),""))))</f>
        <v/>
      </c>
      <c r="N1205" s="73" t="str">
        <f>IF(Main[[#This Row],[Tech Start Date]]&lt;1/1/1990,"",IF(Main[[#This Row],[Class]]="C",WORKDAY(Main[[#This Row],[Tech Start Date]],19),IF(Main[[#This Row],[Class]]="B", WORKDAY(Main[[#This Row],[Tech Start Date]],12),IF(Main[[#This Row],[Class]]="A",WORKDAY(Main[[#This Row],[Tech Start Date]],4),""))))</f>
        <v/>
      </c>
      <c r="O1205" s="73" t="str">
        <f>IF(Main[[#This Row],[Tech Start Date]]&lt;1/1/1990,"",IF(Main[[#This Row],[Class]]="C",WORKDAY(Main[[#This Row],[Tech Start Date]],23),IF(Main[[#This Row],[Class]]="B", WORKDAY(Main[[#This Row],[Tech Start Date]],15),IF(Main[[#This Row],[Class]]="A",WORKDAY(Main[[#This Row],[Tech Start Date]],5),""))))</f>
        <v/>
      </c>
      <c r="P1205" s="73" t="str">
        <f>IF(Main[[#This Row],[Tech Start Date]]&lt;1/1/1990,"",IF(Main[[#This Row],[Class]]="C",WORKDAY(Main[[#This Row],[Tech Start Date]],28),IF(Main[[#This Row],[Class]]="B", WORKDAY(Main[[#This Row],[Tech Start Date]],19),IF(Main[[#This Row],[Class]]="A",WORKDAY(Main[[#This Row],[Tech Start Date]],9),""))))</f>
        <v/>
      </c>
      <c r="Q1205" s="85">
        <v>40905</v>
      </c>
      <c r="R1205" s="112"/>
      <c r="S1205" s="95" t="s">
        <v>6</v>
      </c>
      <c r="T1205" s="74" t="s">
        <v>4</v>
      </c>
      <c r="U1205" s="95" t="s">
        <v>29</v>
      </c>
      <c r="V1205" s="95" t="s">
        <v>1914</v>
      </c>
      <c r="W1205" s="95" t="s">
        <v>1915</v>
      </c>
      <c r="X1205" s="95" t="s">
        <v>2045</v>
      </c>
      <c r="Y1205" s="72" t="s">
        <v>3038</v>
      </c>
      <c r="Z1205" s="72" t="s">
        <v>30</v>
      </c>
      <c r="AA1205" s="95" t="s">
        <v>2875</v>
      </c>
      <c r="AB1205" s="132"/>
      <c r="AC1205" s="132"/>
      <c r="AD1205" s="132"/>
      <c r="AE1205" s="63"/>
      <c r="AF1205" s="63"/>
      <c r="AG1205" s="63"/>
    </row>
    <row r="1206" spans="1:33" ht="17.2" customHeight="1">
      <c r="A1206" s="64" t="str">
        <f>IF(priority(Main[[#This Row],[Comments]])&lt;&gt;0, priority(Main[[#This Row],[Comments]]),"")</f>
        <v/>
      </c>
      <c r="B1206" s="60" t="s">
        <v>2504</v>
      </c>
      <c r="C1206" s="72" t="s">
        <v>4</v>
      </c>
      <c r="D1206" s="59" t="s">
        <v>2750</v>
      </c>
      <c r="E1206" s="85">
        <v>40870.466527777775</v>
      </c>
      <c r="F1206" s="85"/>
      <c r="G1206" s="64" t="str">
        <f>IF(stdProdLT(Main[[#This Row],[Comments]])=0.1,"N/A",IF(stdProdLT(Main[[#This Row],[Comments]])=0,"",TRIM(stdProdLT(Main[[#This Row],[Comments]]))))</f>
        <v/>
      </c>
      <c r="H1206" s="94" t="str">
        <f>IF(OR(Main[[#This Row],[Std. Prod. Lead Time]]="N/A",Main[[#This Row],[Std. Prod. Lead Time]]=""), "",IF(AND(Main[[#This Row],[In Stock Date]]&lt;&gt;"",Main[[#This Row],[Revised Due Date]]&lt;&gt;"",Main[[#This Row],[In Stock Date]]&lt;&gt;""),Main[[#This Row],[In Stock Date]]-Main[[#This Row],[Revised Due Date]],""))</f>
        <v/>
      </c>
      <c r="I1206" s="101" t="s">
        <v>429</v>
      </c>
      <c r="J1206" s="95" t="s">
        <v>28</v>
      </c>
      <c r="K1206" s="95" t="s">
        <v>1920</v>
      </c>
      <c r="L1206" s="85"/>
      <c r="M1206" s="73" t="str">
        <f>IF(Main[[#This Row],[Tech Start Date]]&lt;1/1/1990,"",IF(Main[[#This Row],[Class]]="C",WORKDAY(Main[[#This Row],[Tech Start Date]],9),IF(Main[[#This Row],[Class]]="B", WORKDAY(Main[[#This Row],[Tech Start Date]],6),IF(Main[[#This Row],[Class]]="A",WORKDAY(Main[[#This Row],[Tech Start Date]],2),""))))</f>
        <v/>
      </c>
      <c r="N1206" s="73" t="str">
        <f>IF(Main[[#This Row],[Tech Start Date]]&lt;1/1/1990,"",IF(Main[[#This Row],[Class]]="C",WORKDAY(Main[[#This Row],[Tech Start Date]],19),IF(Main[[#This Row],[Class]]="B", WORKDAY(Main[[#This Row],[Tech Start Date]],12),IF(Main[[#This Row],[Class]]="A",WORKDAY(Main[[#This Row],[Tech Start Date]],4),""))))</f>
        <v/>
      </c>
      <c r="O1206" s="73" t="str">
        <f>IF(Main[[#This Row],[Tech Start Date]]&lt;1/1/1990,"",IF(Main[[#This Row],[Class]]="C",WORKDAY(Main[[#This Row],[Tech Start Date]],23),IF(Main[[#This Row],[Class]]="B", WORKDAY(Main[[#This Row],[Tech Start Date]],15),IF(Main[[#This Row],[Class]]="A",WORKDAY(Main[[#This Row],[Tech Start Date]],5),""))))</f>
        <v/>
      </c>
      <c r="P1206" s="73" t="str">
        <f>IF(Main[[#This Row],[Tech Start Date]]&lt;1/1/1990,"",IF(Main[[#This Row],[Class]]="C",WORKDAY(Main[[#This Row],[Tech Start Date]],28),IF(Main[[#This Row],[Class]]="B", WORKDAY(Main[[#This Row],[Tech Start Date]],19),IF(Main[[#This Row],[Class]]="A",WORKDAY(Main[[#This Row],[Tech Start Date]],9),""))))</f>
        <v/>
      </c>
      <c r="Q1206" s="85">
        <v>40905</v>
      </c>
      <c r="R1206" s="112"/>
      <c r="S1206" s="95" t="s">
        <v>6</v>
      </c>
      <c r="T1206" s="74" t="s">
        <v>4</v>
      </c>
      <c r="U1206" s="95" t="s">
        <v>29</v>
      </c>
      <c r="V1206" s="95" t="s">
        <v>1914</v>
      </c>
      <c r="W1206" s="95" t="s">
        <v>1915</v>
      </c>
      <c r="X1206" s="95" t="s">
        <v>2045</v>
      </c>
      <c r="Y1206" s="72" t="s">
        <v>3038</v>
      </c>
      <c r="Z1206" s="72" t="s">
        <v>30</v>
      </c>
      <c r="AA1206" s="95" t="s">
        <v>2875</v>
      </c>
      <c r="AB1206" s="132"/>
      <c r="AC1206" s="132"/>
      <c r="AD1206" s="132"/>
      <c r="AE1206" s="63"/>
      <c r="AF1206" s="63"/>
      <c r="AG1206" s="63"/>
    </row>
    <row r="1207" spans="1:33" ht="17.2" customHeight="1">
      <c r="A1207" s="64" t="str">
        <f>IF(priority(Main[[#This Row],[Comments]])&lt;&gt;0, priority(Main[[#This Row],[Comments]]),"")</f>
        <v/>
      </c>
      <c r="B1207" s="60" t="s">
        <v>2696</v>
      </c>
      <c r="C1207" s="72" t="s">
        <v>4</v>
      </c>
      <c r="D1207" s="59" t="s">
        <v>3594</v>
      </c>
      <c r="E1207" s="85">
        <v>40917.685127314813</v>
      </c>
      <c r="F1207" s="85"/>
      <c r="G1207" s="64" t="str">
        <f>IF(stdProdLT(Main[[#This Row],[Comments]])=0.1,"N/A",IF(stdProdLT(Main[[#This Row],[Comments]])=0,"",TRIM(stdProdLT(Main[[#This Row],[Comments]]))))</f>
        <v/>
      </c>
      <c r="H1207" s="94" t="str">
        <f>IF(OR(Main[[#This Row],[Std. Prod. Lead Time]]="N/A",Main[[#This Row],[Std. Prod. Lead Time]]=""), "",IF(AND(Main[[#This Row],[In Stock Date]]&lt;&gt;"",Main[[#This Row],[Revised Due Date]]&lt;&gt;"",Main[[#This Row],[In Stock Date]]&lt;&gt;""),Main[[#This Row],[In Stock Date]]-Main[[#This Row],[Revised Due Date]],""))</f>
        <v/>
      </c>
      <c r="I1207" s="101" t="s">
        <v>2045</v>
      </c>
      <c r="J1207" s="95" t="s">
        <v>52</v>
      </c>
      <c r="K1207" s="95" t="s">
        <v>1920</v>
      </c>
      <c r="L1207" s="85"/>
      <c r="M1207" s="73" t="str">
        <f>IF(Main[[#This Row],[Tech Start Date]]&lt;1/1/1990,"",IF(Main[[#This Row],[Class]]="C",WORKDAY(Main[[#This Row],[Tech Start Date]],9),IF(Main[[#This Row],[Class]]="B", WORKDAY(Main[[#This Row],[Tech Start Date]],6),IF(Main[[#This Row],[Class]]="A",WORKDAY(Main[[#This Row],[Tech Start Date]],2),""))))</f>
        <v/>
      </c>
      <c r="N1207" s="73" t="str">
        <f>IF(Main[[#This Row],[Tech Start Date]]&lt;1/1/1990,"",IF(Main[[#This Row],[Class]]="C",WORKDAY(Main[[#This Row],[Tech Start Date]],19),IF(Main[[#This Row],[Class]]="B", WORKDAY(Main[[#This Row],[Tech Start Date]],12),IF(Main[[#This Row],[Class]]="A",WORKDAY(Main[[#This Row],[Tech Start Date]],4),""))))</f>
        <v/>
      </c>
      <c r="O1207" s="73" t="str">
        <f>IF(Main[[#This Row],[Tech Start Date]]&lt;1/1/1990,"",IF(Main[[#This Row],[Class]]="C",WORKDAY(Main[[#This Row],[Tech Start Date]],23),IF(Main[[#This Row],[Class]]="B", WORKDAY(Main[[#This Row],[Tech Start Date]],15),IF(Main[[#This Row],[Class]]="A",WORKDAY(Main[[#This Row],[Tech Start Date]],5),""))))</f>
        <v/>
      </c>
      <c r="P1207" s="73" t="str">
        <f>IF(Main[[#This Row],[Tech Start Date]]&lt;1/1/1990,"",IF(Main[[#This Row],[Class]]="C",WORKDAY(Main[[#This Row],[Tech Start Date]],28),IF(Main[[#This Row],[Class]]="B", WORKDAY(Main[[#This Row],[Tech Start Date]],19),IF(Main[[#This Row],[Class]]="A",WORKDAY(Main[[#This Row],[Tech Start Date]],9),""))))</f>
        <v/>
      </c>
      <c r="Q1207" s="85"/>
      <c r="R1207" s="112"/>
      <c r="S1207" s="95" t="s">
        <v>6</v>
      </c>
      <c r="T1207" s="74" t="s">
        <v>4</v>
      </c>
      <c r="U1207" s="95" t="s">
        <v>29</v>
      </c>
      <c r="V1207" s="95" t="s">
        <v>1914</v>
      </c>
      <c r="W1207" s="95" t="s">
        <v>1915</v>
      </c>
      <c r="X1207" s="95" t="s">
        <v>2845</v>
      </c>
      <c r="Y1207" s="72" t="s">
        <v>2988</v>
      </c>
      <c r="Z1207" s="72" t="s">
        <v>81</v>
      </c>
      <c r="AA1207" s="95" t="s">
        <v>2845</v>
      </c>
      <c r="AB1207" s="132"/>
      <c r="AC1207" s="132"/>
      <c r="AD1207" s="132"/>
      <c r="AE1207" s="63"/>
      <c r="AF1207" s="63"/>
      <c r="AG1207" s="63"/>
    </row>
    <row r="1208" spans="1:33" ht="17.2" customHeight="1">
      <c r="A1208" s="64" t="str">
        <f>IF(priority(Main[[#This Row],[Comments]])&lt;&gt;0, priority(Main[[#This Row],[Comments]]),"")</f>
        <v/>
      </c>
      <c r="B1208" s="60" t="s">
        <v>2049</v>
      </c>
      <c r="C1208" s="72" t="s">
        <v>4</v>
      </c>
      <c r="D1208" s="59" t="s">
        <v>2050</v>
      </c>
      <c r="E1208" s="85">
        <v>40757.464699074073</v>
      </c>
      <c r="F1208" s="85"/>
      <c r="G1208" s="64" t="str">
        <f>IF(stdProdLT(Main[[#This Row],[Comments]])=0.1,"N/A",IF(stdProdLT(Main[[#This Row],[Comments]])=0,"",TRIM(stdProdLT(Main[[#This Row],[Comments]]))))</f>
        <v/>
      </c>
      <c r="H1208" s="94" t="str">
        <f>IF(OR(Main[[#This Row],[Std. Prod. Lead Time]]="N/A",Main[[#This Row],[Std. Prod. Lead Time]]=""), "",IF(AND(Main[[#This Row],[In Stock Date]]&lt;&gt;"",Main[[#This Row],[Revised Due Date]]&lt;&gt;"",Main[[#This Row],[In Stock Date]]&lt;&gt;""),Main[[#This Row],[In Stock Date]]-Main[[#This Row],[Revised Due Date]],""))</f>
        <v/>
      </c>
      <c r="I1208" s="101" t="s">
        <v>4</v>
      </c>
      <c r="J1208" s="95" t="s">
        <v>4</v>
      </c>
      <c r="K1208" s="95" t="s">
        <v>4</v>
      </c>
      <c r="L1208" s="85"/>
      <c r="M1208" s="73" t="str">
        <f>IF(Main[[#This Row],[Tech Start Date]]&lt;1/1/1990,"",IF(Main[[#This Row],[Class]]="C",WORKDAY(Main[[#This Row],[Tech Start Date]],9),IF(Main[[#This Row],[Class]]="B", WORKDAY(Main[[#This Row],[Tech Start Date]],6),IF(Main[[#This Row],[Class]]="A",WORKDAY(Main[[#This Row],[Tech Start Date]],2),""))))</f>
        <v/>
      </c>
      <c r="N1208" s="73" t="str">
        <f>IF(Main[[#This Row],[Tech Start Date]]&lt;1/1/1990,"",IF(Main[[#This Row],[Class]]="C",WORKDAY(Main[[#This Row],[Tech Start Date]],19),IF(Main[[#This Row],[Class]]="B", WORKDAY(Main[[#This Row],[Tech Start Date]],12),IF(Main[[#This Row],[Class]]="A",WORKDAY(Main[[#This Row],[Tech Start Date]],4),""))))</f>
        <v/>
      </c>
      <c r="O1208" s="73" t="str">
        <f>IF(Main[[#This Row],[Tech Start Date]]&lt;1/1/1990,"",IF(Main[[#This Row],[Class]]="C",WORKDAY(Main[[#This Row],[Tech Start Date]],23),IF(Main[[#This Row],[Class]]="B", WORKDAY(Main[[#This Row],[Tech Start Date]],15),IF(Main[[#This Row],[Class]]="A",WORKDAY(Main[[#This Row],[Tech Start Date]],5),""))))</f>
        <v/>
      </c>
      <c r="P1208" s="73" t="str">
        <f>IF(Main[[#This Row],[Tech Start Date]]&lt;1/1/1990,"",IF(Main[[#This Row],[Class]]="C",WORKDAY(Main[[#This Row],[Tech Start Date]],28),IF(Main[[#This Row],[Class]]="B", WORKDAY(Main[[#This Row],[Tech Start Date]],19),IF(Main[[#This Row],[Class]]="A",WORKDAY(Main[[#This Row],[Tech Start Date]],9),""))))</f>
        <v/>
      </c>
      <c r="Q1208" s="85"/>
      <c r="R1208" s="112"/>
      <c r="S1208" s="95" t="s">
        <v>17</v>
      </c>
      <c r="T1208" s="74" t="s">
        <v>4</v>
      </c>
      <c r="U1208" s="95" t="s">
        <v>29</v>
      </c>
      <c r="V1208" s="95" t="s">
        <v>1914</v>
      </c>
      <c r="W1208" s="95" t="s">
        <v>4</v>
      </c>
      <c r="X1208" s="95" t="s">
        <v>652</v>
      </c>
      <c r="Y1208" s="72" t="s">
        <v>3104</v>
      </c>
      <c r="Z1208" s="72" t="s">
        <v>4</v>
      </c>
      <c r="AA1208" s="95" t="s">
        <v>652</v>
      </c>
      <c r="AB1208" s="132"/>
      <c r="AC1208" s="132"/>
      <c r="AD1208" s="132"/>
      <c r="AE1208" s="63"/>
      <c r="AF1208" s="63"/>
      <c r="AG1208" s="63"/>
    </row>
    <row r="1209" spans="1:33" ht="17.2" customHeight="1">
      <c r="A1209" s="64" t="str">
        <f>IF(priority(Main[[#This Row],[Comments]])&lt;&gt;0, priority(Main[[#This Row],[Comments]]),"")</f>
        <v/>
      </c>
      <c r="B1209" s="60" t="s">
        <v>3164</v>
      </c>
      <c r="C1209" s="72" t="s">
        <v>4</v>
      </c>
      <c r="D1209" s="59" t="s">
        <v>4043</v>
      </c>
      <c r="E1209" s="85">
        <v>40921.403067129628</v>
      </c>
      <c r="F1209" s="85"/>
      <c r="G1209" s="64" t="str">
        <f>IF(stdProdLT(Main[[#This Row],[Comments]])=0.1,"N/A",IF(stdProdLT(Main[[#This Row],[Comments]])=0,"",TRIM(stdProdLT(Main[[#This Row],[Comments]]))))</f>
        <v/>
      </c>
      <c r="H1209" s="94" t="str">
        <f>IF(OR(Main[[#This Row],[Std. Prod. Lead Time]]="N/A",Main[[#This Row],[Std. Prod. Lead Time]]=""), "",IF(AND(Main[[#This Row],[In Stock Date]]&lt;&gt;"",Main[[#This Row],[Revised Due Date]]&lt;&gt;"",Main[[#This Row],[In Stock Date]]&lt;&gt;""),Main[[#This Row],[In Stock Date]]-Main[[#This Row],[Revised Due Date]],""))</f>
        <v/>
      </c>
      <c r="I1209" s="101" t="s">
        <v>30</v>
      </c>
      <c r="J1209" s="95" t="s">
        <v>52</v>
      </c>
      <c r="K1209" s="95" t="s">
        <v>1920</v>
      </c>
      <c r="L1209" s="85"/>
      <c r="M1209" s="73" t="str">
        <f>IF(Main[[#This Row],[Tech Start Date]]&lt;1/1/1990,"",IF(Main[[#This Row],[Class]]="C",WORKDAY(Main[[#This Row],[Tech Start Date]],9),IF(Main[[#This Row],[Class]]="B", WORKDAY(Main[[#This Row],[Tech Start Date]],6),IF(Main[[#This Row],[Class]]="A",WORKDAY(Main[[#This Row],[Tech Start Date]],2),""))))</f>
        <v/>
      </c>
      <c r="N1209" s="73" t="str">
        <f>IF(Main[[#This Row],[Tech Start Date]]&lt;1/1/1990,"",IF(Main[[#This Row],[Class]]="C",WORKDAY(Main[[#This Row],[Tech Start Date]],19),IF(Main[[#This Row],[Class]]="B", WORKDAY(Main[[#This Row],[Tech Start Date]],12),IF(Main[[#This Row],[Class]]="A",WORKDAY(Main[[#This Row],[Tech Start Date]],4),""))))</f>
        <v/>
      </c>
      <c r="O1209" s="73" t="str">
        <f>IF(Main[[#This Row],[Tech Start Date]]&lt;1/1/1990,"",IF(Main[[#This Row],[Class]]="C",WORKDAY(Main[[#This Row],[Tech Start Date]],23),IF(Main[[#This Row],[Class]]="B", WORKDAY(Main[[#This Row],[Tech Start Date]],15),IF(Main[[#This Row],[Class]]="A",WORKDAY(Main[[#This Row],[Tech Start Date]],5),""))))</f>
        <v/>
      </c>
      <c r="P1209" s="73" t="str">
        <f>IF(Main[[#This Row],[Tech Start Date]]&lt;1/1/1990,"",IF(Main[[#This Row],[Class]]="C",WORKDAY(Main[[#This Row],[Tech Start Date]],28),IF(Main[[#This Row],[Class]]="B", WORKDAY(Main[[#This Row],[Tech Start Date]],19),IF(Main[[#This Row],[Class]]="A",WORKDAY(Main[[#This Row],[Tech Start Date]],9),""))))</f>
        <v/>
      </c>
      <c r="Q1209" s="85"/>
      <c r="R1209" s="112"/>
      <c r="S1209" s="95" t="s">
        <v>6</v>
      </c>
      <c r="T1209" s="74" t="s">
        <v>4</v>
      </c>
      <c r="U1209" s="95" t="s">
        <v>29</v>
      </c>
      <c r="V1209" s="95" t="s">
        <v>1914</v>
      </c>
      <c r="W1209" s="95" t="s">
        <v>1919</v>
      </c>
      <c r="X1209" s="95" t="s">
        <v>306</v>
      </c>
      <c r="Y1209" s="72" t="s">
        <v>4</v>
      </c>
      <c r="Z1209" s="72" t="s">
        <v>30</v>
      </c>
      <c r="AA1209" s="95" t="s">
        <v>4</v>
      </c>
      <c r="AB1209" s="132"/>
      <c r="AC1209" s="132"/>
      <c r="AD1209" s="132"/>
      <c r="AE1209" s="63"/>
      <c r="AF1209" s="63"/>
      <c r="AG1209" s="63"/>
    </row>
    <row r="1210" spans="1:33" ht="17.2" customHeight="1">
      <c r="A1210" s="64" t="str">
        <f>IF(priority(Main[[#This Row],[Comments]])&lt;&gt;0, priority(Main[[#This Row],[Comments]]),"")</f>
        <v/>
      </c>
      <c r="B1210" s="60" t="s">
        <v>3615</v>
      </c>
      <c r="C1210" s="72" t="s">
        <v>4</v>
      </c>
      <c r="D1210" s="59" t="s">
        <v>3616</v>
      </c>
      <c r="E1210" s="85">
        <v>40966.546724537038</v>
      </c>
      <c r="F1210" s="85"/>
      <c r="G1210" s="64" t="str">
        <f>IF(stdProdLT(Main[[#This Row],[Comments]])=0.1,"N/A",IF(stdProdLT(Main[[#This Row],[Comments]])=0,"",TRIM(stdProdLT(Main[[#This Row],[Comments]]))))</f>
        <v/>
      </c>
      <c r="H1210" s="94" t="str">
        <f>IF(OR(Main[[#This Row],[Std. Prod. Lead Time]]="N/A",Main[[#This Row],[Std. Prod. Lead Time]]=""), "",IF(AND(Main[[#This Row],[In Stock Date]]&lt;&gt;"",Main[[#This Row],[Revised Due Date]]&lt;&gt;"",Main[[#This Row],[In Stock Date]]&lt;&gt;""),Main[[#This Row],[In Stock Date]]-Main[[#This Row],[Revised Due Date]],""))</f>
        <v/>
      </c>
      <c r="I1210" s="101" t="s">
        <v>4</v>
      </c>
      <c r="J1210" s="95" t="s">
        <v>4</v>
      </c>
      <c r="K1210" s="95" t="s">
        <v>4</v>
      </c>
      <c r="L1210" s="85"/>
      <c r="M1210" s="73" t="str">
        <f>IF(Main[[#This Row],[Tech Start Date]]&lt;1/1/1990,"",IF(Main[[#This Row],[Class]]="C",WORKDAY(Main[[#This Row],[Tech Start Date]],9),IF(Main[[#This Row],[Class]]="B", WORKDAY(Main[[#This Row],[Tech Start Date]],6),IF(Main[[#This Row],[Class]]="A",WORKDAY(Main[[#This Row],[Tech Start Date]],2),""))))</f>
        <v/>
      </c>
      <c r="N1210" s="73" t="str">
        <f>IF(Main[[#This Row],[Tech Start Date]]&lt;1/1/1990,"",IF(Main[[#This Row],[Class]]="C",WORKDAY(Main[[#This Row],[Tech Start Date]],19),IF(Main[[#This Row],[Class]]="B", WORKDAY(Main[[#This Row],[Tech Start Date]],12),IF(Main[[#This Row],[Class]]="A",WORKDAY(Main[[#This Row],[Tech Start Date]],4),""))))</f>
        <v/>
      </c>
      <c r="O1210" s="73" t="str">
        <f>IF(Main[[#This Row],[Tech Start Date]]&lt;1/1/1990,"",IF(Main[[#This Row],[Class]]="C",WORKDAY(Main[[#This Row],[Tech Start Date]],23),IF(Main[[#This Row],[Class]]="B", WORKDAY(Main[[#This Row],[Tech Start Date]],15),IF(Main[[#This Row],[Class]]="A",WORKDAY(Main[[#This Row],[Tech Start Date]],5),""))))</f>
        <v/>
      </c>
      <c r="P1210" s="73" t="str">
        <f>IF(Main[[#This Row],[Tech Start Date]]&lt;1/1/1990,"",IF(Main[[#This Row],[Class]]="C",WORKDAY(Main[[#This Row],[Tech Start Date]],28),IF(Main[[#This Row],[Class]]="B", WORKDAY(Main[[#This Row],[Tech Start Date]],19),IF(Main[[#This Row],[Class]]="A",WORKDAY(Main[[#This Row],[Tech Start Date]],9),""))))</f>
        <v/>
      </c>
      <c r="Q1210" s="85"/>
      <c r="R1210" s="112"/>
      <c r="S1210" s="95" t="s">
        <v>6</v>
      </c>
      <c r="T1210" s="74" t="s">
        <v>4</v>
      </c>
      <c r="U1210" s="95" t="s">
        <v>29</v>
      </c>
      <c r="V1210" s="95" t="s">
        <v>1914</v>
      </c>
      <c r="W1210" s="95" t="s">
        <v>1915</v>
      </c>
      <c r="X1210" s="95" t="s">
        <v>102</v>
      </c>
      <c r="Y1210" s="72" t="s">
        <v>3617</v>
      </c>
      <c r="Z1210" s="72" t="s">
        <v>4</v>
      </c>
      <c r="AA1210" s="95" t="s">
        <v>81</v>
      </c>
      <c r="AB1210" s="132"/>
      <c r="AC1210" s="132"/>
      <c r="AD1210" s="132"/>
      <c r="AE1210" s="63"/>
      <c r="AF1210" s="63"/>
      <c r="AG1210" s="63"/>
    </row>
    <row r="1211" spans="1:33" ht="17.2" customHeight="1">
      <c r="A1211" s="64" t="str">
        <f>IF(priority(Main[[#This Row],[Comments]])&lt;&gt;0, priority(Main[[#This Row],[Comments]]),"")</f>
        <v/>
      </c>
      <c r="B1211" s="60" t="s">
        <v>3789</v>
      </c>
      <c r="C1211" s="72" t="s">
        <v>4</v>
      </c>
      <c r="D1211" s="59" t="s">
        <v>3790</v>
      </c>
      <c r="E1211" s="85">
        <v>40968.322743055556</v>
      </c>
      <c r="F1211" s="85"/>
      <c r="G1211" s="64" t="str">
        <f>IF(stdProdLT(Main[[#This Row],[Comments]])=0.1,"N/A",IF(stdProdLT(Main[[#This Row],[Comments]])=0,"",TRIM(stdProdLT(Main[[#This Row],[Comments]]))))</f>
        <v/>
      </c>
      <c r="H1211" s="94" t="str">
        <f>IF(OR(Main[[#This Row],[Std. Prod. Lead Time]]="N/A",Main[[#This Row],[Std. Prod. Lead Time]]=""), "",IF(AND(Main[[#This Row],[In Stock Date]]&lt;&gt;"",Main[[#This Row],[Revised Due Date]]&lt;&gt;"",Main[[#This Row],[In Stock Date]]&lt;&gt;""),Main[[#This Row],[In Stock Date]]-Main[[#This Row],[Revised Due Date]],""))</f>
        <v/>
      </c>
      <c r="I1211" s="101" t="s">
        <v>912</v>
      </c>
      <c r="J1211" s="95" t="s">
        <v>52</v>
      </c>
      <c r="K1211" s="96" t="s">
        <v>4</v>
      </c>
      <c r="L1211" s="85"/>
      <c r="M1211" s="73" t="str">
        <f>IF(Main[[#This Row],[Tech Start Date]]&lt;1/1/1990,"",IF(Main[[#This Row],[Class]]="C",WORKDAY(Main[[#This Row],[Tech Start Date]],9),IF(Main[[#This Row],[Class]]="B", WORKDAY(Main[[#This Row],[Tech Start Date]],6),IF(Main[[#This Row],[Class]]="A",WORKDAY(Main[[#This Row],[Tech Start Date]],2),""))))</f>
        <v/>
      </c>
      <c r="N1211" s="73" t="str">
        <f>IF(Main[[#This Row],[Tech Start Date]]&lt;1/1/1990,"",IF(Main[[#This Row],[Class]]="C",WORKDAY(Main[[#This Row],[Tech Start Date]],19),IF(Main[[#This Row],[Class]]="B", WORKDAY(Main[[#This Row],[Tech Start Date]],12),IF(Main[[#This Row],[Class]]="A",WORKDAY(Main[[#This Row],[Tech Start Date]],4),""))))</f>
        <v/>
      </c>
      <c r="O1211" s="73" t="str">
        <f>IF(Main[[#This Row],[Tech Start Date]]&lt;1/1/1990,"",IF(Main[[#This Row],[Class]]="C",WORKDAY(Main[[#This Row],[Tech Start Date]],23),IF(Main[[#This Row],[Class]]="B", WORKDAY(Main[[#This Row],[Tech Start Date]],15),IF(Main[[#This Row],[Class]]="A",WORKDAY(Main[[#This Row],[Tech Start Date]],5),""))))</f>
        <v/>
      </c>
      <c r="P1211" s="73" t="str">
        <f>IF(Main[[#This Row],[Tech Start Date]]&lt;1/1/1990,"",IF(Main[[#This Row],[Class]]="C",WORKDAY(Main[[#This Row],[Tech Start Date]],28),IF(Main[[#This Row],[Class]]="B", WORKDAY(Main[[#This Row],[Tech Start Date]],19),IF(Main[[#This Row],[Class]]="A",WORKDAY(Main[[#This Row],[Tech Start Date]],9),""))))</f>
        <v/>
      </c>
      <c r="Q1211" s="85">
        <v>40997</v>
      </c>
      <c r="R1211" s="112"/>
      <c r="S1211" s="95" t="s">
        <v>6</v>
      </c>
      <c r="T1211" s="74" t="s">
        <v>4</v>
      </c>
      <c r="U1211" s="95" t="s">
        <v>29</v>
      </c>
      <c r="V1211" s="95" t="s">
        <v>1911</v>
      </c>
      <c r="W1211" s="95" t="s">
        <v>4</v>
      </c>
      <c r="X1211" s="95" t="s">
        <v>2802</v>
      </c>
      <c r="Y1211" s="72" t="s">
        <v>2916</v>
      </c>
      <c r="Z1211" s="72" t="s">
        <v>129</v>
      </c>
      <c r="AA1211" s="95" t="s">
        <v>2802</v>
      </c>
      <c r="AB1211" s="132"/>
      <c r="AC1211" s="132"/>
      <c r="AD1211" s="132"/>
      <c r="AE1211" s="63"/>
      <c r="AF1211" s="63"/>
      <c r="AG1211" s="63"/>
    </row>
    <row r="1212" spans="1:33" ht="17.2" customHeight="1">
      <c r="A1212" s="64" t="str">
        <f>IF(priority(Main[[#This Row],[Comments]])&lt;&gt;0, priority(Main[[#This Row],[Comments]]),"")</f>
        <v/>
      </c>
      <c r="B1212" s="60" t="s">
        <v>2543</v>
      </c>
      <c r="C1212" s="72" t="s">
        <v>4</v>
      </c>
      <c r="D1212" s="59" t="s">
        <v>2542</v>
      </c>
      <c r="E1212" s="85"/>
      <c r="F1212" s="85"/>
      <c r="G1212" s="64" t="str">
        <f>IF(stdProdLT(Main[[#This Row],[Comments]])=0.1,"N/A",IF(stdProdLT(Main[[#This Row],[Comments]])=0,"",TRIM(stdProdLT(Main[[#This Row],[Comments]]))))</f>
        <v/>
      </c>
      <c r="H1212" s="94" t="str">
        <f>IF(OR(Main[[#This Row],[Std. Prod. Lead Time]]="N/A",Main[[#This Row],[Std. Prod. Lead Time]]=""), "",IF(AND(Main[[#This Row],[In Stock Date]]&lt;&gt;"",Main[[#This Row],[Revised Due Date]]&lt;&gt;"",Main[[#This Row],[In Stock Date]]&lt;&gt;""),Main[[#This Row],[In Stock Date]]-Main[[#This Row],[Revised Due Date]],""))</f>
        <v/>
      </c>
      <c r="I1212" s="101" t="s">
        <v>4</v>
      </c>
      <c r="J1212" s="95" t="s">
        <v>4</v>
      </c>
      <c r="K1212" s="95" t="s">
        <v>4</v>
      </c>
      <c r="L1212" s="85"/>
      <c r="M1212" s="73" t="str">
        <f>IF(Main[[#This Row],[Tech Start Date]]&lt;1/1/1990,"",IF(Main[[#This Row],[Class]]="C",WORKDAY(Main[[#This Row],[Tech Start Date]],9),IF(Main[[#This Row],[Class]]="B", WORKDAY(Main[[#This Row],[Tech Start Date]],6),IF(Main[[#This Row],[Class]]="A",WORKDAY(Main[[#This Row],[Tech Start Date]],2),""))))</f>
        <v/>
      </c>
      <c r="N1212" s="73" t="str">
        <f>IF(Main[[#This Row],[Tech Start Date]]&lt;1/1/1990,"",IF(Main[[#This Row],[Class]]="C",WORKDAY(Main[[#This Row],[Tech Start Date]],19),IF(Main[[#This Row],[Class]]="B", WORKDAY(Main[[#This Row],[Tech Start Date]],12),IF(Main[[#This Row],[Class]]="A",WORKDAY(Main[[#This Row],[Tech Start Date]],4),""))))</f>
        <v/>
      </c>
      <c r="O1212" s="73" t="str">
        <f>IF(Main[[#This Row],[Tech Start Date]]&lt;1/1/1990,"",IF(Main[[#This Row],[Class]]="C",WORKDAY(Main[[#This Row],[Tech Start Date]],23),IF(Main[[#This Row],[Class]]="B", WORKDAY(Main[[#This Row],[Tech Start Date]],15),IF(Main[[#This Row],[Class]]="A",WORKDAY(Main[[#This Row],[Tech Start Date]],5),""))))</f>
        <v/>
      </c>
      <c r="P1212" s="73" t="str">
        <f>IF(Main[[#This Row],[Tech Start Date]]&lt;1/1/1990,"",IF(Main[[#This Row],[Class]]="C",WORKDAY(Main[[#This Row],[Tech Start Date]],28),IF(Main[[#This Row],[Class]]="B", WORKDAY(Main[[#This Row],[Tech Start Date]],19),IF(Main[[#This Row],[Class]]="A",WORKDAY(Main[[#This Row],[Tech Start Date]],9),""))))</f>
        <v/>
      </c>
      <c r="Q1212" s="85">
        <v>40891</v>
      </c>
      <c r="R1212" s="112"/>
      <c r="S1212" s="95" t="s">
        <v>6</v>
      </c>
      <c r="T1212" s="74" t="s">
        <v>4</v>
      </c>
      <c r="U1212" s="95" t="s">
        <v>12</v>
      </c>
      <c r="V1212" s="95" t="s">
        <v>1914</v>
      </c>
      <c r="W1212" s="95" t="s">
        <v>4</v>
      </c>
      <c r="X1212" s="95" t="s">
        <v>2802</v>
      </c>
      <c r="Y1212" s="72" t="s">
        <v>2916</v>
      </c>
      <c r="Z1212" s="72" t="s">
        <v>4</v>
      </c>
      <c r="AA1212" s="95" t="s">
        <v>2802</v>
      </c>
      <c r="AB1212" s="132"/>
      <c r="AC1212" s="132"/>
      <c r="AD1212" s="132"/>
      <c r="AE1212" s="63"/>
      <c r="AF1212" s="63"/>
      <c r="AG1212" s="63"/>
    </row>
    <row r="1213" spans="1:33" ht="17.2" customHeight="1">
      <c r="A1213" s="64" t="str">
        <f>IF(priority(Main[[#This Row],[Comments]])&lt;&gt;0, priority(Main[[#This Row],[Comments]]),"")</f>
        <v/>
      </c>
      <c r="B1213" s="60" t="s">
        <v>2180</v>
      </c>
      <c r="C1213" s="72" t="s">
        <v>4</v>
      </c>
      <c r="D1213" s="59" t="s">
        <v>2181</v>
      </c>
      <c r="E1213" s="85">
        <v>40792.385717592595</v>
      </c>
      <c r="F1213" s="85"/>
      <c r="G1213" s="64" t="str">
        <f>IF(stdProdLT(Main[[#This Row],[Comments]])=0.1,"N/A",IF(stdProdLT(Main[[#This Row],[Comments]])=0,"",TRIM(stdProdLT(Main[[#This Row],[Comments]]))))</f>
        <v/>
      </c>
      <c r="H1213" s="94" t="str">
        <f>IF(OR(Main[[#This Row],[Std. Prod. Lead Time]]="N/A",Main[[#This Row],[Std. Prod. Lead Time]]=""), "",IF(AND(Main[[#This Row],[In Stock Date]]&lt;&gt;"",Main[[#This Row],[Revised Due Date]]&lt;&gt;"",Main[[#This Row],[In Stock Date]]&lt;&gt;""),Main[[#This Row],[In Stock Date]]-Main[[#This Row],[Revised Due Date]],""))</f>
        <v/>
      </c>
      <c r="I1213" s="101" t="s">
        <v>81</v>
      </c>
      <c r="J1213" s="95" t="s">
        <v>70</v>
      </c>
      <c r="K1213" s="95" t="s">
        <v>1920</v>
      </c>
      <c r="L1213" s="85"/>
      <c r="M1213" s="73" t="str">
        <f>IF(Main[[#This Row],[Tech Start Date]]&lt;1/1/1990,"",IF(Main[[#This Row],[Class]]="C",WORKDAY(Main[[#This Row],[Tech Start Date]],9),IF(Main[[#This Row],[Class]]="B", WORKDAY(Main[[#This Row],[Tech Start Date]],6),IF(Main[[#This Row],[Class]]="A",WORKDAY(Main[[#This Row],[Tech Start Date]],2),""))))</f>
        <v/>
      </c>
      <c r="N1213" s="73" t="str">
        <f>IF(Main[[#This Row],[Tech Start Date]]&lt;1/1/1990,"",IF(Main[[#This Row],[Class]]="C",WORKDAY(Main[[#This Row],[Tech Start Date]],19),IF(Main[[#This Row],[Class]]="B", WORKDAY(Main[[#This Row],[Tech Start Date]],12),IF(Main[[#This Row],[Class]]="A",WORKDAY(Main[[#This Row],[Tech Start Date]],4),""))))</f>
        <v/>
      </c>
      <c r="O1213" s="73" t="str">
        <f>IF(Main[[#This Row],[Tech Start Date]]&lt;1/1/1990,"",IF(Main[[#This Row],[Class]]="C",WORKDAY(Main[[#This Row],[Tech Start Date]],23),IF(Main[[#This Row],[Class]]="B", WORKDAY(Main[[#This Row],[Tech Start Date]],15),IF(Main[[#This Row],[Class]]="A",WORKDAY(Main[[#This Row],[Tech Start Date]],5),""))))</f>
        <v/>
      </c>
      <c r="P1213" s="73" t="str">
        <f>IF(Main[[#This Row],[Tech Start Date]]&lt;1/1/1990,"",IF(Main[[#This Row],[Class]]="C",WORKDAY(Main[[#This Row],[Tech Start Date]],28),IF(Main[[#This Row],[Class]]="B", WORKDAY(Main[[#This Row],[Tech Start Date]],19),IF(Main[[#This Row],[Class]]="A",WORKDAY(Main[[#This Row],[Tech Start Date]],9),""))))</f>
        <v/>
      </c>
      <c r="Q1213" s="85">
        <v>40823</v>
      </c>
      <c r="R1213" s="112"/>
      <c r="S1213" s="95" t="s">
        <v>6</v>
      </c>
      <c r="T1213" s="74" t="s">
        <v>4</v>
      </c>
      <c r="U1213" s="95" t="s">
        <v>29</v>
      </c>
      <c r="V1213" s="95" t="s">
        <v>1914</v>
      </c>
      <c r="W1213" s="95" t="s">
        <v>1915</v>
      </c>
      <c r="X1213" s="95" t="s">
        <v>2798</v>
      </c>
      <c r="Y1213" s="72" t="s">
        <v>2908</v>
      </c>
      <c r="Z1213" s="72" t="s">
        <v>30</v>
      </c>
      <c r="AA1213" s="95" t="s">
        <v>2798</v>
      </c>
      <c r="AB1213" s="132"/>
      <c r="AC1213" s="132"/>
      <c r="AD1213" s="132"/>
      <c r="AE1213" s="63"/>
      <c r="AF1213" s="63"/>
      <c r="AG1213" s="63"/>
    </row>
    <row r="1214" spans="1:33" ht="17.2" customHeight="1">
      <c r="A1214" s="64" t="str">
        <f>IF(priority(Main[[#This Row],[Comments]])&lt;&gt;0, priority(Main[[#This Row],[Comments]]),"")</f>
        <v/>
      </c>
      <c r="B1214" s="60" t="s">
        <v>3547</v>
      </c>
      <c r="C1214" s="72" t="s">
        <v>3548</v>
      </c>
      <c r="D1214" s="59" t="s">
        <v>3549</v>
      </c>
      <c r="E1214" s="85">
        <v>40960.213784722226</v>
      </c>
      <c r="F1214" s="85">
        <v>41146</v>
      </c>
      <c r="G1214" s="64" t="str">
        <f>IF(stdProdLT(Main[[#This Row],[Comments]])=0.1,"N/A",IF(stdProdLT(Main[[#This Row],[Comments]])=0,"",TRIM(stdProdLT(Main[[#This Row],[Comments]]))))</f>
        <v>126</v>
      </c>
      <c r="H1214" s="94" t="str">
        <f>IF(OR(Main[[#This Row],[Std. Prod. Lead Time]]="N/A",Main[[#This Row],[Std. Prod. Lead Time]]=""), "",IF(AND(Main[[#This Row],[In Stock Date]]&lt;&gt;"",Main[[#This Row],[Revised Due Date]]&lt;&gt;"",Main[[#This Row],[In Stock Date]]&lt;&gt;""),Main[[#This Row],[In Stock Date]]-Main[[#This Row],[Revised Due Date]],""))</f>
        <v/>
      </c>
      <c r="I1214" s="101" t="s">
        <v>4</v>
      </c>
      <c r="J1214" s="95" t="s">
        <v>4</v>
      </c>
      <c r="K1214" s="95" t="s">
        <v>4</v>
      </c>
      <c r="L1214" s="85"/>
      <c r="M1214" s="73" t="str">
        <f>IF(Main[[#This Row],[Tech Start Date]]&lt;1/1/1990,"",IF(Main[[#This Row],[Class]]="C",WORKDAY(Main[[#This Row],[Tech Start Date]],9),IF(Main[[#This Row],[Class]]="B", WORKDAY(Main[[#This Row],[Tech Start Date]],6),IF(Main[[#This Row],[Class]]="A",WORKDAY(Main[[#This Row],[Tech Start Date]],2),""))))</f>
        <v/>
      </c>
      <c r="N1214" s="73" t="str">
        <f>IF(Main[[#This Row],[Tech Start Date]]&lt;1/1/1990,"",IF(Main[[#This Row],[Class]]="C",WORKDAY(Main[[#This Row],[Tech Start Date]],19),IF(Main[[#This Row],[Class]]="B", WORKDAY(Main[[#This Row],[Tech Start Date]],12),IF(Main[[#This Row],[Class]]="A",WORKDAY(Main[[#This Row],[Tech Start Date]],4),""))))</f>
        <v/>
      </c>
      <c r="O1214" s="73" t="str">
        <f>IF(Main[[#This Row],[Tech Start Date]]&lt;1/1/1990,"",IF(Main[[#This Row],[Class]]="C",WORKDAY(Main[[#This Row],[Tech Start Date]],23),IF(Main[[#This Row],[Class]]="B", WORKDAY(Main[[#This Row],[Tech Start Date]],15),IF(Main[[#This Row],[Class]]="A",WORKDAY(Main[[#This Row],[Tech Start Date]],5),""))))</f>
        <v/>
      </c>
      <c r="P1214" s="73" t="str">
        <f>IF(Main[[#This Row],[Tech Start Date]]&lt;1/1/1990,"",IF(Main[[#This Row],[Class]]="C",WORKDAY(Main[[#This Row],[Tech Start Date]],28),IF(Main[[#This Row],[Class]]="B", WORKDAY(Main[[#This Row],[Tech Start Date]],19),IF(Main[[#This Row],[Class]]="A",WORKDAY(Main[[#This Row],[Tech Start Date]],9),""))))</f>
        <v/>
      </c>
      <c r="Q1214" s="85"/>
      <c r="R1214" s="112"/>
      <c r="S1214" s="95" t="s">
        <v>11</v>
      </c>
      <c r="T1214" s="74" t="s">
        <v>3550</v>
      </c>
      <c r="U1214" s="95" t="s">
        <v>694</v>
      </c>
      <c r="V1214" s="95" t="s">
        <v>1914</v>
      </c>
      <c r="W1214" s="95" t="s">
        <v>1916</v>
      </c>
      <c r="X1214" s="95" t="s">
        <v>2873</v>
      </c>
      <c r="Y1214" s="72" t="s">
        <v>3033</v>
      </c>
      <c r="Z1214" s="72" t="s">
        <v>4</v>
      </c>
      <c r="AA1214" s="95" t="s">
        <v>2873</v>
      </c>
      <c r="AB1214" s="132"/>
      <c r="AC1214" s="132"/>
      <c r="AD1214" s="132"/>
      <c r="AE1214" s="63"/>
      <c r="AF1214" s="63"/>
      <c r="AG1214" s="63"/>
    </row>
    <row r="1215" spans="1:33" ht="17.2" customHeight="1">
      <c r="A1215" s="64" t="str">
        <f>IF(priority(Main[[#This Row],[Comments]])&lt;&gt;0, priority(Main[[#This Row],[Comments]]),"")</f>
        <v/>
      </c>
      <c r="B1215" s="60" t="s">
        <v>3621</v>
      </c>
      <c r="C1215" s="72" t="s">
        <v>4</v>
      </c>
      <c r="D1215" s="59" t="s">
        <v>3622</v>
      </c>
      <c r="E1215" s="85">
        <v>40953.329780092594</v>
      </c>
      <c r="F1215" s="85"/>
      <c r="G1215" s="64" t="str">
        <f>IF(stdProdLT(Main[[#This Row],[Comments]])=0.1,"N/A",IF(stdProdLT(Main[[#This Row],[Comments]])=0,"",TRIM(stdProdLT(Main[[#This Row],[Comments]]))))</f>
        <v/>
      </c>
      <c r="H1215" s="94" t="str">
        <f>IF(OR(Main[[#This Row],[Std. Prod. Lead Time]]="N/A",Main[[#This Row],[Std. Prod. Lead Time]]=""), "",IF(AND(Main[[#This Row],[In Stock Date]]&lt;&gt;"",Main[[#This Row],[Revised Due Date]]&lt;&gt;"",Main[[#This Row],[In Stock Date]]&lt;&gt;""),Main[[#This Row],[In Stock Date]]-Main[[#This Row],[Revised Due Date]],""))</f>
        <v/>
      </c>
      <c r="I1215" s="101" t="s">
        <v>530</v>
      </c>
      <c r="J1215" s="95" t="s">
        <v>28</v>
      </c>
      <c r="K1215" s="96" t="s">
        <v>1920</v>
      </c>
      <c r="L1215" s="85"/>
      <c r="M1215" s="73" t="str">
        <f>IF(Main[[#This Row],[Tech Start Date]]&lt;1/1/1990,"",IF(Main[[#This Row],[Class]]="C",WORKDAY(Main[[#This Row],[Tech Start Date]],9),IF(Main[[#This Row],[Class]]="B", WORKDAY(Main[[#This Row],[Tech Start Date]],6),IF(Main[[#This Row],[Class]]="A",WORKDAY(Main[[#This Row],[Tech Start Date]],2),""))))</f>
        <v/>
      </c>
      <c r="N1215" s="73" t="str">
        <f>IF(Main[[#This Row],[Tech Start Date]]&lt;1/1/1990,"",IF(Main[[#This Row],[Class]]="C",WORKDAY(Main[[#This Row],[Tech Start Date]],19),IF(Main[[#This Row],[Class]]="B", WORKDAY(Main[[#This Row],[Tech Start Date]],12),IF(Main[[#This Row],[Class]]="A",WORKDAY(Main[[#This Row],[Tech Start Date]],4),""))))</f>
        <v/>
      </c>
      <c r="O1215" s="73" t="str">
        <f>IF(Main[[#This Row],[Tech Start Date]]&lt;1/1/1990,"",IF(Main[[#This Row],[Class]]="C",WORKDAY(Main[[#This Row],[Tech Start Date]],23),IF(Main[[#This Row],[Class]]="B", WORKDAY(Main[[#This Row],[Tech Start Date]],15),IF(Main[[#This Row],[Class]]="A",WORKDAY(Main[[#This Row],[Tech Start Date]],5),""))))</f>
        <v/>
      </c>
      <c r="P1215" s="73" t="str">
        <f>IF(Main[[#This Row],[Tech Start Date]]&lt;1/1/1990,"",IF(Main[[#This Row],[Class]]="C",WORKDAY(Main[[#This Row],[Tech Start Date]],28),IF(Main[[#This Row],[Class]]="B", WORKDAY(Main[[#This Row],[Tech Start Date]],19),IF(Main[[#This Row],[Class]]="A",WORKDAY(Main[[#This Row],[Tech Start Date]],9),""))))</f>
        <v/>
      </c>
      <c r="Q1215" s="85">
        <v>40984</v>
      </c>
      <c r="R1215" s="112"/>
      <c r="S1215" s="95" t="s">
        <v>6</v>
      </c>
      <c r="T1215" s="74" t="s">
        <v>4</v>
      </c>
      <c r="U1215" s="95" t="s">
        <v>29</v>
      </c>
      <c r="V1215" s="95" t="s">
        <v>1914</v>
      </c>
      <c r="W1215" s="95" t="s">
        <v>1915</v>
      </c>
      <c r="X1215" s="95" t="s">
        <v>2798</v>
      </c>
      <c r="Y1215" s="72" t="s">
        <v>2908</v>
      </c>
      <c r="Z1215" s="72" t="s">
        <v>30</v>
      </c>
      <c r="AA1215" s="95" t="s">
        <v>2798</v>
      </c>
      <c r="AB1215" s="132"/>
      <c r="AC1215" s="132"/>
      <c r="AD1215" s="132"/>
      <c r="AE1215" s="63"/>
      <c r="AF1215" s="63"/>
      <c r="AG1215" s="63"/>
    </row>
    <row r="1216" spans="1:33" ht="17.2" customHeight="1">
      <c r="A1216" s="64" t="str">
        <f>IF(priority(Main[[#This Row],[Comments]])&lt;&gt;0, priority(Main[[#This Row],[Comments]]),"")</f>
        <v/>
      </c>
      <c r="B1216" s="60" t="s">
        <v>2739</v>
      </c>
      <c r="C1216" s="72" t="s">
        <v>4</v>
      </c>
      <c r="D1216" s="59" t="s">
        <v>3618</v>
      </c>
      <c r="E1216" s="85">
        <v>40907.447002314817</v>
      </c>
      <c r="F1216" s="85"/>
      <c r="G1216" s="64" t="str">
        <f>IF(stdProdLT(Main[[#This Row],[Comments]])=0.1,"N/A",IF(stdProdLT(Main[[#This Row],[Comments]])=0,"",TRIM(stdProdLT(Main[[#This Row],[Comments]]))))</f>
        <v/>
      </c>
      <c r="H1216" s="94" t="str">
        <f>IF(OR(Main[[#This Row],[Std. Prod. Lead Time]]="N/A",Main[[#This Row],[Std. Prod. Lead Time]]=""), "",IF(AND(Main[[#This Row],[In Stock Date]]&lt;&gt;"",Main[[#This Row],[Revised Due Date]]&lt;&gt;"",Main[[#This Row],[In Stock Date]]&lt;&gt;""),Main[[#This Row],[In Stock Date]]-Main[[#This Row],[Revised Due Date]],""))</f>
        <v/>
      </c>
      <c r="I1216" s="101" t="s">
        <v>530</v>
      </c>
      <c r="J1216" s="95" t="s">
        <v>70</v>
      </c>
      <c r="K1216" s="95" t="s">
        <v>1920</v>
      </c>
      <c r="L1216" s="85"/>
      <c r="M1216" s="73" t="str">
        <f>IF(Main[[#This Row],[Tech Start Date]]&lt;1/1/1990,"",IF(Main[[#This Row],[Class]]="C",WORKDAY(Main[[#This Row],[Tech Start Date]],9),IF(Main[[#This Row],[Class]]="B", WORKDAY(Main[[#This Row],[Tech Start Date]],6),IF(Main[[#This Row],[Class]]="A",WORKDAY(Main[[#This Row],[Tech Start Date]],2),""))))</f>
        <v/>
      </c>
      <c r="N1216" s="73" t="str">
        <f>IF(Main[[#This Row],[Tech Start Date]]&lt;1/1/1990,"",IF(Main[[#This Row],[Class]]="C",WORKDAY(Main[[#This Row],[Tech Start Date]],19),IF(Main[[#This Row],[Class]]="B", WORKDAY(Main[[#This Row],[Tech Start Date]],12),IF(Main[[#This Row],[Class]]="A",WORKDAY(Main[[#This Row],[Tech Start Date]],4),""))))</f>
        <v/>
      </c>
      <c r="O1216" s="73" t="str">
        <f>IF(Main[[#This Row],[Tech Start Date]]&lt;1/1/1990,"",IF(Main[[#This Row],[Class]]="C",WORKDAY(Main[[#This Row],[Tech Start Date]],23),IF(Main[[#This Row],[Class]]="B", WORKDAY(Main[[#This Row],[Tech Start Date]],15),IF(Main[[#This Row],[Class]]="A",WORKDAY(Main[[#This Row],[Tech Start Date]],5),""))))</f>
        <v/>
      </c>
      <c r="P1216" s="73" t="str">
        <f>IF(Main[[#This Row],[Tech Start Date]]&lt;1/1/1990,"",IF(Main[[#This Row],[Class]]="C",WORKDAY(Main[[#This Row],[Tech Start Date]],28),IF(Main[[#This Row],[Class]]="B", WORKDAY(Main[[#This Row],[Tech Start Date]],19),IF(Main[[#This Row],[Class]]="A",WORKDAY(Main[[#This Row],[Tech Start Date]],9),""))))</f>
        <v/>
      </c>
      <c r="Q1216" s="85">
        <v>40921</v>
      </c>
      <c r="R1216" s="112"/>
      <c r="S1216" s="95" t="s">
        <v>6</v>
      </c>
      <c r="T1216" s="74" t="s">
        <v>4</v>
      </c>
      <c r="U1216" s="95" t="s">
        <v>29</v>
      </c>
      <c r="V1216" s="95" t="s">
        <v>1914</v>
      </c>
      <c r="W1216" s="95" t="s">
        <v>1919</v>
      </c>
      <c r="X1216" s="95" t="s">
        <v>2865</v>
      </c>
      <c r="Y1216" s="72" t="s">
        <v>3019</v>
      </c>
      <c r="Z1216" s="72" t="s">
        <v>30</v>
      </c>
      <c r="AA1216" s="95" t="s">
        <v>2865</v>
      </c>
      <c r="AB1216" s="132"/>
      <c r="AC1216" s="132"/>
      <c r="AD1216" s="132"/>
      <c r="AE1216" s="63"/>
      <c r="AF1216" s="63"/>
      <c r="AG1216" s="63"/>
    </row>
    <row r="1217" spans="1:33" ht="17.2" customHeight="1">
      <c r="A1217" s="64" t="str">
        <f>IF(priority(Main[[#This Row],[Comments]])&lt;&gt;0, priority(Main[[#This Row],[Comments]]),"")</f>
        <v/>
      </c>
      <c r="B1217" s="60" t="s">
        <v>2771</v>
      </c>
      <c r="C1217" s="72" t="s">
        <v>4</v>
      </c>
      <c r="D1217" s="59" t="s">
        <v>2772</v>
      </c>
      <c r="E1217" s="85">
        <v>40913.314733796295</v>
      </c>
      <c r="F1217" s="85"/>
      <c r="G1217" s="64" t="str">
        <f>IF(stdProdLT(Main[[#This Row],[Comments]])=0.1,"N/A",IF(stdProdLT(Main[[#This Row],[Comments]])=0,"",TRIM(stdProdLT(Main[[#This Row],[Comments]]))))</f>
        <v/>
      </c>
      <c r="H1217" s="94" t="str">
        <f>IF(OR(Main[[#This Row],[Std. Prod. Lead Time]]="N/A",Main[[#This Row],[Std. Prod. Lead Time]]=""), "",IF(AND(Main[[#This Row],[In Stock Date]]&lt;&gt;"",Main[[#This Row],[Revised Due Date]]&lt;&gt;"",Main[[#This Row],[In Stock Date]]&lt;&gt;""),Main[[#This Row],[In Stock Date]]-Main[[#This Row],[Revised Due Date]],""))</f>
        <v/>
      </c>
      <c r="I1217" s="101" t="s">
        <v>69</v>
      </c>
      <c r="J1217" s="95" t="s">
        <v>70</v>
      </c>
      <c r="K1217" s="95" t="s">
        <v>1920</v>
      </c>
      <c r="L1217" s="85"/>
      <c r="M1217" s="73" t="str">
        <f>IF(Main[[#This Row],[Tech Start Date]]&lt;1/1/1990,"",IF(Main[[#This Row],[Class]]="C",WORKDAY(Main[[#This Row],[Tech Start Date]],9),IF(Main[[#This Row],[Class]]="B", WORKDAY(Main[[#This Row],[Tech Start Date]],6),IF(Main[[#This Row],[Class]]="A",WORKDAY(Main[[#This Row],[Tech Start Date]],2),""))))</f>
        <v/>
      </c>
      <c r="N1217" s="73" t="str">
        <f>IF(Main[[#This Row],[Tech Start Date]]&lt;1/1/1990,"",IF(Main[[#This Row],[Class]]="C",WORKDAY(Main[[#This Row],[Tech Start Date]],19),IF(Main[[#This Row],[Class]]="B", WORKDAY(Main[[#This Row],[Tech Start Date]],12),IF(Main[[#This Row],[Class]]="A",WORKDAY(Main[[#This Row],[Tech Start Date]],4),""))))</f>
        <v/>
      </c>
      <c r="O1217" s="73" t="str">
        <f>IF(Main[[#This Row],[Tech Start Date]]&lt;1/1/1990,"",IF(Main[[#This Row],[Class]]="C",WORKDAY(Main[[#This Row],[Tech Start Date]],23),IF(Main[[#This Row],[Class]]="B", WORKDAY(Main[[#This Row],[Tech Start Date]],15),IF(Main[[#This Row],[Class]]="A",WORKDAY(Main[[#This Row],[Tech Start Date]],5),""))))</f>
        <v/>
      </c>
      <c r="P1217" s="73" t="str">
        <f>IF(Main[[#This Row],[Tech Start Date]]&lt;1/1/1990,"",IF(Main[[#This Row],[Class]]="C",WORKDAY(Main[[#This Row],[Tech Start Date]],28),IF(Main[[#This Row],[Class]]="B", WORKDAY(Main[[#This Row],[Tech Start Date]],19),IF(Main[[#This Row],[Class]]="A",WORKDAY(Main[[#This Row],[Tech Start Date]],9),""))))</f>
        <v/>
      </c>
      <c r="Q1217" s="85">
        <v>40945</v>
      </c>
      <c r="R1217" s="112"/>
      <c r="S1217" s="95" t="s">
        <v>6</v>
      </c>
      <c r="T1217" s="74" t="s">
        <v>4</v>
      </c>
      <c r="U1217" s="95" t="s">
        <v>29</v>
      </c>
      <c r="V1217" s="95" t="s">
        <v>1914</v>
      </c>
      <c r="W1217" s="95" t="s">
        <v>1915</v>
      </c>
      <c r="X1217" s="95" t="s">
        <v>2802</v>
      </c>
      <c r="Y1217" s="72" t="s">
        <v>2916</v>
      </c>
      <c r="Z1217" s="72" t="s">
        <v>30</v>
      </c>
      <c r="AA1217" s="95" t="s">
        <v>2802</v>
      </c>
      <c r="AB1217" s="132"/>
      <c r="AC1217" s="132"/>
      <c r="AD1217" s="132"/>
      <c r="AE1217" s="63"/>
      <c r="AF1217" s="63"/>
      <c r="AG1217" s="63"/>
    </row>
    <row r="1218" spans="1:33" ht="17.2" customHeight="1">
      <c r="A1218" s="64" t="str">
        <f>IF(priority(Main[[#This Row],[Comments]])&lt;&gt;0, priority(Main[[#This Row],[Comments]]),"")</f>
        <v/>
      </c>
      <c r="B1218" s="60" t="s">
        <v>2751</v>
      </c>
      <c r="C1218" s="72" t="s">
        <v>4</v>
      </c>
      <c r="D1218" s="59" t="s">
        <v>2752</v>
      </c>
      <c r="E1218" s="85">
        <v>40914.408773148149</v>
      </c>
      <c r="F1218" s="85"/>
      <c r="G1218" s="64" t="str">
        <f>IF(stdProdLT(Main[[#This Row],[Comments]])=0.1,"N/A",IF(stdProdLT(Main[[#This Row],[Comments]])=0,"",TRIM(stdProdLT(Main[[#This Row],[Comments]]))))</f>
        <v/>
      </c>
      <c r="H1218" s="94" t="str">
        <f>IF(OR(Main[[#This Row],[Std. Prod. Lead Time]]="N/A",Main[[#This Row],[Std. Prod. Lead Time]]=""), "",IF(AND(Main[[#This Row],[In Stock Date]]&lt;&gt;"",Main[[#This Row],[Revised Due Date]]&lt;&gt;"",Main[[#This Row],[In Stock Date]]&lt;&gt;""),Main[[#This Row],[In Stock Date]]-Main[[#This Row],[Revised Due Date]],""))</f>
        <v/>
      </c>
      <c r="I1218" s="101" t="s">
        <v>4</v>
      </c>
      <c r="J1218" s="95" t="s">
        <v>4</v>
      </c>
      <c r="K1218" s="95" t="s">
        <v>4</v>
      </c>
      <c r="L1218" s="85"/>
      <c r="M1218" s="73" t="str">
        <f>IF(Main[[#This Row],[Tech Start Date]]&lt;1/1/1990,"",IF(Main[[#This Row],[Class]]="C",WORKDAY(Main[[#This Row],[Tech Start Date]],9),IF(Main[[#This Row],[Class]]="B", WORKDAY(Main[[#This Row],[Tech Start Date]],6),IF(Main[[#This Row],[Class]]="A",WORKDAY(Main[[#This Row],[Tech Start Date]],2),""))))</f>
        <v/>
      </c>
      <c r="N1218" s="73" t="str">
        <f>IF(Main[[#This Row],[Tech Start Date]]&lt;1/1/1990,"",IF(Main[[#This Row],[Class]]="C",WORKDAY(Main[[#This Row],[Tech Start Date]],19),IF(Main[[#This Row],[Class]]="B", WORKDAY(Main[[#This Row],[Tech Start Date]],12),IF(Main[[#This Row],[Class]]="A",WORKDAY(Main[[#This Row],[Tech Start Date]],4),""))))</f>
        <v/>
      </c>
      <c r="O1218" s="73" t="str">
        <f>IF(Main[[#This Row],[Tech Start Date]]&lt;1/1/1990,"",IF(Main[[#This Row],[Class]]="C",WORKDAY(Main[[#This Row],[Tech Start Date]],23),IF(Main[[#This Row],[Class]]="B", WORKDAY(Main[[#This Row],[Tech Start Date]],15),IF(Main[[#This Row],[Class]]="A",WORKDAY(Main[[#This Row],[Tech Start Date]],5),""))))</f>
        <v/>
      </c>
      <c r="P1218" s="73" t="str">
        <f>IF(Main[[#This Row],[Tech Start Date]]&lt;1/1/1990,"",IF(Main[[#This Row],[Class]]="C",WORKDAY(Main[[#This Row],[Tech Start Date]],28),IF(Main[[#This Row],[Class]]="B", WORKDAY(Main[[#This Row],[Tech Start Date]],19),IF(Main[[#This Row],[Class]]="A",WORKDAY(Main[[#This Row],[Tech Start Date]],9),""))))</f>
        <v/>
      </c>
      <c r="Q1218" s="85"/>
      <c r="R1218" s="112"/>
      <c r="S1218" s="95" t="s">
        <v>6</v>
      </c>
      <c r="T1218" s="74" t="s">
        <v>4</v>
      </c>
      <c r="U1218" s="95" t="s">
        <v>29</v>
      </c>
      <c r="V1218" s="95" t="s">
        <v>1911</v>
      </c>
      <c r="W1218" s="95" t="s">
        <v>1915</v>
      </c>
      <c r="X1218" s="95" t="s">
        <v>937</v>
      </c>
      <c r="Y1218" s="72" t="s">
        <v>2962</v>
      </c>
      <c r="Z1218" s="72" t="s">
        <v>4</v>
      </c>
      <c r="AA1218" s="95" t="s">
        <v>937</v>
      </c>
      <c r="AB1218" s="132"/>
      <c r="AC1218" s="132"/>
      <c r="AD1218" s="132"/>
      <c r="AE1218" s="63"/>
      <c r="AF1218" s="63"/>
      <c r="AG1218" s="63"/>
    </row>
    <row r="1219" spans="1:33" ht="17.2" customHeight="1">
      <c r="A1219" s="65" t="str">
        <f>IF(priority(Main[[#This Row],[Comments]])&lt;&gt;0, priority(Main[[#This Row],[Comments]]),"")</f>
        <v/>
      </c>
      <c r="B1219" s="60" t="s">
        <v>3316</v>
      </c>
      <c r="C1219" s="78" t="s">
        <v>4</v>
      </c>
      <c r="D1219" s="137" t="s">
        <v>3317</v>
      </c>
      <c r="E1219" s="87"/>
      <c r="F1219" s="87"/>
      <c r="G1219" s="65" t="str">
        <f>IF(stdProdLT(Main[[#This Row],[Comments]])=0.1,"N/A",IF(stdProdLT(Main[[#This Row],[Comments]])=0,"",TRIM(stdProdLT(Main[[#This Row],[Comments]]))))</f>
        <v/>
      </c>
      <c r="H1219" s="98" t="str">
        <f>IF(OR(Main[[#This Row],[Std. Prod. Lead Time]]="N/A",Main[[#This Row],[Std. Prod. Lead Time]]=""), "",IF(AND(Main[[#This Row],[In Stock Date]]&lt;&gt;"",Main[[#This Row],[Revised Due Date]]&lt;&gt;"",Main[[#This Row],[In Stock Date]]&lt;&gt;""),Main[[#This Row],[In Stock Date]]-Main[[#This Row],[Revised Due Date]],""))</f>
        <v/>
      </c>
      <c r="I1219" s="103" t="s">
        <v>4</v>
      </c>
      <c r="J1219" s="99" t="s">
        <v>4</v>
      </c>
      <c r="K1219" s="99" t="s">
        <v>4</v>
      </c>
      <c r="L1219" s="87"/>
      <c r="M1219" s="79" t="str">
        <f>IF(Main[[#This Row],[Tech Start Date]]&lt;1/1/1990,"",IF(Main[[#This Row],[Class]]="C",WORKDAY(Main[[#This Row],[Tech Start Date]],9),IF(Main[[#This Row],[Class]]="B", WORKDAY(Main[[#This Row],[Tech Start Date]],6),IF(Main[[#This Row],[Class]]="A",WORKDAY(Main[[#This Row],[Tech Start Date]],2),""))))</f>
        <v/>
      </c>
      <c r="N1219" s="79" t="str">
        <f>IF(Main[[#This Row],[Tech Start Date]]&lt;1/1/1990,"",IF(Main[[#This Row],[Class]]="C",WORKDAY(Main[[#This Row],[Tech Start Date]],19),IF(Main[[#This Row],[Class]]="B", WORKDAY(Main[[#This Row],[Tech Start Date]],12),IF(Main[[#This Row],[Class]]="A",WORKDAY(Main[[#This Row],[Tech Start Date]],4),""))))</f>
        <v/>
      </c>
      <c r="O1219" s="79" t="str">
        <f>IF(Main[[#This Row],[Tech Start Date]]&lt;1/1/1990,"",IF(Main[[#This Row],[Class]]="C",WORKDAY(Main[[#This Row],[Tech Start Date]],23),IF(Main[[#This Row],[Class]]="B", WORKDAY(Main[[#This Row],[Tech Start Date]],15),IF(Main[[#This Row],[Class]]="A",WORKDAY(Main[[#This Row],[Tech Start Date]],5),""))))</f>
        <v/>
      </c>
      <c r="P1219" s="79" t="str">
        <f>IF(Main[[#This Row],[Tech Start Date]]&lt;1/1/1990,"",IF(Main[[#This Row],[Class]]="C",WORKDAY(Main[[#This Row],[Tech Start Date]],28),IF(Main[[#This Row],[Class]]="B", WORKDAY(Main[[#This Row],[Tech Start Date]],19),IF(Main[[#This Row],[Class]]="A",WORKDAY(Main[[#This Row],[Tech Start Date]],9),""))))</f>
        <v/>
      </c>
      <c r="Q1219" s="87"/>
      <c r="R1219" s="114"/>
      <c r="S1219" s="99" t="s">
        <v>11</v>
      </c>
      <c r="T1219" s="80" t="s">
        <v>4</v>
      </c>
      <c r="U1219" s="99" t="s">
        <v>14</v>
      </c>
      <c r="V1219" s="99" t="s">
        <v>1926</v>
      </c>
      <c r="W1219" s="99" t="s">
        <v>1915</v>
      </c>
      <c r="X1219" s="99" t="s">
        <v>922</v>
      </c>
      <c r="Y1219" s="78" t="s">
        <v>2960</v>
      </c>
      <c r="Z1219" s="78" t="s">
        <v>4</v>
      </c>
      <c r="AA1219" s="99" t="s">
        <v>922</v>
      </c>
      <c r="AB1219" s="132"/>
      <c r="AC1219" s="132"/>
      <c r="AD1219" s="132"/>
      <c r="AE1219" s="63"/>
      <c r="AF1219" s="63"/>
      <c r="AG1219" s="63"/>
    </row>
    <row r="1220" spans="1:33" ht="17.2" customHeight="1">
      <c r="A1220" s="64" t="str">
        <f>IF(priority(Main[[#This Row],[Comments]])&lt;&gt;0, priority(Main[[#This Row],[Comments]]),"")</f>
        <v/>
      </c>
      <c r="B1220" s="60" t="s">
        <v>3318</v>
      </c>
      <c r="C1220" s="72" t="s">
        <v>47</v>
      </c>
      <c r="D1220" s="59" t="s">
        <v>3319</v>
      </c>
      <c r="E1220" s="85"/>
      <c r="F1220" s="85"/>
      <c r="G1220" s="64" t="str">
        <f>IF(stdProdLT(Main[[#This Row],[Comments]])=0.1,"N/A",IF(stdProdLT(Main[[#This Row],[Comments]])=0,"",TRIM(stdProdLT(Main[[#This Row],[Comments]]))))</f>
        <v/>
      </c>
      <c r="H1220" s="94" t="str">
        <f>IF(OR(Main[[#This Row],[Std. Prod. Lead Time]]="N/A",Main[[#This Row],[Std. Prod. Lead Time]]=""), "",IF(AND(Main[[#This Row],[In Stock Date]]&lt;&gt;"",Main[[#This Row],[Revised Due Date]]&lt;&gt;"",Main[[#This Row],[In Stock Date]]&lt;&gt;""),Main[[#This Row],[In Stock Date]]-Main[[#This Row],[Revised Due Date]],""))</f>
        <v/>
      </c>
      <c r="I1220" s="101" t="s">
        <v>4</v>
      </c>
      <c r="J1220" s="95" t="s">
        <v>4</v>
      </c>
      <c r="K1220" s="95" t="s">
        <v>4</v>
      </c>
      <c r="L1220" s="85"/>
      <c r="M1220" s="73" t="str">
        <f>IF(Main[[#This Row],[Tech Start Date]]&lt;1/1/1990,"",IF(Main[[#This Row],[Class]]="C",WORKDAY(Main[[#This Row],[Tech Start Date]],9),IF(Main[[#This Row],[Class]]="B", WORKDAY(Main[[#This Row],[Tech Start Date]],6),IF(Main[[#This Row],[Class]]="A",WORKDAY(Main[[#This Row],[Tech Start Date]],2),""))))</f>
        <v/>
      </c>
      <c r="N1220" s="73" t="str">
        <f>IF(Main[[#This Row],[Tech Start Date]]&lt;1/1/1990,"",IF(Main[[#This Row],[Class]]="C",WORKDAY(Main[[#This Row],[Tech Start Date]],19),IF(Main[[#This Row],[Class]]="B", WORKDAY(Main[[#This Row],[Tech Start Date]],12),IF(Main[[#This Row],[Class]]="A",WORKDAY(Main[[#This Row],[Tech Start Date]],4),""))))</f>
        <v/>
      </c>
      <c r="O1220" s="73" t="str">
        <f>IF(Main[[#This Row],[Tech Start Date]]&lt;1/1/1990,"",IF(Main[[#This Row],[Class]]="C",WORKDAY(Main[[#This Row],[Tech Start Date]],23),IF(Main[[#This Row],[Class]]="B", WORKDAY(Main[[#This Row],[Tech Start Date]],15),IF(Main[[#This Row],[Class]]="A",WORKDAY(Main[[#This Row],[Tech Start Date]],5),""))))</f>
        <v/>
      </c>
      <c r="P1220" s="73" t="str">
        <f>IF(Main[[#This Row],[Tech Start Date]]&lt;1/1/1990,"",IF(Main[[#This Row],[Class]]="C",WORKDAY(Main[[#This Row],[Tech Start Date]],28),IF(Main[[#This Row],[Class]]="B", WORKDAY(Main[[#This Row],[Tech Start Date]],19),IF(Main[[#This Row],[Class]]="A",WORKDAY(Main[[#This Row],[Tech Start Date]],9),""))))</f>
        <v/>
      </c>
      <c r="Q1220" s="85">
        <v>40964</v>
      </c>
      <c r="R1220" s="112"/>
      <c r="S1220" s="95" t="s">
        <v>6</v>
      </c>
      <c r="T1220" s="74" t="s">
        <v>4</v>
      </c>
      <c r="U1220" s="95" t="s">
        <v>12</v>
      </c>
      <c r="V1220" s="95" t="s">
        <v>2277</v>
      </c>
      <c r="W1220" s="95" t="s">
        <v>4</v>
      </c>
      <c r="X1220" s="95" t="s">
        <v>2845</v>
      </c>
      <c r="Y1220" s="72" t="s">
        <v>4</v>
      </c>
      <c r="Z1220" s="72" t="s">
        <v>4</v>
      </c>
      <c r="AA1220" s="95" t="s">
        <v>2845</v>
      </c>
      <c r="AB1220" s="132"/>
      <c r="AC1220" s="132"/>
      <c r="AD1220" s="132"/>
      <c r="AE1220" s="63"/>
      <c r="AF1220" s="63"/>
      <c r="AG1220" s="63"/>
    </row>
    <row r="1221" spans="1:33" ht="17.2" customHeight="1">
      <c r="A1221" s="64" t="str">
        <f>IF(priority(Main[[#This Row],[Comments]])&lt;&gt;0, priority(Main[[#This Row],[Comments]]),"")</f>
        <v/>
      </c>
      <c r="B1221" s="60" t="s">
        <v>3242</v>
      </c>
      <c r="C1221" s="72" t="s">
        <v>3243</v>
      </c>
      <c r="D1221" s="59" t="s">
        <v>3244</v>
      </c>
      <c r="E1221" s="85"/>
      <c r="F1221" s="85">
        <v>41117</v>
      </c>
      <c r="G1221" s="64" t="str">
        <f>IF(stdProdLT(Main[[#This Row],[Comments]])=0.1,"N/A",IF(stdProdLT(Main[[#This Row],[Comments]])=0,"",TRIM(stdProdLT(Main[[#This Row],[Comments]]))))</f>
        <v/>
      </c>
      <c r="H1221" s="94" t="str">
        <f>IF(OR(Main[[#This Row],[Std. Prod. Lead Time]]="N/A",Main[[#This Row],[Std. Prod. Lead Time]]=""), "",IF(AND(Main[[#This Row],[In Stock Date]]&lt;&gt;"",Main[[#This Row],[Revised Due Date]]&lt;&gt;"",Main[[#This Row],[In Stock Date]]&lt;&gt;""),Main[[#This Row],[In Stock Date]]-Main[[#This Row],[Revised Due Date]],""))</f>
        <v/>
      </c>
      <c r="I1221" s="101" t="s">
        <v>4</v>
      </c>
      <c r="J1221" s="95" t="s">
        <v>4</v>
      </c>
      <c r="K1221" s="95" t="s">
        <v>4</v>
      </c>
      <c r="L1221" s="85"/>
      <c r="M1221" s="73" t="str">
        <f>IF(Main[[#This Row],[Tech Start Date]]&lt;1/1/1990,"",IF(Main[[#This Row],[Class]]="C",WORKDAY(Main[[#This Row],[Tech Start Date]],9),IF(Main[[#This Row],[Class]]="B", WORKDAY(Main[[#This Row],[Tech Start Date]],6),IF(Main[[#This Row],[Class]]="A",WORKDAY(Main[[#This Row],[Tech Start Date]],2),""))))</f>
        <v/>
      </c>
      <c r="N1221" s="73" t="str">
        <f>IF(Main[[#This Row],[Tech Start Date]]&lt;1/1/1990,"",IF(Main[[#This Row],[Class]]="C",WORKDAY(Main[[#This Row],[Tech Start Date]],19),IF(Main[[#This Row],[Class]]="B", WORKDAY(Main[[#This Row],[Tech Start Date]],12),IF(Main[[#This Row],[Class]]="A",WORKDAY(Main[[#This Row],[Tech Start Date]],4),""))))</f>
        <v/>
      </c>
      <c r="O1221" s="73" t="str">
        <f>IF(Main[[#This Row],[Tech Start Date]]&lt;1/1/1990,"",IF(Main[[#This Row],[Class]]="C",WORKDAY(Main[[#This Row],[Tech Start Date]],23),IF(Main[[#This Row],[Class]]="B", WORKDAY(Main[[#This Row],[Tech Start Date]],15),IF(Main[[#This Row],[Class]]="A",WORKDAY(Main[[#This Row],[Tech Start Date]],5),""))))</f>
        <v/>
      </c>
      <c r="P1221" s="73" t="str">
        <f>IF(Main[[#This Row],[Tech Start Date]]&lt;1/1/1990,"",IF(Main[[#This Row],[Class]]="C",WORKDAY(Main[[#This Row],[Tech Start Date]],28),IF(Main[[#This Row],[Class]]="B", WORKDAY(Main[[#This Row],[Tech Start Date]],19),IF(Main[[#This Row],[Class]]="A",WORKDAY(Main[[#This Row],[Tech Start Date]],9),""))))</f>
        <v/>
      </c>
      <c r="Q1221" s="85">
        <v>40935</v>
      </c>
      <c r="R1221" s="112"/>
      <c r="S1221" s="95" t="s">
        <v>11</v>
      </c>
      <c r="T1221" s="74" t="s">
        <v>3245</v>
      </c>
      <c r="U1221" s="95" t="s">
        <v>14</v>
      </c>
      <c r="V1221" s="95" t="s">
        <v>1911</v>
      </c>
      <c r="W1221" s="95" t="s">
        <v>1919</v>
      </c>
      <c r="X1221" s="95" t="s">
        <v>2886</v>
      </c>
      <c r="Y1221" s="72" t="s">
        <v>3074</v>
      </c>
      <c r="Z1221" s="72" t="s">
        <v>4</v>
      </c>
      <c r="AA1221" s="95" t="s">
        <v>2886</v>
      </c>
      <c r="AB1221" s="132"/>
      <c r="AC1221" s="132"/>
      <c r="AD1221" s="132"/>
      <c r="AE1221" s="63"/>
      <c r="AF1221" s="63"/>
      <c r="AG1221" s="63"/>
    </row>
    <row r="1222" spans="1:33" ht="17.2" customHeight="1">
      <c r="A1222" s="64" t="str">
        <f>IF(priority(Main[[#This Row],[Comments]])&lt;&gt;0, priority(Main[[#This Row],[Comments]]),"")</f>
        <v/>
      </c>
      <c r="B1222" s="60" t="s">
        <v>2707</v>
      </c>
      <c r="C1222" s="72" t="s">
        <v>4</v>
      </c>
      <c r="D1222" s="59" t="s">
        <v>2708</v>
      </c>
      <c r="E1222" s="85">
        <v>40884.635914351849</v>
      </c>
      <c r="F1222" s="85"/>
      <c r="G1222" s="64" t="str">
        <f>IF(stdProdLT(Main[[#This Row],[Comments]])=0.1,"N/A",IF(stdProdLT(Main[[#This Row],[Comments]])=0,"",TRIM(stdProdLT(Main[[#This Row],[Comments]]))))</f>
        <v/>
      </c>
      <c r="H1222" s="94" t="str">
        <f>IF(OR(Main[[#This Row],[Std. Prod. Lead Time]]="N/A",Main[[#This Row],[Std. Prod. Lead Time]]=""), "",IF(AND(Main[[#This Row],[In Stock Date]]&lt;&gt;"",Main[[#This Row],[Revised Due Date]]&lt;&gt;"",Main[[#This Row],[In Stock Date]]&lt;&gt;""),Main[[#This Row],[In Stock Date]]-Main[[#This Row],[Revised Due Date]],""))</f>
        <v/>
      </c>
      <c r="I1222" s="101" t="s">
        <v>4</v>
      </c>
      <c r="J1222" s="95" t="s">
        <v>4</v>
      </c>
      <c r="K1222" s="96" t="s">
        <v>4</v>
      </c>
      <c r="L1222" s="85"/>
      <c r="M1222" s="73" t="str">
        <f>IF(Main[[#This Row],[Tech Start Date]]&lt;1/1/1990,"",IF(Main[[#This Row],[Class]]="C",WORKDAY(Main[[#This Row],[Tech Start Date]],9),IF(Main[[#This Row],[Class]]="B", WORKDAY(Main[[#This Row],[Tech Start Date]],6),IF(Main[[#This Row],[Class]]="A",WORKDAY(Main[[#This Row],[Tech Start Date]],2),""))))</f>
        <v/>
      </c>
      <c r="N1222" s="73" t="str">
        <f>IF(Main[[#This Row],[Tech Start Date]]&lt;1/1/1990,"",IF(Main[[#This Row],[Class]]="C",WORKDAY(Main[[#This Row],[Tech Start Date]],19),IF(Main[[#This Row],[Class]]="B", WORKDAY(Main[[#This Row],[Tech Start Date]],12),IF(Main[[#This Row],[Class]]="A",WORKDAY(Main[[#This Row],[Tech Start Date]],4),""))))</f>
        <v/>
      </c>
      <c r="O1222" s="73" t="str">
        <f>IF(Main[[#This Row],[Tech Start Date]]&lt;1/1/1990,"",IF(Main[[#This Row],[Class]]="C",WORKDAY(Main[[#This Row],[Tech Start Date]],23),IF(Main[[#This Row],[Class]]="B", WORKDAY(Main[[#This Row],[Tech Start Date]],15),IF(Main[[#This Row],[Class]]="A",WORKDAY(Main[[#This Row],[Tech Start Date]],5),""))))</f>
        <v/>
      </c>
      <c r="P1222" s="73" t="str">
        <f>IF(Main[[#This Row],[Tech Start Date]]&lt;1/1/1990,"",IF(Main[[#This Row],[Class]]="C",WORKDAY(Main[[#This Row],[Tech Start Date]],28),IF(Main[[#This Row],[Class]]="B", WORKDAY(Main[[#This Row],[Tech Start Date]],19),IF(Main[[#This Row],[Class]]="A",WORKDAY(Main[[#This Row],[Tech Start Date]],9),""))))</f>
        <v/>
      </c>
      <c r="Q1222" s="85">
        <v>41000</v>
      </c>
      <c r="R1222" s="112"/>
      <c r="S1222" s="95" t="s">
        <v>11</v>
      </c>
      <c r="T1222" s="74" t="s">
        <v>4</v>
      </c>
      <c r="U1222" s="95" t="s">
        <v>7</v>
      </c>
      <c r="V1222" s="95" t="s">
        <v>1926</v>
      </c>
      <c r="W1222" s="95" t="s">
        <v>1916</v>
      </c>
      <c r="X1222" s="95" t="s">
        <v>922</v>
      </c>
      <c r="Y1222" s="72" t="s">
        <v>3050</v>
      </c>
      <c r="Z1222" s="72" t="s">
        <v>4</v>
      </c>
      <c r="AA1222" s="95" t="s">
        <v>907</v>
      </c>
      <c r="AB1222" s="132"/>
      <c r="AC1222" s="132"/>
      <c r="AD1222" s="132"/>
      <c r="AE1222" s="63"/>
      <c r="AF1222" s="63"/>
      <c r="AG1222" s="63"/>
    </row>
    <row r="1223" spans="1:33" ht="17.2" customHeight="1">
      <c r="A1223" s="64" t="str">
        <f>IF(priority(Main[[#This Row],[Comments]])&lt;&gt;0, priority(Main[[#This Row],[Comments]]),"")</f>
        <v/>
      </c>
      <c r="B1223" s="60" t="s">
        <v>3464</v>
      </c>
      <c r="C1223" s="72" t="s">
        <v>4</v>
      </c>
      <c r="D1223" s="59" t="s">
        <v>3465</v>
      </c>
      <c r="E1223" s="85">
        <v>40942.135775462964</v>
      </c>
      <c r="F1223" s="85"/>
      <c r="G1223" s="64" t="str">
        <f>IF(stdProdLT(Main[[#This Row],[Comments]])=0.1,"N/A",IF(stdProdLT(Main[[#This Row],[Comments]])=0,"",TRIM(stdProdLT(Main[[#This Row],[Comments]]))))</f>
        <v/>
      </c>
      <c r="H1223" s="94" t="str">
        <f>IF(OR(Main[[#This Row],[Std. Prod. Lead Time]]="N/A",Main[[#This Row],[Std. Prod. Lead Time]]=""), "",IF(AND(Main[[#This Row],[In Stock Date]]&lt;&gt;"",Main[[#This Row],[Revised Due Date]]&lt;&gt;"",Main[[#This Row],[In Stock Date]]&lt;&gt;""),Main[[#This Row],[In Stock Date]]-Main[[#This Row],[Revised Due Date]],""))</f>
        <v/>
      </c>
      <c r="I1223" s="101" t="s">
        <v>4</v>
      </c>
      <c r="J1223" s="95" t="s">
        <v>4</v>
      </c>
      <c r="K1223" s="95" t="s">
        <v>4</v>
      </c>
      <c r="L1223" s="85"/>
      <c r="M1223" s="73" t="str">
        <f>IF(Main[[#This Row],[Tech Start Date]]&lt;1/1/1990,"",IF(Main[[#This Row],[Class]]="C",WORKDAY(Main[[#This Row],[Tech Start Date]],9),IF(Main[[#This Row],[Class]]="B", WORKDAY(Main[[#This Row],[Tech Start Date]],6),IF(Main[[#This Row],[Class]]="A",WORKDAY(Main[[#This Row],[Tech Start Date]],2),""))))</f>
        <v/>
      </c>
      <c r="N1223" s="73" t="str">
        <f>IF(Main[[#This Row],[Tech Start Date]]&lt;1/1/1990,"",IF(Main[[#This Row],[Class]]="C",WORKDAY(Main[[#This Row],[Tech Start Date]],19),IF(Main[[#This Row],[Class]]="B", WORKDAY(Main[[#This Row],[Tech Start Date]],12),IF(Main[[#This Row],[Class]]="A",WORKDAY(Main[[#This Row],[Tech Start Date]],4),""))))</f>
        <v/>
      </c>
      <c r="O1223" s="73" t="str">
        <f>IF(Main[[#This Row],[Tech Start Date]]&lt;1/1/1990,"",IF(Main[[#This Row],[Class]]="C",WORKDAY(Main[[#This Row],[Tech Start Date]],23),IF(Main[[#This Row],[Class]]="B", WORKDAY(Main[[#This Row],[Tech Start Date]],15),IF(Main[[#This Row],[Class]]="A",WORKDAY(Main[[#This Row],[Tech Start Date]],5),""))))</f>
        <v/>
      </c>
      <c r="P1223" s="73" t="str">
        <f>IF(Main[[#This Row],[Tech Start Date]]&lt;1/1/1990,"",IF(Main[[#This Row],[Class]]="C",WORKDAY(Main[[#This Row],[Tech Start Date]],28),IF(Main[[#This Row],[Class]]="B", WORKDAY(Main[[#This Row],[Tech Start Date]],19),IF(Main[[#This Row],[Class]]="A",WORKDAY(Main[[#This Row],[Tech Start Date]],9),""))))</f>
        <v/>
      </c>
      <c r="Q1223" s="85">
        <v>41001</v>
      </c>
      <c r="R1223" s="112"/>
      <c r="S1223" s="95" t="s">
        <v>6</v>
      </c>
      <c r="T1223" s="74" t="s">
        <v>4</v>
      </c>
      <c r="U1223" s="95" t="s">
        <v>29</v>
      </c>
      <c r="V1223" s="95" t="s">
        <v>1914</v>
      </c>
      <c r="W1223" s="95" t="s">
        <v>4</v>
      </c>
      <c r="X1223" s="95" t="s">
        <v>2802</v>
      </c>
      <c r="Y1223" s="72" t="s">
        <v>2916</v>
      </c>
      <c r="Z1223" s="72" t="s">
        <v>4</v>
      </c>
      <c r="AA1223" s="95" t="s">
        <v>2802</v>
      </c>
      <c r="AB1223" s="132"/>
      <c r="AC1223" s="132"/>
      <c r="AD1223" s="132"/>
      <c r="AE1223" s="63"/>
      <c r="AF1223" s="63"/>
      <c r="AG1223" s="63"/>
    </row>
    <row r="1224" spans="1:33" ht="17.2" customHeight="1">
      <c r="A1224" s="64" t="str">
        <f>IF(priority(Main[[#This Row],[Comments]])&lt;&gt;0, priority(Main[[#This Row],[Comments]]),"")</f>
        <v/>
      </c>
      <c r="B1224" s="60" t="s">
        <v>4054</v>
      </c>
      <c r="C1224" s="72" t="s">
        <v>116</v>
      </c>
      <c r="D1224" s="59" t="s">
        <v>4055</v>
      </c>
      <c r="E1224" s="85">
        <v>40976.393240740741</v>
      </c>
      <c r="F1224" s="85"/>
      <c r="G1224" s="64" t="str">
        <f>IF(stdProdLT(Main[[#This Row],[Comments]])=0.1,"N/A",IF(stdProdLT(Main[[#This Row],[Comments]])=0,"",TRIM(stdProdLT(Main[[#This Row],[Comments]]))))</f>
        <v/>
      </c>
      <c r="H1224" s="94" t="str">
        <f>IF(OR(Main[[#This Row],[Std. Prod. Lead Time]]="N/A",Main[[#This Row],[Std. Prod. Lead Time]]=""), "",IF(AND(Main[[#This Row],[In Stock Date]]&lt;&gt;"",Main[[#This Row],[Revised Due Date]]&lt;&gt;"",Main[[#This Row],[In Stock Date]]&lt;&gt;""),Main[[#This Row],[In Stock Date]]-Main[[#This Row],[Revised Due Date]],""))</f>
        <v/>
      </c>
      <c r="I1224" s="101" t="s">
        <v>4</v>
      </c>
      <c r="J1224" s="95" t="s">
        <v>4</v>
      </c>
      <c r="K1224" s="95" t="s">
        <v>4</v>
      </c>
      <c r="L1224" s="85"/>
      <c r="M1224" s="73" t="str">
        <f>IF(Main[[#This Row],[Tech Start Date]]&lt;1/1/1990,"",IF(Main[[#This Row],[Class]]="C",WORKDAY(Main[[#This Row],[Tech Start Date]],9),IF(Main[[#This Row],[Class]]="B", WORKDAY(Main[[#This Row],[Tech Start Date]],6),IF(Main[[#This Row],[Class]]="A",WORKDAY(Main[[#This Row],[Tech Start Date]],2),""))))</f>
        <v/>
      </c>
      <c r="N1224" s="73" t="str">
        <f>IF(Main[[#This Row],[Tech Start Date]]&lt;1/1/1990,"",IF(Main[[#This Row],[Class]]="C",WORKDAY(Main[[#This Row],[Tech Start Date]],19),IF(Main[[#This Row],[Class]]="B", WORKDAY(Main[[#This Row],[Tech Start Date]],12),IF(Main[[#This Row],[Class]]="A",WORKDAY(Main[[#This Row],[Tech Start Date]],4),""))))</f>
        <v/>
      </c>
      <c r="O1224" s="73" t="str">
        <f>IF(Main[[#This Row],[Tech Start Date]]&lt;1/1/1990,"",IF(Main[[#This Row],[Class]]="C",WORKDAY(Main[[#This Row],[Tech Start Date]],23),IF(Main[[#This Row],[Class]]="B", WORKDAY(Main[[#This Row],[Tech Start Date]],15),IF(Main[[#This Row],[Class]]="A",WORKDAY(Main[[#This Row],[Tech Start Date]],5),""))))</f>
        <v/>
      </c>
      <c r="P1224" s="73" t="str">
        <f>IF(Main[[#This Row],[Tech Start Date]]&lt;1/1/1990,"",IF(Main[[#This Row],[Class]]="C",WORKDAY(Main[[#This Row],[Tech Start Date]],28),IF(Main[[#This Row],[Class]]="B", WORKDAY(Main[[#This Row],[Tech Start Date]],19),IF(Main[[#This Row],[Class]]="A",WORKDAY(Main[[#This Row],[Tech Start Date]],9),""))))</f>
        <v/>
      </c>
      <c r="Q1224" s="85"/>
      <c r="R1224" s="112"/>
      <c r="S1224" s="95" t="s">
        <v>17</v>
      </c>
      <c r="T1224" s="74" t="s">
        <v>4056</v>
      </c>
      <c r="U1224" s="95" t="s">
        <v>7</v>
      </c>
      <c r="V1224" s="95" t="s">
        <v>1914</v>
      </c>
      <c r="W1224" s="95" t="s">
        <v>1913</v>
      </c>
      <c r="X1224" s="95" t="s">
        <v>652</v>
      </c>
      <c r="Y1224" s="72" t="s">
        <v>3104</v>
      </c>
      <c r="Z1224" s="72" t="s">
        <v>3495</v>
      </c>
      <c r="AA1224" s="95" t="s">
        <v>652</v>
      </c>
      <c r="AB1224" s="132"/>
      <c r="AC1224" s="132"/>
      <c r="AD1224" s="132"/>
      <c r="AE1224" s="63"/>
      <c r="AF1224" s="63"/>
      <c r="AG1224" s="63"/>
    </row>
    <row r="1225" spans="1:33" ht="17.2" customHeight="1">
      <c r="A1225" s="64" t="str">
        <f>IF(priority(Main[[#This Row],[Comments]])&lt;&gt;0, priority(Main[[#This Row],[Comments]]),"")</f>
        <v/>
      </c>
      <c r="B1225" s="60" t="s">
        <v>3782</v>
      </c>
      <c r="C1225" s="72" t="s">
        <v>47</v>
      </c>
      <c r="D1225" s="59" t="s">
        <v>3783</v>
      </c>
      <c r="E1225" s="85">
        <v>40968.462013888886</v>
      </c>
      <c r="F1225" s="85"/>
      <c r="G1225" s="64" t="str">
        <f>IF(stdProdLT(Main[[#This Row],[Comments]])=0.1,"N/A",IF(stdProdLT(Main[[#This Row],[Comments]])=0,"",TRIM(stdProdLT(Main[[#This Row],[Comments]]))))</f>
        <v/>
      </c>
      <c r="H1225" s="94" t="str">
        <f>IF(OR(Main[[#This Row],[Std. Prod. Lead Time]]="N/A",Main[[#This Row],[Std. Prod. Lead Time]]=""), "",IF(AND(Main[[#This Row],[In Stock Date]]&lt;&gt;"",Main[[#This Row],[Revised Due Date]]&lt;&gt;"",Main[[#This Row],[In Stock Date]]&lt;&gt;""),Main[[#This Row],[In Stock Date]]-Main[[#This Row],[Revised Due Date]],""))</f>
        <v/>
      </c>
      <c r="I1225" s="101" t="s">
        <v>171</v>
      </c>
      <c r="J1225" s="95" t="s">
        <v>1972</v>
      </c>
      <c r="K1225" s="95" t="s">
        <v>1920</v>
      </c>
      <c r="L1225" s="85"/>
      <c r="M1225" s="73" t="str">
        <f>IF(Main[[#This Row],[Tech Start Date]]&lt;1/1/1990,"",IF(Main[[#This Row],[Class]]="C",WORKDAY(Main[[#This Row],[Tech Start Date]],9),IF(Main[[#This Row],[Class]]="B", WORKDAY(Main[[#This Row],[Tech Start Date]],6),IF(Main[[#This Row],[Class]]="A",WORKDAY(Main[[#This Row],[Tech Start Date]],2),""))))</f>
        <v/>
      </c>
      <c r="N1225" s="73" t="str">
        <f>IF(Main[[#This Row],[Tech Start Date]]&lt;1/1/1990,"",IF(Main[[#This Row],[Class]]="C",WORKDAY(Main[[#This Row],[Tech Start Date]],19),IF(Main[[#This Row],[Class]]="B", WORKDAY(Main[[#This Row],[Tech Start Date]],12),IF(Main[[#This Row],[Class]]="A",WORKDAY(Main[[#This Row],[Tech Start Date]],4),""))))</f>
        <v/>
      </c>
      <c r="O1225" s="73" t="str">
        <f>IF(Main[[#This Row],[Tech Start Date]]&lt;1/1/1990,"",IF(Main[[#This Row],[Class]]="C",WORKDAY(Main[[#This Row],[Tech Start Date]],23),IF(Main[[#This Row],[Class]]="B", WORKDAY(Main[[#This Row],[Tech Start Date]],15),IF(Main[[#This Row],[Class]]="A",WORKDAY(Main[[#This Row],[Tech Start Date]],5),""))))</f>
        <v/>
      </c>
      <c r="P1225" s="73" t="str">
        <f>IF(Main[[#This Row],[Tech Start Date]]&lt;1/1/1990,"",IF(Main[[#This Row],[Class]]="C",WORKDAY(Main[[#This Row],[Tech Start Date]],28),IF(Main[[#This Row],[Class]]="B", WORKDAY(Main[[#This Row],[Tech Start Date]],19),IF(Main[[#This Row],[Class]]="A",WORKDAY(Main[[#This Row],[Tech Start Date]],9),""))))</f>
        <v/>
      </c>
      <c r="Q1225" s="85"/>
      <c r="R1225" s="112">
        <v>40977</v>
      </c>
      <c r="S1225" s="95" t="s">
        <v>6</v>
      </c>
      <c r="T1225" s="74" t="s">
        <v>3823</v>
      </c>
      <c r="U1225" s="95" t="s">
        <v>29</v>
      </c>
      <c r="V1225" s="95" t="s">
        <v>2277</v>
      </c>
      <c r="W1225" s="95" t="s">
        <v>1913</v>
      </c>
      <c r="X1225" s="95" t="s">
        <v>2845</v>
      </c>
      <c r="Y1225" s="72" t="s">
        <v>2988</v>
      </c>
      <c r="Z1225" s="72" t="s">
        <v>69</v>
      </c>
      <c r="AA1225" s="95" t="s">
        <v>2845</v>
      </c>
      <c r="AB1225" s="132"/>
      <c r="AC1225" s="132"/>
      <c r="AD1225" s="132"/>
      <c r="AE1225" s="63"/>
      <c r="AF1225" s="63"/>
      <c r="AG1225" s="63"/>
    </row>
    <row r="1226" spans="1:33" ht="17.2" customHeight="1">
      <c r="A1226" s="64" t="str">
        <f>IF(priority(Main[[#This Row],[Comments]])&lt;&gt;0, priority(Main[[#This Row],[Comments]]),"")</f>
        <v/>
      </c>
      <c r="B1226" s="60" t="s">
        <v>2645</v>
      </c>
      <c r="C1226" s="72" t="s">
        <v>4</v>
      </c>
      <c r="D1226" s="59" t="s">
        <v>2646</v>
      </c>
      <c r="E1226" s="85"/>
      <c r="F1226" s="85"/>
      <c r="G1226" s="64" t="str">
        <f>IF(stdProdLT(Main[[#This Row],[Comments]])=0.1,"N/A",IF(stdProdLT(Main[[#This Row],[Comments]])=0,"",TRIM(stdProdLT(Main[[#This Row],[Comments]]))))</f>
        <v/>
      </c>
      <c r="H1226" s="94" t="str">
        <f>IF(OR(Main[[#This Row],[Std. Prod. Lead Time]]="N/A",Main[[#This Row],[Std. Prod. Lead Time]]=""), "",IF(AND(Main[[#This Row],[In Stock Date]]&lt;&gt;"",Main[[#This Row],[Revised Due Date]]&lt;&gt;"",Main[[#This Row],[In Stock Date]]&lt;&gt;""),Main[[#This Row],[In Stock Date]]-Main[[#This Row],[Revised Due Date]],""))</f>
        <v/>
      </c>
      <c r="I1226" s="101" t="s">
        <v>4</v>
      </c>
      <c r="J1226" s="95" t="s">
        <v>4</v>
      </c>
      <c r="K1226" s="95" t="s">
        <v>4</v>
      </c>
      <c r="L1226" s="85"/>
      <c r="M1226" s="73" t="str">
        <f>IF(Main[[#This Row],[Tech Start Date]]&lt;1/1/1990,"",IF(Main[[#This Row],[Class]]="C",WORKDAY(Main[[#This Row],[Tech Start Date]],9),IF(Main[[#This Row],[Class]]="B", WORKDAY(Main[[#This Row],[Tech Start Date]],6),IF(Main[[#This Row],[Class]]="A",WORKDAY(Main[[#This Row],[Tech Start Date]],2),""))))</f>
        <v/>
      </c>
      <c r="N1226" s="73" t="str">
        <f>IF(Main[[#This Row],[Tech Start Date]]&lt;1/1/1990,"",IF(Main[[#This Row],[Class]]="C",WORKDAY(Main[[#This Row],[Tech Start Date]],19),IF(Main[[#This Row],[Class]]="B", WORKDAY(Main[[#This Row],[Tech Start Date]],12),IF(Main[[#This Row],[Class]]="A",WORKDAY(Main[[#This Row],[Tech Start Date]],4),""))))</f>
        <v/>
      </c>
      <c r="O1226" s="73" t="str">
        <f>IF(Main[[#This Row],[Tech Start Date]]&lt;1/1/1990,"",IF(Main[[#This Row],[Class]]="C",WORKDAY(Main[[#This Row],[Tech Start Date]],23),IF(Main[[#This Row],[Class]]="B", WORKDAY(Main[[#This Row],[Tech Start Date]],15),IF(Main[[#This Row],[Class]]="A",WORKDAY(Main[[#This Row],[Tech Start Date]],5),""))))</f>
        <v/>
      </c>
      <c r="P1226" s="73" t="str">
        <f>IF(Main[[#This Row],[Tech Start Date]]&lt;1/1/1990,"",IF(Main[[#This Row],[Class]]="C",WORKDAY(Main[[#This Row],[Tech Start Date]],28),IF(Main[[#This Row],[Class]]="B", WORKDAY(Main[[#This Row],[Tech Start Date]],19),IF(Main[[#This Row],[Class]]="A",WORKDAY(Main[[#This Row],[Tech Start Date]],9),""))))</f>
        <v/>
      </c>
      <c r="Q1226" s="85">
        <v>40884</v>
      </c>
      <c r="R1226" s="112"/>
      <c r="S1226" s="95" t="s">
        <v>4</v>
      </c>
      <c r="T1226" s="74" t="s">
        <v>4</v>
      </c>
      <c r="U1226" s="95" t="s">
        <v>14</v>
      </c>
      <c r="V1226" s="95" t="s">
        <v>1921</v>
      </c>
      <c r="W1226" s="95" t="s">
        <v>1919</v>
      </c>
      <c r="X1226" s="95" t="s">
        <v>2837</v>
      </c>
      <c r="Y1226" s="72" t="s">
        <v>2976</v>
      </c>
      <c r="Z1226" s="72" t="s">
        <v>4</v>
      </c>
      <c r="AA1226" s="95" t="s">
        <v>2837</v>
      </c>
      <c r="AB1226" s="132"/>
      <c r="AC1226" s="132"/>
      <c r="AD1226" s="132"/>
      <c r="AE1226" s="63"/>
      <c r="AF1226" s="63"/>
      <c r="AG1226" s="63"/>
    </row>
    <row r="1227" spans="1:33" ht="17.2" customHeight="1">
      <c r="A1227" s="64" t="str">
        <f>IF(priority(Main[[#This Row],[Comments]])&lt;&gt;0, priority(Main[[#This Row],[Comments]]),"")</f>
        <v/>
      </c>
      <c r="B1227" s="60" t="s">
        <v>3441</v>
      </c>
      <c r="C1227" s="72" t="s">
        <v>3442</v>
      </c>
      <c r="D1227" s="59" t="s">
        <v>3443</v>
      </c>
      <c r="E1227" s="85"/>
      <c r="F1227" s="85">
        <v>41116</v>
      </c>
      <c r="G1227" s="64" t="str">
        <f>IF(stdProdLT(Main[[#This Row],[Comments]])=0.1,"N/A",IF(stdProdLT(Main[[#This Row],[Comments]])=0,"",TRIM(stdProdLT(Main[[#This Row],[Comments]]))))</f>
        <v>140</v>
      </c>
      <c r="H1227" s="94" t="str">
        <f>IF(OR(Main[[#This Row],[Std. Prod. Lead Time]]="N/A",Main[[#This Row],[Std. Prod. Lead Time]]=""), "",IF(AND(Main[[#This Row],[In Stock Date]]&lt;&gt;"",Main[[#This Row],[Revised Due Date]]&lt;&gt;"",Main[[#This Row],[In Stock Date]]&lt;&gt;""),Main[[#This Row],[In Stock Date]]-Main[[#This Row],[Revised Due Date]],""))</f>
        <v/>
      </c>
      <c r="I1227" s="101" t="s">
        <v>4</v>
      </c>
      <c r="J1227" s="95" t="s">
        <v>4</v>
      </c>
      <c r="K1227" s="95" t="s">
        <v>4</v>
      </c>
      <c r="L1227" s="85"/>
      <c r="M1227" s="73" t="str">
        <f>IF(Main[[#This Row],[Tech Start Date]]&lt;1/1/1990,"",IF(Main[[#This Row],[Class]]="C",WORKDAY(Main[[#This Row],[Tech Start Date]],9),IF(Main[[#This Row],[Class]]="B", WORKDAY(Main[[#This Row],[Tech Start Date]],6),IF(Main[[#This Row],[Class]]="A",WORKDAY(Main[[#This Row],[Tech Start Date]],2),""))))</f>
        <v/>
      </c>
      <c r="N1227" s="73" t="str">
        <f>IF(Main[[#This Row],[Tech Start Date]]&lt;1/1/1990,"",IF(Main[[#This Row],[Class]]="C",WORKDAY(Main[[#This Row],[Tech Start Date]],19),IF(Main[[#This Row],[Class]]="B", WORKDAY(Main[[#This Row],[Tech Start Date]],12),IF(Main[[#This Row],[Class]]="A",WORKDAY(Main[[#This Row],[Tech Start Date]],4),""))))</f>
        <v/>
      </c>
      <c r="O1227" s="73" t="str">
        <f>IF(Main[[#This Row],[Tech Start Date]]&lt;1/1/1990,"",IF(Main[[#This Row],[Class]]="C",WORKDAY(Main[[#This Row],[Tech Start Date]],23),IF(Main[[#This Row],[Class]]="B", WORKDAY(Main[[#This Row],[Tech Start Date]],15),IF(Main[[#This Row],[Class]]="A",WORKDAY(Main[[#This Row],[Tech Start Date]],5),""))))</f>
        <v/>
      </c>
      <c r="P1227" s="73" t="str">
        <f>IF(Main[[#This Row],[Tech Start Date]]&lt;1/1/1990,"",IF(Main[[#This Row],[Class]]="C",WORKDAY(Main[[#This Row],[Tech Start Date]],28),IF(Main[[#This Row],[Class]]="B", WORKDAY(Main[[#This Row],[Tech Start Date]],19),IF(Main[[#This Row],[Class]]="A",WORKDAY(Main[[#This Row],[Tech Start Date]],9),""))))</f>
        <v/>
      </c>
      <c r="Q1227" s="85">
        <v>40976</v>
      </c>
      <c r="R1227" s="112"/>
      <c r="S1227" s="95" t="s">
        <v>11</v>
      </c>
      <c r="T1227" s="74" t="s">
        <v>3528</v>
      </c>
      <c r="U1227" s="95" t="s">
        <v>14</v>
      </c>
      <c r="V1227" s="95" t="s">
        <v>1921</v>
      </c>
      <c r="W1227" s="95" t="s">
        <v>1919</v>
      </c>
      <c r="X1227" s="95" t="s">
        <v>3444</v>
      </c>
      <c r="Y1227" s="72" t="s">
        <v>4</v>
      </c>
      <c r="Z1227" s="72" t="s">
        <v>4</v>
      </c>
      <c r="AA1227" s="95" t="s">
        <v>3444</v>
      </c>
      <c r="AB1227" s="132"/>
      <c r="AC1227" s="132"/>
      <c r="AD1227" s="132"/>
      <c r="AE1227" s="63"/>
      <c r="AF1227" s="63"/>
      <c r="AG1227" s="63"/>
    </row>
    <row r="1228" spans="1:33" ht="17.2" customHeight="1">
      <c r="A1228" s="64" t="str">
        <f>IF(priority(Main[[#This Row],[Comments]])&lt;&gt;0, priority(Main[[#This Row],[Comments]]),"")</f>
        <v/>
      </c>
      <c r="B1228" s="60" t="s">
        <v>1201</v>
      </c>
      <c r="C1228" s="72" t="s">
        <v>4</v>
      </c>
      <c r="D1228" s="59" t="s">
        <v>3623</v>
      </c>
      <c r="E1228" s="85">
        <v>40667.612881944442</v>
      </c>
      <c r="F1228" s="85"/>
      <c r="G1228" s="64" t="str">
        <f>IF(stdProdLT(Main[[#This Row],[Comments]])=0.1,"N/A",IF(stdProdLT(Main[[#This Row],[Comments]])=0,"",TRIM(stdProdLT(Main[[#This Row],[Comments]]))))</f>
        <v/>
      </c>
      <c r="H1228" s="94" t="str">
        <f>IF(OR(Main[[#This Row],[Std. Prod. Lead Time]]="N/A",Main[[#This Row],[Std. Prod. Lead Time]]=""), "",IF(AND(Main[[#This Row],[In Stock Date]]&lt;&gt;"",Main[[#This Row],[Revised Due Date]]&lt;&gt;"",Main[[#This Row],[In Stock Date]]&lt;&gt;""),Main[[#This Row],[In Stock Date]]-Main[[#This Row],[Revised Due Date]],""))</f>
        <v/>
      </c>
      <c r="I1228" s="101" t="s">
        <v>4</v>
      </c>
      <c r="J1228" s="95" t="s">
        <v>4</v>
      </c>
      <c r="K1228" s="95" t="s">
        <v>4</v>
      </c>
      <c r="L1228" s="85"/>
      <c r="M1228" s="73" t="str">
        <f>IF(Main[[#This Row],[Tech Start Date]]&lt;1/1/1990,"",IF(Main[[#This Row],[Class]]="C",WORKDAY(Main[[#This Row],[Tech Start Date]],9),IF(Main[[#This Row],[Class]]="B", WORKDAY(Main[[#This Row],[Tech Start Date]],6),IF(Main[[#This Row],[Class]]="A",WORKDAY(Main[[#This Row],[Tech Start Date]],2),""))))</f>
        <v/>
      </c>
      <c r="N1228" s="73" t="str">
        <f>IF(Main[[#This Row],[Tech Start Date]]&lt;1/1/1990,"",IF(Main[[#This Row],[Class]]="C",WORKDAY(Main[[#This Row],[Tech Start Date]],19),IF(Main[[#This Row],[Class]]="B", WORKDAY(Main[[#This Row],[Tech Start Date]],12),IF(Main[[#This Row],[Class]]="A",WORKDAY(Main[[#This Row],[Tech Start Date]],4),""))))</f>
        <v/>
      </c>
      <c r="O1228" s="73" t="str">
        <f>IF(Main[[#This Row],[Tech Start Date]]&lt;1/1/1990,"",IF(Main[[#This Row],[Class]]="C",WORKDAY(Main[[#This Row],[Tech Start Date]],23),IF(Main[[#This Row],[Class]]="B", WORKDAY(Main[[#This Row],[Tech Start Date]],15),IF(Main[[#This Row],[Class]]="A",WORKDAY(Main[[#This Row],[Tech Start Date]],5),""))))</f>
        <v/>
      </c>
      <c r="P1228" s="73" t="str">
        <f>IF(Main[[#This Row],[Tech Start Date]]&lt;1/1/1990,"",IF(Main[[#This Row],[Class]]="C",WORKDAY(Main[[#This Row],[Tech Start Date]],28),IF(Main[[#This Row],[Class]]="B", WORKDAY(Main[[#This Row],[Tech Start Date]],19),IF(Main[[#This Row],[Class]]="A",WORKDAY(Main[[#This Row],[Tech Start Date]],9),""))))</f>
        <v/>
      </c>
      <c r="Q1228" s="85">
        <v>40858</v>
      </c>
      <c r="R1228" s="112"/>
      <c r="S1228" s="95" t="s">
        <v>17</v>
      </c>
      <c r="T1228" s="74" t="s">
        <v>4</v>
      </c>
      <c r="U1228" s="95" t="s">
        <v>7</v>
      </c>
      <c r="V1228" s="95" t="s">
        <v>1911</v>
      </c>
      <c r="W1228" s="95" t="s">
        <v>1916</v>
      </c>
      <c r="X1228" s="95" t="s">
        <v>50</v>
      </c>
      <c r="Y1228" s="72" t="s">
        <v>2937</v>
      </c>
      <c r="Z1228" s="72" t="s">
        <v>4</v>
      </c>
      <c r="AA1228" s="95" t="s">
        <v>2808</v>
      </c>
      <c r="AB1228" s="132"/>
      <c r="AC1228" s="132"/>
      <c r="AD1228" s="132"/>
      <c r="AE1228" s="63"/>
      <c r="AF1228" s="63"/>
      <c r="AG1228" s="63"/>
    </row>
    <row r="1229" spans="1:33" ht="17.2" customHeight="1">
      <c r="A1229" s="64" t="str">
        <f>IF(priority(Main[[#This Row],[Comments]])&lt;&gt;0, priority(Main[[#This Row],[Comments]]),"")</f>
        <v/>
      </c>
      <c r="B1229" s="60" t="s">
        <v>3624</v>
      </c>
      <c r="C1229" s="72" t="s">
        <v>4</v>
      </c>
      <c r="D1229" s="59" t="s">
        <v>3625</v>
      </c>
      <c r="E1229" s="85">
        <v>40960.145115740743</v>
      </c>
      <c r="F1229" s="85"/>
      <c r="G1229" s="64" t="str">
        <f>IF(stdProdLT(Main[[#This Row],[Comments]])=0.1,"N/A",IF(stdProdLT(Main[[#This Row],[Comments]])=0,"",TRIM(stdProdLT(Main[[#This Row],[Comments]]))))</f>
        <v/>
      </c>
      <c r="H1229" s="94" t="str">
        <f>IF(OR(Main[[#This Row],[Std. Prod. Lead Time]]="N/A",Main[[#This Row],[Std. Prod. Lead Time]]=""), "",IF(AND(Main[[#This Row],[In Stock Date]]&lt;&gt;"",Main[[#This Row],[Revised Due Date]]&lt;&gt;"",Main[[#This Row],[In Stock Date]]&lt;&gt;""),Main[[#This Row],[In Stock Date]]-Main[[#This Row],[Revised Due Date]],""))</f>
        <v/>
      </c>
      <c r="I1229" s="101" t="s">
        <v>912</v>
      </c>
      <c r="J1229" s="95" t="s">
        <v>52</v>
      </c>
      <c r="K1229" s="95" t="s">
        <v>4</v>
      </c>
      <c r="L1229" s="85"/>
      <c r="M1229" s="73" t="str">
        <f>IF(Main[[#This Row],[Tech Start Date]]&lt;1/1/1990,"",IF(Main[[#This Row],[Class]]="C",WORKDAY(Main[[#This Row],[Tech Start Date]],9),IF(Main[[#This Row],[Class]]="B", WORKDAY(Main[[#This Row],[Tech Start Date]],6),IF(Main[[#This Row],[Class]]="A",WORKDAY(Main[[#This Row],[Tech Start Date]],2),""))))</f>
        <v/>
      </c>
      <c r="N1229" s="73" t="str">
        <f>IF(Main[[#This Row],[Tech Start Date]]&lt;1/1/1990,"",IF(Main[[#This Row],[Class]]="C",WORKDAY(Main[[#This Row],[Tech Start Date]],19),IF(Main[[#This Row],[Class]]="B", WORKDAY(Main[[#This Row],[Tech Start Date]],12),IF(Main[[#This Row],[Class]]="A",WORKDAY(Main[[#This Row],[Tech Start Date]],4),""))))</f>
        <v/>
      </c>
      <c r="O1229" s="73" t="str">
        <f>IF(Main[[#This Row],[Tech Start Date]]&lt;1/1/1990,"",IF(Main[[#This Row],[Class]]="C",WORKDAY(Main[[#This Row],[Tech Start Date]],23),IF(Main[[#This Row],[Class]]="B", WORKDAY(Main[[#This Row],[Tech Start Date]],15),IF(Main[[#This Row],[Class]]="A",WORKDAY(Main[[#This Row],[Tech Start Date]],5),""))))</f>
        <v/>
      </c>
      <c r="P1229" s="73" t="str">
        <f>IF(Main[[#This Row],[Tech Start Date]]&lt;1/1/1990,"",IF(Main[[#This Row],[Class]]="C",WORKDAY(Main[[#This Row],[Tech Start Date]],28),IF(Main[[#This Row],[Class]]="B", WORKDAY(Main[[#This Row],[Tech Start Date]],19),IF(Main[[#This Row],[Class]]="A",WORKDAY(Main[[#This Row],[Tech Start Date]],9),""))))</f>
        <v/>
      </c>
      <c r="Q1229" s="85">
        <v>40989</v>
      </c>
      <c r="R1229" s="112"/>
      <c r="S1229" s="95" t="s">
        <v>6</v>
      </c>
      <c r="T1229" s="74" t="s">
        <v>4</v>
      </c>
      <c r="U1229" s="95" t="s">
        <v>29</v>
      </c>
      <c r="V1229" s="95" t="s">
        <v>1911</v>
      </c>
      <c r="W1229" s="95" t="s">
        <v>4</v>
      </c>
      <c r="X1229" s="95" t="s">
        <v>2802</v>
      </c>
      <c r="Y1229" s="72" t="s">
        <v>2916</v>
      </c>
      <c r="Z1229" s="72" t="s">
        <v>129</v>
      </c>
      <c r="AA1229" s="95" t="s">
        <v>2802</v>
      </c>
      <c r="AB1229" s="132"/>
      <c r="AC1229" s="132"/>
      <c r="AD1229" s="132"/>
      <c r="AE1229" s="63"/>
      <c r="AF1229" s="63"/>
      <c r="AG1229" s="63"/>
    </row>
    <row r="1230" spans="1:33" ht="17.2" customHeight="1">
      <c r="A1230" s="64" t="str">
        <f>IF(priority(Main[[#This Row],[Comments]])&lt;&gt;0, priority(Main[[#This Row],[Comments]]),"")</f>
        <v/>
      </c>
      <c r="B1230" s="60" t="s">
        <v>2715</v>
      </c>
      <c r="C1230" s="72" t="s">
        <v>4</v>
      </c>
      <c r="D1230" s="59" t="s">
        <v>3315</v>
      </c>
      <c r="E1230" s="85">
        <v>40891.136469907404</v>
      </c>
      <c r="F1230" s="85"/>
      <c r="G1230" s="64" t="str">
        <f>IF(stdProdLT(Main[[#This Row],[Comments]])=0.1,"N/A",IF(stdProdLT(Main[[#This Row],[Comments]])=0,"",TRIM(stdProdLT(Main[[#This Row],[Comments]]))))</f>
        <v/>
      </c>
      <c r="H1230" s="94" t="str">
        <f>IF(OR(Main[[#This Row],[Std. Prod. Lead Time]]="N/A",Main[[#This Row],[Std. Prod. Lead Time]]=""), "",IF(AND(Main[[#This Row],[In Stock Date]]&lt;&gt;"",Main[[#This Row],[Revised Due Date]]&lt;&gt;"",Main[[#This Row],[In Stock Date]]&lt;&gt;""),Main[[#This Row],[In Stock Date]]-Main[[#This Row],[Revised Due Date]],""))</f>
        <v/>
      </c>
      <c r="I1230" s="101" t="s">
        <v>69</v>
      </c>
      <c r="J1230" s="95" t="s">
        <v>70</v>
      </c>
      <c r="K1230" s="95" t="s">
        <v>1920</v>
      </c>
      <c r="L1230" s="85"/>
      <c r="M1230" s="73" t="str">
        <f>IF(Main[[#This Row],[Tech Start Date]]&lt;1/1/1990,"",IF(Main[[#This Row],[Class]]="C",WORKDAY(Main[[#This Row],[Tech Start Date]],9),IF(Main[[#This Row],[Class]]="B", WORKDAY(Main[[#This Row],[Tech Start Date]],6),IF(Main[[#This Row],[Class]]="A",WORKDAY(Main[[#This Row],[Tech Start Date]],2),""))))</f>
        <v/>
      </c>
      <c r="N1230" s="73" t="str">
        <f>IF(Main[[#This Row],[Tech Start Date]]&lt;1/1/1990,"",IF(Main[[#This Row],[Class]]="C",WORKDAY(Main[[#This Row],[Tech Start Date]],19),IF(Main[[#This Row],[Class]]="B", WORKDAY(Main[[#This Row],[Tech Start Date]],12),IF(Main[[#This Row],[Class]]="A",WORKDAY(Main[[#This Row],[Tech Start Date]],4),""))))</f>
        <v/>
      </c>
      <c r="O1230" s="73" t="str">
        <f>IF(Main[[#This Row],[Tech Start Date]]&lt;1/1/1990,"",IF(Main[[#This Row],[Class]]="C",WORKDAY(Main[[#This Row],[Tech Start Date]],23),IF(Main[[#This Row],[Class]]="B", WORKDAY(Main[[#This Row],[Tech Start Date]],15),IF(Main[[#This Row],[Class]]="A",WORKDAY(Main[[#This Row],[Tech Start Date]],5),""))))</f>
        <v/>
      </c>
      <c r="P1230" s="73" t="str">
        <f>IF(Main[[#This Row],[Tech Start Date]]&lt;1/1/1990,"",IF(Main[[#This Row],[Class]]="C",WORKDAY(Main[[#This Row],[Tech Start Date]],28),IF(Main[[#This Row],[Class]]="B", WORKDAY(Main[[#This Row],[Tech Start Date]],19),IF(Main[[#This Row],[Class]]="A",WORKDAY(Main[[#This Row],[Tech Start Date]],9),""))))</f>
        <v/>
      </c>
      <c r="Q1230" s="85">
        <v>40914</v>
      </c>
      <c r="R1230" s="112"/>
      <c r="S1230" s="95" t="s">
        <v>6</v>
      </c>
      <c r="T1230" s="74" t="s">
        <v>4</v>
      </c>
      <c r="U1230" s="95" t="s">
        <v>29</v>
      </c>
      <c r="V1230" s="95" t="s">
        <v>1914</v>
      </c>
      <c r="W1230" s="95" t="s">
        <v>1915</v>
      </c>
      <c r="X1230" s="95" t="s">
        <v>2831</v>
      </c>
      <c r="Y1230" s="72" t="s">
        <v>2964</v>
      </c>
      <c r="Z1230" s="72" t="s">
        <v>30</v>
      </c>
      <c r="AA1230" s="95" t="s">
        <v>2831</v>
      </c>
      <c r="AB1230" s="132"/>
      <c r="AC1230" s="132"/>
      <c r="AD1230" s="132"/>
      <c r="AE1230" s="63"/>
      <c r="AF1230" s="63"/>
      <c r="AG1230" s="63"/>
    </row>
    <row r="1231" spans="1:33" ht="17.2" customHeight="1">
      <c r="A1231" s="64" t="str">
        <f>IF(priority(Main[[#This Row],[Comments]])&lt;&gt;0, priority(Main[[#This Row],[Comments]]),"")</f>
        <v/>
      </c>
      <c r="B1231" s="60" t="s">
        <v>2547</v>
      </c>
      <c r="C1231" s="72" t="s">
        <v>4</v>
      </c>
      <c r="D1231" s="59" t="s">
        <v>2548</v>
      </c>
      <c r="E1231" s="85">
        <v>40835.766481481478</v>
      </c>
      <c r="F1231" s="85"/>
      <c r="G1231" s="64" t="str">
        <f>IF(stdProdLT(Main[[#This Row],[Comments]])=0.1,"N/A",IF(stdProdLT(Main[[#This Row],[Comments]])=0,"",TRIM(stdProdLT(Main[[#This Row],[Comments]]))))</f>
        <v/>
      </c>
      <c r="H1231" s="94" t="str">
        <f>IF(OR(Main[[#This Row],[Std. Prod. Lead Time]]="N/A",Main[[#This Row],[Std. Prod. Lead Time]]=""), "",IF(AND(Main[[#This Row],[In Stock Date]]&lt;&gt;"",Main[[#This Row],[Revised Due Date]]&lt;&gt;"",Main[[#This Row],[In Stock Date]]&lt;&gt;""),Main[[#This Row],[In Stock Date]]-Main[[#This Row],[Revised Due Date]],""))</f>
        <v/>
      </c>
      <c r="I1231" s="101" t="s">
        <v>4</v>
      </c>
      <c r="J1231" s="95" t="s">
        <v>4</v>
      </c>
      <c r="K1231" s="95" t="s">
        <v>4</v>
      </c>
      <c r="L1231" s="85"/>
      <c r="M1231" s="73" t="str">
        <f>IF(Main[[#This Row],[Tech Start Date]]&lt;1/1/1990,"",IF(Main[[#This Row],[Class]]="C",WORKDAY(Main[[#This Row],[Tech Start Date]],9),IF(Main[[#This Row],[Class]]="B", WORKDAY(Main[[#This Row],[Tech Start Date]],6),IF(Main[[#This Row],[Class]]="A",WORKDAY(Main[[#This Row],[Tech Start Date]],2),""))))</f>
        <v/>
      </c>
      <c r="N1231" s="73" t="str">
        <f>IF(Main[[#This Row],[Tech Start Date]]&lt;1/1/1990,"",IF(Main[[#This Row],[Class]]="C",WORKDAY(Main[[#This Row],[Tech Start Date]],19),IF(Main[[#This Row],[Class]]="B", WORKDAY(Main[[#This Row],[Tech Start Date]],12),IF(Main[[#This Row],[Class]]="A",WORKDAY(Main[[#This Row],[Tech Start Date]],4),""))))</f>
        <v/>
      </c>
      <c r="O1231" s="73" t="str">
        <f>IF(Main[[#This Row],[Tech Start Date]]&lt;1/1/1990,"",IF(Main[[#This Row],[Class]]="C",WORKDAY(Main[[#This Row],[Tech Start Date]],23),IF(Main[[#This Row],[Class]]="B", WORKDAY(Main[[#This Row],[Tech Start Date]],15),IF(Main[[#This Row],[Class]]="A",WORKDAY(Main[[#This Row],[Tech Start Date]],5),""))))</f>
        <v/>
      </c>
      <c r="P1231" s="73" t="str">
        <f>IF(Main[[#This Row],[Tech Start Date]]&lt;1/1/1990,"",IF(Main[[#This Row],[Class]]="C",WORKDAY(Main[[#This Row],[Tech Start Date]],28),IF(Main[[#This Row],[Class]]="B", WORKDAY(Main[[#This Row],[Tech Start Date]],19),IF(Main[[#This Row],[Class]]="A",WORKDAY(Main[[#This Row],[Tech Start Date]],9),""))))</f>
        <v/>
      </c>
      <c r="Q1231" s="85">
        <v>40858</v>
      </c>
      <c r="R1231" s="112"/>
      <c r="S1231" s="95" t="s">
        <v>6</v>
      </c>
      <c r="T1231" s="74" t="s">
        <v>4</v>
      </c>
      <c r="U1231" s="95" t="s">
        <v>7</v>
      </c>
      <c r="V1231" s="95" t="s">
        <v>1914</v>
      </c>
      <c r="W1231" s="95" t="s">
        <v>4</v>
      </c>
      <c r="X1231" s="95" t="s">
        <v>2799</v>
      </c>
      <c r="Y1231" s="72" t="s">
        <v>2910</v>
      </c>
      <c r="Z1231" s="72" t="s">
        <v>4</v>
      </c>
      <c r="AA1231" s="95" t="s">
        <v>2799</v>
      </c>
      <c r="AB1231" s="132"/>
      <c r="AC1231" s="132"/>
      <c r="AD1231" s="132"/>
      <c r="AE1231" s="63"/>
      <c r="AF1231" s="63"/>
      <c r="AG1231" s="63"/>
    </row>
    <row r="1232" spans="1:33" ht="17.2" customHeight="1">
      <c r="A1232" s="64" t="str">
        <f>IF(priority(Main[[#This Row],[Comments]])&lt;&gt;0, priority(Main[[#This Row],[Comments]]),"")</f>
        <v/>
      </c>
      <c r="B1232" s="60" t="s">
        <v>2549</v>
      </c>
      <c r="C1232" s="72" t="s">
        <v>4</v>
      </c>
      <c r="D1232" s="59" t="s">
        <v>2550</v>
      </c>
      <c r="E1232" s="85"/>
      <c r="F1232" s="85"/>
      <c r="G1232" s="64" t="str">
        <f>IF(stdProdLT(Main[[#This Row],[Comments]])=0.1,"N/A",IF(stdProdLT(Main[[#This Row],[Comments]])=0,"",TRIM(stdProdLT(Main[[#This Row],[Comments]]))))</f>
        <v/>
      </c>
      <c r="H1232" s="94" t="str">
        <f>IF(OR(Main[[#This Row],[Std. Prod. Lead Time]]="N/A",Main[[#This Row],[Std. Prod. Lead Time]]=""), "",IF(AND(Main[[#This Row],[In Stock Date]]&lt;&gt;"",Main[[#This Row],[Revised Due Date]]&lt;&gt;"",Main[[#This Row],[In Stock Date]]&lt;&gt;""),Main[[#This Row],[In Stock Date]]-Main[[#This Row],[Revised Due Date]],""))</f>
        <v/>
      </c>
      <c r="I1232" s="101" t="s">
        <v>4</v>
      </c>
      <c r="J1232" s="95" t="s">
        <v>4</v>
      </c>
      <c r="K1232" s="95" t="s">
        <v>4</v>
      </c>
      <c r="L1232" s="85"/>
      <c r="M1232" s="73" t="str">
        <f>IF(Main[[#This Row],[Tech Start Date]]&lt;1/1/1990,"",IF(Main[[#This Row],[Class]]="C",WORKDAY(Main[[#This Row],[Tech Start Date]],9),IF(Main[[#This Row],[Class]]="B", WORKDAY(Main[[#This Row],[Tech Start Date]],6),IF(Main[[#This Row],[Class]]="A",WORKDAY(Main[[#This Row],[Tech Start Date]],2),""))))</f>
        <v/>
      </c>
      <c r="N1232" s="73" t="str">
        <f>IF(Main[[#This Row],[Tech Start Date]]&lt;1/1/1990,"",IF(Main[[#This Row],[Class]]="C",WORKDAY(Main[[#This Row],[Tech Start Date]],19),IF(Main[[#This Row],[Class]]="B", WORKDAY(Main[[#This Row],[Tech Start Date]],12),IF(Main[[#This Row],[Class]]="A",WORKDAY(Main[[#This Row],[Tech Start Date]],4),""))))</f>
        <v/>
      </c>
      <c r="O1232" s="73" t="str">
        <f>IF(Main[[#This Row],[Tech Start Date]]&lt;1/1/1990,"",IF(Main[[#This Row],[Class]]="C",WORKDAY(Main[[#This Row],[Tech Start Date]],23),IF(Main[[#This Row],[Class]]="B", WORKDAY(Main[[#This Row],[Tech Start Date]],15),IF(Main[[#This Row],[Class]]="A",WORKDAY(Main[[#This Row],[Tech Start Date]],5),""))))</f>
        <v/>
      </c>
      <c r="P1232" s="73" t="str">
        <f>IF(Main[[#This Row],[Tech Start Date]]&lt;1/1/1990,"",IF(Main[[#This Row],[Class]]="C",WORKDAY(Main[[#This Row],[Tech Start Date]],28),IF(Main[[#This Row],[Class]]="B", WORKDAY(Main[[#This Row],[Tech Start Date]],19),IF(Main[[#This Row],[Class]]="A",WORKDAY(Main[[#This Row],[Tech Start Date]],9),""))))</f>
        <v/>
      </c>
      <c r="Q1232" s="85"/>
      <c r="R1232" s="112"/>
      <c r="S1232" s="95" t="s">
        <v>11</v>
      </c>
      <c r="T1232" s="74" t="s">
        <v>4</v>
      </c>
      <c r="U1232" s="95" t="s">
        <v>14</v>
      </c>
      <c r="V1232" s="95" t="s">
        <v>1912</v>
      </c>
      <c r="W1232" s="95" t="s">
        <v>4</v>
      </c>
      <c r="X1232" s="95" t="s">
        <v>2243</v>
      </c>
      <c r="Y1232" s="72" t="s">
        <v>4</v>
      </c>
      <c r="Z1232" s="72" t="s">
        <v>4</v>
      </c>
      <c r="AA1232" s="95" t="s">
        <v>4</v>
      </c>
      <c r="AB1232" s="132"/>
      <c r="AC1232" s="132"/>
      <c r="AD1232" s="132"/>
      <c r="AE1232" s="63"/>
      <c r="AF1232" s="63"/>
      <c r="AG1232" s="63"/>
    </row>
    <row r="1233" spans="1:33" ht="17.2" customHeight="1">
      <c r="A1233" s="64" t="str">
        <f>IF(priority(Main[[#This Row],[Comments]])&lt;&gt;0, priority(Main[[#This Row],[Comments]]),"")</f>
        <v/>
      </c>
      <c r="B1233" s="60" t="s">
        <v>1696</v>
      </c>
      <c r="C1233" s="72" t="s">
        <v>4</v>
      </c>
      <c r="D1233" s="59" t="s">
        <v>2107</v>
      </c>
      <c r="E1233" s="85"/>
      <c r="F1233" s="85"/>
      <c r="G1233" s="64" t="str">
        <f>IF(stdProdLT(Main[[#This Row],[Comments]])=0.1,"N/A",IF(stdProdLT(Main[[#This Row],[Comments]])=0,"",TRIM(stdProdLT(Main[[#This Row],[Comments]]))))</f>
        <v/>
      </c>
      <c r="H1233" s="94" t="str">
        <f>IF(OR(Main[[#This Row],[Std. Prod. Lead Time]]="N/A",Main[[#This Row],[Std. Prod. Lead Time]]=""), "",IF(AND(Main[[#This Row],[In Stock Date]]&lt;&gt;"",Main[[#This Row],[Revised Due Date]]&lt;&gt;"",Main[[#This Row],[In Stock Date]]&lt;&gt;""),Main[[#This Row],[In Stock Date]]-Main[[#This Row],[Revised Due Date]],""))</f>
        <v/>
      </c>
      <c r="I1233" s="101" t="s">
        <v>69</v>
      </c>
      <c r="J1233" s="95" t="s">
        <v>70</v>
      </c>
      <c r="K1233" s="95" t="s">
        <v>1920</v>
      </c>
      <c r="L1233" s="85"/>
      <c r="M1233" s="73" t="str">
        <f>IF(Main[[#This Row],[Tech Start Date]]&lt;1/1/1990,"",IF(Main[[#This Row],[Class]]="C",WORKDAY(Main[[#This Row],[Tech Start Date]],9),IF(Main[[#This Row],[Class]]="B", WORKDAY(Main[[#This Row],[Tech Start Date]],6),IF(Main[[#This Row],[Class]]="A",WORKDAY(Main[[#This Row],[Tech Start Date]],2),""))))</f>
        <v/>
      </c>
      <c r="N1233" s="73" t="str">
        <f>IF(Main[[#This Row],[Tech Start Date]]&lt;1/1/1990,"",IF(Main[[#This Row],[Class]]="C",WORKDAY(Main[[#This Row],[Tech Start Date]],19),IF(Main[[#This Row],[Class]]="B", WORKDAY(Main[[#This Row],[Tech Start Date]],12),IF(Main[[#This Row],[Class]]="A",WORKDAY(Main[[#This Row],[Tech Start Date]],4),""))))</f>
        <v/>
      </c>
      <c r="O1233" s="73" t="str">
        <f>IF(Main[[#This Row],[Tech Start Date]]&lt;1/1/1990,"",IF(Main[[#This Row],[Class]]="C",WORKDAY(Main[[#This Row],[Tech Start Date]],23),IF(Main[[#This Row],[Class]]="B", WORKDAY(Main[[#This Row],[Tech Start Date]],15),IF(Main[[#This Row],[Class]]="A",WORKDAY(Main[[#This Row],[Tech Start Date]],5),""))))</f>
        <v/>
      </c>
      <c r="P1233" s="73" t="str">
        <f>IF(Main[[#This Row],[Tech Start Date]]&lt;1/1/1990,"",IF(Main[[#This Row],[Class]]="C",WORKDAY(Main[[#This Row],[Tech Start Date]],28),IF(Main[[#This Row],[Class]]="B", WORKDAY(Main[[#This Row],[Tech Start Date]],19),IF(Main[[#This Row],[Class]]="A",WORKDAY(Main[[#This Row],[Tech Start Date]],9),""))))</f>
        <v/>
      </c>
      <c r="Q1233" s="85">
        <v>40816</v>
      </c>
      <c r="R1233" s="112"/>
      <c r="S1233" s="95" t="s">
        <v>6</v>
      </c>
      <c r="T1233" s="74" t="s">
        <v>4</v>
      </c>
      <c r="U1233" s="95" t="s">
        <v>14</v>
      </c>
      <c r="V1233" s="95" t="s">
        <v>1914</v>
      </c>
      <c r="W1233" s="95" t="s">
        <v>1916</v>
      </c>
      <c r="X1233" s="95" t="s">
        <v>530</v>
      </c>
      <c r="Y1233" s="72" t="s">
        <v>4</v>
      </c>
      <c r="Z1233" s="72" t="s">
        <v>30</v>
      </c>
      <c r="AA1233" s="95" t="s">
        <v>530</v>
      </c>
      <c r="AB1233" s="132"/>
      <c r="AC1233" s="132"/>
      <c r="AD1233" s="132"/>
      <c r="AE1233" s="63"/>
      <c r="AF1233" s="63"/>
      <c r="AG1233" s="63"/>
    </row>
    <row r="1234" spans="1:33" ht="17.2" customHeight="1">
      <c r="A1234" s="64" t="str">
        <f>IF(priority(Main[[#This Row],[Comments]])&lt;&gt;0, priority(Main[[#This Row],[Comments]]),"")</f>
        <v/>
      </c>
      <c r="B1234" s="60" t="s">
        <v>3466</v>
      </c>
      <c r="C1234" s="72" t="s">
        <v>4</v>
      </c>
      <c r="D1234" s="59" t="s">
        <v>3626</v>
      </c>
      <c r="E1234" s="85">
        <v>40942.690023148149</v>
      </c>
      <c r="F1234" s="85"/>
      <c r="G1234" s="64" t="str">
        <f>IF(stdProdLT(Main[[#This Row],[Comments]])=0.1,"N/A",IF(stdProdLT(Main[[#This Row],[Comments]])=0,"",TRIM(stdProdLT(Main[[#This Row],[Comments]]))))</f>
        <v/>
      </c>
      <c r="H1234" s="94" t="str">
        <f>IF(OR(Main[[#This Row],[Std. Prod. Lead Time]]="N/A",Main[[#This Row],[Std. Prod. Lead Time]]=""), "",IF(AND(Main[[#This Row],[In Stock Date]]&lt;&gt;"",Main[[#This Row],[Revised Due Date]]&lt;&gt;"",Main[[#This Row],[In Stock Date]]&lt;&gt;""),Main[[#This Row],[In Stock Date]]-Main[[#This Row],[Revised Due Date]],""))</f>
        <v/>
      </c>
      <c r="I1234" s="101" t="s">
        <v>69</v>
      </c>
      <c r="J1234" s="95" t="s">
        <v>70</v>
      </c>
      <c r="K1234" s="95" t="s">
        <v>1920</v>
      </c>
      <c r="L1234" s="85"/>
      <c r="M1234" s="73" t="str">
        <f>IF(Main[[#This Row],[Tech Start Date]]&lt;1/1/1990,"",IF(Main[[#This Row],[Class]]="C",WORKDAY(Main[[#This Row],[Tech Start Date]],9),IF(Main[[#This Row],[Class]]="B", WORKDAY(Main[[#This Row],[Tech Start Date]],6),IF(Main[[#This Row],[Class]]="A",WORKDAY(Main[[#This Row],[Tech Start Date]],2),""))))</f>
        <v/>
      </c>
      <c r="N1234" s="73" t="str">
        <f>IF(Main[[#This Row],[Tech Start Date]]&lt;1/1/1990,"",IF(Main[[#This Row],[Class]]="C",WORKDAY(Main[[#This Row],[Tech Start Date]],19),IF(Main[[#This Row],[Class]]="B", WORKDAY(Main[[#This Row],[Tech Start Date]],12),IF(Main[[#This Row],[Class]]="A",WORKDAY(Main[[#This Row],[Tech Start Date]],4),""))))</f>
        <v/>
      </c>
      <c r="O1234" s="73" t="str">
        <f>IF(Main[[#This Row],[Tech Start Date]]&lt;1/1/1990,"",IF(Main[[#This Row],[Class]]="C",WORKDAY(Main[[#This Row],[Tech Start Date]],23),IF(Main[[#This Row],[Class]]="B", WORKDAY(Main[[#This Row],[Tech Start Date]],15),IF(Main[[#This Row],[Class]]="A",WORKDAY(Main[[#This Row],[Tech Start Date]],5),""))))</f>
        <v/>
      </c>
      <c r="P1234" s="73" t="str">
        <f>IF(Main[[#This Row],[Tech Start Date]]&lt;1/1/1990,"",IF(Main[[#This Row],[Class]]="C",WORKDAY(Main[[#This Row],[Tech Start Date]],28),IF(Main[[#This Row],[Class]]="B", WORKDAY(Main[[#This Row],[Tech Start Date]],19),IF(Main[[#This Row],[Class]]="A",WORKDAY(Main[[#This Row],[Tech Start Date]],9),""))))</f>
        <v/>
      </c>
      <c r="Q1234" s="85">
        <v>40970</v>
      </c>
      <c r="R1234" s="112"/>
      <c r="S1234" s="95" t="s">
        <v>6</v>
      </c>
      <c r="T1234" s="74" t="s">
        <v>4</v>
      </c>
      <c r="U1234" s="95" t="s">
        <v>29</v>
      </c>
      <c r="V1234" s="95" t="s">
        <v>1914</v>
      </c>
      <c r="W1234" s="95" t="s">
        <v>1915</v>
      </c>
      <c r="X1234" s="95" t="s">
        <v>2799</v>
      </c>
      <c r="Y1234" s="72" t="s">
        <v>2910</v>
      </c>
      <c r="Z1234" s="72" t="s">
        <v>30</v>
      </c>
      <c r="AA1234" s="95" t="s">
        <v>2799</v>
      </c>
      <c r="AB1234" s="132"/>
      <c r="AC1234" s="132"/>
      <c r="AD1234" s="132"/>
      <c r="AE1234" s="63"/>
      <c r="AF1234" s="63"/>
      <c r="AG1234" s="63"/>
    </row>
    <row r="1235" spans="1:33" ht="17.2" customHeight="1">
      <c r="A1235" s="64" t="str">
        <f>IF(priority(Main[[#This Row],[Comments]])&lt;&gt;0, priority(Main[[#This Row],[Comments]]),"")</f>
        <v/>
      </c>
      <c r="B1235" s="60" t="s">
        <v>2281</v>
      </c>
      <c r="C1235" s="72" t="s">
        <v>4</v>
      </c>
      <c r="D1235" s="59" t="s">
        <v>2554</v>
      </c>
      <c r="E1235" s="85"/>
      <c r="F1235" s="85"/>
      <c r="G1235" s="64" t="str">
        <f>IF(stdProdLT(Main[[#This Row],[Comments]])=0.1,"N/A",IF(stdProdLT(Main[[#This Row],[Comments]])=0,"",TRIM(stdProdLT(Main[[#This Row],[Comments]]))))</f>
        <v/>
      </c>
      <c r="H1235" s="94" t="str">
        <f>IF(OR(Main[[#This Row],[Std. Prod. Lead Time]]="N/A",Main[[#This Row],[Std. Prod. Lead Time]]=""), "",IF(AND(Main[[#This Row],[In Stock Date]]&lt;&gt;"",Main[[#This Row],[Revised Due Date]]&lt;&gt;"",Main[[#This Row],[In Stock Date]]&lt;&gt;""),Main[[#This Row],[In Stock Date]]-Main[[#This Row],[Revised Due Date]],""))</f>
        <v/>
      </c>
      <c r="I1235" s="101" t="s">
        <v>2202</v>
      </c>
      <c r="J1235" s="95" t="s">
        <v>75</v>
      </c>
      <c r="K1235" s="95" t="s">
        <v>1920</v>
      </c>
      <c r="L1235" s="85"/>
      <c r="M1235" s="73" t="str">
        <f>IF(Main[[#This Row],[Tech Start Date]]&lt;1/1/1990,"",IF(Main[[#This Row],[Class]]="C",WORKDAY(Main[[#This Row],[Tech Start Date]],9),IF(Main[[#This Row],[Class]]="B", WORKDAY(Main[[#This Row],[Tech Start Date]],6),IF(Main[[#This Row],[Class]]="A",WORKDAY(Main[[#This Row],[Tech Start Date]],2),""))))</f>
        <v/>
      </c>
      <c r="N1235" s="73" t="str">
        <f>IF(Main[[#This Row],[Tech Start Date]]&lt;1/1/1990,"",IF(Main[[#This Row],[Class]]="C",WORKDAY(Main[[#This Row],[Tech Start Date]],19),IF(Main[[#This Row],[Class]]="B", WORKDAY(Main[[#This Row],[Tech Start Date]],12),IF(Main[[#This Row],[Class]]="A",WORKDAY(Main[[#This Row],[Tech Start Date]],4),""))))</f>
        <v/>
      </c>
      <c r="O1235" s="73" t="str">
        <f>IF(Main[[#This Row],[Tech Start Date]]&lt;1/1/1990,"",IF(Main[[#This Row],[Class]]="C",WORKDAY(Main[[#This Row],[Tech Start Date]],23),IF(Main[[#This Row],[Class]]="B", WORKDAY(Main[[#This Row],[Tech Start Date]],15),IF(Main[[#This Row],[Class]]="A",WORKDAY(Main[[#This Row],[Tech Start Date]],5),""))))</f>
        <v/>
      </c>
      <c r="P1235" s="73" t="str">
        <f>IF(Main[[#This Row],[Tech Start Date]]&lt;1/1/1990,"",IF(Main[[#This Row],[Class]]="C",WORKDAY(Main[[#This Row],[Tech Start Date]],28),IF(Main[[#This Row],[Class]]="B", WORKDAY(Main[[#This Row],[Tech Start Date]],19),IF(Main[[#This Row],[Class]]="A",WORKDAY(Main[[#This Row],[Tech Start Date]],9),""))))</f>
        <v/>
      </c>
      <c r="Q1235" s="85"/>
      <c r="R1235" s="112"/>
      <c r="S1235" s="95" t="s">
        <v>6</v>
      </c>
      <c r="T1235" s="74" t="s">
        <v>4</v>
      </c>
      <c r="U1235" s="95" t="s">
        <v>14</v>
      </c>
      <c r="V1235" s="95" t="s">
        <v>1921</v>
      </c>
      <c r="W1235" s="95" t="s">
        <v>1915</v>
      </c>
      <c r="X1235" s="95" t="s">
        <v>2202</v>
      </c>
      <c r="Y1235" s="72" t="s">
        <v>3105</v>
      </c>
      <c r="Z1235" s="72" t="s">
        <v>306</v>
      </c>
      <c r="AA1235" s="95" t="s">
        <v>2202</v>
      </c>
      <c r="AB1235" s="132">
        <v>40822</v>
      </c>
      <c r="AC1235" s="132">
        <v>40830</v>
      </c>
      <c r="AD1235" s="132"/>
      <c r="AE1235" s="63"/>
      <c r="AF1235" s="63"/>
      <c r="AG1235" s="63"/>
    </row>
    <row r="1236" spans="1:33" ht="17.2" customHeight="1">
      <c r="A1236" s="64" t="str">
        <f>IF(priority(Main[[#This Row],[Comments]])&lt;&gt;0, priority(Main[[#This Row],[Comments]]),"")</f>
        <v/>
      </c>
      <c r="B1236" s="60" t="s">
        <v>1589</v>
      </c>
      <c r="C1236" s="72" t="s">
        <v>4</v>
      </c>
      <c r="D1236" s="59" t="s">
        <v>667</v>
      </c>
      <c r="E1236" s="85"/>
      <c r="F1236" s="85"/>
      <c r="G1236" s="64" t="str">
        <f>IF(stdProdLT(Main[[#This Row],[Comments]])=0.1,"N/A",IF(stdProdLT(Main[[#This Row],[Comments]])=0,"",TRIM(stdProdLT(Main[[#This Row],[Comments]]))))</f>
        <v/>
      </c>
      <c r="H1236" s="94" t="str">
        <f>IF(OR(Main[[#This Row],[Std. Prod. Lead Time]]="N/A",Main[[#This Row],[Std. Prod. Lead Time]]=""), "",IF(AND(Main[[#This Row],[In Stock Date]]&lt;&gt;"",Main[[#This Row],[Revised Due Date]]&lt;&gt;"",Main[[#This Row],[In Stock Date]]&lt;&gt;""),Main[[#This Row],[In Stock Date]]-Main[[#This Row],[Revised Due Date]],""))</f>
        <v/>
      </c>
      <c r="I1236" s="101" t="s">
        <v>4</v>
      </c>
      <c r="J1236" s="95" t="s">
        <v>4</v>
      </c>
      <c r="K1236" s="96" t="s">
        <v>4</v>
      </c>
      <c r="L1236" s="85"/>
      <c r="M1236" s="73" t="str">
        <f>IF(Main[[#This Row],[Tech Start Date]]&lt;1/1/1990,"",IF(Main[[#This Row],[Class]]="C",WORKDAY(Main[[#This Row],[Tech Start Date]],9),IF(Main[[#This Row],[Class]]="B", WORKDAY(Main[[#This Row],[Tech Start Date]],6),IF(Main[[#This Row],[Class]]="A",WORKDAY(Main[[#This Row],[Tech Start Date]],2),""))))</f>
        <v/>
      </c>
      <c r="N1236" s="73" t="str">
        <f>IF(Main[[#This Row],[Tech Start Date]]&lt;1/1/1990,"",IF(Main[[#This Row],[Class]]="C",WORKDAY(Main[[#This Row],[Tech Start Date]],19),IF(Main[[#This Row],[Class]]="B", WORKDAY(Main[[#This Row],[Tech Start Date]],12),IF(Main[[#This Row],[Class]]="A",WORKDAY(Main[[#This Row],[Tech Start Date]],4),""))))</f>
        <v/>
      </c>
      <c r="O1236" s="73" t="str">
        <f>IF(Main[[#This Row],[Tech Start Date]]&lt;1/1/1990,"",IF(Main[[#This Row],[Class]]="C",WORKDAY(Main[[#This Row],[Tech Start Date]],23),IF(Main[[#This Row],[Class]]="B", WORKDAY(Main[[#This Row],[Tech Start Date]],15),IF(Main[[#This Row],[Class]]="A",WORKDAY(Main[[#This Row],[Tech Start Date]],5),""))))</f>
        <v/>
      </c>
      <c r="P1236" s="73" t="str">
        <f>IF(Main[[#This Row],[Tech Start Date]]&lt;1/1/1990,"",IF(Main[[#This Row],[Class]]="C",WORKDAY(Main[[#This Row],[Tech Start Date]],28),IF(Main[[#This Row],[Class]]="B", WORKDAY(Main[[#This Row],[Tech Start Date]],19),IF(Main[[#This Row],[Class]]="A",WORKDAY(Main[[#This Row],[Tech Start Date]],9),""))))</f>
        <v/>
      </c>
      <c r="Q1236" s="85"/>
      <c r="R1236" s="112"/>
      <c r="S1236" s="95" t="s">
        <v>6</v>
      </c>
      <c r="T1236" s="74" t="s">
        <v>4</v>
      </c>
      <c r="U1236" s="95" t="s">
        <v>14</v>
      </c>
      <c r="V1236" s="95" t="s">
        <v>1911</v>
      </c>
      <c r="W1236" s="95" t="s">
        <v>1919</v>
      </c>
      <c r="X1236" s="95" t="s">
        <v>2046</v>
      </c>
      <c r="Y1236" s="72" t="s">
        <v>2980</v>
      </c>
      <c r="Z1236" s="72" t="s">
        <v>4</v>
      </c>
      <c r="AA1236" s="95" t="s">
        <v>2046</v>
      </c>
      <c r="AB1236" s="132"/>
      <c r="AC1236" s="132"/>
      <c r="AD1236" s="132"/>
      <c r="AE1236" s="63"/>
      <c r="AF1236" s="63"/>
      <c r="AG1236" s="63"/>
    </row>
    <row r="1237" spans="1:33" ht="17.2" customHeight="1">
      <c r="A1237" s="64" t="str">
        <f>IF(priority(Main[[#This Row],[Comments]])&lt;&gt;0, priority(Main[[#This Row],[Comments]]),"")</f>
        <v/>
      </c>
      <c r="B1237" s="60" t="s">
        <v>2649</v>
      </c>
      <c r="C1237" s="72" t="s">
        <v>4</v>
      </c>
      <c r="D1237" s="59" t="s">
        <v>2650</v>
      </c>
      <c r="E1237" s="85"/>
      <c r="F1237" s="85"/>
      <c r="G1237" s="64" t="str">
        <f>IF(stdProdLT(Main[[#This Row],[Comments]])=0.1,"N/A",IF(stdProdLT(Main[[#This Row],[Comments]])=0,"",TRIM(stdProdLT(Main[[#This Row],[Comments]]))))</f>
        <v/>
      </c>
      <c r="H1237" s="94" t="str">
        <f>IF(OR(Main[[#This Row],[Std. Prod. Lead Time]]="N/A",Main[[#This Row],[Std. Prod. Lead Time]]=""), "",IF(AND(Main[[#This Row],[In Stock Date]]&lt;&gt;"",Main[[#This Row],[Revised Due Date]]&lt;&gt;"",Main[[#This Row],[In Stock Date]]&lt;&gt;""),Main[[#This Row],[In Stock Date]]-Main[[#This Row],[Revised Due Date]],""))</f>
        <v/>
      </c>
      <c r="I1237" s="101" t="s">
        <v>4</v>
      </c>
      <c r="J1237" s="95" t="s">
        <v>4</v>
      </c>
      <c r="K1237" s="95" t="s">
        <v>4</v>
      </c>
      <c r="L1237" s="85"/>
      <c r="M1237" s="73" t="str">
        <f>IF(Main[[#This Row],[Tech Start Date]]&lt;1/1/1990,"",IF(Main[[#This Row],[Class]]="C",WORKDAY(Main[[#This Row],[Tech Start Date]],9),IF(Main[[#This Row],[Class]]="B", WORKDAY(Main[[#This Row],[Tech Start Date]],6),IF(Main[[#This Row],[Class]]="A",WORKDAY(Main[[#This Row],[Tech Start Date]],2),""))))</f>
        <v/>
      </c>
      <c r="N1237" s="73" t="str">
        <f>IF(Main[[#This Row],[Tech Start Date]]&lt;1/1/1990,"",IF(Main[[#This Row],[Class]]="C",WORKDAY(Main[[#This Row],[Tech Start Date]],19),IF(Main[[#This Row],[Class]]="B", WORKDAY(Main[[#This Row],[Tech Start Date]],12),IF(Main[[#This Row],[Class]]="A",WORKDAY(Main[[#This Row],[Tech Start Date]],4),""))))</f>
        <v/>
      </c>
      <c r="O1237" s="73" t="str">
        <f>IF(Main[[#This Row],[Tech Start Date]]&lt;1/1/1990,"",IF(Main[[#This Row],[Class]]="C",WORKDAY(Main[[#This Row],[Tech Start Date]],23),IF(Main[[#This Row],[Class]]="B", WORKDAY(Main[[#This Row],[Tech Start Date]],15),IF(Main[[#This Row],[Class]]="A",WORKDAY(Main[[#This Row],[Tech Start Date]],5),""))))</f>
        <v/>
      </c>
      <c r="P1237" s="73" t="str">
        <f>IF(Main[[#This Row],[Tech Start Date]]&lt;1/1/1990,"",IF(Main[[#This Row],[Class]]="C",WORKDAY(Main[[#This Row],[Tech Start Date]],28),IF(Main[[#This Row],[Class]]="B", WORKDAY(Main[[#This Row],[Tech Start Date]],19),IF(Main[[#This Row],[Class]]="A",WORKDAY(Main[[#This Row],[Tech Start Date]],9),""))))</f>
        <v/>
      </c>
      <c r="Q1237" s="85"/>
      <c r="R1237" s="112"/>
      <c r="S1237" s="95" t="s">
        <v>11</v>
      </c>
      <c r="T1237" s="74" t="s">
        <v>4</v>
      </c>
      <c r="U1237" s="95" t="s">
        <v>14</v>
      </c>
      <c r="V1237" s="95" t="s">
        <v>1921</v>
      </c>
      <c r="W1237" s="95" t="s">
        <v>1919</v>
      </c>
      <c r="X1237" s="95" t="s">
        <v>2837</v>
      </c>
      <c r="Y1237" s="72" t="s">
        <v>2976</v>
      </c>
      <c r="Z1237" s="72" t="s">
        <v>4</v>
      </c>
      <c r="AA1237" s="95" t="s">
        <v>2837</v>
      </c>
      <c r="AB1237" s="132"/>
      <c r="AC1237" s="132"/>
      <c r="AD1237" s="132"/>
      <c r="AE1237" s="63"/>
      <c r="AF1237" s="63"/>
      <c r="AG1237" s="63"/>
    </row>
    <row r="1238" spans="1:33" ht="17.2" customHeight="1">
      <c r="A1238" s="64" t="str">
        <f>IF(priority(Main[[#This Row],[Comments]])&lt;&gt;0, priority(Main[[#This Row],[Comments]]),"")</f>
        <v/>
      </c>
      <c r="B1238" s="60" t="s">
        <v>2361</v>
      </c>
      <c r="C1238" s="72" t="s">
        <v>4</v>
      </c>
      <c r="D1238" s="59" t="s">
        <v>2362</v>
      </c>
      <c r="E1238" s="85">
        <v>40856.690810185188</v>
      </c>
      <c r="F1238" s="85"/>
      <c r="G1238" s="64" t="str">
        <f>IF(stdProdLT(Main[[#This Row],[Comments]])=0.1,"N/A",IF(stdProdLT(Main[[#This Row],[Comments]])=0,"",TRIM(stdProdLT(Main[[#This Row],[Comments]]))))</f>
        <v/>
      </c>
      <c r="H1238" s="94" t="str">
        <f>IF(OR(Main[[#This Row],[Std. Prod. Lead Time]]="N/A",Main[[#This Row],[Std. Prod. Lead Time]]=""), "",IF(AND(Main[[#This Row],[In Stock Date]]&lt;&gt;"",Main[[#This Row],[Revised Due Date]]&lt;&gt;"",Main[[#This Row],[In Stock Date]]&lt;&gt;""),Main[[#This Row],[In Stock Date]]-Main[[#This Row],[Revised Due Date]],""))</f>
        <v/>
      </c>
      <c r="I1238" s="101" t="s">
        <v>4</v>
      </c>
      <c r="J1238" s="95" t="s">
        <v>4</v>
      </c>
      <c r="K1238" s="95" t="s">
        <v>4</v>
      </c>
      <c r="L1238" s="85"/>
      <c r="M1238" s="73" t="str">
        <f>IF(Main[[#This Row],[Tech Start Date]]&lt;1/1/1990,"",IF(Main[[#This Row],[Class]]="C",WORKDAY(Main[[#This Row],[Tech Start Date]],9),IF(Main[[#This Row],[Class]]="B", WORKDAY(Main[[#This Row],[Tech Start Date]],6),IF(Main[[#This Row],[Class]]="A",WORKDAY(Main[[#This Row],[Tech Start Date]],2),""))))</f>
        <v/>
      </c>
      <c r="N1238" s="73" t="str">
        <f>IF(Main[[#This Row],[Tech Start Date]]&lt;1/1/1990,"",IF(Main[[#This Row],[Class]]="C",WORKDAY(Main[[#This Row],[Tech Start Date]],19),IF(Main[[#This Row],[Class]]="B", WORKDAY(Main[[#This Row],[Tech Start Date]],12),IF(Main[[#This Row],[Class]]="A",WORKDAY(Main[[#This Row],[Tech Start Date]],4),""))))</f>
        <v/>
      </c>
      <c r="O1238" s="73" t="str">
        <f>IF(Main[[#This Row],[Tech Start Date]]&lt;1/1/1990,"",IF(Main[[#This Row],[Class]]="C",WORKDAY(Main[[#This Row],[Tech Start Date]],23),IF(Main[[#This Row],[Class]]="B", WORKDAY(Main[[#This Row],[Tech Start Date]],15),IF(Main[[#This Row],[Class]]="A",WORKDAY(Main[[#This Row],[Tech Start Date]],5),""))))</f>
        <v/>
      </c>
      <c r="P1238" s="73" t="str">
        <f>IF(Main[[#This Row],[Tech Start Date]]&lt;1/1/1990,"",IF(Main[[#This Row],[Class]]="C",WORKDAY(Main[[#This Row],[Tech Start Date]],28),IF(Main[[#This Row],[Class]]="B", WORKDAY(Main[[#This Row],[Tech Start Date]],19),IF(Main[[#This Row],[Class]]="A",WORKDAY(Main[[#This Row],[Tech Start Date]],9),""))))</f>
        <v/>
      </c>
      <c r="Q1238" s="85"/>
      <c r="R1238" s="112"/>
      <c r="S1238" s="95" t="s">
        <v>6</v>
      </c>
      <c r="T1238" s="74" t="s">
        <v>4</v>
      </c>
      <c r="U1238" s="95" t="s">
        <v>7</v>
      </c>
      <c r="V1238" s="95" t="s">
        <v>1911</v>
      </c>
      <c r="W1238" s="95" t="s">
        <v>1915</v>
      </c>
      <c r="X1238" s="95" t="s">
        <v>2797</v>
      </c>
      <c r="Y1238" s="72" t="s">
        <v>3108</v>
      </c>
      <c r="Z1238" s="72" t="s">
        <v>4</v>
      </c>
      <c r="AA1238" s="95" t="s">
        <v>2797</v>
      </c>
      <c r="AB1238" s="132"/>
      <c r="AC1238" s="132"/>
      <c r="AD1238" s="132"/>
      <c r="AE1238" s="63"/>
      <c r="AF1238" s="63"/>
      <c r="AG1238" s="63"/>
    </row>
    <row r="1239" spans="1:33" ht="17.2" customHeight="1">
      <c r="A1239" s="64" t="str">
        <f>IF(priority(Main[[#This Row],[Comments]])&lt;&gt;0, priority(Main[[#This Row],[Comments]]),"")</f>
        <v/>
      </c>
      <c r="B1239" s="60" t="s">
        <v>3921</v>
      </c>
      <c r="C1239" s="72" t="s">
        <v>3922</v>
      </c>
      <c r="D1239" s="59" t="s">
        <v>3923</v>
      </c>
      <c r="E1239" s="85">
        <v>40975.009895833333</v>
      </c>
      <c r="F1239" s="85">
        <v>41000</v>
      </c>
      <c r="G1239" s="64" t="str">
        <f>IF(stdProdLT(Main[[#This Row],[Comments]])=0.1,"N/A",IF(stdProdLT(Main[[#This Row],[Comments]])=0,"",TRIM(stdProdLT(Main[[#This Row],[Comments]]))))</f>
        <v/>
      </c>
      <c r="H1239" s="94" t="str">
        <f>IF(OR(Main[[#This Row],[Std. Prod. Lead Time]]="N/A",Main[[#This Row],[Std. Prod. Lead Time]]=""), "",IF(AND(Main[[#This Row],[In Stock Date]]&lt;&gt;"",Main[[#This Row],[Revised Due Date]]&lt;&gt;"",Main[[#This Row],[In Stock Date]]&lt;&gt;""),Main[[#This Row],[In Stock Date]]-Main[[#This Row],[Revised Due Date]],""))</f>
        <v/>
      </c>
      <c r="I1239" s="101" t="s">
        <v>4</v>
      </c>
      <c r="J1239" s="95" t="s">
        <v>4</v>
      </c>
      <c r="K1239" s="95" t="s">
        <v>4</v>
      </c>
      <c r="L1239" s="85"/>
      <c r="M1239" s="73" t="str">
        <f>IF(Main[[#This Row],[Tech Start Date]]&lt;1/1/1990,"",IF(Main[[#This Row],[Class]]="C",WORKDAY(Main[[#This Row],[Tech Start Date]],9),IF(Main[[#This Row],[Class]]="B", WORKDAY(Main[[#This Row],[Tech Start Date]],6),IF(Main[[#This Row],[Class]]="A",WORKDAY(Main[[#This Row],[Tech Start Date]],2),""))))</f>
        <v/>
      </c>
      <c r="N1239" s="73" t="str">
        <f>IF(Main[[#This Row],[Tech Start Date]]&lt;1/1/1990,"",IF(Main[[#This Row],[Class]]="C",WORKDAY(Main[[#This Row],[Tech Start Date]],19),IF(Main[[#This Row],[Class]]="B", WORKDAY(Main[[#This Row],[Tech Start Date]],12),IF(Main[[#This Row],[Class]]="A",WORKDAY(Main[[#This Row],[Tech Start Date]],4),""))))</f>
        <v/>
      </c>
      <c r="O1239" s="73" t="str">
        <f>IF(Main[[#This Row],[Tech Start Date]]&lt;1/1/1990,"",IF(Main[[#This Row],[Class]]="C",WORKDAY(Main[[#This Row],[Tech Start Date]],23),IF(Main[[#This Row],[Class]]="B", WORKDAY(Main[[#This Row],[Tech Start Date]],15),IF(Main[[#This Row],[Class]]="A",WORKDAY(Main[[#This Row],[Tech Start Date]],5),""))))</f>
        <v/>
      </c>
      <c r="P1239" s="73" t="str">
        <f>IF(Main[[#This Row],[Tech Start Date]]&lt;1/1/1990,"",IF(Main[[#This Row],[Class]]="C",WORKDAY(Main[[#This Row],[Tech Start Date]],28),IF(Main[[#This Row],[Class]]="B", WORKDAY(Main[[#This Row],[Tech Start Date]],19),IF(Main[[#This Row],[Class]]="A",WORKDAY(Main[[#This Row],[Tech Start Date]],9),""))))</f>
        <v/>
      </c>
      <c r="Q1239" s="85">
        <v>40982</v>
      </c>
      <c r="R1239" s="112"/>
      <c r="S1239" s="95" t="s">
        <v>11</v>
      </c>
      <c r="T1239" s="74" t="s">
        <v>4</v>
      </c>
      <c r="U1239" s="95" t="s">
        <v>7</v>
      </c>
      <c r="V1239" s="95" t="s">
        <v>1921</v>
      </c>
      <c r="W1239" s="95" t="s">
        <v>1919</v>
      </c>
      <c r="X1239" s="95" t="s">
        <v>2823</v>
      </c>
      <c r="Y1239" s="72" t="s">
        <v>3924</v>
      </c>
      <c r="Z1239" s="72" t="s">
        <v>4</v>
      </c>
      <c r="AA1239" s="95" t="s">
        <v>2823</v>
      </c>
      <c r="AB1239" s="132"/>
      <c r="AC1239" s="132"/>
      <c r="AD1239" s="132"/>
      <c r="AE1239" s="63"/>
      <c r="AF1239" s="63"/>
      <c r="AG1239" s="63"/>
    </row>
    <row r="1240" spans="1:33" ht="17.2" customHeight="1">
      <c r="A1240" s="64" t="str">
        <f>IF(priority(Main[[#This Row],[Comments]])&lt;&gt;0, priority(Main[[#This Row],[Comments]]),"")</f>
        <v/>
      </c>
      <c r="B1240" s="60" t="s">
        <v>3627</v>
      </c>
      <c r="C1240" s="72" t="s">
        <v>3628</v>
      </c>
      <c r="D1240" s="59" t="s">
        <v>3629</v>
      </c>
      <c r="E1240" s="85"/>
      <c r="F1240" s="85"/>
      <c r="G1240" s="64" t="str">
        <f>IF(stdProdLT(Main[[#This Row],[Comments]])=0.1,"N/A",IF(stdProdLT(Main[[#This Row],[Comments]])=0,"",TRIM(stdProdLT(Main[[#This Row],[Comments]]))))</f>
        <v/>
      </c>
      <c r="H1240" s="94" t="str">
        <f>IF(OR(Main[[#This Row],[Std. Prod. Lead Time]]="N/A",Main[[#This Row],[Std. Prod. Lead Time]]=""), "",IF(AND(Main[[#This Row],[In Stock Date]]&lt;&gt;"",Main[[#This Row],[Revised Due Date]]&lt;&gt;"",Main[[#This Row],[In Stock Date]]&lt;&gt;""),Main[[#This Row],[In Stock Date]]-Main[[#This Row],[Revised Due Date]],""))</f>
        <v/>
      </c>
      <c r="I1240" s="101" t="s">
        <v>4</v>
      </c>
      <c r="J1240" s="95" t="s">
        <v>4</v>
      </c>
      <c r="K1240" s="95" t="s">
        <v>4</v>
      </c>
      <c r="L1240" s="85"/>
      <c r="M1240" s="73" t="str">
        <f>IF(Main[[#This Row],[Tech Start Date]]&lt;1/1/1990,"",IF(Main[[#This Row],[Class]]="C",WORKDAY(Main[[#This Row],[Tech Start Date]],9),IF(Main[[#This Row],[Class]]="B", WORKDAY(Main[[#This Row],[Tech Start Date]],6),IF(Main[[#This Row],[Class]]="A",WORKDAY(Main[[#This Row],[Tech Start Date]],2),""))))</f>
        <v/>
      </c>
      <c r="N1240" s="73" t="str">
        <f>IF(Main[[#This Row],[Tech Start Date]]&lt;1/1/1990,"",IF(Main[[#This Row],[Class]]="C",WORKDAY(Main[[#This Row],[Tech Start Date]],19),IF(Main[[#This Row],[Class]]="B", WORKDAY(Main[[#This Row],[Tech Start Date]],12),IF(Main[[#This Row],[Class]]="A",WORKDAY(Main[[#This Row],[Tech Start Date]],4),""))))</f>
        <v/>
      </c>
      <c r="O1240" s="73" t="str">
        <f>IF(Main[[#This Row],[Tech Start Date]]&lt;1/1/1990,"",IF(Main[[#This Row],[Class]]="C",WORKDAY(Main[[#This Row],[Tech Start Date]],23),IF(Main[[#This Row],[Class]]="B", WORKDAY(Main[[#This Row],[Tech Start Date]],15),IF(Main[[#This Row],[Class]]="A",WORKDAY(Main[[#This Row],[Tech Start Date]],5),""))))</f>
        <v/>
      </c>
      <c r="P1240" s="73" t="str">
        <f>IF(Main[[#This Row],[Tech Start Date]]&lt;1/1/1990,"",IF(Main[[#This Row],[Class]]="C",WORKDAY(Main[[#This Row],[Tech Start Date]],28),IF(Main[[#This Row],[Class]]="B", WORKDAY(Main[[#This Row],[Tech Start Date]],19),IF(Main[[#This Row],[Class]]="A",WORKDAY(Main[[#This Row],[Tech Start Date]],9),""))))</f>
        <v/>
      </c>
      <c r="Q1240" s="85">
        <v>40970</v>
      </c>
      <c r="R1240" s="112"/>
      <c r="S1240" s="95" t="s">
        <v>11</v>
      </c>
      <c r="T1240" s="74" t="s">
        <v>4</v>
      </c>
      <c r="U1240" s="95" t="s">
        <v>14</v>
      </c>
      <c r="V1240" s="95" t="s">
        <v>1912</v>
      </c>
      <c r="W1240" s="95" t="s">
        <v>1913</v>
      </c>
      <c r="X1240" s="95" t="s">
        <v>2796</v>
      </c>
      <c r="Y1240" s="72" t="s">
        <v>4</v>
      </c>
      <c r="Z1240" s="72" t="s">
        <v>4</v>
      </c>
      <c r="AA1240" s="95" t="s">
        <v>2796</v>
      </c>
      <c r="AB1240" s="132"/>
      <c r="AC1240" s="132"/>
      <c r="AD1240" s="132"/>
      <c r="AE1240" s="63"/>
      <c r="AF1240" s="63"/>
      <c r="AG1240" s="63"/>
    </row>
    <row r="1241" spans="1:33" ht="17.2" customHeight="1">
      <c r="A1241" s="64" t="str">
        <f>IF(priority(Main[[#This Row],[Comments]])&lt;&gt;0, priority(Main[[#This Row],[Comments]]),"")</f>
        <v/>
      </c>
      <c r="B1241" s="60" t="s">
        <v>3320</v>
      </c>
      <c r="C1241" s="72" t="s">
        <v>47</v>
      </c>
      <c r="D1241" s="59" t="s">
        <v>3321</v>
      </c>
      <c r="E1241" s="85">
        <v>40938.378252314818</v>
      </c>
      <c r="F1241" s="85"/>
      <c r="G1241" s="64" t="str">
        <f>IF(stdProdLT(Main[[#This Row],[Comments]])=0.1,"N/A",IF(stdProdLT(Main[[#This Row],[Comments]])=0,"",TRIM(stdProdLT(Main[[#This Row],[Comments]]))))</f>
        <v/>
      </c>
      <c r="H1241" s="94" t="str">
        <f>IF(OR(Main[[#This Row],[Std. Prod. Lead Time]]="N/A",Main[[#This Row],[Std. Prod. Lead Time]]=""), "",IF(AND(Main[[#This Row],[In Stock Date]]&lt;&gt;"",Main[[#This Row],[Revised Due Date]]&lt;&gt;"",Main[[#This Row],[In Stock Date]]&lt;&gt;""),Main[[#This Row],[In Stock Date]]-Main[[#This Row],[Revised Due Date]],""))</f>
        <v/>
      </c>
      <c r="I1241" s="101" t="s">
        <v>4</v>
      </c>
      <c r="J1241" s="95" t="s">
        <v>4</v>
      </c>
      <c r="K1241" s="95" t="s">
        <v>4</v>
      </c>
      <c r="L1241" s="85"/>
      <c r="M1241" s="73" t="str">
        <f>IF(Main[[#This Row],[Tech Start Date]]&lt;1/1/1990,"",IF(Main[[#This Row],[Class]]="C",WORKDAY(Main[[#This Row],[Tech Start Date]],9),IF(Main[[#This Row],[Class]]="B", WORKDAY(Main[[#This Row],[Tech Start Date]],6),IF(Main[[#This Row],[Class]]="A",WORKDAY(Main[[#This Row],[Tech Start Date]],2),""))))</f>
        <v/>
      </c>
      <c r="N1241" s="73" t="str">
        <f>IF(Main[[#This Row],[Tech Start Date]]&lt;1/1/1990,"",IF(Main[[#This Row],[Class]]="C",WORKDAY(Main[[#This Row],[Tech Start Date]],19),IF(Main[[#This Row],[Class]]="B", WORKDAY(Main[[#This Row],[Tech Start Date]],12),IF(Main[[#This Row],[Class]]="A",WORKDAY(Main[[#This Row],[Tech Start Date]],4),""))))</f>
        <v/>
      </c>
      <c r="O1241" s="73" t="str">
        <f>IF(Main[[#This Row],[Tech Start Date]]&lt;1/1/1990,"",IF(Main[[#This Row],[Class]]="C",WORKDAY(Main[[#This Row],[Tech Start Date]],23),IF(Main[[#This Row],[Class]]="B", WORKDAY(Main[[#This Row],[Tech Start Date]],15),IF(Main[[#This Row],[Class]]="A",WORKDAY(Main[[#This Row],[Tech Start Date]],5),""))))</f>
        <v/>
      </c>
      <c r="P1241" s="73" t="str">
        <f>IF(Main[[#This Row],[Tech Start Date]]&lt;1/1/1990,"",IF(Main[[#This Row],[Class]]="C",WORKDAY(Main[[#This Row],[Tech Start Date]],28),IF(Main[[#This Row],[Class]]="B", WORKDAY(Main[[#This Row],[Tech Start Date]],19),IF(Main[[#This Row],[Class]]="A",WORKDAY(Main[[#This Row],[Tech Start Date]],9),""))))</f>
        <v/>
      </c>
      <c r="Q1241" s="85">
        <v>40939</v>
      </c>
      <c r="R1241" s="112"/>
      <c r="S1241" s="95" t="s">
        <v>6</v>
      </c>
      <c r="T1241" s="74" t="s">
        <v>4</v>
      </c>
      <c r="U1241" s="95" t="s">
        <v>7</v>
      </c>
      <c r="V1241" s="95" t="s">
        <v>2277</v>
      </c>
      <c r="W1241" s="95" t="s">
        <v>4</v>
      </c>
      <c r="X1241" s="95" t="s">
        <v>2845</v>
      </c>
      <c r="Y1241" s="72" t="s">
        <v>2988</v>
      </c>
      <c r="Z1241" s="72" t="s">
        <v>4</v>
      </c>
      <c r="AA1241" s="95" t="s">
        <v>2845</v>
      </c>
      <c r="AB1241" s="132"/>
      <c r="AC1241" s="132"/>
      <c r="AD1241" s="132"/>
      <c r="AE1241" s="63"/>
      <c r="AF1241" s="63"/>
      <c r="AG1241" s="63"/>
    </row>
    <row r="1242" spans="1:33" ht="17.2" customHeight="1">
      <c r="A1242" s="64" t="str">
        <f>IF(priority(Main[[#This Row],[Comments]])&lt;&gt;0, priority(Main[[#This Row],[Comments]]),"")</f>
        <v/>
      </c>
      <c r="B1242" s="60" t="s">
        <v>2524</v>
      </c>
      <c r="C1242" s="72" t="s">
        <v>4</v>
      </c>
      <c r="D1242" s="59" t="s">
        <v>3630</v>
      </c>
      <c r="E1242" s="85">
        <v>40861.6484837963</v>
      </c>
      <c r="F1242" s="85"/>
      <c r="G1242" s="64" t="str">
        <f>IF(stdProdLT(Main[[#This Row],[Comments]])=0.1,"N/A",IF(stdProdLT(Main[[#This Row],[Comments]])=0,"",TRIM(stdProdLT(Main[[#This Row],[Comments]]))))</f>
        <v/>
      </c>
      <c r="H1242" s="94" t="str">
        <f>IF(OR(Main[[#This Row],[Std. Prod. Lead Time]]="N/A",Main[[#This Row],[Std. Prod. Lead Time]]=""), "",IF(AND(Main[[#This Row],[In Stock Date]]&lt;&gt;"",Main[[#This Row],[Revised Due Date]]&lt;&gt;"",Main[[#This Row],[In Stock Date]]&lt;&gt;""),Main[[#This Row],[In Stock Date]]-Main[[#This Row],[Revised Due Date]],""))</f>
        <v/>
      </c>
      <c r="I1242" s="101" t="s">
        <v>4</v>
      </c>
      <c r="J1242" s="95" t="s">
        <v>4</v>
      </c>
      <c r="K1242" s="95" t="s">
        <v>4</v>
      </c>
      <c r="L1242" s="85"/>
      <c r="M1242" s="73" t="str">
        <f>IF(Main[[#This Row],[Tech Start Date]]&lt;1/1/1990,"",IF(Main[[#This Row],[Class]]="C",WORKDAY(Main[[#This Row],[Tech Start Date]],9),IF(Main[[#This Row],[Class]]="B", WORKDAY(Main[[#This Row],[Tech Start Date]],6),IF(Main[[#This Row],[Class]]="A",WORKDAY(Main[[#This Row],[Tech Start Date]],2),""))))</f>
        <v/>
      </c>
      <c r="N1242" s="73" t="str">
        <f>IF(Main[[#This Row],[Tech Start Date]]&lt;1/1/1990,"",IF(Main[[#This Row],[Class]]="C",WORKDAY(Main[[#This Row],[Tech Start Date]],19),IF(Main[[#This Row],[Class]]="B", WORKDAY(Main[[#This Row],[Tech Start Date]],12),IF(Main[[#This Row],[Class]]="A",WORKDAY(Main[[#This Row],[Tech Start Date]],4),""))))</f>
        <v/>
      </c>
      <c r="O1242" s="73" t="str">
        <f>IF(Main[[#This Row],[Tech Start Date]]&lt;1/1/1990,"",IF(Main[[#This Row],[Class]]="C",WORKDAY(Main[[#This Row],[Tech Start Date]],23),IF(Main[[#This Row],[Class]]="B", WORKDAY(Main[[#This Row],[Tech Start Date]],15),IF(Main[[#This Row],[Class]]="A",WORKDAY(Main[[#This Row],[Tech Start Date]],5),""))))</f>
        <v/>
      </c>
      <c r="P1242" s="73" t="str">
        <f>IF(Main[[#This Row],[Tech Start Date]]&lt;1/1/1990,"",IF(Main[[#This Row],[Class]]="C",WORKDAY(Main[[#This Row],[Tech Start Date]],28),IF(Main[[#This Row],[Class]]="B", WORKDAY(Main[[#This Row],[Tech Start Date]],19),IF(Main[[#This Row],[Class]]="A",WORKDAY(Main[[#This Row],[Tech Start Date]],9),""))))</f>
        <v/>
      </c>
      <c r="Q1242" s="85">
        <v>41372</v>
      </c>
      <c r="R1242" s="112"/>
      <c r="S1242" s="95" t="s">
        <v>17</v>
      </c>
      <c r="T1242" s="74" t="s">
        <v>4</v>
      </c>
      <c r="U1242" s="95" t="s">
        <v>29</v>
      </c>
      <c r="V1242" s="95" t="s">
        <v>1914</v>
      </c>
      <c r="W1242" s="95" t="s">
        <v>1916</v>
      </c>
      <c r="X1242" s="95" t="s">
        <v>652</v>
      </c>
      <c r="Y1242" s="72" t="s">
        <v>3104</v>
      </c>
      <c r="Z1242" s="72" t="s">
        <v>4</v>
      </c>
      <c r="AA1242" s="95" t="s">
        <v>652</v>
      </c>
      <c r="AB1242" s="132"/>
      <c r="AC1242" s="132"/>
      <c r="AD1242" s="132"/>
      <c r="AE1242" s="63"/>
      <c r="AF1242" s="63"/>
      <c r="AG1242" s="63"/>
    </row>
    <row r="1243" spans="1:33" ht="17.2" customHeight="1">
      <c r="A1243" s="64" t="str">
        <f>IF(priority(Main[[#This Row],[Comments]])&lt;&gt;0, priority(Main[[#This Row],[Comments]]),"")</f>
        <v/>
      </c>
      <c r="B1243" s="60" t="s">
        <v>3445</v>
      </c>
      <c r="C1243" s="72" t="s">
        <v>4</v>
      </c>
      <c r="D1243" s="59" t="s">
        <v>3446</v>
      </c>
      <c r="E1243" s="85">
        <v>40941.350555555553</v>
      </c>
      <c r="F1243" s="85"/>
      <c r="G1243" s="64" t="str">
        <f>IF(stdProdLT(Main[[#This Row],[Comments]])=0.1,"N/A",IF(stdProdLT(Main[[#This Row],[Comments]])=0,"",TRIM(stdProdLT(Main[[#This Row],[Comments]]))))</f>
        <v/>
      </c>
      <c r="H1243" s="94" t="str">
        <f>IF(OR(Main[[#This Row],[Std. Prod. Lead Time]]="N/A",Main[[#This Row],[Std. Prod. Lead Time]]=""), "",IF(AND(Main[[#This Row],[In Stock Date]]&lt;&gt;"",Main[[#This Row],[Revised Due Date]]&lt;&gt;"",Main[[#This Row],[In Stock Date]]&lt;&gt;""),Main[[#This Row],[In Stock Date]]-Main[[#This Row],[Revised Due Date]],""))</f>
        <v/>
      </c>
      <c r="I1243" s="101" t="s">
        <v>4</v>
      </c>
      <c r="J1243" s="95" t="s">
        <v>4</v>
      </c>
      <c r="K1243" s="95" t="s">
        <v>4</v>
      </c>
      <c r="L1243" s="85"/>
      <c r="M1243" s="73" t="str">
        <f>IF(Main[[#This Row],[Tech Start Date]]&lt;1/1/1990,"",IF(Main[[#This Row],[Class]]="C",WORKDAY(Main[[#This Row],[Tech Start Date]],9),IF(Main[[#This Row],[Class]]="B", WORKDAY(Main[[#This Row],[Tech Start Date]],6),IF(Main[[#This Row],[Class]]="A",WORKDAY(Main[[#This Row],[Tech Start Date]],2),""))))</f>
        <v/>
      </c>
      <c r="N1243" s="73" t="str">
        <f>IF(Main[[#This Row],[Tech Start Date]]&lt;1/1/1990,"",IF(Main[[#This Row],[Class]]="C",WORKDAY(Main[[#This Row],[Tech Start Date]],19),IF(Main[[#This Row],[Class]]="B", WORKDAY(Main[[#This Row],[Tech Start Date]],12),IF(Main[[#This Row],[Class]]="A",WORKDAY(Main[[#This Row],[Tech Start Date]],4),""))))</f>
        <v/>
      </c>
      <c r="O1243" s="73" t="str">
        <f>IF(Main[[#This Row],[Tech Start Date]]&lt;1/1/1990,"",IF(Main[[#This Row],[Class]]="C",WORKDAY(Main[[#This Row],[Tech Start Date]],23),IF(Main[[#This Row],[Class]]="B", WORKDAY(Main[[#This Row],[Tech Start Date]],15),IF(Main[[#This Row],[Class]]="A",WORKDAY(Main[[#This Row],[Tech Start Date]],5),""))))</f>
        <v/>
      </c>
      <c r="P1243" s="73" t="str">
        <f>IF(Main[[#This Row],[Tech Start Date]]&lt;1/1/1990,"",IF(Main[[#This Row],[Class]]="C",WORKDAY(Main[[#This Row],[Tech Start Date]],28),IF(Main[[#This Row],[Class]]="B", WORKDAY(Main[[#This Row],[Tech Start Date]],19),IF(Main[[#This Row],[Class]]="A",WORKDAY(Main[[#This Row],[Tech Start Date]],9),""))))</f>
        <v/>
      </c>
      <c r="Q1243" s="85"/>
      <c r="R1243" s="112"/>
      <c r="S1243" s="95" t="s">
        <v>6</v>
      </c>
      <c r="T1243" s="74" t="s">
        <v>4</v>
      </c>
      <c r="U1243" s="95" t="s">
        <v>29</v>
      </c>
      <c r="V1243" s="95" t="s">
        <v>1914</v>
      </c>
      <c r="W1243" s="95" t="s">
        <v>4</v>
      </c>
      <c r="X1243" s="95" t="s">
        <v>2802</v>
      </c>
      <c r="Y1243" s="72" t="s">
        <v>2916</v>
      </c>
      <c r="Z1243" s="72" t="s">
        <v>4</v>
      </c>
      <c r="AA1243" s="95" t="s">
        <v>2802</v>
      </c>
      <c r="AB1243" s="132"/>
      <c r="AC1243" s="132"/>
      <c r="AD1243" s="132"/>
      <c r="AE1243" s="63"/>
      <c r="AF1243" s="63"/>
      <c r="AG1243" s="63"/>
    </row>
    <row r="1244" spans="1:33" ht="17.2" customHeight="1">
      <c r="A1244" s="64" t="str">
        <f>IF(priority(Main[[#This Row],[Comments]])&lt;&gt;0, priority(Main[[#This Row],[Comments]]),"")</f>
        <v/>
      </c>
      <c r="B1244" s="60" t="s">
        <v>2265</v>
      </c>
      <c r="C1244" s="72" t="s">
        <v>4</v>
      </c>
      <c r="D1244" s="59" t="s">
        <v>2544</v>
      </c>
      <c r="E1244" s="85">
        <v>40809.3827662037</v>
      </c>
      <c r="F1244" s="85"/>
      <c r="G1244" s="64" t="str">
        <f>IF(stdProdLT(Main[[#This Row],[Comments]])=0.1,"N/A",IF(stdProdLT(Main[[#This Row],[Comments]])=0,"",TRIM(stdProdLT(Main[[#This Row],[Comments]]))))</f>
        <v/>
      </c>
      <c r="H1244" s="94" t="str">
        <f>IF(OR(Main[[#This Row],[Std. Prod. Lead Time]]="N/A",Main[[#This Row],[Std. Prod. Lead Time]]=""), "",IF(AND(Main[[#This Row],[In Stock Date]]&lt;&gt;"",Main[[#This Row],[Revised Due Date]]&lt;&gt;"",Main[[#This Row],[In Stock Date]]&lt;&gt;""),Main[[#This Row],[In Stock Date]]-Main[[#This Row],[Revised Due Date]],""))</f>
        <v/>
      </c>
      <c r="I1244" s="101" t="s">
        <v>912</v>
      </c>
      <c r="J1244" s="95" t="s">
        <v>52</v>
      </c>
      <c r="K1244" s="95" t="s">
        <v>4</v>
      </c>
      <c r="L1244" s="85"/>
      <c r="M1244" s="73" t="str">
        <f>IF(Main[[#This Row],[Tech Start Date]]&lt;1/1/1990,"",IF(Main[[#This Row],[Class]]="C",WORKDAY(Main[[#This Row],[Tech Start Date]],9),IF(Main[[#This Row],[Class]]="B", WORKDAY(Main[[#This Row],[Tech Start Date]],6),IF(Main[[#This Row],[Class]]="A",WORKDAY(Main[[#This Row],[Tech Start Date]],2),""))))</f>
        <v/>
      </c>
      <c r="N1244" s="73" t="str">
        <f>IF(Main[[#This Row],[Tech Start Date]]&lt;1/1/1990,"",IF(Main[[#This Row],[Class]]="C",WORKDAY(Main[[#This Row],[Tech Start Date]],19),IF(Main[[#This Row],[Class]]="B", WORKDAY(Main[[#This Row],[Tech Start Date]],12),IF(Main[[#This Row],[Class]]="A",WORKDAY(Main[[#This Row],[Tech Start Date]],4),""))))</f>
        <v/>
      </c>
      <c r="O1244" s="73" t="str">
        <f>IF(Main[[#This Row],[Tech Start Date]]&lt;1/1/1990,"",IF(Main[[#This Row],[Class]]="C",WORKDAY(Main[[#This Row],[Tech Start Date]],23),IF(Main[[#This Row],[Class]]="B", WORKDAY(Main[[#This Row],[Tech Start Date]],15),IF(Main[[#This Row],[Class]]="A",WORKDAY(Main[[#This Row],[Tech Start Date]],5),""))))</f>
        <v/>
      </c>
      <c r="P1244" s="73" t="str">
        <f>IF(Main[[#This Row],[Tech Start Date]]&lt;1/1/1990,"",IF(Main[[#This Row],[Class]]="C",WORKDAY(Main[[#This Row],[Tech Start Date]],28),IF(Main[[#This Row],[Class]]="B", WORKDAY(Main[[#This Row],[Tech Start Date]],19),IF(Main[[#This Row],[Class]]="A",WORKDAY(Main[[#This Row],[Tech Start Date]],9),""))))</f>
        <v/>
      </c>
      <c r="Q1244" s="85"/>
      <c r="R1244" s="112">
        <v>40840</v>
      </c>
      <c r="S1244" s="95" t="s">
        <v>6</v>
      </c>
      <c r="T1244" s="74" t="s">
        <v>4</v>
      </c>
      <c r="U1244" s="95" t="s">
        <v>29</v>
      </c>
      <c r="V1244" s="95" t="s">
        <v>1911</v>
      </c>
      <c r="W1244" s="95" t="s">
        <v>1915</v>
      </c>
      <c r="X1244" s="95" t="s">
        <v>306</v>
      </c>
      <c r="Y1244" s="72" t="s">
        <v>4</v>
      </c>
      <c r="Z1244" s="72" t="s">
        <v>129</v>
      </c>
      <c r="AA1244" s="95" t="s">
        <v>50</v>
      </c>
      <c r="AB1244" s="132"/>
      <c r="AC1244" s="132"/>
      <c r="AD1244" s="132"/>
      <c r="AE1244" s="63"/>
      <c r="AF1244" s="63"/>
      <c r="AG1244" s="63"/>
    </row>
    <row r="1245" spans="1:33" ht="17.2" customHeight="1">
      <c r="A1245" s="64" t="str">
        <f>IF(priority(Main[[#This Row],[Comments]])&lt;&gt;0, priority(Main[[#This Row],[Comments]]),"")</f>
        <v/>
      </c>
      <c r="B1245" s="60" t="s">
        <v>3608</v>
      </c>
      <c r="C1245" s="72" t="s">
        <v>4</v>
      </c>
      <c r="D1245" s="59" t="s">
        <v>3780</v>
      </c>
      <c r="E1245" s="85">
        <v>40967.682060185187</v>
      </c>
      <c r="F1245" s="85"/>
      <c r="G1245" s="64" t="str">
        <f>IF(stdProdLT(Main[[#This Row],[Comments]])=0.1,"N/A",IF(stdProdLT(Main[[#This Row],[Comments]])=0,"",TRIM(stdProdLT(Main[[#This Row],[Comments]]))))</f>
        <v/>
      </c>
      <c r="H1245" s="94" t="str">
        <f>IF(OR(Main[[#This Row],[Std. Prod. Lead Time]]="N/A",Main[[#This Row],[Std. Prod. Lead Time]]=""), "",IF(AND(Main[[#This Row],[In Stock Date]]&lt;&gt;"",Main[[#This Row],[Revised Due Date]]&lt;&gt;"",Main[[#This Row],[In Stock Date]]&lt;&gt;""),Main[[#This Row],[In Stock Date]]-Main[[#This Row],[Revised Due Date]],""))</f>
        <v/>
      </c>
      <c r="I1245" s="101" t="s">
        <v>4</v>
      </c>
      <c r="J1245" s="95" t="s">
        <v>21</v>
      </c>
      <c r="K1245" s="96" t="s">
        <v>4</v>
      </c>
      <c r="L1245" s="85"/>
      <c r="M1245" s="73" t="str">
        <f>IF(Main[[#This Row],[Tech Start Date]]&lt;1/1/1990,"",IF(Main[[#This Row],[Class]]="C",WORKDAY(Main[[#This Row],[Tech Start Date]],9),IF(Main[[#This Row],[Class]]="B", WORKDAY(Main[[#This Row],[Tech Start Date]],6),IF(Main[[#This Row],[Class]]="A",WORKDAY(Main[[#This Row],[Tech Start Date]],2),""))))</f>
        <v/>
      </c>
      <c r="N1245" s="73" t="str">
        <f>IF(Main[[#This Row],[Tech Start Date]]&lt;1/1/1990,"",IF(Main[[#This Row],[Class]]="C",WORKDAY(Main[[#This Row],[Tech Start Date]],19),IF(Main[[#This Row],[Class]]="B", WORKDAY(Main[[#This Row],[Tech Start Date]],12),IF(Main[[#This Row],[Class]]="A",WORKDAY(Main[[#This Row],[Tech Start Date]],4),""))))</f>
        <v/>
      </c>
      <c r="O1245" s="73" t="str">
        <f>IF(Main[[#This Row],[Tech Start Date]]&lt;1/1/1990,"",IF(Main[[#This Row],[Class]]="C",WORKDAY(Main[[#This Row],[Tech Start Date]],23),IF(Main[[#This Row],[Class]]="B", WORKDAY(Main[[#This Row],[Tech Start Date]],15),IF(Main[[#This Row],[Class]]="A",WORKDAY(Main[[#This Row],[Tech Start Date]],5),""))))</f>
        <v/>
      </c>
      <c r="P1245" s="73" t="str">
        <f>IF(Main[[#This Row],[Tech Start Date]]&lt;1/1/1990,"",IF(Main[[#This Row],[Class]]="C",WORKDAY(Main[[#This Row],[Tech Start Date]],28),IF(Main[[#This Row],[Class]]="B", WORKDAY(Main[[#This Row],[Tech Start Date]],19),IF(Main[[#This Row],[Class]]="A",WORKDAY(Main[[#This Row],[Tech Start Date]],9),""))))</f>
        <v/>
      </c>
      <c r="Q1245" s="85">
        <v>40732</v>
      </c>
      <c r="R1245" s="112"/>
      <c r="S1245" s="95" t="s">
        <v>6</v>
      </c>
      <c r="T1245" s="74" t="s">
        <v>4</v>
      </c>
      <c r="U1245" s="95" t="s">
        <v>29</v>
      </c>
      <c r="V1245" s="95" t="s">
        <v>1912</v>
      </c>
      <c r="W1245" s="95" t="s">
        <v>1915</v>
      </c>
      <c r="X1245" s="95" t="s">
        <v>399</v>
      </c>
      <c r="Y1245" s="72" t="s">
        <v>3094</v>
      </c>
      <c r="Z1245" s="72" t="s">
        <v>2047</v>
      </c>
      <c r="AA1245" s="95" t="s">
        <v>3351</v>
      </c>
      <c r="AB1245" s="132"/>
      <c r="AC1245" s="132"/>
      <c r="AD1245" s="132"/>
      <c r="AE1245" s="63"/>
      <c r="AF1245" s="63"/>
      <c r="AG1245" s="63"/>
    </row>
    <row r="1246" spans="1:33" ht="17.2" customHeight="1">
      <c r="A1246" s="64" t="str">
        <f>IF(priority(Main[[#This Row],[Comments]])&lt;&gt;0, priority(Main[[#This Row],[Comments]]),"")</f>
        <v/>
      </c>
      <c r="B1246" s="60" t="s">
        <v>1838</v>
      </c>
      <c r="C1246" s="72" t="s">
        <v>4</v>
      </c>
      <c r="D1246" s="59" t="s">
        <v>896</v>
      </c>
      <c r="E1246" s="85">
        <v>40241.453090277777</v>
      </c>
      <c r="F1246" s="85"/>
      <c r="G1246" s="64" t="str">
        <f>IF(stdProdLT(Main[[#This Row],[Comments]])=0.1,"N/A",IF(stdProdLT(Main[[#This Row],[Comments]])=0,"",TRIM(stdProdLT(Main[[#This Row],[Comments]]))))</f>
        <v/>
      </c>
      <c r="H1246" s="94" t="str">
        <f>IF(OR(Main[[#This Row],[Std. Prod. Lead Time]]="N/A",Main[[#This Row],[Std. Prod. Lead Time]]=""), "",IF(AND(Main[[#This Row],[In Stock Date]]&lt;&gt;"",Main[[#This Row],[Revised Due Date]]&lt;&gt;"",Main[[#This Row],[In Stock Date]]&lt;&gt;""),Main[[#This Row],[In Stock Date]]-Main[[#This Row],[Revised Due Date]],""))</f>
        <v/>
      </c>
      <c r="I1246" s="101" t="s">
        <v>74</v>
      </c>
      <c r="J1246" s="95" t="s">
        <v>4</v>
      </c>
      <c r="K1246" s="95" t="s">
        <v>1923</v>
      </c>
      <c r="L1246" s="85"/>
      <c r="M1246" s="73" t="str">
        <f>IF(Main[[#This Row],[Tech Start Date]]&lt;1/1/1990,"",IF(Main[[#This Row],[Class]]="C",WORKDAY(Main[[#This Row],[Tech Start Date]],9),IF(Main[[#This Row],[Class]]="B", WORKDAY(Main[[#This Row],[Tech Start Date]],6),IF(Main[[#This Row],[Class]]="A",WORKDAY(Main[[#This Row],[Tech Start Date]],2),""))))</f>
        <v/>
      </c>
      <c r="N1246" s="73" t="str">
        <f>IF(Main[[#This Row],[Tech Start Date]]&lt;1/1/1990,"",IF(Main[[#This Row],[Class]]="C",WORKDAY(Main[[#This Row],[Tech Start Date]],19),IF(Main[[#This Row],[Class]]="B", WORKDAY(Main[[#This Row],[Tech Start Date]],12),IF(Main[[#This Row],[Class]]="A",WORKDAY(Main[[#This Row],[Tech Start Date]],4),""))))</f>
        <v/>
      </c>
      <c r="O1246" s="73" t="str">
        <f>IF(Main[[#This Row],[Tech Start Date]]&lt;1/1/1990,"",IF(Main[[#This Row],[Class]]="C",WORKDAY(Main[[#This Row],[Tech Start Date]],23),IF(Main[[#This Row],[Class]]="B", WORKDAY(Main[[#This Row],[Tech Start Date]],15),IF(Main[[#This Row],[Class]]="A",WORKDAY(Main[[#This Row],[Tech Start Date]],5),""))))</f>
        <v/>
      </c>
      <c r="P1246" s="73" t="str">
        <f>IF(Main[[#This Row],[Tech Start Date]]&lt;1/1/1990,"",IF(Main[[#This Row],[Class]]="C",WORKDAY(Main[[#This Row],[Tech Start Date]],28),IF(Main[[#This Row],[Class]]="B", WORKDAY(Main[[#This Row],[Tech Start Date]],19),IF(Main[[#This Row],[Class]]="A",WORKDAY(Main[[#This Row],[Tech Start Date]],9),""))))</f>
        <v/>
      </c>
      <c r="Q1246" s="85"/>
      <c r="R1246" s="112">
        <v>40967</v>
      </c>
      <c r="S1246" s="95" t="s">
        <v>17</v>
      </c>
      <c r="T1246" s="74" t="s">
        <v>4</v>
      </c>
      <c r="U1246" s="95" t="s">
        <v>29</v>
      </c>
      <c r="V1246" s="95" t="s">
        <v>1914</v>
      </c>
      <c r="W1246" s="95" t="s">
        <v>4</v>
      </c>
      <c r="X1246" s="95" t="s">
        <v>306</v>
      </c>
      <c r="Y1246" s="72" t="s">
        <v>2927</v>
      </c>
      <c r="Z1246" s="72" t="s">
        <v>415</v>
      </c>
      <c r="AA1246" s="95" t="s">
        <v>3395</v>
      </c>
      <c r="AB1246" s="132"/>
      <c r="AC1246" s="132"/>
      <c r="AD1246" s="132"/>
      <c r="AE1246" s="63"/>
      <c r="AF1246" s="63"/>
      <c r="AG1246" s="63"/>
    </row>
    <row r="1247" spans="1:33" ht="17.2" customHeight="1">
      <c r="A1247" s="64" t="str">
        <f>IF(priority(Main[[#This Row],[Comments]])&lt;&gt;0, priority(Main[[#This Row],[Comments]]),"")</f>
        <v/>
      </c>
      <c r="B1247" s="60" t="s">
        <v>2651</v>
      </c>
      <c r="C1247" s="72" t="s">
        <v>47</v>
      </c>
      <c r="D1247" s="59" t="s">
        <v>3311</v>
      </c>
      <c r="E1247" s="85">
        <v>40938.399201388886</v>
      </c>
      <c r="F1247" s="85"/>
      <c r="G1247" s="64" t="str">
        <f>IF(stdProdLT(Main[[#This Row],[Comments]])=0.1,"N/A",IF(stdProdLT(Main[[#This Row],[Comments]])=0,"",TRIM(stdProdLT(Main[[#This Row],[Comments]]))))</f>
        <v/>
      </c>
      <c r="H1247" s="94" t="str">
        <f>IF(OR(Main[[#This Row],[Std. Prod. Lead Time]]="N/A",Main[[#This Row],[Std. Prod. Lead Time]]=""), "",IF(AND(Main[[#This Row],[In Stock Date]]&lt;&gt;"",Main[[#This Row],[Revised Due Date]]&lt;&gt;"",Main[[#This Row],[In Stock Date]]&lt;&gt;""),Main[[#This Row],[In Stock Date]]-Main[[#This Row],[Revised Due Date]],""))</f>
        <v/>
      </c>
      <c r="I1247" s="101" t="s">
        <v>4</v>
      </c>
      <c r="J1247" s="95" t="s">
        <v>4</v>
      </c>
      <c r="K1247" s="95" t="s">
        <v>4</v>
      </c>
      <c r="L1247" s="85"/>
      <c r="M1247" s="73" t="str">
        <f>IF(Main[[#This Row],[Tech Start Date]]&lt;1/1/1990,"",IF(Main[[#This Row],[Class]]="C",WORKDAY(Main[[#This Row],[Tech Start Date]],9),IF(Main[[#This Row],[Class]]="B", WORKDAY(Main[[#This Row],[Tech Start Date]],6),IF(Main[[#This Row],[Class]]="A",WORKDAY(Main[[#This Row],[Tech Start Date]],2),""))))</f>
        <v/>
      </c>
      <c r="N1247" s="73" t="str">
        <f>IF(Main[[#This Row],[Tech Start Date]]&lt;1/1/1990,"",IF(Main[[#This Row],[Class]]="C",WORKDAY(Main[[#This Row],[Tech Start Date]],19),IF(Main[[#This Row],[Class]]="B", WORKDAY(Main[[#This Row],[Tech Start Date]],12),IF(Main[[#This Row],[Class]]="A",WORKDAY(Main[[#This Row],[Tech Start Date]],4),""))))</f>
        <v/>
      </c>
      <c r="O1247" s="73" t="str">
        <f>IF(Main[[#This Row],[Tech Start Date]]&lt;1/1/1990,"",IF(Main[[#This Row],[Class]]="C",WORKDAY(Main[[#This Row],[Tech Start Date]],23),IF(Main[[#This Row],[Class]]="B", WORKDAY(Main[[#This Row],[Tech Start Date]],15),IF(Main[[#This Row],[Class]]="A",WORKDAY(Main[[#This Row],[Tech Start Date]],5),""))))</f>
        <v/>
      </c>
      <c r="P1247" s="73" t="str">
        <f>IF(Main[[#This Row],[Tech Start Date]]&lt;1/1/1990,"",IF(Main[[#This Row],[Class]]="C",WORKDAY(Main[[#This Row],[Tech Start Date]],28),IF(Main[[#This Row],[Class]]="B", WORKDAY(Main[[#This Row],[Tech Start Date]],19),IF(Main[[#This Row],[Class]]="A",WORKDAY(Main[[#This Row],[Tech Start Date]],9),""))))</f>
        <v/>
      </c>
      <c r="Q1247" s="85">
        <v>40913</v>
      </c>
      <c r="R1247" s="112"/>
      <c r="S1247" s="95" t="s">
        <v>6</v>
      </c>
      <c r="T1247" s="74" t="s">
        <v>4</v>
      </c>
      <c r="U1247" s="95" t="s">
        <v>7</v>
      </c>
      <c r="V1247" s="95" t="s">
        <v>2277</v>
      </c>
      <c r="W1247" s="95" t="s">
        <v>4</v>
      </c>
      <c r="X1247" s="95" t="s">
        <v>2845</v>
      </c>
      <c r="Y1247" s="72" t="s">
        <v>2988</v>
      </c>
      <c r="Z1247" s="72" t="s">
        <v>4</v>
      </c>
      <c r="AA1247" s="95" t="s">
        <v>2845</v>
      </c>
      <c r="AB1247" s="132"/>
      <c r="AC1247" s="132"/>
      <c r="AD1247" s="132"/>
      <c r="AE1247" s="63"/>
      <c r="AF1247" s="63"/>
      <c r="AG1247" s="63"/>
    </row>
    <row r="1248" spans="1:33" ht="17.2" customHeight="1">
      <c r="A1248" s="64" t="str">
        <f>IF(priority(Main[[#This Row],[Comments]])&lt;&gt;0, priority(Main[[#This Row],[Comments]]),"")</f>
        <v/>
      </c>
      <c r="B1248" s="60" t="s">
        <v>1581</v>
      </c>
      <c r="C1248" s="72" t="s">
        <v>4</v>
      </c>
      <c r="D1248" s="59" t="s">
        <v>2659</v>
      </c>
      <c r="E1248" s="85">
        <v>40455.90111111111</v>
      </c>
      <c r="F1248" s="85"/>
      <c r="G1248" s="64" t="str">
        <f>IF(stdProdLT(Main[[#This Row],[Comments]])=0.1,"N/A",IF(stdProdLT(Main[[#This Row],[Comments]])=0,"",TRIM(stdProdLT(Main[[#This Row],[Comments]]))))</f>
        <v/>
      </c>
      <c r="H1248" s="94" t="str">
        <f>IF(OR(Main[[#This Row],[Std. Prod. Lead Time]]="N/A",Main[[#This Row],[Std. Prod. Lead Time]]=""), "",IF(AND(Main[[#This Row],[In Stock Date]]&lt;&gt;"",Main[[#This Row],[Revised Due Date]]&lt;&gt;"",Main[[#This Row],[In Stock Date]]&lt;&gt;""),Main[[#This Row],[In Stock Date]]-Main[[#This Row],[Revised Due Date]],""))</f>
        <v/>
      </c>
      <c r="I1248" s="101" t="s">
        <v>4</v>
      </c>
      <c r="J1248" s="95" t="s">
        <v>28</v>
      </c>
      <c r="K1248" s="95" t="s">
        <v>1923</v>
      </c>
      <c r="L1248" s="85"/>
      <c r="M1248" s="73" t="str">
        <f>IF(Main[[#This Row],[Tech Start Date]]&lt;1/1/1990,"",IF(Main[[#This Row],[Class]]="C",WORKDAY(Main[[#This Row],[Tech Start Date]],9),IF(Main[[#This Row],[Class]]="B", WORKDAY(Main[[#This Row],[Tech Start Date]],6),IF(Main[[#This Row],[Class]]="A",WORKDAY(Main[[#This Row],[Tech Start Date]],2),""))))</f>
        <v/>
      </c>
      <c r="N1248" s="73" t="str">
        <f>IF(Main[[#This Row],[Tech Start Date]]&lt;1/1/1990,"",IF(Main[[#This Row],[Class]]="C",WORKDAY(Main[[#This Row],[Tech Start Date]],19),IF(Main[[#This Row],[Class]]="B", WORKDAY(Main[[#This Row],[Tech Start Date]],12),IF(Main[[#This Row],[Class]]="A",WORKDAY(Main[[#This Row],[Tech Start Date]],4),""))))</f>
        <v/>
      </c>
      <c r="O1248" s="73" t="str">
        <f>IF(Main[[#This Row],[Tech Start Date]]&lt;1/1/1990,"",IF(Main[[#This Row],[Class]]="C",WORKDAY(Main[[#This Row],[Tech Start Date]],23),IF(Main[[#This Row],[Class]]="B", WORKDAY(Main[[#This Row],[Tech Start Date]],15),IF(Main[[#This Row],[Class]]="A",WORKDAY(Main[[#This Row],[Tech Start Date]],5),""))))</f>
        <v/>
      </c>
      <c r="P1248" s="73" t="str">
        <f>IF(Main[[#This Row],[Tech Start Date]]&lt;1/1/1990,"",IF(Main[[#This Row],[Class]]="C",WORKDAY(Main[[#This Row],[Tech Start Date]],28),IF(Main[[#This Row],[Class]]="B", WORKDAY(Main[[#This Row],[Tech Start Date]],19),IF(Main[[#This Row],[Class]]="A",WORKDAY(Main[[#This Row],[Tech Start Date]],9),""))))</f>
        <v/>
      </c>
      <c r="Q1248" s="85">
        <v>41060</v>
      </c>
      <c r="R1248" s="112"/>
      <c r="S1248" s="95" t="s">
        <v>17</v>
      </c>
      <c r="T1248" s="74" t="s">
        <v>4</v>
      </c>
      <c r="U1248" s="95" t="s">
        <v>7</v>
      </c>
      <c r="V1248" s="95" t="s">
        <v>1911</v>
      </c>
      <c r="W1248" s="95" t="s">
        <v>1913</v>
      </c>
      <c r="X1248" s="95" t="s">
        <v>129</v>
      </c>
      <c r="Y1248" s="72" t="s">
        <v>2911</v>
      </c>
      <c r="Z1248" s="72" t="s">
        <v>129</v>
      </c>
      <c r="AA1248" s="95" t="s">
        <v>129</v>
      </c>
      <c r="AB1248" s="132"/>
      <c r="AC1248" s="132"/>
      <c r="AD1248" s="132"/>
      <c r="AE1248" s="63"/>
      <c r="AF1248" s="63"/>
      <c r="AG1248" s="63"/>
    </row>
    <row r="1249" spans="1:33" ht="17.2" customHeight="1">
      <c r="A1249" s="64" t="str">
        <f>IF(priority(Main[[#This Row],[Comments]])&lt;&gt;0, priority(Main[[#This Row],[Comments]]),"")</f>
        <v/>
      </c>
      <c r="B1249" s="60" t="s">
        <v>2540</v>
      </c>
      <c r="C1249" s="72" t="s">
        <v>4</v>
      </c>
      <c r="D1249" s="59" t="s">
        <v>3247</v>
      </c>
      <c r="E1249" s="85">
        <v>40876.276597222219</v>
      </c>
      <c r="F1249" s="85"/>
      <c r="G1249" s="64" t="str">
        <f>IF(stdProdLT(Main[[#This Row],[Comments]])=0.1,"N/A",IF(stdProdLT(Main[[#This Row],[Comments]])=0,"",TRIM(stdProdLT(Main[[#This Row],[Comments]]))))</f>
        <v/>
      </c>
      <c r="H1249" s="94" t="str">
        <f>IF(OR(Main[[#This Row],[Std. Prod. Lead Time]]="N/A",Main[[#This Row],[Std. Prod. Lead Time]]=""), "",IF(AND(Main[[#This Row],[In Stock Date]]&lt;&gt;"",Main[[#This Row],[Revised Due Date]]&lt;&gt;"",Main[[#This Row],[In Stock Date]]&lt;&gt;""),Main[[#This Row],[In Stock Date]]-Main[[#This Row],[Revised Due Date]],""))</f>
        <v/>
      </c>
      <c r="I1249" s="101" t="s">
        <v>69</v>
      </c>
      <c r="J1249" s="95" t="s">
        <v>70</v>
      </c>
      <c r="K1249" s="95" t="s">
        <v>1920</v>
      </c>
      <c r="L1249" s="85"/>
      <c r="M1249" s="73" t="str">
        <f>IF(Main[[#This Row],[Tech Start Date]]&lt;1/1/1990,"",IF(Main[[#This Row],[Class]]="C",WORKDAY(Main[[#This Row],[Tech Start Date]],9),IF(Main[[#This Row],[Class]]="B", WORKDAY(Main[[#This Row],[Tech Start Date]],6),IF(Main[[#This Row],[Class]]="A",WORKDAY(Main[[#This Row],[Tech Start Date]],2),""))))</f>
        <v/>
      </c>
      <c r="N1249" s="73" t="str">
        <f>IF(Main[[#This Row],[Tech Start Date]]&lt;1/1/1990,"",IF(Main[[#This Row],[Class]]="C",WORKDAY(Main[[#This Row],[Tech Start Date]],19),IF(Main[[#This Row],[Class]]="B", WORKDAY(Main[[#This Row],[Tech Start Date]],12),IF(Main[[#This Row],[Class]]="A",WORKDAY(Main[[#This Row],[Tech Start Date]],4),""))))</f>
        <v/>
      </c>
      <c r="O1249" s="73" t="str">
        <f>IF(Main[[#This Row],[Tech Start Date]]&lt;1/1/1990,"",IF(Main[[#This Row],[Class]]="C",WORKDAY(Main[[#This Row],[Tech Start Date]],23),IF(Main[[#This Row],[Class]]="B", WORKDAY(Main[[#This Row],[Tech Start Date]],15),IF(Main[[#This Row],[Class]]="A",WORKDAY(Main[[#This Row],[Tech Start Date]],5),""))))</f>
        <v/>
      </c>
      <c r="P1249" s="73" t="str">
        <f>IF(Main[[#This Row],[Tech Start Date]]&lt;1/1/1990,"",IF(Main[[#This Row],[Class]]="C",WORKDAY(Main[[#This Row],[Tech Start Date]],28),IF(Main[[#This Row],[Class]]="B", WORKDAY(Main[[#This Row],[Tech Start Date]],19),IF(Main[[#This Row],[Class]]="A",WORKDAY(Main[[#This Row],[Tech Start Date]],9),""))))</f>
        <v/>
      </c>
      <c r="Q1249" s="85">
        <v>40907</v>
      </c>
      <c r="R1249" s="112"/>
      <c r="S1249" s="95" t="s">
        <v>6</v>
      </c>
      <c r="T1249" s="74" t="s">
        <v>4</v>
      </c>
      <c r="U1249" s="95" t="s">
        <v>29</v>
      </c>
      <c r="V1249" s="95" t="s">
        <v>1921</v>
      </c>
      <c r="W1249" s="95" t="s">
        <v>1915</v>
      </c>
      <c r="X1249" s="95" t="s">
        <v>2798</v>
      </c>
      <c r="Y1249" s="72" t="s">
        <v>2908</v>
      </c>
      <c r="Z1249" s="72" t="s">
        <v>30</v>
      </c>
      <c r="AA1249" s="95" t="s">
        <v>2798</v>
      </c>
      <c r="AB1249" s="132"/>
      <c r="AC1249" s="132"/>
      <c r="AD1249" s="132"/>
      <c r="AE1249" s="63"/>
      <c r="AF1249" s="63"/>
      <c r="AG1249" s="63"/>
    </row>
    <row r="1250" spans="1:33" ht="17.2" customHeight="1">
      <c r="A1250" s="64" t="str">
        <f>IF(priority(Main[[#This Row],[Comments]])&lt;&gt;0, priority(Main[[#This Row],[Comments]]),"")</f>
        <v/>
      </c>
      <c r="B1250" s="60" t="s">
        <v>3925</v>
      </c>
      <c r="C1250" s="72" t="s">
        <v>4</v>
      </c>
      <c r="D1250" s="59" t="s">
        <v>3926</v>
      </c>
      <c r="E1250" s="85">
        <v>40973.709178240744</v>
      </c>
      <c r="F1250" s="85"/>
      <c r="G1250" s="64" t="str">
        <f>IF(stdProdLT(Main[[#This Row],[Comments]])=0.1,"N/A",IF(stdProdLT(Main[[#This Row],[Comments]])=0,"",TRIM(stdProdLT(Main[[#This Row],[Comments]]))))</f>
        <v/>
      </c>
      <c r="H1250" s="94" t="str">
        <f>IF(OR(Main[[#This Row],[Std. Prod. Lead Time]]="N/A",Main[[#This Row],[Std. Prod. Lead Time]]=""), "",IF(AND(Main[[#This Row],[In Stock Date]]&lt;&gt;"",Main[[#This Row],[Revised Due Date]]&lt;&gt;"",Main[[#This Row],[In Stock Date]]&lt;&gt;""),Main[[#This Row],[In Stock Date]]-Main[[#This Row],[Revised Due Date]],""))</f>
        <v/>
      </c>
      <c r="I1250" s="101" t="s">
        <v>4</v>
      </c>
      <c r="J1250" s="95" t="s">
        <v>4</v>
      </c>
      <c r="K1250" s="95" t="s">
        <v>4</v>
      </c>
      <c r="L1250" s="85"/>
      <c r="M1250" s="73" t="str">
        <f>IF(Main[[#This Row],[Tech Start Date]]&lt;1/1/1990,"",IF(Main[[#This Row],[Class]]="C",WORKDAY(Main[[#This Row],[Tech Start Date]],9),IF(Main[[#This Row],[Class]]="B", WORKDAY(Main[[#This Row],[Tech Start Date]],6),IF(Main[[#This Row],[Class]]="A",WORKDAY(Main[[#This Row],[Tech Start Date]],2),""))))</f>
        <v/>
      </c>
      <c r="N1250" s="73" t="str">
        <f>IF(Main[[#This Row],[Tech Start Date]]&lt;1/1/1990,"",IF(Main[[#This Row],[Class]]="C",WORKDAY(Main[[#This Row],[Tech Start Date]],19),IF(Main[[#This Row],[Class]]="B", WORKDAY(Main[[#This Row],[Tech Start Date]],12),IF(Main[[#This Row],[Class]]="A",WORKDAY(Main[[#This Row],[Tech Start Date]],4),""))))</f>
        <v/>
      </c>
      <c r="O1250" s="73" t="str">
        <f>IF(Main[[#This Row],[Tech Start Date]]&lt;1/1/1990,"",IF(Main[[#This Row],[Class]]="C",WORKDAY(Main[[#This Row],[Tech Start Date]],23),IF(Main[[#This Row],[Class]]="B", WORKDAY(Main[[#This Row],[Tech Start Date]],15),IF(Main[[#This Row],[Class]]="A",WORKDAY(Main[[#This Row],[Tech Start Date]],5),""))))</f>
        <v/>
      </c>
      <c r="P1250" s="73" t="str">
        <f>IF(Main[[#This Row],[Tech Start Date]]&lt;1/1/1990,"",IF(Main[[#This Row],[Class]]="C",WORKDAY(Main[[#This Row],[Tech Start Date]],28),IF(Main[[#This Row],[Class]]="B", WORKDAY(Main[[#This Row],[Tech Start Date]],19),IF(Main[[#This Row],[Class]]="A",WORKDAY(Main[[#This Row],[Tech Start Date]],9),""))))</f>
        <v/>
      </c>
      <c r="Q1250" s="85"/>
      <c r="R1250" s="112"/>
      <c r="S1250" s="95" t="s">
        <v>11</v>
      </c>
      <c r="T1250" s="74" t="s">
        <v>4</v>
      </c>
      <c r="U1250" s="95" t="s">
        <v>7</v>
      </c>
      <c r="V1250" s="95" t="s">
        <v>1921</v>
      </c>
      <c r="W1250" s="95" t="s">
        <v>1917</v>
      </c>
      <c r="X1250" s="95" t="s">
        <v>2891</v>
      </c>
      <c r="Y1250" s="72" t="s">
        <v>3870</v>
      </c>
      <c r="Z1250" s="72" t="s">
        <v>4</v>
      </c>
      <c r="AA1250" s="95" t="s">
        <v>2891</v>
      </c>
      <c r="AB1250" s="132"/>
      <c r="AC1250" s="132"/>
      <c r="AD1250" s="132"/>
      <c r="AE1250" s="63"/>
      <c r="AF1250" s="63"/>
      <c r="AG1250" s="63"/>
    </row>
    <row r="1251" spans="1:33" ht="17.2" customHeight="1">
      <c r="A1251" s="64" t="str">
        <f>IF(priority(Main[[#This Row],[Comments]])&lt;&gt;0, priority(Main[[#This Row],[Comments]]),"")</f>
        <v/>
      </c>
      <c r="B1251" s="60" t="s">
        <v>3928</v>
      </c>
      <c r="C1251" s="72" t="s">
        <v>3929</v>
      </c>
      <c r="D1251" s="59" t="s">
        <v>3930</v>
      </c>
      <c r="E1251" s="85">
        <v>40975.043425925927</v>
      </c>
      <c r="F1251" s="85">
        <v>41105</v>
      </c>
      <c r="G1251" s="64" t="str">
        <f>IF(stdProdLT(Main[[#This Row],[Comments]])=0.1,"N/A",IF(stdProdLT(Main[[#This Row],[Comments]])=0,"",TRIM(stdProdLT(Main[[#This Row],[Comments]]))))</f>
        <v/>
      </c>
      <c r="H1251" s="94" t="str">
        <f>IF(OR(Main[[#This Row],[Std. Prod. Lead Time]]="N/A",Main[[#This Row],[Std. Prod. Lead Time]]=""), "",IF(AND(Main[[#This Row],[In Stock Date]]&lt;&gt;"",Main[[#This Row],[Revised Due Date]]&lt;&gt;"",Main[[#This Row],[In Stock Date]]&lt;&gt;""),Main[[#This Row],[In Stock Date]]-Main[[#This Row],[Revised Due Date]],""))</f>
        <v/>
      </c>
      <c r="I1251" s="101" t="s">
        <v>4</v>
      </c>
      <c r="J1251" s="95" t="s">
        <v>4</v>
      </c>
      <c r="K1251" s="95" t="s">
        <v>4</v>
      </c>
      <c r="L1251" s="85"/>
      <c r="M1251" s="73" t="str">
        <f>IF(Main[[#This Row],[Tech Start Date]]&lt;1/1/1990,"",IF(Main[[#This Row],[Class]]="C",WORKDAY(Main[[#This Row],[Tech Start Date]],9),IF(Main[[#This Row],[Class]]="B", WORKDAY(Main[[#This Row],[Tech Start Date]],6),IF(Main[[#This Row],[Class]]="A",WORKDAY(Main[[#This Row],[Tech Start Date]],2),""))))</f>
        <v/>
      </c>
      <c r="N1251" s="73" t="str">
        <f>IF(Main[[#This Row],[Tech Start Date]]&lt;1/1/1990,"",IF(Main[[#This Row],[Class]]="C",WORKDAY(Main[[#This Row],[Tech Start Date]],19),IF(Main[[#This Row],[Class]]="B", WORKDAY(Main[[#This Row],[Tech Start Date]],12),IF(Main[[#This Row],[Class]]="A",WORKDAY(Main[[#This Row],[Tech Start Date]],4),""))))</f>
        <v/>
      </c>
      <c r="O1251" s="73" t="str">
        <f>IF(Main[[#This Row],[Tech Start Date]]&lt;1/1/1990,"",IF(Main[[#This Row],[Class]]="C",WORKDAY(Main[[#This Row],[Tech Start Date]],23),IF(Main[[#This Row],[Class]]="B", WORKDAY(Main[[#This Row],[Tech Start Date]],15),IF(Main[[#This Row],[Class]]="A",WORKDAY(Main[[#This Row],[Tech Start Date]],5),""))))</f>
        <v/>
      </c>
      <c r="P1251" s="73" t="str">
        <f>IF(Main[[#This Row],[Tech Start Date]]&lt;1/1/1990,"",IF(Main[[#This Row],[Class]]="C",WORKDAY(Main[[#This Row],[Tech Start Date]],28),IF(Main[[#This Row],[Class]]="B", WORKDAY(Main[[#This Row],[Tech Start Date]],19),IF(Main[[#This Row],[Class]]="A",WORKDAY(Main[[#This Row],[Tech Start Date]],9),""))))</f>
        <v/>
      </c>
      <c r="Q1251" s="85">
        <v>40989</v>
      </c>
      <c r="R1251" s="112"/>
      <c r="S1251" s="95" t="s">
        <v>11</v>
      </c>
      <c r="T1251" s="74" t="s">
        <v>4</v>
      </c>
      <c r="U1251" s="95" t="s">
        <v>7</v>
      </c>
      <c r="V1251" s="95" t="s">
        <v>1914</v>
      </c>
      <c r="W1251" s="95" t="s">
        <v>1919</v>
      </c>
      <c r="X1251" s="95" t="s">
        <v>2823</v>
      </c>
      <c r="Y1251" s="72" t="s">
        <v>3924</v>
      </c>
      <c r="Z1251" s="72" t="s">
        <v>4</v>
      </c>
      <c r="AA1251" s="95" t="s">
        <v>2823</v>
      </c>
      <c r="AB1251" s="132"/>
      <c r="AC1251" s="132"/>
      <c r="AD1251" s="132"/>
      <c r="AE1251" s="63"/>
      <c r="AF1251" s="63"/>
      <c r="AG1251" s="63"/>
    </row>
    <row r="1252" spans="1:33" ht="17.2" customHeight="1">
      <c r="A1252" s="64" t="str">
        <f>IF(priority(Main[[#This Row],[Comments]])&lt;&gt;0, priority(Main[[#This Row],[Comments]]),"")</f>
        <v/>
      </c>
      <c r="B1252" s="60" t="s">
        <v>2757</v>
      </c>
      <c r="C1252" s="72" t="s">
        <v>47</v>
      </c>
      <c r="D1252" s="59" t="s">
        <v>2758</v>
      </c>
      <c r="E1252" s="85"/>
      <c r="F1252" s="85"/>
      <c r="G1252" s="64" t="str">
        <f>IF(stdProdLT(Main[[#This Row],[Comments]])=0.1,"N/A",IF(stdProdLT(Main[[#This Row],[Comments]])=0,"",TRIM(stdProdLT(Main[[#This Row],[Comments]]))))</f>
        <v/>
      </c>
      <c r="H1252" s="94" t="str">
        <f>IF(OR(Main[[#This Row],[Std. Prod. Lead Time]]="N/A",Main[[#This Row],[Std. Prod. Lead Time]]=""), "",IF(AND(Main[[#This Row],[In Stock Date]]&lt;&gt;"",Main[[#This Row],[Revised Due Date]]&lt;&gt;"",Main[[#This Row],[In Stock Date]]&lt;&gt;""),Main[[#This Row],[In Stock Date]]-Main[[#This Row],[Revised Due Date]],""))</f>
        <v/>
      </c>
      <c r="I1252" s="101" t="s">
        <v>4</v>
      </c>
      <c r="J1252" s="95" t="s">
        <v>4</v>
      </c>
      <c r="K1252" s="96" t="s">
        <v>4</v>
      </c>
      <c r="L1252" s="85"/>
      <c r="M1252" s="73" t="str">
        <f>IF(Main[[#This Row],[Tech Start Date]]&lt;1/1/1990,"",IF(Main[[#This Row],[Class]]="C",WORKDAY(Main[[#This Row],[Tech Start Date]],9),IF(Main[[#This Row],[Class]]="B", WORKDAY(Main[[#This Row],[Tech Start Date]],6),IF(Main[[#This Row],[Class]]="A",WORKDAY(Main[[#This Row],[Tech Start Date]],2),""))))</f>
        <v/>
      </c>
      <c r="N1252" s="73" t="str">
        <f>IF(Main[[#This Row],[Tech Start Date]]&lt;1/1/1990,"",IF(Main[[#This Row],[Class]]="C",WORKDAY(Main[[#This Row],[Tech Start Date]],19),IF(Main[[#This Row],[Class]]="B", WORKDAY(Main[[#This Row],[Tech Start Date]],12),IF(Main[[#This Row],[Class]]="A",WORKDAY(Main[[#This Row],[Tech Start Date]],4),""))))</f>
        <v/>
      </c>
      <c r="O1252" s="73" t="str">
        <f>IF(Main[[#This Row],[Tech Start Date]]&lt;1/1/1990,"",IF(Main[[#This Row],[Class]]="C",WORKDAY(Main[[#This Row],[Tech Start Date]],23),IF(Main[[#This Row],[Class]]="B", WORKDAY(Main[[#This Row],[Tech Start Date]],15),IF(Main[[#This Row],[Class]]="A",WORKDAY(Main[[#This Row],[Tech Start Date]],5),""))))</f>
        <v/>
      </c>
      <c r="P1252" s="73" t="str">
        <f>IF(Main[[#This Row],[Tech Start Date]]&lt;1/1/1990,"",IF(Main[[#This Row],[Class]]="C",WORKDAY(Main[[#This Row],[Tech Start Date]],28),IF(Main[[#This Row],[Class]]="B", WORKDAY(Main[[#This Row],[Tech Start Date]],19),IF(Main[[#This Row],[Class]]="A",WORKDAY(Main[[#This Row],[Tech Start Date]],9),""))))</f>
        <v/>
      </c>
      <c r="Q1252" s="85">
        <v>40907</v>
      </c>
      <c r="R1252" s="112"/>
      <c r="S1252" s="95" t="s">
        <v>6</v>
      </c>
      <c r="T1252" s="74" t="s">
        <v>4</v>
      </c>
      <c r="U1252" s="95" t="s">
        <v>12</v>
      </c>
      <c r="V1252" s="95" t="s">
        <v>1914</v>
      </c>
      <c r="W1252" s="95" t="s">
        <v>4</v>
      </c>
      <c r="X1252" s="95" t="s">
        <v>2845</v>
      </c>
      <c r="Y1252" s="72" t="s">
        <v>2988</v>
      </c>
      <c r="Z1252" s="72" t="s">
        <v>4</v>
      </c>
      <c r="AA1252" s="95" t="s">
        <v>2845</v>
      </c>
      <c r="AB1252" s="132"/>
      <c r="AC1252" s="132"/>
      <c r="AD1252" s="132"/>
      <c r="AE1252" s="63"/>
      <c r="AF1252" s="63"/>
      <c r="AG1252" s="63"/>
    </row>
    <row r="1253" spans="1:33" ht="17.2" customHeight="1">
      <c r="A1253" s="64" t="str">
        <f>IF(priority(Main[[#This Row],[Comments]])&lt;&gt;0, priority(Main[[#This Row],[Comments]]),"")</f>
        <v/>
      </c>
      <c r="B1253" s="60" t="s">
        <v>1822</v>
      </c>
      <c r="C1253" s="72" t="s">
        <v>47</v>
      </c>
      <c r="D1253" s="59" t="s">
        <v>875</v>
      </c>
      <c r="E1253" s="85"/>
      <c r="F1253" s="85"/>
      <c r="G1253" s="64" t="str">
        <f>IF(stdProdLT(Main[[#This Row],[Comments]])=0.1,"N/A",IF(stdProdLT(Main[[#This Row],[Comments]])=0,"",TRIM(stdProdLT(Main[[#This Row],[Comments]]))))</f>
        <v/>
      </c>
      <c r="H1253" s="94" t="str">
        <f>IF(OR(Main[[#This Row],[Std. Prod. Lead Time]]="N/A",Main[[#This Row],[Std. Prod. Lead Time]]=""), "",IF(AND(Main[[#This Row],[In Stock Date]]&lt;&gt;"",Main[[#This Row],[Revised Due Date]]&lt;&gt;"",Main[[#This Row],[In Stock Date]]&lt;&gt;""),Main[[#This Row],[In Stock Date]]-Main[[#This Row],[Revised Due Date]],""))</f>
        <v/>
      </c>
      <c r="I1253" s="101" t="s">
        <v>4</v>
      </c>
      <c r="J1253" s="95" t="s">
        <v>4</v>
      </c>
      <c r="K1253" s="95" t="s">
        <v>1923</v>
      </c>
      <c r="L1253" s="85"/>
      <c r="M1253" s="73" t="str">
        <f>IF(Main[[#This Row],[Tech Start Date]]&lt;1/1/1990,"",IF(Main[[#This Row],[Class]]="C",WORKDAY(Main[[#This Row],[Tech Start Date]],9),IF(Main[[#This Row],[Class]]="B", WORKDAY(Main[[#This Row],[Tech Start Date]],6),IF(Main[[#This Row],[Class]]="A",WORKDAY(Main[[#This Row],[Tech Start Date]],2),""))))</f>
        <v/>
      </c>
      <c r="N1253" s="73" t="str">
        <f>IF(Main[[#This Row],[Tech Start Date]]&lt;1/1/1990,"",IF(Main[[#This Row],[Class]]="C",WORKDAY(Main[[#This Row],[Tech Start Date]],19),IF(Main[[#This Row],[Class]]="B", WORKDAY(Main[[#This Row],[Tech Start Date]],12),IF(Main[[#This Row],[Class]]="A",WORKDAY(Main[[#This Row],[Tech Start Date]],4),""))))</f>
        <v/>
      </c>
      <c r="O1253" s="73" t="str">
        <f>IF(Main[[#This Row],[Tech Start Date]]&lt;1/1/1990,"",IF(Main[[#This Row],[Class]]="C",WORKDAY(Main[[#This Row],[Tech Start Date]],23),IF(Main[[#This Row],[Class]]="B", WORKDAY(Main[[#This Row],[Tech Start Date]],15),IF(Main[[#This Row],[Class]]="A",WORKDAY(Main[[#This Row],[Tech Start Date]],5),""))))</f>
        <v/>
      </c>
      <c r="P1253" s="73" t="str">
        <f>IF(Main[[#This Row],[Tech Start Date]]&lt;1/1/1990,"",IF(Main[[#This Row],[Class]]="C",WORKDAY(Main[[#This Row],[Tech Start Date]],28),IF(Main[[#This Row],[Class]]="B", WORKDAY(Main[[#This Row],[Tech Start Date]],19),IF(Main[[#This Row],[Class]]="A",WORKDAY(Main[[#This Row],[Tech Start Date]],9),""))))</f>
        <v/>
      </c>
      <c r="Q1253" s="85"/>
      <c r="R1253" s="112">
        <v>40359</v>
      </c>
      <c r="S1253" s="95" t="s">
        <v>17</v>
      </c>
      <c r="T1253" s="74" t="s">
        <v>4</v>
      </c>
      <c r="U1253" s="95" t="s">
        <v>14</v>
      </c>
      <c r="V1253" s="95" t="s">
        <v>1911</v>
      </c>
      <c r="W1253" s="95" t="s">
        <v>1916</v>
      </c>
      <c r="X1253" s="95" t="s">
        <v>2801</v>
      </c>
      <c r="Y1253" s="72" t="s">
        <v>2914</v>
      </c>
      <c r="Z1253" s="72" t="s">
        <v>4</v>
      </c>
      <c r="AA1253" s="95" t="s">
        <v>2801</v>
      </c>
      <c r="AB1253" s="132"/>
      <c r="AC1253" s="132"/>
      <c r="AD1253" s="132"/>
      <c r="AE1253" s="63"/>
      <c r="AF1253" s="63"/>
      <c r="AG1253" s="63"/>
    </row>
    <row r="1254" spans="1:33" ht="17.2" customHeight="1">
      <c r="A1254" s="64" t="str">
        <f>IF(priority(Main[[#This Row],[Comments]])&lt;&gt;0, priority(Main[[#This Row],[Comments]]),"")</f>
        <v/>
      </c>
      <c r="B1254" s="60" t="s">
        <v>1632</v>
      </c>
      <c r="C1254" s="72" t="s">
        <v>4</v>
      </c>
      <c r="D1254" s="59" t="s">
        <v>706</v>
      </c>
      <c r="E1254" s="85"/>
      <c r="F1254" s="85"/>
      <c r="G1254" s="64" t="str">
        <f>IF(stdProdLT(Main[[#This Row],[Comments]])=0.1,"N/A",IF(stdProdLT(Main[[#This Row],[Comments]])=0,"",TRIM(stdProdLT(Main[[#This Row],[Comments]]))))</f>
        <v/>
      </c>
      <c r="H1254" s="94" t="str">
        <f>IF(OR(Main[[#This Row],[Std. Prod. Lead Time]]="N/A",Main[[#This Row],[Std. Prod. Lead Time]]=""), "",IF(AND(Main[[#This Row],[In Stock Date]]&lt;&gt;"",Main[[#This Row],[Revised Due Date]]&lt;&gt;"",Main[[#This Row],[In Stock Date]]&lt;&gt;""),Main[[#This Row],[In Stock Date]]-Main[[#This Row],[Revised Due Date]],""))</f>
        <v/>
      </c>
      <c r="I1254" s="101" t="s">
        <v>4</v>
      </c>
      <c r="J1254" s="95" t="s">
        <v>28</v>
      </c>
      <c r="K1254" s="95" t="s">
        <v>1920</v>
      </c>
      <c r="L1254" s="85"/>
      <c r="M1254" s="73" t="str">
        <f>IF(Main[[#This Row],[Tech Start Date]]&lt;1/1/1990,"",IF(Main[[#This Row],[Class]]="C",WORKDAY(Main[[#This Row],[Tech Start Date]],9),IF(Main[[#This Row],[Class]]="B", WORKDAY(Main[[#This Row],[Tech Start Date]],6),IF(Main[[#This Row],[Class]]="A",WORKDAY(Main[[#This Row],[Tech Start Date]],2),""))))</f>
        <v/>
      </c>
      <c r="N1254" s="73" t="str">
        <f>IF(Main[[#This Row],[Tech Start Date]]&lt;1/1/1990,"",IF(Main[[#This Row],[Class]]="C",WORKDAY(Main[[#This Row],[Tech Start Date]],19),IF(Main[[#This Row],[Class]]="B", WORKDAY(Main[[#This Row],[Tech Start Date]],12),IF(Main[[#This Row],[Class]]="A",WORKDAY(Main[[#This Row],[Tech Start Date]],4),""))))</f>
        <v/>
      </c>
      <c r="O1254" s="73" t="str">
        <f>IF(Main[[#This Row],[Tech Start Date]]&lt;1/1/1990,"",IF(Main[[#This Row],[Class]]="C",WORKDAY(Main[[#This Row],[Tech Start Date]],23),IF(Main[[#This Row],[Class]]="B", WORKDAY(Main[[#This Row],[Tech Start Date]],15),IF(Main[[#This Row],[Class]]="A",WORKDAY(Main[[#This Row],[Tech Start Date]],5),""))))</f>
        <v/>
      </c>
      <c r="P1254" s="73" t="str">
        <f>IF(Main[[#This Row],[Tech Start Date]]&lt;1/1/1990,"",IF(Main[[#This Row],[Class]]="C",WORKDAY(Main[[#This Row],[Tech Start Date]],28),IF(Main[[#This Row],[Class]]="B", WORKDAY(Main[[#This Row],[Tech Start Date]],19),IF(Main[[#This Row],[Class]]="A",WORKDAY(Main[[#This Row],[Tech Start Date]],9),""))))</f>
        <v/>
      </c>
      <c r="Q1254" s="85"/>
      <c r="R1254" s="112"/>
      <c r="S1254" s="95" t="s">
        <v>6</v>
      </c>
      <c r="T1254" s="74" t="s">
        <v>4</v>
      </c>
      <c r="U1254" s="95" t="s">
        <v>14</v>
      </c>
      <c r="V1254" s="95" t="s">
        <v>1911</v>
      </c>
      <c r="W1254" s="95" t="s">
        <v>1915</v>
      </c>
      <c r="X1254" s="95" t="s">
        <v>306</v>
      </c>
      <c r="Y1254" s="72" t="s">
        <v>3111</v>
      </c>
      <c r="Z1254" s="72" t="s">
        <v>129</v>
      </c>
      <c r="AA1254" s="95" t="s">
        <v>3418</v>
      </c>
      <c r="AB1254" s="132"/>
      <c r="AC1254" s="132"/>
      <c r="AD1254" s="132"/>
      <c r="AE1254" s="63"/>
      <c r="AF1254" s="63"/>
      <c r="AG1254" s="63"/>
    </row>
    <row r="1255" spans="1:33" ht="17.2" customHeight="1">
      <c r="A1255" s="64" t="str">
        <f>IF(priority(Main[[#This Row],[Comments]])&lt;&gt;0, priority(Main[[#This Row],[Comments]]),"")</f>
        <v/>
      </c>
      <c r="B1255" s="60" t="s">
        <v>3635</v>
      </c>
      <c r="C1255" s="72" t="s">
        <v>4</v>
      </c>
      <c r="D1255" s="59" t="s">
        <v>3636</v>
      </c>
      <c r="E1255" s="85"/>
      <c r="F1255" s="85"/>
      <c r="G1255" s="64" t="str">
        <f>IF(stdProdLT(Main[[#This Row],[Comments]])=0.1,"N/A",IF(stdProdLT(Main[[#This Row],[Comments]])=0,"",TRIM(stdProdLT(Main[[#This Row],[Comments]]))))</f>
        <v/>
      </c>
      <c r="H1255" s="94" t="str">
        <f>IF(OR(Main[[#This Row],[Std. Prod. Lead Time]]="N/A",Main[[#This Row],[Std. Prod. Lead Time]]=""), "",IF(AND(Main[[#This Row],[In Stock Date]]&lt;&gt;"",Main[[#This Row],[Revised Due Date]]&lt;&gt;"",Main[[#This Row],[In Stock Date]]&lt;&gt;""),Main[[#This Row],[In Stock Date]]-Main[[#This Row],[Revised Due Date]],""))</f>
        <v/>
      </c>
      <c r="I1255" s="101" t="s">
        <v>4</v>
      </c>
      <c r="J1255" s="95" t="s">
        <v>28</v>
      </c>
      <c r="K1255" s="95" t="s">
        <v>4</v>
      </c>
      <c r="L1255" s="85"/>
      <c r="M1255" s="73" t="str">
        <f>IF(Main[[#This Row],[Tech Start Date]]&lt;1/1/1990,"",IF(Main[[#This Row],[Class]]="C",WORKDAY(Main[[#This Row],[Tech Start Date]],9),IF(Main[[#This Row],[Class]]="B", WORKDAY(Main[[#This Row],[Tech Start Date]],6),IF(Main[[#This Row],[Class]]="A",WORKDAY(Main[[#This Row],[Tech Start Date]],2),""))))</f>
        <v/>
      </c>
      <c r="N1255" s="73" t="str">
        <f>IF(Main[[#This Row],[Tech Start Date]]&lt;1/1/1990,"",IF(Main[[#This Row],[Class]]="C",WORKDAY(Main[[#This Row],[Tech Start Date]],19),IF(Main[[#This Row],[Class]]="B", WORKDAY(Main[[#This Row],[Tech Start Date]],12),IF(Main[[#This Row],[Class]]="A",WORKDAY(Main[[#This Row],[Tech Start Date]],4),""))))</f>
        <v/>
      </c>
      <c r="O1255" s="73" t="str">
        <f>IF(Main[[#This Row],[Tech Start Date]]&lt;1/1/1990,"",IF(Main[[#This Row],[Class]]="C",WORKDAY(Main[[#This Row],[Tech Start Date]],23),IF(Main[[#This Row],[Class]]="B", WORKDAY(Main[[#This Row],[Tech Start Date]],15),IF(Main[[#This Row],[Class]]="A",WORKDAY(Main[[#This Row],[Tech Start Date]],5),""))))</f>
        <v/>
      </c>
      <c r="P1255" s="73" t="str">
        <f>IF(Main[[#This Row],[Tech Start Date]]&lt;1/1/1990,"",IF(Main[[#This Row],[Class]]="C",WORKDAY(Main[[#This Row],[Tech Start Date]],28),IF(Main[[#This Row],[Class]]="B", WORKDAY(Main[[#This Row],[Tech Start Date]],19),IF(Main[[#This Row],[Class]]="A",WORKDAY(Main[[#This Row],[Tech Start Date]],9),""))))</f>
        <v/>
      </c>
      <c r="Q1255" s="85">
        <v>40724</v>
      </c>
      <c r="R1255" s="112"/>
      <c r="S1255" s="95" t="s">
        <v>17</v>
      </c>
      <c r="T1255" s="74" t="s">
        <v>2455</v>
      </c>
      <c r="U1255" s="95" t="s">
        <v>12</v>
      </c>
      <c r="V1255" s="95" t="s">
        <v>1911</v>
      </c>
      <c r="W1255" s="95" t="s">
        <v>1916</v>
      </c>
      <c r="X1255" s="95" t="s">
        <v>129</v>
      </c>
      <c r="Y1255" s="72" t="s">
        <v>2911</v>
      </c>
      <c r="Z1255" s="72" t="s">
        <v>129</v>
      </c>
      <c r="AA1255" s="95" t="s">
        <v>129</v>
      </c>
      <c r="AB1255" s="132"/>
      <c r="AC1255" s="132"/>
      <c r="AD1255" s="132"/>
      <c r="AE1255" s="63"/>
      <c r="AF1255" s="63"/>
      <c r="AG1255" s="63"/>
    </row>
    <row r="1256" spans="1:33" ht="17.2" customHeight="1">
      <c r="A1256" s="64" t="str">
        <f>IF(priority(Main[[#This Row],[Comments]])&lt;&gt;0, priority(Main[[#This Row],[Comments]]),"")</f>
        <v/>
      </c>
      <c r="B1256" s="60" t="s">
        <v>4057</v>
      </c>
      <c r="C1256" s="72" t="s">
        <v>2730</v>
      </c>
      <c r="D1256" s="59" t="s">
        <v>4058</v>
      </c>
      <c r="E1256" s="85">
        <v>40975.648240740738</v>
      </c>
      <c r="F1256" s="85"/>
      <c r="G1256" s="64" t="str">
        <f>IF(stdProdLT(Main[[#This Row],[Comments]])=0.1,"N/A",IF(stdProdLT(Main[[#This Row],[Comments]])=0,"",TRIM(stdProdLT(Main[[#This Row],[Comments]]))))</f>
        <v/>
      </c>
      <c r="H1256" s="94" t="str">
        <f>IF(OR(Main[[#This Row],[Std. Prod. Lead Time]]="N/A",Main[[#This Row],[Std. Prod. Lead Time]]=""), "",IF(AND(Main[[#This Row],[In Stock Date]]&lt;&gt;"",Main[[#This Row],[Revised Due Date]]&lt;&gt;"",Main[[#This Row],[In Stock Date]]&lt;&gt;""),Main[[#This Row],[In Stock Date]]-Main[[#This Row],[Revised Due Date]],""))</f>
        <v/>
      </c>
      <c r="I1256" s="101" t="s">
        <v>4</v>
      </c>
      <c r="J1256" s="95" t="s">
        <v>4</v>
      </c>
      <c r="K1256" s="95" t="s">
        <v>4</v>
      </c>
      <c r="L1256" s="85"/>
      <c r="M1256" s="73" t="str">
        <f>IF(Main[[#This Row],[Tech Start Date]]&lt;1/1/1990,"",IF(Main[[#This Row],[Class]]="C",WORKDAY(Main[[#This Row],[Tech Start Date]],9),IF(Main[[#This Row],[Class]]="B", WORKDAY(Main[[#This Row],[Tech Start Date]],6),IF(Main[[#This Row],[Class]]="A",WORKDAY(Main[[#This Row],[Tech Start Date]],2),""))))</f>
        <v/>
      </c>
      <c r="N1256" s="73" t="str">
        <f>IF(Main[[#This Row],[Tech Start Date]]&lt;1/1/1990,"",IF(Main[[#This Row],[Class]]="C",WORKDAY(Main[[#This Row],[Tech Start Date]],19),IF(Main[[#This Row],[Class]]="B", WORKDAY(Main[[#This Row],[Tech Start Date]],12),IF(Main[[#This Row],[Class]]="A",WORKDAY(Main[[#This Row],[Tech Start Date]],4),""))))</f>
        <v/>
      </c>
      <c r="O1256" s="73" t="str">
        <f>IF(Main[[#This Row],[Tech Start Date]]&lt;1/1/1990,"",IF(Main[[#This Row],[Class]]="C",WORKDAY(Main[[#This Row],[Tech Start Date]],23),IF(Main[[#This Row],[Class]]="B", WORKDAY(Main[[#This Row],[Tech Start Date]],15),IF(Main[[#This Row],[Class]]="A",WORKDAY(Main[[#This Row],[Tech Start Date]],5),""))))</f>
        <v/>
      </c>
      <c r="P1256" s="73" t="str">
        <f>IF(Main[[#This Row],[Tech Start Date]]&lt;1/1/1990,"",IF(Main[[#This Row],[Class]]="C",WORKDAY(Main[[#This Row],[Tech Start Date]],28),IF(Main[[#This Row],[Class]]="B", WORKDAY(Main[[#This Row],[Tech Start Date]],19),IF(Main[[#This Row],[Class]]="A",WORKDAY(Main[[#This Row],[Tech Start Date]],9),""))))</f>
        <v/>
      </c>
      <c r="Q1256" s="85"/>
      <c r="R1256" s="112"/>
      <c r="S1256" s="95" t="s">
        <v>11</v>
      </c>
      <c r="T1256" s="74" t="s">
        <v>4</v>
      </c>
      <c r="U1256" s="95" t="s">
        <v>7</v>
      </c>
      <c r="V1256" s="95" t="s">
        <v>1914</v>
      </c>
      <c r="W1256" s="95" t="s">
        <v>1919</v>
      </c>
      <c r="X1256" s="95" t="s">
        <v>50</v>
      </c>
      <c r="Y1256" s="72" t="s">
        <v>4</v>
      </c>
      <c r="Z1256" s="72" t="s">
        <v>4</v>
      </c>
      <c r="AA1256" s="95" t="s">
        <v>4</v>
      </c>
      <c r="AB1256" s="132"/>
      <c r="AC1256" s="132"/>
      <c r="AD1256" s="132"/>
      <c r="AE1256" s="63"/>
      <c r="AF1256" s="63"/>
      <c r="AG1256" s="63"/>
    </row>
    <row r="1257" spans="1:33" ht="17.2" customHeight="1">
      <c r="A1257" s="64" t="str">
        <f>IF(priority(Main[[#This Row],[Comments]])&lt;&gt;0, priority(Main[[#This Row],[Comments]]),"")</f>
        <v/>
      </c>
      <c r="B1257" s="60" t="s">
        <v>3637</v>
      </c>
      <c r="C1257" s="72" t="s">
        <v>3548</v>
      </c>
      <c r="D1257" s="59" t="s">
        <v>3638</v>
      </c>
      <c r="E1257" s="85">
        <v>40960.202187499999</v>
      </c>
      <c r="F1257" s="85">
        <v>41146</v>
      </c>
      <c r="G1257" s="64" t="str">
        <f>IF(stdProdLT(Main[[#This Row],[Comments]])=0.1,"N/A",IF(stdProdLT(Main[[#This Row],[Comments]])=0,"",TRIM(stdProdLT(Main[[#This Row],[Comments]]))))</f>
        <v>126</v>
      </c>
      <c r="H1257" s="94" t="str">
        <f>IF(OR(Main[[#This Row],[Std. Prod. Lead Time]]="N/A",Main[[#This Row],[Std. Prod. Lead Time]]=""), "",IF(AND(Main[[#This Row],[In Stock Date]]&lt;&gt;"",Main[[#This Row],[Revised Due Date]]&lt;&gt;"",Main[[#This Row],[In Stock Date]]&lt;&gt;""),Main[[#This Row],[In Stock Date]]-Main[[#This Row],[Revised Due Date]],""))</f>
        <v/>
      </c>
      <c r="I1257" s="101" t="s">
        <v>4</v>
      </c>
      <c r="J1257" s="95" t="s">
        <v>4</v>
      </c>
      <c r="K1257" s="95" t="s">
        <v>4</v>
      </c>
      <c r="L1257" s="85"/>
      <c r="M1257" s="73" t="str">
        <f>IF(Main[[#This Row],[Tech Start Date]]&lt;1/1/1990,"",IF(Main[[#This Row],[Class]]="C",WORKDAY(Main[[#This Row],[Tech Start Date]],9),IF(Main[[#This Row],[Class]]="B", WORKDAY(Main[[#This Row],[Tech Start Date]],6),IF(Main[[#This Row],[Class]]="A",WORKDAY(Main[[#This Row],[Tech Start Date]],2),""))))</f>
        <v/>
      </c>
      <c r="N1257" s="73" t="str">
        <f>IF(Main[[#This Row],[Tech Start Date]]&lt;1/1/1990,"",IF(Main[[#This Row],[Class]]="C",WORKDAY(Main[[#This Row],[Tech Start Date]],19),IF(Main[[#This Row],[Class]]="B", WORKDAY(Main[[#This Row],[Tech Start Date]],12),IF(Main[[#This Row],[Class]]="A",WORKDAY(Main[[#This Row],[Tech Start Date]],4),""))))</f>
        <v/>
      </c>
      <c r="O1257" s="73" t="str">
        <f>IF(Main[[#This Row],[Tech Start Date]]&lt;1/1/1990,"",IF(Main[[#This Row],[Class]]="C",WORKDAY(Main[[#This Row],[Tech Start Date]],23),IF(Main[[#This Row],[Class]]="B", WORKDAY(Main[[#This Row],[Tech Start Date]],15),IF(Main[[#This Row],[Class]]="A",WORKDAY(Main[[#This Row],[Tech Start Date]],5),""))))</f>
        <v/>
      </c>
      <c r="P1257" s="73" t="str">
        <f>IF(Main[[#This Row],[Tech Start Date]]&lt;1/1/1990,"",IF(Main[[#This Row],[Class]]="C",WORKDAY(Main[[#This Row],[Tech Start Date]],28),IF(Main[[#This Row],[Class]]="B", WORKDAY(Main[[#This Row],[Tech Start Date]],19),IF(Main[[#This Row],[Class]]="A",WORKDAY(Main[[#This Row],[Tech Start Date]],9),""))))</f>
        <v/>
      </c>
      <c r="Q1257" s="85"/>
      <c r="R1257" s="112"/>
      <c r="S1257" s="95" t="s">
        <v>11</v>
      </c>
      <c r="T1257" s="74" t="s">
        <v>3639</v>
      </c>
      <c r="U1257" s="95" t="s">
        <v>694</v>
      </c>
      <c r="V1257" s="95" t="s">
        <v>1914</v>
      </c>
      <c r="W1257" s="95" t="s">
        <v>1916</v>
      </c>
      <c r="X1257" s="95" t="s">
        <v>2873</v>
      </c>
      <c r="Y1257" s="72" t="s">
        <v>3033</v>
      </c>
      <c r="Z1257" s="72" t="s">
        <v>4</v>
      </c>
      <c r="AA1257" s="95" t="s">
        <v>2873</v>
      </c>
      <c r="AB1257" s="132"/>
      <c r="AC1257" s="132"/>
      <c r="AD1257" s="132"/>
      <c r="AE1257" s="63"/>
      <c r="AF1257" s="63"/>
      <c r="AG1257" s="63"/>
    </row>
    <row r="1258" spans="1:33" ht="17.2" customHeight="1">
      <c r="A1258" s="64" t="str">
        <f>IF(priority(Main[[#This Row],[Comments]])&lt;&gt;0, priority(Main[[#This Row],[Comments]]),"")</f>
        <v/>
      </c>
      <c r="B1258" s="60" t="s">
        <v>3824</v>
      </c>
      <c r="C1258" s="72" t="s">
        <v>31</v>
      </c>
      <c r="D1258" s="59" t="s">
        <v>3821</v>
      </c>
      <c r="E1258" s="85"/>
      <c r="F1258" s="85">
        <v>41000</v>
      </c>
      <c r="G1258" s="64" t="str">
        <f>IF(stdProdLT(Main[[#This Row],[Comments]])=0.1,"N/A",IF(stdProdLT(Main[[#This Row],[Comments]])=0,"",TRIM(stdProdLT(Main[[#This Row],[Comments]]))))</f>
        <v/>
      </c>
      <c r="H1258" s="94" t="str">
        <f>IF(OR(Main[[#This Row],[Std. Prod. Lead Time]]="N/A",Main[[#This Row],[Std. Prod. Lead Time]]=""), "",IF(AND(Main[[#This Row],[In Stock Date]]&lt;&gt;"",Main[[#This Row],[Revised Due Date]]&lt;&gt;"",Main[[#This Row],[In Stock Date]]&lt;&gt;""),Main[[#This Row],[In Stock Date]]-Main[[#This Row],[Revised Due Date]],""))</f>
        <v/>
      </c>
      <c r="I1258" s="101" t="s">
        <v>4</v>
      </c>
      <c r="J1258" s="95" t="s">
        <v>75</v>
      </c>
      <c r="K1258" s="95" t="s">
        <v>4</v>
      </c>
      <c r="L1258" s="85"/>
      <c r="M1258" s="73" t="str">
        <f>IF(Main[[#This Row],[Tech Start Date]]&lt;1/1/1990,"",IF(Main[[#This Row],[Class]]="C",WORKDAY(Main[[#This Row],[Tech Start Date]],9),IF(Main[[#This Row],[Class]]="B", WORKDAY(Main[[#This Row],[Tech Start Date]],6),IF(Main[[#This Row],[Class]]="A",WORKDAY(Main[[#This Row],[Tech Start Date]],2),""))))</f>
        <v/>
      </c>
      <c r="N1258" s="73" t="str">
        <f>IF(Main[[#This Row],[Tech Start Date]]&lt;1/1/1990,"",IF(Main[[#This Row],[Class]]="C",WORKDAY(Main[[#This Row],[Tech Start Date]],19),IF(Main[[#This Row],[Class]]="B", WORKDAY(Main[[#This Row],[Tech Start Date]],12),IF(Main[[#This Row],[Class]]="A",WORKDAY(Main[[#This Row],[Tech Start Date]],4),""))))</f>
        <v/>
      </c>
      <c r="O1258" s="73" t="str">
        <f>IF(Main[[#This Row],[Tech Start Date]]&lt;1/1/1990,"",IF(Main[[#This Row],[Class]]="C",WORKDAY(Main[[#This Row],[Tech Start Date]],23),IF(Main[[#This Row],[Class]]="B", WORKDAY(Main[[#This Row],[Tech Start Date]],15),IF(Main[[#This Row],[Class]]="A",WORKDAY(Main[[#This Row],[Tech Start Date]],5),""))))</f>
        <v/>
      </c>
      <c r="P1258" s="73" t="str">
        <f>IF(Main[[#This Row],[Tech Start Date]]&lt;1/1/1990,"",IF(Main[[#This Row],[Class]]="C",WORKDAY(Main[[#This Row],[Tech Start Date]],28),IF(Main[[#This Row],[Class]]="B", WORKDAY(Main[[#This Row],[Tech Start Date]],19),IF(Main[[#This Row],[Class]]="A",WORKDAY(Main[[#This Row],[Tech Start Date]],9),""))))</f>
        <v/>
      </c>
      <c r="Q1258" s="85">
        <v>41000</v>
      </c>
      <c r="R1258" s="112"/>
      <c r="S1258" s="95" t="s">
        <v>11</v>
      </c>
      <c r="T1258" s="74" t="s">
        <v>4</v>
      </c>
      <c r="U1258" s="95" t="s">
        <v>12</v>
      </c>
      <c r="V1258" s="95" t="s">
        <v>1921</v>
      </c>
      <c r="W1258" s="95" t="s">
        <v>1919</v>
      </c>
      <c r="X1258" s="95" t="s">
        <v>2826</v>
      </c>
      <c r="Y1258" s="72" t="s">
        <v>3208</v>
      </c>
      <c r="Z1258" s="72" t="s">
        <v>306</v>
      </c>
      <c r="AA1258" s="95" t="s">
        <v>2826</v>
      </c>
      <c r="AB1258" s="132"/>
      <c r="AC1258" s="132"/>
      <c r="AD1258" s="132"/>
      <c r="AE1258" s="63"/>
      <c r="AF1258" s="63"/>
      <c r="AG1258" s="63"/>
    </row>
    <row r="1259" spans="1:33" ht="17.2" customHeight="1">
      <c r="A1259" s="64" t="str">
        <f>IF(priority(Main[[#This Row],[Comments]])&lt;&gt;0, priority(Main[[#This Row],[Comments]]),"")</f>
        <v/>
      </c>
      <c r="B1259" s="60" t="s">
        <v>2280</v>
      </c>
      <c r="C1259" s="72" t="s">
        <v>4</v>
      </c>
      <c r="D1259" s="59" t="s">
        <v>2714</v>
      </c>
      <c r="E1259" s="85">
        <v>40814.080497685187</v>
      </c>
      <c r="F1259" s="85"/>
      <c r="G1259" s="64" t="str">
        <f>IF(stdProdLT(Main[[#This Row],[Comments]])=0.1,"N/A",IF(stdProdLT(Main[[#This Row],[Comments]])=0,"",TRIM(stdProdLT(Main[[#This Row],[Comments]]))))</f>
        <v/>
      </c>
      <c r="H1259" s="94" t="str">
        <f>IF(OR(Main[[#This Row],[Std. Prod. Lead Time]]="N/A",Main[[#This Row],[Std. Prod. Lead Time]]=""), "",IF(AND(Main[[#This Row],[In Stock Date]]&lt;&gt;"",Main[[#This Row],[Revised Due Date]]&lt;&gt;"",Main[[#This Row],[In Stock Date]]&lt;&gt;""),Main[[#This Row],[In Stock Date]]-Main[[#This Row],[Revised Due Date]],""))</f>
        <v/>
      </c>
      <c r="I1259" s="101" t="s">
        <v>370</v>
      </c>
      <c r="J1259" s="95" t="s">
        <v>28</v>
      </c>
      <c r="K1259" s="95" t="s">
        <v>1920</v>
      </c>
      <c r="L1259" s="85"/>
      <c r="M1259" s="73" t="str">
        <f>IF(Main[[#This Row],[Tech Start Date]]&lt;1/1/1990,"",IF(Main[[#This Row],[Class]]="C",WORKDAY(Main[[#This Row],[Tech Start Date]],9),IF(Main[[#This Row],[Class]]="B", WORKDAY(Main[[#This Row],[Tech Start Date]],6),IF(Main[[#This Row],[Class]]="A",WORKDAY(Main[[#This Row],[Tech Start Date]],2),""))))</f>
        <v/>
      </c>
      <c r="N1259" s="73" t="str">
        <f>IF(Main[[#This Row],[Tech Start Date]]&lt;1/1/1990,"",IF(Main[[#This Row],[Class]]="C",WORKDAY(Main[[#This Row],[Tech Start Date]],19),IF(Main[[#This Row],[Class]]="B", WORKDAY(Main[[#This Row],[Tech Start Date]],12),IF(Main[[#This Row],[Class]]="A",WORKDAY(Main[[#This Row],[Tech Start Date]],4),""))))</f>
        <v/>
      </c>
      <c r="O1259" s="73" t="str">
        <f>IF(Main[[#This Row],[Tech Start Date]]&lt;1/1/1990,"",IF(Main[[#This Row],[Class]]="C",WORKDAY(Main[[#This Row],[Tech Start Date]],23),IF(Main[[#This Row],[Class]]="B", WORKDAY(Main[[#This Row],[Tech Start Date]],15),IF(Main[[#This Row],[Class]]="A",WORKDAY(Main[[#This Row],[Tech Start Date]],5),""))))</f>
        <v/>
      </c>
      <c r="P1259" s="73" t="str">
        <f>IF(Main[[#This Row],[Tech Start Date]]&lt;1/1/1990,"",IF(Main[[#This Row],[Class]]="C",WORKDAY(Main[[#This Row],[Tech Start Date]],28),IF(Main[[#This Row],[Class]]="B", WORKDAY(Main[[#This Row],[Tech Start Date]],19),IF(Main[[#This Row],[Class]]="A",WORKDAY(Main[[#This Row],[Tech Start Date]],9),""))))</f>
        <v/>
      </c>
      <c r="Q1259" s="85">
        <v>40905</v>
      </c>
      <c r="R1259" s="112"/>
      <c r="S1259" s="95" t="s">
        <v>6</v>
      </c>
      <c r="T1259" s="74" t="s">
        <v>4</v>
      </c>
      <c r="U1259" s="95" t="s">
        <v>29</v>
      </c>
      <c r="V1259" s="95" t="s">
        <v>1914</v>
      </c>
      <c r="W1259" s="95" t="s">
        <v>1915</v>
      </c>
      <c r="X1259" s="95" t="s">
        <v>2875</v>
      </c>
      <c r="Y1259" s="72" t="s">
        <v>3038</v>
      </c>
      <c r="Z1259" s="72" t="s">
        <v>30</v>
      </c>
      <c r="AA1259" s="95" t="s">
        <v>2875</v>
      </c>
      <c r="AB1259" s="132"/>
      <c r="AC1259" s="132"/>
      <c r="AD1259" s="132"/>
      <c r="AE1259" s="63"/>
      <c r="AF1259" s="63"/>
      <c r="AG1259" s="63"/>
    </row>
    <row r="1260" spans="1:33" ht="17.2" customHeight="1">
      <c r="A1260" s="64" t="str">
        <f>IF(priority(Main[[#This Row],[Comments]])&lt;&gt;0, priority(Main[[#This Row],[Comments]]),"")</f>
        <v/>
      </c>
      <c r="B1260" s="60" t="s">
        <v>1854</v>
      </c>
      <c r="C1260" s="72" t="s">
        <v>95</v>
      </c>
      <c r="D1260" s="59" t="s">
        <v>913</v>
      </c>
      <c r="E1260" s="85">
        <v>40428.412002314813</v>
      </c>
      <c r="F1260" s="85"/>
      <c r="G1260" s="64" t="str">
        <f>IF(stdProdLT(Main[[#This Row],[Comments]])=0.1,"N/A",IF(stdProdLT(Main[[#This Row],[Comments]])=0,"",TRIM(stdProdLT(Main[[#This Row],[Comments]]))))</f>
        <v/>
      </c>
      <c r="H1260" s="94" t="str">
        <f>IF(OR(Main[[#This Row],[Std. Prod. Lead Time]]="N/A",Main[[#This Row],[Std. Prod. Lead Time]]=""), "",IF(AND(Main[[#This Row],[In Stock Date]]&lt;&gt;"",Main[[#This Row],[Revised Due Date]]&lt;&gt;"",Main[[#This Row],[In Stock Date]]&lt;&gt;""),Main[[#This Row],[In Stock Date]]-Main[[#This Row],[Revised Due Date]],""))</f>
        <v/>
      </c>
      <c r="I1260" s="101" t="s">
        <v>415</v>
      </c>
      <c r="J1260" s="95" t="s">
        <v>28</v>
      </c>
      <c r="K1260" s="95" t="s">
        <v>1923</v>
      </c>
      <c r="L1260" s="85"/>
      <c r="M1260" s="73" t="str">
        <f>IF(Main[[#This Row],[Tech Start Date]]&lt;1/1/1990,"",IF(Main[[#This Row],[Class]]="C",WORKDAY(Main[[#This Row],[Tech Start Date]],9),IF(Main[[#This Row],[Class]]="B", WORKDAY(Main[[#This Row],[Tech Start Date]],6),IF(Main[[#This Row],[Class]]="A",WORKDAY(Main[[#This Row],[Tech Start Date]],2),""))))</f>
        <v/>
      </c>
      <c r="N1260" s="73" t="str">
        <f>IF(Main[[#This Row],[Tech Start Date]]&lt;1/1/1990,"",IF(Main[[#This Row],[Class]]="C",WORKDAY(Main[[#This Row],[Tech Start Date]],19),IF(Main[[#This Row],[Class]]="B", WORKDAY(Main[[#This Row],[Tech Start Date]],12),IF(Main[[#This Row],[Class]]="A",WORKDAY(Main[[#This Row],[Tech Start Date]],4),""))))</f>
        <v/>
      </c>
      <c r="O1260" s="73" t="str">
        <f>IF(Main[[#This Row],[Tech Start Date]]&lt;1/1/1990,"",IF(Main[[#This Row],[Class]]="C",WORKDAY(Main[[#This Row],[Tech Start Date]],23),IF(Main[[#This Row],[Class]]="B", WORKDAY(Main[[#This Row],[Tech Start Date]],15),IF(Main[[#This Row],[Class]]="A",WORKDAY(Main[[#This Row],[Tech Start Date]],5),""))))</f>
        <v/>
      </c>
      <c r="P1260" s="73" t="str">
        <f>IF(Main[[#This Row],[Tech Start Date]]&lt;1/1/1990,"",IF(Main[[#This Row],[Class]]="C",WORKDAY(Main[[#This Row],[Tech Start Date]],28),IF(Main[[#This Row],[Class]]="B", WORKDAY(Main[[#This Row],[Tech Start Date]],19),IF(Main[[#This Row],[Class]]="A",WORKDAY(Main[[#This Row],[Tech Start Date]],9),""))))</f>
        <v/>
      </c>
      <c r="Q1260" s="85">
        <v>40574</v>
      </c>
      <c r="R1260" s="112">
        <v>41046</v>
      </c>
      <c r="S1260" s="95" t="s">
        <v>17</v>
      </c>
      <c r="T1260" s="74" t="s">
        <v>4</v>
      </c>
      <c r="U1260" s="95" t="s">
        <v>29</v>
      </c>
      <c r="V1260" s="95" t="s">
        <v>1914</v>
      </c>
      <c r="W1260" s="95" t="s">
        <v>1917</v>
      </c>
      <c r="X1260" s="95" t="s">
        <v>415</v>
      </c>
      <c r="Y1260" s="72" t="s">
        <v>2953</v>
      </c>
      <c r="Z1260" s="72" t="s">
        <v>968</v>
      </c>
      <c r="AA1260" s="95" t="s">
        <v>415</v>
      </c>
      <c r="AB1260" s="132"/>
      <c r="AC1260" s="132"/>
      <c r="AD1260" s="132"/>
      <c r="AE1260" s="63"/>
      <c r="AF1260" s="63"/>
      <c r="AG1260" s="63"/>
    </row>
    <row r="1261" spans="1:33" ht="17.2" customHeight="1">
      <c r="A1261" s="64" t="str">
        <f>IF(priority(Main[[#This Row],[Comments]])&lt;&gt;0, priority(Main[[#This Row],[Comments]]),"")</f>
        <v/>
      </c>
      <c r="B1261" s="60" t="s">
        <v>3251</v>
      </c>
      <c r="C1261" s="72" t="s">
        <v>4</v>
      </c>
      <c r="D1261" s="59" t="s">
        <v>3252</v>
      </c>
      <c r="E1261" s="85">
        <v>40931.434317129628</v>
      </c>
      <c r="F1261" s="85"/>
      <c r="G1261" s="64" t="str">
        <f>IF(stdProdLT(Main[[#This Row],[Comments]])=0.1,"N/A",IF(stdProdLT(Main[[#This Row],[Comments]])=0,"",TRIM(stdProdLT(Main[[#This Row],[Comments]]))))</f>
        <v/>
      </c>
      <c r="H1261" s="94" t="str">
        <f>IF(OR(Main[[#This Row],[Std. Prod. Lead Time]]="N/A",Main[[#This Row],[Std. Prod. Lead Time]]=""), "",IF(AND(Main[[#This Row],[In Stock Date]]&lt;&gt;"",Main[[#This Row],[Revised Due Date]]&lt;&gt;"",Main[[#This Row],[In Stock Date]]&lt;&gt;""),Main[[#This Row],[In Stock Date]]-Main[[#This Row],[Revised Due Date]],""))</f>
        <v/>
      </c>
      <c r="I1261" s="101" t="s">
        <v>4</v>
      </c>
      <c r="J1261" s="95" t="s">
        <v>4</v>
      </c>
      <c r="K1261" s="95" t="s">
        <v>4</v>
      </c>
      <c r="L1261" s="85"/>
      <c r="M1261" s="73" t="str">
        <f>IF(Main[[#This Row],[Tech Start Date]]&lt;1/1/1990,"",IF(Main[[#This Row],[Class]]="C",WORKDAY(Main[[#This Row],[Tech Start Date]],9),IF(Main[[#This Row],[Class]]="B", WORKDAY(Main[[#This Row],[Tech Start Date]],6),IF(Main[[#This Row],[Class]]="A",WORKDAY(Main[[#This Row],[Tech Start Date]],2),""))))</f>
        <v/>
      </c>
      <c r="N1261" s="73" t="str">
        <f>IF(Main[[#This Row],[Tech Start Date]]&lt;1/1/1990,"",IF(Main[[#This Row],[Class]]="C",WORKDAY(Main[[#This Row],[Tech Start Date]],19),IF(Main[[#This Row],[Class]]="B", WORKDAY(Main[[#This Row],[Tech Start Date]],12),IF(Main[[#This Row],[Class]]="A",WORKDAY(Main[[#This Row],[Tech Start Date]],4),""))))</f>
        <v/>
      </c>
      <c r="O1261" s="73" t="str">
        <f>IF(Main[[#This Row],[Tech Start Date]]&lt;1/1/1990,"",IF(Main[[#This Row],[Class]]="C",WORKDAY(Main[[#This Row],[Tech Start Date]],23),IF(Main[[#This Row],[Class]]="B", WORKDAY(Main[[#This Row],[Tech Start Date]],15),IF(Main[[#This Row],[Class]]="A",WORKDAY(Main[[#This Row],[Tech Start Date]],5),""))))</f>
        <v/>
      </c>
      <c r="P1261" s="73" t="str">
        <f>IF(Main[[#This Row],[Tech Start Date]]&lt;1/1/1990,"",IF(Main[[#This Row],[Class]]="C",WORKDAY(Main[[#This Row],[Tech Start Date]],28),IF(Main[[#This Row],[Class]]="B", WORKDAY(Main[[#This Row],[Tech Start Date]],19),IF(Main[[#This Row],[Class]]="A",WORKDAY(Main[[#This Row],[Tech Start Date]],9),""))))</f>
        <v/>
      </c>
      <c r="Q1261" s="85"/>
      <c r="R1261" s="112"/>
      <c r="S1261" s="95" t="s">
        <v>6</v>
      </c>
      <c r="T1261" s="74" t="s">
        <v>4</v>
      </c>
      <c r="U1261" s="95" t="s">
        <v>7</v>
      </c>
      <c r="V1261" s="95" t="s">
        <v>1911</v>
      </c>
      <c r="W1261" s="95" t="s">
        <v>1915</v>
      </c>
      <c r="X1261" s="95" t="s">
        <v>2882</v>
      </c>
      <c r="Y1261" s="72" t="s">
        <v>3059</v>
      </c>
      <c r="Z1261" s="72" t="s">
        <v>4</v>
      </c>
      <c r="AA1261" s="95" t="s">
        <v>2882</v>
      </c>
      <c r="AB1261" s="132"/>
      <c r="AC1261" s="132"/>
      <c r="AD1261" s="132"/>
      <c r="AE1261" s="63"/>
      <c r="AF1261" s="63"/>
      <c r="AG1261" s="63"/>
    </row>
    <row r="1262" spans="1:33" ht="17.2" customHeight="1">
      <c r="A1262" s="64" t="str">
        <f>IF(priority(Main[[#This Row],[Comments]])&lt;&gt;0, priority(Main[[#This Row],[Comments]]),"")</f>
        <v/>
      </c>
      <c r="B1262" s="60" t="s">
        <v>1108</v>
      </c>
      <c r="C1262" s="72" t="s">
        <v>4</v>
      </c>
      <c r="D1262" s="59" t="s">
        <v>154</v>
      </c>
      <c r="E1262" s="85"/>
      <c r="F1262" s="85"/>
      <c r="G1262" s="64" t="str">
        <f>IF(stdProdLT(Main[[#This Row],[Comments]])=0.1,"N/A",IF(stdProdLT(Main[[#This Row],[Comments]])=0,"",TRIM(stdProdLT(Main[[#This Row],[Comments]]))))</f>
        <v/>
      </c>
      <c r="H1262" s="94" t="str">
        <f>IF(OR(Main[[#This Row],[Std. Prod. Lead Time]]="N/A",Main[[#This Row],[Std. Prod. Lead Time]]=""), "",IF(AND(Main[[#This Row],[In Stock Date]]&lt;&gt;"",Main[[#This Row],[Revised Due Date]]&lt;&gt;"",Main[[#This Row],[In Stock Date]]&lt;&gt;""),Main[[#This Row],[In Stock Date]]-Main[[#This Row],[Revised Due Date]],""))</f>
        <v/>
      </c>
      <c r="I1262" s="101" t="s">
        <v>4</v>
      </c>
      <c r="J1262" s="95" t="s">
        <v>4</v>
      </c>
      <c r="K1262" s="95" t="s">
        <v>4</v>
      </c>
      <c r="L1262" s="85"/>
      <c r="M1262" s="73" t="str">
        <f>IF(Main[[#This Row],[Tech Start Date]]&lt;1/1/1990,"",IF(Main[[#This Row],[Class]]="C",WORKDAY(Main[[#This Row],[Tech Start Date]],9),IF(Main[[#This Row],[Class]]="B", WORKDAY(Main[[#This Row],[Tech Start Date]],6),IF(Main[[#This Row],[Class]]="A",WORKDAY(Main[[#This Row],[Tech Start Date]],2),""))))</f>
        <v/>
      </c>
      <c r="N1262" s="73" t="str">
        <f>IF(Main[[#This Row],[Tech Start Date]]&lt;1/1/1990,"",IF(Main[[#This Row],[Class]]="C",WORKDAY(Main[[#This Row],[Tech Start Date]],19),IF(Main[[#This Row],[Class]]="B", WORKDAY(Main[[#This Row],[Tech Start Date]],12),IF(Main[[#This Row],[Class]]="A",WORKDAY(Main[[#This Row],[Tech Start Date]],4),""))))</f>
        <v/>
      </c>
      <c r="O1262" s="73" t="str">
        <f>IF(Main[[#This Row],[Tech Start Date]]&lt;1/1/1990,"",IF(Main[[#This Row],[Class]]="C",WORKDAY(Main[[#This Row],[Tech Start Date]],23),IF(Main[[#This Row],[Class]]="B", WORKDAY(Main[[#This Row],[Tech Start Date]],15),IF(Main[[#This Row],[Class]]="A",WORKDAY(Main[[#This Row],[Tech Start Date]],5),""))))</f>
        <v/>
      </c>
      <c r="P1262" s="73" t="str">
        <f>IF(Main[[#This Row],[Tech Start Date]]&lt;1/1/1990,"",IF(Main[[#This Row],[Class]]="C",WORKDAY(Main[[#This Row],[Tech Start Date]],28),IF(Main[[#This Row],[Class]]="B", WORKDAY(Main[[#This Row],[Tech Start Date]],19),IF(Main[[#This Row],[Class]]="A",WORKDAY(Main[[#This Row],[Tech Start Date]],9),""))))</f>
        <v/>
      </c>
      <c r="Q1262" s="85">
        <v>40619</v>
      </c>
      <c r="R1262" s="112"/>
      <c r="S1262" s="95" t="s">
        <v>49</v>
      </c>
      <c r="T1262" s="74" t="s">
        <v>4</v>
      </c>
      <c r="U1262" s="95" t="s">
        <v>14</v>
      </c>
      <c r="V1262" s="95" t="s">
        <v>1914</v>
      </c>
      <c r="W1262" s="95" t="s">
        <v>1919</v>
      </c>
      <c r="X1262" s="95" t="s">
        <v>50</v>
      </c>
      <c r="Y1262" s="72" t="s">
        <v>2974</v>
      </c>
      <c r="Z1262" s="72" t="s">
        <v>4</v>
      </c>
      <c r="AA1262" s="95" t="s">
        <v>2852</v>
      </c>
      <c r="AB1262" s="132"/>
      <c r="AC1262" s="132"/>
      <c r="AD1262" s="132"/>
      <c r="AE1262" s="63"/>
      <c r="AF1262" s="63"/>
      <c r="AG1262" s="63"/>
    </row>
    <row r="1263" spans="1:33" ht="17.2" customHeight="1">
      <c r="A1263" s="64" t="str">
        <f>IF(priority(Main[[#This Row],[Comments]])&lt;&gt;0, priority(Main[[#This Row],[Comments]]),"")</f>
        <v/>
      </c>
      <c r="B1263" s="60" t="s">
        <v>3932</v>
      </c>
      <c r="C1263" s="72" t="s">
        <v>4</v>
      </c>
      <c r="D1263" s="59" t="s">
        <v>3933</v>
      </c>
      <c r="E1263" s="85">
        <v>40974.306539351855</v>
      </c>
      <c r="F1263" s="85"/>
      <c r="G1263" s="64" t="str">
        <f>IF(stdProdLT(Main[[#This Row],[Comments]])=0.1,"N/A",IF(stdProdLT(Main[[#This Row],[Comments]])=0,"",TRIM(stdProdLT(Main[[#This Row],[Comments]]))))</f>
        <v/>
      </c>
      <c r="H1263" s="94" t="str">
        <f>IF(OR(Main[[#This Row],[Std. Prod. Lead Time]]="N/A",Main[[#This Row],[Std. Prod. Lead Time]]=""), "",IF(AND(Main[[#This Row],[In Stock Date]]&lt;&gt;"",Main[[#This Row],[Revised Due Date]]&lt;&gt;"",Main[[#This Row],[In Stock Date]]&lt;&gt;""),Main[[#This Row],[In Stock Date]]-Main[[#This Row],[Revised Due Date]],""))</f>
        <v/>
      </c>
      <c r="I1263" s="101" t="s">
        <v>4</v>
      </c>
      <c r="J1263" s="95" t="s">
        <v>4</v>
      </c>
      <c r="K1263" s="95" t="s">
        <v>4</v>
      </c>
      <c r="L1263" s="85"/>
      <c r="M1263" s="73" t="str">
        <f>IF(Main[[#This Row],[Tech Start Date]]&lt;1/1/1990,"",IF(Main[[#This Row],[Class]]="C",WORKDAY(Main[[#This Row],[Tech Start Date]],9),IF(Main[[#This Row],[Class]]="B", WORKDAY(Main[[#This Row],[Tech Start Date]],6),IF(Main[[#This Row],[Class]]="A",WORKDAY(Main[[#This Row],[Tech Start Date]],2),""))))</f>
        <v/>
      </c>
      <c r="N1263" s="73" t="str">
        <f>IF(Main[[#This Row],[Tech Start Date]]&lt;1/1/1990,"",IF(Main[[#This Row],[Class]]="C",WORKDAY(Main[[#This Row],[Tech Start Date]],19),IF(Main[[#This Row],[Class]]="B", WORKDAY(Main[[#This Row],[Tech Start Date]],12),IF(Main[[#This Row],[Class]]="A",WORKDAY(Main[[#This Row],[Tech Start Date]],4),""))))</f>
        <v/>
      </c>
      <c r="O1263" s="73" t="str">
        <f>IF(Main[[#This Row],[Tech Start Date]]&lt;1/1/1990,"",IF(Main[[#This Row],[Class]]="C",WORKDAY(Main[[#This Row],[Tech Start Date]],23),IF(Main[[#This Row],[Class]]="B", WORKDAY(Main[[#This Row],[Tech Start Date]],15),IF(Main[[#This Row],[Class]]="A",WORKDAY(Main[[#This Row],[Tech Start Date]],5),""))))</f>
        <v/>
      </c>
      <c r="P1263" s="73" t="str">
        <f>IF(Main[[#This Row],[Tech Start Date]]&lt;1/1/1990,"",IF(Main[[#This Row],[Class]]="C",WORKDAY(Main[[#This Row],[Tech Start Date]],28),IF(Main[[#This Row],[Class]]="B", WORKDAY(Main[[#This Row],[Tech Start Date]],19),IF(Main[[#This Row],[Class]]="A",WORKDAY(Main[[#This Row],[Tech Start Date]],9),""))))</f>
        <v/>
      </c>
      <c r="Q1263" s="85"/>
      <c r="R1263" s="112"/>
      <c r="S1263" s="95" t="s">
        <v>6</v>
      </c>
      <c r="T1263" s="74" t="s">
        <v>4</v>
      </c>
      <c r="U1263" s="95" t="s">
        <v>7</v>
      </c>
      <c r="V1263" s="95" t="s">
        <v>1914</v>
      </c>
      <c r="W1263" s="95" t="s">
        <v>1915</v>
      </c>
      <c r="X1263" s="95" t="s">
        <v>306</v>
      </c>
      <c r="Y1263" s="72" t="s">
        <v>4</v>
      </c>
      <c r="Z1263" s="72" t="s">
        <v>4</v>
      </c>
      <c r="AA1263" s="95" t="s">
        <v>3347</v>
      </c>
      <c r="AB1263" s="132"/>
      <c r="AC1263" s="132"/>
      <c r="AD1263" s="132"/>
      <c r="AE1263" s="63"/>
      <c r="AF1263" s="63"/>
      <c r="AG1263" s="63"/>
    </row>
    <row r="1264" spans="1:33" ht="17.2" customHeight="1">
      <c r="A1264" s="64" t="str">
        <f>IF(priority(Main[[#This Row],[Comments]])&lt;&gt;0, priority(Main[[#This Row],[Comments]]),"")</f>
        <v/>
      </c>
      <c r="B1264" s="60" t="s">
        <v>3310</v>
      </c>
      <c r="C1264" s="72" t="s">
        <v>4</v>
      </c>
      <c r="D1264" s="59" t="s">
        <v>3644</v>
      </c>
      <c r="E1264" s="85">
        <v>40939.297210648147</v>
      </c>
      <c r="F1264" s="85"/>
      <c r="G1264" s="64" t="str">
        <f>IF(stdProdLT(Main[[#This Row],[Comments]])=0.1,"N/A",IF(stdProdLT(Main[[#This Row],[Comments]])=0,"",TRIM(stdProdLT(Main[[#This Row],[Comments]]))))</f>
        <v/>
      </c>
      <c r="H1264" s="94" t="str">
        <f>IF(OR(Main[[#This Row],[Std. Prod. Lead Time]]="N/A",Main[[#This Row],[Std. Prod. Lead Time]]=""), "",IF(AND(Main[[#This Row],[In Stock Date]]&lt;&gt;"",Main[[#This Row],[Revised Due Date]]&lt;&gt;"",Main[[#This Row],[In Stock Date]]&lt;&gt;""),Main[[#This Row],[In Stock Date]]-Main[[#This Row],[Revised Due Date]],""))</f>
        <v/>
      </c>
      <c r="I1264" s="101" t="s">
        <v>69</v>
      </c>
      <c r="J1264" s="95" t="s">
        <v>70</v>
      </c>
      <c r="K1264" s="95" t="s">
        <v>1920</v>
      </c>
      <c r="L1264" s="85"/>
      <c r="M1264" s="73" t="str">
        <f>IF(Main[[#This Row],[Tech Start Date]]&lt;1/1/1990,"",IF(Main[[#This Row],[Class]]="C",WORKDAY(Main[[#This Row],[Tech Start Date]],9),IF(Main[[#This Row],[Class]]="B", WORKDAY(Main[[#This Row],[Tech Start Date]],6),IF(Main[[#This Row],[Class]]="A",WORKDAY(Main[[#This Row],[Tech Start Date]],2),""))))</f>
        <v/>
      </c>
      <c r="N1264" s="73" t="str">
        <f>IF(Main[[#This Row],[Tech Start Date]]&lt;1/1/1990,"",IF(Main[[#This Row],[Class]]="C",WORKDAY(Main[[#This Row],[Tech Start Date]],19),IF(Main[[#This Row],[Class]]="B", WORKDAY(Main[[#This Row],[Tech Start Date]],12),IF(Main[[#This Row],[Class]]="A",WORKDAY(Main[[#This Row],[Tech Start Date]],4),""))))</f>
        <v/>
      </c>
      <c r="O1264" s="73" t="str">
        <f>IF(Main[[#This Row],[Tech Start Date]]&lt;1/1/1990,"",IF(Main[[#This Row],[Class]]="C",WORKDAY(Main[[#This Row],[Tech Start Date]],23),IF(Main[[#This Row],[Class]]="B", WORKDAY(Main[[#This Row],[Tech Start Date]],15),IF(Main[[#This Row],[Class]]="A",WORKDAY(Main[[#This Row],[Tech Start Date]],5),""))))</f>
        <v/>
      </c>
      <c r="P1264" s="73" t="str">
        <f>IF(Main[[#This Row],[Tech Start Date]]&lt;1/1/1990,"",IF(Main[[#This Row],[Class]]="C",WORKDAY(Main[[#This Row],[Tech Start Date]],28),IF(Main[[#This Row],[Class]]="B", WORKDAY(Main[[#This Row],[Tech Start Date]],19),IF(Main[[#This Row],[Class]]="A",WORKDAY(Main[[#This Row],[Tech Start Date]],9),""))))</f>
        <v/>
      </c>
      <c r="Q1264" s="85">
        <v>40968</v>
      </c>
      <c r="R1264" s="112"/>
      <c r="S1264" s="95" t="s">
        <v>6</v>
      </c>
      <c r="T1264" s="74" t="s">
        <v>4</v>
      </c>
      <c r="U1264" s="95" t="s">
        <v>29</v>
      </c>
      <c r="V1264" s="95" t="s">
        <v>1914</v>
      </c>
      <c r="W1264" s="95" t="s">
        <v>1915</v>
      </c>
      <c r="X1264" s="95" t="s">
        <v>2802</v>
      </c>
      <c r="Y1264" s="72" t="s">
        <v>2916</v>
      </c>
      <c r="Z1264" s="72" t="s">
        <v>30</v>
      </c>
      <c r="AA1264" s="95" t="s">
        <v>2802</v>
      </c>
      <c r="AB1264" s="132"/>
      <c r="AC1264" s="132"/>
      <c r="AD1264" s="132"/>
      <c r="AE1264" s="63"/>
      <c r="AF1264" s="63"/>
      <c r="AG1264" s="63"/>
    </row>
    <row r="1265" spans="1:33" ht="17.2" customHeight="1">
      <c r="A1265" s="64" t="str">
        <f>IF(priority(Main[[#This Row],[Comments]])&lt;&gt;0, priority(Main[[#This Row],[Comments]]),"")</f>
        <v/>
      </c>
      <c r="B1265" s="60" t="s">
        <v>3934</v>
      </c>
      <c r="C1265" s="72" t="s">
        <v>277</v>
      </c>
      <c r="D1265" s="59" t="s">
        <v>3935</v>
      </c>
      <c r="E1265" s="85"/>
      <c r="F1265" s="85">
        <v>41122</v>
      </c>
      <c r="G1265" s="64" t="str">
        <f>IF(stdProdLT(Main[[#This Row],[Comments]])=0.1,"N/A",IF(stdProdLT(Main[[#This Row],[Comments]])=0,"",TRIM(stdProdLT(Main[[#This Row],[Comments]]))))</f>
        <v/>
      </c>
      <c r="H1265" s="94" t="str">
        <f>IF(OR(Main[[#This Row],[Std. Prod. Lead Time]]="N/A",Main[[#This Row],[Std. Prod. Lead Time]]=""), "",IF(AND(Main[[#This Row],[In Stock Date]]&lt;&gt;"",Main[[#This Row],[Revised Due Date]]&lt;&gt;"",Main[[#This Row],[In Stock Date]]&lt;&gt;""),Main[[#This Row],[In Stock Date]]-Main[[#This Row],[Revised Due Date]],""))</f>
        <v/>
      </c>
      <c r="I1265" s="101" t="s">
        <v>4</v>
      </c>
      <c r="J1265" s="95" t="s">
        <v>4</v>
      </c>
      <c r="K1265" s="96" t="s">
        <v>4</v>
      </c>
      <c r="L1265" s="85"/>
      <c r="M1265" s="73" t="str">
        <f>IF(Main[[#This Row],[Tech Start Date]]&lt;1/1/1990,"",IF(Main[[#This Row],[Class]]="C",WORKDAY(Main[[#This Row],[Tech Start Date]],9),IF(Main[[#This Row],[Class]]="B", WORKDAY(Main[[#This Row],[Tech Start Date]],6),IF(Main[[#This Row],[Class]]="A",WORKDAY(Main[[#This Row],[Tech Start Date]],2),""))))</f>
        <v/>
      </c>
      <c r="N1265" s="73" t="str">
        <f>IF(Main[[#This Row],[Tech Start Date]]&lt;1/1/1990,"",IF(Main[[#This Row],[Class]]="C",WORKDAY(Main[[#This Row],[Tech Start Date]],19),IF(Main[[#This Row],[Class]]="B", WORKDAY(Main[[#This Row],[Tech Start Date]],12),IF(Main[[#This Row],[Class]]="A",WORKDAY(Main[[#This Row],[Tech Start Date]],4),""))))</f>
        <v/>
      </c>
      <c r="O1265" s="73" t="str">
        <f>IF(Main[[#This Row],[Tech Start Date]]&lt;1/1/1990,"",IF(Main[[#This Row],[Class]]="C",WORKDAY(Main[[#This Row],[Tech Start Date]],23),IF(Main[[#This Row],[Class]]="B", WORKDAY(Main[[#This Row],[Tech Start Date]],15),IF(Main[[#This Row],[Class]]="A",WORKDAY(Main[[#This Row],[Tech Start Date]],5),""))))</f>
        <v/>
      </c>
      <c r="P1265" s="73" t="str">
        <f>IF(Main[[#This Row],[Tech Start Date]]&lt;1/1/1990,"",IF(Main[[#This Row],[Class]]="C",WORKDAY(Main[[#This Row],[Tech Start Date]],28),IF(Main[[#This Row],[Class]]="B", WORKDAY(Main[[#This Row],[Tech Start Date]],19),IF(Main[[#This Row],[Class]]="A",WORKDAY(Main[[#This Row],[Tech Start Date]],9),""))))</f>
        <v/>
      </c>
      <c r="Q1265" s="85">
        <v>40996</v>
      </c>
      <c r="R1265" s="112"/>
      <c r="S1265" s="95" t="s">
        <v>11</v>
      </c>
      <c r="T1265" s="74" t="s">
        <v>4</v>
      </c>
      <c r="U1265" s="95" t="s">
        <v>12</v>
      </c>
      <c r="V1265" s="95" t="s">
        <v>1914</v>
      </c>
      <c r="W1265" s="95" t="s">
        <v>1919</v>
      </c>
      <c r="X1265" s="95" t="s">
        <v>2823</v>
      </c>
      <c r="Y1265" s="72" t="s">
        <v>3924</v>
      </c>
      <c r="Z1265" s="72" t="s">
        <v>4</v>
      </c>
      <c r="AA1265" s="95" t="s">
        <v>2823</v>
      </c>
      <c r="AB1265" s="132"/>
      <c r="AC1265" s="132"/>
      <c r="AD1265" s="132"/>
      <c r="AE1265" s="63"/>
      <c r="AF1265" s="63"/>
      <c r="AG1265" s="63"/>
    </row>
    <row r="1266" spans="1:33" ht="17.2" customHeight="1">
      <c r="A1266" s="64" t="str">
        <f>IF(priority(Main[[#This Row],[Comments]])&lt;&gt;0, priority(Main[[#This Row],[Comments]]),"")</f>
        <v/>
      </c>
      <c r="B1266" s="60" t="s">
        <v>1656</v>
      </c>
      <c r="C1266" s="72" t="s">
        <v>122</v>
      </c>
      <c r="D1266" s="59" t="s">
        <v>2767</v>
      </c>
      <c r="E1266" s="85">
        <v>40959.441145833334</v>
      </c>
      <c r="F1266" s="85">
        <v>41244</v>
      </c>
      <c r="G1266" s="64" t="str">
        <f>IF(stdProdLT(Main[[#This Row],[Comments]])=0.1,"N/A",IF(stdProdLT(Main[[#This Row],[Comments]])=0,"",TRIM(stdProdLT(Main[[#This Row],[Comments]]))))</f>
        <v>126</v>
      </c>
      <c r="H1266" s="94" t="str">
        <f>IF(OR(Main[[#This Row],[Std. Prod. Lead Time]]="N/A",Main[[#This Row],[Std. Prod. Lead Time]]=""), "",IF(AND(Main[[#This Row],[In Stock Date]]&lt;&gt;"",Main[[#This Row],[Revised Due Date]]&lt;&gt;"",Main[[#This Row],[In Stock Date]]&lt;&gt;""),Main[[#This Row],[In Stock Date]]-Main[[#This Row],[Revised Due Date]],""))</f>
        <v/>
      </c>
      <c r="I1266" s="101" t="s">
        <v>4</v>
      </c>
      <c r="J1266" s="95" t="s">
        <v>28</v>
      </c>
      <c r="K1266" s="95" t="s">
        <v>1924</v>
      </c>
      <c r="L1266" s="85"/>
      <c r="M1266" s="73" t="str">
        <f>IF(Main[[#This Row],[Tech Start Date]]&lt;1/1/1990,"",IF(Main[[#This Row],[Class]]="C",WORKDAY(Main[[#This Row],[Tech Start Date]],9),IF(Main[[#This Row],[Class]]="B", WORKDAY(Main[[#This Row],[Tech Start Date]],6),IF(Main[[#This Row],[Class]]="A",WORKDAY(Main[[#This Row],[Tech Start Date]],2),""))))</f>
        <v/>
      </c>
      <c r="N1266" s="73" t="str">
        <f>IF(Main[[#This Row],[Tech Start Date]]&lt;1/1/1990,"",IF(Main[[#This Row],[Class]]="C",WORKDAY(Main[[#This Row],[Tech Start Date]],19),IF(Main[[#This Row],[Class]]="B", WORKDAY(Main[[#This Row],[Tech Start Date]],12),IF(Main[[#This Row],[Class]]="A",WORKDAY(Main[[#This Row],[Tech Start Date]],4),""))))</f>
        <v/>
      </c>
      <c r="O1266" s="73" t="str">
        <f>IF(Main[[#This Row],[Tech Start Date]]&lt;1/1/1990,"",IF(Main[[#This Row],[Class]]="C",WORKDAY(Main[[#This Row],[Tech Start Date]],23),IF(Main[[#This Row],[Class]]="B", WORKDAY(Main[[#This Row],[Tech Start Date]],15),IF(Main[[#This Row],[Class]]="A",WORKDAY(Main[[#This Row],[Tech Start Date]],5),""))))</f>
        <v/>
      </c>
      <c r="P1266" s="73" t="str">
        <f>IF(Main[[#This Row],[Tech Start Date]]&lt;1/1/1990,"",IF(Main[[#This Row],[Class]]="C",WORKDAY(Main[[#This Row],[Tech Start Date]],28),IF(Main[[#This Row],[Class]]="B", WORKDAY(Main[[#This Row],[Tech Start Date]],19),IF(Main[[#This Row],[Class]]="A",WORKDAY(Main[[#This Row],[Tech Start Date]],9),""))))</f>
        <v/>
      </c>
      <c r="Q1266" s="85">
        <v>40711</v>
      </c>
      <c r="R1266" s="112"/>
      <c r="S1266" s="95" t="s">
        <v>11</v>
      </c>
      <c r="T1266" s="74" t="s">
        <v>3647</v>
      </c>
      <c r="U1266" s="95" t="s">
        <v>694</v>
      </c>
      <c r="V1266" s="95" t="s">
        <v>1911</v>
      </c>
      <c r="W1266" s="95" t="s">
        <v>1913</v>
      </c>
      <c r="X1266" s="95" t="s">
        <v>2832</v>
      </c>
      <c r="Y1266" s="72" t="s">
        <v>3112</v>
      </c>
      <c r="Z1266" s="72" t="s">
        <v>129</v>
      </c>
      <c r="AA1266" s="95" t="s">
        <v>2832</v>
      </c>
      <c r="AB1266" s="132"/>
      <c r="AC1266" s="132"/>
      <c r="AD1266" s="132"/>
      <c r="AE1266" s="63"/>
      <c r="AF1266" s="63"/>
      <c r="AG1266" s="63"/>
    </row>
    <row r="1267" spans="1:33" ht="17.2" customHeight="1">
      <c r="A1267" s="64" t="str">
        <f>IF(priority(Main[[#This Row],[Comments]])&lt;&gt;0, priority(Main[[#This Row],[Comments]]),"")</f>
        <v/>
      </c>
      <c r="B1267" s="60" t="s">
        <v>3936</v>
      </c>
      <c r="C1267" s="72" t="s">
        <v>4</v>
      </c>
      <c r="D1267" s="59" t="s">
        <v>3937</v>
      </c>
      <c r="E1267" s="85">
        <v>40973.675625000003</v>
      </c>
      <c r="F1267" s="85"/>
      <c r="G1267" s="64" t="str">
        <f>IF(stdProdLT(Main[[#This Row],[Comments]])=0.1,"N/A",IF(stdProdLT(Main[[#This Row],[Comments]])=0,"",TRIM(stdProdLT(Main[[#This Row],[Comments]]))))</f>
        <v/>
      </c>
      <c r="H1267" s="94" t="str">
        <f>IF(OR(Main[[#This Row],[Std. Prod. Lead Time]]="N/A",Main[[#This Row],[Std. Prod. Lead Time]]=""), "",IF(AND(Main[[#This Row],[In Stock Date]]&lt;&gt;"",Main[[#This Row],[Revised Due Date]]&lt;&gt;"",Main[[#This Row],[In Stock Date]]&lt;&gt;""),Main[[#This Row],[In Stock Date]]-Main[[#This Row],[Revised Due Date]],""))</f>
        <v/>
      </c>
      <c r="I1267" s="101" t="s">
        <v>4</v>
      </c>
      <c r="J1267" s="95" t="s">
        <v>4</v>
      </c>
      <c r="K1267" s="95" t="s">
        <v>4</v>
      </c>
      <c r="L1267" s="85"/>
      <c r="M1267" s="73" t="str">
        <f>IF(Main[[#This Row],[Tech Start Date]]&lt;1/1/1990,"",IF(Main[[#This Row],[Class]]="C",WORKDAY(Main[[#This Row],[Tech Start Date]],9),IF(Main[[#This Row],[Class]]="B", WORKDAY(Main[[#This Row],[Tech Start Date]],6),IF(Main[[#This Row],[Class]]="A",WORKDAY(Main[[#This Row],[Tech Start Date]],2),""))))</f>
        <v/>
      </c>
      <c r="N1267" s="73" t="str">
        <f>IF(Main[[#This Row],[Tech Start Date]]&lt;1/1/1990,"",IF(Main[[#This Row],[Class]]="C",WORKDAY(Main[[#This Row],[Tech Start Date]],19),IF(Main[[#This Row],[Class]]="B", WORKDAY(Main[[#This Row],[Tech Start Date]],12),IF(Main[[#This Row],[Class]]="A",WORKDAY(Main[[#This Row],[Tech Start Date]],4),""))))</f>
        <v/>
      </c>
      <c r="O1267" s="73" t="str">
        <f>IF(Main[[#This Row],[Tech Start Date]]&lt;1/1/1990,"",IF(Main[[#This Row],[Class]]="C",WORKDAY(Main[[#This Row],[Tech Start Date]],23),IF(Main[[#This Row],[Class]]="B", WORKDAY(Main[[#This Row],[Tech Start Date]],15),IF(Main[[#This Row],[Class]]="A",WORKDAY(Main[[#This Row],[Tech Start Date]],5),""))))</f>
        <v/>
      </c>
      <c r="P1267" s="73" t="str">
        <f>IF(Main[[#This Row],[Tech Start Date]]&lt;1/1/1990,"",IF(Main[[#This Row],[Class]]="C",WORKDAY(Main[[#This Row],[Tech Start Date]],28),IF(Main[[#This Row],[Class]]="B", WORKDAY(Main[[#This Row],[Tech Start Date]],19),IF(Main[[#This Row],[Class]]="A",WORKDAY(Main[[#This Row],[Tech Start Date]],9),""))))</f>
        <v/>
      </c>
      <c r="Q1267" s="85"/>
      <c r="R1267" s="112"/>
      <c r="S1267" s="95" t="s">
        <v>11</v>
      </c>
      <c r="T1267" s="74" t="s">
        <v>4</v>
      </c>
      <c r="U1267" s="95" t="s">
        <v>7</v>
      </c>
      <c r="V1267" s="95" t="s">
        <v>1921</v>
      </c>
      <c r="W1267" s="95" t="s">
        <v>1917</v>
      </c>
      <c r="X1267" s="95" t="s">
        <v>2891</v>
      </c>
      <c r="Y1267" s="72" t="s">
        <v>3870</v>
      </c>
      <c r="Z1267" s="72" t="s">
        <v>4</v>
      </c>
      <c r="AA1267" s="95" t="s">
        <v>2891</v>
      </c>
      <c r="AB1267" s="132"/>
      <c r="AC1267" s="132"/>
      <c r="AD1267" s="132"/>
      <c r="AE1267" s="63"/>
      <c r="AF1267" s="63"/>
      <c r="AG1267" s="63"/>
    </row>
    <row r="1268" spans="1:33" ht="17.2" customHeight="1">
      <c r="A1268" s="64" t="str">
        <f>IF(priority(Main[[#This Row],[Comments]])&lt;&gt;0, priority(Main[[#This Row],[Comments]]),"")</f>
        <v/>
      </c>
      <c r="B1268" s="60" t="s">
        <v>3267</v>
      </c>
      <c r="C1268" s="72" t="s">
        <v>4</v>
      </c>
      <c r="D1268" s="59" t="s">
        <v>3595</v>
      </c>
      <c r="E1268" s="85">
        <v>40934.445497685185</v>
      </c>
      <c r="F1268" s="85"/>
      <c r="G1268" s="64" t="str">
        <f>IF(stdProdLT(Main[[#This Row],[Comments]])=0.1,"N/A",IF(stdProdLT(Main[[#This Row],[Comments]])=0,"",TRIM(stdProdLT(Main[[#This Row],[Comments]]))))</f>
        <v/>
      </c>
      <c r="H1268" s="94" t="str">
        <f>IF(OR(Main[[#This Row],[Std. Prod. Lead Time]]="N/A",Main[[#This Row],[Std. Prod. Lead Time]]=""), "",IF(AND(Main[[#This Row],[In Stock Date]]&lt;&gt;"",Main[[#This Row],[Revised Due Date]]&lt;&gt;"",Main[[#This Row],[In Stock Date]]&lt;&gt;""),Main[[#This Row],[In Stock Date]]-Main[[#This Row],[Revised Due Date]],""))</f>
        <v/>
      </c>
      <c r="I1268" s="101" t="s">
        <v>2045</v>
      </c>
      <c r="J1268" s="95" t="s">
        <v>52</v>
      </c>
      <c r="K1268" s="95" t="s">
        <v>1920</v>
      </c>
      <c r="L1268" s="85"/>
      <c r="M1268" s="73" t="str">
        <f>IF(Main[[#This Row],[Tech Start Date]]&lt;1/1/1990,"",IF(Main[[#This Row],[Class]]="C",WORKDAY(Main[[#This Row],[Tech Start Date]],9),IF(Main[[#This Row],[Class]]="B", WORKDAY(Main[[#This Row],[Tech Start Date]],6),IF(Main[[#This Row],[Class]]="A",WORKDAY(Main[[#This Row],[Tech Start Date]],2),""))))</f>
        <v/>
      </c>
      <c r="N1268" s="73" t="str">
        <f>IF(Main[[#This Row],[Tech Start Date]]&lt;1/1/1990,"",IF(Main[[#This Row],[Class]]="C",WORKDAY(Main[[#This Row],[Tech Start Date]],19),IF(Main[[#This Row],[Class]]="B", WORKDAY(Main[[#This Row],[Tech Start Date]],12),IF(Main[[#This Row],[Class]]="A",WORKDAY(Main[[#This Row],[Tech Start Date]],4),""))))</f>
        <v/>
      </c>
      <c r="O1268" s="73" t="str">
        <f>IF(Main[[#This Row],[Tech Start Date]]&lt;1/1/1990,"",IF(Main[[#This Row],[Class]]="C",WORKDAY(Main[[#This Row],[Tech Start Date]],23),IF(Main[[#This Row],[Class]]="B", WORKDAY(Main[[#This Row],[Tech Start Date]],15),IF(Main[[#This Row],[Class]]="A",WORKDAY(Main[[#This Row],[Tech Start Date]],5),""))))</f>
        <v/>
      </c>
      <c r="P1268" s="73" t="str">
        <f>IF(Main[[#This Row],[Tech Start Date]]&lt;1/1/1990,"",IF(Main[[#This Row],[Class]]="C",WORKDAY(Main[[#This Row],[Tech Start Date]],28),IF(Main[[#This Row],[Class]]="B", WORKDAY(Main[[#This Row],[Tech Start Date]],19),IF(Main[[#This Row],[Class]]="A",WORKDAY(Main[[#This Row],[Tech Start Date]],9),""))))</f>
        <v/>
      </c>
      <c r="Q1268" s="85">
        <v>40968</v>
      </c>
      <c r="R1268" s="112"/>
      <c r="S1268" s="95" t="s">
        <v>6</v>
      </c>
      <c r="T1268" s="74" t="s">
        <v>4</v>
      </c>
      <c r="U1268" s="95" t="s">
        <v>29</v>
      </c>
      <c r="V1268" s="95" t="s">
        <v>1914</v>
      </c>
      <c r="W1268" s="95" t="s">
        <v>4</v>
      </c>
      <c r="X1268" s="95" t="s">
        <v>2799</v>
      </c>
      <c r="Y1268" s="72" t="s">
        <v>2910</v>
      </c>
      <c r="Z1268" s="72" t="s">
        <v>530</v>
      </c>
      <c r="AA1268" s="95" t="s">
        <v>2799</v>
      </c>
      <c r="AB1268" s="132"/>
      <c r="AC1268" s="132"/>
      <c r="AD1268" s="132"/>
      <c r="AE1268" s="63"/>
      <c r="AF1268" s="63"/>
      <c r="AG1268" s="63"/>
    </row>
    <row r="1269" spans="1:33" ht="17.2" customHeight="1">
      <c r="A1269" s="64" t="str">
        <f>IF(priority(Main[[#This Row],[Comments]])&lt;&gt;0, priority(Main[[#This Row],[Comments]]),"")</f>
        <v/>
      </c>
      <c r="B1269" s="60" t="s">
        <v>2682</v>
      </c>
      <c r="C1269" s="72" t="s">
        <v>4</v>
      </c>
      <c r="D1269" s="59" t="s">
        <v>3248</v>
      </c>
      <c r="E1269" s="85">
        <v>40917.540925925925</v>
      </c>
      <c r="F1269" s="85"/>
      <c r="G1269" s="64" t="str">
        <f>IF(stdProdLT(Main[[#This Row],[Comments]])=0.1,"N/A",IF(stdProdLT(Main[[#This Row],[Comments]])=0,"",TRIM(stdProdLT(Main[[#This Row],[Comments]]))))</f>
        <v/>
      </c>
      <c r="H1269" s="94" t="str">
        <f>IF(OR(Main[[#This Row],[Std. Prod. Lead Time]]="N/A",Main[[#This Row],[Std. Prod. Lead Time]]=""), "",IF(AND(Main[[#This Row],[In Stock Date]]&lt;&gt;"",Main[[#This Row],[Revised Due Date]]&lt;&gt;"",Main[[#This Row],[In Stock Date]]&lt;&gt;""),Main[[#This Row],[In Stock Date]]-Main[[#This Row],[Revised Due Date]],""))</f>
        <v/>
      </c>
      <c r="I1269" s="101" t="s">
        <v>2045</v>
      </c>
      <c r="J1269" s="95" t="s">
        <v>21</v>
      </c>
      <c r="K1269" s="96" t="s">
        <v>1920</v>
      </c>
      <c r="L1269" s="85"/>
      <c r="M1269" s="73" t="str">
        <f>IF(Main[[#This Row],[Tech Start Date]]&lt;1/1/1990,"",IF(Main[[#This Row],[Class]]="C",WORKDAY(Main[[#This Row],[Tech Start Date]],9),IF(Main[[#This Row],[Class]]="B", WORKDAY(Main[[#This Row],[Tech Start Date]],6),IF(Main[[#This Row],[Class]]="A",WORKDAY(Main[[#This Row],[Tech Start Date]],2),""))))</f>
        <v/>
      </c>
      <c r="N1269" s="73" t="str">
        <f>IF(Main[[#This Row],[Tech Start Date]]&lt;1/1/1990,"",IF(Main[[#This Row],[Class]]="C",WORKDAY(Main[[#This Row],[Tech Start Date]],19),IF(Main[[#This Row],[Class]]="B", WORKDAY(Main[[#This Row],[Tech Start Date]],12),IF(Main[[#This Row],[Class]]="A",WORKDAY(Main[[#This Row],[Tech Start Date]],4),""))))</f>
        <v/>
      </c>
      <c r="O1269" s="73" t="str">
        <f>IF(Main[[#This Row],[Tech Start Date]]&lt;1/1/1990,"",IF(Main[[#This Row],[Class]]="C",WORKDAY(Main[[#This Row],[Tech Start Date]],23),IF(Main[[#This Row],[Class]]="B", WORKDAY(Main[[#This Row],[Tech Start Date]],15),IF(Main[[#This Row],[Class]]="A",WORKDAY(Main[[#This Row],[Tech Start Date]],5),""))))</f>
        <v/>
      </c>
      <c r="P1269" s="73" t="str">
        <f>IF(Main[[#This Row],[Tech Start Date]]&lt;1/1/1990,"",IF(Main[[#This Row],[Class]]="C",WORKDAY(Main[[#This Row],[Tech Start Date]],28),IF(Main[[#This Row],[Class]]="B", WORKDAY(Main[[#This Row],[Tech Start Date]],19),IF(Main[[#This Row],[Class]]="A",WORKDAY(Main[[#This Row],[Tech Start Date]],9),""))))</f>
        <v/>
      </c>
      <c r="Q1269" s="85">
        <v>40949</v>
      </c>
      <c r="R1269" s="112"/>
      <c r="S1269" s="95" t="s">
        <v>6</v>
      </c>
      <c r="T1269" s="74" t="s">
        <v>4</v>
      </c>
      <c r="U1269" s="95" t="s">
        <v>29</v>
      </c>
      <c r="V1269" s="95" t="s">
        <v>1914</v>
      </c>
      <c r="W1269" s="95" t="s">
        <v>1915</v>
      </c>
      <c r="X1269" s="95" t="s">
        <v>2799</v>
      </c>
      <c r="Y1269" s="72" t="s">
        <v>2910</v>
      </c>
      <c r="Z1269" s="72" t="s">
        <v>30</v>
      </c>
      <c r="AA1269" s="95" t="s">
        <v>2799</v>
      </c>
      <c r="AB1269" s="132"/>
      <c r="AC1269" s="132"/>
      <c r="AD1269" s="132"/>
      <c r="AE1269" s="63"/>
      <c r="AF1269" s="63"/>
      <c r="AG1269" s="63"/>
    </row>
    <row r="1270" spans="1:33" ht="17.2" customHeight="1">
      <c r="A1270" s="64" t="str">
        <f>IF(priority(Main[[#This Row],[Comments]])&lt;&gt;0, priority(Main[[#This Row],[Comments]]),"")</f>
        <v/>
      </c>
      <c r="B1270" s="60" t="s">
        <v>2578</v>
      </c>
      <c r="C1270" s="72" t="s">
        <v>31</v>
      </c>
      <c r="D1270" s="59" t="s">
        <v>3634</v>
      </c>
      <c r="E1270" s="85">
        <v>40820.728263888886</v>
      </c>
      <c r="F1270" s="85"/>
      <c r="G1270" s="64" t="str">
        <f>IF(stdProdLT(Main[[#This Row],[Comments]])=0.1,"N/A",IF(stdProdLT(Main[[#This Row],[Comments]])=0,"",TRIM(stdProdLT(Main[[#This Row],[Comments]]))))</f>
        <v/>
      </c>
      <c r="H1270" s="94" t="str">
        <f>IF(OR(Main[[#This Row],[Std. Prod. Lead Time]]="N/A",Main[[#This Row],[Std. Prod. Lead Time]]=""), "",IF(AND(Main[[#This Row],[In Stock Date]]&lt;&gt;"",Main[[#This Row],[Revised Due Date]]&lt;&gt;"",Main[[#This Row],[In Stock Date]]&lt;&gt;""),Main[[#This Row],[In Stock Date]]-Main[[#This Row],[Revised Due Date]],""))</f>
        <v/>
      </c>
      <c r="I1270" s="101" t="s">
        <v>922</v>
      </c>
      <c r="J1270" s="95" t="s">
        <v>4</v>
      </c>
      <c r="K1270" s="95" t="s">
        <v>4</v>
      </c>
      <c r="L1270" s="85"/>
      <c r="M1270" s="73" t="str">
        <f>IF(Main[[#This Row],[Tech Start Date]]&lt;1/1/1990,"",IF(Main[[#This Row],[Class]]="C",WORKDAY(Main[[#This Row],[Tech Start Date]],9),IF(Main[[#This Row],[Class]]="B", WORKDAY(Main[[#This Row],[Tech Start Date]],6),IF(Main[[#This Row],[Class]]="A",WORKDAY(Main[[#This Row],[Tech Start Date]],2),""))))</f>
        <v/>
      </c>
      <c r="N1270" s="73" t="str">
        <f>IF(Main[[#This Row],[Tech Start Date]]&lt;1/1/1990,"",IF(Main[[#This Row],[Class]]="C",WORKDAY(Main[[#This Row],[Tech Start Date]],19),IF(Main[[#This Row],[Class]]="B", WORKDAY(Main[[#This Row],[Tech Start Date]],12),IF(Main[[#This Row],[Class]]="A",WORKDAY(Main[[#This Row],[Tech Start Date]],4),""))))</f>
        <v/>
      </c>
      <c r="O1270" s="73" t="str">
        <f>IF(Main[[#This Row],[Tech Start Date]]&lt;1/1/1990,"",IF(Main[[#This Row],[Class]]="C",WORKDAY(Main[[#This Row],[Tech Start Date]],23),IF(Main[[#This Row],[Class]]="B", WORKDAY(Main[[#This Row],[Tech Start Date]],15),IF(Main[[#This Row],[Class]]="A",WORKDAY(Main[[#This Row],[Tech Start Date]],5),""))))</f>
        <v/>
      </c>
      <c r="P1270" s="73" t="str">
        <f>IF(Main[[#This Row],[Tech Start Date]]&lt;1/1/1990,"",IF(Main[[#This Row],[Class]]="C",WORKDAY(Main[[#This Row],[Tech Start Date]],28),IF(Main[[#This Row],[Class]]="B", WORKDAY(Main[[#This Row],[Tech Start Date]],19),IF(Main[[#This Row],[Class]]="A",WORKDAY(Main[[#This Row],[Tech Start Date]],9),""))))</f>
        <v/>
      </c>
      <c r="Q1270" s="85">
        <v>40841</v>
      </c>
      <c r="R1270" s="112"/>
      <c r="S1270" s="95" t="s">
        <v>11</v>
      </c>
      <c r="T1270" s="74" t="s">
        <v>2579</v>
      </c>
      <c r="U1270" s="95" t="s">
        <v>7</v>
      </c>
      <c r="V1270" s="95" t="s">
        <v>1926</v>
      </c>
      <c r="W1270" s="95" t="s">
        <v>1919</v>
      </c>
      <c r="X1270" s="95" t="s">
        <v>2801</v>
      </c>
      <c r="Y1270" s="72" t="s">
        <v>2914</v>
      </c>
      <c r="Z1270" s="72" t="s">
        <v>4</v>
      </c>
      <c r="AA1270" s="95" t="s">
        <v>2801</v>
      </c>
      <c r="AB1270" s="132"/>
      <c r="AC1270" s="132"/>
      <c r="AD1270" s="132"/>
      <c r="AE1270" s="63"/>
      <c r="AF1270" s="63"/>
      <c r="AG1270" s="63"/>
    </row>
    <row r="1271" spans="1:33" ht="17.2" customHeight="1">
      <c r="A1271" s="64" t="str">
        <f>IF(priority(Main[[#This Row],[Comments]])&lt;&gt;0, priority(Main[[#This Row],[Comments]]),"")</f>
        <v/>
      </c>
      <c r="B1271" s="60" t="s">
        <v>1635</v>
      </c>
      <c r="C1271" s="72" t="s">
        <v>4</v>
      </c>
      <c r="D1271" s="59" t="s">
        <v>2559</v>
      </c>
      <c r="E1271" s="85"/>
      <c r="F1271" s="85"/>
      <c r="G1271" s="64" t="str">
        <f>IF(stdProdLT(Main[[#This Row],[Comments]])=0.1,"N/A",IF(stdProdLT(Main[[#This Row],[Comments]])=0,"",TRIM(stdProdLT(Main[[#This Row],[Comments]]))))</f>
        <v/>
      </c>
      <c r="H1271" s="94" t="str">
        <f>IF(OR(Main[[#This Row],[Std. Prod. Lead Time]]="N/A",Main[[#This Row],[Std. Prod. Lead Time]]=""), "",IF(AND(Main[[#This Row],[In Stock Date]]&lt;&gt;"",Main[[#This Row],[Revised Due Date]]&lt;&gt;"",Main[[#This Row],[In Stock Date]]&lt;&gt;""),Main[[#This Row],[In Stock Date]]-Main[[#This Row],[Revised Due Date]],""))</f>
        <v/>
      </c>
      <c r="I1271" s="101" t="s">
        <v>4</v>
      </c>
      <c r="J1271" s="95" t="s">
        <v>28</v>
      </c>
      <c r="K1271" s="95" t="s">
        <v>1918</v>
      </c>
      <c r="L1271" s="85"/>
      <c r="M1271" s="73" t="str">
        <f>IF(Main[[#This Row],[Tech Start Date]]&lt;1/1/1990,"",IF(Main[[#This Row],[Class]]="C",WORKDAY(Main[[#This Row],[Tech Start Date]],9),IF(Main[[#This Row],[Class]]="B", WORKDAY(Main[[#This Row],[Tech Start Date]],6),IF(Main[[#This Row],[Class]]="A",WORKDAY(Main[[#This Row],[Tech Start Date]],2),""))))</f>
        <v/>
      </c>
      <c r="N1271" s="73" t="str">
        <f>IF(Main[[#This Row],[Tech Start Date]]&lt;1/1/1990,"",IF(Main[[#This Row],[Class]]="C",WORKDAY(Main[[#This Row],[Tech Start Date]],19),IF(Main[[#This Row],[Class]]="B", WORKDAY(Main[[#This Row],[Tech Start Date]],12),IF(Main[[#This Row],[Class]]="A",WORKDAY(Main[[#This Row],[Tech Start Date]],4),""))))</f>
        <v/>
      </c>
      <c r="O1271" s="73" t="str">
        <f>IF(Main[[#This Row],[Tech Start Date]]&lt;1/1/1990,"",IF(Main[[#This Row],[Class]]="C",WORKDAY(Main[[#This Row],[Tech Start Date]],23),IF(Main[[#This Row],[Class]]="B", WORKDAY(Main[[#This Row],[Tech Start Date]],15),IF(Main[[#This Row],[Class]]="A",WORKDAY(Main[[#This Row],[Tech Start Date]],5),""))))</f>
        <v/>
      </c>
      <c r="P1271" s="73" t="str">
        <f>IF(Main[[#This Row],[Tech Start Date]]&lt;1/1/1990,"",IF(Main[[#This Row],[Class]]="C",WORKDAY(Main[[#This Row],[Tech Start Date]],28),IF(Main[[#This Row],[Class]]="B", WORKDAY(Main[[#This Row],[Tech Start Date]],19),IF(Main[[#This Row],[Class]]="A",WORKDAY(Main[[#This Row],[Tech Start Date]],9),""))))</f>
        <v/>
      </c>
      <c r="Q1271" s="85">
        <v>40611</v>
      </c>
      <c r="R1271" s="112"/>
      <c r="S1271" s="95" t="s">
        <v>6</v>
      </c>
      <c r="T1271" s="74" t="s">
        <v>4</v>
      </c>
      <c r="U1271" s="95" t="s">
        <v>14</v>
      </c>
      <c r="V1271" s="95" t="s">
        <v>1911</v>
      </c>
      <c r="W1271" s="95" t="s">
        <v>1915</v>
      </c>
      <c r="X1271" s="95" t="s">
        <v>2801</v>
      </c>
      <c r="Y1271" s="72" t="s">
        <v>2914</v>
      </c>
      <c r="Z1271" s="72" t="s">
        <v>129</v>
      </c>
      <c r="AA1271" s="95" t="s">
        <v>2801</v>
      </c>
      <c r="AB1271" s="132"/>
      <c r="AC1271" s="132"/>
      <c r="AD1271" s="132"/>
      <c r="AE1271" s="63"/>
      <c r="AF1271" s="63"/>
      <c r="AG1271" s="63"/>
    </row>
    <row r="1272" spans="1:33" ht="17.2" customHeight="1">
      <c r="A1272" s="64" t="str">
        <f>IF(priority(Main[[#This Row],[Comments]])&lt;&gt;0, priority(Main[[#This Row],[Comments]]),"")</f>
        <v/>
      </c>
      <c r="B1272" s="60" t="s">
        <v>3645</v>
      </c>
      <c r="C1272" s="72" t="s">
        <v>4</v>
      </c>
      <c r="D1272" s="59" t="s">
        <v>3646</v>
      </c>
      <c r="E1272" s="85">
        <v>40954.564212962963</v>
      </c>
      <c r="F1272" s="85"/>
      <c r="G1272" s="64" t="str">
        <f>IF(stdProdLT(Main[[#This Row],[Comments]])=0.1,"N/A",IF(stdProdLT(Main[[#This Row],[Comments]])=0,"",TRIM(stdProdLT(Main[[#This Row],[Comments]]))))</f>
        <v/>
      </c>
      <c r="H1272" s="94" t="str">
        <f>IF(OR(Main[[#This Row],[Std. Prod. Lead Time]]="N/A",Main[[#This Row],[Std. Prod. Lead Time]]=""), "",IF(AND(Main[[#This Row],[In Stock Date]]&lt;&gt;"",Main[[#This Row],[Revised Due Date]]&lt;&gt;"",Main[[#This Row],[In Stock Date]]&lt;&gt;""),Main[[#This Row],[In Stock Date]]-Main[[#This Row],[Revised Due Date]],""))</f>
        <v/>
      </c>
      <c r="I1272" s="101" t="s">
        <v>4</v>
      </c>
      <c r="J1272" s="95" t="s">
        <v>4</v>
      </c>
      <c r="K1272" s="95" t="s">
        <v>4</v>
      </c>
      <c r="L1272" s="85"/>
      <c r="M1272" s="73" t="str">
        <f>IF(Main[[#This Row],[Tech Start Date]]&lt;1/1/1990,"",IF(Main[[#This Row],[Class]]="C",WORKDAY(Main[[#This Row],[Tech Start Date]],9),IF(Main[[#This Row],[Class]]="B", WORKDAY(Main[[#This Row],[Tech Start Date]],6),IF(Main[[#This Row],[Class]]="A",WORKDAY(Main[[#This Row],[Tech Start Date]],2),""))))</f>
        <v/>
      </c>
      <c r="N1272" s="73" t="str">
        <f>IF(Main[[#This Row],[Tech Start Date]]&lt;1/1/1990,"",IF(Main[[#This Row],[Class]]="C",WORKDAY(Main[[#This Row],[Tech Start Date]],19),IF(Main[[#This Row],[Class]]="B", WORKDAY(Main[[#This Row],[Tech Start Date]],12),IF(Main[[#This Row],[Class]]="A",WORKDAY(Main[[#This Row],[Tech Start Date]],4),""))))</f>
        <v/>
      </c>
      <c r="O1272" s="73" t="str">
        <f>IF(Main[[#This Row],[Tech Start Date]]&lt;1/1/1990,"",IF(Main[[#This Row],[Class]]="C",WORKDAY(Main[[#This Row],[Tech Start Date]],23),IF(Main[[#This Row],[Class]]="B", WORKDAY(Main[[#This Row],[Tech Start Date]],15),IF(Main[[#This Row],[Class]]="A",WORKDAY(Main[[#This Row],[Tech Start Date]],5),""))))</f>
        <v/>
      </c>
      <c r="P1272" s="73" t="str">
        <f>IF(Main[[#This Row],[Tech Start Date]]&lt;1/1/1990,"",IF(Main[[#This Row],[Class]]="C",WORKDAY(Main[[#This Row],[Tech Start Date]],28),IF(Main[[#This Row],[Class]]="B", WORKDAY(Main[[#This Row],[Tech Start Date]],19),IF(Main[[#This Row],[Class]]="A",WORKDAY(Main[[#This Row],[Tech Start Date]],9),""))))</f>
        <v/>
      </c>
      <c r="Q1272" s="85"/>
      <c r="R1272" s="112"/>
      <c r="S1272" s="95" t="s">
        <v>17</v>
      </c>
      <c r="T1272" s="74" t="s">
        <v>4</v>
      </c>
      <c r="U1272" s="95" t="s">
        <v>7</v>
      </c>
      <c r="V1272" s="95" t="s">
        <v>1926</v>
      </c>
      <c r="W1272" s="95" t="s">
        <v>1919</v>
      </c>
      <c r="X1272" s="95" t="s">
        <v>2842</v>
      </c>
      <c r="Y1272" s="72" t="s">
        <v>2984</v>
      </c>
      <c r="Z1272" s="72" t="s">
        <v>4</v>
      </c>
      <c r="AA1272" s="95" t="s">
        <v>2842</v>
      </c>
      <c r="AB1272" s="132"/>
      <c r="AC1272" s="132"/>
      <c r="AD1272" s="132"/>
      <c r="AE1272" s="63"/>
      <c r="AF1272" s="63"/>
      <c r="AG1272" s="63"/>
    </row>
    <row r="1273" spans="1:33" ht="17.2" customHeight="1">
      <c r="A1273" s="64" t="str">
        <f>IF(priority(Main[[#This Row],[Comments]])&lt;&gt;0, priority(Main[[#This Row],[Comments]]),"")</f>
        <v/>
      </c>
      <c r="B1273" s="60" t="s">
        <v>3439</v>
      </c>
      <c r="C1273" s="72" t="s">
        <v>4</v>
      </c>
      <c r="D1273" s="59" t="s">
        <v>3440</v>
      </c>
      <c r="E1273" s="85"/>
      <c r="F1273" s="85"/>
      <c r="G1273" s="64" t="str">
        <f>IF(stdProdLT(Main[[#This Row],[Comments]])=0.1,"N/A",IF(stdProdLT(Main[[#This Row],[Comments]])=0,"",TRIM(stdProdLT(Main[[#This Row],[Comments]]))))</f>
        <v/>
      </c>
      <c r="H1273" s="94" t="str">
        <f>IF(OR(Main[[#This Row],[Std. Prod. Lead Time]]="N/A",Main[[#This Row],[Std. Prod. Lead Time]]=""), "",IF(AND(Main[[#This Row],[In Stock Date]]&lt;&gt;"",Main[[#This Row],[Revised Due Date]]&lt;&gt;"",Main[[#This Row],[In Stock Date]]&lt;&gt;""),Main[[#This Row],[In Stock Date]]-Main[[#This Row],[Revised Due Date]],""))</f>
        <v/>
      </c>
      <c r="I1273" s="101" t="s">
        <v>4</v>
      </c>
      <c r="J1273" s="95" t="s">
        <v>4</v>
      </c>
      <c r="K1273" s="95" t="s">
        <v>4</v>
      </c>
      <c r="L1273" s="85"/>
      <c r="M1273" s="73" t="str">
        <f>IF(Main[[#This Row],[Tech Start Date]]&lt;1/1/1990,"",IF(Main[[#This Row],[Class]]="C",WORKDAY(Main[[#This Row],[Tech Start Date]],9),IF(Main[[#This Row],[Class]]="B", WORKDAY(Main[[#This Row],[Tech Start Date]],6),IF(Main[[#This Row],[Class]]="A",WORKDAY(Main[[#This Row],[Tech Start Date]],2),""))))</f>
        <v/>
      </c>
      <c r="N1273" s="73" t="str">
        <f>IF(Main[[#This Row],[Tech Start Date]]&lt;1/1/1990,"",IF(Main[[#This Row],[Class]]="C",WORKDAY(Main[[#This Row],[Tech Start Date]],19),IF(Main[[#This Row],[Class]]="B", WORKDAY(Main[[#This Row],[Tech Start Date]],12),IF(Main[[#This Row],[Class]]="A",WORKDAY(Main[[#This Row],[Tech Start Date]],4),""))))</f>
        <v/>
      </c>
      <c r="O1273" s="73" t="str">
        <f>IF(Main[[#This Row],[Tech Start Date]]&lt;1/1/1990,"",IF(Main[[#This Row],[Class]]="C",WORKDAY(Main[[#This Row],[Tech Start Date]],23),IF(Main[[#This Row],[Class]]="B", WORKDAY(Main[[#This Row],[Tech Start Date]],15),IF(Main[[#This Row],[Class]]="A",WORKDAY(Main[[#This Row],[Tech Start Date]],5),""))))</f>
        <v/>
      </c>
      <c r="P1273" s="73" t="str">
        <f>IF(Main[[#This Row],[Tech Start Date]]&lt;1/1/1990,"",IF(Main[[#This Row],[Class]]="C",WORKDAY(Main[[#This Row],[Tech Start Date]],28),IF(Main[[#This Row],[Class]]="B", WORKDAY(Main[[#This Row],[Tech Start Date]],19),IF(Main[[#This Row],[Class]]="A",WORKDAY(Main[[#This Row],[Tech Start Date]],9),""))))</f>
        <v/>
      </c>
      <c r="Q1273" s="85">
        <v>41001</v>
      </c>
      <c r="R1273" s="112"/>
      <c r="S1273" s="95" t="s">
        <v>6</v>
      </c>
      <c r="T1273" s="74" t="s">
        <v>4</v>
      </c>
      <c r="U1273" s="95" t="s">
        <v>14</v>
      </c>
      <c r="V1273" s="95" t="s">
        <v>1914</v>
      </c>
      <c r="W1273" s="95" t="s">
        <v>4</v>
      </c>
      <c r="X1273" s="95" t="s">
        <v>2802</v>
      </c>
      <c r="Y1273" s="72" t="s">
        <v>2916</v>
      </c>
      <c r="Z1273" s="72" t="s">
        <v>4</v>
      </c>
      <c r="AA1273" s="95" t="s">
        <v>2802</v>
      </c>
      <c r="AB1273" s="132"/>
      <c r="AC1273" s="132"/>
      <c r="AD1273" s="132"/>
      <c r="AE1273" s="63"/>
      <c r="AF1273" s="63"/>
      <c r="AG1273" s="63"/>
    </row>
    <row r="1274" spans="1:33" ht="17.2" customHeight="1">
      <c r="A1274" s="64" t="str">
        <f>IF(priority(Main[[#This Row],[Comments]])&lt;&gt;0, priority(Main[[#This Row],[Comments]]),"")</f>
        <v/>
      </c>
      <c r="B1274" s="60" t="s">
        <v>1092</v>
      </c>
      <c r="C1274" s="72" t="s">
        <v>4</v>
      </c>
      <c r="D1274" s="59" t="s">
        <v>3931</v>
      </c>
      <c r="E1274" s="85">
        <v>40086.707800925928</v>
      </c>
      <c r="F1274" s="85"/>
      <c r="G1274" s="64" t="str">
        <f>IF(stdProdLT(Main[[#This Row],[Comments]])=0.1,"N/A",IF(stdProdLT(Main[[#This Row],[Comments]])=0,"",TRIM(stdProdLT(Main[[#This Row],[Comments]]))))</f>
        <v/>
      </c>
      <c r="H1274" s="94" t="str">
        <f>IF(OR(Main[[#This Row],[Std. Prod. Lead Time]]="N/A",Main[[#This Row],[Std. Prod. Lead Time]]=""), "",IF(AND(Main[[#This Row],[In Stock Date]]&lt;&gt;"",Main[[#This Row],[Revised Due Date]]&lt;&gt;"",Main[[#This Row],[In Stock Date]]&lt;&gt;""),Main[[#This Row],[In Stock Date]]-Main[[#This Row],[Revised Due Date]],""))</f>
        <v/>
      </c>
      <c r="I1274" s="101" t="s">
        <v>907</v>
      </c>
      <c r="J1274" s="95" t="s">
        <v>4</v>
      </c>
      <c r="K1274" s="95" t="s">
        <v>1923</v>
      </c>
      <c r="L1274" s="85"/>
      <c r="M1274" s="73" t="str">
        <f>IF(Main[[#This Row],[Tech Start Date]]&lt;1/1/1990,"",IF(Main[[#This Row],[Class]]="C",WORKDAY(Main[[#This Row],[Tech Start Date]],9),IF(Main[[#This Row],[Class]]="B", WORKDAY(Main[[#This Row],[Tech Start Date]],6),IF(Main[[#This Row],[Class]]="A",WORKDAY(Main[[#This Row],[Tech Start Date]],2),""))))</f>
        <v/>
      </c>
      <c r="N1274" s="73" t="str">
        <f>IF(Main[[#This Row],[Tech Start Date]]&lt;1/1/1990,"",IF(Main[[#This Row],[Class]]="C",WORKDAY(Main[[#This Row],[Tech Start Date]],19),IF(Main[[#This Row],[Class]]="B", WORKDAY(Main[[#This Row],[Tech Start Date]],12),IF(Main[[#This Row],[Class]]="A",WORKDAY(Main[[#This Row],[Tech Start Date]],4),""))))</f>
        <v/>
      </c>
      <c r="O1274" s="73" t="str">
        <f>IF(Main[[#This Row],[Tech Start Date]]&lt;1/1/1990,"",IF(Main[[#This Row],[Class]]="C",WORKDAY(Main[[#This Row],[Tech Start Date]],23),IF(Main[[#This Row],[Class]]="B", WORKDAY(Main[[#This Row],[Tech Start Date]],15),IF(Main[[#This Row],[Class]]="A",WORKDAY(Main[[#This Row],[Tech Start Date]],5),""))))</f>
        <v/>
      </c>
      <c r="P1274" s="73" t="str">
        <f>IF(Main[[#This Row],[Tech Start Date]]&lt;1/1/1990,"",IF(Main[[#This Row],[Class]]="C",WORKDAY(Main[[#This Row],[Tech Start Date]],28),IF(Main[[#This Row],[Class]]="B", WORKDAY(Main[[#This Row],[Tech Start Date]],19),IF(Main[[#This Row],[Class]]="A",WORKDAY(Main[[#This Row],[Tech Start Date]],9),""))))</f>
        <v/>
      </c>
      <c r="Q1274" s="85">
        <v>41005</v>
      </c>
      <c r="R1274" s="112">
        <v>41005</v>
      </c>
      <c r="S1274" s="95" t="s">
        <v>17</v>
      </c>
      <c r="T1274" s="74" t="s">
        <v>4</v>
      </c>
      <c r="U1274" s="95" t="s">
        <v>29</v>
      </c>
      <c r="V1274" s="95" t="s">
        <v>1911</v>
      </c>
      <c r="W1274" s="95" t="s">
        <v>1916</v>
      </c>
      <c r="X1274" s="95" t="s">
        <v>129</v>
      </c>
      <c r="Y1274" s="72" t="s">
        <v>2911</v>
      </c>
      <c r="Z1274" s="72" t="s">
        <v>877</v>
      </c>
      <c r="AA1274" s="95" t="s">
        <v>129</v>
      </c>
      <c r="AB1274" s="132"/>
      <c r="AC1274" s="132"/>
      <c r="AD1274" s="132"/>
      <c r="AE1274" s="63"/>
      <c r="AF1274" s="63"/>
      <c r="AG1274" s="63"/>
    </row>
    <row r="1275" spans="1:33" ht="17.2" customHeight="1">
      <c r="A1275" s="64" t="str">
        <f>IF(priority(Main[[#This Row],[Comments]])&lt;&gt;0, priority(Main[[#This Row],[Comments]]),"")</f>
        <v/>
      </c>
      <c r="B1275" s="60" t="s">
        <v>1849</v>
      </c>
      <c r="C1275" s="72" t="s">
        <v>4</v>
      </c>
      <c r="D1275" s="59" t="s">
        <v>2792</v>
      </c>
      <c r="E1275" s="85">
        <v>40365.451284722221</v>
      </c>
      <c r="F1275" s="85"/>
      <c r="G1275" s="64" t="str">
        <f>IF(stdProdLT(Main[[#This Row],[Comments]])=0.1,"N/A",IF(stdProdLT(Main[[#This Row],[Comments]])=0,"",TRIM(stdProdLT(Main[[#This Row],[Comments]]))))</f>
        <v/>
      </c>
      <c r="H1275" s="94" t="str">
        <f>IF(OR(Main[[#This Row],[Std. Prod. Lead Time]]="N/A",Main[[#This Row],[Std. Prod. Lead Time]]=""), "",IF(AND(Main[[#This Row],[In Stock Date]]&lt;&gt;"",Main[[#This Row],[Revised Due Date]]&lt;&gt;"",Main[[#This Row],[In Stock Date]]&lt;&gt;""),Main[[#This Row],[In Stock Date]]-Main[[#This Row],[Revised Due Date]],""))</f>
        <v/>
      </c>
      <c r="I1275" s="101" t="s">
        <v>907</v>
      </c>
      <c r="J1275" s="95" t="s">
        <v>28</v>
      </c>
      <c r="K1275" s="95" t="s">
        <v>1923</v>
      </c>
      <c r="L1275" s="85"/>
      <c r="M1275" s="73" t="str">
        <f>IF(Main[[#This Row],[Tech Start Date]]&lt;1/1/1990,"",IF(Main[[#This Row],[Class]]="C",WORKDAY(Main[[#This Row],[Tech Start Date]],9),IF(Main[[#This Row],[Class]]="B", WORKDAY(Main[[#This Row],[Tech Start Date]],6),IF(Main[[#This Row],[Class]]="A",WORKDAY(Main[[#This Row],[Tech Start Date]],2),""))))</f>
        <v/>
      </c>
      <c r="N1275" s="73" t="str">
        <f>IF(Main[[#This Row],[Tech Start Date]]&lt;1/1/1990,"",IF(Main[[#This Row],[Class]]="C",WORKDAY(Main[[#This Row],[Tech Start Date]],19),IF(Main[[#This Row],[Class]]="B", WORKDAY(Main[[#This Row],[Tech Start Date]],12),IF(Main[[#This Row],[Class]]="A",WORKDAY(Main[[#This Row],[Tech Start Date]],4),""))))</f>
        <v/>
      </c>
      <c r="O1275" s="73" t="str">
        <f>IF(Main[[#This Row],[Tech Start Date]]&lt;1/1/1990,"",IF(Main[[#This Row],[Class]]="C",WORKDAY(Main[[#This Row],[Tech Start Date]],23),IF(Main[[#This Row],[Class]]="B", WORKDAY(Main[[#This Row],[Tech Start Date]],15),IF(Main[[#This Row],[Class]]="A",WORKDAY(Main[[#This Row],[Tech Start Date]],5),""))))</f>
        <v/>
      </c>
      <c r="P1275" s="73" t="str">
        <f>IF(Main[[#This Row],[Tech Start Date]]&lt;1/1/1990,"",IF(Main[[#This Row],[Class]]="C",WORKDAY(Main[[#This Row],[Tech Start Date]],28),IF(Main[[#This Row],[Class]]="B", WORKDAY(Main[[#This Row],[Tech Start Date]],19),IF(Main[[#This Row],[Class]]="A",WORKDAY(Main[[#This Row],[Tech Start Date]],9),""))))</f>
        <v/>
      </c>
      <c r="Q1275" s="85">
        <v>40968</v>
      </c>
      <c r="R1275" s="112">
        <v>40939</v>
      </c>
      <c r="S1275" s="95" t="s">
        <v>17</v>
      </c>
      <c r="T1275" s="74" t="s">
        <v>2581</v>
      </c>
      <c r="U1275" s="95" t="s">
        <v>29</v>
      </c>
      <c r="V1275" s="95" t="s">
        <v>1911</v>
      </c>
      <c r="W1275" s="95" t="s">
        <v>1916</v>
      </c>
      <c r="X1275" s="95" t="s">
        <v>129</v>
      </c>
      <c r="Y1275" s="72" t="s">
        <v>4</v>
      </c>
      <c r="Z1275" s="72" t="s">
        <v>129</v>
      </c>
      <c r="AA1275" s="95" t="s">
        <v>2808</v>
      </c>
      <c r="AB1275" s="132"/>
      <c r="AC1275" s="132"/>
      <c r="AD1275" s="132"/>
      <c r="AE1275" s="63"/>
      <c r="AF1275" s="63"/>
      <c r="AG1275" s="63"/>
    </row>
    <row r="1276" spans="1:33" ht="17.2" customHeight="1">
      <c r="A1276" s="64" t="str">
        <f>IF(priority(Main[[#This Row],[Comments]])&lt;&gt;0, priority(Main[[#This Row],[Comments]]),"")</f>
        <v/>
      </c>
      <c r="B1276" s="60" t="s">
        <v>3273</v>
      </c>
      <c r="C1276" s="72" t="s">
        <v>4</v>
      </c>
      <c r="D1276" s="59" t="s">
        <v>3274</v>
      </c>
      <c r="E1276" s="85">
        <v>40933.744606481479</v>
      </c>
      <c r="F1276" s="85"/>
      <c r="G1276" s="64" t="str">
        <f>IF(stdProdLT(Main[[#This Row],[Comments]])=0.1,"N/A",IF(stdProdLT(Main[[#This Row],[Comments]])=0,"",TRIM(stdProdLT(Main[[#This Row],[Comments]]))))</f>
        <v/>
      </c>
      <c r="H1276" s="94" t="str">
        <f>IF(OR(Main[[#This Row],[Std. Prod. Lead Time]]="N/A",Main[[#This Row],[Std. Prod. Lead Time]]=""), "",IF(AND(Main[[#This Row],[In Stock Date]]&lt;&gt;"",Main[[#This Row],[Revised Due Date]]&lt;&gt;"",Main[[#This Row],[In Stock Date]]&lt;&gt;""),Main[[#This Row],[In Stock Date]]-Main[[#This Row],[Revised Due Date]],""))</f>
        <v/>
      </c>
      <c r="I1276" s="101" t="s">
        <v>4</v>
      </c>
      <c r="J1276" s="95" t="s">
        <v>28</v>
      </c>
      <c r="K1276" s="95" t="s">
        <v>1920</v>
      </c>
      <c r="L1276" s="85"/>
      <c r="M1276" s="73" t="str">
        <f>IF(Main[[#This Row],[Tech Start Date]]&lt;1/1/1990,"",IF(Main[[#This Row],[Class]]="C",WORKDAY(Main[[#This Row],[Tech Start Date]],9),IF(Main[[#This Row],[Class]]="B", WORKDAY(Main[[#This Row],[Tech Start Date]],6),IF(Main[[#This Row],[Class]]="A",WORKDAY(Main[[#This Row],[Tech Start Date]],2),""))))</f>
        <v/>
      </c>
      <c r="N1276" s="73" t="str">
        <f>IF(Main[[#This Row],[Tech Start Date]]&lt;1/1/1990,"",IF(Main[[#This Row],[Class]]="C",WORKDAY(Main[[#This Row],[Tech Start Date]],19),IF(Main[[#This Row],[Class]]="B", WORKDAY(Main[[#This Row],[Tech Start Date]],12),IF(Main[[#This Row],[Class]]="A",WORKDAY(Main[[#This Row],[Tech Start Date]],4),""))))</f>
        <v/>
      </c>
      <c r="O1276" s="73" t="str">
        <f>IF(Main[[#This Row],[Tech Start Date]]&lt;1/1/1990,"",IF(Main[[#This Row],[Class]]="C",WORKDAY(Main[[#This Row],[Tech Start Date]],23),IF(Main[[#This Row],[Class]]="B", WORKDAY(Main[[#This Row],[Tech Start Date]],15),IF(Main[[#This Row],[Class]]="A",WORKDAY(Main[[#This Row],[Tech Start Date]],5),""))))</f>
        <v/>
      </c>
      <c r="P1276" s="73" t="str">
        <f>IF(Main[[#This Row],[Tech Start Date]]&lt;1/1/1990,"",IF(Main[[#This Row],[Class]]="C",WORKDAY(Main[[#This Row],[Tech Start Date]],28),IF(Main[[#This Row],[Class]]="B", WORKDAY(Main[[#This Row],[Tech Start Date]],19),IF(Main[[#This Row],[Class]]="A",WORKDAY(Main[[#This Row],[Tech Start Date]],9),""))))</f>
        <v/>
      </c>
      <c r="Q1276" s="85">
        <v>40934</v>
      </c>
      <c r="R1276" s="112"/>
      <c r="S1276" s="95" t="s">
        <v>6</v>
      </c>
      <c r="T1276" s="74" t="s">
        <v>4</v>
      </c>
      <c r="U1276" s="95" t="s">
        <v>29</v>
      </c>
      <c r="V1276" s="95" t="s">
        <v>1911</v>
      </c>
      <c r="W1276" s="95" t="s">
        <v>1915</v>
      </c>
      <c r="X1276" s="95" t="s">
        <v>2875</v>
      </c>
      <c r="Y1276" s="72" t="s">
        <v>3038</v>
      </c>
      <c r="Z1276" s="72" t="s">
        <v>4</v>
      </c>
      <c r="AA1276" s="95" t="s">
        <v>2875</v>
      </c>
      <c r="AB1276" s="132"/>
      <c r="AC1276" s="132"/>
      <c r="AD1276" s="132"/>
      <c r="AE1276" s="63"/>
      <c r="AF1276" s="63"/>
      <c r="AG1276" s="63"/>
    </row>
    <row r="1277" spans="1:33" ht="17.2" customHeight="1">
      <c r="A1277" s="64" t="str">
        <f>IF(priority(Main[[#This Row],[Comments]])&lt;&gt;0, priority(Main[[#This Row],[Comments]]),"")</f>
        <v/>
      </c>
      <c r="B1277" s="60" t="s">
        <v>3523</v>
      </c>
      <c r="C1277" s="72" t="s">
        <v>4</v>
      </c>
      <c r="D1277" s="59" t="s">
        <v>3652</v>
      </c>
      <c r="E1277" s="85">
        <v>40952.339131944442</v>
      </c>
      <c r="F1277" s="85"/>
      <c r="G1277" s="64" t="str">
        <f>IF(stdProdLT(Main[[#This Row],[Comments]])=0.1,"N/A",IF(stdProdLT(Main[[#This Row],[Comments]])=0,"",TRIM(stdProdLT(Main[[#This Row],[Comments]]))))</f>
        <v/>
      </c>
      <c r="H1277" s="94" t="str">
        <f>IF(OR(Main[[#This Row],[Std. Prod. Lead Time]]="N/A",Main[[#This Row],[Std. Prod. Lead Time]]=""), "",IF(AND(Main[[#This Row],[In Stock Date]]&lt;&gt;"",Main[[#This Row],[Revised Due Date]]&lt;&gt;"",Main[[#This Row],[In Stock Date]]&lt;&gt;""),Main[[#This Row],[In Stock Date]]-Main[[#This Row],[Revised Due Date]],""))</f>
        <v/>
      </c>
      <c r="I1277" s="101" t="s">
        <v>69</v>
      </c>
      <c r="J1277" s="95" t="s">
        <v>70</v>
      </c>
      <c r="K1277" s="95" t="s">
        <v>1920</v>
      </c>
      <c r="L1277" s="85"/>
      <c r="M1277" s="73" t="str">
        <f>IF(Main[[#This Row],[Tech Start Date]]&lt;1/1/1990,"",IF(Main[[#This Row],[Class]]="C",WORKDAY(Main[[#This Row],[Tech Start Date]],9),IF(Main[[#This Row],[Class]]="B", WORKDAY(Main[[#This Row],[Tech Start Date]],6),IF(Main[[#This Row],[Class]]="A",WORKDAY(Main[[#This Row],[Tech Start Date]],2),""))))</f>
        <v/>
      </c>
      <c r="N1277" s="73" t="str">
        <f>IF(Main[[#This Row],[Tech Start Date]]&lt;1/1/1990,"",IF(Main[[#This Row],[Class]]="C",WORKDAY(Main[[#This Row],[Tech Start Date]],19),IF(Main[[#This Row],[Class]]="B", WORKDAY(Main[[#This Row],[Tech Start Date]],12),IF(Main[[#This Row],[Class]]="A",WORKDAY(Main[[#This Row],[Tech Start Date]],4),""))))</f>
        <v/>
      </c>
      <c r="O1277" s="73" t="str">
        <f>IF(Main[[#This Row],[Tech Start Date]]&lt;1/1/1990,"",IF(Main[[#This Row],[Class]]="C",WORKDAY(Main[[#This Row],[Tech Start Date]],23),IF(Main[[#This Row],[Class]]="B", WORKDAY(Main[[#This Row],[Tech Start Date]],15),IF(Main[[#This Row],[Class]]="A",WORKDAY(Main[[#This Row],[Tech Start Date]],5),""))))</f>
        <v/>
      </c>
      <c r="P1277" s="73" t="str">
        <f>IF(Main[[#This Row],[Tech Start Date]]&lt;1/1/1990,"",IF(Main[[#This Row],[Class]]="C",WORKDAY(Main[[#This Row],[Tech Start Date]],28),IF(Main[[#This Row],[Class]]="B", WORKDAY(Main[[#This Row],[Tech Start Date]],19),IF(Main[[#This Row],[Class]]="A",WORKDAY(Main[[#This Row],[Tech Start Date]],9),""))))</f>
        <v/>
      </c>
      <c r="Q1277" s="85">
        <v>40984</v>
      </c>
      <c r="R1277" s="112"/>
      <c r="S1277" s="95" t="s">
        <v>6</v>
      </c>
      <c r="T1277" s="74" t="s">
        <v>4</v>
      </c>
      <c r="U1277" s="95" t="s">
        <v>29</v>
      </c>
      <c r="V1277" s="95" t="s">
        <v>1914</v>
      </c>
      <c r="W1277" s="95" t="s">
        <v>1915</v>
      </c>
      <c r="X1277" s="95" t="s">
        <v>2883</v>
      </c>
      <c r="Y1277" s="72" t="s">
        <v>3061</v>
      </c>
      <c r="Z1277" s="72" t="s">
        <v>30</v>
      </c>
      <c r="AA1277" s="95" t="s">
        <v>2883</v>
      </c>
      <c r="AB1277" s="132"/>
      <c r="AC1277" s="132"/>
      <c r="AD1277" s="132"/>
      <c r="AE1277" s="63"/>
      <c r="AF1277" s="63"/>
      <c r="AG1277" s="63"/>
    </row>
    <row r="1278" spans="1:33" ht="17.2" customHeight="1">
      <c r="A1278" s="64" t="str">
        <f>IF(priority(Main[[#This Row],[Comments]])&lt;&gt;0, priority(Main[[#This Row],[Comments]]),"")</f>
        <v/>
      </c>
      <c r="B1278" s="60" t="s">
        <v>1891</v>
      </c>
      <c r="C1278" s="72" t="s">
        <v>4</v>
      </c>
      <c r="D1278" s="59" t="s">
        <v>3943</v>
      </c>
      <c r="E1278" s="85">
        <v>40203.692094907405</v>
      </c>
      <c r="F1278" s="85"/>
      <c r="G1278" s="64" t="str">
        <f>IF(stdProdLT(Main[[#This Row],[Comments]])=0.1,"N/A",IF(stdProdLT(Main[[#This Row],[Comments]])=0,"",TRIM(stdProdLT(Main[[#This Row],[Comments]]))))</f>
        <v/>
      </c>
      <c r="H1278" s="94" t="str">
        <f>IF(OR(Main[[#This Row],[Std. Prod. Lead Time]]="N/A",Main[[#This Row],[Std. Prod. Lead Time]]=""), "",IF(AND(Main[[#This Row],[In Stock Date]]&lt;&gt;"",Main[[#This Row],[Revised Due Date]]&lt;&gt;"",Main[[#This Row],[In Stock Date]]&lt;&gt;""),Main[[#This Row],[In Stock Date]]-Main[[#This Row],[Revised Due Date]],""))</f>
        <v/>
      </c>
      <c r="I1278" s="101" t="s">
        <v>886</v>
      </c>
      <c r="J1278" s="95" t="s">
        <v>28</v>
      </c>
      <c r="K1278" s="95" t="s">
        <v>1923</v>
      </c>
      <c r="L1278" s="85"/>
      <c r="M1278" s="73" t="str">
        <f>IF(Main[[#This Row],[Tech Start Date]]&lt;1/1/1990,"",IF(Main[[#This Row],[Class]]="C",WORKDAY(Main[[#This Row],[Tech Start Date]],9),IF(Main[[#This Row],[Class]]="B", WORKDAY(Main[[#This Row],[Tech Start Date]],6),IF(Main[[#This Row],[Class]]="A",WORKDAY(Main[[#This Row],[Tech Start Date]],2),""))))</f>
        <v/>
      </c>
      <c r="N1278" s="73" t="str">
        <f>IF(Main[[#This Row],[Tech Start Date]]&lt;1/1/1990,"",IF(Main[[#This Row],[Class]]="C",WORKDAY(Main[[#This Row],[Tech Start Date]],19),IF(Main[[#This Row],[Class]]="B", WORKDAY(Main[[#This Row],[Tech Start Date]],12),IF(Main[[#This Row],[Class]]="A",WORKDAY(Main[[#This Row],[Tech Start Date]],4),""))))</f>
        <v/>
      </c>
      <c r="O1278" s="73" t="str">
        <f>IF(Main[[#This Row],[Tech Start Date]]&lt;1/1/1990,"",IF(Main[[#This Row],[Class]]="C",WORKDAY(Main[[#This Row],[Tech Start Date]],23),IF(Main[[#This Row],[Class]]="B", WORKDAY(Main[[#This Row],[Tech Start Date]],15),IF(Main[[#This Row],[Class]]="A",WORKDAY(Main[[#This Row],[Tech Start Date]],5),""))))</f>
        <v/>
      </c>
      <c r="P1278" s="73" t="str">
        <f>IF(Main[[#This Row],[Tech Start Date]]&lt;1/1/1990,"",IF(Main[[#This Row],[Class]]="C",WORKDAY(Main[[#This Row],[Tech Start Date]],28),IF(Main[[#This Row],[Class]]="B", WORKDAY(Main[[#This Row],[Tech Start Date]],19),IF(Main[[#This Row],[Class]]="A",WORKDAY(Main[[#This Row],[Tech Start Date]],9),""))))</f>
        <v/>
      </c>
      <c r="Q1278" s="85">
        <v>40724</v>
      </c>
      <c r="R1278" s="112">
        <v>41152</v>
      </c>
      <c r="S1278" s="95" t="s">
        <v>17</v>
      </c>
      <c r="T1278" s="74" t="s">
        <v>2455</v>
      </c>
      <c r="U1278" s="95" t="s">
        <v>29</v>
      </c>
      <c r="V1278" s="95" t="s">
        <v>1911</v>
      </c>
      <c r="W1278" s="95" t="s">
        <v>1916</v>
      </c>
      <c r="X1278" s="95" t="s">
        <v>129</v>
      </c>
      <c r="Y1278" s="72" t="s">
        <v>2911</v>
      </c>
      <c r="Z1278" s="72" t="s">
        <v>129</v>
      </c>
      <c r="AA1278" s="95" t="s">
        <v>129</v>
      </c>
      <c r="AB1278" s="132"/>
      <c r="AC1278" s="132"/>
      <c r="AD1278" s="132"/>
      <c r="AE1278" s="63"/>
      <c r="AF1278" s="63"/>
      <c r="AG1278" s="63"/>
    </row>
    <row r="1279" spans="1:33" ht="17.2" customHeight="1">
      <c r="A1279" s="64" t="str">
        <f>IF(priority(Main[[#This Row],[Comments]])&lt;&gt;0, priority(Main[[#This Row],[Comments]]),"")</f>
        <v/>
      </c>
      <c r="B1279" s="60" t="s">
        <v>1868</v>
      </c>
      <c r="C1279" s="72" t="s">
        <v>4</v>
      </c>
      <c r="D1279" s="59" t="s">
        <v>3944</v>
      </c>
      <c r="E1279" s="85">
        <v>40352.443437499998</v>
      </c>
      <c r="F1279" s="85"/>
      <c r="G1279" s="64" t="str">
        <f>IF(stdProdLT(Main[[#This Row],[Comments]])=0.1,"N/A",IF(stdProdLT(Main[[#This Row],[Comments]])=0,"",TRIM(stdProdLT(Main[[#This Row],[Comments]]))))</f>
        <v/>
      </c>
      <c r="H1279" s="94" t="str">
        <f>IF(OR(Main[[#This Row],[Std. Prod. Lead Time]]="N/A",Main[[#This Row],[Std. Prod. Lead Time]]=""), "",IF(AND(Main[[#This Row],[In Stock Date]]&lt;&gt;"",Main[[#This Row],[Revised Due Date]]&lt;&gt;"",Main[[#This Row],[In Stock Date]]&lt;&gt;""),Main[[#This Row],[In Stock Date]]-Main[[#This Row],[Revised Due Date]],""))</f>
        <v/>
      </c>
      <c r="I1279" s="101" t="s">
        <v>2613</v>
      </c>
      <c r="J1279" s="95" t="s">
        <v>28</v>
      </c>
      <c r="K1279" s="95" t="s">
        <v>1923</v>
      </c>
      <c r="L1279" s="85"/>
      <c r="M1279" s="73" t="str">
        <f>IF(Main[[#This Row],[Tech Start Date]]&lt;1/1/1990,"",IF(Main[[#This Row],[Class]]="C",WORKDAY(Main[[#This Row],[Tech Start Date]],9),IF(Main[[#This Row],[Class]]="B", WORKDAY(Main[[#This Row],[Tech Start Date]],6),IF(Main[[#This Row],[Class]]="A",WORKDAY(Main[[#This Row],[Tech Start Date]],2),""))))</f>
        <v/>
      </c>
      <c r="N1279" s="73" t="str">
        <f>IF(Main[[#This Row],[Tech Start Date]]&lt;1/1/1990,"",IF(Main[[#This Row],[Class]]="C",WORKDAY(Main[[#This Row],[Tech Start Date]],19),IF(Main[[#This Row],[Class]]="B", WORKDAY(Main[[#This Row],[Tech Start Date]],12),IF(Main[[#This Row],[Class]]="A",WORKDAY(Main[[#This Row],[Tech Start Date]],4),""))))</f>
        <v/>
      </c>
      <c r="O1279" s="73" t="str">
        <f>IF(Main[[#This Row],[Tech Start Date]]&lt;1/1/1990,"",IF(Main[[#This Row],[Class]]="C",WORKDAY(Main[[#This Row],[Tech Start Date]],23),IF(Main[[#This Row],[Class]]="B", WORKDAY(Main[[#This Row],[Tech Start Date]],15),IF(Main[[#This Row],[Class]]="A",WORKDAY(Main[[#This Row],[Tech Start Date]],5),""))))</f>
        <v/>
      </c>
      <c r="P1279" s="73" t="str">
        <f>IF(Main[[#This Row],[Tech Start Date]]&lt;1/1/1990,"",IF(Main[[#This Row],[Class]]="C",WORKDAY(Main[[#This Row],[Tech Start Date]],28),IF(Main[[#This Row],[Class]]="B", WORKDAY(Main[[#This Row],[Tech Start Date]],19),IF(Main[[#This Row],[Class]]="A",WORKDAY(Main[[#This Row],[Tech Start Date]],9),""))))</f>
        <v/>
      </c>
      <c r="Q1279" s="85">
        <v>40633</v>
      </c>
      <c r="R1279" s="112">
        <v>41060</v>
      </c>
      <c r="S1279" s="95" t="s">
        <v>17</v>
      </c>
      <c r="T1279" s="74" t="s">
        <v>2457</v>
      </c>
      <c r="U1279" s="95" t="s">
        <v>29</v>
      </c>
      <c r="V1279" s="95" t="s">
        <v>1911</v>
      </c>
      <c r="W1279" s="95" t="s">
        <v>1916</v>
      </c>
      <c r="X1279" s="95" t="s">
        <v>129</v>
      </c>
      <c r="Y1279" s="72" t="s">
        <v>2911</v>
      </c>
      <c r="Z1279" s="72" t="s">
        <v>129</v>
      </c>
      <c r="AA1279" s="95" t="s">
        <v>129</v>
      </c>
      <c r="AB1279" s="132"/>
      <c r="AC1279" s="132"/>
      <c r="AD1279" s="132"/>
      <c r="AE1279" s="63"/>
      <c r="AF1279" s="63"/>
      <c r="AG1279" s="63"/>
    </row>
    <row r="1280" spans="1:33" ht="17.2" customHeight="1">
      <c r="A1280" s="64" t="str">
        <f>IF(priority(Main[[#This Row],[Comments]])&lt;&gt;0, priority(Main[[#This Row],[Comments]]),"")</f>
        <v/>
      </c>
      <c r="B1280" s="60" t="s">
        <v>3494</v>
      </c>
      <c r="C1280" s="72" t="s">
        <v>4</v>
      </c>
      <c r="D1280" s="59" t="s">
        <v>3589</v>
      </c>
      <c r="E1280" s="85">
        <v>40948.438587962963</v>
      </c>
      <c r="F1280" s="85"/>
      <c r="G1280" s="64" t="str">
        <f>IF(stdProdLT(Main[[#This Row],[Comments]])=0.1,"N/A",IF(stdProdLT(Main[[#This Row],[Comments]])=0,"",TRIM(stdProdLT(Main[[#This Row],[Comments]]))))</f>
        <v/>
      </c>
      <c r="H1280" s="94" t="str">
        <f>IF(OR(Main[[#This Row],[Std. Prod. Lead Time]]="N/A",Main[[#This Row],[Std. Prod. Lead Time]]=""), "",IF(AND(Main[[#This Row],[In Stock Date]]&lt;&gt;"",Main[[#This Row],[Revised Due Date]]&lt;&gt;"",Main[[#This Row],[In Stock Date]]&lt;&gt;""),Main[[#This Row],[In Stock Date]]-Main[[#This Row],[Revised Due Date]],""))</f>
        <v/>
      </c>
      <c r="I1280" s="101" t="s">
        <v>4</v>
      </c>
      <c r="J1280" s="95" t="s">
        <v>4</v>
      </c>
      <c r="K1280" s="95" t="s">
        <v>4</v>
      </c>
      <c r="L1280" s="85"/>
      <c r="M1280" s="73" t="str">
        <f>IF(Main[[#This Row],[Tech Start Date]]&lt;1/1/1990,"",IF(Main[[#This Row],[Class]]="C",WORKDAY(Main[[#This Row],[Tech Start Date]],9),IF(Main[[#This Row],[Class]]="B", WORKDAY(Main[[#This Row],[Tech Start Date]],6),IF(Main[[#This Row],[Class]]="A",WORKDAY(Main[[#This Row],[Tech Start Date]],2),""))))</f>
        <v/>
      </c>
      <c r="N1280" s="73" t="str">
        <f>IF(Main[[#This Row],[Tech Start Date]]&lt;1/1/1990,"",IF(Main[[#This Row],[Class]]="C",WORKDAY(Main[[#This Row],[Tech Start Date]],19),IF(Main[[#This Row],[Class]]="B", WORKDAY(Main[[#This Row],[Tech Start Date]],12),IF(Main[[#This Row],[Class]]="A",WORKDAY(Main[[#This Row],[Tech Start Date]],4),""))))</f>
        <v/>
      </c>
      <c r="O1280" s="73" t="str">
        <f>IF(Main[[#This Row],[Tech Start Date]]&lt;1/1/1990,"",IF(Main[[#This Row],[Class]]="C",WORKDAY(Main[[#This Row],[Tech Start Date]],23),IF(Main[[#This Row],[Class]]="B", WORKDAY(Main[[#This Row],[Tech Start Date]],15),IF(Main[[#This Row],[Class]]="A",WORKDAY(Main[[#This Row],[Tech Start Date]],5),""))))</f>
        <v/>
      </c>
      <c r="P1280" s="73" t="str">
        <f>IF(Main[[#This Row],[Tech Start Date]]&lt;1/1/1990,"",IF(Main[[#This Row],[Class]]="C",WORKDAY(Main[[#This Row],[Tech Start Date]],28),IF(Main[[#This Row],[Class]]="B", WORKDAY(Main[[#This Row],[Tech Start Date]],19),IF(Main[[#This Row],[Class]]="A",WORKDAY(Main[[#This Row],[Tech Start Date]],9),""))))</f>
        <v/>
      </c>
      <c r="Q1280" s="85"/>
      <c r="R1280" s="112"/>
      <c r="S1280" s="95" t="s">
        <v>6</v>
      </c>
      <c r="T1280" s="74" t="s">
        <v>4</v>
      </c>
      <c r="U1280" s="95" t="s">
        <v>29</v>
      </c>
      <c r="V1280" s="95" t="s">
        <v>1911</v>
      </c>
      <c r="W1280" s="95" t="s">
        <v>1915</v>
      </c>
      <c r="X1280" s="95" t="s">
        <v>102</v>
      </c>
      <c r="Y1280" s="72" t="s">
        <v>3058</v>
      </c>
      <c r="Z1280" s="72" t="s">
        <v>4</v>
      </c>
      <c r="AA1280" s="95" t="s">
        <v>3384</v>
      </c>
      <c r="AB1280" s="132"/>
      <c r="AC1280" s="132"/>
      <c r="AD1280" s="132"/>
      <c r="AE1280" s="63"/>
      <c r="AF1280" s="63"/>
      <c r="AG1280" s="63"/>
    </row>
    <row r="1281" spans="1:33" ht="17.2" customHeight="1">
      <c r="A1281" s="64" t="str">
        <f>IF(priority(Main[[#This Row],[Comments]])&lt;&gt;0, priority(Main[[#This Row],[Comments]]),"")</f>
        <v/>
      </c>
      <c r="B1281" s="60" t="s">
        <v>3938</v>
      </c>
      <c r="C1281" s="72" t="s">
        <v>3939</v>
      </c>
      <c r="D1281" s="59" t="s">
        <v>3940</v>
      </c>
      <c r="E1281" s="85">
        <v>40973.345370370371</v>
      </c>
      <c r="F1281" s="85"/>
      <c r="G1281" s="64" t="str">
        <f>IF(stdProdLT(Main[[#This Row],[Comments]])=0.1,"N/A",IF(stdProdLT(Main[[#This Row],[Comments]])=0,"",TRIM(stdProdLT(Main[[#This Row],[Comments]]))))</f>
        <v/>
      </c>
      <c r="H1281" s="94" t="str">
        <f>IF(OR(Main[[#This Row],[Std. Prod. Lead Time]]="N/A",Main[[#This Row],[Std. Prod. Lead Time]]=""), "",IF(AND(Main[[#This Row],[In Stock Date]]&lt;&gt;"",Main[[#This Row],[Revised Due Date]]&lt;&gt;"",Main[[#This Row],[In Stock Date]]&lt;&gt;""),Main[[#This Row],[In Stock Date]]-Main[[#This Row],[Revised Due Date]],""))</f>
        <v/>
      </c>
      <c r="I1281" s="101" t="s">
        <v>2821</v>
      </c>
      <c r="J1281" s="95" t="s">
        <v>4</v>
      </c>
      <c r="K1281" s="95" t="s">
        <v>4</v>
      </c>
      <c r="L1281" s="85"/>
      <c r="M1281" s="73" t="str">
        <f>IF(Main[[#This Row],[Tech Start Date]]&lt;1/1/1990,"",IF(Main[[#This Row],[Class]]="C",WORKDAY(Main[[#This Row],[Tech Start Date]],9),IF(Main[[#This Row],[Class]]="B", WORKDAY(Main[[#This Row],[Tech Start Date]],6),IF(Main[[#This Row],[Class]]="A",WORKDAY(Main[[#This Row],[Tech Start Date]],2),""))))</f>
        <v/>
      </c>
      <c r="N1281" s="73" t="str">
        <f>IF(Main[[#This Row],[Tech Start Date]]&lt;1/1/1990,"",IF(Main[[#This Row],[Class]]="C",WORKDAY(Main[[#This Row],[Tech Start Date]],19),IF(Main[[#This Row],[Class]]="B", WORKDAY(Main[[#This Row],[Tech Start Date]],12),IF(Main[[#This Row],[Class]]="A",WORKDAY(Main[[#This Row],[Tech Start Date]],4),""))))</f>
        <v/>
      </c>
      <c r="O1281" s="73" t="str">
        <f>IF(Main[[#This Row],[Tech Start Date]]&lt;1/1/1990,"",IF(Main[[#This Row],[Class]]="C",WORKDAY(Main[[#This Row],[Tech Start Date]],23),IF(Main[[#This Row],[Class]]="B", WORKDAY(Main[[#This Row],[Tech Start Date]],15),IF(Main[[#This Row],[Class]]="A",WORKDAY(Main[[#This Row],[Tech Start Date]],5),""))))</f>
        <v/>
      </c>
      <c r="P1281" s="73" t="str">
        <f>IF(Main[[#This Row],[Tech Start Date]]&lt;1/1/1990,"",IF(Main[[#This Row],[Class]]="C",WORKDAY(Main[[#This Row],[Tech Start Date]],28),IF(Main[[#This Row],[Class]]="B", WORKDAY(Main[[#This Row],[Tech Start Date]],19),IF(Main[[#This Row],[Class]]="A",WORKDAY(Main[[#This Row],[Tech Start Date]],9),""))))</f>
        <v/>
      </c>
      <c r="Q1281" s="85"/>
      <c r="R1281" s="112"/>
      <c r="S1281" s="95" t="s">
        <v>6</v>
      </c>
      <c r="T1281" s="74" t="s">
        <v>4</v>
      </c>
      <c r="U1281" s="95" t="s">
        <v>29</v>
      </c>
      <c r="V1281" s="95" t="s">
        <v>2277</v>
      </c>
      <c r="W1281" s="95" t="s">
        <v>1915</v>
      </c>
      <c r="X1281" s="95" t="s">
        <v>2821</v>
      </c>
      <c r="Y1281" s="72" t="s">
        <v>2949</v>
      </c>
      <c r="Z1281" s="72" t="s">
        <v>4</v>
      </c>
      <c r="AA1281" s="95" t="s">
        <v>2821</v>
      </c>
      <c r="AB1281" s="132"/>
      <c r="AC1281" s="132"/>
      <c r="AD1281" s="132"/>
      <c r="AE1281" s="63"/>
      <c r="AF1281" s="63"/>
      <c r="AG1281" s="63"/>
    </row>
    <row r="1282" spans="1:33" ht="17.2" customHeight="1">
      <c r="A1282" s="64" t="str">
        <f>IF(priority(Main[[#This Row],[Comments]])&lt;&gt;0, priority(Main[[#This Row],[Comments]]),"")</f>
        <v/>
      </c>
      <c r="B1282" s="60" t="s">
        <v>3800</v>
      </c>
      <c r="C1282" s="72" t="s">
        <v>3442</v>
      </c>
      <c r="D1282" s="59" t="s">
        <v>3801</v>
      </c>
      <c r="E1282" s="85">
        <v>40968.753009259257</v>
      </c>
      <c r="F1282" s="85">
        <v>41186</v>
      </c>
      <c r="G1282" s="64" t="str">
        <f>IF(stdProdLT(Main[[#This Row],[Comments]])=0.1,"N/A",IF(stdProdLT(Main[[#This Row],[Comments]])=0,"",TRIM(stdProdLT(Main[[#This Row],[Comments]]))))</f>
        <v>140</v>
      </c>
      <c r="H1282" s="94" t="str">
        <f>IF(OR(Main[[#This Row],[Std. Prod. Lead Time]]="N/A",Main[[#This Row],[Std. Prod. Lead Time]]=""), "",IF(AND(Main[[#This Row],[In Stock Date]]&lt;&gt;"",Main[[#This Row],[Revised Due Date]]&lt;&gt;"",Main[[#This Row],[In Stock Date]]&lt;&gt;""),Main[[#This Row],[In Stock Date]]-Main[[#This Row],[Revised Due Date]],""))</f>
        <v/>
      </c>
      <c r="I1282" s="101" t="s">
        <v>4</v>
      </c>
      <c r="J1282" s="95" t="s">
        <v>4</v>
      </c>
      <c r="K1282" s="95" t="s">
        <v>4</v>
      </c>
      <c r="L1282" s="85"/>
      <c r="M1282" s="73" t="str">
        <f>IF(Main[[#This Row],[Tech Start Date]]&lt;1/1/1990,"",IF(Main[[#This Row],[Class]]="C",WORKDAY(Main[[#This Row],[Tech Start Date]],9),IF(Main[[#This Row],[Class]]="B", WORKDAY(Main[[#This Row],[Tech Start Date]],6),IF(Main[[#This Row],[Class]]="A",WORKDAY(Main[[#This Row],[Tech Start Date]],2),""))))</f>
        <v/>
      </c>
      <c r="N1282" s="73" t="str">
        <f>IF(Main[[#This Row],[Tech Start Date]]&lt;1/1/1990,"",IF(Main[[#This Row],[Class]]="C",WORKDAY(Main[[#This Row],[Tech Start Date]],19),IF(Main[[#This Row],[Class]]="B", WORKDAY(Main[[#This Row],[Tech Start Date]],12),IF(Main[[#This Row],[Class]]="A",WORKDAY(Main[[#This Row],[Tech Start Date]],4),""))))</f>
        <v/>
      </c>
      <c r="O1282" s="73" t="str">
        <f>IF(Main[[#This Row],[Tech Start Date]]&lt;1/1/1990,"",IF(Main[[#This Row],[Class]]="C",WORKDAY(Main[[#This Row],[Tech Start Date]],23),IF(Main[[#This Row],[Class]]="B", WORKDAY(Main[[#This Row],[Tech Start Date]],15),IF(Main[[#This Row],[Class]]="A",WORKDAY(Main[[#This Row],[Tech Start Date]],5),""))))</f>
        <v/>
      </c>
      <c r="P1282" s="73" t="str">
        <f>IF(Main[[#This Row],[Tech Start Date]]&lt;1/1/1990,"",IF(Main[[#This Row],[Class]]="C",WORKDAY(Main[[#This Row],[Tech Start Date]],28),IF(Main[[#This Row],[Class]]="B", WORKDAY(Main[[#This Row],[Tech Start Date]],19),IF(Main[[#This Row],[Class]]="A",WORKDAY(Main[[#This Row],[Tech Start Date]],9),""))))</f>
        <v/>
      </c>
      <c r="Q1282" s="85">
        <v>41004</v>
      </c>
      <c r="R1282" s="112"/>
      <c r="S1282" s="95" t="s">
        <v>11</v>
      </c>
      <c r="T1282" s="74" t="s">
        <v>3941</v>
      </c>
      <c r="U1282" s="95" t="s">
        <v>694</v>
      </c>
      <c r="V1282" s="95" t="s">
        <v>1914</v>
      </c>
      <c r="W1282" s="95" t="s">
        <v>1919</v>
      </c>
      <c r="X1282" s="95" t="s">
        <v>3444</v>
      </c>
      <c r="Y1282" s="72" t="s">
        <v>4</v>
      </c>
      <c r="Z1282" s="72" t="s">
        <v>4</v>
      </c>
      <c r="AA1282" s="95" t="s">
        <v>3444</v>
      </c>
      <c r="AB1282" s="132"/>
      <c r="AC1282" s="132"/>
      <c r="AD1282" s="132"/>
      <c r="AE1282" s="63"/>
      <c r="AF1282" s="63"/>
      <c r="AG1282" s="63"/>
    </row>
    <row r="1283" spans="1:33" ht="17.2" customHeight="1">
      <c r="A1283" s="64" t="str">
        <f>IF(priority(Main[[#This Row],[Comments]])&lt;&gt;0, priority(Main[[#This Row],[Comments]]),"")</f>
        <v/>
      </c>
      <c r="B1283" s="60" t="s">
        <v>1846</v>
      </c>
      <c r="C1283" s="72" t="s">
        <v>4</v>
      </c>
      <c r="D1283" s="59" t="s">
        <v>904</v>
      </c>
      <c r="E1283" s="85">
        <v>39968.569513888891</v>
      </c>
      <c r="F1283" s="85">
        <v>40298</v>
      </c>
      <c r="G1283" s="64" t="str">
        <f>IF(stdProdLT(Main[[#This Row],[Comments]])=0.1,"N/A",IF(stdProdLT(Main[[#This Row],[Comments]])=0,"",TRIM(stdProdLT(Main[[#This Row],[Comments]]))))</f>
        <v/>
      </c>
      <c r="H1283" s="94" t="str">
        <f>IF(OR(Main[[#This Row],[Std. Prod. Lead Time]]="N/A",Main[[#This Row],[Std. Prod. Lead Time]]=""), "",IF(AND(Main[[#This Row],[In Stock Date]]&lt;&gt;"",Main[[#This Row],[Revised Due Date]]&lt;&gt;"",Main[[#This Row],[In Stock Date]]&lt;&gt;""),Main[[#This Row],[In Stock Date]]-Main[[#This Row],[Revised Due Date]],""))</f>
        <v/>
      </c>
      <c r="I1283" s="101" t="s">
        <v>974</v>
      </c>
      <c r="J1283" s="95" t="s">
        <v>4</v>
      </c>
      <c r="K1283" s="95" t="s">
        <v>1923</v>
      </c>
      <c r="L1283" s="85"/>
      <c r="M1283" s="73" t="str">
        <f>IF(Main[[#This Row],[Tech Start Date]]&lt;1/1/1990,"",IF(Main[[#This Row],[Class]]="C",WORKDAY(Main[[#This Row],[Tech Start Date]],9),IF(Main[[#This Row],[Class]]="B", WORKDAY(Main[[#This Row],[Tech Start Date]],6),IF(Main[[#This Row],[Class]]="A",WORKDAY(Main[[#This Row],[Tech Start Date]],2),""))))</f>
        <v/>
      </c>
      <c r="N1283" s="73" t="str">
        <f>IF(Main[[#This Row],[Tech Start Date]]&lt;1/1/1990,"",IF(Main[[#This Row],[Class]]="C",WORKDAY(Main[[#This Row],[Tech Start Date]],19),IF(Main[[#This Row],[Class]]="B", WORKDAY(Main[[#This Row],[Tech Start Date]],12),IF(Main[[#This Row],[Class]]="A",WORKDAY(Main[[#This Row],[Tech Start Date]],4),""))))</f>
        <v/>
      </c>
      <c r="O1283" s="73" t="str">
        <f>IF(Main[[#This Row],[Tech Start Date]]&lt;1/1/1990,"",IF(Main[[#This Row],[Class]]="C",WORKDAY(Main[[#This Row],[Tech Start Date]],23),IF(Main[[#This Row],[Class]]="B", WORKDAY(Main[[#This Row],[Tech Start Date]],15),IF(Main[[#This Row],[Class]]="A",WORKDAY(Main[[#This Row],[Tech Start Date]],5),""))))</f>
        <v/>
      </c>
      <c r="P1283" s="73" t="str">
        <f>IF(Main[[#This Row],[Tech Start Date]]&lt;1/1/1990,"",IF(Main[[#This Row],[Class]]="C",WORKDAY(Main[[#This Row],[Tech Start Date]],28),IF(Main[[#This Row],[Class]]="B", WORKDAY(Main[[#This Row],[Tech Start Date]],19),IF(Main[[#This Row],[Class]]="A",WORKDAY(Main[[#This Row],[Tech Start Date]],9),""))))</f>
        <v/>
      </c>
      <c r="Q1283" s="85">
        <v>40165</v>
      </c>
      <c r="R1283" s="112">
        <v>41002</v>
      </c>
      <c r="S1283" s="95" t="s">
        <v>17</v>
      </c>
      <c r="T1283" s="74" t="s">
        <v>4</v>
      </c>
      <c r="U1283" s="95" t="s">
        <v>29</v>
      </c>
      <c r="V1283" s="95" t="s">
        <v>1914</v>
      </c>
      <c r="W1283" s="95" t="s">
        <v>1916</v>
      </c>
      <c r="X1283" s="95" t="s">
        <v>968</v>
      </c>
      <c r="Y1283" s="72" t="s">
        <v>3093</v>
      </c>
      <c r="Z1283" s="72" t="s">
        <v>415</v>
      </c>
      <c r="AA1283" s="95" t="s">
        <v>968</v>
      </c>
      <c r="AB1283" s="132"/>
      <c r="AC1283" s="132"/>
      <c r="AD1283" s="132"/>
      <c r="AE1283" s="63"/>
      <c r="AF1283" s="63"/>
      <c r="AG1283" s="63"/>
    </row>
    <row r="1284" spans="1:33" ht="17.2" customHeight="1">
      <c r="A1284" s="64" t="str">
        <f>IF(priority(Main[[#This Row],[Comments]])&lt;&gt;0, priority(Main[[#This Row],[Comments]]),"")</f>
        <v/>
      </c>
      <c r="B1284" s="60" t="s">
        <v>3241</v>
      </c>
      <c r="C1284" s="72" t="s">
        <v>4</v>
      </c>
      <c r="D1284" s="59" t="s">
        <v>3648</v>
      </c>
      <c r="E1284" s="85">
        <v>40934.381273148145</v>
      </c>
      <c r="F1284" s="85"/>
      <c r="G1284" s="64" t="str">
        <f>IF(stdProdLT(Main[[#This Row],[Comments]])=0.1,"N/A",IF(stdProdLT(Main[[#This Row],[Comments]])=0,"",TRIM(stdProdLT(Main[[#This Row],[Comments]]))))</f>
        <v/>
      </c>
      <c r="H1284" s="94" t="str">
        <f>IF(OR(Main[[#This Row],[Std. Prod. Lead Time]]="N/A",Main[[#This Row],[Std. Prod. Lead Time]]=""), "",IF(AND(Main[[#This Row],[In Stock Date]]&lt;&gt;"",Main[[#This Row],[Revised Due Date]]&lt;&gt;"",Main[[#This Row],[In Stock Date]]&lt;&gt;""),Main[[#This Row],[In Stock Date]]-Main[[#This Row],[Revised Due Date]],""))</f>
        <v/>
      </c>
      <c r="I1284" s="101" t="s">
        <v>69</v>
      </c>
      <c r="J1284" s="95" t="s">
        <v>70</v>
      </c>
      <c r="K1284" s="95" t="s">
        <v>1920</v>
      </c>
      <c r="L1284" s="85"/>
      <c r="M1284" s="73" t="str">
        <f>IF(Main[[#This Row],[Tech Start Date]]&lt;1/1/1990,"",IF(Main[[#This Row],[Class]]="C",WORKDAY(Main[[#This Row],[Tech Start Date]],9),IF(Main[[#This Row],[Class]]="B", WORKDAY(Main[[#This Row],[Tech Start Date]],6),IF(Main[[#This Row],[Class]]="A",WORKDAY(Main[[#This Row],[Tech Start Date]],2),""))))</f>
        <v/>
      </c>
      <c r="N1284" s="73" t="str">
        <f>IF(Main[[#This Row],[Tech Start Date]]&lt;1/1/1990,"",IF(Main[[#This Row],[Class]]="C",WORKDAY(Main[[#This Row],[Tech Start Date]],19),IF(Main[[#This Row],[Class]]="B", WORKDAY(Main[[#This Row],[Tech Start Date]],12),IF(Main[[#This Row],[Class]]="A",WORKDAY(Main[[#This Row],[Tech Start Date]],4),""))))</f>
        <v/>
      </c>
      <c r="O1284" s="73" t="str">
        <f>IF(Main[[#This Row],[Tech Start Date]]&lt;1/1/1990,"",IF(Main[[#This Row],[Class]]="C",WORKDAY(Main[[#This Row],[Tech Start Date]],23),IF(Main[[#This Row],[Class]]="B", WORKDAY(Main[[#This Row],[Tech Start Date]],15),IF(Main[[#This Row],[Class]]="A",WORKDAY(Main[[#This Row],[Tech Start Date]],5),""))))</f>
        <v/>
      </c>
      <c r="P1284" s="73" t="str">
        <f>IF(Main[[#This Row],[Tech Start Date]]&lt;1/1/1990,"",IF(Main[[#This Row],[Class]]="C",WORKDAY(Main[[#This Row],[Tech Start Date]],28),IF(Main[[#This Row],[Class]]="B", WORKDAY(Main[[#This Row],[Tech Start Date]],19),IF(Main[[#This Row],[Class]]="A",WORKDAY(Main[[#This Row],[Tech Start Date]],9),""))))</f>
        <v/>
      </c>
      <c r="Q1284" s="85">
        <v>40968</v>
      </c>
      <c r="R1284" s="112"/>
      <c r="S1284" s="95" t="s">
        <v>6</v>
      </c>
      <c r="T1284" s="74" t="s">
        <v>4</v>
      </c>
      <c r="U1284" s="95" t="s">
        <v>29</v>
      </c>
      <c r="V1284" s="95" t="s">
        <v>1914</v>
      </c>
      <c r="W1284" s="95" t="s">
        <v>1915</v>
      </c>
      <c r="X1284" s="95" t="s">
        <v>2798</v>
      </c>
      <c r="Y1284" s="72" t="s">
        <v>2908</v>
      </c>
      <c r="Z1284" s="72" t="s">
        <v>30</v>
      </c>
      <c r="AA1284" s="95" t="s">
        <v>2798</v>
      </c>
      <c r="AB1284" s="132"/>
      <c r="AC1284" s="132"/>
      <c r="AD1284" s="132"/>
      <c r="AE1284" s="63"/>
      <c r="AF1284" s="63"/>
      <c r="AG1284" s="63"/>
    </row>
    <row r="1285" spans="1:33" ht="17.2" customHeight="1">
      <c r="A1285" s="64" t="str">
        <f>IF(priority(Main[[#This Row],[Comments]])&lt;&gt;0, priority(Main[[#This Row],[Comments]]),"")</f>
        <v/>
      </c>
      <c r="B1285" s="60" t="s">
        <v>3467</v>
      </c>
      <c r="C1285" s="72" t="s">
        <v>4</v>
      </c>
      <c r="D1285" s="59" t="s">
        <v>3649</v>
      </c>
      <c r="E1285" s="85">
        <v>40942.368715277778</v>
      </c>
      <c r="F1285" s="85"/>
      <c r="G1285" s="64" t="str">
        <f>IF(stdProdLT(Main[[#This Row],[Comments]])=0.1,"N/A",IF(stdProdLT(Main[[#This Row],[Comments]])=0,"",TRIM(stdProdLT(Main[[#This Row],[Comments]]))))</f>
        <v/>
      </c>
      <c r="H1285" s="94" t="str">
        <f>IF(OR(Main[[#This Row],[Std. Prod. Lead Time]]="N/A",Main[[#This Row],[Std. Prod. Lead Time]]=""), "",IF(AND(Main[[#This Row],[In Stock Date]]&lt;&gt;"",Main[[#This Row],[Revised Due Date]]&lt;&gt;"",Main[[#This Row],[In Stock Date]]&lt;&gt;""),Main[[#This Row],[In Stock Date]]-Main[[#This Row],[Revised Due Date]],""))</f>
        <v/>
      </c>
      <c r="I1285" s="101" t="s">
        <v>69</v>
      </c>
      <c r="J1285" s="95" t="s">
        <v>70</v>
      </c>
      <c r="K1285" s="95" t="s">
        <v>1920</v>
      </c>
      <c r="L1285" s="85"/>
      <c r="M1285" s="73" t="str">
        <f>IF(Main[[#This Row],[Tech Start Date]]&lt;1/1/1990,"",IF(Main[[#This Row],[Class]]="C",WORKDAY(Main[[#This Row],[Tech Start Date]],9),IF(Main[[#This Row],[Class]]="B", WORKDAY(Main[[#This Row],[Tech Start Date]],6),IF(Main[[#This Row],[Class]]="A",WORKDAY(Main[[#This Row],[Tech Start Date]],2),""))))</f>
        <v/>
      </c>
      <c r="N1285" s="73" t="str">
        <f>IF(Main[[#This Row],[Tech Start Date]]&lt;1/1/1990,"",IF(Main[[#This Row],[Class]]="C",WORKDAY(Main[[#This Row],[Tech Start Date]],19),IF(Main[[#This Row],[Class]]="B", WORKDAY(Main[[#This Row],[Tech Start Date]],12),IF(Main[[#This Row],[Class]]="A",WORKDAY(Main[[#This Row],[Tech Start Date]],4),""))))</f>
        <v/>
      </c>
      <c r="O1285" s="73" t="str">
        <f>IF(Main[[#This Row],[Tech Start Date]]&lt;1/1/1990,"",IF(Main[[#This Row],[Class]]="C",WORKDAY(Main[[#This Row],[Tech Start Date]],23),IF(Main[[#This Row],[Class]]="B", WORKDAY(Main[[#This Row],[Tech Start Date]],15),IF(Main[[#This Row],[Class]]="A",WORKDAY(Main[[#This Row],[Tech Start Date]],5),""))))</f>
        <v/>
      </c>
      <c r="P1285" s="73" t="str">
        <f>IF(Main[[#This Row],[Tech Start Date]]&lt;1/1/1990,"",IF(Main[[#This Row],[Class]]="C",WORKDAY(Main[[#This Row],[Tech Start Date]],28),IF(Main[[#This Row],[Class]]="B", WORKDAY(Main[[#This Row],[Tech Start Date]],19),IF(Main[[#This Row],[Class]]="A",WORKDAY(Main[[#This Row],[Tech Start Date]],9),""))))</f>
        <v/>
      </c>
      <c r="Q1285" s="85">
        <v>40977</v>
      </c>
      <c r="R1285" s="112"/>
      <c r="S1285" s="95" t="s">
        <v>6</v>
      </c>
      <c r="T1285" s="74" t="s">
        <v>4</v>
      </c>
      <c r="U1285" s="95" t="s">
        <v>29</v>
      </c>
      <c r="V1285" s="95" t="s">
        <v>1914</v>
      </c>
      <c r="W1285" s="95" t="s">
        <v>1915</v>
      </c>
      <c r="X1285" s="95" t="s">
        <v>2798</v>
      </c>
      <c r="Y1285" s="72" t="s">
        <v>2908</v>
      </c>
      <c r="Z1285" s="72" t="s">
        <v>30</v>
      </c>
      <c r="AA1285" s="95" t="s">
        <v>2798</v>
      </c>
      <c r="AB1285" s="132"/>
      <c r="AC1285" s="132"/>
      <c r="AD1285" s="132"/>
      <c r="AE1285" s="63"/>
      <c r="AF1285" s="63"/>
      <c r="AG1285" s="63"/>
    </row>
    <row r="1286" spans="1:33" ht="17.2" customHeight="1">
      <c r="A1286" s="64" t="str">
        <f>IF(priority(Main[[#This Row],[Comments]])&lt;&gt;0, priority(Main[[#This Row],[Comments]]),"")</f>
        <v/>
      </c>
      <c r="B1286" s="60" t="s">
        <v>1843</v>
      </c>
      <c r="C1286" s="72" t="s">
        <v>67</v>
      </c>
      <c r="D1286" s="59" t="s">
        <v>2568</v>
      </c>
      <c r="E1286" s="85">
        <v>40343.573750000003</v>
      </c>
      <c r="F1286" s="85"/>
      <c r="G1286" s="64" t="str">
        <f>IF(stdProdLT(Main[[#This Row],[Comments]])=0.1,"N/A",IF(stdProdLT(Main[[#This Row],[Comments]])=0,"",TRIM(stdProdLT(Main[[#This Row],[Comments]]))))</f>
        <v/>
      </c>
      <c r="H1286" s="94" t="str">
        <f>IF(OR(Main[[#This Row],[Std. Prod. Lead Time]]="N/A",Main[[#This Row],[Std. Prod. Lead Time]]=""), "",IF(AND(Main[[#This Row],[In Stock Date]]&lt;&gt;"",Main[[#This Row],[Revised Due Date]]&lt;&gt;"",Main[[#This Row],[In Stock Date]]&lt;&gt;""),Main[[#This Row],[In Stock Date]]-Main[[#This Row],[Revised Due Date]],""))</f>
        <v/>
      </c>
      <c r="I1286" s="101" t="s">
        <v>74</v>
      </c>
      <c r="J1286" s="95" t="s">
        <v>28</v>
      </c>
      <c r="K1286" s="95" t="s">
        <v>1923</v>
      </c>
      <c r="L1286" s="85"/>
      <c r="M1286" s="73" t="str">
        <f>IF(Main[[#This Row],[Tech Start Date]]&lt;1/1/1990,"",IF(Main[[#This Row],[Class]]="C",WORKDAY(Main[[#This Row],[Tech Start Date]],9),IF(Main[[#This Row],[Class]]="B", WORKDAY(Main[[#This Row],[Tech Start Date]],6),IF(Main[[#This Row],[Class]]="A",WORKDAY(Main[[#This Row],[Tech Start Date]],2),""))))</f>
        <v/>
      </c>
      <c r="N1286" s="73" t="str">
        <f>IF(Main[[#This Row],[Tech Start Date]]&lt;1/1/1990,"",IF(Main[[#This Row],[Class]]="C",WORKDAY(Main[[#This Row],[Tech Start Date]],19),IF(Main[[#This Row],[Class]]="B", WORKDAY(Main[[#This Row],[Tech Start Date]],12),IF(Main[[#This Row],[Class]]="A",WORKDAY(Main[[#This Row],[Tech Start Date]],4),""))))</f>
        <v/>
      </c>
      <c r="O1286" s="73" t="str">
        <f>IF(Main[[#This Row],[Tech Start Date]]&lt;1/1/1990,"",IF(Main[[#This Row],[Class]]="C",WORKDAY(Main[[#This Row],[Tech Start Date]],23),IF(Main[[#This Row],[Class]]="B", WORKDAY(Main[[#This Row],[Tech Start Date]],15),IF(Main[[#This Row],[Class]]="A",WORKDAY(Main[[#This Row],[Tech Start Date]],5),""))))</f>
        <v/>
      </c>
      <c r="P1286" s="73" t="str">
        <f>IF(Main[[#This Row],[Tech Start Date]]&lt;1/1/1990,"",IF(Main[[#This Row],[Class]]="C",WORKDAY(Main[[#This Row],[Tech Start Date]],28),IF(Main[[#This Row],[Class]]="B", WORKDAY(Main[[#This Row],[Tech Start Date]],19),IF(Main[[#This Row],[Class]]="A",WORKDAY(Main[[#This Row],[Tech Start Date]],9),""))))</f>
        <v/>
      </c>
      <c r="Q1286" s="85">
        <v>40466</v>
      </c>
      <c r="R1286" s="112">
        <v>40868</v>
      </c>
      <c r="S1286" s="95" t="s">
        <v>17</v>
      </c>
      <c r="T1286" s="74" t="s">
        <v>4</v>
      </c>
      <c r="U1286" s="95" t="s">
        <v>29</v>
      </c>
      <c r="V1286" s="95" t="s">
        <v>1914</v>
      </c>
      <c r="W1286" s="95" t="s">
        <v>1917</v>
      </c>
      <c r="X1286" s="95" t="s">
        <v>306</v>
      </c>
      <c r="Y1286" s="72" t="s">
        <v>2927</v>
      </c>
      <c r="Z1286" s="72" t="s">
        <v>415</v>
      </c>
      <c r="AA1286" s="95" t="s">
        <v>415</v>
      </c>
      <c r="AB1286" s="132"/>
      <c r="AC1286" s="132"/>
      <c r="AD1286" s="132"/>
      <c r="AE1286" s="63"/>
      <c r="AF1286" s="63"/>
      <c r="AG1286" s="63"/>
    </row>
    <row r="1287" spans="1:33" ht="17.2" customHeight="1">
      <c r="A1287" s="64" t="str">
        <f>IF(priority(Main[[#This Row],[Comments]])&lt;&gt;0, priority(Main[[#This Row],[Comments]]),"")</f>
        <v/>
      </c>
      <c r="B1287" s="60" t="s">
        <v>3945</v>
      </c>
      <c r="C1287" s="72" t="s">
        <v>3227</v>
      </c>
      <c r="D1287" s="59" t="s">
        <v>3946</v>
      </c>
      <c r="E1287" s="85"/>
      <c r="F1287" s="85">
        <v>41065</v>
      </c>
      <c r="G1287" s="64" t="str">
        <f>IF(stdProdLT(Main[[#This Row],[Comments]])=0.1,"N/A",IF(stdProdLT(Main[[#This Row],[Comments]])=0,"",TRIM(stdProdLT(Main[[#This Row],[Comments]]))))</f>
        <v/>
      </c>
      <c r="H1287" s="94" t="str">
        <f>IF(OR(Main[[#This Row],[Std. Prod. Lead Time]]="N/A",Main[[#This Row],[Std. Prod. Lead Time]]=""), "",IF(AND(Main[[#This Row],[In Stock Date]]&lt;&gt;"",Main[[#This Row],[Revised Due Date]]&lt;&gt;"",Main[[#This Row],[In Stock Date]]&lt;&gt;""),Main[[#This Row],[In Stock Date]]-Main[[#This Row],[Revised Due Date]],""))</f>
        <v/>
      </c>
      <c r="I1287" s="101" t="s">
        <v>4</v>
      </c>
      <c r="J1287" s="95" t="s">
        <v>21</v>
      </c>
      <c r="K1287" s="95" t="s">
        <v>4</v>
      </c>
      <c r="L1287" s="85"/>
      <c r="M1287" s="73" t="str">
        <f>IF(Main[[#This Row],[Tech Start Date]]&lt;1/1/1990,"",IF(Main[[#This Row],[Class]]="C",WORKDAY(Main[[#This Row],[Tech Start Date]],9),IF(Main[[#This Row],[Class]]="B", WORKDAY(Main[[#This Row],[Tech Start Date]],6),IF(Main[[#This Row],[Class]]="A",WORKDAY(Main[[#This Row],[Tech Start Date]],2),""))))</f>
        <v/>
      </c>
      <c r="N1287" s="73" t="str">
        <f>IF(Main[[#This Row],[Tech Start Date]]&lt;1/1/1990,"",IF(Main[[#This Row],[Class]]="C",WORKDAY(Main[[#This Row],[Tech Start Date]],19),IF(Main[[#This Row],[Class]]="B", WORKDAY(Main[[#This Row],[Tech Start Date]],12),IF(Main[[#This Row],[Class]]="A",WORKDAY(Main[[#This Row],[Tech Start Date]],4),""))))</f>
        <v/>
      </c>
      <c r="O1287" s="73" t="str">
        <f>IF(Main[[#This Row],[Tech Start Date]]&lt;1/1/1990,"",IF(Main[[#This Row],[Class]]="C",WORKDAY(Main[[#This Row],[Tech Start Date]],23),IF(Main[[#This Row],[Class]]="B", WORKDAY(Main[[#This Row],[Tech Start Date]],15),IF(Main[[#This Row],[Class]]="A",WORKDAY(Main[[#This Row],[Tech Start Date]],5),""))))</f>
        <v/>
      </c>
      <c r="P1287" s="73" t="str">
        <f>IF(Main[[#This Row],[Tech Start Date]]&lt;1/1/1990,"",IF(Main[[#This Row],[Class]]="C",WORKDAY(Main[[#This Row],[Tech Start Date]],28),IF(Main[[#This Row],[Class]]="B", WORKDAY(Main[[#This Row],[Tech Start Date]],19),IF(Main[[#This Row],[Class]]="A",WORKDAY(Main[[#This Row],[Tech Start Date]],9),""))))</f>
        <v/>
      </c>
      <c r="Q1287" s="85">
        <v>40945</v>
      </c>
      <c r="R1287" s="112"/>
      <c r="S1287" s="95" t="s">
        <v>11</v>
      </c>
      <c r="T1287" s="74" t="s">
        <v>4</v>
      </c>
      <c r="U1287" s="95" t="s">
        <v>12</v>
      </c>
      <c r="V1287" s="95" t="s">
        <v>1911</v>
      </c>
      <c r="W1287" s="95" t="s">
        <v>1919</v>
      </c>
      <c r="X1287" s="95" t="s">
        <v>2809</v>
      </c>
      <c r="Y1287" s="72" t="s">
        <v>2929</v>
      </c>
      <c r="Z1287" s="72" t="s">
        <v>129</v>
      </c>
      <c r="AA1287" s="95" t="s">
        <v>2809</v>
      </c>
      <c r="AB1287" s="132"/>
      <c r="AC1287" s="132"/>
      <c r="AD1287" s="132"/>
      <c r="AE1287" s="63"/>
      <c r="AF1287" s="63"/>
      <c r="AG1287" s="63"/>
    </row>
    <row r="1288" spans="1:33" ht="17.2" customHeight="1">
      <c r="A1288" s="64" t="str">
        <f>IF(priority(Main[[#This Row],[Comments]])&lt;&gt;0, priority(Main[[#This Row],[Comments]]),"")</f>
        <v/>
      </c>
      <c r="B1288" s="60" t="s">
        <v>3947</v>
      </c>
      <c r="C1288" s="72" t="s">
        <v>4</v>
      </c>
      <c r="D1288" s="59" t="s">
        <v>3948</v>
      </c>
      <c r="E1288" s="85">
        <v>40973.712638888886</v>
      </c>
      <c r="F1288" s="85">
        <v>41010</v>
      </c>
      <c r="G1288" s="64" t="str">
        <f>IF(stdProdLT(Main[[#This Row],[Comments]])=0.1,"N/A",IF(stdProdLT(Main[[#This Row],[Comments]])=0,"",TRIM(stdProdLT(Main[[#This Row],[Comments]]))))</f>
        <v>N/A</v>
      </c>
      <c r="H1288" s="94" t="str">
        <f>IF(OR(Main[[#This Row],[Std. Prod. Lead Time]]="N/A",Main[[#This Row],[Std. Prod. Lead Time]]=""), "",IF(AND(Main[[#This Row],[In Stock Date]]&lt;&gt;"",Main[[#This Row],[Revised Due Date]]&lt;&gt;"",Main[[#This Row],[In Stock Date]]&lt;&gt;""),Main[[#This Row],[In Stock Date]]-Main[[#This Row],[Revised Due Date]],""))</f>
        <v/>
      </c>
      <c r="I1288" s="101" t="s">
        <v>4</v>
      </c>
      <c r="J1288" s="95" t="s">
        <v>4</v>
      </c>
      <c r="K1288" s="95" t="s">
        <v>4</v>
      </c>
      <c r="L1288" s="85"/>
      <c r="M1288" s="73" t="str">
        <f>IF(Main[[#This Row],[Tech Start Date]]&lt;1/1/1990,"",IF(Main[[#This Row],[Class]]="C",WORKDAY(Main[[#This Row],[Tech Start Date]],9),IF(Main[[#This Row],[Class]]="B", WORKDAY(Main[[#This Row],[Tech Start Date]],6),IF(Main[[#This Row],[Class]]="A",WORKDAY(Main[[#This Row],[Tech Start Date]],2),""))))</f>
        <v/>
      </c>
      <c r="N1288" s="73" t="str">
        <f>IF(Main[[#This Row],[Tech Start Date]]&lt;1/1/1990,"",IF(Main[[#This Row],[Class]]="C",WORKDAY(Main[[#This Row],[Tech Start Date]],19),IF(Main[[#This Row],[Class]]="B", WORKDAY(Main[[#This Row],[Tech Start Date]],12),IF(Main[[#This Row],[Class]]="A",WORKDAY(Main[[#This Row],[Tech Start Date]],4),""))))</f>
        <v/>
      </c>
      <c r="O1288" s="73" t="str">
        <f>IF(Main[[#This Row],[Tech Start Date]]&lt;1/1/1990,"",IF(Main[[#This Row],[Class]]="C",WORKDAY(Main[[#This Row],[Tech Start Date]],23),IF(Main[[#This Row],[Class]]="B", WORKDAY(Main[[#This Row],[Tech Start Date]],15),IF(Main[[#This Row],[Class]]="A",WORKDAY(Main[[#This Row],[Tech Start Date]],5),""))))</f>
        <v/>
      </c>
      <c r="P1288" s="73" t="str">
        <f>IF(Main[[#This Row],[Tech Start Date]]&lt;1/1/1990,"",IF(Main[[#This Row],[Class]]="C",WORKDAY(Main[[#This Row],[Tech Start Date]],28),IF(Main[[#This Row],[Class]]="B", WORKDAY(Main[[#This Row],[Tech Start Date]],19),IF(Main[[#This Row],[Class]]="A",WORKDAY(Main[[#This Row],[Tech Start Date]],9),""))))</f>
        <v/>
      </c>
      <c r="Q1288" s="85"/>
      <c r="R1288" s="112"/>
      <c r="S1288" s="95" t="s">
        <v>11</v>
      </c>
      <c r="T1288" s="74" t="s">
        <v>3201</v>
      </c>
      <c r="U1288" s="95" t="s">
        <v>7</v>
      </c>
      <c r="V1288" s="95" t="s">
        <v>1921</v>
      </c>
      <c r="W1288" s="95" t="s">
        <v>1917</v>
      </c>
      <c r="X1288" s="95" t="s">
        <v>2891</v>
      </c>
      <c r="Y1288" s="72" t="s">
        <v>3870</v>
      </c>
      <c r="Z1288" s="72" t="s">
        <v>4</v>
      </c>
      <c r="AA1288" s="95" t="s">
        <v>2891</v>
      </c>
      <c r="AB1288" s="132"/>
      <c r="AC1288" s="132"/>
      <c r="AD1288" s="132"/>
      <c r="AE1288" s="63"/>
      <c r="AF1288" s="63"/>
      <c r="AG1288" s="63"/>
    </row>
    <row r="1289" spans="1:33" ht="17.2" customHeight="1">
      <c r="A1289" s="64" t="str">
        <f>IF(priority(Main[[#This Row],[Comments]])&lt;&gt;0, priority(Main[[#This Row],[Comments]]),"")</f>
        <v/>
      </c>
      <c r="B1289" s="60" t="s">
        <v>2565</v>
      </c>
      <c r="C1289" s="72" t="s">
        <v>4</v>
      </c>
      <c r="D1289" s="59" t="s">
        <v>726</v>
      </c>
      <c r="E1289" s="85"/>
      <c r="F1289" s="85"/>
      <c r="G1289" s="64" t="str">
        <f>IF(stdProdLT(Main[[#This Row],[Comments]])=0.1,"N/A",IF(stdProdLT(Main[[#This Row],[Comments]])=0,"",TRIM(stdProdLT(Main[[#This Row],[Comments]]))))</f>
        <v/>
      </c>
      <c r="H1289" s="94" t="str">
        <f>IF(OR(Main[[#This Row],[Std. Prod. Lead Time]]="N/A",Main[[#This Row],[Std. Prod. Lead Time]]=""), "",IF(AND(Main[[#This Row],[In Stock Date]]&lt;&gt;"",Main[[#This Row],[Revised Due Date]]&lt;&gt;"",Main[[#This Row],[In Stock Date]]&lt;&gt;""),Main[[#This Row],[In Stock Date]]-Main[[#This Row],[Revised Due Date]],""))</f>
        <v/>
      </c>
      <c r="I1289" s="101" t="s">
        <v>4</v>
      </c>
      <c r="J1289" s="95" t="s">
        <v>4</v>
      </c>
      <c r="K1289" s="95" t="s">
        <v>4</v>
      </c>
      <c r="L1289" s="85"/>
      <c r="M1289" s="73" t="str">
        <f>IF(Main[[#This Row],[Tech Start Date]]&lt;1/1/1990,"",IF(Main[[#This Row],[Class]]="C",WORKDAY(Main[[#This Row],[Tech Start Date]],9),IF(Main[[#This Row],[Class]]="B", WORKDAY(Main[[#This Row],[Tech Start Date]],6),IF(Main[[#This Row],[Class]]="A",WORKDAY(Main[[#This Row],[Tech Start Date]],2),""))))</f>
        <v/>
      </c>
      <c r="N1289" s="73" t="str">
        <f>IF(Main[[#This Row],[Tech Start Date]]&lt;1/1/1990,"",IF(Main[[#This Row],[Class]]="C",WORKDAY(Main[[#This Row],[Tech Start Date]],19),IF(Main[[#This Row],[Class]]="B", WORKDAY(Main[[#This Row],[Tech Start Date]],12),IF(Main[[#This Row],[Class]]="A",WORKDAY(Main[[#This Row],[Tech Start Date]],4),""))))</f>
        <v/>
      </c>
      <c r="O1289" s="73" t="str">
        <f>IF(Main[[#This Row],[Tech Start Date]]&lt;1/1/1990,"",IF(Main[[#This Row],[Class]]="C",WORKDAY(Main[[#This Row],[Tech Start Date]],23),IF(Main[[#This Row],[Class]]="B", WORKDAY(Main[[#This Row],[Tech Start Date]],15),IF(Main[[#This Row],[Class]]="A",WORKDAY(Main[[#This Row],[Tech Start Date]],5),""))))</f>
        <v/>
      </c>
      <c r="P1289" s="73" t="str">
        <f>IF(Main[[#This Row],[Tech Start Date]]&lt;1/1/1990,"",IF(Main[[#This Row],[Class]]="C",WORKDAY(Main[[#This Row],[Tech Start Date]],28),IF(Main[[#This Row],[Class]]="B", WORKDAY(Main[[#This Row],[Tech Start Date]],19),IF(Main[[#This Row],[Class]]="A",WORKDAY(Main[[#This Row],[Tech Start Date]],9),""))))</f>
        <v/>
      </c>
      <c r="Q1289" s="85"/>
      <c r="R1289" s="112"/>
      <c r="S1289" s="95" t="s">
        <v>4</v>
      </c>
      <c r="T1289" s="74" t="s">
        <v>4</v>
      </c>
      <c r="U1289" s="95" t="s">
        <v>14</v>
      </c>
      <c r="V1289" s="95" t="s">
        <v>1914</v>
      </c>
      <c r="W1289" s="95" t="s">
        <v>4</v>
      </c>
      <c r="X1289" s="95" t="s">
        <v>306</v>
      </c>
      <c r="Y1289" s="72" t="s">
        <v>4</v>
      </c>
      <c r="Z1289" s="72" t="s">
        <v>4</v>
      </c>
      <c r="AA1289" s="95" t="s">
        <v>4</v>
      </c>
      <c r="AB1289" s="132"/>
      <c r="AC1289" s="132"/>
      <c r="AD1289" s="132"/>
      <c r="AE1289" s="63"/>
      <c r="AF1289" s="63"/>
      <c r="AG1289" s="63"/>
    </row>
    <row r="1290" spans="1:33" ht="17.2" customHeight="1">
      <c r="A1290" s="64" t="str">
        <f>IF(priority(Main[[#This Row],[Comments]])&lt;&gt;0, priority(Main[[#This Row],[Comments]]),"")</f>
        <v/>
      </c>
      <c r="B1290" s="60" t="s">
        <v>3949</v>
      </c>
      <c r="C1290" s="72" t="s">
        <v>4</v>
      </c>
      <c r="D1290" s="59" t="s">
        <v>3950</v>
      </c>
      <c r="E1290" s="85">
        <v>40975.102094907408</v>
      </c>
      <c r="F1290" s="85">
        <v>41010</v>
      </c>
      <c r="G1290" s="64" t="str">
        <f>IF(stdProdLT(Main[[#This Row],[Comments]])=0.1,"N/A",IF(stdProdLT(Main[[#This Row],[Comments]])=0,"",TRIM(stdProdLT(Main[[#This Row],[Comments]]))))</f>
        <v>N/A</v>
      </c>
      <c r="H1290" s="94" t="str">
        <f>IF(OR(Main[[#This Row],[Std. Prod. Lead Time]]="N/A",Main[[#This Row],[Std. Prod. Lead Time]]=""), "",IF(AND(Main[[#This Row],[In Stock Date]]&lt;&gt;"",Main[[#This Row],[Revised Due Date]]&lt;&gt;"",Main[[#This Row],[In Stock Date]]&lt;&gt;""),Main[[#This Row],[In Stock Date]]-Main[[#This Row],[Revised Due Date]],""))</f>
        <v/>
      </c>
      <c r="I1290" s="101" t="s">
        <v>4</v>
      </c>
      <c r="J1290" s="95" t="s">
        <v>4</v>
      </c>
      <c r="K1290" s="95" t="s">
        <v>4</v>
      </c>
      <c r="L1290" s="85"/>
      <c r="M1290" s="73" t="str">
        <f>IF(Main[[#This Row],[Tech Start Date]]&lt;1/1/1990,"",IF(Main[[#This Row],[Class]]="C",WORKDAY(Main[[#This Row],[Tech Start Date]],9),IF(Main[[#This Row],[Class]]="B", WORKDAY(Main[[#This Row],[Tech Start Date]],6),IF(Main[[#This Row],[Class]]="A",WORKDAY(Main[[#This Row],[Tech Start Date]],2),""))))</f>
        <v/>
      </c>
      <c r="N1290" s="73" t="str">
        <f>IF(Main[[#This Row],[Tech Start Date]]&lt;1/1/1990,"",IF(Main[[#This Row],[Class]]="C",WORKDAY(Main[[#This Row],[Tech Start Date]],19),IF(Main[[#This Row],[Class]]="B", WORKDAY(Main[[#This Row],[Tech Start Date]],12),IF(Main[[#This Row],[Class]]="A",WORKDAY(Main[[#This Row],[Tech Start Date]],4),""))))</f>
        <v/>
      </c>
      <c r="O1290" s="73" t="str">
        <f>IF(Main[[#This Row],[Tech Start Date]]&lt;1/1/1990,"",IF(Main[[#This Row],[Class]]="C",WORKDAY(Main[[#This Row],[Tech Start Date]],23),IF(Main[[#This Row],[Class]]="B", WORKDAY(Main[[#This Row],[Tech Start Date]],15),IF(Main[[#This Row],[Class]]="A",WORKDAY(Main[[#This Row],[Tech Start Date]],5),""))))</f>
        <v/>
      </c>
      <c r="P1290" s="73" t="str">
        <f>IF(Main[[#This Row],[Tech Start Date]]&lt;1/1/1990,"",IF(Main[[#This Row],[Class]]="C",WORKDAY(Main[[#This Row],[Tech Start Date]],28),IF(Main[[#This Row],[Class]]="B", WORKDAY(Main[[#This Row],[Tech Start Date]],19),IF(Main[[#This Row],[Class]]="A",WORKDAY(Main[[#This Row],[Tech Start Date]],9),""))))</f>
        <v/>
      </c>
      <c r="Q1290" s="85"/>
      <c r="R1290" s="112"/>
      <c r="S1290" s="95" t="s">
        <v>11</v>
      </c>
      <c r="T1290" s="74" t="s">
        <v>3201</v>
      </c>
      <c r="U1290" s="95" t="s">
        <v>7</v>
      </c>
      <c r="V1290" s="95" t="s">
        <v>1921</v>
      </c>
      <c r="W1290" s="95" t="s">
        <v>1917</v>
      </c>
      <c r="X1290" s="95" t="s">
        <v>2891</v>
      </c>
      <c r="Y1290" s="72" t="s">
        <v>3870</v>
      </c>
      <c r="Z1290" s="72" t="s">
        <v>4</v>
      </c>
      <c r="AA1290" s="95" t="s">
        <v>2891</v>
      </c>
      <c r="AB1290" s="132"/>
      <c r="AC1290" s="132"/>
      <c r="AD1290" s="132"/>
      <c r="AE1290" s="63"/>
      <c r="AF1290" s="63"/>
      <c r="AG1290" s="63"/>
    </row>
    <row r="1291" spans="1:33" ht="17.2" customHeight="1">
      <c r="A1291" s="64" t="str">
        <f>IF(priority(Main[[#This Row],[Comments]])&lt;&gt;0, priority(Main[[#This Row],[Comments]]),"")</f>
        <v/>
      </c>
      <c r="B1291" s="60" t="s">
        <v>2564</v>
      </c>
      <c r="C1291" s="72" t="s">
        <v>4</v>
      </c>
      <c r="D1291" s="59" t="s">
        <v>2759</v>
      </c>
      <c r="E1291" s="85">
        <v>40870.475462962961</v>
      </c>
      <c r="F1291" s="85"/>
      <c r="G1291" s="64" t="str">
        <f>IF(stdProdLT(Main[[#This Row],[Comments]])=0.1,"N/A",IF(stdProdLT(Main[[#This Row],[Comments]])=0,"",TRIM(stdProdLT(Main[[#This Row],[Comments]]))))</f>
        <v/>
      </c>
      <c r="H1291" s="94" t="str">
        <f>IF(OR(Main[[#This Row],[Std. Prod. Lead Time]]="N/A",Main[[#This Row],[Std. Prod. Lead Time]]=""), "",IF(AND(Main[[#This Row],[In Stock Date]]&lt;&gt;"",Main[[#This Row],[Revised Due Date]]&lt;&gt;"",Main[[#This Row],[In Stock Date]]&lt;&gt;""),Main[[#This Row],[In Stock Date]]-Main[[#This Row],[Revised Due Date]],""))</f>
        <v/>
      </c>
      <c r="I1291" s="101" t="s">
        <v>429</v>
      </c>
      <c r="J1291" s="95" t="s">
        <v>28</v>
      </c>
      <c r="K1291" s="95" t="s">
        <v>1918</v>
      </c>
      <c r="L1291" s="85"/>
      <c r="M1291" s="73" t="str">
        <f>IF(Main[[#This Row],[Tech Start Date]]&lt;1/1/1990,"",IF(Main[[#This Row],[Class]]="C",WORKDAY(Main[[#This Row],[Tech Start Date]],9),IF(Main[[#This Row],[Class]]="B", WORKDAY(Main[[#This Row],[Tech Start Date]],6),IF(Main[[#This Row],[Class]]="A",WORKDAY(Main[[#This Row],[Tech Start Date]],2),""))))</f>
        <v/>
      </c>
      <c r="N1291" s="73" t="str">
        <f>IF(Main[[#This Row],[Tech Start Date]]&lt;1/1/1990,"",IF(Main[[#This Row],[Class]]="C",WORKDAY(Main[[#This Row],[Tech Start Date]],19),IF(Main[[#This Row],[Class]]="B", WORKDAY(Main[[#This Row],[Tech Start Date]],12),IF(Main[[#This Row],[Class]]="A",WORKDAY(Main[[#This Row],[Tech Start Date]],4),""))))</f>
        <v/>
      </c>
      <c r="O1291" s="73" t="str">
        <f>IF(Main[[#This Row],[Tech Start Date]]&lt;1/1/1990,"",IF(Main[[#This Row],[Class]]="C",WORKDAY(Main[[#This Row],[Tech Start Date]],23),IF(Main[[#This Row],[Class]]="B", WORKDAY(Main[[#This Row],[Tech Start Date]],15),IF(Main[[#This Row],[Class]]="A",WORKDAY(Main[[#This Row],[Tech Start Date]],5),""))))</f>
        <v/>
      </c>
      <c r="P1291" s="73" t="str">
        <f>IF(Main[[#This Row],[Tech Start Date]]&lt;1/1/1990,"",IF(Main[[#This Row],[Class]]="C",WORKDAY(Main[[#This Row],[Tech Start Date]],28),IF(Main[[#This Row],[Class]]="B", WORKDAY(Main[[#This Row],[Tech Start Date]],19),IF(Main[[#This Row],[Class]]="A",WORKDAY(Main[[#This Row],[Tech Start Date]],9),""))))</f>
        <v/>
      </c>
      <c r="Q1291" s="85">
        <v>40905</v>
      </c>
      <c r="R1291" s="112"/>
      <c r="S1291" s="95" t="s">
        <v>6</v>
      </c>
      <c r="T1291" s="74" t="s">
        <v>4</v>
      </c>
      <c r="U1291" s="95" t="s">
        <v>29</v>
      </c>
      <c r="V1291" s="95" t="s">
        <v>1914</v>
      </c>
      <c r="W1291" s="95" t="s">
        <v>1915</v>
      </c>
      <c r="X1291" s="95" t="s">
        <v>2045</v>
      </c>
      <c r="Y1291" s="72" t="s">
        <v>3038</v>
      </c>
      <c r="Z1291" s="72" t="s">
        <v>30</v>
      </c>
      <c r="AA1291" s="95" t="s">
        <v>2875</v>
      </c>
      <c r="AB1291" s="132"/>
      <c r="AC1291" s="132"/>
      <c r="AD1291" s="132"/>
      <c r="AE1291" s="63"/>
      <c r="AF1291" s="63"/>
      <c r="AG1291" s="63"/>
    </row>
    <row r="1292" spans="1:33" ht="17.2" customHeight="1">
      <c r="A1292" s="64" t="str">
        <f>IF(priority(Main[[#This Row],[Comments]])&lt;&gt;0, priority(Main[[#This Row],[Comments]]),"")</f>
        <v/>
      </c>
      <c r="B1292" s="60" t="s">
        <v>2210</v>
      </c>
      <c r="C1292" s="72" t="s">
        <v>4</v>
      </c>
      <c r="D1292" s="59" t="s">
        <v>2211</v>
      </c>
      <c r="E1292" s="85"/>
      <c r="F1292" s="85"/>
      <c r="G1292" s="64" t="str">
        <f>IF(stdProdLT(Main[[#This Row],[Comments]])=0.1,"N/A",IF(stdProdLT(Main[[#This Row],[Comments]])=0,"",TRIM(stdProdLT(Main[[#This Row],[Comments]]))))</f>
        <v/>
      </c>
      <c r="H1292" s="94" t="str">
        <f>IF(OR(Main[[#This Row],[Std. Prod. Lead Time]]="N/A",Main[[#This Row],[Std. Prod. Lead Time]]=""), "",IF(AND(Main[[#This Row],[In Stock Date]]&lt;&gt;"",Main[[#This Row],[Revised Due Date]]&lt;&gt;"",Main[[#This Row],[In Stock Date]]&lt;&gt;""),Main[[#This Row],[In Stock Date]]-Main[[#This Row],[Revised Due Date]],""))</f>
        <v/>
      </c>
      <c r="I1292" s="101" t="s">
        <v>530</v>
      </c>
      <c r="J1292" s="95" t="s">
        <v>28</v>
      </c>
      <c r="K1292" s="95" t="s">
        <v>1920</v>
      </c>
      <c r="L1292" s="85"/>
      <c r="M1292" s="73" t="str">
        <f>IF(Main[[#This Row],[Tech Start Date]]&lt;1/1/1990,"",IF(Main[[#This Row],[Class]]="C",WORKDAY(Main[[#This Row],[Tech Start Date]],9),IF(Main[[#This Row],[Class]]="B", WORKDAY(Main[[#This Row],[Tech Start Date]],6),IF(Main[[#This Row],[Class]]="A",WORKDAY(Main[[#This Row],[Tech Start Date]],2),""))))</f>
        <v/>
      </c>
      <c r="N1292" s="73" t="str">
        <f>IF(Main[[#This Row],[Tech Start Date]]&lt;1/1/1990,"",IF(Main[[#This Row],[Class]]="C",WORKDAY(Main[[#This Row],[Tech Start Date]],19),IF(Main[[#This Row],[Class]]="B", WORKDAY(Main[[#This Row],[Tech Start Date]],12),IF(Main[[#This Row],[Class]]="A",WORKDAY(Main[[#This Row],[Tech Start Date]],4),""))))</f>
        <v/>
      </c>
      <c r="O1292" s="73" t="str">
        <f>IF(Main[[#This Row],[Tech Start Date]]&lt;1/1/1990,"",IF(Main[[#This Row],[Class]]="C",WORKDAY(Main[[#This Row],[Tech Start Date]],23),IF(Main[[#This Row],[Class]]="B", WORKDAY(Main[[#This Row],[Tech Start Date]],15),IF(Main[[#This Row],[Class]]="A",WORKDAY(Main[[#This Row],[Tech Start Date]],5),""))))</f>
        <v/>
      </c>
      <c r="P1292" s="73" t="str">
        <f>IF(Main[[#This Row],[Tech Start Date]]&lt;1/1/1990,"",IF(Main[[#This Row],[Class]]="C",WORKDAY(Main[[#This Row],[Tech Start Date]],28),IF(Main[[#This Row],[Class]]="B", WORKDAY(Main[[#This Row],[Tech Start Date]],19),IF(Main[[#This Row],[Class]]="A",WORKDAY(Main[[#This Row],[Tech Start Date]],9),""))))</f>
        <v/>
      </c>
      <c r="Q1292" s="85"/>
      <c r="R1292" s="112"/>
      <c r="S1292" s="95" t="s">
        <v>6</v>
      </c>
      <c r="T1292" s="74" t="s">
        <v>4</v>
      </c>
      <c r="U1292" s="95" t="s">
        <v>14</v>
      </c>
      <c r="V1292" s="95" t="s">
        <v>1914</v>
      </c>
      <c r="W1292" s="95" t="s">
        <v>1915</v>
      </c>
      <c r="X1292" s="95" t="s">
        <v>2799</v>
      </c>
      <c r="Y1292" s="72" t="s">
        <v>2910</v>
      </c>
      <c r="Z1292" s="72" t="s">
        <v>30</v>
      </c>
      <c r="AA1292" s="95" t="s">
        <v>2799</v>
      </c>
      <c r="AB1292" s="132"/>
      <c r="AC1292" s="132"/>
      <c r="AD1292" s="132"/>
      <c r="AE1292" s="63"/>
      <c r="AF1292" s="63"/>
      <c r="AG1292" s="63"/>
    </row>
    <row r="1293" spans="1:33" ht="17.2" customHeight="1">
      <c r="A1293" s="64" t="str">
        <f>IF(priority(Main[[#This Row],[Comments]])&lt;&gt;0, priority(Main[[#This Row],[Comments]]),"")</f>
        <v/>
      </c>
      <c r="B1293" s="60" t="s">
        <v>2566</v>
      </c>
      <c r="C1293" s="72" t="s">
        <v>4</v>
      </c>
      <c r="D1293" s="59" t="s">
        <v>2567</v>
      </c>
      <c r="E1293" s="85"/>
      <c r="F1293" s="85"/>
      <c r="G1293" s="64" t="str">
        <f>IF(stdProdLT(Main[[#This Row],[Comments]])=0.1,"N/A",IF(stdProdLT(Main[[#This Row],[Comments]])=0,"",TRIM(stdProdLT(Main[[#This Row],[Comments]]))))</f>
        <v/>
      </c>
      <c r="H1293" s="94" t="str">
        <f>IF(OR(Main[[#This Row],[Std. Prod. Lead Time]]="N/A",Main[[#This Row],[Std. Prod. Lead Time]]=""), "",IF(AND(Main[[#This Row],[In Stock Date]]&lt;&gt;"",Main[[#This Row],[Revised Due Date]]&lt;&gt;"",Main[[#This Row],[In Stock Date]]&lt;&gt;""),Main[[#This Row],[In Stock Date]]-Main[[#This Row],[Revised Due Date]],""))</f>
        <v/>
      </c>
      <c r="I1293" s="101" t="s">
        <v>4</v>
      </c>
      <c r="J1293" s="95" t="s">
        <v>4</v>
      </c>
      <c r="K1293" s="96" t="s">
        <v>4</v>
      </c>
      <c r="L1293" s="85"/>
      <c r="M1293" s="73" t="str">
        <f>IF(Main[[#This Row],[Tech Start Date]]&lt;1/1/1990,"",IF(Main[[#This Row],[Class]]="C",WORKDAY(Main[[#This Row],[Tech Start Date]],9),IF(Main[[#This Row],[Class]]="B", WORKDAY(Main[[#This Row],[Tech Start Date]],6),IF(Main[[#This Row],[Class]]="A",WORKDAY(Main[[#This Row],[Tech Start Date]],2),""))))</f>
        <v/>
      </c>
      <c r="N1293" s="73" t="str">
        <f>IF(Main[[#This Row],[Tech Start Date]]&lt;1/1/1990,"",IF(Main[[#This Row],[Class]]="C",WORKDAY(Main[[#This Row],[Tech Start Date]],19),IF(Main[[#This Row],[Class]]="B", WORKDAY(Main[[#This Row],[Tech Start Date]],12),IF(Main[[#This Row],[Class]]="A",WORKDAY(Main[[#This Row],[Tech Start Date]],4),""))))</f>
        <v/>
      </c>
      <c r="O1293" s="73" t="str">
        <f>IF(Main[[#This Row],[Tech Start Date]]&lt;1/1/1990,"",IF(Main[[#This Row],[Class]]="C",WORKDAY(Main[[#This Row],[Tech Start Date]],23),IF(Main[[#This Row],[Class]]="B", WORKDAY(Main[[#This Row],[Tech Start Date]],15),IF(Main[[#This Row],[Class]]="A",WORKDAY(Main[[#This Row],[Tech Start Date]],5),""))))</f>
        <v/>
      </c>
      <c r="P1293" s="73" t="str">
        <f>IF(Main[[#This Row],[Tech Start Date]]&lt;1/1/1990,"",IF(Main[[#This Row],[Class]]="C",WORKDAY(Main[[#This Row],[Tech Start Date]],28),IF(Main[[#This Row],[Class]]="B", WORKDAY(Main[[#This Row],[Tech Start Date]],19),IF(Main[[#This Row],[Class]]="A",WORKDAY(Main[[#This Row],[Tech Start Date]],9),""))))</f>
        <v/>
      </c>
      <c r="Q1293" s="85"/>
      <c r="R1293" s="112"/>
      <c r="S1293" s="95" t="s">
        <v>6</v>
      </c>
      <c r="T1293" s="74" t="s">
        <v>4</v>
      </c>
      <c r="U1293" s="95" t="s">
        <v>12</v>
      </c>
      <c r="V1293" s="95" t="s">
        <v>1914</v>
      </c>
      <c r="W1293" s="95" t="s">
        <v>1916</v>
      </c>
      <c r="X1293" s="95" t="s">
        <v>2821</v>
      </c>
      <c r="Y1293" s="72" t="s">
        <v>2949</v>
      </c>
      <c r="Z1293" s="72" t="s">
        <v>4</v>
      </c>
      <c r="AA1293" s="95" t="s">
        <v>2821</v>
      </c>
      <c r="AB1293" s="132"/>
      <c r="AC1293" s="132"/>
      <c r="AD1293" s="132"/>
      <c r="AE1293" s="63"/>
      <c r="AF1293" s="63"/>
      <c r="AG1293" s="63"/>
    </row>
    <row r="1294" spans="1:33" ht="17.2" customHeight="1">
      <c r="A1294" s="64" t="str">
        <f>IF(priority(Main[[#This Row],[Comments]])&lt;&gt;0, priority(Main[[#This Row],[Comments]]),"")</f>
        <v/>
      </c>
      <c r="B1294" s="60" t="s">
        <v>3650</v>
      </c>
      <c r="C1294" s="72" t="s">
        <v>2348</v>
      </c>
      <c r="D1294" s="59" t="s">
        <v>3651</v>
      </c>
      <c r="E1294" s="85"/>
      <c r="F1294" s="85">
        <v>41105</v>
      </c>
      <c r="G1294" s="64" t="str">
        <f>IF(stdProdLT(Main[[#This Row],[Comments]])=0.1,"N/A",IF(stdProdLT(Main[[#This Row],[Comments]])=0,"",TRIM(stdProdLT(Main[[#This Row],[Comments]]))))</f>
        <v/>
      </c>
      <c r="H1294" s="94" t="str">
        <f>IF(OR(Main[[#This Row],[Std. Prod. Lead Time]]="N/A",Main[[#This Row],[Std. Prod. Lead Time]]=""), "",IF(AND(Main[[#This Row],[In Stock Date]]&lt;&gt;"",Main[[#This Row],[Revised Due Date]]&lt;&gt;"",Main[[#This Row],[In Stock Date]]&lt;&gt;""),Main[[#This Row],[In Stock Date]]-Main[[#This Row],[Revised Due Date]],""))</f>
        <v/>
      </c>
      <c r="I1294" s="101" t="s">
        <v>4</v>
      </c>
      <c r="J1294" s="95" t="s">
        <v>4</v>
      </c>
      <c r="K1294" s="96" t="s">
        <v>4</v>
      </c>
      <c r="L1294" s="85"/>
      <c r="M1294" s="73" t="str">
        <f>IF(Main[[#This Row],[Tech Start Date]]&lt;1/1/1990,"",IF(Main[[#This Row],[Class]]="C",WORKDAY(Main[[#This Row],[Tech Start Date]],9),IF(Main[[#This Row],[Class]]="B", WORKDAY(Main[[#This Row],[Tech Start Date]],6),IF(Main[[#This Row],[Class]]="A",WORKDAY(Main[[#This Row],[Tech Start Date]],2),""))))</f>
        <v/>
      </c>
      <c r="N1294" s="73" t="str">
        <f>IF(Main[[#This Row],[Tech Start Date]]&lt;1/1/1990,"",IF(Main[[#This Row],[Class]]="C",WORKDAY(Main[[#This Row],[Tech Start Date]],19),IF(Main[[#This Row],[Class]]="B", WORKDAY(Main[[#This Row],[Tech Start Date]],12),IF(Main[[#This Row],[Class]]="A",WORKDAY(Main[[#This Row],[Tech Start Date]],4),""))))</f>
        <v/>
      </c>
      <c r="O1294" s="73" t="str">
        <f>IF(Main[[#This Row],[Tech Start Date]]&lt;1/1/1990,"",IF(Main[[#This Row],[Class]]="C",WORKDAY(Main[[#This Row],[Tech Start Date]],23),IF(Main[[#This Row],[Class]]="B", WORKDAY(Main[[#This Row],[Tech Start Date]],15),IF(Main[[#This Row],[Class]]="A",WORKDAY(Main[[#This Row],[Tech Start Date]],5),""))))</f>
        <v/>
      </c>
      <c r="P1294" s="73" t="str">
        <f>IF(Main[[#This Row],[Tech Start Date]]&lt;1/1/1990,"",IF(Main[[#This Row],[Class]]="C",WORKDAY(Main[[#This Row],[Tech Start Date]],28),IF(Main[[#This Row],[Class]]="B", WORKDAY(Main[[#This Row],[Tech Start Date]],19),IF(Main[[#This Row],[Class]]="A",WORKDAY(Main[[#This Row],[Tech Start Date]],9),""))))</f>
        <v/>
      </c>
      <c r="Q1294" s="85">
        <v>40965</v>
      </c>
      <c r="R1294" s="112"/>
      <c r="S1294" s="95" t="s">
        <v>11</v>
      </c>
      <c r="T1294" s="74" t="s">
        <v>4</v>
      </c>
      <c r="U1294" s="95" t="s">
        <v>12</v>
      </c>
      <c r="V1294" s="95" t="s">
        <v>1912</v>
      </c>
      <c r="W1294" s="95" t="s">
        <v>1917</v>
      </c>
      <c r="X1294" s="95" t="s">
        <v>2823</v>
      </c>
      <c r="Y1294" s="72" t="s">
        <v>4</v>
      </c>
      <c r="Z1294" s="72" t="s">
        <v>4</v>
      </c>
      <c r="AA1294" s="95" t="s">
        <v>2823</v>
      </c>
      <c r="AB1294" s="132"/>
      <c r="AC1294" s="132"/>
      <c r="AD1294" s="132"/>
      <c r="AE1294" s="63"/>
      <c r="AF1294" s="63"/>
      <c r="AG1294" s="63"/>
    </row>
    <row r="1295" spans="1:33" ht="17.2" customHeight="1">
      <c r="A1295" s="64" t="str">
        <f>IF(priority(Main[[#This Row],[Comments]])&lt;&gt;0, priority(Main[[#This Row],[Comments]]),"")</f>
        <v/>
      </c>
      <c r="B1295" s="60" t="s">
        <v>3259</v>
      </c>
      <c r="C1295" s="72" t="s">
        <v>4</v>
      </c>
      <c r="D1295" s="59" t="s">
        <v>3260</v>
      </c>
      <c r="E1295" s="85">
        <v>40934.462071759262</v>
      </c>
      <c r="F1295" s="85"/>
      <c r="G1295" s="64" t="str">
        <f>IF(stdProdLT(Main[[#This Row],[Comments]])=0.1,"N/A",IF(stdProdLT(Main[[#This Row],[Comments]])=0,"",TRIM(stdProdLT(Main[[#This Row],[Comments]]))))</f>
        <v/>
      </c>
      <c r="H1295" s="94" t="str">
        <f>IF(OR(Main[[#This Row],[Std. Prod. Lead Time]]="N/A",Main[[#This Row],[Std. Prod. Lead Time]]=""), "",IF(AND(Main[[#This Row],[In Stock Date]]&lt;&gt;"",Main[[#This Row],[Revised Due Date]]&lt;&gt;"",Main[[#This Row],[In Stock Date]]&lt;&gt;""),Main[[#This Row],[In Stock Date]]-Main[[#This Row],[Revised Due Date]],""))</f>
        <v/>
      </c>
      <c r="I1295" s="101" t="s">
        <v>4</v>
      </c>
      <c r="J1295" s="95" t="s">
        <v>4</v>
      </c>
      <c r="K1295" s="95" t="s">
        <v>4</v>
      </c>
      <c r="L1295" s="85"/>
      <c r="M1295" s="73" t="str">
        <f>IF(Main[[#This Row],[Tech Start Date]]&lt;1/1/1990,"",IF(Main[[#This Row],[Class]]="C",WORKDAY(Main[[#This Row],[Tech Start Date]],9),IF(Main[[#This Row],[Class]]="B", WORKDAY(Main[[#This Row],[Tech Start Date]],6),IF(Main[[#This Row],[Class]]="A",WORKDAY(Main[[#This Row],[Tech Start Date]],2),""))))</f>
        <v/>
      </c>
      <c r="N1295" s="73" t="str">
        <f>IF(Main[[#This Row],[Tech Start Date]]&lt;1/1/1990,"",IF(Main[[#This Row],[Class]]="C",WORKDAY(Main[[#This Row],[Tech Start Date]],19),IF(Main[[#This Row],[Class]]="B", WORKDAY(Main[[#This Row],[Tech Start Date]],12),IF(Main[[#This Row],[Class]]="A",WORKDAY(Main[[#This Row],[Tech Start Date]],4),""))))</f>
        <v/>
      </c>
      <c r="O1295" s="73" t="str">
        <f>IF(Main[[#This Row],[Tech Start Date]]&lt;1/1/1990,"",IF(Main[[#This Row],[Class]]="C",WORKDAY(Main[[#This Row],[Tech Start Date]],23),IF(Main[[#This Row],[Class]]="B", WORKDAY(Main[[#This Row],[Tech Start Date]],15),IF(Main[[#This Row],[Class]]="A",WORKDAY(Main[[#This Row],[Tech Start Date]],5),""))))</f>
        <v/>
      </c>
      <c r="P1295" s="73" t="str">
        <f>IF(Main[[#This Row],[Tech Start Date]]&lt;1/1/1990,"",IF(Main[[#This Row],[Class]]="C",WORKDAY(Main[[#This Row],[Tech Start Date]],28),IF(Main[[#This Row],[Class]]="B", WORKDAY(Main[[#This Row],[Tech Start Date]],19),IF(Main[[#This Row],[Class]]="A",WORKDAY(Main[[#This Row],[Tech Start Date]],9),""))))</f>
        <v/>
      </c>
      <c r="Q1295" s="85"/>
      <c r="R1295" s="112"/>
      <c r="S1295" s="95" t="s">
        <v>6</v>
      </c>
      <c r="T1295" s="74" t="s">
        <v>4</v>
      </c>
      <c r="U1295" s="95" t="s">
        <v>29</v>
      </c>
      <c r="V1295" s="95" t="s">
        <v>1911</v>
      </c>
      <c r="W1295" s="95" t="s">
        <v>1915</v>
      </c>
      <c r="X1295" s="95" t="s">
        <v>937</v>
      </c>
      <c r="Y1295" s="72" t="s">
        <v>2962</v>
      </c>
      <c r="Z1295" s="72" t="s">
        <v>4</v>
      </c>
      <c r="AA1295" s="95" t="s">
        <v>937</v>
      </c>
      <c r="AB1295" s="132"/>
      <c r="AC1295" s="132"/>
      <c r="AD1295" s="132"/>
      <c r="AE1295" s="63"/>
      <c r="AF1295" s="63"/>
      <c r="AG1295" s="63"/>
    </row>
    <row r="1296" spans="1:33" ht="17.2" customHeight="1">
      <c r="A1296" s="64" t="str">
        <f>IF(priority(Main[[#This Row],[Comments]])&lt;&gt;0, priority(Main[[#This Row],[Comments]]),"")</f>
        <v/>
      </c>
      <c r="B1296" s="60" t="s">
        <v>1739</v>
      </c>
      <c r="C1296" s="72" t="s">
        <v>37</v>
      </c>
      <c r="D1296" s="59" t="s">
        <v>2569</v>
      </c>
      <c r="E1296" s="85">
        <v>40682.487210648149</v>
      </c>
      <c r="F1296" s="85"/>
      <c r="G1296" s="64" t="str">
        <f>IF(stdProdLT(Main[[#This Row],[Comments]])=0.1,"N/A",IF(stdProdLT(Main[[#This Row],[Comments]])=0,"",TRIM(stdProdLT(Main[[#This Row],[Comments]]))))</f>
        <v/>
      </c>
      <c r="H1296" s="94" t="str">
        <f>IF(OR(Main[[#This Row],[Std. Prod. Lead Time]]="N/A",Main[[#This Row],[Std. Prod. Lead Time]]=""), "",IF(AND(Main[[#This Row],[In Stock Date]]&lt;&gt;"",Main[[#This Row],[Revised Due Date]]&lt;&gt;"",Main[[#This Row],[In Stock Date]]&lt;&gt;""),Main[[#This Row],[In Stock Date]]-Main[[#This Row],[Revised Due Date]],""))</f>
        <v/>
      </c>
      <c r="I1296" s="101" t="s">
        <v>4</v>
      </c>
      <c r="J1296" s="95" t="s">
        <v>4</v>
      </c>
      <c r="K1296" s="95" t="s">
        <v>4</v>
      </c>
      <c r="L1296" s="85"/>
      <c r="M1296" s="73" t="str">
        <f>IF(Main[[#This Row],[Tech Start Date]]&lt;1/1/1990,"",IF(Main[[#This Row],[Class]]="C",WORKDAY(Main[[#This Row],[Tech Start Date]],9),IF(Main[[#This Row],[Class]]="B", WORKDAY(Main[[#This Row],[Tech Start Date]],6),IF(Main[[#This Row],[Class]]="A",WORKDAY(Main[[#This Row],[Tech Start Date]],2),""))))</f>
        <v/>
      </c>
      <c r="N1296" s="73" t="str">
        <f>IF(Main[[#This Row],[Tech Start Date]]&lt;1/1/1990,"",IF(Main[[#This Row],[Class]]="C",WORKDAY(Main[[#This Row],[Tech Start Date]],19),IF(Main[[#This Row],[Class]]="B", WORKDAY(Main[[#This Row],[Tech Start Date]],12),IF(Main[[#This Row],[Class]]="A",WORKDAY(Main[[#This Row],[Tech Start Date]],4),""))))</f>
        <v/>
      </c>
      <c r="O1296" s="73" t="str">
        <f>IF(Main[[#This Row],[Tech Start Date]]&lt;1/1/1990,"",IF(Main[[#This Row],[Class]]="C",WORKDAY(Main[[#This Row],[Tech Start Date]],23),IF(Main[[#This Row],[Class]]="B", WORKDAY(Main[[#This Row],[Tech Start Date]],15),IF(Main[[#This Row],[Class]]="A",WORKDAY(Main[[#This Row],[Tech Start Date]],5),""))))</f>
        <v/>
      </c>
      <c r="P1296" s="73" t="str">
        <f>IF(Main[[#This Row],[Tech Start Date]]&lt;1/1/1990,"",IF(Main[[#This Row],[Class]]="C",WORKDAY(Main[[#This Row],[Tech Start Date]],28),IF(Main[[#This Row],[Class]]="B", WORKDAY(Main[[#This Row],[Tech Start Date]],19),IF(Main[[#This Row],[Class]]="A",WORKDAY(Main[[#This Row],[Tech Start Date]],9),""))))</f>
        <v/>
      </c>
      <c r="Q1296" s="85">
        <v>40701</v>
      </c>
      <c r="R1296" s="112"/>
      <c r="S1296" s="95" t="s">
        <v>6</v>
      </c>
      <c r="T1296" s="74" t="s">
        <v>4</v>
      </c>
      <c r="U1296" s="95" t="s">
        <v>7</v>
      </c>
      <c r="V1296" s="95" t="s">
        <v>1911</v>
      </c>
      <c r="W1296" s="95" t="s">
        <v>1922</v>
      </c>
      <c r="X1296" s="95" t="s">
        <v>970</v>
      </c>
      <c r="Y1296" s="72" t="s">
        <v>3075</v>
      </c>
      <c r="Z1296" s="72" t="s">
        <v>4</v>
      </c>
      <c r="AA1296" s="95" t="s">
        <v>970</v>
      </c>
      <c r="AB1296" s="132"/>
      <c r="AC1296" s="132"/>
      <c r="AD1296" s="132"/>
      <c r="AE1296" s="63"/>
      <c r="AF1296" s="63"/>
      <c r="AG1296" s="63"/>
    </row>
    <row r="1297" spans="1:33" ht="17.2" customHeight="1">
      <c r="A1297" s="64" t="str">
        <f>IF(priority(Main[[#This Row],[Comments]])&lt;&gt;0, priority(Main[[#This Row],[Comments]]),"")</f>
        <v/>
      </c>
      <c r="B1297" s="60" t="s">
        <v>1623</v>
      </c>
      <c r="C1297" s="72" t="s">
        <v>4</v>
      </c>
      <c r="D1297" s="59" t="s">
        <v>700</v>
      </c>
      <c r="E1297" s="85">
        <v>40218.669039351851</v>
      </c>
      <c r="F1297" s="85"/>
      <c r="G1297" s="64" t="str">
        <f>IF(stdProdLT(Main[[#This Row],[Comments]])=0.1,"N/A",IF(stdProdLT(Main[[#This Row],[Comments]])=0,"",TRIM(stdProdLT(Main[[#This Row],[Comments]]))))</f>
        <v/>
      </c>
      <c r="H1297" s="94" t="str">
        <f>IF(OR(Main[[#This Row],[Std. Prod. Lead Time]]="N/A",Main[[#This Row],[Std. Prod. Lead Time]]=""), "",IF(AND(Main[[#This Row],[In Stock Date]]&lt;&gt;"",Main[[#This Row],[Revised Due Date]]&lt;&gt;"",Main[[#This Row],[In Stock Date]]&lt;&gt;""),Main[[#This Row],[In Stock Date]]-Main[[#This Row],[Revised Due Date]],""))</f>
        <v/>
      </c>
      <c r="I1297" s="101" t="s">
        <v>4</v>
      </c>
      <c r="J1297" s="95" t="s">
        <v>4</v>
      </c>
      <c r="K1297" s="95" t="s">
        <v>4</v>
      </c>
      <c r="L1297" s="85"/>
      <c r="M1297" s="73" t="str">
        <f>IF(Main[[#This Row],[Tech Start Date]]&lt;1/1/1990,"",IF(Main[[#This Row],[Class]]="C",WORKDAY(Main[[#This Row],[Tech Start Date]],9),IF(Main[[#This Row],[Class]]="B", WORKDAY(Main[[#This Row],[Tech Start Date]],6),IF(Main[[#This Row],[Class]]="A",WORKDAY(Main[[#This Row],[Tech Start Date]],2),""))))</f>
        <v/>
      </c>
      <c r="N1297" s="73" t="str">
        <f>IF(Main[[#This Row],[Tech Start Date]]&lt;1/1/1990,"",IF(Main[[#This Row],[Class]]="C",WORKDAY(Main[[#This Row],[Tech Start Date]],19),IF(Main[[#This Row],[Class]]="B", WORKDAY(Main[[#This Row],[Tech Start Date]],12),IF(Main[[#This Row],[Class]]="A",WORKDAY(Main[[#This Row],[Tech Start Date]],4),""))))</f>
        <v/>
      </c>
      <c r="O1297" s="73" t="str">
        <f>IF(Main[[#This Row],[Tech Start Date]]&lt;1/1/1990,"",IF(Main[[#This Row],[Class]]="C",WORKDAY(Main[[#This Row],[Tech Start Date]],23),IF(Main[[#This Row],[Class]]="B", WORKDAY(Main[[#This Row],[Tech Start Date]],15),IF(Main[[#This Row],[Class]]="A",WORKDAY(Main[[#This Row],[Tech Start Date]],5),""))))</f>
        <v/>
      </c>
      <c r="P1297" s="73" t="str">
        <f>IF(Main[[#This Row],[Tech Start Date]]&lt;1/1/1990,"",IF(Main[[#This Row],[Class]]="C",WORKDAY(Main[[#This Row],[Tech Start Date]],28),IF(Main[[#This Row],[Class]]="B", WORKDAY(Main[[#This Row],[Tech Start Date]],19),IF(Main[[#This Row],[Class]]="A",WORKDAY(Main[[#This Row],[Tech Start Date]],9),""))))</f>
        <v/>
      </c>
      <c r="Q1297" s="85">
        <v>40237</v>
      </c>
      <c r="R1297" s="112"/>
      <c r="S1297" s="95" t="s">
        <v>17</v>
      </c>
      <c r="T1297" s="74" t="s">
        <v>4</v>
      </c>
      <c r="U1297" s="95" t="s">
        <v>29</v>
      </c>
      <c r="V1297" s="95" t="s">
        <v>1914</v>
      </c>
      <c r="W1297" s="95" t="s">
        <v>4</v>
      </c>
      <c r="X1297" s="95" t="s">
        <v>652</v>
      </c>
      <c r="Y1297" s="72" t="s">
        <v>3104</v>
      </c>
      <c r="Z1297" s="72" t="s">
        <v>4</v>
      </c>
      <c r="AA1297" s="95" t="s">
        <v>652</v>
      </c>
      <c r="AB1297" s="132"/>
      <c r="AC1297" s="132"/>
      <c r="AD1297" s="132"/>
      <c r="AE1297" s="63"/>
      <c r="AF1297" s="63"/>
      <c r="AG1297" s="63"/>
    </row>
    <row r="1298" spans="1:33" ht="17.2" customHeight="1">
      <c r="A1298" s="64" t="str">
        <f>IF(priority(Main[[#This Row],[Comments]])&lt;&gt;0, priority(Main[[#This Row],[Comments]]),"")</f>
        <v/>
      </c>
      <c r="B1298" s="60" t="s">
        <v>1827</v>
      </c>
      <c r="C1298" s="72" t="s">
        <v>4</v>
      </c>
      <c r="D1298" s="59" t="s">
        <v>881</v>
      </c>
      <c r="E1298" s="85">
        <v>40284.719155092593</v>
      </c>
      <c r="F1298" s="85"/>
      <c r="G1298" s="64" t="str">
        <f>IF(stdProdLT(Main[[#This Row],[Comments]])=0.1,"N/A",IF(stdProdLT(Main[[#This Row],[Comments]])=0,"",TRIM(stdProdLT(Main[[#This Row],[Comments]]))))</f>
        <v/>
      </c>
      <c r="H1298" s="94" t="str">
        <f>IF(OR(Main[[#This Row],[Std. Prod. Lead Time]]="N/A",Main[[#This Row],[Std. Prod. Lead Time]]=""), "",IF(AND(Main[[#This Row],[In Stock Date]]&lt;&gt;"",Main[[#This Row],[Revised Due Date]]&lt;&gt;"",Main[[#This Row],[In Stock Date]]&lt;&gt;""),Main[[#This Row],[In Stock Date]]-Main[[#This Row],[Revised Due Date]],""))</f>
        <v/>
      </c>
      <c r="I1298" s="101" t="s">
        <v>4</v>
      </c>
      <c r="J1298" s="95" t="s">
        <v>52</v>
      </c>
      <c r="K1298" s="95" t="s">
        <v>1923</v>
      </c>
      <c r="L1298" s="85"/>
      <c r="M1298" s="73" t="str">
        <f>IF(Main[[#This Row],[Tech Start Date]]&lt;1/1/1990,"",IF(Main[[#This Row],[Class]]="C",WORKDAY(Main[[#This Row],[Tech Start Date]],9),IF(Main[[#This Row],[Class]]="B", WORKDAY(Main[[#This Row],[Tech Start Date]],6),IF(Main[[#This Row],[Class]]="A",WORKDAY(Main[[#This Row],[Tech Start Date]],2),""))))</f>
        <v/>
      </c>
      <c r="N1298" s="73" t="str">
        <f>IF(Main[[#This Row],[Tech Start Date]]&lt;1/1/1990,"",IF(Main[[#This Row],[Class]]="C",WORKDAY(Main[[#This Row],[Tech Start Date]],19),IF(Main[[#This Row],[Class]]="B", WORKDAY(Main[[#This Row],[Tech Start Date]],12),IF(Main[[#This Row],[Class]]="A",WORKDAY(Main[[#This Row],[Tech Start Date]],4),""))))</f>
        <v/>
      </c>
      <c r="O1298" s="73" t="str">
        <f>IF(Main[[#This Row],[Tech Start Date]]&lt;1/1/1990,"",IF(Main[[#This Row],[Class]]="C",WORKDAY(Main[[#This Row],[Tech Start Date]],23),IF(Main[[#This Row],[Class]]="B", WORKDAY(Main[[#This Row],[Tech Start Date]],15),IF(Main[[#This Row],[Class]]="A",WORKDAY(Main[[#This Row],[Tech Start Date]],5),""))))</f>
        <v/>
      </c>
      <c r="P1298" s="73" t="str">
        <f>IF(Main[[#This Row],[Tech Start Date]]&lt;1/1/1990,"",IF(Main[[#This Row],[Class]]="C",WORKDAY(Main[[#This Row],[Tech Start Date]],28),IF(Main[[#This Row],[Class]]="B", WORKDAY(Main[[#This Row],[Tech Start Date]],19),IF(Main[[#This Row],[Class]]="A",WORKDAY(Main[[#This Row],[Tech Start Date]],9),""))))</f>
        <v/>
      </c>
      <c r="Q1298" s="85">
        <v>40389</v>
      </c>
      <c r="R1298" s="112">
        <v>40403</v>
      </c>
      <c r="S1298" s="95" t="s">
        <v>17</v>
      </c>
      <c r="T1298" s="74" t="s">
        <v>4</v>
      </c>
      <c r="U1298" s="95" t="s">
        <v>29</v>
      </c>
      <c r="V1298" s="95" t="s">
        <v>1911</v>
      </c>
      <c r="W1298" s="95" t="s">
        <v>1925</v>
      </c>
      <c r="X1298" s="95" t="s">
        <v>2801</v>
      </c>
      <c r="Y1298" s="72" t="s">
        <v>2914</v>
      </c>
      <c r="Z1298" s="72" t="s">
        <v>129</v>
      </c>
      <c r="AA1298" s="95" t="s">
        <v>2801</v>
      </c>
      <c r="AB1298" s="132"/>
      <c r="AC1298" s="132"/>
      <c r="AD1298" s="132"/>
      <c r="AE1298" s="63"/>
      <c r="AF1298" s="63"/>
      <c r="AG1298" s="63"/>
    </row>
    <row r="1299" spans="1:33" ht="17.2" customHeight="1">
      <c r="A1299" s="64" t="str">
        <f>IF(priority(Main[[#This Row],[Comments]])&lt;&gt;0, priority(Main[[#This Row],[Comments]]),"")</f>
        <v/>
      </c>
      <c r="B1299" s="60" t="s">
        <v>1503</v>
      </c>
      <c r="C1299" s="72" t="s">
        <v>577</v>
      </c>
      <c r="D1299" s="59" t="s">
        <v>2570</v>
      </c>
      <c r="E1299" s="85"/>
      <c r="F1299" s="85"/>
      <c r="G1299" s="64" t="str">
        <f>IF(stdProdLT(Main[[#This Row],[Comments]])=0.1,"N/A",IF(stdProdLT(Main[[#This Row],[Comments]])=0,"",TRIM(stdProdLT(Main[[#This Row],[Comments]]))))</f>
        <v/>
      </c>
      <c r="H1299" s="94" t="str">
        <f>IF(OR(Main[[#This Row],[Std. Prod. Lead Time]]="N/A",Main[[#This Row],[Std. Prod. Lead Time]]=""), "",IF(AND(Main[[#This Row],[In Stock Date]]&lt;&gt;"",Main[[#This Row],[Revised Due Date]]&lt;&gt;"",Main[[#This Row],[In Stock Date]]&lt;&gt;""),Main[[#This Row],[In Stock Date]]-Main[[#This Row],[Revised Due Date]],""))</f>
        <v/>
      </c>
      <c r="I1299" s="101" t="s">
        <v>4</v>
      </c>
      <c r="J1299" s="95" t="s">
        <v>28</v>
      </c>
      <c r="K1299" s="96" t="s">
        <v>1918</v>
      </c>
      <c r="L1299" s="85"/>
      <c r="M1299" s="73" t="str">
        <f>IF(Main[[#This Row],[Tech Start Date]]&lt;1/1/1990,"",IF(Main[[#This Row],[Class]]="C",WORKDAY(Main[[#This Row],[Tech Start Date]],9),IF(Main[[#This Row],[Class]]="B", WORKDAY(Main[[#This Row],[Tech Start Date]],6),IF(Main[[#This Row],[Class]]="A",WORKDAY(Main[[#This Row],[Tech Start Date]],2),""))))</f>
        <v/>
      </c>
      <c r="N1299" s="73" t="str">
        <f>IF(Main[[#This Row],[Tech Start Date]]&lt;1/1/1990,"",IF(Main[[#This Row],[Class]]="C",WORKDAY(Main[[#This Row],[Tech Start Date]],19),IF(Main[[#This Row],[Class]]="B", WORKDAY(Main[[#This Row],[Tech Start Date]],12),IF(Main[[#This Row],[Class]]="A",WORKDAY(Main[[#This Row],[Tech Start Date]],4),""))))</f>
        <v/>
      </c>
      <c r="O1299" s="73" t="str">
        <f>IF(Main[[#This Row],[Tech Start Date]]&lt;1/1/1990,"",IF(Main[[#This Row],[Class]]="C",WORKDAY(Main[[#This Row],[Tech Start Date]],23),IF(Main[[#This Row],[Class]]="B", WORKDAY(Main[[#This Row],[Tech Start Date]],15),IF(Main[[#This Row],[Class]]="A",WORKDAY(Main[[#This Row],[Tech Start Date]],5),""))))</f>
        <v/>
      </c>
      <c r="P1299" s="73" t="str">
        <f>IF(Main[[#This Row],[Tech Start Date]]&lt;1/1/1990,"",IF(Main[[#This Row],[Class]]="C",WORKDAY(Main[[#This Row],[Tech Start Date]],28),IF(Main[[#This Row],[Class]]="B", WORKDAY(Main[[#This Row],[Tech Start Date]],19),IF(Main[[#This Row],[Class]]="A",WORKDAY(Main[[#This Row],[Tech Start Date]],9),""))))</f>
        <v/>
      </c>
      <c r="Q1299" s="85">
        <v>40486</v>
      </c>
      <c r="R1299" s="112"/>
      <c r="S1299" s="95" t="s">
        <v>6</v>
      </c>
      <c r="T1299" s="74" t="s">
        <v>4</v>
      </c>
      <c r="U1299" s="95" t="s">
        <v>14</v>
      </c>
      <c r="V1299" s="95" t="s">
        <v>1911</v>
      </c>
      <c r="W1299" s="95" t="s">
        <v>1915</v>
      </c>
      <c r="X1299" s="95" t="s">
        <v>2801</v>
      </c>
      <c r="Y1299" s="72" t="s">
        <v>2914</v>
      </c>
      <c r="Z1299" s="72" t="s">
        <v>129</v>
      </c>
      <c r="AA1299" s="95" t="s">
        <v>2801</v>
      </c>
      <c r="AB1299" s="132"/>
      <c r="AC1299" s="132"/>
      <c r="AD1299" s="132"/>
      <c r="AE1299" s="63"/>
      <c r="AF1299" s="63"/>
      <c r="AG1299" s="63"/>
    </row>
    <row r="1300" spans="1:33" ht="17.2" customHeight="1">
      <c r="A1300" s="64" t="str">
        <f>IF(priority(Main[[#This Row],[Comments]])&lt;&gt;0, priority(Main[[#This Row],[Comments]]),"")</f>
        <v/>
      </c>
      <c r="B1300" s="60" t="s">
        <v>2085</v>
      </c>
      <c r="C1300" s="72" t="s">
        <v>4</v>
      </c>
      <c r="D1300" s="59" t="s">
        <v>2571</v>
      </c>
      <c r="E1300" s="85">
        <v>40760.553842592592</v>
      </c>
      <c r="F1300" s="85"/>
      <c r="G1300" s="64" t="str">
        <f>IF(stdProdLT(Main[[#This Row],[Comments]])=0.1,"N/A",IF(stdProdLT(Main[[#This Row],[Comments]])=0,"",TRIM(stdProdLT(Main[[#This Row],[Comments]]))))</f>
        <v/>
      </c>
      <c r="H1300" s="94" t="str">
        <f>IF(OR(Main[[#This Row],[Std. Prod. Lead Time]]="N/A",Main[[#This Row],[Std. Prod. Lead Time]]=""), "",IF(AND(Main[[#This Row],[In Stock Date]]&lt;&gt;"",Main[[#This Row],[Revised Due Date]]&lt;&gt;"",Main[[#This Row],[In Stock Date]]&lt;&gt;""),Main[[#This Row],[In Stock Date]]-Main[[#This Row],[Revised Due Date]],""))</f>
        <v/>
      </c>
      <c r="I1300" s="101" t="s">
        <v>4</v>
      </c>
      <c r="J1300" s="95" t="s">
        <v>4</v>
      </c>
      <c r="K1300" s="96" t="s">
        <v>4</v>
      </c>
      <c r="L1300" s="85"/>
      <c r="M1300" s="73" t="str">
        <f>IF(Main[[#This Row],[Tech Start Date]]&lt;1/1/1990,"",IF(Main[[#This Row],[Class]]="C",WORKDAY(Main[[#This Row],[Tech Start Date]],9),IF(Main[[#This Row],[Class]]="B", WORKDAY(Main[[#This Row],[Tech Start Date]],6),IF(Main[[#This Row],[Class]]="A",WORKDAY(Main[[#This Row],[Tech Start Date]],2),""))))</f>
        <v/>
      </c>
      <c r="N1300" s="73" t="str">
        <f>IF(Main[[#This Row],[Tech Start Date]]&lt;1/1/1990,"",IF(Main[[#This Row],[Class]]="C",WORKDAY(Main[[#This Row],[Tech Start Date]],19),IF(Main[[#This Row],[Class]]="B", WORKDAY(Main[[#This Row],[Tech Start Date]],12),IF(Main[[#This Row],[Class]]="A",WORKDAY(Main[[#This Row],[Tech Start Date]],4),""))))</f>
        <v/>
      </c>
      <c r="O1300" s="73" t="str">
        <f>IF(Main[[#This Row],[Tech Start Date]]&lt;1/1/1990,"",IF(Main[[#This Row],[Class]]="C",WORKDAY(Main[[#This Row],[Tech Start Date]],23),IF(Main[[#This Row],[Class]]="B", WORKDAY(Main[[#This Row],[Tech Start Date]],15),IF(Main[[#This Row],[Class]]="A",WORKDAY(Main[[#This Row],[Tech Start Date]],5),""))))</f>
        <v/>
      </c>
      <c r="P1300" s="73" t="str">
        <f>IF(Main[[#This Row],[Tech Start Date]]&lt;1/1/1990,"",IF(Main[[#This Row],[Class]]="C",WORKDAY(Main[[#This Row],[Tech Start Date]],28),IF(Main[[#This Row],[Class]]="B", WORKDAY(Main[[#This Row],[Tech Start Date]],19),IF(Main[[#This Row],[Class]]="A",WORKDAY(Main[[#This Row],[Tech Start Date]],9),""))))</f>
        <v/>
      </c>
      <c r="Q1300" s="85"/>
      <c r="R1300" s="112"/>
      <c r="S1300" s="95" t="s">
        <v>6</v>
      </c>
      <c r="T1300" s="74" t="s">
        <v>4</v>
      </c>
      <c r="U1300" s="95" t="s">
        <v>7</v>
      </c>
      <c r="V1300" s="95" t="s">
        <v>1911</v>
      </c>
      <c r="W1300" s="95" t="s">
        <v>1915</v>
      </c>
      <c r="X1300" s="95" t="s">
        <v>306</v>
      </c>
      <c r="Y1300" s="72" t="s">
        <v>4</v>
      </c>
      <c r="Z1300" s="72" t="s">
        <v>4</v>
      </c>
      <c r="AA1300" s="95" t="s">
        <v>4</v>
      </c>
      <c r="AB1300" s="132"/>
      <c r="AC1300" s="132"/>
      <c r="AD1300" s="132"/>
      <c r="AE1300" s="63"/>
      <c r="AF1300" s="63"/>
      <c r="AG1300" s="63"/>
    </row>
    <row r="1301" spans="1:33" ht="17.2" customHeight="1">
      <c r="A1301" s="64" t="str">
        <f>IF(priority(Main[[#This Row],[Comments]])&lt;&gt;0, priority(Main[[#This Row],[Comments]]),"")</f>
        <v/>
      </c>
      <c r="B1301" s="60" t="s">
        <v>1112</v>
      </c>
      <c r="C1301" s="72" t="s">
        <v>161</v>
      </c>
      <c r="D1301" s="59" t="s">
        <v>162</v>
      </c>
      <c r="E1301" s="85"/>
      <c r="F1301" s="85">
        <v>40238</v>
      </c>
      <c r="G1301" s="64" t="str">
        <f>IF(stdProdLT(Main[[#This Row],[Comments]])=0.1,"N/A",IF(stdProdLT(Main[[#This Row],[Comments]])=0,"",TRIM(stdProdLT(Main[[#This Row],[Comments]]))))</f>
        <v/>
      </c>
      <c r="H1301" s="94" t="str">
        <f>IF(OR(Main[[#This Row],[Std. Prod. Lead Time]]="N/A",Main[[#This Row],[Std. Prod. Lead Time]]=""), "",IF(AND(Main[[#This Row],[In Stock Date]]&lt;&gt;"",Main[[#This Row],[Revised Due Date]]&lt;&gt;"",Main[[#This Row],[In Stock Date]]&lt;&gt;""),Main[[#This Row],[In Stock Date]]-Main[[#This Row],[Revised Due Date]],""))</f>
        <v/>
      </c>
      <c r="I1301" s="101" t="s">
        <v>4</v>
      </c>
      <c r="J1301" s="95" t="s">
        <v>4</v>
      </c>
      <c r="K1301" s="95" t="s">
        <v>4</v>
      </c>
      <c r="L1301" s="85"/>
      <c r="M1301" s="73" t="str">
        <f>IF(Main[[#This Row],[Tech Start Date]]&lt;1/1/1990,"",IF(Main[[#This Row],[Class]]="C",WORKDAY(Main[[#This Row],[Tech Start Date]],9),IF(Main[[#This Row],[Class]]="B", WORKDAY(Main[[#This Row],[Tech Start Date]],6),IF(Main[[#This Row],[Class]]="A",WORKDAY(Main[[#This Row],[Tech Start Date]],2),""))))</f>
        <v/>
      </c>
      <c r="N1301" s="73" t="str">
        <f>IF(Main[[#This Row],[Tech Start Date]]&lt;1/1/1990,"",IF(Main[[#This Row],[Class]]="C",WORKDAY(Main[[#This Row],[Tech Start Date]],19),IF(Main[[#This Row],[Class]]="B", WORKDAY(Main[[#This Row],[Tech Start Date]],12),IF(Main[[#This Row],[Class]]="A",WORKDAY(Main[[#This Row],[Tech Start Date]],4),""))))</f>
        <v/>
      </c>
      <c r="O1301" s="73" t="str">
        <f>IF(Main[[#This Row],[Tech Start Date]]&lt;1/1/1990,"",IF(Main[[#This Row],[Class]]="C",WORKDAY(Main[[#This Row],[Tech Start Date]],23),IF(Main[[#This Row],[Class]]="B", WORKDAY(Main[[#This Row],[Tech Start Date]],15),IF(Main[[#This Row],[Class]]="A",WORKDAY(Main[[#This Row],[Tech Start Date]],5),""))))</f>
        <v/>
      </c>
      <c r="P1301" s="73" t="str">
        <f>IF(Main[[#This Row],[Tech Start Date]]&lt;1/1/1990,"",IF(Main[[#This Row],[Class]]="C",WORKDAY(Main[[#This Row],[Tech Start Date]],28),IF(Main[[#This Row],[Class]]="B", WORKDAY(Main[[#This Row],[Tech Start Date]],19),IF(Main[[#This Row],[Class]]="A",WORKDAY(Main[[#This Row],[Tech Start Date]],9),""))))</f>
        <v/>
      </c>
      <c r="Q1301" s="85">
        <v>40167</v>
      </c>
      <c r="R1301" s="112"/>
      <c r="S1301" s="95" t="s">
        <v>17</v>
      </c>
      <c r="T1301" s="74" t="s">
        <v>4</v>
      </c>
      <c r="U1301" s="95" t="s">
        <v>14</v>
      </c>
      <c r="V1301" s="95" t="s">
        <v>1914</v>
      </c>
      <c r="W1301" s="95" t="s">
        <v>1919</v>
      </c>
      <c r="X1301" s="95" t="s">
        <v>50</v>
      </c>
      <c r="Y1301" s="72" t="s">
        <v>2921</v>
      </c>
      <c r="Z1301" s="72" t="s">
        <v>852</v>
      </c>
      <c r="AA1301" s="95" t="s">
        <v>2804</v>
      </c>
      <c r="AB1301" s="132"/>
      <c r="AC1301" s="132"/>
      <c r="AD1301" s="132"/>
      <c r="AE1301" s="63"/>
      <c r="AF1301" s="63"/>
      <c r="AG1301" s="63"/>
    </row>
    <row r="1302" spans="1:33" ht="17.2" customHeight="1">
      <c r="A1302" s="64" t="str">
        <f>IF(priority(Main[[#This Row],[Comments]])&lt;&gt;0, priority(Main[[#This Row],[Comments]]),"")</f>
        <v/>
      </c>
      <c r="B1302" s="60" t="s">
        <v>3160</v>
      </c>
      <c r="C1302" s="72" t="s">
        <v>31</v>
      </c>
      <c r="D1302" s="59" t="s">
        <v>3161</v>
      </c>
      <c r="E1302" s="85"/>
      <c r="F1302" s="85">
        <v>41122</v>
      </c>
      <c r="G1302" s="64" t="str">
        <f>IF(stdProdLT(Main[[#This Row],[Comments]])=0.1,"N/A",IF(stdProdLT(Main[[#This Row],[Comments]])=0,"",TRIM(stdProdLT(Main[[#This Row],[Comments]]))))</f>
        <v/>
      </c>
      <c r="H1302" s="94" t="str">
        <f>IF(OR(Main[[#This Row],[Std. Prod. Lead Time]]="N/A",Main[[#This Row],[Std. Prod. Lead Time]]=""), "",IF(AND(Main[[#This Row],[In Stock Date]]&lt;&gt;"",Main[[#This Row],[Revised Due Date]]&lt;&gt;"",Main[[#This Row],[In Stock Date]]&lt;&gt;""),Main[[#This Row],[In Stock Date]]-Main[[#This Row],[Revised Due Date]],""))</f>
        <v/>
      </c>
      <c r="I1302" s="101" t="s">
        <v>4</v>
      </c>
      <c r="J1302" s="95" t="s">
        <v>4</v>
      </c>
      <c r="K1302" s="95" t="s">
        <v>4</v>
      </c>
      <c r="L1302" s="85"/>
      <c r="M1302" s="73" t="str">
        <f>IF(Main[[#This Row],[Tech Start Date]]&lt;1/1/1990,"",IF(Main[[#This Row],[Class]]="C",WORKDAY(Main[[#This Row],[Tech Start Date]],9),IF(Main[[#This Row],[Class]]="B", WORKDAY(Main[[#This Row],[Tech Start Date]],6),IF(Main[[#This Row],[Class]]="A",WORKDAY(Main[[#This Row],[Tech Start Date]],2),""))))</f>
        <v/>
      </c>
      <c r="N1302" s="73" t="str">
        <f>IF(Main[[#This Row],[Tech Start Date]]&lt;1/1/1990,"",IF(Main[[#This Row],[Class]]="C",WORKDAY(Main[[#This Row],[Tech Start Date]],19),IF(Main[[#This Row],[Class]]="B", WORKDAY(Main[[#This Row],[Tech Start Date]],12),IF(Main[[#This Row],[Class]]="A",WORKDAY(Main[[#This Row],[Tech Start Date]],4),""))))</f>
        <v/>
      </c>
      <c r="O1302" s="73" t="str">
        <f>IF(Main[[#This Row],[Tech Start Date]]&lt;1/1/1990,"",IF(Main[[#This Row],[Class]]="C",WORKDAY(Main[[#This Row],[Tech Start Date]],23),IF(Main[[#This Row],[Class]]="B", WORKDAY(Main[[#This Row],[Tech Start Date]],15),IF(Main[[#This Row],[Class]]="A",WORKDAY(Main[[#This Row],[Tech Start Date]],5),""))))</f>
        <v/>
      </c>
      <c r="P1302" s="73" t="str">
        <f>IF(Main[[#This Row],[Tech Start Date]]&lt;1/1/1990,"",IF(Main[[#This Row],[Class]]="C",WORKDAY(Main[[#This Row],[Tech Start Date]],28),IF(Main[[#This Row],[Class]]="B", WORKDAY(Main[[#This Row],[Tech Start Date]],19),IF(Main[[#This Row],[Class]]="A",WORKDAY(Main[[#This Row],[Tech Start Date]],9),""))))</f>
        <v/>
      </c>
      <c r="Q1302" s="85">
        <v>40940</v>
      </c>
      <c r="R1302" s="112"/>
      <c r="S1302" s="95" t="s">
        <v>11</v>
      </c>
      <c r="T1302" s="74" t="s">
        <v>4</v>
      </c>
      <c r="U1302" s="95" t="s">
        <v>12</v>
      </c>
      <c r="V1302" s="95" t="s">
        <v>1914</v>
      </c>
      <c r="W1302" s="95" t="s">
        <v>1922</v>
      </c>
      <c r="X1302" s="95" t="s">
        <v>2826</v>
      </c>
      <c r="Y1302" s="72" t="s">
        <v>4</v>
      </c>
      <c r="Z1302" s="72" t="s">
        <v>4</v>
      </c>
      <c r="AA1302" s="95" t="s">
        <v>2826</v>
      </c>
      <c r="AB1302" s="132"/>
      <c r="AC1302" s="132"/>
      <c r="AD1302" s="132"/>
      <c r="AE1302" s="63"/>
      <c r="AF1302" s="63"/>
      <c r="AG1302" s="63"/>
    </row>
    <row r="1303" spans="1:33" ht="17.2" customHeight="1">
      <c r="A1303" s="64" t="str">
        <f>IF(priority(Main[[#This Row],[Comments]])&lt;&gt;0, priority(Main[[#This Row],[Comments]]),"")</f>
        <v/>
      </c>
      <c r="B1303" s="60" t="s">
        <v>1447</v>
      </c>
      <c r="C1303" s="72" t="s">
        <v>4</v>
      </c>
      <c r="D1303" s="59" t="s">
        <v>3768</v>
      </c>
      <c r="E1303" s="85">
        <v>40626.477812500001</v>
      </c>
      <c r="F1303" s="85"/>
      <c r="G1303" s="64" t="str">
        <f>IF(stdProdLT(Main[[#This Row],[Comments]])=0.1,"N/A",IF(stdProdLT(Main[[#This Row],[Comments]])=0,"",TRIM(stdProdLT(Main[[#This Row],[Comments]]))))</f>
        <v/>
      </c>
      <c r="H1303" s="94" t="str">
        <f>IF(OR(Main[[#This Row],[Std. Prod. Lead Time]]="N/A",Main[[#This Row],[Std. Prod. Lead Time]]=""), "",IF(AND(Main[[#This Row],[In Stock Date]]&lt;&gt;"",Main[[#This Row],[Revised Due Date]]&lt;&gt;"",Main[[#This Row],[In Stock Date]]&lt;&gt;""),Main[[#This Row],[In Stock Date]]-Main[[#This Row],[Revised Due Date]],""))</f>
        <v/>
      </c>
      <c r="I1303" s="101" t="s">
        <v>2202</v>
      </c>
      <c r="J1303" s="95" t="s">
        <v>75</v>
      </c>
      <c r="K1303" s="95" t="s">
        <v>1920</v>
      </c>
      <c r="L1303" s="85"/>
      <c r="M1303" s="73" t="str">
        <f>IF(Main[[#This Row],[Tech Start Date]]&lt;1/1/1990,"",IF(Main[[#This Row],[Class]]="C",WORKDAY(Main[[#This Row],[Tech Start Date]],9),IF(Main[[#This Row],[Class]]="B", WORKDAY(Main[[#This Row],[Tech Start Date]],6),IF(Main[[#This Row],[Class]]="A",WORKDAY(Main[[#This Row],[Tech Start Date]],2),""))))</f>
        <v/>
      </c>
      <c r="N1303" s="73" t="str">
        <f>IF(Main[[#This Row],[Tech Start Date]]&lt;1/1/1990,"",IF(Main[[#This Row],[Class]]="C",WORKDAY(Main[[#This Row],[Tech Start Date]],19),IF(Main[[#This Row],[Class]]="B", WORKDAY(Main[[#This Row],[Tech Start Date]],12),IF(Main[[#This Row],[Class]]="A",WORKDAY(Main[[#This Row],[Tech Start Date]],4),""))))</f>
        <v/>
      </c>
      <c r="O1303" s="73" t="str">
        <f>IF(Main[[#This Row],[Tech Start Date]]&lt;1/1/1990,"",IF(Main[[#This Row],[Class]]="C",WORKDAY(Main[[#This Row],[Tech Start Date]],23),IF(Main[[#This Row],[Class]]="B", WORKDAY(Main[[#This Row],[Tech Start Date]],15),IF(Main[[#This Row],[Class]]="A",WORKDAY(Main[[#This Row],[Tech Start Date]],5),""))))</f>
        <v/>
      </c>
      <c r="P1303" s="73" t="str">
        <f>IF(Main[[#This Row],[Tech Start Date]]&lt;1/1/1990,"",IF(Main[[#This Row],[Class]]="C",WORKDAY(Main[[#This Row],[Tech Start Date]],28),IF(Main[[#This Row],[Class]]="B", WORKDAY(Main[[#This Row],[Tech Start Date]],19),IF(Main[[#This Row],[Class]]="A",WORKDAY(Main[[#This Row],[Tech Start Date]],9),""))))</f>
        <v/>
      </c>
      <c r="Q1303" s="85"/>
      <c r="R1303" s="112"/>
      <c r="S1303" s="95" t="s">
        <v>6</v>
      </c>
      <c r="T1303" s="74" t="s">
        <v>4</v>
      </c>
      <c r="U1303" s="95" t="s">
        <v>29</v>
      </c>
      <c r="V1303" s="95" t="s">
        <v>1914</v>
      </c>
      <c r="W1303" s="95" t="s">
        <v>1915</v>
      </c>
      <c r="X1303" s="95" t="s">
        <v>74</v>
      </c>
      <c r="Y1303" s="72" t="s">
        <v>3009</v>
      </c>
      <c r="Z1303" s="72" t="s">
        <v>415</v>
      </c>
      <c r="AA1303" s="95" t="s">
        <v>74</v>
      </c>
      <c r="AB1303" s="132">
        <v>40967</v>
      </c>
      <c r="AC1303" s="132">
        <v>40977</v>
      </c>
      <c r="AD1303" s="132"/>
      <c r="AE1303" s="63"/>
      <c r="AF1303" s="63"/>
      <c r="AG1303" s="63"/>
    </row>
    <row r="1304" spans="1:33" ht="17.2" customHeight="1">
      <c r="A1304" s="64" t="str">
        <f>IF(priority(Main[[#This Row],[Comments]])&lt;&gt;0, priority(Main[[#This Row],[Comments]]),"")</f>
        <v/>
      </c>
      <c r="B1304" s="60" t="s">
        <v>3323</v>
      </c>
      <c r="C1304" s="72" t="s">
        <v>47</v>
      </c>
      <c r="D1304" s="59" t="s">
        <v>3324</v>
      </c>
      <c r="E1304" s="85">
        <v>40938.56958333333</v>
      </c>
      <c r="F1304" s="85"/>
      <c r="G1304" s="64" t="str">
        <f>IF(stdProdLT(Main[[#This Row],[Comments]])=0.1,"N/A",IF(stdProdLT(Main[[#This Row],[Comments]])=0,"",TRIM(stdProdLT(Main[[#This Row],[Comments]]))))</f>
        <v/>
      </c>
      <c r="H1304" s="94" t="str">
        <f>IF(OR(Main[[#This Row],[Std. Prod. Lead Time]]="N/A",Main[[#This Row],[Std. Prod. Lead Time]]=""), "",IF(AND(Main[[#This Row],[In Stock Date]]&lt;&gt;"",Main[[#This Row],[Revised Due Date]]&lt;&gt;"",Main[[#This Row],[In Stock Date]]&lt;&gt;""),Main[[#This Row],[In Stock Date]]-Main[[#This Row],[Revised Due Date]],""))</f>
        <v/>
      </c>
      <c r="I1304" s="101" t="s">
        <v>4</v>
      </c>
      <c r="J1304" s="95" t="s">
        <v>4</v>
      </c>
      <c r="K1304" s="95" t="s">
        <v>4</v>
      </c>
      <c r="L1304" s="85"/>
      <c r="M1304" s="73" t="str">
        <f>IF(Main[[#This Row],[Tech Start Date]]&lt;1/1/1990,"",IF(Main[[#This Row],[Class]]="C",WORKDAY(Main[[#This Row],[Tech Start Date]],9),IF(Main[[#This Row],[Class]]="B", WORKDAY(Main[[#This Row],[Tech Start Date]],6),IF(Main[[#This Row],[Class]]="A",WORKDAY(Main[[#This Row],[Tech Start Date]],2),""))))</f>
        <v/>
      </c>
      <c r="N1304" s="73" t="str">
        <f>IF(Main[[#This Row],[Tech Start Date]]&lt;1/1/1990,"",IF(Main[[#This Row],[Class]]="C",WORKDAY(Main[[#This Row],[Tech Start Date]],19),IF(Main[[#This Row],[Class]]="B", WORKDAY(Main[[#This Row],[Tech Start Date]],12),IF(Main[[#This Row],[Class]]="A",WORKDAY(Main[[#This Row],[Tech Start Date]],4),""))))</f>
        <v/>
      </c>
      <c r="O1304" s="73" t="str">
        <f>IF(Main[[#This Row],[Tech Start Date]]&lt;1/1/1990,"",IF(Main[[#This Row],[Class]]="C",WORKDAY(Main[[#This Row],[Tech Start Date]],23),IF(Main[[#This Row],[Class]]="B", WORKDAY(Main[[#This Row],[Tech Start Date]],15),IF(Main[[#This Row],[Class]]="A",WORKDAY(Main[[#This Row],[Tech Start Date]],5),""))))</f>
        <v/>
      </c>
      <c r="P1304" s="73" t="str">
        <f>IF(Main[[#This Row],[Tech Start Date]]&lt;1/1/1990,"",IF(Main[[#This Row],[Class]]="C",WORKDAY(Main[[#This Row],[Tech Start Date]],28),IF(Main[[#This Row],[Class]]="B", WORKDAY(Main[[#This Row],[Tech Start Date]],19),IF(Main[[#This Row],[Class]]="A",WORKDAY(Main[[#This Row],[Tech Start Date]],9),""))))</f>
        <v/>
      </c>
      <c r="Q1304" s="85">
        <v>40964</v>
      </c>
      <c r="R1304" s="112"/>
      <c r="S1304" s="95" t="s">
        <v>6</v>
      </c>
      <c r="T1304" s="74" t="s">
        <v>4</v>
      </c>
      <c r="U1304" s="95" t="s">
        <v>7</v>
      </c>
      <c r="V1304" s="95" t="s">
        <v>2277</v>
      </c>
      <c r="W1304" s="95" t="s">
        <v>4</v>
      </c>
      <c r="X1304" s="95" t="s">
        <v>2845</v>
      </c>
      <c r="Y1304" s="72" t="s">
        <v>2988</v>
      </c>
      <c r="Z1304" s="72" t="s">
        <v>4</v>
      </c>
      <c r="AA1304" s="95" t="s">
        <v>2845</v>
      </c>
      <c r="AB1304" s="132"/>
      <c r="AC1304" s="132"/>
      <c r="AD1304" s="132"/>
      <c r="AE1304" s="63"/>
      <c r="AF1304" s="63"/>
      <c r="AG1304" s="63"/>
    </row>
    <row r="1305" spans="1:33" ht="17.2" customHeight="1">
      <c r="A1305" s="64" t="str">
        <f>IF(priority(Main[[#This Row],[Comments]])&lt;&gt;0, priority(Main[[#This Row],[Comments]]),"")</f>
        <v/>
      </c>
      <c r="B1305" s="60" t="s">
        <v>1862</v>
      </c>
      <c r="C1305" s="72" t="s">
        <v>47</v>
      </c>
      <c r="D1305" s="59" t="s">
        <v>920</v>
      </c>
      <c r="E1305" s="85">
        <v>39937.596770833334</v>
      </c>
      <c r="F1305" s="85"/>
      <c r="G1305" s="64" t="str">
        <f>IF(stdProdLT(Main[[#This Row],[Comments]])=0.1,"N/A",IF(stdProdLT(Main[[#This Row],[Comments]])=0,"",TRIM(stdProdLT(Main[[#This Row],[Comments]]))))</f>
        <v/>
      </c>
      <c r="H1305" s="94" t="str">
        <f>IF(OR(Main[[#This Row],[Std. Prod. Lead Time]]="N/A",Main[[#This Row],[Std. Prod. Lead Time]]=""), "",IF(AND(Main[[#This Row],[In Stock Date]]&lt;&gt;"",Main[[#This Row],[Revised Due Date]]&lt;&gt;"",Main[[#This Row],[In Stock Date]]&lt;&gt;""),Main[[#This Row],[In Stock Date]]-Main[[#This Row],[Revised Due Date]],""))</f>
        <v/>
      </c>
      <c r="I1305" s="101" t="s">
        <v>974</v>
      </c>
      <c r="J1305" s="95" t="s">
        <v>4</v>
      </c>
      <c r="K1305" s="95" t="s">
        <v>1923</v>
      </c>
      <c r="L1305" s="85"/>
      <c r="M1305" s="73" t="str">
        <f>IF(Main[[#This Row],[Tech Start Date]]&lt;1/1/1990,"",IF(Main[[#This Row],[Class]]="C",WORKDAY(Main[[#This Row],[Tech Start Date]],9),IF(Main[[#This Row],[Class]]="B", WORKDAY(Main[[#This Row],[Tech Start Date]],6),IF(Main[[#This Row],[Class]]="A",WORKDAY(Main[[#This Row],[Tech Start Date]],2),""))))</f>
        <v/>
      </c>
      <c r="N1305" s="73" t="str">
        <f>IF(Main[[#This Row],[Tech Start Date]]&lt;1/1/1990,"",IF(Main[[#This Row],[Class]]="C",WORKDAY(Main[[#This Row],[Tech Start Date]],19),IF(Main[[#This Row],[Class]]="B", WORKDAY(Main[[#This Row],[Tech Start Date]],12),IF(Main[[#This Row],[Class]]="A",WORKDAY(Main[[#This Row],[Tech Start Date]],4),""))))</f>
        <v/>
      </c>
      <c r="O1305" s="73" t="str">
        <f>IF(Main[[#This Row],[Tech Start Date]]&lt;1/1/1990,"",IF(Main[[#This Row],[Class]]="C",WORKDAY(Main[[#This Row],[Tech Start Date]],23),IF(Main[[#This Row],[Class]]="B", WORKDAY(Main[[#This Row],[Tech Start Date]],15),IF(Main[[#This Row],[Class]]="A",WORKDAY(Main[[#This Row],[Tech Start Date]],5),""))))</f>
        <v/>
      </c>
      <c r="P1305" s="73" t="str">
        <f>IF(Main[[#This Row],[Tech Start Date]]&lt;1/1/1990,"",IF(Main[[#This Row],[Class]]="C",WORKDAY(Main[[#This Row],[Tech Start Date]],28),IF(Main[[#This Row],[Class]]="B", WORKDAY(Main[[#This Row],[Tech Start Date]],19),IF(Main[[#This Row],[Class]]="A",WORKDAY(Main[[#This Row],[Tech Start Date]],9),""))))</f>
        <v/>
      </c>
      <c r="Q1305" s="85"/>
      <c r="R1305" s="112">
        <v>40999</v>
      </c>
      <c r="S1305" s="95" t="s">
        <v>17</v>
      </c>
      <c r="T1305" s="74" t="s">
        <v>4</v>
      </c>
      <c r="U1305" s="95" t="s">
        <v>29</v>
      </c>
      <c r="V1305" s="95" t="s">
        <v>1914</v>
      </c>
      <c r="W1305" s="95" t="s">
        <v>1916</v>
      </c>
      <c r="X1305" s="95" t="s">
        <v>2807</v>
      </c>
      <c r="Y1305" s="72" t="s">
        <v>2926</v>
      </c>
      <c r="Z1305" s="72" t="s">
        <v>415</v>
      </c>
      <c r="AA1305" s="95" t="s">
        <v>2807</v>
      </c>
      <c r="AB1305" s="132"/>
      <c r="AC1305" s="132"/>
      <c r="AD1305" s="132"/>
      <c r="AE1305" s="63"/>
      <c r="AF1305" s="63"/>
      <c r="AG1305" s="63"/>
    </row>
    <row r="1306" spans="1:33" ht="17.2" customHeight="1">
      <c r="A1306" s="64" t="str">
        <f>IF(priority(Main[[#This Row],[Comments]])&lt;&gt;0, priority(Main[[#This Row],[Comments]]),"")</f>
        <v/>
      </c>
      <c r="B1306" s="60" t="s">
        <v>3325</v>
      </c>
      <c r="C1306" s="72" t="s">
        <v>2348</v>
      </c>
      <c r="D1306" s="59" t="s">
        <v>3298</v>
      </c>
      <c r="E1306" s="85"/>
      <c r="F1306" s="85">
        <v>41030</v>
      </c>
      <c r="G1306" s="64" t="str">
        <f>IF(stdProdLT(Main[[#This Row],[Comments]])=0.1,"N/A",IF(stdProdLT(Main[[#This Row],[Comments]])=0,"",TRIM(stdProdLT(Main[[#This Row],[Comments]]))))</f>
        <v/>
      </c>
      <c r="H1306" s="94" t="str">
        <f>IF(OR(Main[[#This Row],[Std. Prod. Lead Time]]="N/A",Main[[#This Row],[Std. Prod. Lead Time]]=""), "",IF(AND(Main[[#This Row],[In Stock Date]]&lt;&gt;"",Main[[#This Row],[Revised Due Date]]&lt;&gt;"",Main[[#This Row],[In Stock Date]]&lt;&gt;""),Main[[#This Row],[In Stock Date]]-Main[[#This Row],[Revised Due Date]],""))</f>
        <v/>
      </c>
      <c r="I1306" s="101" t="s">
        <v>4</v>
      </c>
      <c r="J1306" s="95" t="s">
        <v>4</v>
      </c>
      <c r="K1306" s="95" t="s">
        <v>4</v>
      </c>
      <c r="L1306" s="85"/>
      <c r="M1306" s="73" t="str">
        <f>IF(Main[[#This Row],[Tech Start Date]]&lt;1/1/1990,"",IF(Main[[#This Row],[Class]]="C",WORKDAY(Main[[#This Row],[Tech Start Date]],9),IF(Main[[#This Row],[Class]]="B", WORKDAY(Main[[#This Row],[Tech Start Date]],6),IF(Main[[#This Row],[Class]]="A",WORKDAY(Main[[#This Row],[Tech Start Date]],2),""))))</f>
        <v/>
      </c>
      <c r="N1306" s="73" t="str">
        <f>IF(Main[[#This Row],[Tech Start Date]]&lt;1/1/1990,"",IF(Main[[#This Row],[Class]]="C",WORKDAY(Main[[#This Row],[Tech Start Date]],19),IF(Main[[#This Row],[Class]]="B", WORKDAY(Main[[#This Row],[Tech Start Date]],12),IF(Main[[#This Row],[Class]]="A",WORKDAY(Main[[#This Row],[Tech Start Date]],4),""))))</f>
        <v/>
      </c>
      <c r="O1306" s="73" t="str">
        <f>IF(Main[[#This Row],[Tech Start Date]]&lt;1/1/1990,"",IF(Main[[#This Row],[Class]]="C",WORKDAY(Main[[#This Row],[Tech Start Date]],23),IF(Main[[#This Row],[Class]]="B", WORKDAY(Main[[#This Row],[Tech Start Date]],15),IF(Main[[#This Row],[Class]]="A",WORKDAY(Main[[#This Row],[Tech Start Date]],5),""))))</f>
        <v/>
      </c>
      <c r="P1306" s="73" t="str">
        <f>IF(Main[[#This Row],[Tech Start Date]]&lt;1/1/1990,"",IF(Main[[#This Row],[Class]]="C",WORKDAY(Main[[#This Row],[Tech Start Date]],28),IF(Main[[#This Row],[Class]]="B", WORKDAY(Main[[#This Row],[Tech Start Date]],19),IF(Main[[#This Row],[Class]]="A",WORKDAY(Main[[#This Row],[Tech Start Date]],9),""))))</f>
        <v/>
      </c>
      <c r="Q1306" s="85">
        <v>40890</v>
      </c>
      <c r="R1306" s="112"/>
      <c r="S1306" s="95" t="s">
        <v>11</v>
      </c>
      <c r="T1306" s="74" t="s">
        <v>4</v>
      </c>
      <c r="U1306" s="95" t="s">
        <v>12</v>
      </c>
      <c r="V1306" s="95" t="s">
        <v>1921</v>
      </c>
      <c r="W1306" s="95" t="s">
        <v>1919</v>
      </c>
      <c r="X1306" s="95" t="s">
        <v>2823</v>
      </c>
      <c r="Y1306" s="72" t="s">
        <v>4</v>
      </c>
      <c r="Z1306" s="72" t="s">
        <v>4</v>
      </c>
      <c r="AA1306" s="95" t="s">
        <v>2823</v>
      </c>
      <c r="AB1306" s="132"/>
      <c r="AC1306" s="132"/>
      <c r="AD1306" s="132"/>
      <c r="AE1306" s="63"/>
      <c r="AF1306" s="63"/>
      <c r="AG1306" s="63"/>
    </row>
    <row r="1307" spans="1:33" ht="17.2" customHeight="1">
      <c r="A1307" s="64" t="str">
        <f>IF(priority(Main[[#This Row],[Comments]])&lt;&gt;0, priority(Main[[#This Row],[Comments]]),"")</f>
        <v/>
      </c>
      <c r="B1307" s="60" t="s">
        <v>2158</v>
      </c>
      <c r="C1307" s="72" t="s">
        <v>4</v>
      </c>
      <c r="D1307" s="59" t="s">
        <v>2573</v>
      </c>
      <c r="E1307" s="85">
        <v>40780.676446759258</v>
      </c>
      <c r="F1307" s="85"/>
      <c r="G1307" s="64" t="str">
        <f>IF(stdProdLT(Main[[#This Row],[Comments]])=0.1,"N/A",IF(stdProdLT(Main[[#This Row],[Comments]])=0,"",TRIM(stdProdLT(Main[[#This Row],[Comments]]))))</f>
        <v/>
      </c>
      <c r="H1307" s="94" t="str">
        <f>IF(OR(Main[[#This Row],[Std. Prod. Lead Time]]="N/A",Main[[#This Row],[Std. Prod. Lead Time]]=""), "",IF(AND(Main[[#This Row],[In Stock Date]]&lt;&gt;"",Main[[#This Row],[Revised Due Date]]&lt;&gt;"",Main[[#This Row],[In Stock Date]]&lt;&gt;""),Main[[#This Row],[In Stock Date]]-Main[[#This Row],[Revised Due Date]],""))</f>
        <v/>
      </c>
      <c r="I1307" s="101" t="s">
        <v>4</v>
      </c>
      <c r="J1307" s="95" t="s">
        <v>4</v>
      </c>
      <c r="K1307" s="95" t="s">
        <v>4</v>
      </c>
      <c r="L1307" s="85"/>
      <c r="M1307" s="73" t="str">
        <f>IF(Main[[#This Row],[Tech Start Date]]&lt;1/1/1990,"",IF(Main[[#This Row],[Class]]="C",WORKDAY(Main[[#This Row],[Tech Start Date]],9),IF(Main[[#This Row],[Class]]="B", WORKDAY(Main[[#This Row],[Tech Start Date]],6),IF(Main[[#This Row],[Class]]="A",WORKDAY(Main[[#This Row],[Tech Start Date]],2),""))))</f>
        <v/>
      </c>
      <c r="N1307" s="73" t="str">
        <f>IF(Main[[#This Row],[Tech Start Date]]&lt;1/1/1990,"",IF(Main[[#This Row],[Class]]="C",WORKDAY(Main[[#This Row],[Tech Start Date]],19),IF(Main[[#This Row],[Class]]="B", WORKDAY(Main[[#This Row],[Tech Start Date]],12),IF(Main[[#This Row],[Class]]="A",WORKDAY(Main[[#This Row],[Tech Start Date]],4),""))))</f>
        <v/>
      </c>
      <c r="O1307" s="73" t="str">
        <f>IF(Main[[#This Row],[Tech Start Date]]&lt;1/1/1990,"",IF(Main[[#This Row],[Class]]="C",WORKDAY(Main[[#This Row],[Tech Start Date]],23),IF(Main[[#This Row],[Class]]="B", WORKDAY(Main[[#This Row],[Tech Start Date]],15),IF(Main[[#This Row],[Class]]="A",WORKDAY(Main[[#This Row],[Tech Start Date]],5),""))))</f>
        <v/>
      </c>
      <c r="P1307" s="73" t="str">
        <f>IF(Main[[#This Row],[Tech Start Date]]&lt;1/1/1990,"",IF(Main[[#This Row],[Class]]="C",WORKDAY(Main[[#This Row],[Tech Start Date]],28),IF(Main[[#This Row],[Class]]="B", WORKDAY(Main[[#This Row],[Tech Start Date]],19),IF(Main[[#This Row],[Class]]="A",WORKDAY(Main[[#This Row],[Tech Start Date]],9),""))))</f>
        <v/>
      </c>
      <c r="Q1307" s="85">
        <v>40787</v>
      </c>
      <c r="R1307" s="112"/>
      <c r="S1307" s="95" t="s">
        <v>6</v>
      </c>
      <c r="T1307" s="74" t="s">
        <v>4</v>
      </c>
      <c r="U1307" s="95" t="s">
        <v>7</v>
      </c>
      <c r="V1307" s="95" t="s">
        <v>1911</v>
      </c>
      <c r="W1307" s="95" t="s">
        <v>1919</v>
      </c>
      <c r="X1307" s="95" t="s">
        <v>2801</v>
      </c>
      <c r="Y1307" s="72" t="s">
        <v>2914</v>
      </c>
      <c r="Z1307" s="72" t="s">
        <v>4</v>
      </c>
      <c r="AA1307" s="95" t="s">
        <v>2801</v>
      </c>
      <c r="AB1307" s="132"/>
      <c r="AC1307" s="132"/>
      <c r="AD1307" s="132"/>
      <c r="AE1307" s="63"/>
      <c r="AF1307" s="63"/>
      <c r="AG1307" s="63"/>
    </row>
    <row r="1308" spans="1:33" ht="17.2" customHeight="1">
      <c r="A1308" s="64" t="str">
        <f>IF(priority(Main[[#This Row],[Comments]])&lt;&gt;0, priority(Main[[#This Row],[Comments]]),"")</f>
        <v/>
      </c>
      <c r="B1308" s="60" t="s">
        <v>2764</v>
      </c>
      <c r="C1308" s="72" t="s">
        <v>4</v>
      </c>
      <c r="D1308" s="59" t="s">
        <v>2765</v>
      </c>
      <c r="E1308" s="85">
        <v>40905.712777777779</v>
      </c>
      <c r="F1308" s="85"/>
      <c r="G1308" s="64" t="str">
        <f>IF(stdProdLT(Main[[#This Row],[Comments]])=0.1,"N/A",IF(stdProdLT(Main[[#This Row],[Comments]])=0,"",TRIM(stdProdLT(Main[[#This Row],[Comments]]))))</f>
        <v/>
      </c>
      <c r="H1308" s="94" t="str">
        <f>IF(OR(Main[[#This Row],[Std. Prod. Lead Time]]="N/A",Main[[#This Row],[Std. Prod. Lead Time]]=""), "",IF(AND(Main[[#This Row],[In Stock Date]]&lt;&gt;"",Main[[#This Row],[Revised Due Date]]&lt;&gt;"",Main[[#This Row],[In Stock Date]]&lt;&gt;""),Main[[#This Row],[In Stock Date]]-Main[[#This Row],[Revised Due Date]],""))</f>
        <v/>
      </c>
      <c r="I1308" s="101" t="s">
        <v>4</v>
      </c>
      <c r="J1308" s="95" t="s">
        <v>4</v>
      </c>
      <c r="K1308" s="95" t="s">
        <v>4</v>
      </c>
      <c r="L1308" s="85"/>
      <c r="M1308" s="73" t="str">
        <f>IF(Main[[#This Row],[Tech Start Date]]&lt;1/1/1990,"",IF(Main[[#This Row],[Class]]="C",WORKDAY(Main[[#This Row],[Tech Start Date]],9),IF(Main[[#This Row],[Class]]="B", WORKDAY(Main[[#This Row],[Tech Start Date]],6),IF(Main[[#This Row],[Class]]="A",WORKDAY(Main[[#This Row],[Tech Start Date]],2),""))))</f>
        <v/>
      </c>
      <c r="N1308" s="73" t="str">
        <f>IF(Main[[#This Row],[Tech Start Date]]&lt;1/1/1990,"",IF(Main[[#This Row],[Class]]="C",WORKDAY(Main[[#This Row],[Tech Start Date]],19),IF(Main[[#This Row],[Class]]="B", WORKDAY(Main[[#This Row],[Tech Start Date]],12),IF(Main[[#This Row],[Class]]="A",WORKDAY(Main[[#This Row],[Tech Start Date]],4),""))))</f>
        <v/>
      </c>
      <c r="O1308" s="73" t="str">
        <f>IF(Main[[#This Row],[Tech Start Date]]&lt;1/1/1990,"",IF(Main[[#This Row],[Class]]="C",WORKDAY(Main[[#This Row],[Tech Start Date]],23),IF(Main[[#This Row],[Class]]="B", WORKDAY(Main[[#This Row],[Tech Start Date]],15),IF(Main[[#This Row],[Class]]="A",WORKDAY(Main[[#This Row],[Tech Start Date]],5),""))))</f>
        <v/>
      </c>
      <c r="P1308" s="73" t="str">
        <f>IF(Main[[#This Row],[Tech Start Date]]&lt;1/1/1990,"",IF(Main[[#This Row],[Class]]="C",WORKDAY(Main[[#This Row],[Tech Start Date]],28),IF(Main[[#This Row],[Class]]="B", WORKDAY(Main[[#This Row],[Tech Start Date]],19),IF(Main[[#This Row],[Class]]="A",WORKDAY(Main[[#This Row],[Tech Start Date]],9),""))))</f>
        <v/>
      </c>
      <c r="Q1308" s="85">
        <v>40939</v>
      </c>
      <c r="R1308" s="112"/>
      <c r="S1308" s="95" t="s">
        <v>6</v>
      </c>
      <c r="T1308" s="74" t="s">
        <v>4</v>
      </c>
      <c r="U1308" s="95" t="s">
        <v>7</v>
      </c>
      <c r="V1308" s="95" t="s">
        <v>1911</v>
      </c>
      <c r="W1308" s="95" t="s">
        <v>4</v>
      </c>
      <c r="X1308" s="95" t="s">
        <v>2799</v>
      </c>
      <c r="Y1308" s="72" t="s">
        <v>2910</v>
      </c>
      <c r="Z1308" s="72" t="s">
        <v>4</v>
      </c>
      <c r="AA1308" s="95" t="s">
        <v>2799</v>
      </c>
      <c r="AB1308" s="132"/>
      <c r="AC1308" s="132"/>
      <c r="AD1308" s="132"/>
      <c r="AE1308" s="63"/>
      <c r="AF1308" s="63"/>
      <c r="AG1308" s="63"/>
    </row>
    <row r="1309" spans="1:33" ht="17.2" customHeight="1">
      <c r="A1309" s="64" t="str">
        <f>IF(priority(Main[[#This Row],[Comments]])&lt;&gt;0, priority(Main[[#This Row],[Comments]]),"")</f>
        <v/>
      </c>
      <c r="B1309" s="60" t="s">
        <v>2563</v>
      </c>
      <c r="C1309" s="72" t="s">
        <v>4</v>
      </c>
      <c r="D1309" s="59" t="s">
        <v>2766</v>
      </c>
      <c r="E1309" s="85">
        <v>40870.473611111112</v>
      </c>
      <c r="F1309" s="85"/>
      <c r="G1309" s="64" t="str">
        <f>IF(stdProdLT(Main[[#This Row],[Comments]])=0.1,"N/A",IF(stdProdLT(Main[[#This Row],[Comments]])=0,"",TRIM(stdProdLT(Main[[#This Row],[Comments]]))))</f>
        <v/>
      </c>
      <c r="H1309" s="94" t="str">
        <f>IF(OR(Main[[#This Row],[Std. Prod. Lead Time]]="N/A",Main[[#This Row],[Std. Prod. Lead Time]]=""), "",IF(AND(Main[[#This Row],[In Stock Date]]&lt;&gt;"",Main[[#This Row],[Revised Due Date]]&lt;&gt;"",Main[[#This Row],[In Stock Date]]&lt;&gt;""),Main[[#This Row],[In Stock Date]]-Main[[#This Row],[Revised Due Date]],""))</f>
        <v/>
      </c>
      <c r="I1309" s="101" t="s">
        <v>429</v>
      </c>
      <c r="J1309" s="95" t="s">
        <v>28</v>
      </c>
      <c r="K1309" s="95" t="s">
        <v>1920</v>
      </c>
      <c r="L1309" s="85"/>
      <c r="M1309" s="73" t="str">
        <f>IF(Main[[#This Row],[Tech Start Date]]&lt;1/1/1990,"",IF(Main[[#This Row],[Class]]="C",WORKDAY(Main[[#This Row],[Tech Start Date]],9),IF(Main[[#This Row],[Class]]="B", WORKDAY(Main[[#This Row],[Tech Start Date]],6),IF(Main[[#This Row],[Class]]="A",WORKDAY(Main[[#This Row],[Tech Start Date]],2),""))))</f>
        <v/>
      </c>
      <c r="N1309" s="73" t="str">
        <f>IF(Main[[#This Row],[Tech Start Date]]&lt;1/1/1990,"",IF(Main[[#This Row],[Class]]="C",WORKDAY(Main[[#This Row],[Tech Start Date]],19),IF(Main[[#This Row],[Class]]="B", WORKDAY(Main[[#This Row],[Tech Start Date]],12),IF(Main[[#This Row],[Class]]="A",WORKDAY(Main[[#This Row],[Tech Start Date]],4),""))))</f>
        <v/>
      </c>
      <c r="O1309" s="73" t="str">
        <f>IF(Main[[#This Row],[Tech Start Date]]&lt;1/1/1990,"",IF(Main[[#This Row],[Class]]="C",WORKDAY(Main[[#This Row],[Tech Start Date]],23),IF(Main[[#This Row],[Class]]="B", WORKDAY(Main[[#This Row],[Tech Start Date]],15),IF(Main[[#This Row],[Class]]="A",WORKDAY(Main[[#This Row],[Tech Start Date]],5),""))))</f>
        <v/>
      </c>
      <c r="P1309" s="73" t="str">
        <f>IF(Main[[#This Row],[Tech Start Date]]&lt;1/1/1990,"",IF(Main[[#This Row],[Class]]="C",WORKDAY(Main[[#This Row],[Tech Start Date]],28),IF(Main[[#This Row],[Class]]="B", WORKDAY(Main[[#This Row],[Tech Start Date]],19),IF(Main[[#This Row],[Class]]="A",WORKDAY(Main[[#This Row],[Tech Start Date]],9),""))))</f>
        <v/>
      </c>
      <c r="Q1309" s="85">
        <v>40905</v>
      </c>
      <c r="R1309" s="112"/>
      <c r="S1309" s="95" t="s">
        <v>6</v>
      </c>
      <c r="T1309" s="74" t="s">
        <v>4</v>
      </c>
      <c r="U1309" s="95" t="s">
        <v>29</v>
      </c>
      <c r="V1309" s="95" t="s">
        <v>1914</v>
      </c>
      <c r="W1309" s="95" t="s">
        <v>1915</v>
      </c>
      <c r="X1309" s="95" t="s">
        <v>2045</v>
      </c>
      <c r="Y1309" s="72" t="s">
        <v>3038</v>
      </c>
      <c r="Z1309" s="72" t="s">
        <v>30</v>
      </c>
      <c r="AA1309" s="95" t="s">
        <v>2875</v>
      </c>
      <c r="AB1309" s="132"/>
      <c r="AC1309" s="132"/>
      <c r="AD1309" s="132"/>
      <c r="AE1309" s="63"/>
      <c r="AF1309" s="63"/>
      <c r="AG1309" s="63"/>
    </row>
    <row r="1310" spans="1:33" ht="17.2" customHeight="1">
      <c r="A1310" s="64" t="str">
        <f>IF(priority(Main[[#This Row],[Comments]])&lt;&gt;0, priority(Main[[#This Row],[Comments]]),"")</f>
        <v/>
      </c>
      <c r="B1310" s="60" t="s">
        <v>1037</v>
      </c>
      <c r="C1310" s="72" t="s">
        <v>33</v>
      </c>
      <c r="D1310" s="59" t="s">
        <v>3653</v>
      </c>
      <c r="E1310" s="85">
        <v>40345.428090277775</v>
      </c>
      <c r="F1310" s="85"/>
      <c r="G1310" s="64" t="str">
        <f>IF(stdProdLT(Main[[#This Row],[Comments]])=0.1,"N/A",IF(stdProdLT(Main[[#This Row],[Comments]])=0,"",TRIM(stdProdLT(Main[[#This Row],[Comments]]))))</f>
        <v/>
      </c>
      <c r="H1310" s="94" t="str">
        <f>IF(OR(Main[[#This Row],[Std. Prod. Lead Time]]="N/A",Main[[#This Row],[Std. Prod. Lead Time]]=""), "",IF(AND(Main[[#This Row],[In Stock Date]]&lt;&gt;"",Main[[#This Row],[Revised Due Date]]&lt;&gt;"",Main[[#This Row],[In Stock Date]]&lt;&gt;""),Main[[#This Row],[In Stock Date]]-Main[[#This Row],[Revised Due Date]],""))</f>
        <v/>
      </c>
      <c r="I1310" s="101" t="s">
        <v>969</v>
      </c>
      <c r="J1310" s="95" t="s">
        <v>28</v>
      </c>
      <c r="K1310" s="96" t="s">
        <v>4</v>
      </c>
      <c r="L1310" s="85"/>
      <c r="M1310" s="73" t="str">
        <f>IF(Main[[#This Row],[Tech Start Date]]&lt;1/1/1990,"",IF(Main[[#This Row],[Class]]="C",WORKDAY(Main[[#This Row],[Tech Start Date]],9),IF(Main[[#This Row],[Class]]="B", WORKDAY(Main[[#This Row],[Tech Start Date]],6),IF(Main[[#This Row],[Class]]="A",WORKDAY(Main[[#This Row],[Tech Start Date]],2),""))))</f>
        <v/>
      </c>
      <c r="N1310" s="73" t="str">
        <f>IF(Main[[#This Row],[Tech Start Date]]&lt;1/1/1990,"",IF(Main[[#This Row],[Class]]="C",WORKDAY(Main[[#This Row],[Tech Start Date]],19),IF(Main[[#This Row],[Class]]="B", WORKDAY(Main[[#This Row],[Tech Start Date]],12),IF(Main[[#This Row],[Class]]="A",WORKDAY(Main[[#This Row],[Tech Start Date]],4),""))))</f>
        <v/>
      </c>
      <c r="O1310" s="73" t="str">
        <f>IF(Main[[#This Row],[Tech Start Date]]&lt;1/1/1990,"",IF(Main[[#This Row],[Class]]="C",WORKDAY(Main[[#This Row],[Tech Start Date]],23),IF(Main[[#This Row],[Class]]="B", WORKDAY(Main[[#This Row],[Tech Start Date]],15),IF(Main[[#This Row],[Class]]="A",WORKDAY(Main[[#This Row],[Tech Start Date]],5),""))))</f>
        <v/>
      </c>
      <c r="P1310" s="73" t="str">
        <f>IF(Main[[#This Row],[Tech Start Date]]&lt;1/1/1990,"",IF(Main[[#This Row],[Class]]="C",WORKDAY(Main[[#This Row],[Tech Start Date]],28),IF(Main[[#This Row],[Class]]="B", WORKDAY(Main[[#This Row],[Tech Start Date]],19),IF(Main[[#This Row],[Class]]="A",WORKDAY(Main[[#This Row],[Tech Start Date]],9),""))))</f>
        <v/>
      </c>
      <c r="Q1310" s="85">
        <v>40384</v>
      </c>
      <c r="R1310" s="112">
        <v>41029</v>
      </c>
      <c r="S1310" s="95" t="s">
        <v>17</v>
      </c>
      <c r="T1310" s="74" t="s">
        <v>2314</v>
      </c>
      <c r="U1310" s="95" t="s">
        <v>29</v>
      </c>
      <c r="V1310" s="95" t="s">
        <v>1911</v>
      </c>
      <c r="W1310" s="95" t="s">
        <v>1916</v>
      </c>
      <c r="X1310" s="95" t="s">
        <v>2855</v>
      </c>
      <c r="Y1310" s="72" t="s">
        <v>2999</v>
      </c>
      <c r="Z1310" s="72" t="s">
        <v>129</v>
      </c>
      <c r="AA1310" s="95" t="s">
        <v>2855</v>
      </c>
      <c r="AB1310" s="132"/>
      <c r="AC1310" s="132"/>
      <c r="AD1310" s="132"/>
      <c r="AE1310" s="63"/>
      <c r="AF1310" s="63"/>
      <c r="AG1310" s="63"/>
    </row>
    <row r="1311" spans="1:33" ht="17.2" customHeight="1">
      <c r="A1311" s="64" t="str">
        <f>IF(priority(Main[[#This Row],[Comments]])&lt;&gt;0, priority(Main[[#This Row],[Comments]]),"")</f>
        <v/>
      </c>
      <c r="B1311" s="60" t="s">
        <v>3238</v>
      </c>
      <c r="C1311" s="72" t="s">
        <v>4</v>
      </c>
      <c r="D1311" s="59" t="s">
        <v>3654</v>
      </c>
      <c r="E1311" s="85">
        <v>40932.302083333336</v>
      </c>
      <c r="F1311" s="85"/>
      <c r="G1311" s="64" t="str">
        <f>IF(stdProdLT(Main[[#This Row],[Comments]])=0.1,"N/A",IF(stdProdLT(Main[[#This Row],[Comments]])=0,"",TRIM(stdProdLT(Main[[#This Row],[Comments]]))))</f>
        <v/>
      </c>
      <c r="H1311" s="94" t="str">
        <f>IF(OR(Main[[#This Row],[Std. Prod. Lead Time]]="N/A",Main[[#This Row],[Std. Prod. Lead Time]]=""), "",IF(AND(Main[[#This Row],[In Stock Date]]&lt;&gt;"",Main[[#This Row],[Revised Due Date]]&lt;&gt;"",Main[[#This Row],[In Stock Date]]&lt;&gt;""),Main[[#This Row],[In Stock Date]]-Main[[#This Row],[Revised Due Date]],""))</f>
        <v/>
      </c>
      <c r="I1311" s="101" t="s">
        <v>69</v>
      </c>
      <c r="J1311" s="95" t="s">
        <v>70</v>
      </c>
      <c r="K1311" s="95" t="s">
        <v>1920</v>
      </c>
      <c r="L1311" s="85"/>
      <c r="M1311" s="73" t="str">
        <f>IF(Main[[#This Row],[Tech Start Date]]&lt;1/1/1990,"",IF(Main[[#This Row],[Class]]="C",WORKDAY(Main[[#This Row],[Tech Start Date]],9),IF(Main[[#This Row],[Class]]="B", WORKDAY(Main[[#This Row],[Tech Start Date]],6),IF(Main[[#This Row],[Class]]="A",WORKDAY(Main[[#This Row],[Tech Start Date]],2),""))))</f>
        <v/>
      </c>
      <c r="N1311" s="73" t="str">
        <f>IF(Main[[#This Row],[Tech Start Date]]&lt;1/1/1990,"",IF(Main[[#This Row],[Class]]="C",WORKDAY(Main[[#This Row],[Tech Start Date]],19),IF(Main[[#This Row],[Class]]="B", WORKDAY(Main[[#This Row],[Tech Start Date]],12),IF(Main[[#This Row],[Class]]="A",WORKDAY(Main[[#This Row],[Tech Start Date]],4),""))))</f>
        <v/>
      </c>
      <c r="O1311" s="73" t="str">
        <f>IF(Main[[#This Row],[Tech Start Date]]&lt;1/1/1990,"",IF(Main[[#This Row],[Class]]="C",WORKDAY(Main[[#This Row],[Tech Start Date]],23),IF(Main[[#This Row],[Class]]="B", WORKDAY(Main[[#This Row],[Tech Start Date]],15),IF(Main[[#This Row],[Class]]="A",WORKDAY(Main[[#This Row],[Tech Start Date]],5),""))))</f>
        <v/>
      </c>
      <c r="P1311" s="73" t="str">
        <f>IF(Main[[#This Row],[Tech Start Date]]&lt;1/1/1990,"",IF(Main[[#This Row],[Class]]="C",WORKDAY(Main[[#This Row],[Tech Start Date]],28),IF(Main[[#This Row],[Class]]="B", WORKDAY(Main[[#This Row],[Tech Start Date]],19),IF(Main[[#This Row],[Class]]="A",WORKDAY(Main[[#This Row],[Tech Start Date]],9),""))))</f>
        <v/>
      </c>
      <c r="Q1311" s="85">
        <v>40999</v>
      </c>
      <c r="R1311" s="112"/>
      <c r="S1311" s="95" t="s">
        <v>6</v>
      </c>
      <c r="T1311" s="74" t="s">
        <v>4</v>
      </c>
      <c r="U1311" s="95" t="s">
        <v>29</v>
      </c>
      <c r="V1311" s="95" t="s">
        <v>1914</v>
      </c>
      <c r="W1311" s="95" t="s">
        <v>1915</v>
      </c>
      <c r="X1311" s="95" t="s">
        <v>2883</v>
      </c>
      <c r="Y1311" s="72" t="s">
        <v>3061</v>
      </c>
      <c r="Z1311" s="72" t="s">
        <v>30</v>
      </c>
      <c r="AA1311" s="95" t="s">
        <v>2883</v>
      </c>
      <c r="AB1311" s="132"/>
      <c r="AC1311" s="132"/>
      <c r="AD1311" s="132"/>
      <c r="AE1311" s="63"/>
      <c r="AF1311" s="63"/>
      <c r="AG1311" s="63"/>
    </row>
    <row r="1312" spans="1:33" ht="17.2" customHeight="1">
      <c r="A1312" s="64" t="str">
        <f>IF(priority(Main[[#This Row],[Comments]])&lt;&gt;0, priority(Main[[#This Row],[Comments]]),"")</f>
        <v/>
      </c>
      <c r="B1312" s="60" t="s">
        <v>3449</v>
      </c>
      <c r="C1312" s="72" t="s">
        <v>4</v>
      </c>
      <c r="D1312" s="59" t="s">
        <v>3450</v>
      </c>
      <c r="E1312" s="85"/>
      <c r="F1312" s="85"/>
      <c r="G1312" s="64" t="str">
        <f>IF(stdProdLT(Main[[#This Row],[Comments]])=0.1,"N/A",IF(stdProdLT(Main[[#This Row],[Comments]])=0,"",TRIM(stdProdLT(Main[[#This Row],[Comments]]))))</f>
        <v/>
      </c>
      <c r="H1312" s="94" t="str">
        <f>IF(OR(Main[[#This Row],[Std. Prod. Lead Time]]="N/A",Main[[#This Row],[Std. Prod. Lead Time]]=""), "",IF(AND(Main[[#This Row],[In Stock Date]]&lt;&gt;"",Main[[#This Row],[Revised Due Date]]&lt;&gt;"",Main[[#This Row],[In Stock Date]]&lt;&gt;""),Main[[#This Row],[In Stock Date]]-Main[[#This Row],[Revised Due Date]],""))</f>
        <v/>
      </c>
      <c r="I1312" s="101" t="s">
        <v>530</v>
      </c>
      <c r="J1312" s="95" t="s">
        <v>28</v>
      </c>
      <c r="K1312" s="96" t="s">
        <v>1920</v>
      </c>
      <c r="L1312" s="85"/>
      <c r="M1312" s="73" t="str">
        <f>IF(Main[[#This Row],[Tech Start Date]]&lt;1/1/1990,"",IF(Main[[#This Row],[Class]]="C",WORKDAY(Main[[#This Row],[Tech Start Date]],9),IF(Main[[#This Row],[Class]]="B", WORKDAY(Main[[#This Row],[Tech Start Date]],6),IF(Main[[#This Row],[Class]]="A",WORKDAY(Main[[#This Row],[Tech Start Date]],2),""))))</f>
        <v/>
      </c>
      <c r="N1312" s="73" t="str">
        <f>IF(Main[[#This Row],[Tech Start Date]]&lt;1/1/1990,"",IF(Main[[#This Row],[Class]]="C",WORKDAY(Main[[#This Row],[Tech Start Date]],19),IF(Main[[#This Row],[Class]]="B", WORKDAY(Main[[#This Row],[Tech Start Date]],12),IF(Main[[#This Row],[Class]]="A",WORKDAY(Main[[#This Row],[Tech Start Date]],4),""))))</f>
        <v/>
      </c>
      <c r="O1312" s="73" t="str">
        <f>IF(Main[[#This Row],[Tech Start Date]]&lt;1/1/1990,"",IF(Main[[#This Row],[Class]]="C",WORKDAY(Main[[#This Row],[Tech Start Date]],23),IF(Main[[#This Row],[Class]]="B", WORKDAY(Main[[#This Row],[Tech Start Date]],15),IF(Main[[#This Row],[Class]]="A",WORKDAY(Main[[#This Row],[Tech Start Date]],5),""))))</f>
        <v/>
      </c>
      <c r="P1312" s="73" t="str">
        <f>IF(Main[[#This Row],[Tech Start Date]]&lt;1/1/1990,"",IF(Main[[#This Row],[Class]]="C",WORKDAY(Main[[#This Row],[Tech Start Date]],28),IF(Main[[#This Row],[Class]]="B", WORKDAY(Main[[#This Row],[Tech Start Date]],19),IF(Main[[#This Row],[Class]]="A",WORKDAY(Main[[#This Row],[Tech Start Date]],9),""))))</f>
        <v/>
      </c>
      <c r="Q1312" s="85">
        <v>40970</v>
      </c>
      <c r="R1312" s="112"/>
      <c r="S1312" s="95" t="s">
        <v>6</v>
      </c>
      <c r="T1312" s="74" t="s">
        <v>4</v>
      </c>
      <c r="U1312" s="95" t="s">
        <v>14</v>
      </c>
      <c r="V1312" s="95" t="s">
        <v>1914</v>
      </c>
      <c r="W1312" s="95" t="s">
        <v>1915</v>
      </c>
      <c r="X1312" s="95" t="s">
        <v>2802</v>
      </c>
      <c r="Y1312" s="72" t="s">
        <v>2916</v>
      </c>
      <c r="Z1312" s="72" t="s">
        <v>30</v>
      </c>
      <c r="AA1312" s="95" t="s">
        <v>2802</v>
      </c>
      <c r="AB1312" s="132"/>
      <c r="AC1312" s="132"/>
      <c r="AD1312" s="132"/>
      <c r="AE1312" s="63"/>
      <c r="AF1312" s="63"/>
      <c r="AG1312" s="63"/>
    </row>
    <row r="1313" spans="1:33" ht="17.2" customHeight="1">
      <c r="A1313" s="64" t="str">
        <f>IF(priority(Main[[#This Row],[Comments]])&lt;&gt;0, priority(Main[[#This Row],[Comments]]),"")</f>
        <v/>
      </c>
      <c r="B1313" s="60" t="s">
        <v>2721</v>
      </c>
      <c r="C1313" s="72" t="s">
        <v>4</v>
      </c>
      <c r="D1313" s="59" t="s">
        <v>2722</v>
      </c>
      <c r="E1313" s="85">
        <v>40897.524594907409</v>
      </c>
      <c r="F1313" s="85"/>
      <c r="G1313" s="64" t="str">
        <f>IF(stdProdLT(Main[[#This Row],[Comments]])=0.1,"N/A",IF(stdProdLT(Main[[#This Row],[Comments]])=0,"",TRIM(stdProdLT(Main[[#This Row],[Comments]]))))</f>
        <v/>
      </c>
      <c r="H1313" s="94" t="str">
        <f>IF(OR(Main[[#This Row],[Std. Prod. Lead Time]]="N/A",Main[[#This Row],[Std. Prod. Lead Time]]=""), "",IF(AND(Main[[#This Row],[In Stock Date]]&lt;&gt;"",Main[[#This Row],[Revised Due Date]]&lt;&gt;"",Main[[#This Row],[In Stock Date]]&lt;&gt;""),Main[[#This Row],[In Stock Date]]-Main[[#This Row],[Revised Due Date]],""))</f>
        <v/>
      </c>
      <c r="I1313" s="101" t="s">
        <v>69</v>
      </c>
      <c r="J1313" s="95" t="s">
        <v>28</v>
      </c>
      <c r="K1313" s="95" t="s">
        <v>1920</v>
      </c>
      <c r="L1313" s="85"/>
      <c r="M1313" s="73" t="str">
        <f>IF(Main[[#This Row],[Tech Start Date]]&lt;1/1/1990,"",IF(Main[[#This Row],[Class]]="C",WORKDAY(Main[[#This Row],[Tech Start Date]],9),IF(Main[[#This Row],[Class]]="B", WORKDAY(Main[[#This Row],[Tech Start Date]],6),IF(Main[[#This Row],[Class]]="A",WORKDAY(Main[[#This Row],[Tech Start Date]],2),""))))</f>
        <v/>
      </c>
      <c r="N1313" s="73" t="str">
        <f>IF(Main[[#This Row],[Tech Start Date]]&lt;1/1/1990,"",IF(Main[[#This Row],[Class]]="C",WORKDAY(Main[[#This Row],[Tech Start Date]],19),IF(Main[[#This Row],[Class]]="B", WORKDAY(Main[[#This Row],[Tech Start Date]],12),IF(Main[[#This Row],[Class]]="A",WORKDAY(Main[[#This Row],[Tech Start Date]],4),""))))</f>
        <v/>
      </c>
      <c r="O1313" s="73" t="str">
        <f>IF(Main[[#This Row],[Tech Start Date]]&lt;1/1/1990,"",IF(Main[[#This Row],[Class]]="C",WORKDAY(Main[[#This Row],[Tech Start Date]],23),IF(Main[[#This Row],[Class]]="B", WORKDAY(Main[[#This Row],[Tech Start Date]],15),IF(Main[[#This Row],[Class]]="A",WORKDAY(Main[[#This Row],[Tech Start Date]],5),""))))</f>
        <v/>
      </c>
      <c r="P1313" s="73" t="str">
        <f>IF(Main[[#This Row],[Tech Start Date]]&lt;1/1/1990,"",IF(Main[[#This Row],[Class]]="C",WORKDAY(Main[[#This Row],[Tech Start Date]],28),IF(Main[[#This Row],[Class]]="B", WORKDAY(Main[[#This Row],[Tech Start Date]],19),IF(Main[[#This Row],[Class]]="A",WORKDAY(Main[[#This Row],[Tech Start Date]],9),""))))</f>
        <v/>
      </c>
      <c r="Q1313" s="85">
        <v>40966</v>
      </c>
      <c r="R1313" s="112"/>
      <c r="S1313" s="95" t="s">
        <v>6</v>
      </c>
      <c r="T1313" s="74" t="s">
        <v>4</v>
      </c>
      <c r="U1313" s="95" t="s">
        <v>29</v>
      </c>
      <c r="V1313" s="95" t="s">
        <v>1921</v>
      </c>
      <c r="W1313" s="95" t="s">
        <v>1915</v>
      </c>
      <c r="X1313" s="95" t="s">
        <v>2846</v>
      </c>
      <c r="Y1313" s="72" t="s">
        <v>2978</v>
      </c>
      <c r="Z1313" s="72" t="s">
        <v>30</v>
      </c>
      <c r="AA1313" s="95" t="s">
        <v>2846</v>
      </c>
      <c r="AB1313" s="132"/>
      <c r="AC1313" s="132"/>
      <c r="AD1313" s="132"/>
      <c r="AE1313" s="63"/>
      <c r="AF1313" s="63"/>
      <c r="AG1313" s="63"/>
    </row>
    <row r="1314" spans="1:33" ht="17.2" customHeight="1">
      <c r="A1314" s="64" t="str">
        <f>IF(priority(Main[[#This Row],[Comments]])&lt;&gt;0, priority(Main[[#This Row],[Comments]]),"")</f>
        <v/>
      </c>
      <c r="B1314" s="60" t="s">
        <v>3500</v>
      </c>
      <c r="C1314" s="72" t="s">
        <v>4</v>
      </c>
      <c r="D1314" s="59" t="s">
        <v>3896</v>
      </c>
      <c r="E1314" s="85">
        <v>40949.264513888891</v>
      </c>
      <c r="F1314" s="85"/>
      <c r="G1314" s="64" t="str">
        <f>IF(stdProdLT(Main[[#This Row],[Comments]])=0.1,"N/A",IF(stdProdLT(Main[[#This Row],[Comments]])=0,"",TRIM(stdProdLT(Main[[#This Row],[Comments]]))))</f>
        <v/>
      </c>
      <c r="H1314" s="94" t="str">
        <f>IF(OR(Main[[#This Row],[Std. Prod. Lead Time]]="N/A",Main[[#This Row],[Std. Prod. Lead Time]]=""), "",IF(AND(Main[[#This Row],[In Stock Date]]&lt;&gt;"",Main[[#This Row],[Revised Due Date]]&lt;&gt;"",Main[[#This Row],[In Stock Date]]&lt;&gt;""),Main[[#This Row],[In Stock Date]]-Main[[#This Row],[Revised Due Date]],""))</f>
        <v/>
      </c>
      <c r="I1314" s="101" t="s">
        <v>306</v>
      </c>
      <c r="J1314" s="95" t="s">
        <v>75</v>
      </c>
      <c r="K1314" s="96" t="s">
        <v>1920</v>
      </c>
      <c r="L1314" s="85"/>
      <c r="M1314" s="73" t="str">
        <f>IF(Main[[#This Row],[Tech Start Date]]&lt;1/1/1990,"",IF(Main[[#This Row],[Class]]="C",WORKDAY(Main[[#This Row],[Tech Start Date]],9),IF(Main[[#This Row],[Class]]="B", WORKDAY(Main[[#This Row],[Tech Start Date]],6),IF(Main[[#This Row],[Class]]="A",WORKDAY(Main[[#This Row],[Tech Start Date]],2),""))))</f>
        <v/>
      </c>
      <c r="N1314" s="73" t="str">
        <f>IF(Main[[#This Row],[Tech Start Date]]&lt;1/1/1990,"",IF(Main[[#This Row],[Class]]="C",WORKDAY(Main[[#This Row],[Tech Start Date]],19),IF(Main[[#This Row],[Class]]="B", WORKDAY(Main[[#This Row],[Tech Start Date]],12),IF(Main[[#This Row],[Class]]="A",WORKDAY(Main[[#This Row],[Tech Start Date]],4),""))))</f>
        <v/>
      </c>
      <c r="O1314" s="73" t="str">
        <f>IF(Main[[#This Row],[Tech Start Date]]&lt;1/1/1990,"",IF(Main[[#This Row],[Class]]="C",WORKDAY(Main[[#This Row],[Tech Start Date]],23),IF(Main[[#This Row],[Class]]="B", WORKDAY(Main[[#This Row],[Tech Start Date]],15),IF(Main[[#This Row],[Class]]="A",WORKDAY(Main[[#This Row],[Tech Start Date]],5),""))))</f>
        <v/>
      </c>
      <c r="P1314" s="73" t="str">
        <f>IF(Main[[#This Row],[Tech Start Date]]&lt;1/1/1990,"",IF(Main[[#This Row],[Class]]="C",WORKDAY(Main[[#This Row],[Tech Start Date]],28),IF(Main[[#This Row],[Class]]="B", WORKDAY(Main[[#This Row],[Tech Start Date]],19),IF(Main[[#This Row],[Class]]="A",WORKDAY(Main[[#This Row],[Tech Start Date]],9),""))))</f>
        <v/>
      </c>
      <c r="Q1314" s="85">
        <v>40998</v>
      </c>
      <c r="R1314" s="112"/>
      <c r="S1314" s="95" t="s">
        <v>6</v>
      </c>
      <c r="T1314" s="74" t="s">
        <v>4</v>
      </c>
      <c r="U1314" s="95" t="s">
        <v>29</v>
      </c>
      <c r="V1314" s="95" t="s">
        <v>1914</v>
      </c>
      <c r="W1314" s="95" t="s">
        <v>1915</v>
      </c>
      <c r="X1314" s="95" t="s">
        <v>2802</v>
      </c>
      <c r="Y1314" s="72" t="s">
        <v>2916</v>
      </c>
      <c r="Z1314" s="72" t="s">
        <v>30</v>
      </c>
      <c r="AA1314" s="95" t="s">
        <v>2802</v>
      </c>
      <c r="AB1314" s="132"/>
      <c r="AC1314" s="132"/>
      <c r="AD1314" s="132"/>
      <c r="AE1314" s="63"/>
      <c r="AF1314" s="63"/>
      <c r="AG1314" s="63"/>
    </row>
    <row r="1315" spans="1:33" ht="17.2" customHeight="1">
      <c r="A1315" s="64" t="str">
        <f>IF(priority(Main[[#This Row],[Comments]])&lt;&gt;0, priority(Main[[#This Row],[Comments]]),"")</f>
        <v/>
      </c>
      <c r="B1315" s="60" t="s">
        <v>3246</v>
      </c>
      <c r="C1315" s="72" t="s">
        <v>4</v>
      </c>
      <c r="D1315" s="59" t="s">
        <v>3656</v>
      </c>
      <c r="E1315" s="85">
        <v>40932.643865740742</v>
      </c>
      <c r="F1315" s="85"/>
      <c r="G1315" s="64" t="str">
        <f>IF(stdProdLT(Main[[#This Row],[Comments]])=0.1,"N/A",IF(stdProdLT(Main[[#This Row],[Comments]])=0,"",TRIM(stdProdLT(Main[[#This Row],[Comments]]))))</f>
        <v/>
      </c>
      <c r="H1315" s="94" t="str">
        <f>IF(OR(Main[[#This Row],[Std. Prod. Lead Time]]="N/A",Main[[#This Row],[Std. Prod. Lead Time]]=""), "",IF(AND(Main[[#This Row],[In Stock Date]]&lt;&gt;"",Main[[#This Row],[Revised Due Date]]&lt;&gt;"",Main[[#This Row],[In Stock Date]]&lt;&gt;""),Main[[#This Row],[In Stock Date]]-Main[[#This Row],[Revised Due Date]],""))</f>
        <v/>
      </c>
      <c r="I1315" s="101" t="s">
        <v>69</v>
      </c>
      <c r="J1315" s="95" t="s">
        <v>4</v>
      </c>
      <c r="K1315" s="95" t="s">
        <v>4</v>
      </c>
      <c r="L1315" s="85"/>
      <c r="M1315" s="73" t="str">
        <f>IF(Main[[#This Row],[Tech Start Date]]&lt;1/1/1990,"",IF(Main[[#This Row],[Class]]="C",WORKDAY(Main[[#This Row],[Tech Start Date]],9),IF(Main[[#This Row],[Class]]="B", WORKDAY(Main[[#This Row],[Tech Start Date]],6),IF(Main[[#This Row],[Class]]="A",WORKDAY(Main[[#This Row],[Tech Start Date]],2),""))))</f>
        <v/>
      </c>
      <c r="N1315" s="73" t="str">
        <f>IF(Main[[#This Row],[Tech Start Date]]&lt;1/1/1990,"",IF(Main[[#This Row],[Class]]="C",WORKDAY(Main[[#This Row],[Tech Start Date]],19),IF(Main[[#This Row],[Class]]="B", WORKDAY(Main[[#This Row],[Tech Start Date]],12),IF(Main[[#This Row],[Class]]="A",WORKDAY(Main[[#This Row],[Tech Start Date]],4),""))))</f>
        <v/>
      </c>
      <c r="O1315" s="73" t="str">
        <f>IF(Main[[#This Row],[Tech Start Date]]&lt;1/1/1990,"",IF(Main[[#This Row],[Class]]="C",WORKDAY(Main[[#This Row],[Tech Start Date]],23),IF(Main[[#This Row],[Class]]="B", WORKDAY(Main[[#This Row],[Tech Start Date]],15),IF(Main[[#This Row],[Class]]="A",WORKDAY(Main[[#This Row],[Tech Start Date]],5),""))))</f>
        <v/>
      </c>
      <c r="P1315" s="73" t="str">
        <f>IF(Main[[#This Row],[Tech Start Date]]&lt;1/1/1990,"",IF(Main[[#This Row],[Class]]="C",WORKDAY(Main[[#This Row],[Tech Start Date]],28),IF(Main[[#This Row],[Class]]="B", WORKDAY(Main[[#This Row],[Tech Start Date]],19),IF(Main[[#This Row],[Class]]="A",WORKDAY(Main[[#This Row],[Tech Start Date]],9),""))))</f>
        <v/>
      </c>
      <c r="Q1315" s="85">
        <v>40968</v>
      </c>
      <c r="R1315" s="112"/>
      <c r="S1315" s="95" t="s">
        <v>6</v>
      </c>
      <c r="T1315" s="74" t="s">
        <v>4</v>
      </c>
      <c r="U1315" s="95" t="s">
        <v>29</v>
      </c>
      <c r="V1315" s="95" t="s">
        <v>1921</v>
      </c>
      <c r="W1315" s="95" t="s">
        <v>1915</v>
      </c>
      <c r="X1315" s="95" t="s">
        <v>2799</v>
      </c>
      <c r="Y1315" s="72" t="s">
        <v>2910</v>
      </c>
      <c r="Z1315" s="72" t="s">
        <v>30</v>
      </c>
      <c r="AA1315" s="95" t="s">
        <v>2799</v>
      </c>
      <c r="AB1315" s="132"/>
      <c r="AC1315" s="132"/>
      <c r="AD1315" s="132"/>
      <c r="AE1315" s="63"/>
      <c r="AF1315" s="63"/>
      <c r="AG1315" s="63"/>
    </row>
    <row r="1316" spans="1:33" ht="17.2" customHeight="1">
      <c r="A1316" s="64" t="str">
        <f>IF(priority(Main[[#This Row],[Comments]])&lt;&gt;0, priority(Main[[#This Row],[Comments]]),"")</f>
        <v/>
      </c>
      <c r="B1316" s="60" t="s">
        <v>3657</v>
      </c>
      <c r="C1316" s="72" t="s">
        <v>4</v>
      </c>
      <c r="D1316" s="59" t="s">
        <v>3658</v>
      </c>
      <c r="E1316" s="85">
        <v>40961.263599537036</v>
      </c>
      <c r="F1316" s="85"/>
      <c r="G1316" s="64" t="str">
        <f>IF(stdProdLT(Main[[#This Row],[Comments]])=0.1,"N/A",IF(stdProdLT(Main[[#This Row],[Comments]])=0,"",TRIM(stdProdLT(Main[[#This Row],[Comments]]))))</f>
        <v/>
      </c>
      <c r="H1316" s="94" t="str">
        <f>IF(OR(Main[[#This Row],[Std. Prod. Lead Time]]="N/A",Main[[#This Row],[Std. Prod. Lead Time]]=""), "",IF(AND(Main[[#This Row],[In Stock Date]]&lt;&gt;"",Main[[#This Row],[Revised Due Date]]&lt;&gt;"",Main[[#This Row],[In Stock Date]]&lt;&gt;""),Main[[#This Row],[In Stock Date]]-Main[[#This Row],[Revised Due Date]],""))</f>
        <v/>
      </c>
      <c r="I1316" s="101" t="s">
        <v>4</v>
      </c>
      <c r="J1316" s="95" t="s">
        <v>4</v>
      </c>
      <c r="K1316" s="95" t="s">
        <v>4</v>
      </c>
      <c r="L1316" s="85"/>
      <c r="M1316" s="73" t="str">
        <f>IF(Main[[#This Row],[Tech Start Date]]&lt;1/1/1990,"",IF(Main[[#This Row],[Class]]="C",WORKDAY(Main[[#This Row],[Tech Start Date]],9),IF(Main[[#This Row],[Class]]="B", WORKDAY(Main[[#This Row],[Tech Start Date]],6),IF(Main[[#This Row],[Class]]="A",WORKDAY(Main[[#This Row],[Tech Start Date]],2),""))))</f>
        <v/>
      </c>
      <c r="N1316" s="73" t="str">
        <f>IF(Main[[#This Row],[Tech Start Date]]&lt;1/1/1990,"",IF(Main[[#This Row],[Class]]="C",WORKDAY(Main[[#This Row],[Tech Start Date]],19),IF(Main[[#This Row],[Class]]="B", WORKDAY(Main[[#This Row],[Tech Start Date]],12),IF(Main[[#This Row],[Class]]="A",WORKDAY(Main[[#This Row],[Tech Start Date]],4),""))))</f>
        <v/>
      </c>
      <c r="O1316" s="73" t="str">
        <f>IF(Main[[#This Row],[Tech Start Date]]&lt;1/1/1990,"",IF(Main[[#This Row],[Class]]="C",WORKDAY(Main[[#This Row],[Tech Start Date]],23),IF(Main[[#This Row],[Class]]="B", WORKDAY(Main[[#This Row],[Tech Start Date]],15),IF(Main[[#This Row],[Class]]="A",WORKDAY(Main[[#This Row],[Tech Start Date]],5),""))))</f>
        <v/>
      </c>
      <c r="P1316" s="73" t="str">
        <f>IF(Main[[#This Row],[Tech Start Date]]&lt;1/1/1990,"",IF(Main[[#This Row],[Class]]="C",WORKDAY(Main[[#This Row],[Tech Start Date]],28),IF(Main[[#This Row],[Class]]="B", WORKDAY(Main[[#This Row],[Tech Start Date]],19),IF(Main[[#This Row],[Class]]="A",WORKDAY(Main[[#This Row],[Tech Start Date]],9),""))))</f>
        <v/>
      </c>
      <c r="Q1316" s="85">
        <v>40990</v>
      </c>
      <c r="R1316" s="112"/>
      <c r="S1316" s="95" t="s">
        <v>6</v>
      </c>
      <c r="T1316" s="74" t="s">
        <v>4</v>
      </c>
      <c r="U1316" s="95" t="s">
        <v>7</v>
      </c>
      <c r="V1316" s="95" t="s">
        <v>1911</v>
      </c>
      <c r="W1316" s="95" t="s">
        <v>4</v>
      </c>
      <c r="X1316" s="95" t="s">
        <v>2802</v>
      </c>
      <c r="Y1316" s="72" t="s">
        <v>2916</v>
      </c>
      <c r="Z1316" s="72" t="s">
        <v>4</v>
      </c>
      <c r="AA1316" s="95" t="s">
        <v>2802</v>
      </c>
      <c r="AB1316" s="132"/>
      <c r="AC1316" s="132"/>
      <c r="AD1316" s="132"/>
      <c r="AE1316" s="63"/>
      <c r="AF1316" s="63"/>
      <c r="AG1316" s="63"/>
    </row>
    <row r="1317" spans="1:33" ht="17.2" customHeight="1">
      <c r="A1317" s="64" t="str">
        <f>IF(priority(Main[[#This Row],[Comments]])&lt;&gt;0, priority(Main[[#This Row],[Comments]]),"")</f>
        <v/>
      </c>
      <c r="B1317" s="60" t="s">
        <v>3659</v>
      </c>
      <c r="C1317" s="72" t="s">
        <v>79</v>
      </c>
      <c r="D1317" s="59" t="s">
        <v>3660</v>
      </c>
      <c r="E1317" s="85"/>
      <c r="F1317" s="85">
        <v>41004</v>
      </c>
      <c r="G1317" s="64" t="str">
        <f>IF(stdProdLT(Main[[#This Row],[Comments]])=0.1,"N/A",IF(stdProdLT(Main[[#This Row],[Comments]])=0,"",TRIM(stdProdLT(Main[[#This Row],[Comments]]))))</f>
        <v/>
      </c>
      <c r="H1317" s="94" t="str">
        <f>IF(OR(Main[[#This Row],[Std. Prod. Lead Time]]="N/A",Main[[#This Row],[Std. Prod. Lead Time]]=""), "",IF(AND(Main[[#This Row],[In Stock Date]]&lt;&gt;"",Main[[#This Row],[Revised Due Date]]&lt;&gt;"",Main[[#This Row],[In Stock Date]]&lt;&gt;""),Main[[#This Row],[In Stock Date]]-Main[[#This Row],[Revised Due Date]],""))</f>
        <v/>
      </c>
      <c r="I1317" s="101" t="s">
        <v>4</v>
      </c>
      <c r="J1317" s="95" t="s">
        <v>4</v>
      </c>
      <c r="K1317" s="95" t="s">
        <v>4</v>
      </c>
      <c r="L1317" s="85"/>
      <c r="M1317" s="73" t="str">
        <f>IF(Main[[#This Row],[Tech Start Date]]&lt;1/1/1990,"",IF(Main[[#This Row],[Class]]="C",WORKDAY(Main[[#This Row],[Tech Start Date]],9),IF(Main[[#This Row],[Class]]="B", WORKDAY(Main[[#This Row],[Tech Start Date]],6),IF(Main[[#This Row],[Class]]="A",WORKDAY(Main[[#This Row],[Tech Start Date]],2),""))))</f>
        <v/>
      </c>
      <c r="N1317" s="73" t="str">
        <f>IF(Main[[#This Row],[Tech Start Date]]&lt;1/1/1990,"",IF(Main[[#This Row],[Class]]="C",WORKDAY(Main[[#This Row],[Tech Start Date]],19),IF(Main[[#This Row],[Class]]="B", WORKDAY(Main[[#This Row],[Tech Start Date]],12),IF(Main[[#This Row],[Class]]="A",WORKDAY(Main[[#This Row],[Tech Start Date]],4),""))))</f>
        <v/>
      </c>
      <c r="O1317" s="73" t="str">
        <f>IF(Main[[#This Row],[Tech Start Date]]&lt;1/1/1990,"",IF(Main[[#This Row],[Class]]="C",WORKDAY(Main[[#This Row],[Tech Start Date]],23),IF(Main[[#This Row],[Class]]="B", WORKDAY(Main[[#This Row],[Tech Start Date]],15),IF(Main[[#This Row],[Class]]="A",WORKDAY(Main[[#This Row],[Tech Start Date]],5),""))))</f>
        <v/>
      </c>
      <c r="P1317" s="73" t="str">
        <f>IF(Main[[#This Row],[Tech Start Date]]&lt;1/1/1990,"",IF(Main[[#This Row],[Class]]="C",WORKDAY(Main[[#This Row],[Tech Start Date]],28),IF(Main[[#This Row],[Class]]="B", WORKDAY(Main[[#This Row],[Tech Start Date]],19),IF(Main[[#This Row],[Class]]="A",WORKDAY(Main[[#This Row],[Tech Start Date]],9),""))))</f>
        <v/>
      </c>
      <c r="Q1317" s="85">
        <v>40960</v>
      </c>
      <c r="R1317" s="112"/>
      <c r="S1317" s="95" t="s">
        <v>11</v>
      </c>
      <c r="T1317" s="74" t="s">
        <v>4</v>
      </c>
      <c r="U1317" s="95" t="s">
        <v>12</v>
      </c>
      <c r="V1317" s="95" t="s">
        <v>1911</v>
      </c>
      <c r="W1317" s="95" t="s">
        <v>1917</v>
      </c>
      <c r="X1317" s="95" t="s">
        <v>2885</v>
      </c>
      <c r="Y1317" s="72" t="s">
        <v>2921</v>
      </c>
      <c r="Z1317" s="72" t="s">
        <v>4</v>
      </c>
      <c r="AA1317" s="95" t="s">
        <v>2804</v>
      </c>
      <c r="AB1317" s="132"/>
      <c r="AC1317" s="132"/>
      <c r="AD1317" s="132"/>
      <c r="AE1317" s="63"/>
      <c r="AF1317" s="63"/>
      <c r="AG1317" s="63"/>
    </row>
    <row r="1318" spans="1:33" ht="17.2" customHeight="1">
      <c r="A1318" s="64" t="str">
        <f>IF(priority(Main[[#This Row],[Comments]])&lt;&gt;0, priority(Main[[#This Row],[Comments]]),"")</f>
        <v/>
      </c>
      <c r="B1318" s="60" t="s">
        <v>2710</v>
      </c>
      <c r="C1318" s="72" t="s">
        <v>4</v>
      </c>
      <c r="D1318" s="59" t="s">
        <v>2711</v>
      </c>
      <c r="E1318" s="85"/>
      <c r="F1318" s="85"/>
      <c r="G1318" s="64" t="str">
        <f>IF(stdProdLT(Main[[#This Row],[Comments]])=0.1,"N/A",IF(stdProdLT(Main[[#This Row],[Comments]])=0,"",TRIM(stdProdLT(Main[[#This Row],[Comments]]))))</f>
        <v/>
      </c>
      <c r="H1318" s="94" t="str">
        <f>IF(OR(Main[[#This Row],[Std. Prod. Lead Time]]="N/A",Main[[#This Row],[Std. Prod. Lead Time]]=""), "",IF(AND(Main[[#This Row],[In Stock Date]]&lt;&gt;"",Main[[#This Row],[Revised Due Date]]&lt;&gt;"",Main[[#This Row],[In Stock Date]]&lt;&gt;""),Main[[#This Row],[In Stock Date]]-Main[[#This Row],[Revised Due Date]],""))</f>
        <v/>
      </c>
      <c r="I1318" s="101" t="s">
        <v>4</v>
      </c>
      <c r="J1318" s="95" t="s">
        <v>4</v>
      </c>
      <c r="K1318" s="95" t="s">
        <v>4</v>
      </c>
      <c r="L1318" s="85"/>
      <c r="M1318" s="73" t="str">
        <f>IF(Main[[#This Row],[Tech Start Date]]&lt;1/1/1990,"",IF(Main[[#This Row],[Class]]="C",WORKDAY(Main[[#This Row],[Tech Start Date]],9),IF(Main[[#This Row],[Class]]="B", WORKDAY(Main[[#This Row],[Tech Start Date]],6),IF(Main[[#This Row],[Class]]="A",WORKDAY(Main[[#This Row],[Tech Start Date]],2),""))))</f>
        <v/>
      </c>
      <c r="N1318" s="73" t="str">
        <f>IF(Main[[#This Row],[Tech Start Date]]&lt;1/1/1990,"",IF(Main[[#This Row],[Class]]="C",WORKDAY(Main[[#This Row],[Tech Start Date]],19),IF(Main[[#This Row],[Class]]="B", WORKDAY(Main[[#This Row],[Tech Start Date]],12),IF(Main[[#This Row],[Class]]="A",WORKDAY(Main[[#This Row],[Tech Start Date]],4),""))))</f>
        <v/>
      </c>
      <c r="O1318" s="73" t="str">
        <f>IF(Main[[#This Row],[Tech Start Date]]&lt;1/1/1990,"",IF(Main[[#This Row],[Class]]="C",WORKDAY(Main[[#This Row],[Tech Start Date]],23),IF(Main[[#This Row],[Class]]="B", WORKDAY(Main[[#This Row],[Tech Start Date]],15),IF(Main[[#This Row],[Class]]="A",WORKDAY(Main[[#This Row],[Tech Start Date]],5),""))))</f>
        <v/>
      </c>
      <c r="P1318" s="73" t="str">
        <f>IF(Main[[#This Row],[Tech Start Date]]&lt;1/1/1990,"",IF(Main[[#This Row],[Class]]="C",WORKDAY(Main[[#This Row],[Tech Start Date]],28),IF(Main[[#This Row],[Class]]="B", WORKDAY(Main[[#This Row],[Tech Start Date]],19),IF(Main[[#This Row],[Class]]="A",WORKDAY(Main[[#This Row],[Tech Start Date]],9),""))))</f>
        <v/>
      </c>
      <c r="Q1318" s="85"/>
      <c r="R1318" s="112"/>
      <c r="S1318" s="95" t="s">
        <v>6</v>
      </c>
      <c r="T1318" s="74" t="s">
        <v>4</v>
      </c>
      <c r="U1318" s="95" t="s">
        <v>14</v>
      </c>
      <c r="V1318" s="95" t="s">
        <v>1911</v>
      </c>
      <c r="W1318" s="95" t="s">
        <v>1915</v>
      </c>
      <c r="X1318" s="95" t="s">
        <v>2882</v>
      </c>
      <c r="Y1318" s="72" t="s">
        <v>3059</v>
      </c>
      <c r="Z1318" s="72" t="s">
        <v>4</v>
      </c>
      <c r="AA1318" s="95" t="s">
        <v>2882</v>
      </c>
      <c r="AB1318" s="132"/>
      <c r="AC1318" s="132"/>
      <c r="AD1318" s="132"/>
      <c r="AE1318" s="63"/>
      <c r="AF1318" s="63"/>
      <c r="AG1318" s="63"/>
    </row>
    <row r="1319" spans="1:33" ht="17.2" customHeight="1">
      <c r="A1319" s="64" t="str">
        <f>IF(priority(Main[[#This Row],[Comments]])&lt;&gt;0, priority(Main[[#This Row],[Comments]]),"")</f>
        <v/>
      </c>
      <c r="B1319" s="60" t="s">
        <v>2762</v>
      </c>
      <c r="C1319" s="72" t="s">
        <v>4</v>
      </c>
      <c r="D1319" s="59" t="s">
        <v>2763</v>
      </c>
      <c r="E1319" s="85">
        <v>40913.323819444442</v>
      </c>
      <c r="F1319" s="85"/>
      <c r="G1319" s="64" t="str">
        <f>IF(stdProdLT(Main[[#This Row],[Comments]])=0.1,"N/A",IF(stdProdLT(Main[[#This Row],[Comments]])=0,"",TRIM(stdProdLT(Main[[#This Row],[Comments]]))))</f>
        <v/>
      </c>
      <c r="H1319" s="94" t="str">
        <f>IF(OR(Main[[#This Row],[Std. Prod. Lead Time]]="N/A",Main[[#This Row],[Std. Prod. Lead Time]]=""), "",IF(AND(Main[[#This Row],[In Stock Date]]&lt;&gt;"",Main[[#This Row],[Revised Due Date]]&lt;&gt;"",Main[[#This Row],[In Stock Date]]&lt;&gt;""),Main[[#This Row],[In Stock Date]]-Main[[#This Row],[Revised Due Date]],""))</f>
        <v/>
      </c>
      <c r="I1319" s="101" t="s">
        <v>4</v>
      </c>
      <c r="J1319" s="95" t="s">
        <v>4</v>
      </c>
      <c r="K1319" s="95" t="s">
        <v>4</v>
      </c>
      <c r="L1319" s="85"/>
      <c r="M1319" s="73" t="str">
        <f>IF(Main[[#This Row],[Tech Start Date]]&lt;1/1/1990,"",IF(Main[[#This Row],[Class]]="C",WORKDAY(Main[[#This Row],[Tech Start Date]],9),IF(Main[[#This Row],[Class]]="B", WORKDAY(Main[[#This Row],[Tech Start Date]],6),IF(Main[[#This Row],[Class]]="A",WORKDAY(Main[[#This Row],[Tech Start Date]],2),""))))</f>
        <v/>
      </c>
      <c r="N1319" s="73" t="str">
        <f>IF(Main[[#This Row],[Tech Start Date]]&lt;1/1/1990,"",IF(Main[[#This Row],[Class]]="C",WORKDAY(Main[[#This Row],[Tech Start Date]],19),IF(Main[[#This Row],[Class]]="B", WORKDAY(Main[[#This Row],[Tech Start Date]],12),IF(Main[[#This Row],[Class]]="A",WORKDAY(Main[[#This Row],[Tech Start Date]],4),""))))</f>
        <v/>
      </c>
      <c r="O1319" s="73" t="str">
        <f>IF(Main[[#This Row],[Tech Start Date]]&lt;1/1/1990,"",IF(Main[[#This Row],[Class]]="C",WORKDAY(Main[[#This Row],[Tech Start Date]],23),IF(Main[[#This Row],[Class]]="B", WORKDAY(Main[[#This Row],[Tech Start Date]],15),IF(Main[[#This Row],[Class]]="A",WORKDAY(Main[[#This Row],[Tech Start Date]],5),""))))</f>
        <v/>
      </c>
      <c r="P1319" s="73" t="str">
        <f>IF(Main[[#This Row],[Tech Start Date]]&lt;1/1/1990,"",IF(Main[[#This Row],[Class]]="C",WORKDAY(Main[[#This Row],[Tech Start Date]],28),IF(Main[[#This Row],[Class]]="B", WORKDAY(Main[[#This Row],[Tech Start Date]],19),IF(Main[[#This Row],[Class]]="A",WORKDAY(Main[[#This Row],[Tech Start Date]],9),""))))</f>
        <v/>
      </c>
      <c r="Q1319" s="85">
        <v>40945</v>
      </c>
      <c r="R1319" s="112"/>
      <c r="S1319" s="95" t="s">
        <v>6</v>
      </c>
      <c r="T1319" s="74" t="s">
        <v>4</v>
      </c>
      <c r="U1319" s="95" t="s">
        <v>7</v>
      </c>
      <c r="V1319" s="95" t="s">
        <v>1911</v>
      </c>
      <c r="W1319" s="95" t="s">
        <v>4</v>
      </c>
      <c r="X1319" s="95" t="s">
        <v>2799</v>
      </c>
      <c r="Y1319" s="72" t="s">
        <v>2910</v>
      </c>
      <c r="Z1319" s="72" t="s">
        <v>4</v>
      </c>
      <c r="AA1319" s="95" t="s">
        <v>2799</v>
      </c>
      <c r="AB1319" s="132"/>
      <c r="AC1319" s="132"/>
      <c r="AD1319" s="132"/>
      <c r="AE1319" s="63"/>
      <c r="AF1319" s="63"/>
      <c r="AG1319" s="63"/>
    </row>
    <row r="1320" spans="1:33" ht="17.2" customHeight="1">
      <c r="A1320" s="64" t="str">
        <f>IF(priority(Main[[#This Row],[Comments]])&lt;&gt;0, priority(Main[[#This Row],[Comments]]),"")</f>
        <v/>
      </c>
      <c r="B1320" s="60" t="s">
        <v>2308</v>
      </c>
      <c r="C1320" s="72" t="s">
        <v>2296</v>
      </c>
      <c r="D1320" s="59" t="s">
        <v>2297</v>
      </c>
      <c r="E1320" s="85"/>
      <c r="F1320" s="85">
        <v>40544</v>
      </c>
      <c r="G1320" s="64" t="str">
        <f>IF(stdProdLT(Main[[#This Row],[Comments]])=0.1,"N/A",IF(stdProdLT(Main[[#This Row],[Comments]])=0,"",TRIM(stdProdLT(Main[[#This Row],[Comments]]))))</f>
        <v/>
      </c>
      <c r="H1320" s="94" t="str">
        <f>IF(OR(Main[[#This Row],[Std. Prod. Lead Time]]="N/A",Main[[#This Row],[Std. Prod. Lead Time]]=""), "",IF(AND(Main[[#This Row],[In Stock Date]]&lt;&gt;"",Main[[#This Row],[Revised Due Date]]&lt;&gt;"",Main[[#This Row],[In Stock Date]]&lt;&gt;""),Main[[#This Row],[In Stock Date]]-Main[[#This Row],[Revised Due Date]],""))</f>
        <v/>
      </c>
      <c r="I1320" s="101" t="s">
        <v>4</v>
      </c>
      <c r="J1320" s="95" t="s">
        <v>4</v>
      </c>
      <c r="K1320" s="95" t="s">
        <v>4</v>
      </c>
      <c r="L1320" s="85"/>
      <c r="M1320" s="73" t="str">
        <f>IF(Main[[#This Row],[Tech Start Date]]&lt;1/1/1990,"",IF(Main[[#This Row],[Class]]="C",WORKDAY(Main[[#This Row],[Tech Start Date]],9),IF(Main[[#This Row],[Class]]="B", WORKDAY(Main[[#This Row],[Tech Start Date]],6),IF(Main[[#This Row],[Class]]="A",WORKDAY(Main[[#This Row],[Tech Start Date]],2),""))))</f>
        <v/>
      </c>
      <c r="N1320" s="73" t="str">
        <f>IF(Main[[#This Row],[Tech Start Date]]&lt;1/1/1990,"",IF(Main[[#This Row],[Class]]="C",WORKDAY(Main[[#This Row],[Tech Start Date]],19),IF(Main[[#This Row],[Class]]="B", WORKDAY(Main[[#This Row],[Tech Start Date]],12),IF(Main[[#This Row],[Class]]="A",WORKDAY(Main[[#This Row],[Tech Start Date]],4),""))))</f>
        <v/>
      </c>
      <c r="O1320" s="73" t="str">
        <f>IF(Main[[#This Row],[Tech Start Date]]&lt;1/1/1990,"",IF(Main[[#This Row],[Class]]="C",WORKDAY(Main[[#This Row],[Tech Start Date]],23),IF(Main[[#This Row],[Class]]="B", WORKDAY(Main[[#This Row],[Tech Start Date]],15),IF(Main[[#This Row],[Class]]="A",WORKDAY(Main[[#This Row],[Tech Start Date]],5),""))))</f>
        <v/>
      </c>
      <c r="P1320" s="73" t="str">
        <f>IF(Main[[#This Row],[Tech Start Date]]&lt;1/1/1990,"",IF(Main[[#This Row],[Class]]="C",WORKDAY(Main[[#This Row],[Tech Start Date]],28),IF(Main[[#This Row],[Class]]="B", WORKDAY(Main[[#This Row],[Tech Start Date]],19),IF(Main[[#This Row],[Class]]="A",WORKDAY(Main[[#This Row],[Tech Start Date]],9),""))))</f>
        <v/>
      </c>
      <c r="Q1320" s="85"/>
      <c r="R1320" s="112"/>
      <c r="S1320" s="95" t="s">
        <v>11</v>
      </c>
      <c r="T1320" s="74" t="s">
        <v>4</v>
      </c>
      <c r="U1320" s="95" t="s">
        <v>12</v>
      </c>
      <c r="V1320" s="95" t="s">
        <v>1914</v>
      </c>
      <c r="W1320" s="95" t="s">
        <v>1919</v>
      </c>
      <c r="X1320" s="95" t="s">
        <v>2891</v>
      </c>
      <c r="Y1320" s="72" t="s">
        <v>3113</v>
      </c>
      <c r="Z1320" s="72" t="s">
        <v>4</v>
      </c>
      <c r="AA1320" s="95" t="s">
        <v>3426</v>
      </c>
      <c r="AB1320" s="132"/>
      <c r="AC1320" s="132"/>
      <c r="AD1320" s="132"/>
      <c r="AE1320" s="63"/>
      <c r="AF1320" s="63"/>
      <c r="AG1320" s="63"/>
    </row>
    <row r="1321" spans="1:33" ht="17.2" customHeight="1">
      <c r="A1321" s="64" t="str">
        <f>IF(priority(Main[[#This Row],[Comments]])&lt;&gt;0, priority(Main[[#This Row],[Comments]]),"")</f>
        <v/>
      </c>
      <c r="B1321" s="60" t="s">
        <v>3957</v>
      </c>
      <c r="C1321" s="72" t="s">
        <v>3939</v>
      </c>
      <c r="D1321" s="59" t="s">
        <v>3958</v>
      </c>
      <c r="E1321" s="85">
        <v>40974.428842592592</v>
      </c>
      <c r="F1321" s="85"/>
      <c r="G1321" s="64" t="str">
        <f>IF(stdProdLT(Main[[#This Row],[Comments]])=0.1,"N/A",IF(stdProdLT(Main[[#This Row],[Comments]])=0,"",TRIM(stdProdLT(Main[[#This Row],[Comments]]))))</f>
        <v/>
      </c>
      <c r="H1321" s="94" t="str">
        <f>IF(OR(Main[[#This Row],[Std. Prod. Lead Time]]="N/A",Main[[#This Row],[Std. Prod. Lead Time]]=""), "",IF(AND(Main[[#This Row],[In Stock Date]]&lt;&gt;"",Main[[#This Row],[Revised Due Date]]&lt;&gt;"",Main[[#This Row],[In Stock Date]]&lt;&gt;""),Main[[#This Row],[In Stock Date]]-Main[[#This Row],[Revised Due Date]],""))</f>
        <v/>
      </c>
      <c r="I1321" s="101" t="s">
        <v>130</v>
      </c>
      <c r="J1321" s="95" t="s">
        <v>70</v>
      </c>
      <c r="K1321" s="95" t="s">
        <v>4</v>
      </c>
      <c r="L1321" s="85"/>
      <c r="M1321" s="73" t="str">
        <f>IF(Main[[#This Row],[Tech Start Date]]&lt;1/1/1990,"",IF(Main[[#This Row],[Class]]="C",WORKDAY(Main[[#This Row],[Tech Start Date]],9),IF(Main[[#This Row],[Class]]="B", WORKDAY(Main[[#This Row],[Tech Start Date]],6),IF(Main[[#This Row],[Class]]="A",WORKDAY(Main[[#This Row],[Tech Start Date]],2),""))))</f>
        <v/>
      </c>
      <c r="N1321" s="73" t="str">
        <f>IF(Main[[#This Row],[Tech Start Date]]&lt;1/1/1990,"",IF(Main[[#This Row],[Class]]="C",WORKDAY(Main[[#This Row],[Tech Start Date]],19),IF(Main[[#This Row],[Class]]="B", WORKDAY(Main[[#This Row],[Tech Start Date]],12),IF(Main[[#This Row],[Class]]="A",WORKDAY(Main[[#This Row],[Tech Start Date]],4),""))))</f>
        <v/>
      </c>
      <c r="O1321" s="73" t="str">
        <f>IF(Main[[#This Row],[Tech Start Date]]&lt;1/1/1990,"",IF(Main[[#This Row],[Class]]="C",WORKDAY(Main[[#This Row],[Tech Start Date]],23),IF(Main[[#This Row],[Class]]="B", WORKDAY(Main[[#This Row],[Tech Start Date]],15),IF(Main[[#This Row],[Class]]="A",WORKDAY(Main[[#This Row],[Tech Start Date]],5),""))))</f>
        <v/>
      </c>
      <c r="P1321" s="73" t="str">
        <f>IF(Main[[#This Row],[Tech Start Date]]&lt;1/1/1990,"",IF(Main[[#This Row],[Class]]="C",WORKDAY(Main[[#This Row],[Tech Start Date]],28),IF(Main[[#This Row],[Class]]="B", WORKDAY(Main[[#This Row],[Tech Start Date]],19),IF(Main[[#This Row],[Class]]="A",WORKDAY(Main[[#This Row],[Tech Start Date]],9),""))))</f>
        <v/>
      </c>
      <c r="Q1321" s="85"/>
      <c r="R1321" s="112"/>
      <c r="S1321" s="95" t="s">
        <v>6</v>
      </c>
      <c r="T1321" s="74" t="s">
        <v>4</v>
      </c>
      <c r="U1321" s="95" t="s">
        <v>29</v>
      </c>
      <c r="V1321" s="95" t="s">
        <v>1914</v>
      </c>
      <c r="W1321" s="95" t="s">
        <v>1915</v>
      </c>
      <c r="X1321" s="95" t="s">
        <v>2821</v>
      </c>
      <c r="Y1321" s="72" t="s">
        <v>2949</v>
      </c>
      <c r="Z1321" s="72" t="s">
        <v>4</v>
      </c>
      <c r="AA1321" s="95" t="s">
        <v>2821</v>
      </c>
      <c r="AB1321" s="132"/>
      <c r="AC1321" s="132"/>
      <c r="AD1321" s="132"/>
      <c r="AE1321" s="63"/>
      <c r="AF1321" s="63"/>
      <c r="AG1321" s="63"/>
    </row>
    <row r="1322" spans="1:33" ht="17.2" customHeight="1">
      <c r="A1322" s="64" t="str">
        <f>IF(priority(Main[[#This Row],[Comments]])&lt;&gt;0, priority(Main[[#This Row],[Comments]]),"")</f>
        <v/>
      </c>
      <c r="B1322" s="60" t="s">
        <v>3662</v>
      </c>
      <c r="C1322" s="72" t="s">
        <v>2348</v>
      </c>
      <c r="D1322" s="59" t="s">
        <v>3663</v>
      </c>
      <c r="E1322" s="85"/>
      <c r="F1322" s="85">
        <v>41014</v>
      </c>
      <c r="G1322" s="64" t="str">
        <f>IF(stdProdLT(Main[[#This Row],[Comments]])=0.1,"N/A",IF(stdProdLT(Main[[#This Row],[Comments]])=0,"",TRIM(stdProdLT(Main[[#This Row],[Comments]]))))</f>
        <v/>
      </c>
      <c r="H1322" s="94" t="str">
        <f>IF(OR(Main[[#This Row],[Std. Prod. Lead Time]]="N/A",Main[[#This Row],[Std. Prod. Lead Time]]=""), "",IF(AND(Main[[#This Row],[In Stock Date]]&lt;&gt;"",Main[[#This Row],[Revised Due Date]]&lt;&gt;"",Main[[#This Row],[In Stock Date]]&lt;&gt;""),Main[[#This Row],[In Stock Date]]-Main[[#This Row],[Revised Due Date]],""))</f>
        <v/>
      </c>
      <c r="I1322" s="101" t="s">
        <v>4</v>
      </c>
      <c r="J1322" s="95" t="s">
        <v>4</v>
      </c>
      <c r="K1322" s="95" t="s">
        <v>4</v>
      </c>
      <c r="L1322" s="85"/>
      <c r="M1322" s="73" t="str">
        <f>IF(Main[[#This Row],[Tech Start Date]]&lt;1/1/1990,"",IF(Main[[#This Row],[Class]]="C",WORKDAY(Main[[#This Row],[Tech Start Date]],9),IF(Main[[#This Row],[Class]]="B", WORKDAY(Main[[#This Row],[Tech Start Date]],6),IF(Main[[#This Row],[Class]]="A",WORKDAY(Main[[#This Row],[Tech Start Date]],2),""))))</f>
        <v/>
      </c>
      <c r="N1322" s="73" t="str">
        <f>IF(Main[[#This Row],[Tech Start Date]]&lt;1/1/1990,"",IF(Main[[#This Row],[Class]]="C",WORKDAY(Main[[#This Row],[Tech Start Date]],19),IF(Main[[#This Row],[Class]]="B", WORKDAY(Main[[#This Row],[Tech Start Date]],12),IF(Main[[#This Row],[Class]]="A",WORKDAY(Main[[#This Row],[Tech Start Date]],4),""))))</f>
        <v/>
      </c>
      <c r="O1322" s="73" t="str">
        <f>IF(Main[[#This Row],[Tech Start Date]]&lt;1/1/1990,"",IF(Main[[#This Row],[Class]]="C",WORKDAY(Main[[#This Row],[Tech Start Date]],23),IF(Main[[#This Row],[Class]]="B", WORKDAY(Main[[#This Row],[Tech Start Date]],15),IF(Main[[#This Row],[Class]]="A",WORKDAY(Main[[#This Row],[Tech Start Date]],5),""))))</f>
        <v/>
      </c>
      <c r="P1322" s="73" t="str">
        <f>IF(Main[[#This Row],[Tech Start Date]]&lt;1/1/1990,"",IF(Main[[#This Row],[Class]]="C",WORKDAY(Main[[#This Row],[Tech Start Date]],28),IF(Main[[#This Row],[Class]]="B", WORKDAY(Main[[#This Row],[Tech Start Date]],19),IF(Main[[#This Row],[Class]]="A",WORKDAY(Main[[#This Row],[Tech Start Date]],9),""))))</f>
        <v/>
      </c>
      <c r="Q1322" s="85">
        <v>40916</v>
      </c>
      <c r="R1322" s="112"/>
      <c r="S1322" s="95" t="s">
        <v>11</v>
      </c>
      <c r="T1322" s="74" t="s">
        <v>4</v>
      </c>
      <c r="U1322" s="95" t="s">
        <v>12</v>
      </c>
      <c r="V1322" s="95" t="s">
        <v>1921</v>
      </c>
      <c r="W1322" s="95" t="s">
        <v>1919</v>
      </c>
      <c r="X1322" s="95" t="s">
        <v>2823</v>
      </c>
      <c r="Y1322" s="72" t="s">
        <v>4</v>
      </c>
      <c r="Z1322" s="72" t="s">
        <v>4</v>
      </c>
      <c r="AA1322" s="95" t="s">
        <v>2823</v>
      </c>
      <c r="AB1322" s="132"/>
      <c r="AC1322" s="132"/>
      <c r="AD1322" s="132"/>
      <c r="AE1322" s="63"/>
      <c r="AF1322" s="63"/>
      <c r="AG1322" s="63"/>
    </row>
    <row r="1323" spans="1:33" ht="17.2" customHeight="1">
      <c r="A1323" s="64" t="str">
        <f>IF(priority(Main[[#This Row],[Comments]])&lt;&gt;0, priority(Main[[#This Row],[Comments]]),"")</f>
        <v/>
      </c>
      <c r="B1323" s="60" t="s">
        <v>3664</v>
      </c>
      <c r="C1323" s="72" t="s">
        <v>2348</v>
      </c>
      <c r="D1323" s="59" t="s">
        <v>3665</v>
      </c>
      <c r="E1323" s="85"/>
      <c r="F1323" s="85">
        <v>41014</v>
      </c>
      <c r="G1323" s="64" t="str">
        <f>IF(stdProdLT(Main[[#This Row],[Comments]])=0.1,"N/A",IF(stdProdLT(Main[[#This Row],[Comments]])=0,"",TRIM(stdProdLT(Main[[#This Row],[Comments]]))))</f>
        <v/>
      </c>
      <c r="H1323" s="94" t="str">
        <f>IF(OR(Main[[#This Row],[Std. Prod. Lead Time]]="N/A",Main[[#This Row],[Std. Prod. Lead Time]]=""), "",IF(AND(Main[[#This Row],[In Stock Date]]&lt;&gt;"",Main[[#This Row],[Revised Due Date]]&lt;&gt;"",Main[[#This Row],[In Stock Date]]&lt;&gt;""),Main[[#This Row],[In Stock Date]]-Main[[#This Row],[Revised Due Date]],""))</f>
        <v/>
      </c>
      <c r="I1323" s="101" t="s">
        <v>4</v>
      </c>
      <c r="J1323" s="95" t="s">
        <v>4</v>
      </c>
      <c r="K1323" s="95" t="s">
        <v>4</v>
      </c>
      <c r="L1323" s="85"/>
      <c r="M1323" s="73" t="str">
        <f>IF(Main[[#This Row],[Tech Start Date]]&lt;1/1/1990,"",IF(Main[[#This Row],[Class]]="C",WORKDAY(Main[[#This Row],[Tech Start Date]],9),IF(Main[[#This Row],[Class]]="B", WORKDAY(Main[[#This Row],[Tech Start Date]],6),IF(Main[[#This Row],[Class]]="A",WORKDAY(Main[[#This Row],[Tech Start Date]],2),""))))</f>
        <v/>
      </c>
      <c r="N1323" s="73" t="str">
        <f>IF(Main[[#This Row],[Tech Start Date]]&lt;1/1/1990,"",IF(Main[[#This Row],[Class]]="C",WORKDAY(Main[[#This Row],[Tech Start Date]],19),IF(Main[[#This Row],[Class]]="B", WORKDAY(Main[[#This Row],[Tech Start Date]],12),IF(Main[[#This Row],[Class]]="A",WORKDAY(Main[[#This Row],[Tech Start Date]],4),""))))</f>
        <v/>
      </c>
      <c r="O1323" s="73" t="str">
        <f>IF(Main[[#This Row],[Tech Start Date]]&lt;1/1/1990,"",IF(Main[[#This Row],[Class]]="C",WORKDAY(Main[[#This Row],[Tech Start Date]],23),IF(Main[[#This Row],[Class]]="B", WORKDAY(Main[[#This Row],[Tech Start Date]],15),IF(Main[[#This Row],[Class]]="A",WORKDAY(Main[[#This Row],[Tech Start Date]],5),""))))</f>
        <v/>
      </c>
      <c r="P1323" s="73" t="str">
        <f>IF(Main[[#This Row],[Tech Start Date]]&lt;1/1/1990,"",IF(Main[[#This Row],[Class]]="C",WORKDAY(Main[[#This Row],[Tech Start Date]],28),IF(Main[[#This Row],[Class]]="B", WORKDAY(Main[[#This Row],[Tech Start Date]],19),IF(Main[[#This Row],[Class]]="A",WORKDAY(Main[[#This Row],[Tech Start Date]],9),""))))</f>
        <v/>
      </c>
      <c r="Q1323" s="85">
        <v>40916</v>
      </c>
      <c r="R1323" s="112"/>
      <c r="S1323" s="95" t="s">
        <v>11</v>
      </c>
      <c r="T1323" s="74" t="s">
        <v>4</v>
      </c>
      <c r="U1323" s="95" t="s">
        <v>12</v>
      </c>
      <c r="V1323" s="95" t="s">
        <v>1921</v>
      </c>
      <c r="W1323" s="95" t="s">
        <v>1916</v>
      </c>
      <c r="X1323" s="95" t="s">
        <v>2823</v>
      </c>
      <c r="Y1323" s="72" t="s">
        <v>4</v>
      </c>
      <c r="Z1323" s="72" t="s">
        <v>4</v>
      </c>
      <c r="AA1323" s="95" t="s">
        <v>2823</v>
      </c>
      <c r="AB1323" s="132"/>
      <c r="AC1323" s="132"/>
      <c r="AD1323" s="132"/>
      <c r="AE1323" s="63"/>
      <c r="AF1323" s="63"/>
      <c r="AG1323" s="63"/>
    </row>
    <row r="1324" spans="1:33" ht="17.2" customHeight="1">
      <c r="A1324" s="64" t="str">
        <f>IF(priority(Main[[#This Row],[Comments]])&lt;&gt;0, priority(Main[[#This Row],[Comments]]),"")</f>
        <v/>
      </c>
      <c r="B1324" s="60" t="s">
        <v>2532</v>
      </c>
      <c r="C1324" s="72" t="s">
        <v>4</v>
      </c>
      <c r="D1324" s="59" t="s">
        <v>2533</v>
      </c>
      <c r="E1324" s="85">
        <v>40834.332835648151</v>
      </c>
      <c r="F1324" s="85"/>
      <c r="G1324" s="64" t="str">
        <f>IF(stdProdLT(Main[[#This Row],[Comments]])=0.1,"N/A",IF(stdProdLT(Main[[#This Row],[Comments]])=0,"",TRIM(stdProdLT(Main[[#This Row],[Comments]]))))</f>
        <v/>
      </c>
      <c r="H1324" s="94" t="str">
        <f>IF(OR(Main[[#This Row],[Std. Prod. Lead Time]]="N/A",Main[[#This Row],[Std. Prod. Lead Time]]=""), "",IF(AND(Main[[#This Row],[In Stock Date]]&lt;&gt;"",Main[[#This Row],[Revised Due Date]]&lt;&gt;"",Main[[#This Row],[In Stock Date]]&lt;&gt;""),Main[[#This Row],[In Stock Date]]-Main[[#This Row],[Revised Due Date]],""))</f>
        <v/>
      </c>
      <c r="I1324" s="101" t="s">
        <v>883</v>
      </c>
      <c r="J1324" s="95" t="s">
        <v>51</v>
      </c>
      <c r="K1324" s="95" t="s">
        <v>4</v>
      </c>
      <c r="L1324" s="85"/>
      <c r="M1324" s="73" t="str">
        <f>IF(Main[[#This Row],[Tech Start Date]]&lt;1/1/1990,"",IF(Main[[#This Row],[Class]]="C",WORKDAY(Main[[#This Row],[Tech Start Date]],9),IF(Main[[#This Row],[Class]]="B", WORKDAY(Main[[#This Row],[Tech Start Date]],6),IF(Main[[#This Row],[Class]]="A",WORKDAY(Main[[#This Row],[Tech Start Date]],2),""))))</f>
        <v/>
      </c>
      <c r="N1324" s="73" t="str">
        <f>IF(Main[[#This Row],[Tech Start Date]]&lt;1/1/1990,"",IF(Main[[#This Row],[Class]]="C",WORKDAY(Main[[#This Row],[Tech Start Date]],19),IF(Main[[#This Row],[Class]]="B", WORKDAY(Main[[#This Row],[Tech Start Date]],12),IF(Main[[#This Row],[Class]]="A",WORKDAY(Main[[#This Row],[Tech Start Date]],4),""))))</f>
        <v/>
      </c>
      <c r="O1324" s="73" t="str">
        <f>IF(Main[[#This Row],[Tech Start Date]]&lt;1/1/1990,"",IF(Main[[#This Row],[Class]]="C",WORKDAY(Main[[#This Row],[Tech Start Date]],23),IF(Main[[#This Row],[Class]]="B", WORKDAY(Main[[#This Row],[Tech Start Date]],15),IF(Main[[#This Row],[Class]]="A",WORKDAY(Main[[#This Row],[Tech Start Date]],5),""))))</f>
        <v/>
      </c>
      <c r="P1324" s="73" t="str">
        <f>IF(Main[[#This Row],[Tech Start Date]]&lt;1/1/1990,"",IF(Main[[#This Row],[Class]]="C",WORKDAY(Main[[#This Row],[Tech Start Date]],28),IF(Main[[#This Row],[Class]]="B", WORKDAY(Main[[#This Row],[Tech Start Date]],19),IF(Main[[#This Row],[Class]]="A",WORKDAY(Main[[#This Row],[Tech Start Date]],9),""))))</f>
        <v/>
      </c>
      <c r="Q1324" s="85"/>
      <c r="R1324" s="112"/>
      <c r="S1324" s="95" t="s">
        <v>6</v>
      </c>
      <c r="T1324" s="74" t="s">
        <v>4</v>
      </c>
      <c r="U1324" s="95" t="s">
        <v>29</v>
      </c>
      <c r="V1324" s="95" t="s">
        <v>1914</v>
      </c>
      <c r="W1324" s="95" t="s">
        <v>1915</v>
      </c>
      <c r="X1324" s="95" t="s">
        <v>399</v>
      </c>
      <c r="Y1324" s="72" t="s">
        <v>4</v>
      </c>
      <c r="Z1324" s="72" t="s">
        <v>4</v>
      </c>
      <c r="AA1324" s="95" t="s">
        <v>306</v>
      </c>
      <c r="AB1324" s="132"/>
      <c r="AC1324" s="132"/>
      <c r="AD1324" s="132"/>
      <c r="AE1324" s="63"/>
      <c r="AF1324" s="63"/>
      <c r="AG1324" s="63"/>
    </row>
    <row r="1325" spans="1:33" ht="17.2" customHeight="1">
      <c r="A1325" s="64" t="str">
        <f>IF(priority(Main[[#This Row],[Comments]])&lt;&gt;0, priority(Main[[#This Row],[Comments]]),"")</f>
        <v/>
      </c>
      <c r="B1325" s="60" t="s">
        <v>3951</v>
      </c>
      <c r="C1325" s="72" t="s">
        <v>4</v>
      </c>
      <c r="D1325" s="59" t="s">
        <v>3952</v>
      </c>
      <c r="E1325" s="85">
        <v>40974.311828703707</v>
      </c>
      <c r="F1325" s="85"/>
      <c r="G1325" s="64" t="str">
        <f>IF(stdProdLT(Main[[#This Row],[Comments]])=0.1,"N/A",IF(stdProdLT(Main[[#This Row],[Comments]])=0,"",TRIM(stdProdLT(Main[[#This Row],[Comments]]))))</f>
        <v/>
      </c>
      <c r="H1325" s="94" t="str">
        <f>IF(OR(Main[[#This Row],[Std. Prod. Lead Time]]="N/A",Main[[#This Row],[Std. Prod. Lead Time]]=""), "",IF(AND(Main[[#This Row],[In Stock Date]]&lt;&gt;"",Main[[#This Row],[Revised Due Date]]&lt;&gt;"",Main[[#This Row],[In Stock Date]]&lt;&gt;""),Main[[#This Row],[In Stock Date]]-Main[[#This Row],[Revised Due Date]],""))</f>
        <v/>
      </c>
      <c r="I1325" s="101" t="s">
        <v>4</v>
      </c>
      <c r="J1325" s="95" t="s">
        <v>4</v>
      </c>
      <c r="K1325" s="95" t="s">
        <v>4</v>
      </c>
      <c r="L1325" s="85"/>
      <c r="M1325" s="73" t="str">
        <f>IF(Main[[#This Row],[Tech Start Date]]&lt;1/1/1990,"",IF(Main[[#This Row],[Class]]="C",WORKDAY(Main[[#This Row],[Tech Start Date]],9),IF(Main[[#This Row],[Class]]="B", WORKDAY(Main[[#This Row],[Tech Start Date]],6),IF(Main[[#This Row],[Class]]="A",WORKDAY(Main[[#This Row],[Tech Start Date]],2),""))))</f>
        <v/>
      </c>
      <c r="N1325" s="73" t="str">
        <f>IF(Main[[#This Row],[Tech Start Date]]&lt;1/1/1990,"",IF(Main[[#This Row],[Class]]="C",WORKDAY(Main[[#This Row],[Tech Start Date]],19),IF(Main[[#This Row],[Class]]="B", WORKDAY(Main[[#This Row],[Tech Start Date]],12),IF(Main[[#This Row],[Class]]="A",WORKDAY(Main[[#This Row],[Tech Start Date]],4),""))))</f>
        <v/>
      </c>
      <c r="O1325" s="73" t="str">
        <f>IF(Main[[#This Row],[Tech Start Date]]&lt;1/1/1990,"",IF(Main[[#This Row],[Class]]="C",WORKDAY(Main[[#This Row],[Tech Start Date]],23),IF(Main[[#This Row],[Class]]="B", WORKDAY(Main[[#This Row],[Tech Start Date]],15),IF(Main[[#This Row],[Class]]="A",WORKDAY(Main[[#This Row],[Tech Start Date]],5),""))))</f>
        <v/>
      </c>
      <c r="P1325" s="73" t="str">
        <f>IF(Main[[#This Row],[Tech Start Date]]&lt;1/1/1990,"",IF(Main[[#This Row],[Class]]="C",WORKDAY(Main[[#This Row],[Tech Start Date]],28),IF(Main[[#This Row],[Class]]="B", WORKDAY(Main[[#This Row],[Tech Start Date]],19),IF(Main[[#This Row],[Class]]="A",WORKDAY(Main[[#This Row],[Tech Start Date]],9),""))))</f>
        <v/>
      </c>
      <c r="Q1325" s="85">
        <v>41005</v>
      </c>
      <c r="R1325" s="112"/>
      <c r="S1325" s="95" t="s">
        <v>6</v>
      </c>
      <c r="T1325" s="74" t="s">
        <v>4</v>
      </c>
      <c r="U1325" s="95" t="s">
        <v>7</v>
      </c>
      <c r="V1325" s="95" t="s">
        <v>1914</v>
      </c>
      <c r="W1325" s="95" t="s">
        <v>4</v>
      </c>
      <c r="X1325" s="95" t="s">
        <v>2802</v>
      </c>
      <c r="Y1325" s="72" t="s">
        <v>2916</v>
      </c>
      <c r="Z1325" s="72" t="s">
        <v>4</v>
      </c>
      <c r="AA1325" s="95" t="s">
        <v>2802</v>
      </c>
      <c r="AB1325" s="132"/>
      <c r="AC1325" s="132"/>
      <c r="AD1325" s="132"/>
      <c r="AE1325" s="63"/>
      <c r="AF1325" s="63"/>
      <c r="AG1325" s="63"/>
    </row>
    <row r="1326" spans="1:33" ht="17.2" customHeight="1">
      <c r="A1326" s="64" t="str">
        <f>IF(priority(Main[[#This Row],[Comments]])&lt;&gt;0, priority(Main[[#This Row],[Comments]]),"")</f>
        <v/>
      </c>
      <c r="B1326" s="60" t="s">
        <v>2449</v>
      </c>
      <c r="C1326" s="72" t="s">
        <v>4</v>
      </c>
      <c r="D1326" s="59" t="s">
        <v>2450</v>
      </c>
      <c r="E1326" s="85">
        <v>40855.432083333333</v>
      </c>
      <c r="F1326" s="85">
        <v>40877</v>
      </c>
      <c r="G1326" s="64" t="str">
        <f>IF(stdProdLT(Main[[#This Row],[Comments]])=0.1,"N/A",IF(stdProdLT(Main[[#This Row],[Comments]])=0,"",TRIM(stdProdLT(Main[[#This Row],[Comments]]))))</f>
        <v/>
      </c>
      <c r="H1326" s="94" t="str">
        <f>IF(OR(Main[[#This Row],[Std. Prod. Lead Time]]="N/A",Main[[#This Row],[Std. Prod. Lead Time]]=""), "",IF(AND(Main[[#This Row],[In Stock Date]]&lt;&gt;"",Main[[#This Row],[Revised Due Date]]&lt;&gt;"",Main[[#This Row],[In Stock Date]]&lt;&gt;""),Main[[#This Row],[In Stock Date]]-Main[[#This Row],[Revised Due Date]],""))</f>
        <v/>
      </c>
      <c r="I1326" s="101" t="s">
        <v>4</v>
      </c>
      <c r="J1326" s="95" t="s">
        <v>4</v>
      </c>
      <c r="K1326" s="95" t="s">
        <v>4</v>
      </c>
      <c r="L1326" s="85"/>
      <c r="M1326" s="73" t="str">
        <f>IF(Main[[#This Row],[Tech Start Date]]&lt;1/1/1990,"",IF(Main[[#This Row],[Class]]="C",WORKDAY(Main[[#This Row],[Tech Start Date]],9),IF(Main[[#This Row],[Class]]="B", WORKDAY(Main[[#This Row],[Tech Start Date]],6),IF(Main[[#This Row],[Class]]="A",WORKDAY(Main[[#This Row],[Tech Start Date]],2),""))))</f>
        <v/>
      </c>
      <c r="N1326" s="73" t="str">
        <f>IF(Main[[#This Row],[Tech Start Date]]&lt;1/1/1990,"",IF(Main[[#This Row],[Class]]="C",WORKDAY(Main[[#This Row],[Tech Start Date]],19),IF(Main[[#This Row],[Class]]="B", WORKDAY(Main[[#This Row],[Tech Start Date]],12),IF(Main[[#This Row],[Class]]="A",WORKDAY(Main[[#This Row],[Tech Start Date]],4),""))))</f>
        <v/>
      </c>
      <c r="O1326" s="73" t="str">
        <f>IF(Main[[#This Row],[Tech Start Date]]&lt;1/1/1990,"",IF(Main[[#This Row],[Class]]="C",WORKDAY(Main[[#This Row],[Tech Start Date]],23),IF(Main[[#This Row],[Class]]="B", WORKDAY(Main[[#This Row],[Tech Start Date]],15),IF(Main[[#This Row],[Class]]="A",WORKDAY(Main[[#This Row],[Tech Start Date]],5),""))))</f>
        <v/>
      </c>
      <c r="P1326" s="73" t="str">
        <f>IF(Main[[#This Row],[Tech Start Date]]&lt;1/1/1990,"",IF(Main[[#This Row],[Class]]="C",WORKDAY(Main[[#This Row],[Tech Start Date]],28),IF(Main[[#This Row],[Class]]="B", WORKDAY(Main[[#This Row],[Tech Start Date]],19),IF(Main[[#This Row],[Class]]="A",WORKDAY(Main[[#This Row],[Tech Start Date]],9),""))))</f>
        <v/>
      </c>
      <c r="Q1326" s="85">
        <v>40865</v>
      </c>
      <c r="R1326" s="112"/>
      <c r="S1326" s="95" t="s">
        <v>11</v>
      </c>
      <c r="T1326" s="74" t="s">
        <v>4</v>
      </c>
      <c r="U1326" s="95" t="s">
        <v>7</v>
      </c>
      <c r="V1326" s="95" t="s">
        <v>2277</v>
      </c>
      <c r="W1326" s="95" t="s">
        <v>1919</v>
      </c>
      <c r="X1326" s="95" t="s">
        <v>2892</v>
      </c>
      <c r="Y1326" s="72" t="s">
        <v>3114</v>
      </c>
      <c r="Z1326" s="72" t="s">
        <v>4</v>
      </c>
      <c r="AA1326" s="95" t="s">
        <v>3427</v>
      </c>
      <c r="AB1326" s="132"/>
      <c r="AC1326" s="132"/>
      <c r="AD1326" s="132"/>
      <c r="AE1326" s="63"/>
      <c r="AF1326" s="63"/>
      <c r="AG1326" s="63"/>
    </row>
    <row r="1327" spans="1:33" ht="17.2" customHeight="1">
      <c r="A1327" s="64" t="str">
        <f>IF(priority(Main[[#This Row],[Comments]])&lt;&gt;0, priority(Main[[#This Row],[Comments]]),"")</f>
        <v/>
      </c>
      <c r="B1327" s="60" t="s">
        <v>2474</v>
      </c>
      <c r="C1327" s="72" t="s">
        <v>4</v>
      </c>
      <c r="D1327" s="59" t="s">
        <v>2475</v>
      </c>
      <c r="E1327" s="85">
        <v>40864.625219907408</v>
      </c>
      <c r="F1327" s="85"/>
      <c r="G1327" s="64" t="str">
        <f>IF(stdProdLT(Main[[#This Row],[Comments]])=0.1,"N/A",IF(stdProdLT(Main[[#This Row],[Comments]])=0,"",TRIM(stdProdLT(Main[[#This Row],[Comments]]))))</f>
        <v/>
      </c>
      <c r="H1327" s="94" t="str">
        <f>IF(OR(Main[[#This Row],[Std. Prod. Lead Time]]="N/A",Main[[#This Row],[Std. Prod. Lead Time]]=""), "",IF(AND(Main[[#This Row],[In Stock Date]]&lt;&gt;"",Main[[#This Row],[Revised Due Date]]&lt;&gt;"",Main[[#This Row],[In Stock Date]]&lt;&gt;""),Main[[#This Row],[In Stock Date]]-Main[[#This Row],[Revised Due Date]],""))</f>
        <v/>
      </c>
      <c r="I1327" s="101" t="s">
        <v>4</v>
      </c>
      <c r="J1327" s="95" t="s">
        <v>4</v>
      </c>
      <c r="K1327" s="95" t="s">
        <v>4</v>
      </c>
      <c r="L1327" s="85"/>
      <c r="M1327" s="73" t="str">
        <f>IF(Main[[#This Row],[Tech Start Date]]&lt;1/1/1990,"",IF(Main[[#This Row],[Class]]="C",WORKDAY(Main[[#This Row],[Tech Start Date]],9),IF(Main[[#This Row],[Class]]="B", WORKDAY(Main[[#This Row],[Tech Start Date]],6),IF(Main[[#This Row],[Class]]="A",WORKDAY(Main[[#This Row],[Tech Start Date]],2),""))))</f>
        <v/>
      </c>
      <c r="N1327" s="73" t="str">
        <f>IF(Main[[#This Row],[Tech Start Date]]&lt;1/1/1990,"",IF(Main[[#This Row],[Class]]="C",WORKDAY(Main[[#This Row],[Tech Start Date]],19),IF(Main[[#This Row],[Class]]="B", WORKDAY(Main[[#This Row],[Tech Start Date]],12),IF(Main[[#This Row],[Class]]="A",WORKDAY(Main[[#This Row],[Tech Start Date]],4),""))))</f>
        <v/>
      </c>
      <c r="O1327" s="73" t="str">
        <f>IF(Main[[#This Row],[Tech Start Date]]&lt;1/1/1990,"",IF(Main[[#This Row],[Class]]="C",WORKDAY(Main[[#This Row],[Tech Start Date]],23),IF(Main[[#This Row],[Class]]="B", WORKDAY(Main[[#This Row],[Tech Start Date]],15),IF(Main[[#This Row],[Class]]="A",WORKDAY(Main[[#This Row],[Tech Start Date]],5),""))))</f>
        <v/>
      </c>
      <c r="P1327" s="73" t="str">
        <f>IF(Main[[#This Row],[Tech Start Date]]&lt;1/1/1990,"",IF(Main[[#This Row],[Class]]="C",WORKDAY(Main[[#This Row],[Tech Start Date]],28),IF(Main[[#This Row],[Class]]="B", WORKDAY(Main[[#This Row],[Tech Start Date]],19),IF(Main[[#This Row],[Class]]="A",WORKDAY(Main[[#This Row],[Tech Start Date]],9),""))))</f>
        <v/>
      </c>
      <c r="Q1327" s="85"/>
      <c r="R1327" s="112"/>
      <c r="S1327" s="95" t="s">
        <v>17</v>
      </c>
      <c r="T1327" s="74" t="s">
        <v>4</v>
      </c>
      <c r="U1327" s="95" t="s">
        <v>7</v>
      </c>
      <c r="V1327" s="95" t="s">
        <v>1912</v>
      </c>
      <c r="W1327" s="95" t="s">
        <v>1915</v>
      </c>
      <c r="X1327" s="95" t="s">
        <v>2846</v>
      </c>
      <c r="Y1327" s="72" t="s">
        <v>2978</v>
      </c>
      <c r="Z1327" s="72" t="s">
        <v>4</v>
      </c>
      <c r="AA1327" s="95" t="s">
        <v>2846</v>
      </c>
      <c r="AB1327" s="132"/>
      <c r="AC1327" s="132"/>
      <c r="AD1327" s="132"/>
      <c r="AE1327" s="63"/>
      <c r="AF1327" s="63"/>
      <c r="AG1327" s="63"/>
    </row>
    <row r="1328" spans="1:33" ht="17.2" customHeight="1">
      <c r="A1328" s="64" t="str">
        <f>IF(priority(Main[[#This Row],[Comments]])&lt;&gt;0, priority(Main[[#This Row],[Comments]]),"")</f>
        <v/>
      </c>
      <c r="B1328" s="60" t="s">
        <v>2226</v>
      </c>
      <c r="C1328" s="72" t="s">
        <v>4</v>
      </c>
      <c r="D1328" s="59" t="s">
        <v>2560</v>
      </c>
      <c r="E1328" s="85">
        <v>40798.47016203704</v>
      </c>
      <c r="F1328" s="85"/>
      <c r="G1328" s="64" t="str">
        <f>IF(stdProdLT(Main[[#This Row],[Comments]])=0.1,"N/A",IF(stdProdLT(Main[[#This Row],[Comments]])=0,"",TRIM(stdProdLT(Main[[#This Row],[Comments]]))))</f>
        <v/>
      </c>
      <c r="H1328" s="94" t="str">
        <f>IF(OR(Main[[#This Row],[Std. Prod. Lead Time]]="N/A",Main[[#This Row],[Std. Prod. Lead Time]]=""), "",IF(AND(Main[[#This Row],[In Stock Date]]&lt;&gt;"",Main[[#This Row],[Revised Due Date]]&lt;&gt;"",Main[[#This Row],[In Stock Date]]&lt;&gt;""),Main[[#This Row],[In Stock Date]]-Main[[#This Row],[Revised Due Date]],""))</f>
        <v/>
      </c>
      <c r="I1328" s="101" t="s">
        <v>130</v>
      </c>
      <c r="J1328" s="95" t="s">
        <v>28</v>
      </c>
      <c r="K1328" s="95" t="s">
        <v>1920</v>
      </c>
      <c r="L1328" s="85"/>
      <c r="M1328" s="73" t="str">
        <f>IF(Main[[#This Row],[Tech Start Date]]&lt;1/1/1990,"",IF(Main[[#This Row],[Class]]="C",WORKDAY(Main[[#This Row],[Tech Start Date]],9),IF(Main[[#This Row],[Class]]="B", WORKDAY(Main[[#This Row],[Tech Start Date]],6),IF(Main[[#This Row],[Class]]="A",WORKDAY(Main[[#This Row],[Tech Start Date]],2),""))))</f>
        <v/>
      </c>
      <c r="N1328" s="73" t="str">
        <f>IF(Main[[#This Row],[Tech Start Date]]&lt;1/1/1990,"",IF(Main[[#This Row],[Class]]="C",WORKDAY(Main[[#This Row],[Tech Start Date]],19),IF(Main[[#This Row],[Class]]="B", WORKDAY(Main[[#This Row],[Tech Start Date]],12),IF(Main[[#This Row],[Class]]="A",WORKDAY(Main[[#This Row],[Tech Start Date]],4),""))))</f>
        <v/>
      </c>
      <c r="O1328" s="73" t="str">
        <f>IF(Main[[#This Row],[Tech Start Date]]&lt;1/1/1990,"",IF(Main[[#This Row],[Class]]="C",WORKDAY(Main[[#This Row],[Tech Start Date]],23),IF(Main[[#This Row],[Class]]="B", WORKDAY(Main[[#This Row],[Tech Start Date]],15),IF(Main[[#This Row],[Class]]="A",WORKDAY(Main[[#This Row],[Tech Start Date]],5),""))))</f>
        <v/>
      </c>
      <c r="P1328" s="73" t="str">
        <f>IF(Main[[#This Row],[Tech Start Date]]&lt;1/1/1990,"",IF(Main[[#This Row],[Class]]="C",WORKDAY(Main[[#This Row],[Tech Start Date]],28),IF(Main[[#This Row],[Class]]="B", WORKDAY(Main[[#This Row],[Tech Start Date]],19),IF(Main[[#This Row],[Class]]="A",WORKDAY(Main[[#This Row],[Tech Start Date]],9),""))))</f>
        <v/>
      </c>
      <c r="Q1328" s="85">
        <v>40847</v>
      </c>
      <c r="R1328" s="112"/>
      <c r="S1328" s="95" t="s">
        <v>6</v>
      </c>
      <c r="T1328" s="74" t="s">
        <v>4</v>
      </c>
      <c r="U1328" s="95" t="s">
        <v>29</v>
      </c>
      <c r="V1328" s="95" t="s">
        <v>1914</v>
      </c>
      <c r="W1328" s="95" t="s">
        <v>1915</v>
      </c>
      <c r="X1328" s="95" t="s">
        <v>30</v>
      </c>
      <c r="Y1328" s="72" t="s">
        <v>3115</v>
      </c>
      <c r="Z1328" s="72" t="s">
        <v>30</v>
      </c>
      <c r="AA1328" s="95" t="s">
        <v>3428</v>
      </c>
      <c r="AB1328" s="132"/>
      <c r="AC1328" s="132"/>
      <c r="AD1328" s="132"/>
      <c r="AE1328" s="63"/>
      <c r="AF1328" s="63"/>
      <c r="AG1328" s="63"/>
    </row>
    <row r="1329" spans="1:33" ht="17.2" customHeight="1">
      <c r="A1329" s="64" t="str">
        <f>IF(priority(Main[[#This Row],[Comments]])&lt;&gt;0, priority(Main[[#This Row],[Comments]]),"")</f>
        <v/>
      </c>
      <c r="B1329" s="60" t="s">
        <v>1600</v>
      </c>
      <c r="C1329" s="72" t="s">
        <v>275</v>
      </c>
      <c r="D1329" s="59" t="s">
        <v>676</v>
      </c>
      <c r="E1329" s="85">
        <v>40500.611724537041</v>
      </c>
      <c r="F1329" s="85">
        <v>40444</v>
      </c>
      <c r="G1329" s="64" t="str">
        <f>IF(stdProdLT(Main[[#This Row],[Comments]])=0.1,"N/A",IF(stdProdLT(Main[[#This Row],[Comments]])=0,"",TRIM(stdProdLT(Main[[#This Row],[Comments]]))))</f>
        <v/>
      </c>
      <c r="H1329" s="94" t="str">
        <f>IF(OR(Main[[#This Row],[Std. Prod. Lead Time]]="N/A",Main[[#This Row],[Std. Prod. Lead Time]]=""), "",IF(AND(Main[[#This Row],[In Stock Date]]&lt;&gt;"",Main[[#This Row],[Revised Due Date]]&lt;&gt;"",Main[[#This Row],[In Stock Date]]&lt;&gt;""),Main[[#This Row],[In Stock Date]]-Main[[#This Row],[Revised Due Date]],""))</f>
        <v/>
      </c>
      <c r="I1329" s="101" t="s">
        <v>4</v>
      </c>
      <c r="J1329" s="95" t="s">
        <v>4</v>
      </c>
      <c r="K1329" s="95" t="s">
        <v>4</v>
      </c>
      <c r="L1329" s="85"/>
      <c r="M1329" s="73" t="str">
        <f>IF(Main[[#This Row],[Tech Start Date]]&lt;1/1/1990,"",IF(Main[[#This Row],[Class]]="C",WORKDAY(Main[[#This Row],[Tech Start Date]],9),IF(Main[[#This Row],[Class]]="B", WORKDAY(Main[[#This Row],[Tech Start Date]],6),IF(Main[[#This Row],[Class]]="A",WORKDAY(Main[[#This Row],[Tech Start Date]],2),""))))</f>
        <v/>
      </c>
      <c r="N1329" s="73" t="str">
        <f>IF(Main[[#This Row],[Tech Start Date]]&lt;1/1/1990,"",IF(Main[[#This Row],[Class]]="C",WORKDAY(Main[[#This Row],[Tech Start Date]],19),IF(Main[[#This Row],[Class]]="B", WORKDAY(Main[[#This Row],[Tech Start Date]],12),IF(Main[[#This Row],[Class]]="A",WORKDAY(Main[[#This Row],[Tech Start Date]],4),""))))</f>
        <v/>
      </c>
      <c r="O1329" s="73" t="str">
        <f>IF(Main[[#This Row],[Tech Start Date]]&lt;1/1/1990,"",IF(Main[[#This Row],[Class]]="C",WORKDAY(Main[[#This Row],[Tech Start Date]],23),IF(Main[[#This Row],[Class]]="B", WORKDAY(Main[[#This Row],[Tech Start Date]],15),IF(Main[[#This Row],[Class]]="A",WORKDAY(Main[[#This Row],[Tech Start Date]],5),""))))</f>
        <v/>
      </c>
      <c r="P1329" s="73" t="str">
        <f>IF(Main[[#This Row],[Tech Start Date]]&lt;1/1/1990,"",IF(Main[[#This Row],[Class]]="C",WORKDAY(Main[[#This Row],[Tech Start Date]],28),IF(Main[[#This Row],[Class]]="B", WORKDAY(Main[[#This Row],[Tech Start Date]],19),IF(Main[[#This Row],[Class]]="A",WORKDAY(Main[[#This Row],[Tech Start Date]],9),""))))</f>
        <v/>
      </c>
      <c r="Q1329" s="85">
        <v>40262</v>
      </c>
      <c r="R1329" s="112">
        <v>40793</v>
      </c>
      <c r="S1329" s="95" t="s">
        <v>17</v>
      </c>
      <c r="T1329" s="74" t="s">
        <v>4</v>
      </c>
      <c r="U1329" s="95" t="s">
        <v>29</v>
      </c>
      <c r="V1329" s="95" t="s">
        <v>1914</v>
      </c>
      <c r="W1329" s="95" t="s">
        <v>1916</v>
      </c>
      <c r="X1329" s="95" t="s">
        <v>306</v>
      </c>
      <c r="Y1329" s="72" t="s">
        <v>4</v>
      </c>
      <c r="Z1329" s="72" t="s">
        <v>4</v>
      </c>
      <c r="AA1329" s="95" t="s">
        <v>65</v>
      </c>
      <c r="AB1329" s="132"/>
      <c r="AC1329" s="132"/>
      <c r="AD1329" s="132"/>
      <c r="AE1329" s="63"/>
      <c r="AF1329" s="63"/>
      <c r="AG1329" s="63"/>
    </row>
    <row r="1330" spans="1:33" ht="17.2" customHeight="1">
      <c r="A1330" s="64" t="str">
        <f>IF(priority(Main[[#This Row],[Comments]])&lt;&gt;0, priority(Main[[#This Row],[Comments]]),"")</f>
        <v/>
      </c>
      <c r="B1330" s="60" t="s">
        <v>2347</v>
      </c>
      <c r="C1330" s="72" t="s">
        <v>2348</v>
      </c>
      <c r="D1330" s="59" t="s">
        <v>2349</v>
      </c>
      <c r="E1330" s="85"/>
      <c r="F1330" s="85">
        <v>41008</v>
      </c>
      <c r="G1330" s="64" t="str">
        <f>IF(stdProdLT(Main[[#This Row],[Comments]])=0.1,"N/A",IF(stdProdLT(Main[[#This Row],[Comments]])=0,"",TRIM(stdProdLT(Main[[#This Row],[Comments]]))))</f>
        <v/>
      </c>
      <c r="H1330" s="94" t="str">
        <f>IF(OR(Main[[#This Row],[Std. Prod. Lead Time]]="N/A",Main[[#This Row],[Std. Prod. Lead Time]]=""), "",IF(AND(Main[[#This Row],[In Stock Date]]&lt;&gt;"",Main[[#This Row],[Revised Due Date]]&lt;&gt;"",Main[[#This Row],[In Stock Date]]&lt;&gt;""),Main[[#This Row],[In Stock Date]]-Main[[#This Row],[Revised Due Date]],""))</f>
        <v/>
      </c>
      <c r="I1330" s="101" t="s">
        <v>4</v>
      </c>
      <c r="J1330" s="95" t="s">
        <v>4</v>
      </c>
      <c r="K1330" s="95" t="s">
        <v>4</v>
      </c>
      <c r="L1330" s="85"/>
      <c r="M1330" s="73" t="str">
        <f>IF(Main[[#This Row],[Tech Start Date]]&lt;1/1/1990,"",IF(Main[[#This Row],[Class]]="C",WORKDAY(Main[[#This Row],[Tech Start Date]],9),IF(Main[[#This Row],[Class]]="B", WORKDAY(Main[[#This Row],[Tech Start Date]],6),IF(Main[[#This Row],[Class]]="A",WORKDAY(Main[[#This Row],[Tech Start Date]],2),""))))</f>
        <v/>
      </c>
      <c r="N1330" s="73" t="str">
        <f>IF(Main[[#This Row],[Tech Start Date]]&lt;1/1/1990,"",IF(Main[[#This Row],[Class]]="C",WORKDAY(Main[[#This Row],[Tech Start Date]],19),IF(Main[[#This Row],[Class]]="B", WORKDAY(Main[[#This Row],[Tech Start Date]],12),IF(Main[[#This Row],[Class]]="A",WORKDAY(Main[[#This Row],[Tech Start Date]],4),""))))</f>
        <v/>
      </c>
      <c r="O1330" s="73" t="str">
        <f>IF(Main[[#This Row],[Tech Start Date]]&lt;1/1/1990,"",IF(Main[[#This Row],[Class]]="C",WORKDAY(Main[[#This Row],[Tech Start Date]],23),IF(Main[[#This Row],[Class]]="B", WORKDAY(Main[[#This Row],[Tech Start Date]],15),IF(Main[[#This Row],[Class]]="A",WORKDAY(Main[[#This Row],[Tech Start Date]],5),""))))</f>
        <v/>
      </c>
      <c r="P1330" s="73" t="str">
        <f>IF(Main[[#This Row],[Tech Start Date]]&lt;1/1/1990,"",IF(Main[[#This Row],[Class]]="C",WORKDAY(Main[[#This Row],[Tech Start Date]],28),IF(Main[[#This Row],[Class]]="B", WORKDAY(Main[[#This Row],[Tech Start Date]],19),IF(Main[[#This Row],[Class]]="A",WORKDAY(Main[[#This Row],[Tech Start Date]],9),""))))</f>
        <v/>
      </c>
      <c r="Q1330" s="85">
        <v>40826</v>
      </c>
      <c r="R1330" s="112"/>
      <c r="S1330" s="95" t="s">
        <v>11</v>
      </c>
      <c r="T1330" s="74" t="s">
        <v>4</v>
      </c>
      <c r="U1330" s="95" t="s">
        <v>12</v>
      </c>
      <c r="V1330" s="95" t="s">
        <v>1914</v>
      </c>
      <c r="W1330" s="95" t="s">
        <v>1917</v>
      </c>
      <c r="X1330" s="95" t="s">
        <v>2823</v>
      </c>
      <c r="Y1330" s="72" t="s">
        <v>4</v>
      </c>
      <c r="Z1330" s="72" t="s">
        <v>4</v>
      </c>
      <c r="AA1330" s="95" t="s">
        <v>2823</v>
      </c>
      <c r="AB1330" s="132"/>
      <c r="AC1330" s="132"/>
      <c r="AD1330" s="132"/>
      <c r="AE1330" s="63"/>
      <c r="AF1330" s="63"/>
      <c r="AG1330" s="63"/>
    </row>
    <row r="1331" spans="1:33" ht="17.2" customHeight="1">
      <c r="A1331" s="64" t="str">
        <f>IF(priority(Main[[#This Row],[Comments]])&lt;&gt;0, priority(Main[[#This Row],[Comments]]),"")</f>
        <v/>
      </c>
      <c r="B1331" s="60" t="s">
        <v>2574</v>
      </c>
      <c r="C1331" s="72" t="s">
        <v>4</v>
      </c>
      <c r="D1331" s="59" t="s">
        <v>2575</v>
      </c>
      <c r="E1331" s="85">
        <v>40843.713865740741</v>
      </c>
      <c r="F1331" s="85"/>
      <c r="G1331" s="64" t="str">
        <f>IF(stdProdLT(Main[[#This Row],[Comments]])=0.1,"N/A",IF(stdProdLT(Main[[#This Row],[Comments]])=0,"",TRIM(stdProdLT(Main[[#This Row],[Comments]]))))</f>
        <v/>
      </c>
      <c r="H1331" s="94" t="str">
        <f>IF(OR(Main[[#This Row],[Std. Prod. Lead Time]]="N/A",Main[[#This Row],[Std. Prod. Lead Time]]=""), "",IF(AND(Main[[#This Row],[In Stock Date]]&lt;&gt;"",Main[[#This Row],[Revised Due Date]]&lt;&gt;"",Main[[#This Row],[In Stock Date]]&lt;&gt;""),Main[[#This Row],[In Stock Date]]-Main[[#This Row],[Revised Due Date]],""))</f>
        <v/>
      </c>
      <c r="I1331" s="101" t="s">
        <v>4</v>
      </c>
      <c r="J1331" s="95" t="s">
        <v>51</v>
      </c>
      <c r="K1331" s="95" t="s">
        <v>4</v>
      </c>
      <c r="L1331" s="85"/>
      <c r="M1331" s="73" t="str">
        <f>IF(Main[[#This Row],[Tech Start Date]]&lt;1/1/1990,"",IF(Main[[#This Row],[Class]]="C",WORKDAY(Main[[#This Row],[Tech Start Date]],9),IF(Main[[#This Row],[Class]]="B", WORKDAY(Main[[#This Row],[Tech Start Date]],6),IF(Main[[#This Row],[Class]]="A",WORKDAY(Main[[#This Row],[Tech Start Date]],2),""))))</f>
        <v/>
      </c>
      <c r="N1331" s="73" t="str">
        <f>IF(Main[[#This Row],[Tech Start Date]]&lt;1/1/1990,"",IF(Main[[#This Row],[Class]]="C",WORKDAY(Main[[#This Row],[Tech Start Date]],19),IF(Main[[#This Row],[Class]]="B", WORKDAY(Main[[#This Row],[Tech Start Date]],12),IF(Main[[#This Row],[Class]]="A",WORKDAY(Main[[#This Row],[Tech Start Date]],4),""))))</f>
        <v/>
      </c>
      <c r="O1331" s="73" t="str">
        <f>IF(Main[[#This Row],[Tech Start Date]]&lt;1/1/1990,"",IF(Main[[#This Row],[Class]]="C",WORKDAY(Main[[#This Row],[Tech Start Date]],23),IF(Main[[#This Row],[Class]]="B", WORKDAY(Main[[#This Row],[Tech Start Date]],15),IF(Main[[#This Row],[Class]]="A",WORKDAY(Main[[#This Row],[Tech Start Date]],5),""))))</f>
        <v/>
      </c>
      <c r="P1331" s="73" t="str">
        <f>IF(Main[[#This Row],[Tech Start Date]]&lt;1/1/1990,"",IF(Main[[#This Row],[Class]]="C",WORKDAY(Main[[#This Row],[Tech Start Date]],28),IF(Main[[#This Row],[Class]]="B", WORKDAY(Main[[#This Row],[Tech Start Date]],19),IF(Main[[#This Row],[Class]]="A",WORKDAY(Main[[#This Row],[Tech Start Date]],9),""))))</f>
        <v/>
      </c>
      <c r="Q1331" s="85"/>
      <c r="R1331" s="112"/>
      <c r="S1331" s="95" t="s">
        <v>6</v>
      </c>
      <c r="T1331" s="74" t="s">
        <v>2405</v>
      </c>
      <c r="U1331" s="95" t="s">
        <v>534</v>
      </c>
      <c r="V1331" s="95" t="s">
        <v>1911</v>
      </c>
      <c r="W1331" s="95" t="s">
        <v>1917</v>
      </c>
      <c r="X1331" s="95" t="s">
        <v>306</v>
      </c>
      <c r="Y1331" s="72" t="s">
        <v>4</v>
      </c>
      <c r="Z1331" s="72" t="s">
        <v>4</v>
      </c>
      <c r="AA1331" s="95" t="s">
        <v>2819</v>
      </c>
      <c r="AB1331" s="132"/>
      <c r="AC1331" s="132"/>
      <c r="AD1331" s="132"/>
      <c r="AE1331" s="63"/>
      <c r="AF1331" s="63"/>
      <c r="AG1331" s="63"/>
    </row>
    <row r="1332" spans="1:33" ht="17.2" customHeight="1">
      <c r="A1332" s="64" t="str">
        <f>IF(priority(Main[[#This Row],[Comments]])&lt;&gt;0, priority(Main[[#This Row],[Comments]]),"")</f>
        <v/>
      </c>
      <c r="B1332" s="60" t="s">
        <v>3908</v>
      </c>
      <c r="C1332" s="72" t="s">
        <v>4</v>
      </c>
      <c r="D1332" s="59" t="s">
        <v>4078</v>
      </c>
      <c r="E1332" s="85">
        <v>40975.478379629632</v>
      </c>
      <c r="F1332" s="85">
        <v>40975</v>
      </c>
      <c r="G1332" s="64" t="str">
        <f>IF(stdProdLT(Main[[#This Row],[Comments]])=0.1,"N/A",IF(stdProdLT(Main[[#This Row],[Comments]])=0,"",TRIM(stdProdLT(Main[[#This Row],[Comments]]))))</f>
        <v/>
      </c>
      <c r="H1332" s="94" t="str">
        <f>IF(OR(Main[[#This Row],[Std. Prod. Lead Time]]="N/A",Main[[#This Row],[Std. Prod. Lead Time]]=""), "",IF(AND(Main[[#This Row],[In Stock Date]]&lt;&gt;"",Main[[#This Row],[Revised Due Date]]&lt;&gt;"",Main[[#This Row],[In Stock Date]]&lt;&gt;""),Main[[#This Row],[In Stock Date]]-Main[[#This Row],[Revised Due Date]],""))</f>
        <v/>
      </c>
      <c r="I1332" s="101" t="s">
        <v>399</v>
      </c>
      <c r="J1332" s="95" t="s">
        <v>75</v>
      </c>
      <c r="K1332" s="95" t="s">
        <v>1920</v>
      </c>
      <c r="L1332" s="85"/>
      <c r="M1332" s="73" t="str">
        <f>IF(Main[[#This Row],[Tech Start Date]]&lt;1/1/1990,"",IF(Main[[#This Row],[Class]]="C",WORKDAY(Main[[#This Row],[Tech Start Date]],9),IF(Main[[#This Row],[Class]]="B", WORKDAY(Main[[#This Row],[Tech Start Date]],6),IF(Main[[#This Row],[Class]]="A",WORKDAY(Main[[#This Row],[Tech Start Date]],2),""))))</f>
        <v/>
      </c>
      <c r="N1332" s="73" t="str">
        <f>IF(Main[[#This Row],[Tech Start Date]]&lt;1/1/1990,"",IF(Main[[#This Row],[Class]]="C",WORKDAY(Main[[#This Row],[Tech Start Date]],19),IF(Main[[#This Row],[Class]]="B", WORKDAY(Main[[#This Row],[Tech Start Date]],12),IF(Main[[#This Row],[Class]]="A",WORKDAY(Main[[#This Row],[Tech Start Date]],4),""))))</f>
        <v/>
      </c>
      <c r="O1332" s="73" t="str">
        <f>IF(Main[[#This Row],[Tech Start Date]]&lt;1/1/1990,"",IF(Main[[#This Row],[Class]]="C",WORKDAY(Main[[#This Row],[Tech Start Date]],23),IF(Main[[#This Row],[Class]]="B", WORKDAY(Main[[#This Row],[Tech Start Date]],15),IF(Main[[#This Row],[Class]]="A",WORKDAY(Main[[#This Row],[Tech Start Date]],5),""))))</f>
        <v/>
      </c>
      <c r="P1332" s="73" t="str">
        <f>IF(Main[[#This Row],[Tech Start Date]]&lt;1/1/1990,"",IF(Main[[#This Row],[Class]]="C",WORKDAY(Main[[#This Row],[Tech Start Date]],28),IF(Main[[#This Row],[Class]]="B", WORKDAY(Main[[#This Row],[Tech Start Date]],19),IF(Main[[#This Row],[Class]]="A",WORKDAY(Main[[#This Row],[Tech Start Date]],9),""))))</f>
        <v/>
      </c>
      <c r="Q1332" s="85"/>
      <c r="R1332" s="112"/>
      <c r="S1332" s="95" t="s">
        <v>11</v>
      </c>
      <c r="T1332" s="74" t="s">
        <v>4</v>
      </c>
      <c r="U1332" s="95" t="s">
        <v>29</v>
      </c>
      <c r="V1332" s="95" t="s">
        <v>1921</v>
      </c>
      <c r="W1332" s="95" t="s">
        <v>1919</v>
      </c>
      <c r="X1332" s="95" t="s">
        <v>3909</v>
      </c>
      <c r="Y1332" s="72" t="s">
        <v>3910</v>
      </c>
      <c r="Z1332" s="72" t="s">
        <v>81</v>
      </c>
      <c r="AA1332" s="95" t="s">
        <v>3909</v>
      </c>
      <c r="AB1332" s="132">
        <v>40976</v>
      </c>
      <c r="AC1332" s="132">
        <v>40980</v>
      </c>
      <c r="AD1332" s="132"/>
      <c r="AE1332" s="63"/>
      <c r="AF1332" s="63"/>
      <c r="AG1332" s="63"/>
    </row>
    <row r="1333" spans="1:33" ht="17.2" customHeight="1">
      <c r="A1333" s="64" t="str">
        <f>IF(priority(Main[[#This Row],[Comments]])&lt;&gt;0, priority(Main[[#This Row],[Comments]]),"")</f>
        <v/>
      </c>
      <c r="B1333" s="60" t="s">
        <v>3953</v>
      </c>
      <c r="C1333" s="72" t="s">
        <v>4</v>
      </c>
      <c r="D1333" s="59" t="s">
        <v>3954</v>
      </c>
      <c r="E1333" s="85">
        <v>40975.135601851849</v>
      </c>
      <c r="F1333" s="85"/>
      <c r="G1333" s="64" t="str">
        <f>IF(stdProdLT(Main[[#This Row],[Comments]])=0.1,"N/A",IF(stdProdLT(Main[[#This Row],[Comments]])=0,"",TRIM(stdProdLT(Main[[#This Row],[Comments]]))))</f>
        <v/>
      </c>
      <c r="H1333" s="94" t="str">
        <f>IF(OR(Main[[#This Row],[Std. Prod. Lead Time]]="N/A",Main[[#This Row],[Std. Prod. Lead Time]]=""), "",IF(AND(Main[[#This Row],[In Stock Date]]&lt;&gt;"",Main[[#This Row],[Revised Due Date]]&lt;&gt;"",Main[[#This Row],[In Stock Date]]&lt;&gt;""),Main[[#This Row],[In Stock Date]]-Main[[#This Row],[Revised Due Date]],""))</f>
        <v/>
      </c>
      <c r="I1333" s="101" t="s">
        <v>4</v>
      </c>
      <c r="J1333" s="95" t="s">
        <v>4</v>
      </c>
      <c r="K1333" s="95" t="s">
        <v>4</v>
      </c>
      <c r="L1333" s="85"/>
      <c r="M1333" s="73" t="str">
        <f>IF(Main[[#This Row],[Tech Start Date]]&lt;1/1/1990,"",IF(Main[[#This Row],[Class]]="C",WORKDAY(Main[[#This Row],[Tech Start Date]],9),IF(Main[[#This Row],[Class]]="B", WORKDAY(Main[[#This Row],[Tech Start Date]],6),IF(Main[[#This Row],[Class]]="A",WORKDAY(Main[[#This Row],[Tech Start Date]],2),""))))</f>
        <v/>
      </c>
      <c r="N1333" s="73" t="str">
        <f>IF(Main[[#This Row],[Tech Start Date]]&lt;1/1/1990,"",IF(Main[[#This Row],[Class]]="C",WORKDAY(Main[[#This Row],[Tech Start Date]],19),IF(Main[[#This Row],[Class]]="B", WORKDAY(Main[[#This Row],[Tech Start Date]],12),IF(Main[[#This Row],[Class]]="A",WORKDAY(Main[[#This Row],[Tech Start Date]],4),""))))</f>
        <v/>
      </c>
      <c r="O1333" s="73" t="str">
        <f>IF(Main[[#This Row],[Tech Start Date]]&lt;1/1/1990,"",IF(Main[[#This Row],[Class]]="C",WORKDAY(Main[[#This Row],[Tech Start Date]],23),IF(Main[[#This Row],[Class]]="B", WORKDAY(Main[[#This Row],[Tech Start Date]],15),IF(Main[[#This Row],[Class]]="A",WORKDAY(Main[[#This Row],[Tech Start Date]],5),""))))</f>
        <v/>
      </c>
      <c r="P1333" s="73" t="str">
        <f>IF(Main[[#This Row],[Tech Start Date]]&lt;1/1/1990,"",IF(Main[[#This Row],[Class]]="C",WORKDAY(Main[[#This Row],[Tech Start Date]],28),IF(Main[[#This Row],[Class]]="B", WORKDAY(Main[[#This Row],[Tech Start Date]],19),IF(Main[[#This Row],[Class]]="A",WORKDAY(Main[[#This Row],[Tech Start Date]],9),""))))</f>
        <v/>
      </c>
      <c r="Q1333" s="85"/>
      <c r="R1333" s="112"/>
      <c r="S1333" s="95" t="s">
        <v>11</v>
      </c>
      <c r="T1333" s="74" t="s">
        <v>4</v>
      </c>
      <c r="U1333" s="95" t="s">
        <v>7</v>
      </c>
      <c r="V1333" s="95" t="s">
        <v>1921</v>
      </c>
      <c r="W1333" s="95" t="s">
        <v>1917</v>
      </c>
      <c r="X1333" s="95" t="s">
        <v>2891</v>
      </c>
      <c r="Y1333" s="72" t="s">
        <v>3870</v>
      </c>
      <c r="Z1333" s="72" t="s">
        <v>4</v>
      </c>
      <c r="AA1333" s="95" t="s">
        <v>2891</v>
      </c>
      <c r="AB1333" s="132"/>
      <c r="AC1333" s="132"/>
      <c r="AD1333" s="132"/>
      <c r="AE1333" s="63"/>
      <c r="AF1333" s="63"/>
      <c r="AG1333" s="63"/>
    </row>
    <row r="1334" spans="1:33" ht="17.2" customHeight="1">
      <c r="A1334" s="64" t="str">
        <f>IF(priority(Main[[#This Row],[Comments]])&lt;&gt;0, priority(Main[[#This Row],[Comments]]),"")</f>
        <v/>
      </c>
      <c r="B1334" s="60" t="s">
        <v>3955</v>
      </c>
      <c r="C1334" s="72" t="s">
        <v>4</v>
      </c>
      <c r="D1334" s="59" t="s">
        <v>3956</v>
      </c>
      <c r="E1334" s="85">
        <v>40975.144120370373</v>
      </c>
      <c r="F1334" s="85"/>
      <c r="G1334" s="64" t="str">
        <f>IF(stdProdLT(Main[[#This Row],[Comments]])=0.1,"N/A",IF(stdProdLT(Main[[#This Row],[Comments]])=0,"",TRIM(stdProdLT(Main[[#This Row],[Comments]]))))</f>
        <v/>
      </c>
      <c r="H1334" s="94" t="str">
        <f>IF(OR(Main[[#This Row],[Std. Prod. Lead Time]]="N/A",Main[[#This Row],[Std. Prod. Lead Time]]=""), "",IF(AND(Main[[#This Row],[In Stock Date]]&lt;&gt;"",Main[[#This Row],[Revised Due Date]]&lt;&gt;"",Main[[#This Row],[In Stock Date]]&lt;&gt;""),Main[[#This Row],[In Stock Date]]-Main[[#This Row],[Revised Due Date]],""))</f>
        <v/>
      </c>
      <c r="I1334" s="101" t="s">
        <v>4</v>
      </c>
      <c r="J1334" s="95" t="s">
        <v>4</v>
      </c>
      <c r="K1334" s="95" t="s">
        <v>4</v>
      </c>
      <c r="L1334" s="85"/>
      <c r="M1334" s="73" t="str">
        <f>IF(Main[[#This Row],[Tech Start Date]]&lt;1/1/1990,"",IF(Main[[#This Row],[Class]]="C",WORKDAY(Main[[#This Row],[Tech Start Date]],9),IF(Main[[#This Row],[Class]]="B", WORKDAY(Main[[#This Row],[Tech Start Date]],6),IF(Main[[#This Row],[Class]]="A",WORKDAY(Main[[#This Row],[Tech Start Date]],2),""))))</f>
        <v/>
      </c>
      <c r="N1334" s="73" t="str">
        <f>IF(Main[[#This Row],[Tech Start Date]]&lt;1/1/1990,"",IF(Main[[#This Row],[Class]]="C",WORKDAY(Main[[#This Row],[Tech Start Date]],19),IF(Main[[#This Row],[Class]]="B", WORKDAY(Main[[#This Row],[Tech Start Date]],12),IF(Main[[#This Row],[Class]]="A",WORKDAY(Main[[#This Row],[Tech Start Date]],4),""))))</f>
        <v/>
      </c>
      <c r="O1334" s="73" t="str">
        <f>IF(Main[[#This Row],[Tech Start Date]]&lt;1/1/1990,"",IF(Main[[#This Row],[Class]]="C",WORKDAY(Main[[#This Row],[Tech Start Date]],23),IF(Main[[#This Row],[Class]]="B", WORKDAY(Main[[#This Row],[Tech Start Date]],15),IF(Main[[#This Row],[Class]]="A",WORKDAY(Main[[#This Row],[Tech Start Date]],5),""))))</f>
        <v/>
      </c>
      <c r="P1334" s="73" t="str">
        <f>IF(Main[[#This Row],[Tech Start Date]]&lt;1/1/1990,"",IF(Main[[#This Row],[Class]]="C",WORKDAY(Main[[#This Row],[Tech Start Date]],28),IF(Main[[#This Row],[Class]]="B", WORKDAY(Main[[#This Row],[Tech Start Date]],19),IF(Main[[#This Row],[Class]]="A",WORKDAY(Main[[#This Row],[Tech Start Date]],9),""))))</f>
        <v/>
      </c>
      <c r="Q1334" s="85"/>
      <c r="R1334" s="112"/>
      <c r="S1334" s="95" t="s">
        <v>11</v>
      </c>
      <c r="T1334" s="74" t="s">
        <v>4</v>
      </c>
      <c r="U1334" s="95" t="s">
        <v>7</v>
      </c>
      <c r="V1334" s="95" t="s">
        <v>1921</v>
      </c>
      <c r="W1334" s="95" t="s">
        <v>1917</v>
      </c>
      <c r="X1334" s="95" t="s">
        <v>2891</v>
      </c>
      <c r="Y1334" s="72" t="s">
        <v>3870</v>
      </c>
      <c r="Z1334" s="72" t="s">
        <v>4</v>
      </c>
      <c r="AA1334" s="95" t="s">
        <v>2891</v>
      </c>
      <c r="AB1334" s="132"/>
      <c r="AC1334" s="132"/>
      <c r="AD1334" s="132"/>
      <c r="AE1334" s="63"/>
      <c r="AF1334" s="63"/>
      <c r="AG1334" s="63"/>
    </row>
    <row r="1335" spans="1:33" ht="17.2" customHeight="1">
      <c r="A1335" s="64" t="str">
        <f>IF(priority(Main[[#This Row],[Comments]])&lt;&gt;0, priority(Main[[#This Row],[Comments]]),"")</f>
        <v/>
      </c>
      <c r="B1335" s="60" t="s">
        <v>2289</v>
      </c>
      <c r="C1335" s="72" t="s">
        <v>4</v>
      </c>
      <c r="D1335" s="59" t="s">
        <v>2290</v>
      </c>
      <c r="E1335" s="85">
        <v>40815.373611111114</v>
      </c>
      <c r="F1335" s="85"/>
      <c r="G1335" s="64" t="str">
        <f>IF(stdProdLT(Main[[#This Row],[Comments]])=0.1,"N/A",IF(stdProdLT(Main[[#This Row],[Comments]])=0,"",TRIM(stdProdLT(Main[[#This Row],[Comments]]))))</f>
        <v/>
      </c>
      <c r="H1335" s="94" t="str">
        <f>IF(OR(Main[[#This Row],[Std. Prod. Lead Time]]="N/A",Main[[#This Row],[Std. Prod. Lead Time]]=""), "",IF(AND(Main[[#This Row],[In Stock Date]]&lt;&gt;"",Main[[#This Row],[Revised Due Date]]&lt;&gt;"",Main[[#This Row],[In Stock Date]]&lt;&gt;""),Main[[#This Row],[In Stock Date]]-Main[[#This Row],[Revised Due Date]],""))</f>
        <v/>
      </c>
      <c r="I1335" s="101" t="s">
        <v>4</v>
      </c>
      <c r="J1335" s="95" t="s">
        <v>4</v>
      </c>
      <c r="K1335" s="95" t="s">
        <v>4</v>
      </c>
      <c r="L1335" s="85"/>
      <c r="M1335" s="73" t="str">
        <f>IF(Main[[#This Row],[Tech Start Date]]&lt;1/1/1990,"",IF(Main[[#This Row],[Class]]="C",WORKDAY(Main[[#This Row],[Tech Start Date]],9),IF(Main[[#This Row],[Class]]="B", WORKDAY(Main[[#This Row],[Tech Start Date]],6),IF(Main[[#This Row],[Class]]="A",WORKDAY(Main[[#This Row],[Tech Start Date]],2),""))))</f>
        <v/>
      </c>
      <c r="N1335" s="73" t="str">
        <f>IF(Main[[#This Row],[Tech Start Date]]&lt;1/1/1990,"",IF(Main[[#This Row],[Class]]="C",WORKDAY(Main[[#This Row],[Tech Start Date]],19),IF(Main[[#This Row],[Class]]="B", WORKDAY(Main[[#This Row],[Tech Start Date]],12),IF(Main[[#This Row],[Class]]="A",WORKDAY(Main[[#This Row],[Tech Start Date]],4),""))))</f>
        <v/>
      </c>
      <c r="O1335" s="73" t="str">
        <f>IF(Main[[#This Row],[Tech Start Date]]&lt;1/1/1990,"",IF(Main[[#This Row],[Class]]="C",WORKDAY(Main[[#This Row],[Tech Start Date]],23),IF(Main[[#This Row],[Class]]="B", WORKDAY(Main[[#This Row],[Tech Start Date]],15),IF(Main[[#This Row],[Class]]="A",WORKDAY(Main[[#This Row],[Tech Start Date]],5),""))))</f>
        <v/>
      </c>
      <c r="P1335" s="73" t="str">
        <f>IF(Main[[#This Row],[Tech Start Date]]&lt;1/1/1990,"",IF(Main[[#This Row],[Class]]="C",WORKDAY(Main[[#This Row],[Tech Start Date]],28),IF(Main[[#This Row],[Class]]="B", WORKDAY(Main[[#This Row],[Tech Start Date]],19),IF(Main[[#This Row],[Class]]="A",WORKDAY(Main[[#This Row],[Tech Start Date]],9),""))))</f>
        <v/>
      </c>
      <c r="Q1335" s="85"/>
      <c r="R1335" s="112"/>
      <c r="S1335" s="95" t="s">
        <v>6</v>
      </c>
      <c r="T1335" s="74" t="s">
        <v>4</v>
      </c>
      <c r="U1335" s="95" t="s">
        <v>29</v>
      </c>
      <c r="V1335" s="95" t="s">
        <v>1914</v>
      </c>
      <c r="W1335" s="95" t="s">
        <v>1915</v>
      </c>
      <c r="X1335" s="95" t="s">
        <v>102</v>
      </c>
      <c r="Y1335" s="72" t="s">
        <v>3116</v>
      </c>
      <c r="Z1335" s="72" t="s">
        <v>4</v>
      </c>
      <c r="AA1335" s="95" t="s">
        <v>3375</v>
      </c>
      <c r="AB1335" s="132"/>
      <c r="AC1335" s="132"/>
      <c r="AD1335" s="132"/>
      <c r="AE1335" s="63"/>
      <c r="AF1335" s="63"/>
      <c r="AG1335" s="63"/>
    </row>
    <row r="1336" spans="1:33" ht="17.2" customHeight="1">
      <c r="A1336" s="64" t="str">
        <f>IF(priority(Main[[#This Row],[Comments]])&lt;&gt;0, priority(Main[[#This Row],[Comments]]),"")</f>
        <v/>
      </c>
      <c r="B1336" s="60" t="s">
        <v>3670</v>
      </c>
      <c r="C1336" s="72" t="s">
        <v>4</v>
      </c>
      <c r="D1336" s="59" t="s">
        <v>3671</v>
      </c>
      <c r="E1336" s="85">
        <v>40967.414942129632</v>
      </c>
      <c r="F1336" s="85"/>
      <c r="G1336" s="64" t="str">
        <f>IF(stdProdLT(Main[[#This Row],[Comments]])=0.1,"N/A",IF(stdProdLT(Main[[#This Row],[Comments]])=0,"",TRIM(stdProdLT(Main[[#This Row],[Comments]]))))</f>
        <v/>
      </c>
      <c r="H1336" s="94" t="str">
        <f>IF(OR(Main[[#This Row],[Std. Prod. Lead Time]]="N/A",Main[[#This Row],[Std. Prod. Lead Time]]=""), "",IF(AND(Main[[#This Row],[In Stock Date]]&lt;&gt;"",Main[[#This Row],[Revised Due Date]]&lt;&gt;"",Main[[#This Row],[In Stock Date]]&lt;&gt;""),Main[[#This Row],[In Stock Date]]-Main[[#This Row],[Revised Due Date]],""))</f>
        <v/>
      </c>
      <c r="I1336" s="101" t="s">
        <v>4</v>
      </c>
      <c r="J1336" s="95" t="s">
        <v>4</v>
      </c>
      <c r="K1336" s="95" t="s">
        <v>4</v>
      </c>
      <c r="L1336" s="85"/>
      <c r="M1336" s="73" t="str">
        <f>IF(Main[[#This Row],[Tech Start Date]]&lt;1/1/1990,"",IF(Main[[#This Row],[Class]]="C",WORKDAY(Main[[#This Row],[Tech Start Date]],9),IF(Main[[#This Row],[Class]]="B", WORKDAY(Main[[#This Row],[Tech Start Date]],6),IF(Main[[#This Row],[Class]]="A",WORKDAY(Main[[#This Row],[Tech Start Date]],2),""))))</f>
        <v/>
      </c>
      <c r="N1336" s="73" t="str">
        <f>IF(Main[[#This Row],[Tech Start Date]]&lt;1/1/1990,"",IF(Main[[#This Row],[Class]]="C",WORKDAY(Main[[#This Row],[Tech Start Date]],19),IF(Main[[#This Row],[Class]]="B", WORKDAY(Main[[#This Row],[Tech Start Date]],12),IF(Main[[#This Row],[Class]]="A",WORKDAY(Main[[#This Row],[Tech Start Date]],4),""))))</f>
        <v/>
      </c>
      <c r="O1336" s="73" t="str">
        <f>IF(Main[[#This Row],[Tech Start Date]]&lt;1/1/1990,"",IF(Main[[#This Row],[Class]]="C",WORKDAY(Main[[#This Row],[Tech Start Date]],23),IF(Main[[#This Row],[Class]]="B", WORKDAY(Main[[#This Row],[Tech Start Date]],15),IF(Main[[#This Row],[Class]]="A",WORKDAY(Main[[#This Row],[Tech Start Date]],5),""))))</f>
        <v/>
      </c>
      <c r="P1336" s="73" t="str">
        <f>IF(Main[[#This Row],[Tech Start Date]]&lt;1/1/1990,"",IF(Main[[#This Row],[Class]]="C",WORKDAY(Main[[#This Row],[Tech Start Date]],28),IF(Main[[#This Row],[Class]]="B", WORKDAY(Main[[#This Row],[Tech Start Date]],19),IF(Main[[#This Row],[Class]]="A",WORKDAY(Main[[#This Row],[Tech Start Date]],9),""))))</f>
        <v/>
      </c>
      <c r="Q1336" s="85">
        <v>40977</v>
      </c>
      <c r="R1336" s="112"/>
      <c r="S1336" s="95" t="s">
        <v>6</v>
      </c>
      <c r="T1336" s="74" t="s">
        <v>4</v>
      </c>
      <c r="U1336" s="95" t="s">
        <v>7</v>
      </c>
      <c r="V1336" s="95" t="s">
        <v>1914</v>
      </c>
      <c r="W1336" s="95" t="s">
        <v>1915</v>
      </c>
      <c r="X1336" s="95" t="s">
        <v>2883</v>
      </c>
      <c r="Y1336" s="72" t="s">
        <v>3061</v>
      </c>
      <c r="Z1336" s="72" t="s">
        <v>4</v>
      </c>
      <c r="AA1336" s="95" t="s">
        <v>2883</v>
      </c>
      <c r="AB1336" s="132"/>
      <c r="AC1336" s="132"/>
      <c r="AD1336" s="132"/>
      <c r="AE1336" s="63"/>
      <c r="AF1336" s="63"/>
      <c r="AG1336" s="63"/>
    </row>
    <row r="1337" spans="1:33" ht="17.2" customHeight="1">
      <c r="A1337" s="64" t="str">
        <f>IF(priority(Main[[#This Row],[Comments]])&lt;&gt;0, priority(Main[[#This Row],[Comments]]),"")</f>
        <v/>
      </c>
      <c r="B1337" s="60" t="s">
        <v>3672</v>
      </c>
      <c r="C1337" s="72" t="s">
        <v>4</v>
      </c>
      <c r="D1337" s="59" t="s">
        <v>3673</v>
      </c>
      <c r="E1337" s="85">
        <v>40959.601018518515</v>
      </c>
      <c r="F1337" s="85"/>
      <c r="G1337" s="64" t="str">
        <f>IF(stdProdLT(Main[[#This Row],[Comments]])=0.1,"N/A",IF(stdProdLT(Main[[#This Row],[Comments]])=0,"",TRIM(stdProdLT(Main[[#This Row],[Comments]]))))</f>
        <v/>
      </c>
      <c r="H1337" s="94" t="str">
        <f>IF(OR(Main[[#This Row],[Std. Prod. Lead Time]]="N/A",Main[[#This Row],[Std. Prod. Lead Time]]=""), "",IF(AND(Main[[#This Row],[In Stock Date]]&lt;&gt;"",Main[[#This Row],[Revised Due Date]]&lt;&gt;"",Main[[#This Row],[In Stock Date]]&lt;&gt;""),Main[[#This Row],[In Stock Date]]-Main[[#This Row],[Revised Due Date]],""))</f>
        <v/>
      </c>
      <c r="I1337" s="101" t="s">
        <v>561</v>
      </c>
      <c r="J1337" s="95" t="s">
        <v>28</v>
      </c>
      <c r="K1337" s="95" t="s">
        <v>4</v>
      </c>
      <c r="L1337" s="85"/>
      <c r="M1337" s="73" t="str">
        <f>IF(Main[[#This Row],[Tech Start Date]]&lt;1/1/1990,"",IF(Main[[#This Row],[Class]]="C",WORKDAY(Main[[#This Row],[Tech Start Date]],9),IF(Main[[#This Row],[Class]]="B", WORKDAY(Main[[#This Row],[Tech Start Date]],6),IF(Main[[#This Row],[Class]]="A",WORKDAY(Main[[#This Row],[Tech Start Date]],2),""))))</f>
        <v/>
      </c>
      <c r="N1337" s="73" t="str">
        <f>IF(Main[[#This Row],[Tech Start Date]]&lt;1/1/1990,"",IF(Main[[#This Row],[Class]]="C",WORKDAY(Main[[#This Row],[Tech Start Date]],19),IF(Main[[#This Row],[Class]]="B", WORKDAY(Main[[#This Row],[Tech Start Date]],12),IF(Main[[#This Row],[Class]]="A",WORKDAY(Main[[#This Row],[Tech Start Date]],4),""))))</f>
        <v/>
      </c>
      <c r="O1337" s="73" t="str">
        <f>IF(Main[[#This Row],[Tech Start Date]]&lt;1/1/1990,"",IF(Main[[#This Row],[Class]]="C",WORKDAY(Main[[#This Row],[Tech Start Date]],23),IF(Main[[#This Row],[Class]]="B", WORKDAY(Main[[#This Row],[Tech Start Date]],15),IF(Main[[#This Row],[Class]]="A",WORKDAY(Main[[#This Row],[Tech Start Date]],5),""))))</f>
        <v/>
      </c>
      <c r="P1337" s="73" t="str">
        <f>IF(Main[[#This Row],[Tech Start Date]]&lt;1/1/1990,"",IF(Main[[#This Row],[Class]]="C",WORKDAY(Main[[#This Row],[Tech Start Date]],28),IF(Main[[#This Row],[Class]]="B", WORKDAY(Main[[#This Row],[Tech Start Date]],19),IF(Main[[#This Row],[Class]]="A",WORKDAY(Main[[#This Row],[Tech Start Date]],9),""))))</f>
        <v/>
      </c>
      <c r="Q1337" s="85"/>
      <c r="R1337" s="112"/>
      <c r="S1337" s="95" t="s">
        <v>6</v>
      </c>
      <c r="T1337" s="74" t="s">
        <v>4</v>
      </c>
      <c r="U1337" s="95" t="s">
        <v>29</v>
      </c>
      <c r="V1337" s="95" t="s">
        <v>1911</v>
      </c>
      <c r="W1337" s="95" t="s">
        <v>4</v>
      </c>
      <c r="X1337" s="95" t="s">
        <v>561</v>
      </c>
      <c r="Y1337" s="72" t="s">
        <v>3034</v>
      </c>
      <c r="Z1337" s="72" t="s">
        <v>4</v>
      </c>
      <c r="AA1337" s="95" t="s">
        <v>561</v>
      </c>
      <c r="AB1337" s="132"/>
      <c r="AC1337" s="132"/>
      <c r="AD1337" s="132"/>
      <c r="AE1337" s="63"/>
      <c r="AF1337" s="63"/>
      <c r="AG1337" s="63"/>
    </row>
    <row r="1338" spans="1:33" ht="17.2" customHeight="1">
      <c r="A1338" s="64" t="str">
        <f>IF(priority(Main[[#This Row],[Comments]])&lt;&gt;0, priority(Main[[#This Row],[Comments]]),"")</f>
        <v/>
      </c>
      <c r="B1338" s="60" t="s">
        <v>3674</v>
      </c>
      <c r="C1338" s="72" t="s">
        <v>4</v>
      </c>
      <c r="D1338" s="59" t="s">
        <v>3675</v>
      </c>
      <c r="E1338" s="85">
        <v>40955.139027777775</v>
      </c>
      <c r="F1338" s="85"/>
      <c r="G1338" s="64" t="str">
        <f>IF(stdProdLT(Main[[#This Row],[Comments]])=0.1,"N/A",IF(stdProdLT(Main[[#This Row],[Comments]])=0,"",TRIM(stdProdLT(Main[[#This Row],[Comments]]))))</f>
        <v/>
      </c>
      <c r="H1338" s="94" t="str">
        <f>IF(OR(Main[[#This Row],[Std. Prod. Lead Time]]="N/A",Main[[#This Row],[Std. Prod. Lead Time]]=""), "",IF(AND(Main[[#This Row],[In Stock Date]]&lt;&gt;"",Main[[#This Row],[Revised Due Date]]&lt;&gt;"",Main[[#This Row],[In Stock Date]]&lt;&gt;""),Main[[#This Row],[In Stock Date]]-Main[[#This Row],[Revised Due Date]],""))</f>
        <v/>
      </c>
      <c r="I1338" s="101" t="s">
        <v>4</v>
      </c>
      <c r="J1338" s="95" t="s">
        <v>4</v>
      </c>
      <c r="K1338" s="95" t="s">
        <v>4</v>
      </c>
      <c r="L1338" s="85"/>
      <c r="M1338" s="73" t="str">
        <f>IF(Main[[#This Row],[Tech Start Date]]&lt;1/1/1990,"",IF(Main[[#This Row],[Class]]="C",WORKDAY(Main[[#This Row],[Tech Start Date]],9),IF(Main[[#This Row],[Class]]="B", WORKDAY(Main[[#This Row],[Tech Start Date]],6),IF(Main[[#This Row],[Class]]="A",WORKDAY(Main[[#This Row],[Tech Start Date]],2),""))))</f>
        <v/>
      </c>
      <c r="N1338" s="73" t="str">
        <f>IF(Main[[#This Row],[Tech Start Date]]&lt;1/1/1990,"",IF(Main[[#This Row],[Class]]="C",WORKDAY(Main[[#This Row],[Tech Start Date]],19),IF(Main[[#This Row],[Class]]="B", WORKDAY(Main[[#This Row],[Tech Start Date]],12),IF(Main[[#This Row],[Class]]="A",WORKDAY(Main[[#This Row],[Tech Start Date]],4),""))))</f>
        <v/>
      </c>
      <c r="O1338" s="73" t="str">
        <f>IF(Main[[#This Row],[Tech Start Date]]&lt;1/1/1990,"",IF(Main[[#This Row],[Class]]="C",WORKDAY(Main[[#This Row],[Tech Start Date]],23),IF(Main[[#This Row],[Class]]="B", WORKDAY(Main[[#This Row],[Tech Start Date]],15),IF(Main[[#This Row],[Class]]="A",WORKDAY(Main[[#This Row],[Tech Start Date]],5),""))))</f>
        <v/>
      </c>
      <c r="P1338" s="73" t="str">
        <f>IF(Main[[#This Row],[Tech Start Date]]&lt;1/1/1990,"",IF(Main[[#This Row],[Class]]="C",WORKDAY(Main[[#This Row],[Tech Start Date]],28),IF(Main[[#This Row],[Class]]="B", WORKDAY(Main[[#This Row],[Tech Start Date]],19),IF(Main[[#This Row],[Class]]="A",WORKDAY(Main[[#This Row],[Tech Start Date]],9),""))))</f>
        <v/>
      </c>
      <c r="Q1338" s="85">
        <v>40984</v>
      </c>
      <c r="R1338" s="112"/>
      <c r="S1338" s="95" t="s">
        <v>6</v>
      </c>
      <c r="T1338" s="74" t="s">
        <v>4</v>
      </c>
      <c r="U1338" s="95" t="s">
        <v>7</v>
      </c>
      <c r="V1338" s="95" t="s">
        <v>1911</v>
      </c>
      <c r="W1338" s="95" t="s">
        <v>4</v>
      </c>
      <c r="X1338" s="95" t="s">
        <v>2802</v>
      </c>
      <c r="Y1338" s="72" t="s">
        <v>2916</v>
      </c>
      <c r="Z1338" s="72" t="s">
        <v>4</v>
      </c>
      <c r="AA1338" s="95" t="s">
        <v>2802</v>
      </c>
      <c r="AB1338" s="132"/>
      <c r="AC1338" s="132"/>
      <c r="AD1338" s="132"/>
      <c r="AE1338" s="63"/>
      <c r="AF1338" s="63"/>
      <c r="AG1338" s="63"/>
    </row>
    <row r="1339" spans="1:33" ht="17.2" customHeight="1">
      <c r="A1339" s="64" t="str">
        <f>IF(priority(Main[[#This Row],[Comments]])&lt;&gt;0, priority(Main[[#This Row],[Comments]]),"")</f>
        <v/>
      </c>
      <c r="B1339" s="60" t="s">
        <v>2768</v>
      </c>
      <c r="C1339" s="72" t="s">
        <v>4</v>
      </c>
      <c r="D1339" s="59" t="s">
        <v>2769</v>
      </c>
      <c r="E1339" s="85">
        <v>40883.621099537035</v>
      </c>
      <c r="F1339" s="85"/>
      <c r="G1339" s="64" t="str">
        <f>IF(stdProdLT(Main[[#This Row],[Comments]])=0.1,"N/A",IF(stdProdLT(Main[[#This Row],[Comments]])=0,"",TRIM(stdProdLT(Main[[#This Row],[Comments]]))))</f>
        <v/>
      </c>
      <c r="H1339" s="94" t="str">
        <f>IF(OR(Main[[#This Row],[Std. Prod. Lead Time]]="N/A",Main[[#This Row],[Std. Prod. Lead Time]]=""), "",IF(AND(Main[[#This Row],[In Stock Date]]&lt;&gt;"",Main[[#This Row],[Revised Due Date]]&lt;&gt;"",Main[[#This Row],[In Stock Date]]&lt;&gt;""),Main[[#This Row],[In Stock Date]]-Main[[#This Row],[Revised Due Date]],""))</f>
        <v/>
      </c>
      <c r="I1339" s="101" t="s">
        <v>3495</v>
      </c>
      <c r="J1339" s="95" t="s">
        <v>4</v>
      </c>
      <c r="K1339" s="95" t="s">
        <v>1923</v>
      </c>
      <c r="L1339" s="85"/>
      <c r="M1339" s="73" t="str">
        <f>IF(Main[[#This Row],[Tech Start Date]]&lt;1/1/1990,"",IF(Main[[#This Row],[Class]]="C",WORKDAY(Main[[#This Row],[Tech Start Date]],9),IF(Main[[#This Row],[Class]]="B", WORKDAY(Main[[#This Row],[Tech Start Date]],6),IF(Main[[#This Row],[Class]]="A",WORKDAY(Main[[#This Row],[Tech Start Date]],2),""))))</f>
        <v/>
      </c>
      <c r="N1339" s="73" t="str">
        <f>IF(Main[[#This Row],[Tech Start Date]]&lt;1/1/1990,"",IF(Main[[#This Row],[Class]]="C",WORKDAY(Main[[#This Row],[Tech Start Date]],19),IF(Main[[#This Row],[Class]]="B", WORKDAY(Main[[#This Row],[Tech Start Date]],12),IF(Main[[#This Row],[Class]]="A",WORKDAY(Main[[#This Row],[Tech Start Date]],4),""))))</f>
        <v/>
      </c>
      <c r="O1339" s="73" t="str">
        <f>IF(Main[[#This Row],[Tech Start Date]]&lt;1/1/1990,"",IF(Main[[#This Row],[Class]]="C",WORKDAY(Main[[#This Row],[Tech Start Date]],23),IF(Main[[#This Row],[Class]]="B", WORKDAY(Main[[#This Row],[Tech Start Date]],15),IF(Main[[#This Row],[Class]]="A",WORKDAY(Main[[#This Row],[Tech Start Date]],5),""))))</f>
        <v/>
      </c>
      <c r="P1339" s="73" t="str">
        <f>IF(Main[[#This Row],[Tech Start Date]]&lt;1/1/1990,"",IF(Main[[#This Row],[Class]]="C",WORKDAY(Main[[#This Row],[Tech Start Date]],28),IF(Main[[#This Row],[Class]]="B", WORKDAY(Main[[#This Row],[Tech Start Date]],19),IF(Main[[#This Row],[Class]]="A",WORKDAY(Main[[#This Row],[Tech Start Date]],9),""))))</f>
        <v/>
      </c>
      <c r="Q1339" s="85"/>
      <c r="R1339" s="112"/>
      <c r="S1339" s="95" t="s">
        <v>17</v>
      </c>
      <c r="T1339" s="74" t="s">
        <v>4</v>
      </c>
      <c r="U1339" s="95" t="s">
        <v>29</v>
      </c>
      <c r="V1339" s="95" t="s">
        <v>1914</v>
      </c>
      <c r="W1339" s="95" t="s">
        <v>1916</v>
      </c>
      <c r="X1339" s="95" t="s">
        <v>415</v>
      </c>
      <c r="Y1339" s="72" t="s">
        <v>2953</v>
      </c>
      <c r="Z1339" s="72" t="s">
        <v>652</v>
      </c>
      <c r="AA1339" s="95" t="s">
        <v>415</v>
      </c>
      <c r="AB1339" s="132"/>
      <c r="AC1339" s="132"/>
      <c r="AD1339" s="132"/>
      <c r="AE1339" s="63"/>
      <c r="AF1339" s="63"/>
      <c r="AG1339" s="63"/>
    </row>
    <row r="1340" spans="1:33" ht="17.2" customHeight="1">
      <c r="A1340" s="64" t="str">
        <f>IF(priority(Main[[#This Row],[Comments]])&lt;&gt;0, priority(Main[[#This Row],[Comments]]),"")</f>
        <v/>
      </c>
      <c r="B1340" s="60" t="s">
        <v>1114</v>
      </c>
      <c r="C1340" s="72" t="s">
        <v>4</v>
      </c>
      <c r="D1340" s="59" t="s">
        <v>3676</v>
      </c>
      <c r="E1340" s="85"/>
      <c r="F1340" s="85">
        <v>40602</v>
      </c>
      <c r="G1340" s="64" t="str">
        <f>IF(stdProdLT(Main[[#This Row],[Comments]])=0.1,"N/A",IF(stdProdLT(Main[[#This Row],[Comments]])=0,"",TRIM(stdProdLT(Main[[#This Row],[Comments]]))))</f>
        <v/>
      </c>
      <c r="H1340" s="94" t="str">
        <f>IF(OR(Main[[#This Row],[Std. Prod. Lead Time]]="N/A",Main[[#This Row],[Std. Prod. Lead Time]]=""), "",IF(AND(Main[[#This Row],[In Stock Date]]&lt;&gt;"",Main[[#This Row],[Revised Due Date]]&lt;&gt;"",Main[[#This Row],[In Stock Date]]&lt;&gt;""),Main[[#This Row],[In Stock Date]]-Main[[#This Row],[Revised Due Date]],""))</f>
        <v/>
      </c>
      <c r="I1340" s="101" t="s">
        <v>2202</v>
      </c>
      <c r="J1340" s="95" t="s">
        <v>75</v>
      </c>
      <c r="K1340" s="95" t="s">
        <v>1920</v>
      </c>
      <c r="L1340" s="85"/>
      <c r="M1340" s="73" t="str">
        <f>IF(Main[[#This Row],[Tech Start Date]]&lt;1/1/1990,"",IF(Main[[#This Row],[Class]]="C",WORKDAY(Main[[#This Row],[Tech Start Date]],9),IF(Main[[#This Row],[Class]]="B", WORKDAY(Main[[#This Row],[Tech Start Date]],6),IF(Main[[#This Row],[Class]]="A",WORKDAY(Main[[#This Row],[Tech Start Date]],2),""))))</f>
        <v/>
      </c>
      <c r="N1340" s="73" t="str">
        <f>IF(Main[[#This Row],[Tech Start Date]]&lt;1/1/1990,"",IF(Main[[#This Row],[Class]]="C",WORKDAY(Main[[#This Row],[Tech Start Date]],19),IF(Main[[#This Row],[Class]]="B", WORKDAY(Main[[#This Row],[Tech Start Date]],12),IF(Main[[#This Row],[Class]]="A",WORKDAY(Main[[#This Row],[Tech Start Date]],4),""))))</f>
        <v/>
      </c>
      <c r="O1340" s="73" t="str">
        <f>IF(Main[[#This Row],[Tech Start Date]]&lt;1/1/1990,"",IF(Main[[#This Row],[Class]]="C",WORKDAY(Main[[#This Row],[Tech Start Date]],23),IF(Main[[#This Row],[Class]]="B", WORKDAY(Main[[#This Row],[Tech Start Date]],15),IF(Main[[#This Row],[Class]]="A",WORKDAY(Main[[#This Row],[Tech Start Date]],5),""))))</f>
        <v/>
      </c>
      <c r="P1340" s="73" t="str">
        <f>IF(Main[[#This Row],[Tech Start Date]]&lt;1/1/1990,"",IF(Main[[#This Row],[Class]]="C",WORKDAY(Main[[#This Row],[Tech Start Date]],28),IF(Main[[#This Row],[Class]]="B", WORKDAY(Main[[#This Row],[Tech Start Date]],19),IF(Main[[#This Row],[Class]]="A",WORKDAY(Main[[#This Row],[Tech Start Date]],9),""))))</f>
        <v/>
      </c>
      <c r="Q1340" s="85">
        <v>40602</v>
      </c>
      <c r="R1340" s="112"/>
      <c r="S1340" s="95" t="s">
        <v>6</v>
      </c>
      <c r="T1340" s="74" t="s">
        <v>4</v>
      </c>
      <c r="U1340" s="95" t="s">
        <v>14</v>
      </c>
      <c r="V1340" s="95" t="s">
        <v>1914</v>
      </c>
      <c r="W1340" s="95" t="s">
        <v>1913</v>
      </c>
      <c r="X1340" s="95" t="s">
        <v>30</v>
      </c>
      <c r="Y1340" s="72" t="s">
        <v>2935</v>
      </c>
      <c r="Z1340" s="72" t="s">
        <v>415</v>
      </c>
      <c r="AA1340" s="95" t="s">
        <v>30</v>
      </c>
      <c r="AB1340" s="132">
        <v>40953</v>
      </c>
      <c r="AC1340" s="132">
        <v>40963</v>
      </c>
      <c r="AD1340" s="132"/>
      <c r="AE1340" s="63"/>
      <c r="AF1340" s="63"/>
      <c r="AG1340" s="63"/>
    </row>
    <row r="1341" spans="1:33" ht="17.2" customHeight="1">
      <c r="A1341" s="64" t="str">
        <f>IF(priority(Main[[#This Row],[Comments]])&lt;&gt;0, priority(Main[[#This Row],[Comments]]),"")</f>
        <v/>
      </c>
      <c r="B1341" s="60" t="s">
        <v>2576</v>
      </c>
      <c r="C1341" s="72" t="s">
        <v>4</v>
      </c>
      <c r="D1341" s="59" t="s">
        <v>2577</v>
      </c>
      <c r="E1341" s="85"/>
      <c r="F1341" s="85"/>
      <c r="G1341" s="64" t="str">
        <f>IF(stdProdLT(Main[[#This Row],[Comments]])=0.1,"N/A",IF(stdProdLT(Main[[#This Row],[Comments]])=0,"",TRIM(stdProdLT(Main[[#This Row],[Comments]]))))</f>
        <v/>
      </c>
      <c r="H1341" s="94" t="str">
        <f>IF(OR(Main[[#This Row],[Std. Prod. Lead Time]]="N/A",Main[[#This Row],[Std. Prod. Lead Time]]=""), "",IF(AND(Main[[#This Row],[In Stock Date]]&lt;&gt;"",Main[[#This Row],[Revised Due Date]]&lt;&gt;"",Main[[#This Row],[In Stock Date]]&lt;&gt;""),Main[[#This Row],[In Stock Date]]-Main[[#This Row],[Revised Due Date]],""))</f>
        <v/>
      </c>
      <c r="I1341" s="101" t="s">
        <v>4</v>
      </c>
      <c r="J1341" s="95" t="s">
        <v>4</v>
      </c>
      <c r="K1341" s="96" t="s">
        <v>4</v>
      </c>
      <c r="L1341" s="85"/>
      <c r="M1341" s="73" t="str">
        <f>IF(Main[[#This Row],[Tech Start Date]]&lt;1/1/1990,"",IF(Main[[#This Row],[Class]]="C",WORKDAY(Main[[#This Row],[Tech Start Date]],9),IF(Main[[#This Row],[Class]]="B", WORKDAY(Main[[#This Row],[Tech Start Date]],6),IF(Main[[#This Row],[Class]]="A",WORKDAY(Main[[#This Row],[Tech Start Date]],2),""))))</f>
        <v/>
      </c>
      <c r="N1341" s="73" t="str">
        <f>IF(Main[[#This Row],[Tech Start Date]]&lt;1/1/1990,"",IF(Main[[#This Row],[Class]]="C",WORKDAY(Main[[#This Row],[Tech Start Date]],19),IF(Main[[#This Row],[Class]]="B", WORKDAY(Main[[#This Row],[Tech Start Date]],12),IF(Main[[#This Row],[Class]]="A",WORKDAY(Main[[#This Row],[Tech Start Date]],4),""))))</f>
        <v/>
      </c>
      <c r="O1341" s="73" t="str">
        <f>IF(Main[[#This Row],[Tech Start Date]]&lt;1/1/1990,"",IF(Main[[#This Row],[Class]]="C",WORKDAY(Main[[#This Row],[Tech Start Date]],23),IF(Main[[#This Row],[Class]]="B", WORKDAY(Main[[#This Row],[Tech Start Date]],15),IF(Main[[#This Row],[Class]]="A",WORKDAY(Main[[#This Row],[Tech Start Date]],5),""))))</f>
        <v/>
      </c>
      <c r="P1341" s="73" t="str">
        <f>IF(Main[[#This Row],[Tech Start Date]]&lt;1/1/1990,"",IF(Main[[#This Row],[Class]]="C",WORKDAY(Main[[#This Row],[Tech Start Date]],28),IF(Main[[#This Row],[Class]]="B", WORKDAY(Main[[#This Row],[Tech Start Date]],19),IF(Main[[#This Row],[Class]]="A",WORKDAY(Main[[#This Row],[Tech Start Date]],9),""))))</f>
        <v/>
      </c>
      <c r="Q1341" s="85"/>
      <c r="R1341" s="112"/>
      <c r="S1341" s="95" t="s">
        <v>11</v>
      </c>
      <c r="T1341" s="74" t="s">
        <v>4</v>
      </c>
      <c r="U1341" s="95" t="s">
        <v>14</v>
      </c>
      <c r="V1341" s="95" t="s">
        <v>1914</v>
      </c>
      <c r="W1341" s="95" t="s">
        <v>1919</v>
      </c>
      <c r="X1341" s="95" t="s">
        <v>306</v>
      </c>
      <c r="Y1341" s="72" t="s">
        <v>4</v>
      </c>
      <c r="Z1341" s="72" t="s">
        <v>4</v>
      </c>
      <c r="AA1341" s="95" t="s">
        <v>4</v>
      </c>
      <c r="AB1341" s="132"/>
      <c r="AC1341" s="132"/>
      <c r="AD1341" s="132"/>
      <c r="AE1341" s="63"/>
      <c r="AF1341" s="63"/>
      <c r="AG1341" s="63"/>
    </row>
    <row r="1342" spans="1:33" ht="17.2" customHeight="1">
      <c r="A1342" s="64" t="str">
        <f>IF(priority(Main[[#This Row],[Comments]])&lt;&gt;0, priority(Main[[#This Row],[Comments]]),"")</f>
        <v/>
      </c>
      <c r="B1342" s="60" t="s">
        <v>2278</v>
      </c>
      <c r="C1342" s="72" t="s">
        <v>67</v>
      </c>
      <c r="D1342" s="59" t="s">
        <v>2279</v>
      </c>
      <c r="E1342" s="85"/>
      <c r="F1342" s="85">
        <v>41075</v>
      </c>
      <c r="G1342" s="64" t="str">
        <f>IF(stdProdLT(Main[[#This Row],[Comments]])=0.1,"N/A",IF(stdProdLT(Main[[#This Row],[Comments]])=0,"",TRIM(stdProdLT(Main[[#This Row],[Comments]]))))</f>
        <v/>
      </c>
      <c r="H1342" s="94" t="str">
        <f>IF(OR(Main[[#This Row],[Std. Prod. Lead Time]]="N/A",Main[[#This Row],[Std. Prod. Lead Time]]=""), "",IF(AND(Main[[#This Row],[In Stock Date]]&lt;&gt;"",Main[[#This Row],[Revised Due Date]]&lt;&gt;"",Main[[#This Row],[In Stock Date]]&lt;&gt;""),Main[[#This Row],[In Stock Date]]-Main[[#This Row],[Revised Due Date]],""))</f>
        <v/>
      </c>
      <c r="I1342" s="101" t="s">
        <v>4</v>
      </c>
      <c r="J1342" s="95" t="s">
        <v>4</v>
      </c>
      <c r="K1342" s="95" t="s">
        <v>4</v>
      </c>
      <c r="L1342" s="85"/>
      <c r="M1342" s="73" t="str">
        <f>IF(Main[[#This Row],[Tech Start Date]]&lt;1/1/1990,"",IF(Main[[#This Row],[Class]]="C",WORKDAY(Main[[#This Row],[Tech Start Date]],9),IF(Main[[#This Row],[Class]]="B", WORKDAY(Main[[#This Row],[Tech Start Date]],6),IF(Main[[#This Row],[Class]]="A",WORKDAY(Main[[#This Row],[Tech Start Date]],2),""))))</f>
        <v/>
      </c>
      <c r="N1342" s="73" t="str">
        <f>IF(Main[[#This Row],[Tech Start Date]]&lt;1/1/1990,"",IF(Main[[#This Row],[Class]]="C",WORKDAY(Main[[#This Row],[Tech Start Date]],19),IF(Main[[#This Row],[Class]]="B", WORKDAY(Main[[#This Row],[Tech Start Date]],12),IF(Main[[#This Row],[Class]]="A",WORKDAY(Main[[#This Row],[Tech Start Date]],4),""))))</f>
        <v/>
      </c>
      <c r="O1342" s="73" t="str">
        <f>IF(Main[[#This Row],[Tech Start Date]]&lt;1/1/1990,"",IF(Main[[#This Row],[Class]]="C",WORKDAY(Main[[#This Row],[Tech Start Date]],23),IF(Main[[#This Row],[Class]]="B", WORKDAY(Main[[#This Row],[Tech Start Date]],15),IF(Main[[#This Row],[Class]]="A",WORKDAY(Main[[#This Row],[Tech Start Date]],5),""))))</f>
        <v/>
      </c>
      <c r="P1342" s="73" t="str">
        <f>IF(Main[[#This Row],[Tech Start Date]]&lt;1/1/1990,"",IF(Main[[#This Row],[Class]]="C",WORKDAY(Main[[#This Row],[Tech Start Date]],28),IF(Main[[#This Row],[Class]]="B", WORKDAY(Main[[#This Row],[Tech Start Date]],19),IF(Main[[#This Row],[Class]]="A",WORKDAY(Main[[#This Row],[Tech Start Date]],9),""))))</f>
        <v/>
      </c>
      <c r="Q1342" s="85">
        <v>40908</v>
      </c>
      <c r="R1342" s="112"/>
      <c r="S1342" s="95" t="s">
        <v>17</v>
      </c>
      <c r="T1342" s="74" t="s">
        <v>4</v>
      </c>
      <c r="U1342" s="95" t="s">
        <v>14</v>
      </c>
      <c r="V1342" s="95" t="s">
        <v>1921</v>
      </c>
      <c r="W1342" s="95" t="s">
        <v>1922</v>
      </c>
      <c r="X1342" s="95" t="s">
        <v>553</v>
      </c>
      <c r="Y1342" s="72" t="s">
        <v>2930</v>
      </c>
      <c r="Z1342" s="72" t="s">
        <v>4</v>
      </c>
      <c r="AA1342" s="95" t="s">
        <v>553</v>
      </c>
      <c r="AB1342" s="132"/>
      <c r="AC1342" s="132"/>
      <c r="AD1342" s="132"/>
      <c r="AE1342" s="63"/>
      <c r="AF1342" s="63"/>
      <c r="AG1342" s="63"/>
    </row>
    <row r="1343" spans="1:33" ht="17.2" customHeight="1">
      <c r="A1343" s="64" t="str">
        <f>IF(priority(Main[[#This Row],[Comments]])&lt;&gt;0, priority(Main[[#This Row],[Comments]]),"")</f>
        <v/>
      </c>
      <c r="B1343" s="60" t="s">
        <v>4059</v>
      </c>
      <c r="C1343" s="72" t="s">
        <v>4</v>
      </c>
      <c r="D1343" s="59" t="s">
        <v>4060</v>
      </c>
      <c r="E1343" s="85">
        <v>40976.571655092594</v>
      </c>
      <c r="F1343" s="85"/>
      <c r="G1343" s="64" t="str">
        <f>IF(stdProdLT(Main[[#This Row],[Comments]])=0.1,"N/A",IF(stdProdLT(Main[[#This Row],[Comments]])=0,"",TRIM(stdProdLT(Main[[#This Row],[Comments]]))))</f>
        <v/>
      </c>
      <c r="H1343" s="94" t="str">
        <f>IF(OR(Main[[#This Row],[Std. Prod. Lead Time]]="N/A",Main[[#This Row],[Std. Prod. Lead Time]]=""), "",IF(AND(Main[[#This Row],[In Stock Date]]&lt;&gt;"",Main[[#This Row],[Revised Due Date]]&lt;&gt;"",Main[[#This Row],[In Stock Date]]&lt;&gt;""),Main[[#This Row],[In Stock Date]]-Main[[#This Row],[Revised Due Date]],""))</f>
        <v/>
      </c>
      <c r="I1343" s="101" t="s">
        <v>2045</v>
      </c>
      <c r="J1343" s="95" t="s">
        <v>28</v>
      </c>
      <c r="K1343" s="95" t="s">
        <v>1920</v>
      </c>
      <c r="L1343" s="85"/>
      <c r="M1343" s="73" t="str">
        <f>IF(Main[[#This Row],[Tech Start Date]]&lt;1/1/1990,"",IF(Main[[#This Row],[Class]]="C",WORKDAY(Main[[#This Row],[Tech Start Date]],9),IF(Main[[#This Row],[Class]]="B", WORKDAY(Main[[#This Row],[Tech Start Date]],6),IF(Main[[#This Row],[Class]]="A",WORKDAY(Main[[#This Row],[Tech Start Date]],2),""))))</f>
        <v/>
      </c>
      <c r="N1343" s="73" t="str">
        <f>IF(Main[[#This Row],[Tech Start Date]]&lt;1/1/1990,"",IF(Main[[#This Row],[Class]]="C",WORKDAY(Main[[#This Row],[Tech Start Date]],19),IF(Main[[#This Row],[Class]]="B", WORKDAY(Main[[#This Row],[Tech Start Date]],12),IF(Main[[#This Row],[Class]]="A",WORKDAY(Main[[#This Row],[Tech Start Date]],4),""))))</f>
        <v/>
      </c>
      <c r="O1343" s="73" t="str">
        <f>IF(Main[[#This Row],[Tech Start Date]]&lt;1/1/1990,"",IF(Main[[#This Row],[Class]]="C",WORKDAY(Main[[#This Row],[Tech Start Date]],23),IF(Main[[#This Row],[Class]]="B", WORKDAY(Main[[#This Row],[Tech Start Date]],15),IF(Main[[#This Row],[Class]]="A",WORKDAY(Main[[#This Row],[Tech Start Date]],5),""))))</f>
        <v/>
      </c>
      <c r="P1343" s="73" t="str">
        <f>IF(Main[[#This Row],[Tech Start Date]]&lt;1/1/1990,"",IF(Main[[#This Row],[Class]]="C",WORKDAY(Main[[#This Row],[Tech Start Date]],28),IF(Main[[#This Row],[Class]]="B", WORKDAY(Main[[#This Row],[Tech Start Date]],19),IF(Main[[#This Row],[Class]]="A",WORKDAY(Main[[#This Row],[Tech Start Date]],9),""))))</f>
        <v/>
      </c>
      <c r="Q1343" s="85">
        <v>40647</v>
      </c>
      <c r="R1343" s="112"/>
      <c r="S1343" s="95" t="s">
        <v>6</v>
      </c>
      <c r="T1343" s="74" t="s">
        <v>4</v>
      </c>
      <c r="U1343" s="95" t="s">
        <v>29</v>
      </c>
      <c r="V1343" s="95" t="s">
        <v>1914</v>
      </c>
      <c r="W1343" s="95" t="s">
        <v>1915</v>
      </c>
      <c r="X1343" s="95" t="s">
        <v>30</v>
      </c>
      <c r="Y1343" s="72" t="s">
        <v>4061</v>
      </c>
      <c r="Z1343" s="72" t="s">
        <v>2045</v>
      </c>
      <c r="AA1343" s="95" t="s">
        <v>81</v>
      </c>
      <c r="AB1343" s="132"/>
      <c r="AC1343" s="132"/>
      <c r="AD1343" s="132"/>
      <c r="AE1343" s="63"/>
      <c r="AF1343" s="63"/>
      <c r="AG1343" s="63"/>
    </row>
    <row r="1344" spans="1:33" ht="17.2" customHeight="1">
      <c r="A1344" s="64" t="str">
        <f>IF(priority(Main[[#This Row],[Comments]])&lt;&gt;0, priority(Main[[#This Row],[Comments]]),"")</f>
        <v/>
      </c>
      <c r="B1344" s="60" t="s">
        <v>4079</v>
      </c>
      <c r="C1344" s="72" t="s">
        <v>4</v>
      </c>
      <c r="D1344" s="59" t="s">
        <v>4080</v>
      </c>
      <c r="E1344" s="85">
        <v>40976.59951388889</v>
      </c>
      <c r="F1344" s="85"/>
      <c r="G1344" s="64" t="str">
        <f>IF(stdProdLT(Main[[#This Row],[Comments]])=0.1,"N/A",IF(stdProdLT(Main[[#This Row],[Comments]])=0,"",TRIM(stdProdLT(Main[[#This Row],[Comments]]))))</f>
        <v/>
      </c>
      <c r="H1344" s="94" t="str">
        <f>IF(OR(Main[[#This Row],[Std. Prod. Lead Time]]="N/A",Main[[#This Row],[Std. Prod. Lead Time]]=""), "",IF(AND(Main[[#This Row],[In Stock Date]]&lt;&gt;"",Main[[#This Row],[Revised Due Date]]&lt;&gt;"",Main[[#This Row],[In Stock Date]]&lt;&gt;""),Main[[#This Row],[In Stock Date]]-Main[[#This Row],[Revised Due Date]],""))</f>
        <v/>
      </c>
      <c r="I1344" s="101" t="s">
        <v>4</v>
      </c>
      <c r="J1344" s="95" t="s">
        <v>4</v>
      </c>
      <c r="K1344" s="95" t="s">
        <v>4</v>
      </c>
      <c r="L1344" s="85"/>
      <c r="M1344" s="73" t="str">
        <f>IF(Main[[#This Row],[Tech Start Date]]&lt;1/1/1990,"",IF(Main[[#This Row],[Class]]="C",WORKDAY(Main[[#This Row],[Tech Start Date]],9),IF(Main[[#This Row],[Class]]="B", WORKDAY(Main[[#This Row],[Tech Start Date]],6),IF(Main[[#This Row],[Class]]="A",WORKDAY(Main[[#This Row],[Tech Start Date]],2),""))))</f>
        <v/>
      </c>
      <c r="N1344" s="73" t="str">
        <f>IF(Main[[#This Row],[Tech Start Date]]&lt;1/1/1990,"",IF(Main[[#This Row],[Class]]="C",WORKDAY(Main[[#This Row],[Tech Start Date]],19),IF(Main[[#This Row],[Class]]="B", WORKDAY(Main[[#This Row],[Tech Start Date]],12),IF(Main[[#This Row],[Class]]="A",WORKDAY(Main[[#This Row],[Tech Start Date]],4),""))))</f>
        <v/>
      </c>
      <c r="O1344" s="73" t="str">
        <f>IF(Main[[#This Row],[Tech Start Date]]&lt;1/1/1990,"",IF(Main[[#This Row],[Class]]="C",WORKDAY(Main[[#This Row],[Tech Start Date]],23),IF(Main[[#This Row],[Class]]="B", WORKDAY(Main[[#This Row],[Tech Start Date]],15),IF(Main[[#This Row],[Class]]="A",WORKDAY(Main[[#This Row],[Tech Start Date]],5),""))))</f>
        <v/>
      </c>
      <c r="P1344" s="73" t="str">
        <f>IF(Main[[#This Row],[Tech Start Date]]&lt;1/1/1990,"",IF(Main[[#This Row],[Class]]="C",WORKDAY(Main[[#This Row],[Tech Start Date]],28),IF(Main[[#This Row],[Class]]="B", WORKDAY(Main[[#This Row],[Tech Start Date]],19),IF(Main[[#This Row],[Class]]="A",WORKDAY(Main[[#This Row],[Tech Start Date]],9),""))))</f>
        <v/>
      </c>
      <c r="Q1344" s="85">
        <v>40994</v>
      </c>
      <c r="R1344" s="112"/>
      <c r="S1344" s="95" t="s">
        <v>6</v>
      </c>
      <c r="T1344" s="74" t="s">
        <v>4</v>
      </c>
      <c r="U1344" s="95" t="s">
        <v>7</v>
      </c>
      <c r="V1344" s="95" t="s">
        <v>1914</v>
      </c>
      <c r="W1344" s="95" t="s">
        <v>1915</v>
      </c>
      <c r="X1344" s="95" t="s">
        <v>4081</v>
      </c>
      <c r="Y1344" s="72" t="s">
        <v>4082</v>
      </c>
      <c r="Z1344" s="72" t="s">
        <v>4</v>
      </c>
      <c r="AA1344" s="95" t="s">
        <v>4081</v>
      </c>
      <c r="AB1344" s="132"/>
      <c r="AC1344" s="132"/>
      <c r="AD1344" s="132"/>
      <c r="AE1344" s="63"/>
      <c r="AF1344" s="63"/>
      <c r="AG1344" s="63"/>
    </row>
    <row r="1345" spans="1:33" ht="17.2" customHeight="1">
      <c r="A1345" s="64" t="str">
        <f>IF(priority(Main[[#This Row],[Comments]])&lt;&gt;0, priority(Main[[#This Row],[Comments]]),"")</f>
        <v/>
      </c>
      <c r="B1345" s="60" t="s">
        <v>2586</v>
      </c>
      <c r="C1345" s="72" t="s">
        <v>4</v>
      </c>
      <c r="D1345" s="59" t="s">
        <v>2587</v>
      </c>
      <c r="E1345" s="85">
        <v>40877.273229166669</v>
      </c>
      <c r="F1345" s="85"/>
      <c r="G1345" s="64" t="str">
        <f>IF(stdProdLT(Main[[#This Row],[Comments]])=0.1,"N/A",IF(stdProdLT(Main[[#This Row],[Comments]])=0,"",TRIM(stdProdLT(Main[[#This Row],[Comments]]))))</f>
        <v/>
      </c>
      <c r="H1345" s="94" t="str">
        <f>IF(OR(Main[[#This Row],[Std. Prod. Lead Time]]="N/A",Main[[#This Row],[Std. Prod. Lead Time]]=""), "",IF(AND(Main[[#This Row],[In Stock Date]]&lt;&gt;"",Main[[#This Row],[Revised Due Date]]&lt;&gt;"",Main[[#This Row],[In Stock Date]]&lt;&gt;""),Main[[#This Row],[In Stock Date]]-Main[[#This Row],[Revised Due Date]],""))</f>
        <v/>
      </c>
      <c r="I1345" s="101" t="s">
        <v>69</v>
      </c>
      <c r="J1345" s="95" t="s">
        <v>70</v>
      </c>
      <c r="K1345" s="95" t="s">
        <v>1920</v>
      </c>
      <c r="L1345" s="85"/>
      <c r="M1345" s="73" t="str">
        <f>IF(Main[[#This Row],[Tech Start Date]]&lt;1/1/1990,"",IF(Main[[#This Row],[Class]]="C",WORKDAY(Main[[#This Row],[Tech Start Date]],9),IF(Main[[#This Row],[Class]]="B", WORKDAY(Main[[#This Row],[Tech Start Date]],6),IF(Main[[#This Row],[Class]]="A",WORKDAY(Main[[#This Row],[Tech Start Date]],2),""))))</f>
        <v/>
      </c>
      <c r="N1345" s="73" t="str">
        <f>IF(Main[[#This Row],[Tech Start Date]]&lt;1/1/1990,"",IF(Main[[#This Row],[Class]]="C",WORKDAY(Main[[#This Row],[Tech Start Date]],19),IF(Main[[#This Row],[Class]]="B", WORKDAY(Main[[#This Row],[Tech Start Date]],12),IF(Main[[#This Row],[Class]]="A",WORKDAY(Main[[#This Row],[Tech Start Date]],4),""))))</f>
        <v/>
      </c>
      <c r="O1345" s="73" t="str">
        <f>IF(Main[[#This Row],[Tech Start Date]]&lt;1/1/1990,"",IF(Main[[#This Row],[Class]]="C",WORKDAY(Main[[#This Row],[Tech Start Date]],23),IF(Main[[#This Row],[Class]]="B", WORKDAY(Main[[#This Row],[Tech Start Date]],15),IF(Main[[#This Row],[Class]]="A",WORKDAY(Main[[#This Row],[Tech Start Date]],5),""))))</f>
        <v/>
      </c>
      <c r="P1345" s="73" t="str">
        <f>IF(Main[[#This Row],[Tech Start Date]]&lt;1/1/1990,"",IF(Main[[#This Row],[Class]]="C",WORKDAY(Main[[#This Row],[Tech Start Date]],28),IF(Main[[#This Row],[Class]]="B", WORKDAY(Main[[#This Row],[Tech Start Date]],19),IF(Main[[#This Row],[Class]]="A",WORKDAY(Main[[#This Row],[Tech Start Date]],9),""))))</f>
        <v/>
      </c>
      <c r="Q1345" s="85">
        <v>40906</v>
      </c>
      <c r="R1345" s="112"/>
      <c r="S1345" s="95" t="s">
        <v>6</v>
      </c>
      <c r="T1345" s="74" t="s">
        <v>4</v>
      </c>
      <c r="U1345" s="95" t="s">
        <v>29</v>
      </c>
      <c r="V1345" s="95" t="s">
        <v>1914</v>
      </c>
      <c r="W1345" s="95" t="s">
        <v>1915</v>
      </c>
      <c r="X1345" s="95" t="s">
        <v>30</v>
      </c>
      <c r="Y1345" s="72" t="s">
        <v>3117</v>
      </c>
      <c r="Z1345" s="72" t="s">
        <v>30</v>
      </c>
      <c r="AA1345" s="95" t="s">
        <v>3429</v>
      </c>
      <c r="AB1345" s="132"/>
      <c r="AC1345" s="132"/>
      <c r="AD1345" s="132"/>
      <c r="AE1345" s="63"/>
      <c r="AF1345" s="63"/>
      <c r="AG1345" s="63"/>
    </row>
    <row r="1346" spans="1:33" ht="17.2" customHeight="1">
      <c r="A1346" s="64" t="str">
        <f>IF(priority(Main[[#This Row],[Comments]])&lt;&gt;0, priority(Main[[#This Row],[Comments]]),"")</f>
        <v/>
      </c>
      <c r="B1346" s="60" t="s">
        <v>2701</v>
      </c>
      <c r="C1346" s="72" t="s">
        <v>4</v>
      </c>
      <c r="D1346" s="59" t="s">
        <v>3204</v>
      </c>
      <c r="E1346" s="85"/>
      <c r="F1346" s="85"/>
      <c r="G1346" s="64" t="str">
        <f>IF(stdProdLT(Main[[#This Row],[Comments]])=0.1,"N/A",IF(stdProdLT(Main[[#This Row],[Comments]])=0,"",TRIM(stdProdLT(Main[[#This Row],[Comments]]))))</f>
        <v/>
      </c>
      <c r="H1346" s="94" t="str">
        <f>IF(OR(Main[[#This Row],[Std. Prod. Lead Time]]="N/A",Main[[#This Row],[Std. Prod. Lead Time]]=""), "",IF(AND(Main[[#This Row],[In Stock Date]]&lt;&gt;"",Main[[#This Row],[Revised Due Date]]&lt;&gt;"",Main[[#This Row],[In Stock Date]]&lt;&gt;""),Main[[#This Row],[In Stock Date]]-Main[[#This Row],[Revised Due Date]],""))</f>
        <v/>
      </c>
      <c r="I1346" s="101" t="s">
        <v>2202</v>
      </c>
      <c r="J1346" s="95" t="s">
        <v>75</v>
      </c>
      <c r="K1346" s="95" t="s">
        <v>1920</v>
      </c>
      <c r="L1346" s="85"/>
      <c r="M1346" s="73" t="str">
        <f>IF(Main[[#This Row],[Tech Start Date]]&lt;1/1/1990,"",IF(Main[[#This Row],[Class]]="C",WORKDAY(Main[[#This Row],[Tech Start Date]],9),IF(Main[[#This Row],[Class]]="B", WORKDAY(Main[[#This Row],[Tech Start Date]],6),IF(Main[[#This Row],[Class]]="A",WORKDAY(Main[[#This Row],[Tech Start Date]],2),""))))</f>
        <v/>
      </c>
      <c r="N1346" s="73" t="str">
        <f>IF(Main[[#This Row],[Tech Start Date]]&lt;1/1/1990,"",IF(Main[[#This Row],[Class]]="C",WORKDAY(Main[[#This Row],[Tech Start Date]],19),IF(Main[[#This Row],[Class]]="B", WORKDAY(Main[[#This Row],[Tech Start Date]],12),IF(Main[[#This Row],[Class]]="A",WORKDAY(Main[[#This Row],[Tech Start Date]],4),""))))</f>
        <v/>
      </c>
      <c r="O1346" s="73" t="str">
        <f>IF(Main[[#This Row],[Tech Start Date]]&lt;1/1/1990,"",IF(Main[[#This Row],[Class]]="C",WORKDAY(Main[[#This Row],[Tech Start Date]],23),IF(Main[[#This Row],[Class]]="B", WORKDAY(Main[[#This Row],[Tech Start Date]],15),IF(Main[[#This Row],[Class]]="A",WORKDAY(Main[[#This Row],[Tech Start Date]],5),""))))</f>
        <v/>
      </c>
      <c r="P1346" s="73" t="str">
        <f>IF(Main[[#This Row],[Tech Start Date]]&lt;1/1/1990,"",IF(Main[[#This Row],[Class]]="C",WORKDAY(Main[[#This Row],[Tech Start Date]],28),IF(Main[[#This Row],[Class]]="B", WORKDAY(Main[[#This Row],[Tech Start Date]],19),IF(Main[[#This Row],[Class]]="A",WORKDAY(Main[[#This Row],[Tech Start Date]],9),""))))</f>
        <v/>
      </c>
      <c r="Q1346" s="85">
        <v>40939</v>
      </c>
      <c r="R1346" s="112"/>
      <c r="S1346" s="95" t="s">
        <v>6</v>
      </c>
      <c r="T1346" s="74" t="s">
        <v>4</v>
      </c>
      <c r="U1346" s="95" t="s">
        <v>14</v>
      </c>
      <c r="V1346" s="95" t="s">
        <v>1914</v>
      </c>
      <c r="W1346" s="95" t="s">
        <v>1915</v>
      </c>
      <c r="X1346" s="95" t="s">
        <v>2799</v>
      </c>
      <c r="Y1346" s="72" t="s">
        <v>2910</v>
      </c>
      <c r="Z1346" s="72" t="s">
        <v>30</v>
      </c>
      <c r="AA1346" s="95" t="s">
        <v>2799</v>
      </c>
      <c r="AB1346" s="132">
        <v>40927</v>
      </c>
      <c r="AC1346" s="132">
        <v>40927</v>
      </c>
      <c r="AD1346" s="132"/>
      <c r="AE1346" s="63"/>
      <c r="AF1346" s="63"/>
      <c r="AG1346" s="63"/>
    </row>
    <row r="1347" spans="1:33" ht="17.2" customHeight="1">
      <c r="A1347" s="64" t="str">
        <f>IF(priority(Main[[#This Row],[Comments]])&lt;&gt;0, priority(Main[[#This Row],[Comments]]),"")</f>
        <v/>
      </c>
      <c r="B1347" s="60" t="s">
        <v>3261</v>
      </c>
      <c r="C1347" s="72" t="s">
        <v>4</v>
      </c>
      <c r="D1347" s="59" t="s">
        <v>3262</v>
      </c>
      <c r="E1347" s="85"/>
      <c r="F1347" s="85"/>
      <c r="G1347" s="64" t="str">
        <f>IF(stdProdLT(Main[[#This Row],[Comments]])=0.1,"N/A",IF(stdProdLT(Main[[#This Row],[Comments]])=0,"",TRIM(stdProdLT(Main[[#This Row],[Comments]]))))</f>
        <v/>
      </c>
      <c r="H1347" s="94" t="str">
        <f>IF(OR(Main[[#This Row],[Std. Prod. Lead Time]]="N/A",Main[[#This Row],[Std. Prod. Lead Time]]=""), "",IF(AND(Main[[#This Row],[In Stock Date]]&lt;&gt;"",Main[[#This Row],[Revised Due Date]]&lt;&gt;"",Main[[#This Row],[In Stock Date]]&lt;&gt;""),Main[[#This Row],[In Stock Date]]-Main[[#This Row],[Revised Due Date]],""))</f>
        <v/>
      </c>
      <c r="I1347" s="101" t="s">
        <v>4</v>
      </c>
      <c r="J1347" s="95" t="s">
        <v>4</v>
      </c>
      <c r="K1347" s="95" t="s">
        <v>4</v>
      </c>
      <c r="L1347" s="85"/>
      <c r="M1347" s="73" t="str">
        <f>IF(Main[[#This Row],[Tech Start Date]]&lt;1/1/1990,"",IF(Main[[#This Row],[Class]]="C",WORKDAY(Main[[#This Row],[Tech Start Date]],9),IF(Main[[#This Row],[Class]]="B", WORKDAY(Main[[#This Row],[Tech Start Date]],6),IF(Main[[#This Row],[Class]]="A",WORKDAY(Main[[#This Row],[Tech Start Date]],2),""))))</f>
        <v/>
      </c>
      <c r="N1347" s="73" t="str">
        <f>IF(Main[[#This Row],[Tech Start Date]]&lt;1/1/1990,"",IF(Main[[#This Row],[Class]]="C",WORKDAY(Main[[#This Row],[Tech Start Date]],19),IF(Main[[#This Row],[Class]]="B", WORKDAY(Main[[#This Row],[Tech Start Date]],12),IF(Main[[#This Row],[Class]]="A",WORKDAY(Main[[#This Row],[Tech Start Date]],4),""))))</f>
        <v/>
      </c>
      <c r="O1347" s="73" t="str">
        <f>IF(Main[[#This Row],[Tech Start Date]]&lt;1/1/1990,"",IF(Main[[#This Row],[Class]]="C",WORKDAY(Main[[#This Row],[Tech Start Date]],23),IF(Main[[#This Row],[Class]]="B", WORKDAY(Main[[#This Row],[Tech Start Date]],15),IF(Main[[#This Row],[Class]]="A",WORKDAY(Main[[#This Row],[Tech Start Date]],5),""))))</f>
        <v/>
      </c>
      <c r="P1347" s="73" t="str">
        <f>IF(Main[[#This Row],[Tech Start Date]]&lt;1/1/1990,"",IF(Main[[#This Row],[Class]]="C",WORKDAY(Main[[#This Row],[Tech Start Date]],28),IF(Main[[#This Row],[Class]]="B", WORKDAY(Main[[#This Row],[Tech Start Date]],19),IF(Main[[#This Row],[Class]]="A",WORKDAY(Main[[#This Row],[Tech Start Date]],9),""))))</f>
        <v/>
      </c>
      <c r="Q1347" s="85">
        <v>40969</v>
      </c>
      <c r="R1347" s="112"/>
      <c r="S1347" s="95" t="s">
        <v>11</v>
      </c>
      <c r="T1347" s="74" t="s">
        <v>4</v>
      </c>
      <c r="U1347" s="95" t="s">
        <v>14</v>
      </c>
      <c r="V1347" s="95" t="s">
        <v>1914</v>
      </c>
      <c r="W1347" s="95" t="s">
        <v>1916</v>
      </c>
      <c r="X1347" s="95" t="s">
        <v>553</v>
      </c>
      <c r="Y1347" s="72" t="s">
        <v>2930</v>
      </c>
      <c r="Z1347" s="72" t="s">
        <v>4</v>
      </c>
      <c r="AA1347" s="95" t="s">
        <v>553</v>
      </c>
      <c r="AB1347" s="132"/>
      <c r="AC1347" s="132"/>
      <c r="AD1347" s="132"/>
      <c r="AE1347" s="63"/>
      <c r="AF1347" s="63"/>
      <c r="AG1347" s="63"/>
    </row>
    <row r="1348" spans="1:33" ht="17.2" customHeight="1">
      <c r="A1348" s="64" t="str">
        <f>IF(priority(Main[[#This Row],[Comments]])&lt;&gt;0, priority(Main[[#This Row],[Comments]]),"")</f>
        <v/>
      </c>
      <c r="B1348" s="60" t="s">
        <v>1477</v>
      </c>
      <c r="C1348" s="72" t="s">
        <v>4</v>
      </c>
      <c r="D1348" s="59" t="s">
        <v>358</v>
      </c>
      <c r="E1348" s="85">
        <v>40926.591666666667</v>
      </c>
      <c r="F1348" s="85"/>
      <c r="G1348" s="64" t="str">
        <f>IF(stdProdLT(Main[[#This Row],[Comments]])=0.1,"N/A",IF(stdProdLT(Main[[#This Row],[Comments]])=0,"",TRIM(stdProdLT(Main[[#This Row],[Comments]]))))</f>
        <v/>
      </c>
      <c r="H1348" s="94" t="str">
        <f>IF(OR(Main[[#This Row],[Std. Prod. Lead Time]]="N/A",Main[[#This Row],[Std. Prod. Lead Time]]=""), "",IF(AND(Main[[#This Row],[In Stock Date]]&lt;&gt;"",Main[[#This Row],[Revised Due Date]]&lt;&gt;"",Main[[#This Row],[In Stock Date]]&lt;&gt;""),Main[[#This Row],[In Stock Date]]-Main[[#This Row],[Revised Due Date]],""))</f>
        <v/>
      </c>
      <c r="I1348" s="101" t="s">
        <v>530</v>
      </c>
      <c r="J1348" s="95" t="s">
        <v>28</v>
      </c>
      <c r="K1348" s="95" t="s">
        <v>1920</v>
      </c>
      <c r="L1348" s="85"/>
      <c r="M1348" s="73" t="str">
        <f>IF(Main[[#This Row],[Tech Start Date]]&lt;1/1/1990,"",IF(Main[[#This Row],[Class]]="C",WORKDAY(Main[[#This Row],[Tech Start Date]],9),IF(Main[[#This Row],[Class]]="B", WORKDAY(Main[[#This Row],[Tech Start Date]],6),IF(Main[[#This Row],[Class]]="A",WORKDAY(Main[[#This Row],[Tech Start Date]],2),""))))</f>
        <v/>
      </c>
      <c r="N1348" s="73" t="str">
        <f>IF(Main[[#This Row],[Tech Start Date]]&lt;1/1/1990,"",IF(Main[[#This Row],[Class]]="C",WORKDAY(Main[[#This Row],[Tech Start Date]],19),IF(Main[[#This Row],[Class]]="B", WORKDAY(Main[[#This Row],[Tech Start Date]],12),IF(Main[[#This Row],[Class]]="A",WORKDAY(Main[[#This Row],[Tech Start Date]],4),""))))</f>
        <v/>
      </c>
      <c r="O1348" s="73" t="str">
        <f>IF(Main[[#This Row],[Tech Start Date]]&lt;1/1/1990,"",IF(Main[[#This Row],[Class]]="C",WORKDAY(Main[[#This Row],[Tech Start Date]],23),IF(Main[[#This Row],[Class]]="B", WORKDAY(Main[[#This Row],[Tech Start Date]],15),IF(Main[[#This Row],[Class]]="A",WORKDAY(Main[[#This Row],[Tech Start Date]],5),""))))</f>
        <v/>
      </c>
      <c r="P1348" s="73" t="str">
        <f>IF(Main[[#This Row],[Tech Start Date]]&lt;1/1/1990,"",IF(Main[[#This Row],[Class]]="C",WORKDAY(Main[[#This Row],[Tech Start Date]],28),IF(Main[[#This Row],[Class]]="B", WORKDAY(Main[[#This Row],[Tech Start Date]],19),IF(Main[[#This Row],[Class]]="A",WORKDAY(Main[[#This Row],[Tech Start Date]],9),""))))</f>
        <v/>
      </c>
      <c r="Q1348" s="85">
        <v>40746</v>
      </c>
      <c r="R1348" s="112"/>
      <c r="S1348" s="95" t="s">
        <v>6</v>
      </c>
      <c r="T1348" s="74" t="s">
        <v>4</v>
      </c>
      <c r="U1348" s="95" t="s">
        <v>29</v>
      </c>
      <c r="V1348" s="95" t="s">
        <v>1914</v>
      </c>
      <c r="W1348" s="95" t="s">
        <v>1915</v>
      </c>
      <c r="X1348" s="95" t="s">
        <v>2799</v>
      </c>
      <c r="Y1348" s="72" t="s">
        <v>2910</v>
      </c>
      <c r="Z1348" s="72" t="s">
        <v>30</v>
      </c>
      <c r="AA1348" s="95" t="s">
        <v>2799</v>
      </c>
      <c r="AB1348" s="132"/>
      <c r="AC1348" s="132"/>
      <c r="AD1348" s="132"/>
      <c r="AE1348" s="63"/>
      <c r="AF1348" s="63"/>
      <c r="AG1348" s="63"/>
    </row>
    <row r="1349" spans="1:33" ht="17.2" customHeight="1">
      <c r="A1349" s="64" t="str">
        <f>IF(priority(Main[[#This Row],[Comments]])&lt;&gt;0, priority(Main[[#This Row],[Comments]]),"")</f>
        <v/>
      </c>
      <c r="B1349" s="60" t="s">
        <v>2789</v>
      </c>
      <c r="C1349" s="72" t="s">
        <v>4</v>
      </c>
      <c r="D1349" s="59" t="s">
        <v>2790</v>
      </c>
      <c r="E1349" s="85">
        <v>40918.365578703706</v>
      </c>
      <c r="F1349" s="85"/>
      <c r="G1349" s="64" t="str">
        <f>IF(stdProdLT(Main[[#This Row],[Comments]])=0.1,"N/A",IF(stdProdLT(Main[[#This Row],[Comments]])=0,"",TRIM(stdProdLT(Main[[#This Row],[Comments]]))))</f>
        <v/>
      </c>
      <c r="H1349" s="94" t="str">
        <f>IF(OR(Main[[#This Row],[Std. Prod. Lead Time]]="N/A",Main[[#This Row],[Std. Prod. Lead Time]]=""), "",IF(AND(Main[[#This Row],[In Stock Date]]&lt;&gt;"",Main[[#This Row],[Revised Due Date]]&lt;&gt;"",Main[[#This Row],[In Stock Date]]&lt;&gt;""),Main[[#This Row],[In Stock Date]]-Main[[#This Row],[Revised Due Date]],""))</f>
        <v/>
      </c>
      <c r="I1349" s="101" t="s">
        <v>4</v>
      </c>
      <c r="J1349" s="95" t="s">
        <v>4</v>
      </c>
      <c r="K1349" s="95" t="s">
        <v>4</v>
      </c>
      <c r="L1349" s="85"/>
      <c r="M1349" s="73" t="str">
        <f>IF(Main[[#This Row],[Tech Start Date]]&lt;1/1/1990,"",IF(Main[[#This Row],[Class]]="C",WORKDAY(Main[[#This Row],[Tech Start Date]],9),IF(Main[[#This Row],[Class]]="B", WORKDAY(Main[[#This Row],[Tech Start Date]],6),IF(Main[[#This Row],[Class]]="A",WORKDAY(Main[[#This Row],[Tech Start Date]],2),""))))</f>
        <v/>
      </c>
      <c r="N1349" s="73" t="str">
        <f>IF(Main[[#This Row],[Tech Start Date]]&lt;1/1/1990,"",IF(Main[[#This Row],[Class]]="C",WORKDAY(Main[[#This Row],[Tech Start Date]],19),IF(Main[[#This Row],[Class]]="B", WORKDAY(Main[[#This Row],[Tech Start Date]],12),IF(Main[[#This Row],[Class]]="A",WORKDAY(Main[[#This Row],[Tech Start Date]],4),""))))</f>
        <v/>
      </c>
      <c r="O1349" s="73" t="str">
        <f>IF(Main[[#This Row],[Tech Start Date]]&lt;1/1/1990,"",IF(Main[[#This Row],[Class]]="C",WORKDAY(Main[[#This Row],[Tech Start Date]],23),IF(Main[[#This Row],[Class]]="B", WORKDAY(Main[[#This Row],[Tech Start Date]],15),IF(Main[[#This Row],[Class]]="A",WORKDAY(Main[[#This Row],[Tech Start Date]],5),""))))</f>
        <v/>
      </c>
      <c r="P1349" s="73" t="str">
        <f>IF(Main[[#This Row],[Tech Start Date]]&lt;1/1/1990,"",IF(Main[[#This Row],[Class]]="C",WORKDAY(Main[[#This Row],[Tech Start Date]],28),IF(Main[[#This Row],[Class]]="B", WORKDAY(Main[[#This Row],[Tech Start Date]],19),IF(Main[[#This Row],[Class]]="A",WORKDAY(Main[[#This Row],[Tech Start Date]],9),""))))</f>
        <v/>
      </c>
      <c r="Q1349" s="85">
        <v>40925</v>
      </c>
      <c r="R1349" s="112"/>
      <c r="S1349" s="95" t="s">
        <v>6</v>
      </c>
      <c r="T1349" s="74" t="s">
        <v>4</v>
      </c>
      <c r="U1349" s="95" t="s">
        <v>7</v>
      </c>
      <c r="V1349" s="95" t="s">
        <v>1911</v>
      </c>
      <c r="W1349" s="95" t="s">
        <v>4</v>
      </c>
      <c r="X1349" s="95" t="s">
        <v>2799</v>
      </c>
      <c r="Y1349" s="72" t="s">
        <v>2910</v>
      </c>
      <c r="Z1349" s="72" t="s">
        <v>4</v>
      </c>
      <c r="AA1349" s="95" t="s">
        <v>2799</v>
      </c>
      <c r="AB1349" s="132"/>
      <c r="AC1349" s="132"/>
      <c r="AD1349" s="132"/>
      <c r="AE1349" s="63"/>
      <c r="AF1349" s="63"/>
      <c r="AG1349" s="63"/>
    </row>
    <row r="1350" spans="1:33" ht="17.2" customHeight="1">
      <c r="A1350" s="64" t="str">
        <f>IF(priority(Main[[#This Row],[Comments]])&lt;&gt;0, priority(Main[[#This Row],[Comments]]),"")</f>
        <v/>
      </c>
      <c r="B1350" s="60" t="s">
        <v>3162</v>
      </c>
      <c r="C1350" s="72" t="s">
        <v>31</v>
      </c>
      <c r="D1350" s="59" t="s">
        <v>3163</v>
      </c>
      <c r="E1350" s="85"/>
      <c r="F1350" s="85">
        <v>41122</v>
      </c>
      <c r="G1350" s="64" t="str">
        <f>IF(stdProdLT(Main[[#This Row],[Comments]])=0.1,"N/A",IF(stdProdLT(Main[[#This Row],[Comments]])=0,"",TRIM(stdProdLT(Main[[#This Row],[Comments]]))))</f>
        <v/>
      </c>
      <c r="H1350" s="94" t="str">
        <f>IF(OR(Main[[#This Row],[Std. Prod. Lead Time]]="N/A",Main[[#This Row],[Std. Prod. Lead Time]]=""), "",IF(AND(Main[[#This Row],[In Stock Date]]&lt;&gt;"",Main[[#This Row],[Revised Due Date]]&lt;&gt;"",Main[[#This Row],[In Stock Date]]&lt;&gt;""),Main[[#This Row],[In Stock Date]]-Main[[#This Row],[Revised Due Date]],""))</f>
        <v/>
      </c>
      <c r="I1350" s="101" t="s">
        <v>4</v>
      </c>
      <c r="J1350" s="95" t="s">
        <v>4</v>
      </c>
      <c r="K1350" s="95" t="s">
        <v>4</v>
      </c>
      <c r="L1350" s="85"/>
      <c r="M1350" s="73" t="str">
        <f>IF(Main[[#This Row],[Tech Start Date]]&lt;1/1/1990,"",IF(Main[[#This Row],[Class]]="C",WORKDAY(Main[[#This Row],[Tech Start Date]],9),IF(Main[[#This Row],[Class]]="B", WORKDAY(Main[[#This Row],[Tech Start Date]],6),IF(Main[[#This Row],[Class]]="A",WORKDAY(Main[[#This Row],[Tech Start Date]],2),""))))</f>
        <v/>
      </c>
      <c r="N1350" s="73" t="str">
        <f>IF(Main[[#This Row],[Tech Start Date]]&lt;1/1/1990,"",IF(Main[[#This Row],[Class]]="C",WORKDAY(Main[[#This Row],[Tech Start Date]],19),IF(Main[[#This Row],[Class]]="B", WORKDAY(Main[[#This Row],[Tech Start Date]],12),IF(Main[[#This Row],[Class]]="A",WORKDAY(Main[[#This Row],[Tech Start Date]],4),""))))</f>
        <v/>
      </c>
      <c r="O1350" s="73" t="str">
        <f>IF(Main[[#This Row],[Tech Start Date]]&lt;1/1/1990,"",IF(Main[[#This Row],[Class]]="C",WORKDAY(Main[[#This Row],[Tech Start Date]],23),IF(Main[[#This Row],[Class]]="B", WORKDAY(Main[[#This Row],[Tech Start Date]],15),IF(Main[[#This Row],[Class]]="A",WORKDAY(Main[[#This Row],[Tech Start Date]],5),""))))</f>
        <v/>
      </c>
      <c r="P1350" s="73" t="str">
        <f>IF(Main[[#This Row],[Tech Start Date]]&lt;1/1/1990,"",IF(Main[[#This Row],[Class]]="C",WORKDAY(Main[[#This Row],[Tech Start Date]],28),IF(Main[[#This Row],[Class]]="B", WORKDAY(Main[[#This Row],[Tech Start Date]],19),IF(Main[[#This Row],[Class]]="A",WORKDAY(Main[[#This Row],[Tech Start Date]],9),""))))</f>
        <v/>
      </c>
      <c r="Q1350" s="85">
        <v>40940</v>
      </c>
      <c r="R1350" s="112"/>
      <c r="S1350" s="95" t="s">
        <v>11</v>
      </c>
      <c r="T1350" s="74" t="s">
        <v>4</v>
      </c>
      <c r="U1350" s="95" t="s">
        <v>12</v>
      </c>
      <c r="V1350" s="95" t="s">
        <v>1914</v>
      </c>
      <c r="W1350" s="95" t="s">
        <v>1922</v>
      </c>
      <c r="X1350" s="95" t="s">
        <v>2826</v>
      </c>
      <c r="Y1350" s="72" t="s">
        <v>4</v>
      </c>
      <c r="Z1350" s="72" t="s">
        <v>4</v>
      </c>
      <c r="AA1350" s="95" t="s">
        <v>2826</v>
      </c>
      <c r="AB1350" s="132"/>
      <c r="AC1350" s="132"/>
      <c r="AD1350" s="132"/>
      <c r="AE1350" s="63"/>
      <c r="AF1350" s="63"/>
      <c r="AG1350" s="63"/>
    </row>
    <row r="1351" spans="1:33" ht="17.2" customHeight="1">
      <c r="A1351" s="64" t="str">
        <f>IF(priority(Main[[#This Row],[Comments]])&lt;&gt;0, priority(Main[[#This Row],[Comments]]),"")</f>
        <v/>
      </c>
      <c r="B1351" s="60" t="s">
        <v>3181</v>
      </c>
      <c r="C1351" s="72" t="s">
        <v>4</v>
      </c>
      <c r="D1351" s="59" t="s">
        <v>3327</v>
      </c>
      <c r="E1351" s="85">
        <v>40921.54005787037</v>
      </c>
      <c r="F1351" s="85"/>
      <c r="G1351" s="64" t="str">
        <f>IF(stdProdLT(Main[[#This Row],[Comments]])=0.1,"N/A",IF(stdProdLT(Main[[#This Row],[Comments]])=0,"",TRIM(stdProdLT(Main[[#This Row],[Comments]]))))</f>
        <v/>
      </c>
      <c r="H1351" s="94" t="str">
        <f>IF(OR(Main[[#This Row],[Std. Prod. Lead Time]]="N/A",Main[[#This Row],[Std. Prod. Lead Time]]=""), "",IF(AND(Main[[#This Row],[In Stock Date]]&lt;&gt;"",Main[[#This Row],[Revised Due Date]]&lt;&gt;"",Main[[#This Row],[In Stock Date]]&lt;&gt;""),Main[[#This Row],[In Stock Date]]-Main[[#This Row],[Revised Due Date]],""))</f>
        <v/>
      </c>
      <c r="I1351" s="101" t="s">
        <v>912</v>
      </c>
      <c r="J1351" s="95" t="s">
        <v>52</v>
      </c>
      <c r="K1351" s="95" t="s">
        <v>4</v>
      </c>
      <c r="L1351" s="85"/>
      <c r="M1351" s="73" t="str">
        <f>IF(Main[[#This Row],[Tech Start Date]]&lt;1/1/1990,"",IF(Main[[#This Row],[Class]]="C",WORKDAY(Main[[#This Row],[Tech Start Date]],9),IF(Main[[#This Row],[Class]]="B", WORKDAY(Main[[#This Row],[Tech Start Date]],6),IF(Main[[#This Row],[Class]]="A",WORKDAY(Main[[#This Row],[Tech Start Date]],2),""))))</f>
        <v/>
      </c>
      <c r="N1351" s="73" t="str">
        <f>IF(Main[[#This Row],[Tech Start Date]]&lt;1/1/1990,"",IF(Main[[#This Row],[Class]]="C",WORKDAY(Main[[#This Row],[Tech Start Date]],19),IF(Main[[#This Row],[Class]]="B", WORKDAY(Main[[#This Row],[Tech Start Date]],12),IF(Main[[#This Row],[Class]]="A",WORKDAY(Main[[#This Row],[Tech Start Date]],4),""))))</f>
        <v/>
      </c>
      <c r="O1351" s="73" t="str">
        <f>IF(Main[[#This Row],[Tech Start Date]]&lt;1/1/1990,"",IF(Main[[#This Row],[Class]]="C",WORKDAY(Main[[#This Row],[Tech Start Date]],23),IF(Main[[#This Row],[Class]]="B", WORKDAY(Main[[#This Row],[Tech Start Date]],15),IF(Main[[#This Row],[Class]]="A",WORKDAY(Main[[#This Row],[Tech Start Date]],5),""))))</f>
        <v/>
      </c>
      <c r="P1351" s="73" t="str">
        <f>IF(Main[[#This Row],[Tech Start Date]]&lt;1/1/1990,"",IF(Main[[#This Row],[Class]]="C",WORKDAY(Main[[#This Row],[Tech Start Date]],28),IF(Main[[#This Row],[Class]]="B", WORKDAY(Main[[#This Row],[Tech Start Date]],19),IF(Main[[#This Row],[Class]]="A",WORKDAY(Main[[#This Row],[Tech Start Date]],9),""))))</f>
        <v/>
      </c>
      <c r="Q1351" s="85"/>
      <c r="R1351" s="112"/>
      <c r="S1351" s="95" t="s">
        <v>6</v>
      </c>
      <c r="T1351" s="74" t="s">
        <v>4</v>
      </c>
      <c r="U1351" s="95" t="s">
        <v>29</v>
      </c>
      <c r="V1351" s="95" t="s">
        <v>1911</v>
      </c>
      <c r="W1351" s="95" t="s">
        <v>1915</v>
      </c>
      <c r="X1351" s="95" t="s">
        <v>937</v>
      </c>
      <c r="Y1351" s="72" t="s">
        <v>2962</v>
      </c>
      <c r="Z1351" s="72" t="s">
        <v>4</v>
      </c>
      <c r="AA1351" s="95" t="s">
        <v>937</v>
      </c>
      <c r="AB1351" s="132"/>
      <c r="AC1351" s="132"/>
      <c r="AD1351" s="132"/>
      <c r="AE1351" s="63"/>
      <c r="AF1351" s="63"/>
      <c r="AG1351" s="63"/>
    </row>
    <row r="1352" spans="1:33" ht="17.2" customHeight="1">
      <c r="A1352" s="64" t="str">
        <f>IF(priority(Main[[#This Row],[Comments]])&lt;&gt;0, priority(Main[[#This Row],[Comments]]),"")</f>
        <v/>
      </c>
      <c r="B1352" s="60" t="s">
        <v>3677</v>
      </c>
      <c r="C1352" s="72" t="s">
        <v>47</v>
      </c>
      <c r="D1352" s="59" t="s">
        <v>3678</v>
      </c>
      <c r="E1352" s="85">
        <v>40961.495104166665</v>
      </c>
      <c r="F1352" s="85"/>
      <c r="G1352" s="64" t="str">
        <f>IF(stdProdLT(Main[[#This Row],[Comments]])=0.1,"N/A",IF(stdProdLT(Main[[#This Row],[Comments]])=0,"",TRIM(stdProdLT(Main[[#This Row],[Comments]]))))</f>
        <v/>
      </c>
      <c r="H1352" s="94" t="str">
        <f>IF(OR(Main[[#This Row],[Std. Prod. Lead Time]]="N/A",Main[[#This Row],[Std. Prod. Lead Time]]=""), "",IF(AND(Main[[#This Row],[In Stock Date]]&lt;&gt;"",Main[[#This Row],[Revised Due Date]]&lt;&gt;"",Main[[#This Row],[In Stock Date]]&lt;&gt;""),Main[[#This Row],[In Stock Date]]-Main[[#This Row],[Revised Due Date]],""))</f>
        <v/>
      </c>
      <c r="I1352" s="101" t="s">
        <v>4</v>
      </c>
      <c r="J1352" s="95" t="s">
        <v>4</v>
      </c>
      <c r="K1352" s="95" t="s">
        <v>4</v>
      </c>
      <c r="L1352" s="85"/>
      <c r="M1352" s="73" t="str">
        <f>IF(Main[[#This Row],[Tech Start Date]]&lt;1/1/1990,"",IF(Main[[#This Row],[Class]]="C",WORKDAY(Main[[#This Row],[Tech Start Date]],9),IF(Main[[#This Row],[Class]]="B", WORKDAY(Main[[#This Row],[Tech Start Date]],6),IF(Main[[#This Row],[Class]]="A",WORKDAY(Main[[#This Row],[Tech Start Date]],2),""))))</f>
        <v/>
      </c>
      <c r="N1352" s="73" t="str">
        <f>IF(Main[[#This Row],[Tech Start Date]]&lt;1/1/1990,"",IF(Main[[#This Row],[Class]]="C",WORKDAY(Main[[#This Row],[Tech Start Date]],19),IF(Main[[#This Row],[Class]]="B", WORKDAY(Main[[#This Row],[Tech Start Date]],12),IF(Main[[#This Row],[Class]]="A",WORKDAY(Main[[#This Row],[Tech Start Date]],4),""))))</f>
        <v/>
      </c>
      <c r="O1352" s="73" t="str">
        <f>IF(Main[[#This Row],[Tech Start Date]]&lt;1/1/1990,"",IF(Main[[#This Row],[Class]]="C",WORKDAY(Main[[#This Row],[Tech Start Date]],23),IF(Main[[#This Row],[Class]]="B", WORKDAY(Main[[#This Row],[Tech Start Date]],15),IF(Main[[#This Row],[Class]]="A",WORKDAY(Main[[#This Row],[Tech Start Date]],5),""))))</f>
        <v/>
      </c>
      <c r="P1352" s="73" t="str">
        <f>IF(Main[[#This Row],[Tech Start Date]]&lt;1/1/1990,"",IF(Main[[#This Row],[Class]]="C",WORKDAY(Main[[#This Row],[Tech Start Date]],28),IF(Main[[#This Row],[Class]]="B", WORKDAY(Main[[#This Row],[Tech Start Date]],19),IF(Main[[#This Row],[Class]]="A",WORKDAY(Main[[#This Row],[Tech Start Date]],9),""))))</f>
        <v/>
      </c>
      <c r="Q1352" s="85"/>
      <c r="R1352" s="112"/>
      <c r="S1352" s="95" t="s">
        <v>6</v>
      </c>
      <c r="T1352" s="74" t="s">
        <v>4</v>
      </c>
      <c r="U1352" s="95" t="s">
        <v>29</v>
      </c>
      <c r="V1352" s="95" t="s">
        <v>2277</v>
      </c>
      <c r="W1352" s="95" t="s">
        <v>1915</v>
      </c>
      <c r="X1352" s="95" t="s">
        <v>2821</v>
      </c>
      <c r="Y1352" s="72" t="s">
        <v>2949</v>
      </c>
      <c r="Z1352" s="72" t="s">
        <v>4</v>
      </c>
      <c r="AA1352" s="95" t="s">
        <v>2821</v>
      </c>
      <c r="AB1352" s="132"/>
      <c r="AC1352" s="132"/>
      <c r="AD1352" s="132"/>
      <c r="AE1352" s="63"/>
      <c r="AF1352" s="63"/>
      <c r="AG1352" s="63"/>
    </row>
    <row r="1353" spans="1:33" ht="17.2" customHeight="1">
      <c r="A1353" s="64" t="str">
        <f>IF(priority(Main[[#This Row],[Comments]])&lt;&gt;0, priority(Main[[#This Row],[Comments]]),"")</f>
        <v/>
      </c>
      <c r="B1353" s="60" t="s">
        <v>2294</v>
      </c>
      <c r="C1353" s="72" t="s">
        <v>4</v>
      </c>
      <c r="D1353" s="59" t="s">
        <v>2580</v>
      </c>
      <c r="E1353" s="85">
        <v>40820.42082175926</v>
      </c>
      <c r="F1353" s="85"/>
      <c r="G1353" s="64" t="str">
        <f>IF(stdProdLT(Main[[#This Row],[Comments]])=0.1,"N/A",IF(stdProdLT(Main[[#This Row],[Comments]])=0,"",TRIM(stdProdLT(Main[[#This Row],[Comments]]))))</f>
        <v/>
      </c>
      <c r="H1353" s="94" t="str">
        <f>IF(OR(Main[[#This Row],[Std. Prod. Lead Time]]="N/A",Main[[#This Row],[Std. Prod. Lead Time]]=""), "",IF(AND(Main[[#This Row],[In Stock Date]]&lt;&gt;"",Main[[#This Row],[Revised Due Date]]&lt;&gt;"",Main[[#This Row],[In Stock Date]]&lt;&gt;""),Main[[#This Row],[In Stock Date]]-Main[[#This Row],[Revised Due Date]],""))</f>
        <v/>
      </c>
      <c r="I1353" s="101" t="s">
        <v>561</v>
      </c>
      <c r="J1353" s="95" t="s">
        <v>21</v>
      </c>
      <c r="K1353" s="95" t="s">
        <v>4</v>
      </c>
      <c r="L1353" s="85"/>
      <c r="M1353" s="73" t="str">
        <f>IF(Main[[#This Row],[Tech Start Date]]&lt;1/1/1990,"",IF(Main[[#This Row],[Class]]="C",WORKDAY(Main[[#This Row],[Tech Start Date]],9),IF(Main[[#This Row],[Class]]="B", WORKDAY(Main[[#This Row],[Tech Start Date]],6),IF(Main[[#This Row],[Class]]="A",WORKDAY(Main[[#This Row],[Tech Start Date]],2),""))))</f>
        <v/>
      </c>
      <c r="N1353" s="73" t="str">
        <f>IF(Main[[#This Row],[Tech Start Date]]&lt;1/1/1990,"",IF(Main[[#This Row],[Class]]="C",WORKDAY(Main[[#This Row],[Tech Start Date]],19),IF(Main[[#This Row],[Class]]="B", WORKDAY(Main[[#This Row],[Tech Start Date]],12),IF(Main[[#This Row],[Class]]="A",WORKDAY(Main[[#This Row],[Tech Start Date]],4),""))))</f>
        <v/>
      </c>
      <c r="O1353" s="73" t="str">
        <f>IF(Main[[#This Row],[Tech Start Date]]&lt;1/1/1990,"",IF(Main[[#This Row],[Class]]="C",WORKDAY(Main[[#This Row],[Tech Start Date]],23),IF(Main[[#This Row],[Class]]="B", WORKDAY(Main[[#This Row],[Tech Start Date]],15),IF(Main[[#This Row],[Class]]="A",WORKDAY(Main[[#This Row],[Tech Start Date]],5),""))))</f>
        <v/>
      </c>
      <c r="P1353" s="73" t="str">
        <f>IF(Main[[#This Row],[Tech Start Date]]&lt;1/1/1990,"",IF(Main[[#This Row],[Class]]="C",WORKDAY(Main[[#This Row],[Tech Start Date]],28),IF(Main[[#This Row],[Class]]="B", WORKDAY(Main[[#This Row],[Tech Start Date]],19),IF(Main[[#This Row],[Class]]="A",WORKDAY(Main[[#This Row],[Tech Start Date]],9),""))))</f>
        <v/>
      </c>
      <c r="Q1353" s="85"/>
      <c r="R1353" s="112">
        <v>40840</v>
      </c>
      <c r="S1353" s="95" t="s">
        <v>6</v>
      </c>
      <c r="T1353" s="74" t="s">
        <v>4</v>
      </c>
      <c r="U1353" s="95" t="s">
        <v>29</v>
      </c>
      <c r="V1353" s="95" t="s">
        <v>1911</v>
      </c>
      <c r="W1353" s="95" t="s">
        <v>1919</v>
      </c>
      <c r="X1353" s="95" t="s">
        <v>50</v>
      </c>
      <c r="Y1353" s="72" t="s">
        <v>2937</v>
      </c>
      <c r="Z1353" s="72" t="s">
        <v>4</v>
      </c>
      <c r="AA1353" s="95" t="s">
        <v>2808</v>
      </c>
      <c r="AB1353" s="132"/>
      <c r="AC1353" s="132"/>
      <c r="AD1353" s="132"/>
      <c r="AE1353" s="63"/>
      <c r="AF1353" s="63"/>
      <c r="AG1353" s="63"/>
    </row>
    <row r="1354" spans="1:33" ht="17.2" customHeight="1">
      <c r="A1354" s="64" t="str">
        <f>IF(priority(Main[[#This Row],[Comments]])&lt;&gt;0, priority(Main[[#This Row],[Comments]]),"")</f>
        <v/>
      </c>
      <c r="B1354" s="60" t="s">
        <v>3506</v>
      </c>
      <c r="C1354" s="72" t="s">
        <v>4</v>
      </c>
      <c r="D1354" s="59" t="s">
        <v>3507</v>
      </c>
      <c r="E1354" s="85">
        <v>40945.679675925923</v>
      </c>
      <c r="F1354" s="85"/>
      <c r="G1354" s="64" t="str">
        <f>IF(stdProdLT(Main[[#This Row],[Comments]])=0.1,"N/A",IF(stdProdLT(Main[[#This Row],[Comments]])=0,"",TRIM(stdProdLT(Main[[#This Row],[Comments]]))))</f>
        <v/>
      </c>
      <c r="H1354" s="94" t="str">
        <f>IF(OR(Main[[#This Row],[Std. Prod. Lead Time]]="N/A",Main[[#This Row],[Std. Prod. Lead Time]]=""), "",IF(AND(Main[[#This Row],[In Stock Date]]&lt;&gt;"",Main[[#This Row],[Revised Due Date]]&lt;&gt;"",Main[[#This Row],[In Stock Date]]&lt;&gt;""),Main[[#This Row],[In Stock Date]]-Main[[#This Row],[Revised Due Date]],""))</f>
        <v/>
      </c>
      <c r="I1354" s="101" t="s">
        <v>4</v>
      </c>
      <c r="J1354" s="95" t="s">
        <v>4</v>
      </c>
      <c r="K1354" s="96" t="s">
        <v>4</v>
      </c>
      <c r="L1354" s="85"/>
      <c r="M1354" s="73" t="str">
        <f>IF(Main[[#This Row],[Tech Start Date]]&lt;1/1/1990,"",IF(Main[[#This Row],[Class]]="C",WORKDAY(Main[[#This Row],[Tech Start Date]],9),IF(Main[[#This Row],[Class]]="B", WORKDAY(Main[[#This Row],[Tech Start Date]],6),IF(Main[[#This Row],[Class]]="A",WORKDAY(Main[[#This Row],[Tech Start Date]],2),""))))</f>
        <v/>
      </c>
      <c r="N1354" s="73" t="str">
        <f>IF(Main[[#This Row],[Tech Start Date]]&lt;1/1/1990,"",IF(Main[[#This Row],[Class]]="C",WORKDAY(Main[[#This Row],[Tech Start Date]],19),IF(Main[[#This Row],[Class]]="B", WORKDAY(Main[[#This Row],[Tech Start Date]],12),IF(Main[[#This Row],[Class]]="A",WORKDAY(Main[[#This Row],[Tech Start Date]],4),""))))</f>
        <v/>
      </c>
      <c r="O1354" s="73" t="str">
        <f>IF(Main[[#This Row],[Tech Start Date]]&lt;1/1/1990,"",IF(Main[[#This Row],[Class]]="C",WORKDAY(Main[[#This Row],[Tech Start Date]],23),IF(Main[[#This Row],[Class]]="B", WORKDAY(Main[[#This Row],[Tech Start Date]],15),IF(Main[[#This Row],[Class]]="A",WORKDAY(Main[[#This Row],[Tech Start Date]],5),""))))</f>
        <v/>
      </c>
      <c r="P1354" s="73" t="str">
        <f>IF(Main[[#This Row],[Tech Start Date]]&lt;1/1/1990,"",IF(Main[[#This Row],[Class]]="C",WORKDAY(Main[[#This Row],[Tech Start Date]],28),IF(Main[[#This Row],[Class]]="B", WORKDAY(Main[[#This Row],[Tech Start Date]],19),IF(Main[[#This Row],[Class]]="A",WORKDAY(Main[[#This Row],[Tech Start Date]],9),""))))</f>
        <v/>
      </c>
      <c r="Q1354" s="85"/>
      <c r="R1354" s="112"/>
      <c r="S1354" s="95" t="s">
        <v>4</v>
      </c>
      <c r="T1354" s="74" t="s">
        <v>4</v>
      </c>
      <c r="U1354" s="95" t="s">
        <v>7</v>
      </c>
      <c r="V1354" s="95" t="s">
        <v>1911</v>
      </c>
      <c r="W1354" s="95" t="s">
        <v>4</v>
      </c>
      <c r="X1354" s="95" t="s">
        <v>3508</v>
      </c>
      <c r="Y1354" s="72" t="s">
        <v>3509</v>
      </c>
      <c r="Z1354" s="72" t="s">
        <v>4</v>
      </c>
      <c r="AA1354" s="95" t="s">
        <v>3508</v>
      </c>
      <c r="AB1354" s="132"/>
      <c r="AC1354" s="132"/>
      <c r="AD1354" s="132"/>
      <c r="AE1354" s="63"/>
      <c r="AF1354" s="63"/>
      <c r="AG1354" s="63"/>
    </row>
    <row r="1355" spans="1:33" ht="17.2" customHeight="1">
      <c r="A1355" s="64" t="str">
        <f>IF(priority(Main[[#This Row],[Comments]])&lt;&gt;0, priority(Main[[#This Row],[Comments]]),"")</f>
        <v/>
      </c>
      <c r="B1355" s="60" t="s">
        <v>3237</v>
      </c>
      <c r="C1355" s="72" t="s">
        <v>4</v>
      </c>
      <c r="D1355" s="59" t="s">
        <v>3679</v>
      </c>
      <c r="E1355" s="85">
        <v>40935.663275462961</v>
      </c>
      <c r="F1355" s="85"/>
      <c r="G1355" s="64" t="str">
        <f>IF(stdProdLT(Main[[#This Row],[Comments]])=0.1,"N/A",IF(stdProdLT(Main[[#This Row],[Comments]])=0,"",TRIM(stdProdLT(Main[[#This Row],[Comments]]))))</f>
        <v/>
      </c>
      <c r="H1355" s="94" t="str">
        <f>IF(OR(Main[[#This Row],[Std. Prod. Lead Time]]="N/A",Main[[#This Row],[Std. Prod. Lead Time]]=""), "",IF(AND(Main[[#This Row],[In Stock Date]]&lt;&gt;"",Main[[#This Row],[Revised Due Date]]&lt;&gt;"",Main[[#This Row],[In Stock Date]]&lt;&gt;""),Main[[#This Row],[In Stock Date]]-Main[[#This Row],[Revised Due Date]],""))</f>
        <v/>
      </c>
      <c r="I1355" s="101" t="s">
        <v>2045</v>
      </c>
      <c r="J1355" s="95" t="s">
        <v>28</v>
      </c>
      <c r="K1355" s="95" t="s">
        <v>1920</v>
      </c>
      <c r="L1355" s="85"/>
      <c r="M1355" s="73" t="str">
        <f>IF(Main[[#This Row],[Tech Start Date]]&lt;1/1/1990,"",IF(Main[[#This Row],[Class]]="C",WORKDAY(Main[[#This Row],[Tech Start Date]],9),IF(Main[[#This Row],[Class]]="B", WORKDAY(Main[[#This Row],[Tech Start Date]],6),IF(Main[[#This Row],[Class]]="A",WORKDAY(Main[[#This Row],[Tech Start Date]],2),""))))</f>
        <v/>
      </c>
      <c r="N1355" s="73" t="str">
        <f>IF(Main[[#This Row],[Tech Start Date]]&lt;1/1/1990,"",IF(Main[[#This Row],[Class]]="C",WORKDAY(Main[[#This Row],[Tech Start Date]],19),IF(Main[[#This Row],[Class]]="B", WORKDAY(Main[[#This Row],[Tech Start Date]],12),IF(Main[[#This Row],[Class]]="A",WORKDAY(Main[[#This Row],[Tech Start Date]],4),""))))</f>
        <v/>
      </c>
      <c r="O1355" s="73" t="str">
        <f>IF(Main[[#This Row],[Tech Start Date]]&lt;1/1/1990,"",IF(Main[[#This Row],[Class]]="C",WORKDAY(Main[[#This Row],[Tech Start Date]],23),IF(Main[[#This Row],[Class]]="B", WORKDAY(Main[[#This Row],[Tech Start Date]],15),IF(Main[[#This Row],[Class]]="A",WORKDAY(Main[[#This Row],[Tech Start Date]],5),""))))</f>
        <v/>
      </c>
      <c r="P1355" s="73" t="str">
        <f>IF(Main[[#This Row],[Tech Start Date]]&lt;1/1/1990,"",IF(Main[[#This Row],[Class]]="C",WORKDAY(Main[[#This Row],[Tech Start Date]],28),IF(Main[[#This Row],[Class]]="B", WORKDAY(Main[[#This Row],[Tech Start Date]],19),IF(Main[[#This Row],[Class]]="A",WORKDAY(Main[[#This Row],[Tech Start Date]],9),""))))</f>
        <v/>
      </c>
      <c r="Q1355" s="85">
        <v>41015</v>
      </c>
      <c r="R1355" s="112"/>
      <c r="S1355" s="95" t="s">
        <v>6</v>
      </c>
      <c r="T1355" s="74" t="s">
        <v>4</v>
      </c>
      <c r="U1355" s="95" t="s">
        <v>29</v>
      </c>
      <c r="V1355" s="95" t="s">
        <v>1914</v>
      </c>
      <c r="W1355" s="95" t="s">
        <v>1915</v>
      </c>
      <c r="X1355" s="95" t="s">
        <v>2821</v>
      </c>
      <c r="Y1355" s="72" t="s">
        <v>2949</v>
      </c>
      <c r="Z1355" s="72" t="s">
        <v>30</v>
      </c>
      <c r="AA1355" s="95" t="s">
        <v>2821</v>
      </c>
      <c r="AB1355" s="132"/>
      <c r="AC1355" s="132"/>
      <c r="AD1355" s="132"/>
      <c r="AE1355" s="63"/>
      <c r="AF1355" s="63"/>
      <c r="AG1355" s="63"/>
    </row>
    <row r="1356" spans="1:33" ht="17.2" customHeight="1">
      <c r="A1356" s="64" t="str">
        <f>IF(priority(Main[[#This Row],[Comments]])&lt;&gt;0, priority(Main[[#This Row],[Comments]]),"")</f>
        <v/>
      </c>
      <c r="B1356" s="60" t="s">
        <v>1604</v>
      </c>
      <c r="C1356" s="72" t="s">
        <v>4</v>
      </c>
      <c r="D1356" s="59" t="s">
        <v>3828</v>
      </c>
      <c r="E1356" s="85">
        <v>40666.673935185187</v>
      </c>
      <c r="F1356" s="85"/>
      <c r="G1356" s="64" t="str">
        <f>IF(stdProdLT(Main[[#This Row],[Comments]])=0.1,"N/A",IF(stdProdLT(Main[[#This Row],[Comments]])=0,"",TRIM(stdProdLT(Main[[#This Row],[Comments]]))))</f>
        <v/>
      </c>
      <c r="H1356" s="94" t="str">
        <f>IF(OR(Main[[#This Row],[Std. Prod. Lead Time]]="N/A",Main[[#This Row],[Std. Prod. Lead Time]]=""), "",IF(AND(Main[[#This Row],[In Stock Date]]&lt;&gt;"",Main[[#This Row],[Revised Due Date]]&lt;&gt;"",Main[[#This Row],[In Stock Date]]&lt;&gt;""),Main[[#This Row],[In Stock Date]]-Main[[#This Row],[Revised Due Date]],""))</f>
        <v/>
      </c>
      <c r="I1356" s="101" t="s">
        <v>2202</v>
      </c>
      <c r="J1356" s="95" t="s">
        <v>51</v>
      </c>
      <c r="K1356" s="95" t="s">
        <v>1920</v>
      </c>
      <c r="L1356" s="85"/>
      <c r="M1356" s="73" t="str">
        <f>IF(Main[[#This Row],[Tech Start Date]]&lt;1/1/1990,"",IF(Main[[#This Row],[Class]]="C",WORKDAY(Main[[#This Row],[Tech Start Date]],9),IF(Main[[#This Row],[Class]]="B", WORKDAY(Main[[#This Row],[Tech Start Date]],6),IF(Main[[#This Row],[Class]]="A",WORKDAY(Main[[#This Row],[Tech Start Date]],2),""))))</f>
        <v/>
      </c>
      <c r="N1356" s="73" t="str">
        <f>IF(Main[[#This Row],[Tech Start Date]]&lt;1/1/1990,"",IF(Main[[#This Row],[Class]]="C",WORKDAY(Main[[#This Row],[Tech Start Date]],19),IF(Main[[#This Row],[Class]]="B", WORKDAY(Main[[#This Row],[Tech Start Date]],12),IF(Main[[#This Row],[Class]]="A",WORKDAY(Main[[#This Row],[Tech Start Date]],4),""))))</f>
        <v/>
      </c>
      <c r="O1356" s="73" t="str">
        <f>IF(Main[[#This Row],[Tech Start Date]]&lt;1/1/1990,"",IF(Main[[#This Row],[Class]]="C",WORKDAY(Main[[#This Row],[Tech Start Date]],23),IF(Main[[#This Row],[Class]]="B", WORKDAY(Main[[#This Row],[Tech Start Date]],15),IF(Main[[#This Row],[Class]]="A",WORKDAY(Main[[#This Row],[Tech Start Date]],5),""))))</f>
        <v/>
      </c>
      <c r="P1356" s="73" t="str">
        <f>IF(Main[[#This Row],[Tech Start Date]]&lt;1/1/1990,"",IF(Main[[#This Row],[Class]]="C",WORKDAY(Main[[#This Row],[Tech Start Date]],28),IF(Main[[#This Row],[Class]]="B", WORKDAY(Main[[#This Row],[Tech Start Date]],19),IF(Main[[#This Row],[Class]]="A",WORKDAY(Main[[#This Row],[Tech Start Date]],9),""))))</f>
        <v/>
      </c>
      <c r="Q1356" s="85"/>
      <c r="R1356" s="112"/>
      <c r="S1356" s="95" t="s">
        <v>6</v>
      </c>
      <c r="T1356" s="74" t="s">
        <v>4</v>
      </c>
      <c r="U1356" s="95" t="s">
        <v>29</v>
      </c>
      <c r="V1356" s="95" t="s">
        <v>1914</v>
      </c>
      <c r="W1356" s="95" t="s">
        <v>1915</v>
      </c>
      <c r="X1356" s="95" t="s">
        <v>74</v>
      </c>
      <c r="Y1356" s="72" t="s">
        <v>3009</v>
      </c>
      <c r="Z1356" s="72" t="s">
        <v>415</v>
      </c>
      <c r="AA1356" s="95" t="s">
        <v>74</v>
      </c>
      <c r="AB1356" s="132">
        <v>40963</v>
      </c>
      <c r="AC1356" s="132">
        <v>40975</v>
      </c>
      <c r="AD1356" s="132"/>
      <c r="AE1356" s="63"/>
      <c r="AF1356" s="63"/>
      <c r="AG1356" s="63"/>
    </row>
    <row r="1357" spans="1:33" ht="17.2" customHeight="1">
      <c r="A1357" s="64" t="str">
        <f>IF(priority(Main[[#This Row],[Comments]])&lt;&gt;0, priority(Main[[#This Row],[Comments]]),"")</f>
        <v/>
      </c>
      <c r="B1357" s="60" t="s">
        <v>2729</v>
      </c>
      <c r="C1357" s="72" t="s">
        <v>2730</v>
      </c>
      <c r="D1357" s="59" t="s">
        <v>3661</v>
      </c>
      <c r="E1357" s="85">
        <v>40883.362615740742</v>
      </c>
      <c r="F1357" s="85"/>
      <c r="G1357" s="64" t="str">
        <f>IF(stdProdLT(Main[[#This Row],[Comments]])=0.1,"N/A",IF(stdProdLT(Main[[#This Row],[Comments]])=0,"",TRIM(stdProdLT(Main[[#This Row],[Comments]]))))</f>
        <v/>
      </c>
      <c r="H1357" s="94" t="str">
        <f>IF(OR(Main[[#This Row],[Std. Prod. Lead Time]]="N/A",Main[[#This Row],[Std. Prod. Lead Time]]=""), "",IF(AND(Main[[#This Row],[In Stock Date]]&lt;&gt;"",Main[[#This Row],[Revised Due Date]]&lt;&gt;"",Main[[#This Row],[In Stock Date]]&lt;&gt;""),Main[[#This Row],[In Stock Date]]-Main[[#This Row],[Revised Due Date]],""))</f>
        <v/>
      </c>
      <c r="I1357" s="101" t="s">
        <v>4</v>
      </c>
      <c r="J1357" s="95" t="s">
        <v>4</v>
      </c>
      <c r="K1357" s="95" t="s">
        <v>4</v>
      </c>
      <c r="L1357" s="85"/>
      <c r="M1357" s="73" t="str">
        <f>IF(Main[[#This Row],[Tech Start Date]]&lt;1/1/1990,"",IF(Main[[#This Row],[Class]]="C",WORKDAY(Main[[#This Row],[Tech Start Date]],9),IF(Main[[#This Row],[Class]]="B", WORKDAY(Main[[#This Row],[Tech Start Date]],6),IF(Main[[#This Row],[Class]]="A",WORKDAY(Main[[#This Row],[Tech Start Date]],2),""))))</f>
        <v/>
      </c>
      <c r="N1357" s="73" t="str">
        <f>IF(Main[[#This Row],[Tech Start Date]]&lt;1/1/1990,"",IF(Main[[#This Row],[Class]]="C",WORKDAY(Main[[#This Row],[Tech Start Date]],19),IF(Main[[#This Row],[Class]]="B", WORKDAY(Main[[#This Row],[Tech Start Date]],12),IF(Main[[#This Row],[Class]]="A",WORKDAY(Main[[#This Row],[Tech Start Date]],4),""))))</f>
        <v/>
      </c>
      <c r="O1357" s="73" t="str">
        <f>IF(Main[[#This Row],[Tech Start Date]]&lt;1/1/1990,"",IF(Main[[#This Row],[Class]]="C",WORKDAY(Main[[#This Row],[Tech Start Date]],23),IF(Main[[#This Row],[Class]]="B", WORKDAY(Main[[#This Row],[Tech Start Date]],15),IF(Main[[#This Row],[Class]]="A",WORKDAY(Main[[#This Row],[Tech Start Date]],5),""))))</f>
        <v/>
      </c>
      <c r="P1357" s="73" t="str">
        <f>IF(Main[[#This Row],[Tech Start Date]]&lt;1/1/1990,"",IF(Main[[#This Row],[Class]]="C",WORKDAY(Main[[#This Row],[Tech Start Date]],28),IF(Main[[#This Row],[Class]]="B", WORKDAY(Main[[#This Row],[Tech Start Date]],19),IF(Main[[#This Row],[Class]]="A",WORKDAY(Main[[#This Row],[Tech Start Date]],9),""))))</f>
        <v/>
      </c>
      <c r="Q1357" s="85"/>
      <c r="R1357" s="112"/>
      <c r="S1357" s="95" t="s">
        <v>17</v>
      </c>
      <c r="T1357" s="74" t="s">
        <v>4</v>
      </c>
      <c r="U1357" s="95" t="s">
        <v>7</v>
      </c>
      <c r="V1357" s="95" t="s">
        <v>1914</v>
      </c>
      <c r="W1357" s="95" t="s">
        <v>1916</v>
      </c>
      <c r="X1357" s="95" t="s">
        <v>652</v>
      </c>
      <c r="Y1357" s="72" t="s">
        <v>3104</v>
      </c>
      <c r="Z1357" s="72" t="s">
        <v>4</v>
      </c>
      <c r="AA1357" s="95" t="s">
        <v>652</v>
      </c>
      <c r="AB1357" s="132"/>
      <c r="AC1357" s="132"/>
      <c r="AD1357" s="132"/>
      <c r="AE1357" s="63"/>
      <c r="AF1357" s="63"/>
      <c r="AG1357" s="63"/>
    </row>
    <row r="1358" spans="1:33" ht="17.2" customHeight="1">
      <c r="A1358" s="64" t="str">
        <f>IF(priority(Main[[#This Row],[Comments]])&lt;&gt;0, priority(Main[[#This Row],[Comments]]),"")</f>
        <v/>
      </c>
      <c r="B1358" s="60" t="s">
        <v>3165</v>
      </c>
      <c r="C1358" s="72" t="s">
        <v>4</v>
      </c>
      <c r="D1358" s="59" t="s">
        <v>3961</v>
      </c>
      <c r="E1358" s="85">
        <v>40921.504814814813</v>
      </c>
      <c r="F1358" s="85"/>
      <c r="G1358" s="64" t="str">
        <f>IF(stdProdLT(Main[[#This Row],[Comments]])=0.1,"N/A",IF(stdProdLT(Main[[#This Row],[Comments]])=0,"",TRIM(stdProdLT(Main[[#This Row],[Comments]]))))</f>
        <v/>
      </c>
      <c r="H1358" s="94" t="str">
        <f>IF(OR(Main[[#This Row],[Std. Prod. Lead Time]]="N/A",Main[[#This Row],[Std. Prod. Lead Time]]=""), "",IF(AND(Main[[#This Row],[In Stock Date]]&lt;&gt;"",Main[[#This Row],[Revised Due Date]]&lt;&gt;"",Main[[#This Row],[In Stock Date]]&lt;&gt;""),Main[[#This Row],[In Stock Date]]-Main[[#This Row],[Revised Due Date]],""))</f>
        <v/>
      </c>
      <c r="I1358" s="101" t="s">
        <v>130</v>
      </c>
      <c r="J1358" s="95" t="s">
        <v>70</v>
      </c>
      <c r="K1358" s="95" t="s">
        <v>1920</v>
      </c>
      <c r="L1358" s="85"/>
      <c r="M1358" s="73" t="str">
        <f>IF(Main[[#This Row],[Tech Start Date]]&lt;1/1/1990,"",IF(Main[[#This Row],[Class]]="C",WORKDAY(Main[[#This Row],[Tech Start Date]],9),IF(Main[[#This Row],[Class]]="B", WORKDAY(Main[[#This Row],[Tech Start Date]],6),IF(Main[[#This Row],[Class]]="A",WORKDAY(Main[[#This Row],[Tech Start Date]],2),""))))</f>
        <v/>
      </c>
      <c r="N1358" s="73" t="str">
        <f>IF(Main[[#This Row],[Tech Start Date]]&lt;1/1/1990,"",IF(Main[[#This Row],[Class]]="C",WORKDAY(Main[[#This Row],[Tech Start Date]],19),IF(Main[[#This Row],[Class]]="B", WORKDAY(Main[[#This Row],[Tech Start Date]],12),IF(Main[[#This Row],[Class]]="A",WORKDAY(Main[[#This Row],[Tech Start Date]],4),""))))</f>
        <v/>
      </c>
      <c r="O1358" s="73" t="str">
        <f>IF(Main[[#This Row],[Tech Start Date]]&lt;1/1/1990,"",IF(Main[[#This Row],[Class]]="C",WORKDAY(Main[[#This Row],[Tech Start Date]],23),IF(Main[[#This Row],[Class]]="B", WORKDAY(Main[[#This Row],[Tech Start Date]],15),IF(Main[[#This Row],[Class]]="A",WORKDAY(Main[[#This Row],[Tech Start Date]],5),""))))</f>
        <v/>
      </c>
      <c r="P1358" s="73" t="str">
        <f>IF(Main[[#This Row],[Tech Start Date]]&lt;1/1/1990,"",IF(Main[[#This Row],[Class]]="C",WORKDAY(Main[[#This Row],[Tech Start Date]],28),IF(Main[[#This Row],[Class]]="B", WORKDAY(Main[[#This Row],[Tech Start Date]],19),IF(Main[[#This Row],[Class]]="A",WORKDAY(Main[[#This Row],[Tech Start Date]],9),""))))</f>
        <v/>
      </c>
      <c r="Q1358" s="85">
        <v>40939</v>
      </c>
      <c r="R1358" s="112"/>
      <c r="S1358" s="95" t="s">
        <v>6</v>
      </c>
      <c r="T1358" s="74" t="s">
        <v>4</v>
      </c>
      <c r="U1358" s="95" t="s">
        <v>29</v>
      </c>
      <c r="V1358" s="95" t="s">
        <v>1914</v>
      </c>
      <c r="W1358" s="95" t="s">
        <v>1915</v>
      </c>
      <c r="X1358" s="95" t="s">
        <v>30</v>
      </c>
      <c r="Y1358" s="72" t="s">
        <v>3166</v>
      </c>
      <c r="Z1358" s="72" t="s">
        <v>30</v>
      </c>
      <c r="AA1358" s="95" t="s">
        <v>2883</v>
      </c>
      <c r="AB1358" s="132"/>
      <c r="AC1358" s="132"/>
      <c r="AD1358" s="132"/>
      <c r="AE1358" s="63"/>
      <c r="AF1358" s="63"/>
      <c r="AG1358" s="63"/>
    </row>
    <row r="1359" spans="1:33" ht="17.2" customHeight="1">
      <c r="A1359" s="64" t="str">
        <f>IF(priority(Main[[#This Row],[Comments]])&lt;&gt;0, priority(Main[[#This Row],[Comments]]),"")</f>
        <v/>
      </c>
      <c r="B1359" s="60" t="s">
        <v>2582</v>
      </c>
      <c r="C1359" s="72" t="s">
        <v>4</v>
      </c>
      <c r="D1359" s="59" t="s">
        <v>2583</v>
      </c>
      <c r="E1359" s="85">
        <v>40868.429988425924</v>
      </c>
      <c r="F1359" s="85"/>
      <c r="G1359" s="64" t="str">
        <f>IF(stdProdLT(Main[[#This Row],[Comments]])=0.1,"N/A",IF(stdProdLT(Main[[#This Row],[Comments]])=0,"",TRIM(stdProdLT(Main[[#This Row],[Comments]]))))</f>
        <v/>
      </c>
      <c r="H1359" s="94" t="str">
        <f>IF(OR(Main[[#This Row],[Std. Prod. Lead Time]]="N/A",Main[[#This Row],[Std. Prod. Lead Time]]=""), "",IF(AND(Main[[#This Row],[In Stock Date]]&lt;&gt;"",Main[[#This Row],[Revised Due Date]]&lt;&gt;"",Main[[#This Row],[In Stock Date]]&lt;&gt;""),Main[[#This Row],[In Stock Date]]-Main[[#This Row],[Revised Due Date]],""))</f>
        <v/>
      </c>
      <c r="I1359" s="101" t="s">
        <v>239</v>
      </c>
      <c r="J1359" s="95" t="s">
        <v>21</v>
      </c>
      <c r="K1359" s="95" t="s">
        <v>4</v>
      </c>
      <c r="L1359" s="85"/>
      <c r="M1359" s="73" t="str">
        <f>IF(Main[[#This Row],[Tech Start Date]]&lt;1/1/1990,"",IF(Main[[#This Row],[Class]]="C",WORKDAY(Main[[#This Row],[Tech Start Date]],9),IF(Main[[#This Row],[Class]]="B", WORKDAY(Main[[#This Row],[Tech Start Date]],6),IF(Main[[#This Row],[Class]]="A",WORKDAY(Main[[#This Row],[Tech Start Date]],2),""))))</f>
        <v/>
      </c>
      <c r="N1359" s="73" t="str">
        <f>IF(Main[[#This Row],[Tech Start Date]]&lt;1/1/1990,"",IF(Main[[#This Row],[Class]]="C",WORKDAY(Main[[#This Row],[Tech Start Date]],19),IF(Main[[#This Row],[Class]]="B", WORKDAY(Main[[#This Row],[Tech Start Date]],12),IF(Main[[#This Row],[Class]]="A",WORKDAY(Main[[#This Row],[Tech Start Date]],4),""))))</f>
        <v/>
      </c>
      <c r="O1359" s="73" t="str">
        <f>IF(Main[[#This Row],[Tech Start Date]]&lt;1/1/1990,"",IF(Main[[#This Row],[Class]]="C",WORKDAY(Main[[#This Row],[Tech Start Date]],23),IF(Main[[#This Row],[Class]]="B", WORKDAY(Main[[#This Row],[Tech Start Date]],15),IF(Main[[#This Row],[Class]]="A",WORKDAY(Main[[#This Row],[Tech Start Date]],5),""))))</f>
        <v/>
      </c>
      <c r="P1359" s="73" t="str">
        <f>IF(Main[[#This Row],[Tech Start Date]]&lt;1/1/1990,"",IF(Main[[#This Row],[Class]]="C",WORKDAY(Main[[#This Row],[Tech Start Date]],28),IF(Main[[#This Row],[Class]]="B", WORKDAY(Main[[#This Row],[Tech Start Date]],19),IF(Main[[#This Row],[Class]]="A",WORKDAY(Main[[#This Row],[Tech Start Date]],9),""))))</f>
        <v/>
      </c>
      <c r="Q1359" s="85">
        <v>40877</v>
      </c>
      <c r="R1359" s="112"/>
      <c r="S1359" s="95" t="s">
        <v>6</v>
      </c>
      <c r="T1359" s="74" t="s">
        <v>4</v>
      </c>
      <c r="U1359" s="95" t="s">
        <v>29</v>
      </c>
      <c r="V1359" s="95" t="s">
        <v>1914</v>
      </c>
      <c r="W1359" s="95" t="s">
        <v>1915</v>
      </c>
      <c r="X1359" s="95" t="s">
        <v>239</v>
      </c>
      <c r="Y1359" s="72" t="s">
        <v>3118</v>
      </c>
      <c r="Z1359" s="72" t="s">
        <v>239</v>
      </c>
      <c r="AA1359" s="95" t="s">
        <v>239</v>
      </c>
      <c r="AB1359" s="132"/>
      <c r="AC1359" s="132"/>
      <c r="AD1359" s="132"/>
      <c r="AE1359" s="63"/>
      <c r="AF1359" s="63"/>
      <c r="AG1359" s="63"/>
    </row>
    <row r="1360" spans="1:33" ht="17.2" customHeight="1">
      <c r="A1360" s="64" t="str">
        <f>IF(priority(Main[[#This Row],[Comments]])&lt;&gt;0, priority(Main[[#This Row],[Comments]]),"")</f>
        <v/>
      </c>
      <c r="B1360" s="60" t="s">
        <v>2584</v>
      </c>
      <c r="C1360" s="72" t="s">
        <v>4</v>
      </c>
      <c r="D1360" s="59" t="s">
        <v>2770</v>
      </c>
      <c r="E1360" s="85">
        <v>40870.471666666665</v>
      </c>
      <c r="F1360" s="85"/>
      <c r="G1360" s="64" t="str">
        <f>IF(stdProdLT(Main[[#This Row],[Comments]])=0.1,"N/A",IF(stdProdLT(Main[[#This Row],[Comments]])=0,"",TRIM(stdProdLT(Main[[#This Row],[Comments]]))))</f>
        <v/>
      </c>
      <c r="H1360" s="94" t="str">
        <f>IF(OR(Main[[#This Row],[Std. Prod. Lead Time]]="N/A",Main[[#This Row],[Std. Prod. Lead Time]]=""), "",IF(AND(Main[[#This Row],[In Stock Date]]&lt;&gt;"",Main[[#This Row],[Revised Due Date]]&lt;&gt;"",Main[[#This Row],[In Stock Date]]&lt;&gt;""),Main[[#This Row],[In Stock Date]]-Main[[#This Row],[Revised Due Date]],""))</f>
        <v/>
      </c>
      <c r="I1360" s="101" t="s">
        <v>4</v>
      </c>
      <c r="J1360" s="95" t="s">
        <v>28</v>
      </c>
      <c r="K1360" s="95" t="s">
        <v>1920</v>
      </c>
      <c r="L1360" s="85"/>
      <c r="M1360" s="73" t="str">
        <f>IF(Main[[#This Row],[Tech Start Date]]&lt;1/1/1990,"",IF(Main[[#This Row],[Class]]="C",WORKDAY(Main[[#This Row],[Tech Start Date]],9),IF(Main[[#This Row],[Class]]="B", WORKDAY(Main[[#This Row],[Tech Start Date]],6),IF(Main[[#This Row],[Class]]="A",WORKDAY(Main[[#This Row],[Tech Start Date]],2),""))))</f>
        <v/>
      </c>
      <c r="N1360" s="73" t="str">
        <f>IF(Main[[#This Row],[Tech Start Date]]&lt;1/1/1990,"",IF(Main[[#This Row],[Class]]="C",WORKDAY(Main[[#This Row],[Tech Start Date]],19),IF(Main[[#This Row],[Class]]="B", WORKDAY(Main[[#This Row],[Tech Start Date]],12),IF(Main[[#This Row],[Class]]="A",WORKDAY(Main[[#This Row],[Tech Start Date]],4),""))))</f>
        <v/>
      </c>
      <c r="O1360" s="73" t="str">
        <f>IF(Main[[#This Row],[Tech Start Date]]&lt;1/1/1990,"",IF(Main[[#This Row],[Class]]="C",WORKDAY(Main[[#This Row],[Tech Start Date]],23),IF(Main[[#This Row],[Class]]="B", WORKDAY(Main[[#This Row],[Tech Start Date]],15),IF(Main[[#This Row],[Class]]="A",WORKDAY(Main[[#This Row],[Tech Start Date]],5),""))))</f>
        <v/>
      </c>
      <c r="P1360" s="73" t="str">
        <f>IF(Main[[#This Row],[Tech Start Date]]&lt;1/1/1990,"",IF(Main[[#This Row],[Class]]="C",WORKDAY(Main[[#This Row],[Tech Start Date]],28),IF(Main[[#This Row],[Class]]="B", WORKDAY(Main[[#This Row],[Tech Start Date]],19),IF(Main[[#This Row],[Class]]="A",WORKDAY(Main[[#This Row],[Tech Start Date]],9),""))))</f>
        <v/>
      </c>
      <c r="Q1360" s="85">
        <v>40905</v>
      </c>
      <c r="R1360" s="112"/>
      <c r="S1360" s="95" t="s">
        <v>6</v>
      </c>
      <c r="T1360" s="74" t="s">
        <v>4</v>
      </c>
      <c r="U1360" s="95" t="s">
        <v>29</v>
      </c>
      <c r="V1360" s="95" t="s">
        <v>1914</v>
      </c>
      <c r="W1360" s="95" t="s">
        <v>1915</v>
      </c>
      <c r="X1360" s="95" t="s">
        <v>2045</v>
      </c>
      <c r="Y1360" s="72" t="s">
        <v>3038</v>
      </c>
      <c r="Z1360" s="72" t="s">
        <v>30</v>
      </c>
      <c r="AA1360" s="95" t="s">
        <v>2875</v>
      </c>
      <c r="AB1360" s="132"/>
      <c r="AC1360" s="132"/>
      <c r="AD1360" s="132"/>
      <c r="AE1360" s="63"/>
      <c r="AF1360" s="63"/>
      <c r="AG1360" s="63"/>
    </row>
    <row r="1361" spans="1:33" ht="17.2" customHeight="1">
      <c r="A1361" s="64" t="str">
        <f>IF(priority(Main[[#This Row],[Comments]])&lt;&gt;0, priority(Main[[#This Row],[Comments]]),"")</f>
        <v/>
      </c>
      <c r="B1361" s="60" t="s">
        <v>2678</v>
      </c>
      <c r="C1361" s="72" t="s">
        <v>4</v>
      </c>
      <c r="D1361" s="59" t="s">
        <v>2679</v>
      </c>
      <c r="E1361" s="85">
        <v>40900.141886574071</v>
      </c>
      <c r="F1361" s="85"/>
      <c r="G1361" s="64" t="str">
        <f>IF(stdProdLT(Main[[#This Row],[Comments]])=0.1,"N/A",IF(stdProdLT(Main[[#This Row],[Comments]])=0,"",TRIM(stdProdLT(Main[[#This Row],[Comments]]))))</f>
        <v/>
      </c>
      <c r="H1361" s="94" t="str">
        <f>IF(OR(Main[[#This Row],[Std. Prod. Lead Time]]="N/A",Main[[#This Row],[Std. Prod. Lead Time]]=""), "",IF(AND(Main[[#This Row],[In Stock Date]]&lt;&gt;"",Main[[#This Row],[Revised Due Date]]&lt;&gt;"",Main[[#This Row],[In Stock Date]]&lt;&gt;""),Main[[#This Row],[In Stock Date]]-Main[[#This Row],[Revised Due Date]],""))</f>
        <v/>
      </c>
      <c r="I1361" s="101" t="s">
        <v>69</v>
      </c>
      <c r="J1361" s="95" t="s">
        <v>28</v>
      </c>
      <c r="K1361" s="95" t="s">
        <v>1920</v>
      </c>
      <c r="L1361" s="85"/>
      <c r="M1361" s="73" t="str">
        <f>IF(Main[[#This Row],[Tech Start Date]]&lt;1/1/1990,"",IF(Main[[#This Row],[Class]]="C",WORKDAY(Main[[#This Row],[Tech Start Date]],9),IF(Main[[#This Row],[Class]]="B", WORKDAY(Main[[#This Row],[Tech Start Date]],6),IF(Main[[#This Row],[Class]]="A",WORKDAY(Main[[#This Row],[Tech Start Date]],2),""))))</f>
        <v/>
      </c>
      <c r="N1361" s="73" t="str">
        <f>IF(Main[[#This Row],[Tech Start Date]]&lt;1/1/1990,"",IF(Main[[#This Row],[Class]]="C",WORKDAY(Main[[#This Row],[Tech Start Date]],19),IF(Main[[#This Row],[Class]]="B", WORKDAY(Main[[#This Row],[Tech Start Date]],12),IF(Main[[#This Row],[Class]]="A",WORKDAY(Main[[#This Row],[Tech Start Date]],4),""))))</f>
        <v/>
      </c>
      <c r="O1361" s="73" t="str">
        <f>IF(Main[[#This Row],[Tech Start Date]]&lt;1/1/1990,"",IF(Main[[#This Row],[Class]]="C",WORKDAY(Main[[#This Row],[Tech Start Date]],23),IF(Main[[#This Row],[Class]]="B", WORKDAY(Main[[#This Row],[Tech Start Date]],15),IF(Main[[#This Row],[Class]]="A",WORKDAY(Main[[#This Row],[Tech Start Date]],5),""))))</f>
        <v/>
      </c>
      <c r="P1361" s="73" t="str">
        <f>IF(Main[[#This Row],[Tech Start Date]]&lt;1/1/1990,"",IF(Main[[#This Row],[Class]]="C",WORKDAY(Main[[#This Row],[Tech Start Date]],28),IF(Main[[#This Row],[Class]]="B", WORKDAY(Main[[#This Row],[Tech Start Date]],19),IF(Main[[#This Row],[Class]]="A",WORKDAY(Main[[#This Row],[Tech Start Date]],9),""))))</f>
        <v/>
      </c>
      <c r="Q1361" s="85">
        <v>40931</v>
      </c>
      <c r="R1361" s="112"/>
      <c r="S1361" s="95" t="s">
        <v>6</v>
      </c>
      <c r="T1361" s="74" t="s">
        <v>4</v>
      </c>
      <c r="U1361" s="95" t="s">
        <v>29</v>
      </c>
      <c r="V1361" s="95" t="s">
        <v>1914</v>
      </c>
      <c r="W1361" s="95" t="s">
        <v>1915</v>
      </c>
      <c r="X1361" s="95" t="s">
        <v>2802</v>
      </c>
      <c r="Y1361" s="72" t="s">
        <v>2916</v>
      </c>
      <c r="Z1361" s="72" t="s">
        <v>30</v>
      </c>
      <c r="AA1361" s="95" t="s">
        <v>2802</v>
      </c>
      <c r="AB1361" s="132"/>
      <c r="AC1361" s="132"/>
      <c r="AD1361" s="132"/>
      <c r="AE1361" s="63"/>
      <c r="AF1361" s="63"/>
      <c r="AG1361" s="63"/>
    </row>
    <row r="1362" spans="1:33" ht="17.2" customHeight="1">
      <c r="A1362" s="64" t="str">
        <f>IF(priority(Main[[#This Row],[Comments]])&lt;&gt;0, priority(Main[[#This Row],[Comments]]),"")</f>
        <v/>
      </c>
      <c r="B1362" s="60" t="s">
        <v>3268</v>
      </c>
      <c r="C1362" s="72" t="s">
        <v>4</v>
      </c>
      <c r="D1362" s="59" t="s">
        <v>3269</v>
      </c>
      <c r="E1362" s="85">
        <v>40933.268750000003</v>
      </c>
      <c r="F1362" s="85"/>
      <c r="G1362" s="64" t="str">
        <f>IF(stdProdLT(Main[[#This Row],[Comments]])=0.1,"N/A",IF(stdProdLT(Main[[#This Row],[Comments]])=0,"",TRIM(stdProdLT(Main[[#This Row],[Comments]]))))</f>
        <v/>
      </c>
      <c r="H1362" s="94" t="str">
        <f>IF(OR(Main[[#This Row],[Std. Prod. Lead Time]]="N/A",Main[[#This Row],[Std. Prod. Lead Time]]=""), "",IF(AND(Main[[#This Row],[In Stock Date]]&lt;&gt;"",Main[[#This Row],[Revised Due Date]]&lt;&gt;"",Main[[#This Row],[In Stock Date]]&lt;&gt;""),Main[[#This Row],[In Stock Date]]-Main[[#This Row],[Revised Due Date]],""))</f>
        <v/>
      </c>
      <c r="I1362" s="101" t="s">
        <v>4</v>
      </c>
      <c r="J1362" s="95" t="s">
        <v>4</v>
      </c>
      <c r="K1362" s="95" t="s">
        <v>4</v>
      </c>
      <c r="L1362" s="85"/>
      <c r="M1362" s="73" t="str">
        <f>IF(Main[[#This Row],[Tech Start Date]]&lt;1/1/1990,"",IF(Main[[#This Row],[Class]]="C",WORKDAY(Main[[#This Row],[Tech Start Date]],9),IF(Main[[#This Row],[Class]]="B", WORKDAY(Main[[#This Row],[Tech Start Date]],6),IF(Main[[#This Row],[Class]]="A",WORKDAY(Main[[#This Row],[Tech Start Date]],2),""))))</f>
        <v/>
      </c>
      <c r="N1362" s="73" t="str">
        <f>IF(Main[[#This Row],[Tech Start Date]]&lt;1/1/1990,"",IF(Main[[#This Row],[Class]]="C",WORKDAY(Main[[#This Row],[Tech Start Date]],19),IF(Main[[#This Row],[Class]]="B", WORKDAY(Main[[#This Row],[Tech Start Date]],12),IF(Main[[#This Row],[Class]]="A",WORKDAY(Main[[#This Row],[Tech Start Date]],4),""))))</f>
        <v/>
      </c>
      <c r="O1362" s="73" t="str">
        <f>IF(Main[[#This Row],[Tech Start Date]]&lt;1/1/1990,"",IF(Main[[#This Row],[Class]]="C",WORKDAY(Main[[#This Row],[Tech Start Date]],23),IF(Main[[#This Row],[Class]]="B", WORKDAY(Main[[#This Row],[Tech Start Date]],15),IF(Main[[#This Row],[Class]]="A",WORKDAY(Main[[#This Row],[Tech Start Date]],5),""))))</f>
        <v/>
      </c>
      <c r="P1362" s="73" t="str">
        <f>IF(Main[[#This Row],[Tech Start Date]]&lt;1/1/1990,"",IF(Main[[#This Row],[Class]]="C",WORKDAY(Main[[#This Row],[Tech Start Date]],28),IF(Main[[#This Row],[Class]]="B", WORKDAY(Main[[#This Row],[Tech Start Date]],19),IF(Main[[#This Row],[Class]]="A",WORKDAY(Main[[#This Row],[Tech Start Date]],9),""))))</f>
        <v/>
      </c>
      <c r="Q1362" s="85">
        <v>40963</v>
      </c>
      <c r="R1362" s="112"/>
      <c r="S1362" s="95" t="s">
        <v>6</v>
      </c>
      <c r="T1362" s="74" t="s">
        <v>4</v>
      </c>
      <c r="U1362" s="95" t="s">
        <v>7</v>
      </c>
      <c r="V1362" s="95" t="s">
        <v>1911</v>
      </c>
      <c r="W1362" s="95" t="s">
        <v>4</v>
      </c>
      <c r="X1362" s="95" t="s">
        <v>2802</v>
      </c>
      <c r="Y1362" s="72" t="s">
        <v>2916</v>
      </c>
      <c r="Z1362" s="72" t="s">
        <v>4</v>
      </c>
      <c r="AA1362" s="95" t="s">
        <v>2802</v>
      </c>
      <c r="AB1362" s="132"/>
      <c r="AC1362" s="132"/>
      <c r="AD1362" s="132"/>
      <c r="AE1362" s="63"/>
      <c r="AF1362" s="63"/>
      <c r="AG1362" s="63"/>
    </row>
    <row r="1363" spans="1:33" ht="17.2" customHeight="1">
      <c r="A1363" s="64" t="str">
        <f>IF(priority(Main[[#This Row],[Comments]])&lt;&gt;0, priority(Main[[#This Row],[Comments]]),"")</f>
        <v/>
      </c>
      <c r="B1363" s="60" t="s">
        <v>3959</v>
      </c>
      <c r="C1363" s="72" t="s">
        <v>31</v>
      </c>
      <c r="D1363" s="59" t="s">
        <v>3960</v>
      </c>
      <c r="E1363" s="85"/>
      <c r="F1363" s="85">
        <v>41153</v>
      </c>
      <c r="G1363" s="64" t="str">
        <f>IF(stdProdLT(Main[[#This Row],[Comments]])=0.1,"N/A",IF(stdProdLT(Main[[#This Row],[Comments]])=0,"",TRIM(stdProdLT(Main[[#This Row],[Comments]]))))</f>
        <v/>
      </c>
      <c r="H1363" s="94" t="str">
        <f>IF(OR(Main[[#This Row],[Std. Prod. Lead Time]]="N/A",Main[[#This Row],[Std. Prod. Lead Time]]=""), "",IF(AND(Main[[#This Row],[In Stock Date]]&lt;&gt;"",Main[[#This Row],[Revised Due Date]]&lt;&gt;"",Main[[#This Row],[In Stock Date]]&lt;&gt;""),Main[[#This Row],[In Stock Date]]-Main[[#This Row],[Revised Due Date]],""))</f>
        <v/>
      </c>
      <c r="I1363" s="101" t="s">
        <v>4</v>
      </c>
      <c r="J1363" s="95" t="s">
        <v>4</v>
      </c>
      <c r="K1363" s="95" t="s">
        <v>4</v>
      </c>
      <c r="L1363" s="85"/>
      <c r="M1363" s="73" t="str">
        <f>IF(Main[[#This Row],[Tech Start Date]]&lt;1/1/1990,"",IF(Main[[#This Row],[Class]]="C",WORKDAY(Main[[#This Row],[Tech Start Date]],9),IF(Main[[#This Row],[Class]]="B", WORKDAY(Main[[#This Row],[Tech Start Date]],6),IF(Main[[#This Row],[Class]]="A",WORKDAY(Main[[#This Row],[Tech Start Date]],2),""))))</f>
        <v/>
      </c>
      <c r="N1363" s="73" t="str">
        <f>IF(Main[[#This Row],[Tech Start Date]]&lt;1/1/1990,"",IF(Main[[#This Row],[Class]]="C",WORKDAY(Main[[#This Row],[Tech Start Date]],19),IF(Main[[#This Row],[Class]]="B", WORKDAY(Main[[#This Row],[Tech Start Date]],12),IF(Main[[#This Row],[Class]]="A",WORKDAY(Main[[#This Row],[Tech Start Date]],4),""))))</f>
        <v/>
      </c>
      <c r="O1363" s="73" t="str">
        <f>IF(Main[[#This Row],[Tech Start Date]]&lt;1/1/1990,"",IF(Main[[#This Row],[Class]]="C",WORKDAY(Main[[#This Row],[Tech Start Date]],23),IF(Main[[#This Row],[Class]]="B", WORKDAY(Main[[#This Row],[Tech Start Date]],15),IF(Main[[#This Row],[Class]]="A",WORKDAY(Main[[#This Row],[Tech Start Date]],5),""))))</f>
        <v/>
      </c>
      <c r="P1363" s="73" t="str">
        <f>IF(Main[[#This Row],[Tech Start Date]]&lt;1/1/1990,"",IF(Main[[#This Row],[Class]]="C",WORKDAY(Main[[#This Row],[Tech Start Date]],28),IF(Main[[#This Row],[Class]]="B", WORKDAY(Main[[#This Row],[Tech Start Date]],19),IF(Main[[#This Row],[Class]]="A",WORKDAY(Main[[#This Row],[Tech Start Date]],9),""))))</f>
        <v/>
      </c>
      <c r="Q1363" s="85">
        <v>41000</v>
      </c>
      <c r="R1363" s="112"/>
      <c r="S1363" s="95" t="s">
        <v>11</v>
      </c>
      <c r="T1363" s="74" t="s">
        <v>4</v>
      </c>
      <c r="U1363" s="95" t="s">
        <v>12</v>
      </c>
      <c r="V1363" s="95" t="s">
        <v>1914</v>
      </c>
      <c r="W1363" s="95" t="s">
        <v>1922</v>
      </c>
      <c r="X1363" s="95" t="s">
        <v>2825</v>
      </c>
      <c r="Y1363" s="72" t="s">
        <v>3748</v>
      </c>
      <c r="Z1363" s="72" t="s">
        <v>4</v>
      </c>
      <c r="AA1363" s="95" t="s">
        <v>2825</v>
      </c>
      <c r="AB1363" s="132"/>
      <c r="AC1363" s="132"/>
      <c r="AD1363" s="132"/>
      <c r="AE1363" s="63"/>
      <c r="AF1363" s="63"/>
      <c r="AG1363" s="63"/>
    </row>
    <row r="1364" spans="1:33" ht="17.2" customHeight="1">
      <c r="A1364" s="64" t="str">
        <f>IF(priority(Main[[#This Row],[Comments]])&lt;&gt;0, priority(Main[[#This Row],[Comments]]),"")</f>
        <v/>
      </c>
      <c r="B1364" s="60" t="s">
        <v>2485</v>
      </c>
      <c r="C1364" s="72" t="s">
        <v>4</v>
      </c>
      <c r="D1364" s="59" t="s">
        <v>2486</v>
      </c>
      <c r="E1364" s="85">
        <v>40855.421446759261</v>
      </c>
      <c r="F1364" s="85"/>
      <c r="G1364" s="64" t="str">
        <f>IF(stdProdLT(Main[[#This Row],[Comments]])=0.1,"N/A",IF(stdProdLT(Main[[#This Row],[Comments]])=0,"",TRIM(stdProdLT(Main[[#This Row],[Comments]]))))</f>
        <v/>
      </c>
      <c r="H1364" s="94" t="str">
        <f>IF(OR(Main[[#This Row],[Std. Prod. Lead Time]]="N/A",Main[[#This Row],[Std. Prod. Lead Time]]=""), "",IF(AND(Main[[#This Row],[In Stock Date]]&lt;&gt;"",Main[[#This Row],[Revised Due Date]]&lt;&gt;"",Main[[#This Row],[In Stock Date]]&lt;&gt;""),Main[[#This Row],[In Stock Date]]-Main[[#This Row],[Revised Due Date]],""))</f>
        <v/>
      </c>
      <c r="I1364" s="101" t="s">
        <v>69</v>
      </c>
      <c r="J1364" s="95" t="s">
        <v>70</v>
      </c>
      <c r="K1364" s="95" t="s">
        <v>1923</v>
      </c>
      <c r="L1364" s="85"/>
      <c r="M1364" s="73" t="str">
        <f>IF(Main[[#This Row],[Tech Start Date]]&lt;1/1/1990,"",IF(Main[[#This Row],[Class]]="C",WORKDAY(Main[[#This Row],[Tech Start Date]],9),IF(Main[[#This Row],[Class]]="B", WORKDAY(Main[[#This Row],[Tech Start Date]],6),IF(Main[[#This Row],[Class]]="A",WORKDAY(Main[[#This Row],[Tech Start Date]],2),""))))</f>
        <v/>
      </c>
      <c r="N1364" s="73" t="str">
        <f>IF(Main[[#This Row],[Tech Start Date]]&lt;1/1/1990,"",IF(Main[[#This Row],[Class]]="C",WORKDAY(Main[[#This Row],[Tech Start Date]],19),IF(Main[[#This Row],[Class]]="B", WORKDAY(Main[[#This Row],[Tech Start Date]],12),IF(Main[[#This Row],[Class]]="A",WORKDAY(Main[[#This Row],[Tech Start Date]],4),""))))</f>
        <v/>
      </c>
      <c r="O1364" s="73" t="str">
        <f>IF(Main[[#This Row],[Tech Start Date]]&lt;1/1/1990,"",IF(Main[[#This Row],[Class]]="C",WORKDAY(Main[[#This Row],[Tech Start Date]],23),IF(Main[[#This Row],[Class]]="B", WORKDAY(Main[[#This Row],[Tech Start Date]],15),IF(Main[[#This Row],[Class]]="A",WORKDAY(Main[[#This Row],[Tech Start Date]],5),""))))</f>
        <v/>
      </c>
      <c r="P1364" s="73" t="str">
        <f>IF(Main[[#This Row],[Tech Start Date]]&lt;1/1/1990,"",IF(Main[[#This Row],[Class]]="C",WORKDAY(Main[[#This Row],[Tech Start Date]],28),IF(Main[[#This Row],[Class]]="B", WORKDAY(Main[[#This Row],[Tech Start Date]],19),IF(Main[[#This Row],[Class]]="A",WORKDAY(Main[[#This Row],[Tech Start Date]],9),""))))</f>
        <v/>
      </c>
      <c r="Q1364" s="85">
        <v>40907</v>
      </c>
      <c r="R1364" s="112"/>
      <c r="S1364" s="95" t="s">
        <v>17</v>
      </c>
      <c r="T1364" s="74" t="s">
        <v>4</v>
      </c>
      <c r="U1364" s="95" t="s">
        <v>29</v>
      </c>
      <c r="V1364" s="95" t="s">
        <v>1921</v>
      </c>
      <c r="W1364" s="95" t="s">
        <v>1913</v>
      </c>
      <c r="X1364" s="95" t="s">
        <v>2846</v>
      </c>
      <c r="Y1364" s="72" t="s">
        <v>2978</v>
      </c>
      <c r="Z1364" s="72" t="s">
        <v>30</v>
      </c>
      <c r="AA1364" s="95" t="s">
        <v>2846</v>
      </c>
      <c r="AB1364" s="132"/>
      <c r="AC1364" s="132"/>
      <c r="AD1364" s="132"/>
      <c r="AE1364" s="63"/>
      <c r="AF1364" s="63"/>
      <c r="AG1364" s="63"/>
    </row>
    <row r="1365" spans="1:33" ht="17.2" customHeight="1">
      <c r="A1365" s="64" t="str">
        <f>IF(priority(Main[[#This Row],[Comments]])&lt;&gt;0, priority(Main[[#This Row],[Comments]]),"")</f>
        <v/>
      </c>
      <c r="B1365" s="60" t="s">
        <v>3192</v>
      </c>
      <c r="C1365" s="72" t="s">
        <v>4</v>
      </c>
      <c r="D1365" s="59" t="s">
        <v>3683</v>
      </c>
      <c r="E1365" s="85">
        <v>40924.344918981478</v>
      </c>
      <c r="F1365" s="85"/>
      <c r="G1365" s="64" t="str">
        <f>IF(stdProdLT(Main[[#This Row],[Comments]])=0.1,"N/A",IF(stdProdLT(Main[[#This Row],[Comments]])=0,"",TRIM(stdProdLT(Main[[#This Row],[Comments]]))))</f>
        <v/>
      </c>
      <c r="H1365" s="94" t="str">
        <f>IF(OR(Main[[#This Row],[Std. Prod. Lead Time]]="N/A",Main[[#This Row],[Std. Prod. Lead Time]]=""), "",IF(AND(Main[[#This Row],[In Stock Date]]&lt;&gt;"",Main[[#This Row],[Revised Due Date]]&lt;&gt;"",Main[[#This Row],[In Stock Date]]&lt;&gt;""),Main[[#This Row],[In Stock Date]]-Main[[#This Row],[Revised Due Date]],""))</f>
        <v/>
      </c>
      <c r="I1365" s="101" t="s">
        <v>69</v>
      </c>
      <c r="J1365" s="95" t="s">
        <v>70</v>
      </c>
      <c r="K1365" s="95" t="s">
        <v>1920</v>
      </c>
      <c r="L1365" s="85"/>
      <c r="M1365" s="73" t="str">
        <f>IF(Main[[#This Row],[Tech Start Date]]&lt;1/1/1990,"",IF(Main[[#This Row],[Class]]="C",WORKDAY(Main[[#This Row],[Tech Start Date]],9),IF(Main[[#This Row],[Class]]="B", WORKDAY(Main[[#This Row],[Tech Start Date]],6),IF(Main[[#This Row],[Class]]="A",WORKDAY(Main[[#This Row],[Tech Start Date]],2),""))))</f>
        <v/>
      </c>
      <c r="N1365" s="73" t="str">
        <f>IF(Main[[#This Row],[Tech Start Date]]&lt;1/1/1990,"",IF(Main[[#This Row],[Class]]="C",WORKDAY(Main[[#This Row],[Tech Start Date]],19),IF(Main[[#This Row],[Class]]="B", WORKDAY(Main[[#This Row],[Tech Start Date]],12),IF(Main[[#This Row],[Class]]="A",WORKDAY(Main[[#This Row],[Tech Start Date]],4),""))))</f>
        <v/>
      </c>
      <c r="O1365" s="73" t="str">
        <f>IF(Main[[#This Row],[Tech Start Date]]&lt;1/1/1990,"",IF(Main[[#This Row],[Class]]="C",WORKDAY(Main[[#This Row],[Tech Start Date]],23),IF(Main[[#This Row],[Class]]="B", WORKDAY(Main[[#This Row],[Tech Start Date]],15),IF(Main[[#This Row],[Class]]="A",WORKDAY(Main[[#This Row],[Tech Start Date]],5),""))))</f>
        <v/>
      </c>
      <c r="P1365" s="73" t="str">
        <f>IF(Main[[#This Row],[Tech Start Date]]&lt;1/1/1990,"",IF(Main[[#This Row],[Class]]="C",WORKDAY(Main[[#This Row],[Tech Start Date]],28),IF(Main[[#This Row],[Class]]="B", WORKDAY(Main[[#This Row],[Tech Start Date]],19),IF(Main[[#This Row],[Class]]="A",WORKDAY(Main[[#This Row],[Tech Start Date]],9),""))))</f>
        <v/>
      </c>
      <c r="Q1365" s="85">
        <v>40952</v>
      </c>
      <c r="R1365" s="112"/>
      <c r="S1365" s="95" t="s">
        <v>6</v>
      </c>
      <c r="T1365" s="74" t="s">
        <v>4</v>
      </c>
      <c r="U1365" s="95" t="s">
        <v>29</v>
      </c>
      <c r="V1365" s="95" t="s">
        <v>1914</v>
      </c>
      <c r="W1365" s="95" t="s">
        <v>1915</v>
      </c>
      <c r="X1365" s="95" t="s">
        <v>2802</v>
      </c>
      <c r="Y1365" s="72" t="s">
        <v>2916</v>
      </c>
      <c r="Z1365" s="72" t="s">
        <v>30</v>
      </c>
      <c r="AA1365" s="95" t="s">
        <v>2802</v>
      </c>
      <c r="AB1365" s="132"/>
      <c r="AC1365" s="132"/>
      <c r="AD1365" s="132"/>
      <c r="AE1365" s="63"/>
      <c r="AF1365" s="63"/>
      <c r="AG1365" s="63"/>
    </row>
    <row r="1366" spans="1:33" ht="17.2" customHeight="1">
      <c r="A1366" s="64" t="str">
        <f>IF(priority(Main[[#This Row],[Comments]])&lt;&gt;0, priority(Main[[#This Row],[Comments]]),"")</f>
        <v/>
      </c>
      <c r="B1366" s="60" t="s">
        <v>3264</v>
      </c>
      <c r="C1366" s="72" t="s">
        <v>4</v>
      </c>
      <c r="D1366" s="59" t="s">
        <v>3684</v>
      </c>
      <c r="E1366" s="85">
        <v>40933.494502314818</v>
      </c>
      <c r="F1366" s="85"/>
      <c r="G1366" s="64" t="str">
        <f>IF(stdProdLT(Main[[#This Row],[Comments]])=0.1,"N/A",IF(stdProdLT(Main[[#This Row],[Comments]])=0,"",TRIM(stdProdLT(Main[[#This Row],[Comments]]))))</f>
        <v/>
      </c>
      <c r="H1366" s="94" t="str">
        <f>IF(OR(Main[[#This Row],[Std. Prod. Lead Time]]="N/A",Main[[#This Row],[Std. Prod. Lead Time]]=""), "",IF(AND(Main[[#This Row],[In Stock Date]]&lt;&gt;"",Main[[#This Row],[Revised Due Date]]&lt;&gt;"",Main[[#This Row],[In Stock Date]]&lt;&gt;""),Main[[#This Row],[In Stock Date]]-Main[[#This Row],[Revised Due Date]],""))</f>
        <v/>
      </c>
      <c r="I1366" s="101" t="s">
        <v>69</v>
      </c>
      <c r="J1366" s="95" t="s">
        <v>70</v>
      </c>
      <c r="K1366" s="95" t="s">
        <v>1920</v>
      </c>
      <c r="L1366" s="85"/>
      <c r="M1366" s="73" t="str">
        <f>IF(Main[[#This Row],[Tech Start Date]]&lt;1/1/1990,"",IF(Main[[#This Row],[Class]]="C",WORKDAY(Main[[#This Row],[Tech Start Date]],9),IF(Main[[#This Row],[Class]]="B", WORKDAY(Main[[#This Row],[Tech Start Date]],6),IF(Main[[#This Row],[Class]]="A",WORKDAY(Main[[#This Row],[Tech Start Date]],2),""))))</f>
        <v/>
      </c>
      <c r="N1366" s="73" t="str">
        <f>IF(Main[[#This Row],[Tech Start Date]]&lt;1/1/1990,"",IF(Main[[#This Row],[Class]]="C",WORKDAY(Main[[#This Row],[Tech Start Date]],19),IF(Main[[#This Row],[Class]]="B", WORKDAY(Main[[#This Row],[Tech Start Date]],12),IF(Main[[#This Row],[Class]]="A",WORKDAY(Main[[#This Row],[Tech Start Date]],4),""))))</f>
        <v/>
      </c>
      <c r="O1366" s="73" t="str">
        <f>IF(Main[[#This Row],[Tech Start Date]]&lt;1/1/1990,"",IF(Main[[#This Row],[Class]]="C",WORKDAY(Main[[#This Row],[Tech Start Date]],23),IF(Main[[#This Row],[Class]]="B", WORKDAY(Main[[#This Row],[Tech Start Date]],15),IF(Main[[#This Row],[Class]]="A",WORKDAY(Main[[#This Row],[Tech Start Date]],5),""))))</f>
        <v/>
      </c>
      <c r="P1366" s="73" t="str">
        <f>IF(Main[[#This Row],[Tech Start Date]]&lt;1/1/1990,"",IF(Main[[#This Row],[Class]]="C",WORKDAY(Main[[#This Row],[Tech Start Date]],28),IF(Main[[#This Row],[Class]]="B", WORKDAY(Main[[#This Row],[Tech Start Date]],19),IF(Main[[#This Row],[Class]]="A",WORKDAY(Main[[#This Row],[Tech Start Date]],9),""))))</f>
        <v/>
      </c>
      <c r="Q1366" s="85">
        <v>40968</v>
      </c>
      <c r="R1366" s="112"/>
      <c r="S1366" s="95" t="s">
        <v>6</v>
      </c>
      <c r="T1366" s="74" t="s">
        <v>4</v>
      </c>
      <c r="U1366" s="95" t="s">
        <v>29</v>
      </c>
      <c r="V1366" s="95" t="s">
        <v>1914</v>
      </c>
      <c r="W1366" s="95" t="s">
        <v>1915</v>
      </c>
      <c r="X1366" s="95" t="s">
        <v>2798</v>
      </c>
      <c r="Y1366" s="72" t="s">
        <v>2908</v>
      </c>
      <c r="Z1366" s="72" t="s">
        <v>30</v>
      </c>
      <c r="AA1366" s="95" t="s">
        <v>2798</v>
      </c>
      <c r="AB1366" s="132"/>
      <c r="AC1366" s="132"/>
      <c r="AD1366" s="132"/>
      <c r="AE1366" s="63"/>
      <c r="AF1366" s="63"/>
      <c r="AG1366" s="63"/>
    </row>
    <row r="1367" spans="1:33" ht="17.2" customHeight="1">
      <c r="A1367" s="64" t="str">
        <f>IF(priority(Main[[#This Row],[Comments]])&lt;&gt;0, priority(Main[[#This Row],[Comments]]),"")</f>
        <v/>
      </c>
      <c r="B1367" s="60" t="s">
        <v>3524</v>
      </c>
      <c r="C1367" s="72" t="s">
        <v>4</v>
      </c>
      <c r="D1367" s="59" t="s">
        <v>3525</v>
      </c>
      <c r="E1367" s="85">
        <v>40952.380486111113</v>
      </c>
      <c r="F1367" s="85"/>
      <c r="G1367" s="64" t="str">
        <f>IF(stdProdLT(Main[[#This Row],[Comments]])=0.1,"N/A",IF(stdProdLT(Main[[#This Row],[Comments]])=0,"",TRIM(stdProdLT(Main[[#This Row],[Comments]]))))</f>
        <v/>
      </c>
      <c r="H1367" s="94" t="str">
        <f>IF(OR(Main[[#This Row],[Std. Prod. Lead Time]]="N/A",Main[[#This Row],[Std. Prod. Lead Time]]=""), "",IF(AND(Main[[#This Row],[In Stock Date]]&lt;&gt;"",Main[[#This Row],[Revised Due Date]]&lt;&gt;"",Main[[#This Row],[In Stock Date]]&lt;&gt;""),Main[[#This Row],[In Stock Date]]-Main[[#This Row],[Revised Due Date]],""))</f>
        <v/>
      </c>
      <c r="I1367" s="101" t="s">
        <v>4</v>
      </c>
      <c r="J1367" s="95" t="s">
        <v>4</v>
      </c>
      <c r="K1367" s="95" t="s">
        <v>4</v>
      </c>
      <c r="L1367" s="85"/>
      <c r="M1367" s="73" t="str">
        <f>IF(Main[[#This Row],[Tech Start Date]]&lt;1/1/1990,"",IF(Main[[#This Row],[Class]]="C",WORKDAY(Main[[#This Row],[Tech Start Date]],9),IF(Main[[#This Row],[Class]]="B", WORKDAY(Main[[#This Row],[Tech Start Date]],6),IF(Main[[#This Row],[Class]]="A",WORKDAY(Main[[#This Row],[Tech Start Date]],2),""))))</f>
        <v/>
      </c>
      <c r="N1367" s="73" t="str">
        <f>IF(Main[[#This Row],[Tech Start Date]]&lt;1/1/1990,"",IF(Main[[#This Row],[Class]]="C",WORKDAY(Main[[#This Row],[Tech Start Date]],19),IF(Main[[#This Row],[Class]]="B", WORKDAY(Main[[#This Row],[Tech Start Date]],12),IF(Main[[#This Row],[Class]]="A",WORKDAY(Main[[#This Row],[Tech Start Date]],4),""))))</f>
        <v/>
      </c>
      <c r="O1367" s="73" t="str">
        <f>IF(Main[[#This Row],[Tech Start Date]]&lt;1/1/1990,"",IF(Main[[#This Row],[Class]]="C",WORKDAY(Main[[#This Row],[Tech Start Date]],23),IF(Main[[#This Row],[Class]]="B", WORKDAY(Main[[#This Row],[Tech Start Date]],15),IF(Main[[#This Row],[Class]]="A",WORKDAY(Main[[#This Row],[Tech Start Date]],5),""))))</f>
        <v/>
      </c>
      <c r="P1367" s="73" t="str">
        <f>IF(Main[[#This Row],[Tech Start Date]]&lt;1/1/1990,"",IF(Main[[#This Row],[Class]]="C",WORKDAY(Main[[#This Row],[Tech Start Date]],28),IF(Main[[#This Row],[Class]]="B", WORKDAY(Main[[#This Row],[Tech Start Date]],19),IF(Main[[#This Row],[Class]]="A",WORKDAY(Main[[#This Row],[Tech Start Date]],9),""))))</f>
        <v/>
      </c>
      <c r="Q1367" s="85"/>
      <c r="R1367" s="112"/>
      <c r="S1367" s="95" t="s">
        <v>6</v>
      </c>
      <c r="T1367" s="74" t="s">
        <v>4</v>
      </c>
      <c r="U1367" s="95" t="s">
        <v>7</v>
      </c>
      <c r="V1367" s="95" t="s">
        <v>1911</v>
      </c>
      <c r="W1367" s="95" t="s">
        <v>4</v>
      </c>
      <c r="X1367" s="95" t="s">
        <v>2802</v>
      </c>
      <c r="Y1367" s="72" t="s">
        <v>2916</v>
      </c>
      <c r="Z1367" s="72" t="s">
        <v>4</v>
      </c>
      <c r="AA1367" s="95" t="s">
        <v>2802</v>
      </c>
      <c r="AB1367" s="132"/>
      <c r="AC1367" s="132"/>
      <c r="AD1367" s="132"/>
      <c r="AE1367" s="63"/>
      <c r="AF1367" s="63"/>
      <c r="AG1367" s="63"/>
    </row>
    <row r="1368" spans="1:33" ht="17.2" customHeight="1">
      <c r="A1368" s="64" t="str">
        <f>IF(priority(Main[[#This Row],[Comments]])&lt;&gt;0, priority(Main[[#This Row],[Comments]]),"")</f>
        <v/>
      </c>
      <c r="B1368" s="60" t="s">
        <v>3685</v>
      </c>
      <c r="C1368" s="72" t="s">
        <v>31</v>
      </c>
      <c r="D1368" s="59" t="s">
        <v>3686</v>
      </c>
      <c r="E1368" s="85">
        <v>40953.054039351853</v>
      </c>
      <c r="F1368" s="85">
        <v>40968</v>
      </c>
      <c r="G1368" s="64" t="str">
        <f>IF(stdProdLT(Main[[#This Row],[Comments]])=0.1,"N/A",IF(stdProdLT(Main[[#This Row],[Comments]])=0,"",TRIM(stdProdLT(Main[[#This Row],[Comments]]))))</f>
        <v/>
      </c>
      <c r="H1368" s="94" t="str">
        <f>IF(OR(Main[[#This Row],[Std. Prod. Lead Time]]="N/A",Main[[#This Row],[Std. Prod. Lead Time]]=""), "",IF(AND(Main[[#This Row],[In Stock Date]]&lt;&gt;"",Main[[#This Row],[Revised Due Date]]&lt;&gt;"",Main[[#This Row],[In Stock Date]]&lt;&gt;""),Main[[#This Row],[In Stock Date]]-Main[[#This Row],[Revised Due Date]],""))</f>
        <v/>
      </c>
      <c r="I1368" s="101" t="s">
        <v>4</v>
      </c>
      <c r="J1368" s="95" t="s">
        <v>4</v>
      </c>
      <c r="K1368" s="95" t="s">
        <v>4</v>
      </c>
      <c r="L1368" s="85"/>
      <c r="M1368" s="73" t="str">
        <f>IF(Main[[#This Row],[Tech Start Date]]&lt;1/1/1990,"",IF(Main[[#This Row],[Class]]="C",WORKDAY(Main[[#This Row],[Tech Start Date]],9),IF(Main[[#This Row],[Class]]="B", WORKDAY(Main[[#This Row],[Tech Start Date]],6),IF(Main[[#This Row],[Class]]="A",WORKDAY(Main[[#This Row],[Tech Start Date]],2),""))))</f>
        <v/>
      </c>
      <c r="N1368" s="73" t="str">
        <f>IF(Main[[#This Row],[Tech Start Date]]&lt;1/1/1990,"",IF(Main[[#This Row],[Class]]="C",WORKDAY(Main[[#This Row],[Tech Start Date]],19),IF(Main[[#This Row],[Class]]="B", WORKDAY(Main[[#This Row],[Tech Start Date]],12),IF(Main[[#This Row],[Class]]="A",WORKDAY(Main[[#This Row],[Tech Start Date]],4),""))))</f>
        <v/>
      </c>
      <c r="O1368" s="73" t="str">
        <f>IF(Main[[#This Row],[Tech Start Date]]&lt;1/1/1990,"",IF(Main[[#This Row],[Class]]="C",WORKDAY(Main[[#This Row],[Tech Start Date]],23),IF(Main[[#This Row],[Class]]="B", WORKDAY(Main[[#This Row],[Tech Start Date]],15),IF(Main[[#This Row],[Class]]="A",WORKDAY(Main[[#This Row],[Tech Start Date]],5),""))))</f>
        <v/>
      </c>
      <c r="P1368" s="73" t="str">
        <f>IF(Main[[#This Row],[Tech Start Date]]&lt;1/1/1990,"",IF(Main[[#This Row],[Class]]="C",WORKDAY(Main[[#This Row],[Tech Start Date]],28),IF(Main[[#This Row],[Class]]="B", WORKDAY(Main[[#This Row],[Tech Start Date]],19),IF(Main[[#This Row],[Class]]="A",WORKDAY(Main[[#This Row],[Tech Start Date]],9),""))))</f>
        <v/>
      </c>
      <c r="Q1368" s="85">
        <v>40967</v>
      </c>
      <c r="R1368" s="112"/>
      <c r="S1368" s="95" t="s">
        <v>11</v>
      </c>
      <c r="T1368" s="74" t="s">
        <v>4</v>
      </c>
      <c r="U1368" s="95" t="s">
        <v>7</v>
      </c>
      <c r="V1368" s="95" t="s">
        <v>1926</v>
      </c>
      <c r="W1368" s="95" t="s">
        <v>1916</v>
      </c>
      <c r="X1368" s="95" t="s">
        <v>2815</v>
      </c>
      <c r="Y1368" s="72" t="s">
        <v>4</v>
      </c>
      <c r="Z1368" s="72" t="s">
        <v>2205</v>
      </c>
      <c r="AA1368" s="95" t="s">
        <v>2815</v>
      </c>
      <c r="AB1368" s="132"/>
      <c r="AC1368" s="132"/>
      <c r="AD1368" s="132"/>
      <c r="AE1368" s="63"/>
      <c r="AF1368" s="63"/>
      <c r="AG1368" s="63"/>
    </row>
    <row r="1369" spans="1:33" ht="17.2" customHeight="1">
      <c r="A1369" s="64" t="str">
        <f>IF(priority(Main[[#This Row],[Comments]])&lt;&gt;0, priority(Main[[#This Row],[Comments]]),"")</f>
        <v/>
      </c>
      <c r="B1369" s="60" t="s">
        <v>2588</v>
      </c>
      <c r="C1369" s="72" t="s">
        <v>31</v>
      </c>
      <c r="D1369" s="59" t="s">
        <v>2589</v>
      </c>
      <c r="E1369" s="85"/>
      <c r="F1369" s="85">
        <v>40969</v>
      </c>
      <c r="G1369" s="64" t="str">
        <f>IF(stdProdLT(Main[[#This Row],[Comments]])=0.1,"N/A",IF(stdProdLT(Main[[#This Row],[Comments]])=0,"",TRIM(stdProdLT(Main[[#This Row],[Comments]]))))</f>
        <v/>
      </c>
      <c r="H1369" s="94" t="str">
        <f>IF(OR(Main[[#This Row],[Std. Prod. Lead Time]]="N/A",Main[[#This Row],[Std. Prod. Lead Time]]=""), "",IF(AND(Main[[#This Row],[In Stock Date]]&lt;&gt;"",Main[[#This Row],[Revised Due Date]]&lt;&gt;"",Main[[#This Row],[In Stock Date]]&lt;&gt;""),Main[[#This Row],[In Stock Date]]-Main[[#This Row],[Revised Due Date]],""))</f>
        <v/>
      </c>
      <c r="I1369" s="101" t="s">
        <v>4</v>
      </c>
      <c r="J1369" s="95" t="s">
        <v>4</v>
      </c>
      <c r="K1369" s="95" t="s">
        <v>4</v>
      </c>
      <c r="L1369" s="85"/>
      <c r="M1369" s="73" t="str">
        <f>IF(Main[[#This Row],[Tech Start Date]]&lt;1/1/1990,"",IF(Main[[#This Row],[Class]]="C",WORKDAY(Main[[#This Row],[Tech Start Date]],9),IF(Main[[#This Row],[Class]]="B", WORKDAY(Main[[#This Row],[Tech Start Date]],6),IF(Main[[#This Row],[Class]]="A",WORKDAY(Main[[#This Row],[Tech Start Date]],2),""))))</f>
        <v/>
      </c>
      <c r="N1369" s="73" t="str">
        <f>IF(Main[[#This Row],[Tech Start Date]]&lt;1/1/1990,"",IF(Main[[#This Row],[Class]]="C",WORKDAY(Main[[#This Row],[Tech Start Date]],19),IF(Main[[#This Row],[Class]]="B", WORKDAY(Main[[#This Row],[Tech Start Date]],12),IF(Main[[#This Row],[Class]]="A",WORKDAY(Main[[#This Row],[Tech Start Date]],4),""))))</f>
        <v/>
      </c>
      <c r="O1369" s="73" t="str">
        <f>IF(Main[[#This Row],[Tech Start Date]]&lt;1/1/1990,"",IF(Main[[#This Row],[Class]]="C",WORKDAY(Main[[#This Row],[Tech Start Date]],23),IF(Main[[#This Row],[Class]]="B", WORKDAY(Main[[#This Row],[Tech Start Date]],15),IF(Main[[#This Row],[Class]]="A",WORKDAY(Main[[#This Row],[Tech Start Date]],5),""))))</f>
        <v/>
      </c>
      <c r="P1369" s="73" t="str">
        <f>IF(Main[[#This Row],[Tech Start Date]]&lt;1/1/1990,"",IF(Main[[#This Row],[Class]]="C",WORKDAY(Main[[#This Row],[Tech Start Date]],28),IF(Main[[#This Row],[Class]]="B", WORKDAY(Main[[#This Row],[Tech Start Date]],19),IF(Main[[#This Row],[Class]]="A",WORKDAY(Main[[#This Row],[Tech Start Date]],9),""))))</f>
        <v/>
      </c>
      <c r="Q1369" s="85"/>
      <c r="R1369" s="112"/>
      <c r="S1369" s="95" t="s">
        <v>11</v>
      </c>
      <c r="T1369" s="74" t="s">
        <v>4</v>
      </c>
      <c r="U1369" s="95" t="s">
        <v>14</v>
      </c>
      <c r="V1369" s="95" t="s">
        <v>1911</v>
      </c>
      <c r="W1369" s="95" t="s">
        <v>1917</v>
      </c>
      <c r="X1369" s="95" t="s">
        <v>50</v>
      </c>
      <c r="Y1369" s="72" t="s">
        <v>3067</v>
      </c>
      <c r="Z1369" s="72" t="s">
        <v>4</v>
      </c>
      <c r="AA1369" s="95" t="s">
        <v>2820</v>
      </c>
      <c r="AB1369" s="132"/>
      <c r="AC1369" s="132"/>
      <c r="AD1369" s="132"/>
      <c r="AE1369" s="63"/>
      <c r="AF1369" s="63"/>
      <c r="AG1369" s="63"/>
    </row>
    <row r="1370" spans="1:33" ht="17.2" customHeight="1">
      <c r="A1370" s="64" t="str">
        <f>IF(priority(Main[[#This Row],[Comments]])&lt;&gt;0, priority(Main[[#This Row],[Comments]]),"")</f>
        <v/>
      </c>
      <c r="B1370" s="60" t="s">
        <v>2538</v>
      </c>
      <c r="C1370" s="72" t="s">
        <v>2539</v>
      </c>
      <c r="D1370" s="59" t="s">
        <v>3692</v>
      </c>
      <c r="E1370" s="85">
        <v>40855.339328703703</v>
      </c>
      <c r="F1370" s="85">
        <v>40890</v>
      </c>
      <c r="G1370" s="64" t="str">
        <f>IF(stdProdLT(Main[[#This Row],[Comments]])=0.1,"N/A",IF(stdProdLT(Main[[#This Row],[Comments]])=0,"",TRIM(stdProdLT(Main[[#This Row],[Comments]]))))</f>
        <v>84</v>
      </c>
      <c r="H1370" s="94" t="str">
        <f>IF(OR(Main[[#This Row],[Std. Prod. Lead Time]]="N/A",Main[[#This Row],[Std. Prod. Lead Time]]=""), "",IF(AND(Main[[#This Row],[In Stock Date]]&lt;&gt;"",Main[[#This Row],[Revised Due Date]]&lt;&gt;"",Main[[#This Row],[In Stock Date]]&lt;&gt;""),Main[[#This Row],[In Stock Date]]-Main[[#This Row],[Revised Due Date]],""))</f>
        <v/>
      </c>
      <c r="I1370" s="101" t="s">
        <v>126</v>
      </c>
      <c r="J1370" s="95" t="s">
        <v>28</v>
      </c>
      <c r="K1370" s="95" t="s">
        <v>4</v>
      </c>
      <c r="L1370" s="85"/>
      <c r="M1370" s="73" t="str">
        <f>IF(Main[[#This Row],[Tech Start Date]]&lt;1/1/1990,"",IF(Main[[#This Row],[Class]]="C",WORKDAY(Main[[#This Row],[Tech Start Date]],9),IF(Main[[#This Row],[Class]]="B", WORKDAY(Main[[#This Row],[Tech Start Date]],6),IF(Main[[#This Row],[Class]]="A",WORKDAY(Main[[#This Row],[Tech Start Date]],2),""))))</f>
        <v/>
      </c>
      <c r="N1370" s="73" t="str">
        <f>IF(Main[[#This Row],[Tech Start Date]]&lt;1/1/1990,"",IF(Main[[#This Row],[Class]]="C",WORKDAY(Main[[#This Row],[Tech Start Date]],19),IF(Main[[#This Row],[Class]]="B", WORKDAY(Main[[#This Row],[Tech Start Date]],12),IF(Main[[#This Row],[Class]]="A",WORKDAY(Main[[#This Row],[Tech Start Date]],4),""))))</f>
        <v/>
      </c>
      <c r="O1370" s="73" t="str">
        <f>IF(Main[[#This Row],[Tech Start Date]]&lt;1/1/1990,"",IF(Main[[#This Row],[Class]]="C",WORKDAY(Main[[#This Row],[Tech Start Date]],23),IF(Main[[#This Row],[Class]]="B", WORKDAY(Main[[#This Row],[Tech Start Date]],15),IF(Main[[#This Row],[Class]]="A",WORKDAY(Main[[#This Row],[Tech Start Date]],5),""))))</f>
        <v/>
      </c>
      <c r="P1370" s="73" t="str">
        <f>IF(Main[[#This Row],[Tech Start Date]]&lt;1/1/1990,"",IF(Main[[#This Row],[Class]]="C",WORKDAY(Main[[#This Row],[Tech Start Date]],28),IF(Main[[#This Row],[Class]]="B", WORKDAY(Main[[#This Row],[Tech Start Date]],19),IF(Main[[#This Row],[Class]]="A",WORKDAY(Main[[#This Row],[Tech Start Date]],9),""))))</f>
        <v/>
      </c>
      <c r="Q1370" s="85">
        <v>40877</v>
      </c>
      <c r="R1370" s="112"/>
      <c r="S1370" s="95" t="s">
        <v>11</v>
      </c>
      <c r="T1370" s="74" t="s">
        <v>3693</v>
      </c>
      <c r="U1370" s="95" t="s">
        <v>534</v>
      </c>
      <c r="V1370" s="95" t="s">
        <v>1911</v>
      </c>
      <c r="W1370" s="95" t="s">
        <v>1925</v>
      </c>
      <c r="X1370" s="95" t="s">
        <v>2885</v>
      </c>
      <c r="Y1370" s="72" t="s">
        <v>3109</v>
      </c>
      <c r="Z1370" s="72" t="s">
        <v>4</v>
      </c>
      <c r="AA1370" s="95" t="s">
        <v>3425</v>
      </c>
      <c r="AB1370" s="132"/>
      <c r="AC1370" s="132"/>
      <c r="AD1370" s="132"/>
      <c r="AE1370" s="63"/>
      <c r="AF1370" s="63"/>
      <c r="AG1370" s="63"/>
    </row>
    <row r="1371" spans="1:33" ht="17.2" customHeight="1">
      <c r="A1371" s="64" t="str">
        <f>IF(priority(Main[[#This Row],[Comments]])&lt;&gt;0, priority(Main[[#This Row],[Comments]]),"")</f>
        <v/>
      </c>
      <c r="B1371" s="60" t="s">
        <v>1672</v>
      </c>
      <c r="C1371" s="72" t="s">
        <v>37</v>
      </c>
      <c r="D1371" s="59" t="s">
        <v>2585</v>
      </c>
      <c r="E1371" s="85">
        <v>40681.624918981484</v>
      </c>
      <c r="F1371" s="85"/>
      <c r="G1371" s="64" t="str">
        <f>IF(stdProdLT(Main[[#This Row],[Comments]])=0.1,"N/A",IF(stdProdLT(Main[[#This Row],[Comments]])=0,"",TRIM(stdProdLT(Main[[#This Row],[Comments]]))))</f>
        <v/>
      </c>
      <c r="H1371" s="94" t="str">
        <f>IF(OR(Main[[#This Row],[Std. Prod. Lead Time]]="N/A",Main[[#This Row],[Std. Prod. Lead Time]]=""), "",IF(AND(Main[[#This Row],[In Stock Date]]&lt;&gt;"",Main[[#This Row],[Revised Due Date]]&lt;&gt;"",Main[[#This Row],[In Stock Date]]&lt;&gt;""),Main[[#This Row],[In Stock Date]]-Main[[#This Row],[Revised Due Date]],""))</f>
        <v/>
      </c>
      <c r="I1371" s="101" t="s">
        <v>4</v>
      </c>
      <c r="J1371" s="95" t="s">
        <v>4</v>
      </c>
      <c r="K1371" s="96" t="s">
        <v>4</v>
      </c>
      <c r="L1371" s="85"/>
      <c r="M1371" s="73" t="str">
        <f>IF(Main[[#This Row],[Tech Start Date]]&lt;1/1/1990,"",IF(Main[[#This Row],[Class]]="C",WORKDAY(Main[[#This Row],[Tech Start Date]],9),IF(Main[[#This Row],[Class]]="B", WORKDAY(Main[[#This Row],[Tech Start Date]],6),IF(Main[[#This Row],[Class]]="A",WORKDAY(Main[[#This Row],[Tech Start Date]],2),""))))</f>
        <v/>
      </c>
      <c r="N1371" s="73" t="str">
        <f>IF(Main[[#This Row],[Tech Start Date]]&lt;1/1/1990,"",IF(Main[[#This Row],[Class]]="C",WORKDAY(Main[[#This Row],[Tech Start Date]],19),IF(Main[[#This Row],[Class]]="B", WORKDAY(Main[[#This Row],[Tech Start Date]],12),IF(Main[[#This Row],[Class]]="A",WORKDAY(Main[[#This Row],[Tech Start Date]],4),""))))</f>
        <v/>
      </c>
      <c r="O1371" s="73" t="str">
        <f>IF(Main[[#This Row],[Tech Start Date]]&lt;1/1/1990,"",IF(Main[[#This Row],[Class]]="C",WORKDAY(Main[[#This Row],[Tech Start Date]],23),IF(Main[[#This Row],[Class]]="B", WORKDAY(Main[[#This Row],[Tech Start Date]],15),IF(Main[[#This Row],[Class]]="A",WORKDAY(Main[[#This Row],[Tech Start Date]],5),""))))</f>
        <v/>
      </c>
      <c r="P1371" s="73" t="str">
        <f>IF(Main[[#This Row],[Tech Start Date]]&lt;1/1/1990,"",IF(Main[[#This Row],[Class]]="C",WORKDAY(Main[[#This Row],[Tech Start Date]],28),IF(Main[[#This Row],[Class]]="B", WORKDAY(Main[[#This Row],[Tech Start Date]],19),IF(Main[[#This Row],[Class]]="A",WORKDAY(Main[[#This Row],[Tech Start Date]],9),""))))</f>
        <v/>
      </c>
      <c r="Q1371" s="85"/>
      <c r="R1371" s="112"/>
      <c r="S1371" s="95" t="s">
        <v>6</v>
      </c>
      <c r="T1371" s="74" t="s">
        <v>4</v>
      </c>
      <c r="U1371" s="95" t="s">
        <v>534</v>
      </c>
      <c r="V1371" s="95" t="s">
        <v>1911</v>
      </c>
      <c r="W1371" s="95" t="s">
        <v>1922</v>
      </c>
      <c r="X1371" s="95" t="s">
        <v>970</v>
      </c>
      <c r="Y1371" s="72" t="s">
        <v>3075</v>
      </c>
      <c r="Z1371" s="72" t="s">
        <v>4</v>
      </c>
      <c r="AA1371" s="95" t="s">
        <v>970</v>
      </c>
      <c r="AB1371" s="132"/>
      <c r="AC1371" s="132"/>
      <c r="AD1371" s="132"/>
      <c r="AE1371" s="63"/>
      <c r="AF1371" s="63"/>
      <c r="AG1371" s="63"/>
    </row>
    <row r="1372" spans="1:33" ht="17.2" customHeight="1">
      <c r="A1372" s="64" t="str">
        <f>IF(priority(Main[[#This Row],[Comments]])&lt;&gt;0, priority(Main[[#This Row],[Comments]]),"")</f>
        <v/>
      </c>
      <c r="B1372" s="60" t="s">
        <v>3848</v>
      </c>
      <c r="C1372" s="72" t="s">
        <v>4</v>
      </c>
      <c r="D1372" s="59" t="s">
        <v>3849</v>
      </c>
      <c r="E1372" s="85">
        <v>40970.354178240741</v>
      </c>
      <c r="F1372" s="85"/>
      <c r="G1372" s="64" t="str">
        <f>IF(stdProdLT(Main[[#This Row],[Comments]])=0.1,"N/A",IF(stdProdLT(Main[[#This Row],[Comments]])=0,"",TRIM(stdProdLT(Main[[#This Row],[Comments]]))))</f>
        <v/>
      </c>
      <c r="H1372" s="94" t="str">
        <f>IF(OR(Main[[#This Row],[Std. Prod. Lead Time]]="N/A",Main[[#This Row],[Std. Prod. Lead Time]]=""), "",IF(AND(Main[[#This Row],[In Stock Date]]&lt;&gt;"",Main[[#This Row],[Revised Due Date]]&lt;&gt;"",Main[[#This Row],[In Stock Date]]&lt;&gt;""),Main[[#This Row],[In Stock Date]]-Main[[#This Row],[Revised Due Date]],""))</f>
        <v/>
      </c>
      <c r="I1372" s="101" t="s">
        <v>4</v>
      </c>
      <c r="J1372" s="95" t="s">
        <v>4</v>
      </c>
      <c r="K1372" s="95" t="s">
        <v>4</v>
      </c>
      <c r="L1372" s="85"/>
      <c r="M1372" s="73" t="str">
        <f>IF(Main[[#This Row],[Tech Start Date]]&lt;1/1/1990,"",IF(Main[[#This Row],[Class]]="C",WORKDAY(Main[[#This Row],[Tech Start Date]],9),IF(Main[[#This Row],[Class]]="B", WORKDAY(Main[[#This Row],[Tech Start Date]],6),IF(Main[[#This Row],[Class]]="A",WORKDAY(Main[[#This Row],[Tech Start Date]],2),""))))</f>
        <v/>
      </c>
      <c r="N1372" s="73" t="str">
        <f>IF(Main[[#This Row],[Tech Start Date]]&lt;1/1/1990,"",IF(Main[[#This Row],[Class]]="C",WORKDAY(Main[[#This Row],[Tech Start Date]],19),IF(Main[[#This Row],[Class]]="B", WORKDAY(Main[[#This Row],[Tech Start Date]],12),IF(Main[[#This Row],[Class]]="A",WORKDAY(Main[[#This Row],[Tech Start Date]],4),""))))</f>
        <v/>
      </c>
      <c r="O1372" s="73" t="str">
        <f>IF(Main[[#This Row],[Tech Start Date]]&lt;1/1/1990,"",IF(Main[[#This Row],[Class]]="C",WORKDAY(Main[[#This Row],[Tech Start Date]],23),IF(Main[[#This Row],[Class]]="B", WORKDAY(Main[[#This Row],[Tech Start Date]],15),IF(Main[[#This Row],[Class]]="A",WORKDAY(Main[[#This Row],[Tech Start Date]],5),""))))</f>
        <v/>
      </c>
      <c r="P1372" s="73" t="str">
        <f>IF(Main[[#This Row],[Tech Start Date]]&lt;1/1/1990,"",IF(Main[[#This Row],[Class]]="C",WORKDAY(Main[[#This Row],[Tech Start Date]],28),IF(Main[[#This Row],[Class]]="B", WORKDAY(Main[[#This Row],[Tech Start Date]],19),IF(Main[[#This Row],[Class]]="A",WORKDAY(Main[[#This Row],[Tech Start Date]],9),""))))</f>
        <v/>
      </c>
      <c r="Q1372" s="85"/>
      <c r="R1372" s="112"/>
      <c r="S1372" s="95" t="s">
        <v>6</v>
      </c>
      <c r="T1372" s="74" t="s">
        <v>4</v>
      </c>
      <c r="U1372" s="95" t="s">
        <v>7</v>
      </c>
      <c r="V1372" s="95" t="s">
        <v>1914</v>
      </c>
      <c r="W1372" s="95" t="s">
        <v>1915</v>
      </c>
      <c r="X1372" s="95" t="s">
        <v>2821</v>
      </c>
      <c r="Y1372" s="72" t="s">
        <v>2949</v>
      </c>
      <c r="Z1372" s="72" t="s">
        <v>4</v>
      </c>
      <c r="AA1372" s="95" t="s">
        <v>2821</v>
      </c>
      <c r="AB1372" s="132"/>
      <c r="AC1372" s="132"/>
      <c r="AD1372" s="132"/>
      <c r="AE1372" s="63"/>
      <c r="AF1372" s="63"/>
      <c r="AG1372" s="63"/>
    </row>
    <row r="1373" spans="1:33" ht="17.2" customHeight="1">
      <c r="A1373" s="64" t="str">
        <f>IF(priority(Main[[#This Row],[Comments]])&lt;&gt;0, priority(Main[[#This Row],[Comments]]),"")</f>
        <v/>
      </c>
      <c r="B1373" s="60" t="s">
        <v>3962</v>
      </c>
      <c r="C1373" s="72" t="s">
        <v>4</v>
      </c>
      <c r="D1373" s="59" t="s">
        <v>3963</v>
      </c>
      <c r="E1373" s="85">
        <v>40970.970358796294</v>
      </c>
      <c r="F1373" s="85"/>
      <c r="G1373" s="64" t="str">
        <f>IF(stdProdLT(Main[[#This Row],[Comments]])=0.1,"N/A",IF(stdProdLT(Main[[#This Row],[Comments]])=0,"",TRIM(stdProdLT(Main[[#This Row],[Comments]]))))</f>
        <v/>
      </c>
      <c r="H1373" s="94" t="str">
        <f>IF(OR(Main[[#This Row],[Std. Prod. Lead Time]]="N/A",Main[[#This Row],[Std. Prod. Lead Time]]=""), "",IF(AND(Main[[#This Row],[In Stock Date]]&lt;&gt;"",Main[[#This Row],[Revised Due Date]]&lt;&gt;"",Main[[#This Row],[In Stock Date]]&lt;&gt;""),Main[[#This Row],[In Stock Date]]-Main[[#This Row],[Revised Due Date]],""))</f>
        <v/>
      </c>
      <c r="I1373" s="101" t="s">
        <v>4</v>
      </c>
      <c r="J1373" s="95" t="s">
        <v>4</v>
      </c>
      <c r="K1373" s="95" t="s">
        <v>4</v>
      </c>
      <c r="L1373" s="85"/>
      <c r="M1373" s="73" t="str">
        <f>IF(Main[[#This Row],[Tech Start Date]]&lt;1/1/1990,"",IF(Main[[#This Row],[Class]]="C",WORKDAY(Main[[#This Row],[Tech Start Date]],9),IF(Main[[#This Row],[Class]]="B", WORKDAY(Main[[#This Row],[Tech Start Date]],6),IF(Main[[#This Row],[Class]]="A",WORKDAY(Main[[#This Row],[Tech Start Date]],2),""))))</f>
        <v/>
      </c>
      <c r="N1373" s="73" t="str">
        <f>IF(Main[[#This Row],[Tech Start Date]]&lt;1/1/1990,"",IF(Main[[#This Row],[Class]]="C",WORKDAY(Main[[#This Row],[Tech Start Date]],19),IF(Main[[#This Row],[Class]]="B", WORKDAY(Main[[#This Row],[Tech Start Date]],12),IF(Main[[#This Row],[Class]]="A",WORKDAY(Main[[#This Row],[Tech Start Date]],4),""))))</f>
        <v/>
      </c>
      <c r="O1373" s="73" t="str">
        <f>IF(Main[[#This Row],[Tech Start Date]]&lt;1/1/1990,"",IF(Main[[#This Row],[Class]]="C",WORKDAY(Main[[#This Row],[Tech Start Date]],23),IF(Main[[#This Row],[Class]]="B", WORKDAY(Main[[#This Row],[Tech Start Date]],15),IF(Main[[#This Row],[Class]]="A",WORKDAY(Main[[#This Row],[Tech Start Date]],5),""))))</f>
        <v/>
      </c>
      <c r="P1373" s="73" t="str">
        <f>IF(Main[[#This Row],[Tech Start Date]]&lt;1/1/1990,"",IF(Main[[#This Row],[Class]]="C",WORKDAY(Main[[#This Row],[Tech Start Date]],28),IF(Main[[#This Row],[Class]]="B", WORKDAY(Main[[#This Row],[Tech Start Date]],19),IF(Main[[#This Row],[Class]]="A",WORKDAY(Main[[#This Row],[Tech Start Date]],9),""))))</f>
        <v/>
      </c>
      <c r="Q1373" s="85">
        <v>40984</v>
      </c>
      <c r="R1373" s="112"/>
      <c r="S1373" s="95" t="s">
        <v>6</v>
      </c>
      <c r="T1373" s="74" t="s">
        <v>4</v>
      </c>
      <c r="U1373" s="95" t="s">
        <v>7</v>
      </c>
      <c r="V1373" s="95" t="s">
        <v>1911</v>
      </c>
      <c r="W1373" s="95" t="s">
        <v>1919</v>
      </c>
      <c r="X1373" s="95" t="s">
        <v>2801</v>
      </c>
      <c r="Y1373" s="72" t="s">
        <v>2914</v>
      </c>
      <c r="Z1373" s="72" t="s">
        <v>4</v>
      </c>
      <c r="AA1373" s="95" t="s">
        <v>2801</v>
      </c>
      <c r="AB1373" s="132"/>
      <c r="AC1373" s="132"/>
      <c r="AD1373" s="132"/>
      <c r="AE1373" s="63"/>
      <c r="AF1373" s="63"/>
      <c r="AG1373" s="63"/>
    </row>
    <row r="1374" spans="1:33" ht="17.2" customHeight="1">
      <c r="A1374" s="64" t="str">
        <f>IF(priority(Main[[#This Row],[Comments]])&lt;&gt;0, priority(Main[[#This Row],[Comments]]),"")</f>
        <v/>
      </c>
      <c r="B1374" s="60" t="s">
        <v>1026</v>
      </c>
      <c r="C1374" s="72" t="s">
        <v>4</v>
      </c>
      <c r="D1374" s="59" t="s">
        <v>3546</v>
      </c>
      <c r="E1374" s="85">
        <v>40294.37054398148</v>
      </c>
      <c r="F1374" s="85"/>
      <c r="G1374" s="64" t="str">
        <f>IF(stdProdLT(Main[[#This Row],[Comments]])=0.1,"N/A",IF(stdProdLT(Main[[#This Row],[Comments]])=0,"",TRIM(stdProdLT(Main[[#This Row],[Comments]]))))</f>
        <v/>
      </c>
      <c r="H1374" s="94" t="str">
        <f>IF(OR(Main[[#This Row],[Std. Prod. Lead Time]]="N/A",Main[[#This Row],[Std. Prod. Lead Time]]=""), "",IF(AND(Main[[#This Row],[In Stock Date]]&lt;&gt;"",Main[[#This Row],[Revised Due Date]]&lt;&gt;"",Main[[#This Row],[In Stock Date]]&lt;&gt;""),Main[[#This Row],[In Stock Date]]-Main[[#This Row],[Revised Due Date]],""))</f>
        <v/>
      </c>
      <c r="I1374" s="101" t="s">
        <v>2202</v>
      </c>
      <c r="J1374" s="95" t="s">
        <v>75</v>
      </c>
      <c r="K1374" s="96" t="s">
        <v>1920</v>
      </c>
      <c r="L1374" s="85"/>
      <c r="M1374" s="73" t="str">
        <f>IF(Main[[#This Row],[Tech Start Date]]&lt;1/1/1990,"",IF(Main[[#This Row],[Class]]="C",WORKDAY(Main[[#This Row],[Tech Start Date]],9),IF(Main[[#This Row],[Class]]="B", WORKDAY(Main[[#This Row],[Tech Start Date]],6),IF(Main[[#This Row],[Class]]="A",WORKDAY(Main[[#This Row],[Tech Start Date]],2),""))))</f>
        <v/>
      </c>
      <c r="N1374" s="73" t="str">
        <f>IF(Main[[#This Row],[Tech Start Date]]&lt;1/1/1990,"",IF(Main[[#This Row],[Class]]="C",WORKDAY(Main[[#This Row],[Tech Start Date]],19),IF(Main[[#This Row],[Class]]="B", WORKDAY(Main[[#This Row],[Tech Start Date]],12),IF(Main[[#This Row],[Class]]="A",WORKDAY(Main[[#This Row],[Tech Start Date]],4),""))))</f>
        <v/>
      </c>
      <c r="O1374" s="73" t="str">
        <f>IF(Main[[#This Row],[Tech Start Date]]&lt;1/1/1990,"",IF(Main[[#This Row],[Class]]="C",WORKDAY(Main[[#This Row],[Tech Start Date]],23),IF(Main[[#This Row],[Class]]="B", WORKDAY(Main[[#This Row],[Tech Start Date]],15),IF(Main[[#This Row],[Class]]="A",WORKDAY(Main[[#This Row],[Tech Start Date]],5),""))))</f>
        <v/>
      </c>
      <c r="P1374" s="73" t="str">
        <f>IF(Main[[#This Row],[Tech Start Date]]&lt;1/1/1990,"",IF(Main[[#This Row],[Class]]="C",WORKDAY(Main[[#This Row],[Tech Start Date]],28),IF(Main[[#This Row],[Class]]="B", WORKDAY(Main[[#This Row],[Tech Start Date]],19),IF(Main[[#This Row],[Class]]="A",WORKDAY(Main[[#This Row],[Tech Start Date]],9),""))))</f>
        <v/>
      </c>
      <c r="Q1374" s="85">
        <v>40909</v>
      </c>
      <c r="R1374" s="112"/>
      <c r="S1374" s="95" t="s">
        <v>6</v>
      </c>
      <c r="T1374" s="74" t="s">
        <v>4</v>
      </c>
      <c r="U1374" s="95" t="s">
        <v>29</v>
      </c>
      <c r="V1374" s="95" t="s">
        <v>1914</v>
      </c>
      <c r="W1374" s="95" t="s">
        <v>1915</v>
      </c>
      <c r="X1374" s="95" t="s">
        <v>2799</v>
      </c>
      <c r="Y1374" s="72" t="s">
        <v>2910</v>
      </c>
      <c r="Z1374" s="72" t="s">
        <v>239</v>
      </c>
      <c r="AA1374" s="95" t="s">
        <v>2799</v>
      </c>
      <c r="AB1374" s="132">
        <v>40962</v>
      </c>
      <c r="AC1374" s="132">
        <v>40974</v>
      </c>
      <c r="AD1374" s="132"/>
      <c r="AE1374" s="63"/>
      <c r="AF1374" s="63"/>
      <c r="AG1374" s="63"/>
    </row>
    <row r="1375" spans="1:33" ht="17.2" customHeight="1">
      <c r="A1375" s="64" t="str">
        <f>IF(priority(Main[[#This Row],[Comments]])&lt;&gt;0, priority(Main[[#This Row],[Comments]]),"")</f>
        <v/>
      </c>
      <c r="B1375" s="60" t="s">
        <v>3231</v>
      </c>
      <c r="C1375" s="72" t="s">
        <v>4</v>
      </c>
      <c r="D1375" s="59" t="s">
        <v>3691</v>
      </c>
      <c r="E1375" s="85">
        <v>40934.394444444442</v>
      </c>
      <c r="F1375" s="85"/>
      <c r="G1375" s="64" t="str">
        <f>IF(stdProdLT(Main[[#This Row],[Comments]])=0.1,"N/A",IF(stdProdLT(Main[[#This Row],[Comments]])=0,"",TRIM(stdProdLT(Main[[#This Row],[Comments]]))))</f>
        <v/>
      </c>
      <c r="H1375" s="94" t="str">
        <f>IF(OR(Main[[#This Row],[Std. Prod. Lead Time]]="N/A",Main[[#This Row],[Std. Prod. Lead Time]]=""), "",IF(AND(Main[[#This Row],[In Stock Date]]&lt;&gt;"",Main[[#This Row],[Revised Due Date]]&lt;&gt;"",Main[[#This Row],[In Stock Date]]&lt;&gt;""),Main[[#This Row],[In Stock Date]]-Main[[#This Row],[Revised Due Date]],""))</f>
        <v/>
      </c>
      <c r="I1375" s="101" t="s">
        <v>69</v>
      </c>
      <c r="J1375" s="95" t="s">
        <v>70</v>
      </c>
      <c r="K1375" s="95" t="s">
        <v>1920</v>
      </c>
      <c r="L1375" s="85"/>
      <c r="M1375" s="73" t="str">
        <f>IF(Main[[#This Row],[Tech Start Date]]&lt;1/1/1990,"",IF(Main[[#This Row],[Class]]="C",WORKDAY(Main[[#This Row],[Tech Start Date]],9),IF(Main[[#This Row],[Class]]="B", WORKDAY(Main[[#This Row],[Tech Start Date]],6),IF(Main[[#This Row],[Class]]="A",WORKDAY(Main[[#This Row],[Tech Start Date]],2),""))))</f>
        <v/>
      </c>
      <c r="N1375" s="73" t="str">
        <f>IF(Main[[#This Row],[Tech Start Date]]&lt;1/1/1990,"",IF(Main[[#This Row],[Class]]="C",WORKDAY(Main[[#This Row],[Tech Start Date]],19),IF(Main[[#This Row],[Class]]="B", WORKDAY(Main[[#This Row],[Tech Start Date]],12),IF(Main[[#This Row],[Class]]="A",WORKDAY(Main[[#This Row],[Tech Start Date]],4),""))))</f>
        <v/>
      </c>
      <c r="O1375" s="73" t="str">
        <f>IF(Main[[#This Row],[Tech Start Date]]&lt;1/1/1990,"",IF(Main[[#This Row],[Class]]="C",WORKDAY(Main[[#This Row],[Tech Start Date]],23),IF(Main[[#This Row],[Class]]="B", WORKDAY(Main[[#This Row],[Tech Start Date]],15),IF(Main[[#This Row],[Class]]="A",WORKDAY(Main[[#This Row],[Tech Start Date]],5),""))))</f>
        <v/>
      </c>
      <c r="P1375" s="73" t="str">
        <f>IF(Main[[#This Row],[Tech Start Date]]&lt;1/1/1990,"",IF(Main[[#This Row],[Class]]="C",WORKDAY(Main[[#This Row],[Tech Start Date]],28),IF(Main[[#This Row],[Class]]="B", WORKDAY(Main[[#This Row],[Tech Start Date]],19),IF(Main[[#This Row],[Class]]="A",WORKDAY(Main[[#This Row],[Tech Start Date]],9),""))))</f>
        <v/>
      </c>
      <c r="Q1375" s="85">
        <v>40968</v>
      </c>
      <c r="R1375" s="112"/>
      <c r="S1375" s="95" t="s">
        <v>6</v>
      </c>
      <c r="T1375" s="74" t="s">
        <v>4</v>
      </c>
      <c r="U1375" s="95" t="s">
        <v>29</v>
      </c>
      <c r="V1375" s="95" t="s">
        <v>1914</v>
      </c>
      <c r="W1375" s="95" t="s">
        <v>1915</v>
      </c>
      <c r="X1375" s="95" t="s">
        <v>2798</v>
      </c>
      <c r="Y1375" s="72" t="s">
        <v>2908</v>
      </c>
      <c r="Z1375" s="72" t="s">
        <v>30</v>
      </c>
      <c r="AA1375" s="95" t="s">
        <v>2798</v>
      </c>
      <c r="AB1375" s="132"/>
      <c r="AC1375" s="132"/>
      <c r="AD1375" s="132"/>
      <c r="AE1375" s="63"/>
      <c r="AF1375" s="63"/>
      <c r="AG1375" s="63"/>
    </row>
    <row r="1376" spans="1:33" ht="17.2" customHeight="1">
      <c r="A1376" s="64" t="str">
        <f>IF(priority(Main[[#This Row],[Comments]])&lt;&gt;0, priority(Main[[#This Row],[Comments]]),"")</f>
        <v/>
      </c>
      <c r="B1376" s="60" t="s">
        <v>3689</v>
      </c>
      <c r="C1376" s="72" t="s">
        <v>4</v>
      </c>
      <c r="D1376" s="59" t="s">
        <v>3690</v>
      </c>
      <c r="E1376" s="85">
        <v>40967.485150462962</v>
      </c>
      <c r="F1376" s="85"/>
      <c r="G1376" s="64" t="str">
        <f>IF(stdProdLT(Main[[#This Row],[Comments]])=0.1,"N/A",IF(stdProdLT(Main[[#This Row],[Comments]])=0,"",TRIM(stdProdLT(Main[[#This Row],[Comments]]))))</f>
        <v/>
      </c>
      <c r="H1376" s="94" t="str">
        <f>IF(OR(Main[[#This Row],[Std. Prod. Lead Time]]="N/A",Main[[#This Row],[Std. Prod. Lead Time]]=""), "",IF(AND(Main[[#This Row],[In Stock Date]]&lt;&gt;"",Main[[#This Row],[Revised Due Date]]&lt;&gt;"",Main[[#This Row],[In Stock Date]]&lt;&gt;""),Main[[#This Row],[In Stock Date]]-Main[[#This Row],[Revised Due Date]],""))</f>
        <v/>
      </c>
      <c r="I1376" s="101" t="s">
        <v>2045</v>
      </c>
      <c r="J1376" s="95" t="s">
        <v>28</v>
      </c>
      <c r="K1376" s="96" t="s">
        <v>4</v>
      </c>
      <c r="L1376" s="85"/>
      <c r="M1376" s="73" t="str">
        <f>IF(Main[[#This Row],[Tech Start Date]]&lt;1/1/1990,"",IF(Main[[#This Row],[Class]]="C",WORKDAY(Main[[#This Row],[Tech Start Date]],9),IF(Main[[#This Row],[Class]]="B", WORKDAY(Main[[#This Row],[Tech Start Date]],6),IF(Main[[#This Row],[Class]]="A",WORKDAY(Main[[#This Row],[Tech Start Date]],2),""))))</f>
        <v/>
      </c>
      <c r="N1376" s="73" t="str">
        <f>IF(Main[[#This Row],[Tech Start Date]]&lt;1/1/1990,"",IF(Main[[#This Row],[Class]]="C",WORKDAY(Main[[#This Row],[Tech Start Date]],19),IF(Main[[#This Row],[Class]]="B", WORKDAY(Main[[#This Row],[Tech Start Date]],12),IF(Main[[#This Row],[Class]]="A",WORKDAY(Main[[#This Row],[Tech Start Date]],4),""))))</f>
        <v/>
      </c>
      <c r="O1376" s="73" t="str">
        <f>IF(Main[[#This Row],[Tech Start Date]]&lt;1/1/1990,"",IF(Main[[#This Row],[Class]]="C",WORKDAY(Main[[#This Row],[Tech Start Date]],23),IF(Main[[#This Row],[Class]]="B", WORKDAY(Main[[#This Row],[Tech Start Date]],15),IF(Main[[#This Row],[Class]]="A",WORKDAY(Main[[#This Row],[Tech Start Date]],5),""))))</f>
        <v/>
      </c>
      <c r="P1376" s="73" t="str">
        <f>IF(Main[[#This Row],[Tech Start Date]]&lt;1/1/1990,"",IF(Main[[#This Row],[Class]]="C",WORKDAY(Main[[#This Row],[Tech Start Date]],28),IF(Main[[#This Row],[Class]]="B", WORKDAY(Main[[#This Row],[Tech Start Date]],19),IF(Main[[#This Row],[Class]]="A",WORKDAY(Main[[#This Row],[Tech Start Date]],9),""))))</f>
        <v/>
      </c>
      <c r="Q1376" s="85">
        <v>40999</v>
      </c>
      <c r="R1376" s="112"/>
      <c r="S1376" s="95" t="s">
        <v>6</v>
      </c>
      <c r="T1376" s="74" t="s">
        <v>4</v>
      </c>
      <c r="U1376" s="95" t="s">
        <v>29</v>
      </c>
      <c r="V1376" s="95" t="s">
        <v>1914</v>
      </c>
      <c r="W1376" s="95" t="s">
        <v>1915</v>
      </c>
      <c r="X1376" s="95" t="s">
        <v>81</v>
      </c>
      <c r="Y1376" s="72" t="s">
        <v>2947</v>
      </c>
      <c r="Z1376" s="72" t="s">
        <v>81</v>
      </c>
      <c r="AA1376" s="95" t="s">
        <v>81</v>
      </c>
      <c r="AB1376" s="132"/>
      <c r="AC1376" s="132"/>
      <c r="AD1376" s="132"/>
      <c r="AE1376" s="63"/>
      <c r="AF1376" s="63"/>
      <c r="AG1376" s="63"/>
    </row>
    <row r="1377" spans="1:33" ht="17.2" customHeight="1">
      <c r="A1377" s="64" t="str">
        <f>IF(priority(Main[[#This Row],[Comments]])&lt;&gt;0, priority(Main[[#This Row],[Comments]]),"")</f>
        <v/>
      </c>
      <c r="B1377" s="60" t="s">
        <v>1590</v>
      </c>
      <c r="C1377" s="72" t="s">
        <v>4</v>
      </c>
      <c r="D1377" s="59" t="s">
        <v>3964</v>
      </c>
      <c r="E1377" s="85">
        <v>40352.416608796295</v>
      </c>
      <c r="F1377" s="85"/>
      <c r="G1377" s="64" t="str">
        <f>IF(stdProdLT(Main[[#This Row],[Comments]])=0.1,"N/A",IF(stdProdLT(Main[[#This Row],[Comments]])=0,"",TRIM(stdProdLT(Main[[#This Row],[Comments]]))))</f>
        <v/>
      </c>
      <c r="H1377" s="94" t="str">
        <f>IF(OR(Main[[#This Row],[Std. Prod. Lead Time]]="N/A",Main[[#This Row],[Std. Prod. Lead Time]]=""), "",IF(AND(Main[[#This Row],[In Stock Date]]&lt;&gt;"",Main[[#This Row],[Revised Due Date]]&lt;&gt;"",Main[[#This Row],[In Stock Date]]&lt;&gt;""),Main[[#This Row],[In Stock Date]]-Main[[#This Row],[Revised Due Date]],""))</f>
        <v/>
      </c>
      <c r="I1377" s="101" t="s">
        <v>708</v>
      </c>
      <c r="J1377" s="95" t="s">
        <v>28</v>
      </c>
      <c r="K1377" s="95" t="s">
        <v>1923</v>
      </c>
      <c r="L1377" s="85"/>
      <c r="M1377" s="73" t="str">
        <f>IF(Main[[#This Row],[Tech Start Date]]&lt;1/1/1990,"",IF(Main[[#This Row],[Class]]="C",WORKDAY(Main[[#This Row],[Tech Start Date]],9),IF(Main[[#This Row],[Class]]="B", WORKDAY(Main[[#This Row],[Tech Start Date]],6),IF(Main[[#This Row],[Class]]="A",WORKDAY(Main[[#This Row],[Tech Start Date]],2),""))))</f>
        <v/>
      </c>
      <c r="N1377" s="73" t="str">
        <f>IF(Main[[#This Row],[Tech Start Date]]&lt;1/1/1990,"",IF(Main[[#This Row],[Class]]="C",WORKDAY(Main[[#This Row],[Tech Start Date]],19),IF(Main[[#This Row],[Class]]="B", WORKDAY(Main[[#This Row],[Tech Start Date]],12),IF(Main[[#This Row],[Class]]="A",WORKDAY(Main[[#This Row],[Tech Start Date]],4),""))))</f>
        <v/>
      </c>
      <c r="O1377" s="73" t="str">
        <f>IF(Main[[#This Row],[Tech Start Date]]&lt;1/1/1990,"",IF(Main[[#This Row],[Class]]="C",WORKDAY(Main[[#This Row],[Tech Start Date]],23),IF(Main[[#This Row],[Class]]="B", WORKDAY(Main[[#This Row],[Tech Start Date]],15),IF(Main[[#This Row],[Class]]="A",WORKDAY(Main[[#This Row],[Tech Start Date]],5),""))))</f>
        <v/>
      </c>
      <c r="P1377" s="73" t="str">
        <f>IF(Main[[#This Row],[Tech Start Date]]&lt;1/1/1990,"",IF(Main[[#This Row],[Class]]="C",WORKDAY(Main[[#This Row],[Tech Start Date]],28),IF(Main[[#This Row],[Class]]="B", WORKDAY(Main[[#This Row],[Tech Start Date]],19),IF(Main[[#This Row],[Class]]="A",WORKDAY(Main[[#This Row],[Tech Start Date]],9),""))))</f>
        <v/>
      </c>
      <c r="Q1377" s="85">
        <v>40387</v>
      </c>
      <c r="R1377" s="112">
        <v>41011</v>
      </c>
      <c r="S1377" s="95" t="s">
        <v>17</v>
      </c>
      <c r="T1377" s="74" t="s">
        <v>2456</v>
      </c>
      <c r="U1377" s="95" t="s">
        <v>29</v>
      </c>
      <c r="V1377" s="95" t="s">
        <v>1911</v>
      </c>
      <c r="W1377" s="95" t="s">
        <v>1916</v>
      </c>
      <c r="X1377" s="95" t="s">
        <v>708</v>
      </c>
      <c r="Y1377" s="72" t="s">
        <v>2909</v>
      </c>
      <c r="Z1377" s="72" t="s">
        <v>129</v>
      </c>
      <c r="AA1377" s="95" t="s">
        <v>708</v>
      </c>
      <c r="AB1377" s="132"/>
      <c r="AC1377" s="132"/>
      <c r="AD1377" s="132"/>
      <c r="AE1377" s="63"/>
      <c r="AF1377" s="63"/>
      <c r="AG1377" s="63"/>
    </row>
    <row r="1378" spans="1:33" ht="17.2" customHeight="1">
      <c r="A1378" s="64" t="str">
        <f>IF(priority(Main[[#This Row],[Comments]])&lt;&gt;0, priority(Main[[#This Row],[Comments]]),"")</f>
        <v/>
      </c>
      <c r="B1378" s="60" t="s">
        <v>1890</v>
      </c>
      <c r="C1378" s="72" t="s">
        <v>4</v>
      </c>
      <c r="D1378" s="59" t="s">
        <v>948</v>
      </c>
      <c r="E1378" s="85">
        <v>40112.566631944443</v>
      </c>
      <c r="F1378" s="85"/>
      <c r="G1378" s="64" t="str">
        <f>IF(stdProdLT(Main[[#This Row],[Comments]])=0.1,"N/A",IF(stdProdLT(Main[[#This Row],[Comments]])=0,"",TRIM(stdProdLT(Main[[#This Row],[Comments]]))))</f>
        <v/>
      </c>
      <c r="H1378" s="94" t="str">
        <f>IF(OR(Main[[#This Row],[Std. Prod. Lead Time]]="N/A",Main[[#This Row],[Std. Prod. Lead Time]]=""), "",IF(AND(Main[[#This Row],[In Stock Date]]&lt;&gt;"",Main[[#This Row],[Revised Due Date]]&lt;&gt;"",Main[[#This Row],[In Stock Date]]&lt;&gt;""),Main[[#This Row],[In Stock Date]]-Main[[#This Row],[Revised Due Date]],""))</f>
        <v/>
      </c>
      <c r="I1378" s="101" t="s">
        <v>898</v>
      </c>
      <c r="J1378" s="95" t="s">
        <v>4</v>
      </c>
      <c r="K1378" s="95" t="s">
        <v>1923</v>
      </c>
      <c r="L1378" s="85"/>
      <c r="M1378" s="73" t="str">
        <f>IF(Main[[#This Row],[Tech Start Date]]&lt;1/1/1990,"",IF(Main[[#This Row],[Class]]="C",WORKDAY(Main[[#This Row],[Tech Start Date]],9),IF(Main[[#This Row],[Class]]="B", WORKDAY(Main[[#This Row],[Tech Start Date]],6),IF(Main[[#This Row],[Class]]="A",WORKDAY(Main[[#This Row],[Tech Start Date]],2),""))))</f>
        <v/>
      </c>
      <c r="N1378" s="73" t="str">
        <f>IF(Main[[#This Row],[Tech Start Date]]&lt;1/1/1990,"",IF(Main[[#This Row],[Class]]="C",WORKDAY(Main[[#This Row],[Tech Start Date]],19),IF(Main[[#This Row],[Class]]="B", WORKDAY(Main[[#This Row],[Tech Start Date]],12),IF(Main[[#This Row],[Class]]="A",WORKDAY(Main[[#This Row],[Tech Start Date]],4),""))))</f>
        <v/>
      </c>
      <c r="O1378" s="73" t="str">
        <f>IF(Main[[#This Row],[Tech Start Date]]&lt;1/1/1990,"",IF(Main[[#This Row],[Class]]="C",WORKDAY(Main[[#This Row],[Tech Start Date]],23),IF(Main[[#This Row],[Class]]="B", WORKDAY(Main[[#This Row],[Tech Start Date]],15),IF(Main[[#This Row],[Class]]="A",WORKDAY(Main[[#This Row],[Tech Start Date]],5),""))))</f>
        <v/>
      </c>
      <c r="P1378" s="73" t="str">
        <f>IF(Main[[#This Row],[Tech Start Date]]&lt;1/1/1990,"",IF(Main[[#This Row],[Class]]="C",WORKDAY(Main[[#This Row],[Tech Start Date]],28),IF(Main[[#This Row],[Class]]="B", WORKDAY(Main[[#This Row],[Tech Start Date]],19),IF(Main[[#This Row],[Class]]="A",WORKDAY(Main[[#This Row],[Tech Start Date]],9),""))))</f>
        <v/>
      </c>
      <c r="Q1378" s="85">
        <v>40564</v>
      </c>
      <c r="R1378" s="112">
        <v>41264</v>
      </c>
      <c r="S1378" s="95" t="s">
        <v>17</v>
      </c>
      <c r="T1378" s="74" t="s">
        <v>4</v>
      </c>
      <c r="U1378" s="95" t="s">
        <v>29</v>
      </c>
      <c r="V1378" s="95" t="s">
        <v>1914</v>
      </c>
      <c r="W1378" s="95" t="s">
        <v>1916</v>
      </c>
      <c r="X1378" s="95" t="s">
        <v>968</v>
      </c>
      <c r="Y1378" s="72" t="s">
        <v>3093</v>
      </c>
      <c r="Z1378" s="72" t="s">
        <v>415</v>
      </c>
      <c r="AA1378" s="95" t="s">
        <v>968</v>
      </c>
      <c r="AB1378" s="132"/>
      <c r="AC1378" s="132"/>
      <c r="AD1378" s="132"/>
      <c r="AE1378" s="63"/>
      <c r="AF1378" s="63"/>
      <c r="AG1378" s="63"/>
    </row>
    <row r="1379" spans="1:33" ht="17.2" customHeight="1">
      <c r="A1379" s="64" t="str">
        <f>IF(priority(Main[[#This Row],[Comments]])&lt;&gt;0, priority(Main[[#This Row],[Comments]]),"")</f>
        <v/>
      </c>
      <c r="B1379" s="60" t="s">
        <v>2592</v>
      </c>
      <c r="C1379" s="72" t="s">
        <v>2348</v>
      </c>
      <c r="D1379" s="59" t="s">
        <v>2349</v>
      </c>
      <c r="E1379" s="85"/>
      <c r="F1379" s="85">
        <v>41036</v>
      </c>
      <c r="G1379" s="64" t="str">
        <f>IF(stdProdLT(Main[[#This Row],[Comments]])=0.1,"N/A",IF(stdProdLT(Main[[#This Row],[Comments]])=0,"",TRIM(stdProdLT(Main[[#This Row],[Comments]]))))</f>
        <v/>
      </c>
      <c r="H1379" s="94" t="str">
        <f>IF(OR(Main[[#This Row],[Std. Prod. Lead Time]]="N/A",Main[[#This Row],[Std. Prod. Lead Time]]=""), "",IF(AND(Main[[#This Row],[In Stock Date]]&lt;&gt;"",Main[[#This Row],[Revised Due Date]]&lt;&gt;"",Main[[#This Row],[In Stock Date]]&lt;&gt;""),Main[[#This Row],[In Stock Date]]-Main[[#This Row],[Revised Due Date]],""))</f>
        <v/>
      </c>
      <c r="I1379" s="101" t="s">
        <v>4</v>
      </c>
      <c r="J1379" s="95" t="s">
        <v>4</v>
      </c>
      <c r="K1379" s="95" t="s">
        <v>4</v>
      </c>
      <c r="L1379" s="85"/>
      <c r="M1379" s="73" t="str">
        <f>IF(Main[[#This Row],[Tech Start Date]]&lt;1/1/1990,"",IF(Main[[#This Row],[Class]]="C",WORKDAY(Main[[#This Row],[Tech Start Date]],9),IF(Main[[#This Row],[Class]]="B", WORKDAY(Main[[#This Row],[Tech Start Date]],6),IF(Main[[#This Row],[Class]]="A",WORKDAY(Main[[#This Row],[Tech Start Date]],2),""))))</f>
        <v/>
      </c>
      <c r="N1379" s="73" t="str">
        <f>IF(Main[[#This Row],[Tech Start Date]]&lt;1/1/1990,"",IF(Main[[#This Row],[Class]]="C",WORKDAY(Main[[#This Row],[Tech Start Date]],19),IF(Main[[#This Row],[Class]]="B", WORKDAY(Main[[#This Row],[Tech Start Date]],12),IF(Main[[#This Row],[Class]]="A",WORKDAY(Main[[#This Row],[Tech Start Date]],4),""))))</f>
        <v/>
      </c>
      <c r="O1379" s="73" t="str">
        <f>IF(Main[[#This Row],[Tech Start Date]]&lt;1/1/1990,"",IF(Main[[#This Row],[Class]]="C",WORKDAY(Main[[#This Row],[Tech Start Date]],23),IF(Main[[#This Row],[Class]]="B", WORKDAY(Main[[#This Row],[Tech Start Date]],15),IF(Main[[#This Row],[Class]]="A",WORKDAY(Main[[#This Row],[Tech Start Date]],5),""))))</f>
        <v/>
      </c>
      <c r="P1379" s="73" t="str">
        <f>IF(Main[[#This Row],[Tech Start Date]]&lt;1/1/1990,"",IF(Main[[#This Row],[Class]]="C",WORKDAY(Main[[#This Row],[Tech Start Date]],28),IF(Main[[#This Row],[Class]]="B", WORKDAY(Main[[#This Row],[Tech Start Date]],19),IF(Main[[#This Row],[Class]]="A",WORKDAY(Main[[#This Row],[Tech Start Date]],9),""))))</f>
        <v/>
      </c>
      <c r="Q1379" s="85">
        <v>40854</v>
      </c>
      <c r="R1379" s="112"/>
      <c r="S1379" s="95" t="s">
        <v>11</v>
      </c>
      <c r="T1379" s="74" t="s">
        <v>4</v>
      </c>
      <c r="U1379" s="95" t="s">
        <v>12</v>
      </c>
      <c r="V1379" s="95" t="s">
        <v>1914</v>
      </c>
      <c r="W1379" s="95" t="s">
        <v>1917</v>
      </c>
      <c r="X1379" s="95" t="s">
        <v>2823</v>
      </c>
      <c r="Y1379" s="72" t="s">
        <v>4</v>
      </c>
      <c r="Z1379" s="72" t="s">
        <v>4</v>
      </c>
      <c r="AA1379" s="95" t="s">
        <v>2823</v>
      </c>
      <c r="AB1379" s="132"/>
      <c r="AC1379" s="132"/>
      <c r="AD1379" s="132"/>
      <c r="AE1379" s="63"/>
      <c r="AF1379" s="63"/>
      <c r="AG1379" s="63"/>
    </row>
    <row r="1380" spans="1:33" ht="17.2" customHeight="1">
      <c r="A1380" s="64" t="str">
        <f>IF(priority(Main[[#This Row],[Comments]])&lt;&gt;0, priority(Main[[#This Row],[Comments]]),"")</f>
        <v/>
      </c>
      <c r="B1380" s="60" t="s">
        <v>2238</v>
      </c>
      <c r="C1380" s="72" t="s">
        <v>2239</v>
      </c>
      <c r="D1380" s="59" t="s">
        <v>2240</v>
      </c>
      <c r="E1380" s="85"/>
      <c r="F1380" s="85"/>
      <c r="G1380" s="64" t="str">
        <f>IF(stdProdLT(Main[[#This Row],[Comments]])=0.1,"N/A",IF(stdProdLT(Main[[#This Row],[Comments]])=0,"",TRIM(stdProdLT(Main[[#This Row],[Comments]]))))</f>
        <v/>
      </c>
      <c r="H1380" s="94" t="str">
        <f>IF(OR(Main[[#This Row],[Std. Prod. Lead Time]]="N/A",Main[[#This Row],[Std. Prod. Lead Time]]=""), "",IF(AND(Main[[#This Row],[In Stock Date]]&lt;&gt;"",Main[[#This Row],[Revised Due Date]]&lt;&gt;"",Main[[#This Row],[In Stock Date]]&lt;&gt;""),Main[[#This Row],[In Stock Date]]-Main[[#This Row],[Revised Due Date]],""))</f>
        <v/>
      </c>
      <c r="I1380" s="101" t="s">
        <v>2200</v>
      </c>
      <c r="J1380" s="95" t="s">
        <v>4</v>
      </c>
      <c r="K1380" s="96" t="s">
        <v>1920</v>
      </c>
      <c r="L1380" s="85">
        <v>37622</v>
      </c>
      <c r="M1380" s="73">
        <f>IF(Main[[#This Row],[Tech Start Date]]&lt;1/1/1990,"",IF(Main[[#This Row],[Class]]="C",WORKDAY(Main[[#This Row],[Tech Start Date]],9),IF(Main[[#This Row],[Class]]="B", WORKDAY(Main[[#This Row],[Tech Start Date]],6),IF(Main[[#This Row],[Class]]="A",WORKDAY(Main[[#This Row],[Tech Start Date]],2),""))))</f>
        <v>37624</v>
      </c>
      <c r="N1380" s="73">
        <f>IF(Main[[#This Row],[Tech Start Date]]&lt;1/1/1990,"",IF(Main[[#This Row],[Class]]="C",WORKDAY(Main[[#This Row],[Tech Start Date]],19),IF(Main[[#This Row],[Class]]="B", WORKDAY(Main[[#This Row],[Tech Start Date]],12),IF(Main[[#This Row],[Class]]="A",WORKDAY(Main[[#This Row],[Tech Start Date]],4),""))))</f>
        <v>37628</v>
      </c>
      <c r="O1380" s="73">
        <f>IF(Main[[#This Row],[Tech Start Date]]&lt;1/1/1990,"",IF(Main[[#This Row],[Class]]="C",WORKDAY(Main[[#This Row],[Tech Start Date]],23),IF(Main[[#This Row],[Class]]="B", WORKDAY(Main[[#This Row],[Tech Start Date]],15),IF(Main[[#This Row],[Class]]="A",WORKDAY(Main[[#This Row],[Tech Start Date]],5),""))))</f>
        <v>37629</v>
      </c>
      <c r="P1380" s="73">
        <f>IF(Main[[#This Row],[Tech Start Date]]&lt;1/1/1990,"",IF(Main[[#This Row],[Class]]="C",WORKDAY(Main[[#This Row],[Tech Start Date]],28),IF(Main[[#This Row],[Class]]="B", WORKDAY(Main[[#This Row],[Tech Start Date]],19),IF(Main[[#This Row],[Class]]="A",WORKDAY(Main[[#This Row],[Tech Start Date]],9),""))))</f>
        <v>37635</v>
      </c>
      <c r="Q1380" s="85"/>
      <c r="R1380" s="112">
        <v>37623</v>
      </c>
      <c r="S1380" s="95" t="s">
        <v>11</v>
      </c>
      <c r="T1380" s="74" t="s">
        <v>4</v>
      </c>
      <c r="U1380" s="95" t="s">
        <v>14</v>
      </c>
      <c r="V1380" s="95" t="s">
        <v>1926</v>
      </c>
      <c r="W1380" s="95" t="s">
        <v>1919</v>
      </c>
      <c r="X1380" s="95" t="s">
        <v>2893</v>
      </c>
      <c r="Y1380" s="72" t="s">
        <v>3119</v>
      </c>
      <c r="Z1380" s="72" t="s">
        <v>4</v>
      </c>
      <c r="AA1380" s="95" t="s">
        <v>3430</v>
      </c>
      <c r="AB1380" s="132">
        <v>37624</v>
      </c>
      <c r="AC1380" s="132">
        <v>37625</v>
      </c>
      <c r="AD1380" s="132"/>
      <c r="AE1380" s="63"/>
      <c r="AF1380" s="63"/>
      <c r="AG1380" s="63"/>
    </row>
    <row r="1381" spans="1:33" ht="17.2" customHeight="1">
      <c r="A1381" s="64" t="str">
        <f>IF(priority(Main[[#This Row],[Comments]])&lt;&gt;0, priority(Main[[#This Row],[Comments]]),"")</f>
        <v/>
      </c>
      <c r="B1381" s="60" t="s">
        <v>2276</v>
      </c>
      <c r="C1381" s="72" t="s">
        <v>2198</v>
      </c>
      <c r="D1381" s="59" t="s">
        <v>2199</v>
      </c>
      <c r="E1381" s="85">
        <v>40813.570081018515</v>
      </c>
      <c r="F1381" s="85"/>
      <c r="G1381" s="64" t="str">
        <f>IF(stdProdLT(Main[[#This Row],[Comments]])=0.1,"N/A",IF(stdProdLT(Main[[#This Row],[Comments]])=0,"",TRIM(stdProdLT(Main[[#This Row],[Comments]]))))</f>
        <v/>
      </c>
      <c r="H1381" s="94" t="str">
        <f>IF(OR(Main[[#This Row],[Std. Prod. Lead Time]]="N/A",Main[[#This Row],[Std. Prod. Lead Time]]=""), "",IF(AND(Main[[#This Row],[In Stock Date]]&lt;&gt;"",Main[[#This Row],[Revised Due Date]]&lt;&gt;"",Main[[#This Row],[In Stock Date]]&lt;&gt;""),Main[[#This Row],[In Stock Date]]-Main[[#This Row],[Revised Due Date]],""))</f>
        <v/>
      </c>
      <c r="I1381" s="101" t="s">
        <v>2200</v>
      </c>
      <c r="J1381" s="95" t="s">
        <v>4</v>
      </c>
      <c r="K1381" s="95" t="s">
        <v>1920</v>
      </c>
      <c r="L1381" s="85">
        <v>37622</v>
      </c>
      <c r="M1381" s="73">
        <f>IF(Main[[#This Row],[Tech Start Date]]&lt;1/1/1990,"",IF(Main[[#This Row],[Class]]="C",WORKDAY(Main[[#This Row],[Tech Start Date]],9),IF(Main[[#This Row],[Class]]="B", WORKDAY(Main[[#This Row],[Tech Start Date]],6),IF(Main[[#This Row],[Class]]="A",WORKDAY(Main[[#This Row],[Tech Start Date]],2),""))))</f>
        <v>37624</v>
      </c>
      <c r="N1381" s="73">
        <f>IF(Main[[#This Row],[Tech Start Date]]&lt;1/1/1990,"",IF(Main[[#This Row],[Class]]="C",WORKDAY(Main[[#This Row],[Tech Start Date]],19),IF(Main[[#This Row],[Class]]="B", WORKDAY(Main[[#This Row],[Tech Start Date]],12),IF(Main[[#This Row],[Class]]="A",WORKDAY(Main[[#This Row],[Tech Start Date]],4),""))))</f>
        <v>37628</v>
      </c>
      <c r="O1381" s="73">
        <f>IF(Main[[#This Row],[Tech Start Date]]&lt;1/1/1990,"",IF(Main[[#This Row],[Class]]="C",WORKDAY(Main[[#This Row],[Tech Start Date]],23),IF(Main[[#This Row],[Class]]="B", WORKDAY(Main[[#This Row],[Tech Start Date]],15),IF(Main[[#This Row],[Class]]="A",WORKDAY(Main[[#This Row],[Tech Start Date]],5),""))))</f>
        <v>37629</v>
      </c>
      <c r="P1381" s="73">
        <f>IF(Main[[#This Row],[Tech Start Date]]&lt;1/1/1990,"",IF(Main[[#This Row],[Class]]="C",WORKDAY(Main[[#This Row],[Tech Start Date]],28),IF(Main[[#This Row],[Class]]="B", WORKDAY(Main[[#This Row],[Tech Start Date]],19),IF(Main[[#This Row],[Class]]="A",WORKDAY(Main[[#This Row],[Tech Start Date]],9),""))))</f>
        <v>37635</v>
      </c>
      <c r="Q1381" s="85"/>
      <c r="R1381" s="112">
        <v>37623</v>
      </c>
      <c r="S1381" s="95" t="s">
        <v>11</v>
      </c>
      <c r="T1381" s="74" t="s">
        <v>4</v>
      </c>
      <c r="U1381" s="95" t="s">
        <v>29</v>
      </c>
      <c r="V1381" s="95" t="s">
        <v>2277</v>
      </c>
      <c r="W1381" s="95" t="s">
        <v>1919</v>
      </c>
      <c r="X1381" s="95" t="s">
        <v>2200</v>
      </c>
      <c r="Y1381" s="72" t="s">
        <v>3119</v>
      </c>
      <c r="Z1381" s="72" t="s">
        <v>4</v>
      </c>
      <c r="AA1381" s="95" t="s">
        <v>3430</v>
      </c>
      <c r="AB1381" s="132">
        <v>37624</v>
      </c>
      <c r="AC1381" s="132">
        <v>37625</v>
      </c>
      <c r="AD1381" s="132"/>
      <c r="AE1381" s="63"/>
      <c r="AF1381" s="63"/>
      <c r="AG1381" s="63"/>
    </row>
    <row r="1382" spans="1:33" ht="17.2" customHeight="1">
      <c r="A1382" s="64" t="str">
        <f>IF(priority(Main[[#This Row],[Comments]])&lt;&gt;0, priority(Main[[#This Row],[Comments]]),"")</f>
        <v/>
      </c>
      <c r="B1382" s="60" t="s">
        <v>2237</v>
      </c>
      <c r="C1382" s="72" t="s">
        <v>2198</v>
      </c>
      <c r="D1382" s="59" t="s">
        <v>2199</v>
      </c>
      <c r="E1382" s="85"/>
      <c r="F1382" s="85"/>
      <c r="G1382" s="64" t="str">
        <f>IF(stdProdLT(Main[[#This Row],[Comments]])=0.1,"N/A",IF(stdProdLT(Main[[#This Row],[Comments]])=0,"",TRIM(stdProdLT(Main[[#This Row],[Comments]]))))</f>
        <v/>
      </c>
      <c r="H1382" s="94" t="str">
        <f>IF(OR(Main[[#This Row],[Std. Prod. Lead Time]]="N/A",Main[[#This Row],[Std. Prod. Lead Time]]=""), "",IF(AND(Main[[#This Row],[In Stock Date]]&lt;&gt;"",Main[[#This Row],[Revised Due Date]]&lt;&gt;"",Main[[#This Row],[In Stock Date]]&lt;&gt;""),Main[[#This Row],[In Stock Date]]-Main[[#This Row],[Revised Due Date]],""))</f>
        <v/>
      </c>
      <c r="I1382" s="101" t="s">
        <v>2200</v>
      </c>
      <c r="J1382" s="95" t="s">
        <v>4</v>
      </c>
      <c r="K1382" s="95" t="s">
        <v>1920</v>
      </c>
      <c r="L1382" s="85">
        <v>37622</v>
      </c>
      <c r="M1382" s="73">
        <f>IF(Main[[#This Row],[Tech Start Date]]&lt;1/1/1990,"",IF(Main[[#This Row],[Class]]="C",WORKDAY(Main[[#This Row],[Tech Start Date]],9),IF(Main[[#This Row],[Class]]="B", WORKDAY(Main[[#This Row],[Tech Start Date]],6),IF(Main[[#This Row],[Class]]="A",WORKDAY(Main[[#This Row],[Tech Start Date]],2),""))))</f>
        <v>37624</v>
      </c>
      <c r="N1382" s="73">
        <f>IF(Main[[#This Row],[Tech Start Date]]&lt;1/1/1990,"",IF(Main[[#This Row],[Class]]="C",WORKDAY(Main[[#This Row],[Tech Start Date]],19),IF(Main[[#This Row],[Class]]="B", WORKDAY(Main[[#This Row],[Tech Start Date]],12),IF(Main[[#This Row],[Class]]="A",WORKDAY(Main[[#This Row],[Tech Start Date]],4),""))))</f>
        <v>37628</v>
      </c>
      <c r="O1382" s="73">
        <f>IF(Main[[#This Row],[Tech Start Date]]&lt;1/1/1990,"",IF(Main[[#This Row],[Class]]="C",WORKDAY(Main[[#This Row],[Tech Start Date]],23),IF(Main[[#This Row],[Class]]="B", WORKDAY(Main[[#This Row],[Tech Start Date]],15),IF(Main[[#This Row],[Class]]="A",WORKDAY(Main[[#This Row],[Tech Start Date]],5),""))))</f>
        <v>37629</v>
      </c>
      <c r="P1382" s="73">
        <f>IF(Main[[#This Row],[Tech Start Date]]&lt;1/1/1990,"",IF(Main[[#This Row],[Class]]="C",WORKDAY(Main[[#This Row],[Tech Start Date]],28),IF(Main[[#This Row],[Class]]="B", WORKDAY(Main[[#This Row],[Tech Start Date]],19),IF(Main[[#This Row],[Class]]="A",WORKDAY(Main[[#This Row],[Tech Start Date]],9),""))))</f>
        <v>37635</v>
      </c>
      <c r="Q1382" s="85"/>
      <c r="R1382" s="112">
        <v>37623</v>
      </c>
      <c r="S1382" s="95" t="s">
        <v>11</v>
      </c>
      <c r="T1382" s="74" t="s">
        <v>4</v>
      </c>
      <c r="U1382" s="95" t="s">
        <v>14</v>
      </c>
      <c r="V1382" s="95" t="s">
        <v>1926</v>
      </c>
      <c r="W1382" s="95" t="s">
        <v>1919</v>
      </c>
      <c r="X1382" s="95" t="s">
        <v>2200</v>
      </c>
      <c r="Y1382" s="72" t="s">
        <v>3119</v>
      </c>
      <c r="Z1382" s="72" t="s">
        <v>4</v>
      </c>
      <c r="AA1382" s="95" t="s">
        <v>3430</v>
      </c>
      <c r="AB1382" s="132">
        <v>37624</v>
      </c>
      <c r="AC1382" s="132">
        <v>37625</v>
      </c>
      <c r="AD1382" s="132"/>
      <c r="AE1382" s="63"/>
      <c r="AF1382" s="63"/>
      <c r="AG1382" s="63"/>
    </row>
    <row r="1383" spans="1:33" ht="17.2" customHeight="1">
      <c r="A1383" s="64" t="str">
        <f>IF(priority(Main[[#This Row],[Comments]])&lt;&gt;0, priority(Main[[#This Row],[Comments]]),"")</f>
        <v/>
      </c>
      <c r="B1383" s="60" t="s">
        <v>2197</v>
      </c>
      <c r="C1383" s="72" t="s">
        <v>2198</v>
      </c>
      <c r="D1383" s="59" t="s">
        <v>2199</v>
      </c>
      <c r="E1383" s="85"/>
      <c r="F1383" s="85"/>
      <c r="G1383" s="64" t="str">
        <f>IF(stdProdLT(Main[[#This Row],[Comments]])=0.1,"N/A",IF(stdProdLT(Main[[#This Row],[Comments]])=0,"",TRIM(stdProdLT(Main[[#This Row],[Comments]]))))</f>
        <v/>
      </c>
      <c r="H1383" s="94" t="str">
        <f>IF(OR(Main[[#This Row],[Std. Prod. Lead Time]]="N/A",Main[[#This Row],[Std. Prod. Lead Time]]=""), "",IF(AND(Main[[#This Row],[In Stock Date]]&lt;&gt;"",Main[[#This Row],[Revised Due Date]]&lt;&gt;"",Main[[#This Row],[In Stock Date]]&lt;&gt;""),Main[[#This Row],[In Stock Date]]-Main[[#This Row],[Revised Due Date]],""))</f>
        <v/>
      </c>
      <c r="I1383" s="101" t="s">
        <v>2200</v>
      </c>
      <c r="J1383" s="95" t="s">
        <v>4</v>
      </c>
      <c r="K1383" s="95" t="s">
        <v>1920</v>
      </c>
      <c r="L1383" s="85">
        <v>37622</v>
      </c>
      <c r="M1383" s="73">
        <f>IF(Main[[#This Row],[Tech Start Date]]&lt;1/1/1990,"",IF(Main[[#This Row],[Class]]="C",WORKDAY(Main[[#This Row],[Tech Start Date]],9),IF(Main[[#This Row],[Class]]="B", WORKDAY(Main[[#This Row],[Tech Start Date]],6),IF(Main[[#This Row],[Class]]="A",WORKDAY(Main[[#This Row],[Tech Start Date]],2),""))))</f>
        <v>37624</v>
      </c>
      <c r="N1383" s="73">
        <f>IF(Main[[#This Row],[Tech Start Date]]&lt;1/1/1990,"",IF(Main[[#This Row],[Class]]="C",WORKDAY(Main[[#This Row],[Tech Start Date]],19),IF(Main[[#This Row],[Class]]="B", WORKDAY(Main[[#This Row],[Tech Start Date]],12),IF(Main[[#This Row],[Class]]="A",WORKDAY(Main[[#This Row],[Tech Start Date]],4),""))))</f>
        <v>37628</v>
      </c>
      <c r="O1383" s="73">
        <f>IF(Main[[#This Row],[Tech Start Date]]&lt;1/1/1990,"",IF(Main[[#This Row],[Class]]="C",WORKDAY(Main[[#This Row],[Tech Start Date]],23),IF(Main[[#This Row],[Class]]="B", WORKDAY(Main[[#This Row],[Tech Start Date]],15),IF(Main[[#This Row],[Class]]="A",WORKDAY(Main[[#This Row],[Tech Start Date]],5),""))))</f>
        <v>37629</v>
      </c>
      <c r="P1383" s="73">
        <f>IF(Main[[#This Row],[Tech Start Date]]&lt;1/1/1990,"",IF(Main[[#This Row],[Class]]="C",WORKDAY(Main[[#This Row],[Tech Start Date]],28),IF(Main[[#This Row],[Class]]="B", WORKDAY(Main[[#This Row],[Tech Start Date]],19),IF(Main[[#This Row],[Class]]="A",WORKDAY(Main[[#This Row],[Tech Start Date]],9),""))))</f>
        <v>37635</v>
      </c>
      <c r="Q1383" s="85"/>
      <c r="R1383" s="112">
        <v>37623</v>
      </c>
      <c r="S1383" s="95" t="s">
        <v>11</v>
      </c>
      <c r="T1383" s="74" t="s">
        <v>4</v>
      </c>
      <c r="U1383" s="95" t="s">
        <v>14</v>
      </c>
      <c r="V1383" s="95" t="s">
        <v>1926</v>
      </c>
      <c r="W1383" s="95" t="s">
        <v>1919</v>
      </c>
      <c r="X1383" s="95" t="s">
        <v>2200</v>
      </c>
      <c r="Y1383" s="72" t="s">
        <v>3119</v>
      </c>
      <c r="Z1383" s="72" t="s">
        <v>4</v>
      </c>
      <c r="AA1383" s="95" t="s">
        <v>3430</v>
      </c>
      <c r="AB1383" s="132">
        <v>37624</v>
      </c>
      <c r="AC1383" s="132">
        <v>37625</v>
      </c>
      <c r="AD1383" s="132"/>
      <c r="AE1383" s="63"/>
      <c r="AF1383" s="63"/>
      <c r="AG1383" s="63"/>
    </row>
    <row r="1384" spans="1:33" ht="17.2" customHeight="1">
      <c r="A1384" s="64" t="str">
        <f>IF(priority(Main[[#This Row],[Comments]])&lt;&gt;0, priority(Main[[#This Row],[Comments]]),"")</f>
        <v/>
      </c>
      <c r="B1384" s="60" t="s">
        <v>1808</v>
      </c>
      <c r="C1384" s="72" t="s">
        <v>855</v>
      </c>
      <c r="D1384" s="59" t="s">
        <v>859</v>
      </c>
      <c r="E1384" s="85">
        <v>40085.252314814818</v>
      </c>
      <c r="F1384" s="85">
        <v>40421</v>
      </c>
      <c r="G1384" s="64" t="str">
        <f>IF(stdProdLT(Main[[#This Row],[Comments]])=0.1,"N/A",IF(stdProdLT(Main[[#This Row],[Comments]])=0,"",TRIM(stdProdLT(Main[[#This Row],[Comments]]))))</f>
        <v/>
      </c>
      <c r="H1384" s="94" t="str">
        <f>IF(OR(Main[[#This Row],[Std. Prod. Lead Time]]="N/A",Main[[#This Row],[Std. Prod. Lead Time]]=""), "",IF(AND(Main[[#This Row],[In Stock Date]]&lt;&gt;"",Main[[#This Row],[Revised Due Date]]&lt;&gt;"",Main[[#This Row],[In Stock Date]]&lt;&gt;""),Main[[#This Row],[In Stock Date]]-Main[[#This Row],[Revised Due Date]],""))</f>
        <v/>
      </c>
      <c r="I1384" s="101" t="s">
        <v>852</v>
      </c>
      <c r="J1384" s="95" t="s">
        <v>4</v>
      </c>
      <c r="K1384" s="96" t="s">
        <v>1923</v>
      </c>
      <c r="L1384" s="85">
        <v>40091</v>
      </c>
      <c r="M1384" s="73" t="str">
        <f>IF(Main[[#This Row],[Tech Start Date]]&lt;1/1/1990,"",IF(Main[[#This Row],[Class]]="C",WORKDAY(Main[[#This Row],[Tech Start Date]],9),IF(Main[[#This Row],[Class]]="B", WORKDAY(Main[[#This Row],[Tech Start Date]],6),IF(Main[[#This Row],[Class]]="A",WORKDAY(Main[[#This Row],[Tech Start Date]],2),""))))</f>
        <v/>
      </c>
      <c r="N1384" s="73" t="str">
        <f>IF(Main[[#This Row],[Tech Start Date]]&lt;1/1/1990,"",IF(Main[[#This Row],[Class]]="C",WORKDAY(Main[[#This Row],[Tech Start Date]],19),IF(Main[[#This Row],[Class]]="B", WORKDAY(Main[[#This Row],[Tech Start Date]],12),IF(Main[[#This Row],[Class]]="A",WORKDAY(Main[[#This Row],[Tech Start Date]],4),""))))</f>
        <v/>
      </c>
      <c r="O1384" s="73" t="str">
        <f>IF(Main[[#This Row],[Tech Start Date]]&lt;1/1/1990,"",IF(Main[[#This Row],[Class]]="C",WORKDAY(Main[[#This Row],[Tech Start Date]],23),IF(Main[[#This Row],[Class]]="B", WORKDAY(Main[[#This Row],[Tech Start Date]],15),IF(Main[[#This Row],[Class]]="A",WORKDAY(Main[[#This Row],[Tech Start Date]],5),""))))</f>
        <v/>
      </c>
      <c r="P1384" s="73" t="str">
        <f>IF(Main[[#This Row],[Tech Start Date]]&lt;1/1/1990,"",IF(Main[[#This Row],[Class]]="C",WORKDAY(Main[[#This Row],[Tech Start Date]],28),IF(Main[[#This Row],[Class]]="B", WORKDAY(Main[[#This Row],[Tech Start Date]],19),IF(Main[[#This Row],[Class]]="A",WORKDAY(Main[[#This Row],[Tech Start Date]],9),""))))</f>
        <v/>
      </c>
      <c r="Q1384" s="85">
        <v>40239</v>
      </c>
      <c r="R1384" s="112">
        <v>40228</v>
      </c>
      <c r="S1384" s="95" t="s">
        <v>17</v>
      </c>
      <c r="T1384" s="74" t="s">
        <v>4</v>
      </c>
      <c r="U1384" s="95" t="s">
        <v>29</v>
      </c>
      <c r="V1384" s="95" t="s">
        <v>1914</v>
      </c>
      <c r="W1384" s="95" t="s">
        <v>1916</v>
      </c>
      <c r="X1384" s="95" t="s">
        <v>2894</v>
      </c>
      <c r="Y1384" s="72" t="s">
        <v>4</v>
      </c>
      <c r="Z1384" s="72" t="s">
        <v>852</v>
      </c>
      <c r="AA1384" s="95" t="s">
        <v>2894</v>
      </c>
      <c r="AB1384" s="132"/>
      <c r="AC1384" s="132"/>
      <c r="AD1384" s="132"/>
      <c r="AE1384" s="63"/>
      <c r="AF1384" s="63"/>
      <c r="AG1384" s="63"/>
    </row>
    <row r="1385" spans="1:33" ht="17.2" customHeight="1">
      <c r="A1385" s="64" t="str">
        <f>IF(priority(Main[[#This Row],[Comments]])&lt;&gt;0, priority(Main[[#This Row],[Comments]]),"")</f>
        <v/>
      </c>
      <c r="B1385" s="60" t="s">
        <v>1801</v>
      </c>
      <c r="C1385" s="72" t="s">
        <v>93</v>
      </c>
      <c r="D1385" s="59" t="s">
        <v>850</v>
      </c>
      <c r="E1385" s="85"/>
      <c r="F1385" s="85">
        <v>40238</v>
      </c>
      <c r="G1385" s="64" t="str">
        <f>IF(stdProdLT(Main[[#This Row],[Comments]])=0.1,"N/A",IF(stdProdLT(Main[[#This Row],[Comments]])=0,"",TRIM(stdProdLT(Main[[#This Row],[Comments]]))))</f>
        <v/>
      </c>
      <c r="H1385" s="94" t="str">
        <f>IF(OR(Main[[#This Row],[Std. Prod. Lead Time]]="N/A",Main[[#This Row],[Std. Prod. Lead Time]]=""), "",IF(AND(Main[[#This Row],[In Stock Date]]&lt;&gt;"",Main[[#This Row],[Revised Due Date]]&lt;&gt;"",Main[[#This Row],[In Stock Date]]&lt;&gt;""),Main[[#This Row],[In Stock Date]]-Main[[#This Row],[Revised Due Date]],""))</f>
        <v/>
      </c>
      <c r="I1385" s="101" t="s">
        <v>44</v>
      </c>
      <c r="J1385" s="95" t="s">
        <v>4</v>
      </c>
      <c r="K1385" s="96" t="s">
        <v>4</v>
      </c>
      <c r="L1385" s="85">
        <v>40127</v>
      </c>
      <c r="M1385" s="73" t="str">
        <f>IF(Main[[#This Row],[Tech Start Date]]&lt;1/1/1990,"",IF(Main[[#This Row],[Class]]="C",WORKDAY(Main[[#This Row],[Tech Start Date]],9),IF(Main[[#This Row],[Class]]="B", WORKDAY(Main[[#This Row],[Tech Start Date]],6),IF(Main[[#This Row],[Class]]="A",WORKDAY(Main[[#This Row],[Tech Start Date]],2),""))))</f>
        <v/>
      </c>
      <c r="N1385" s="73" t="str">
        <f>IF(Main[[#This Row],[Tech Start Date]]&lt;1/1/1990,"",IF(Main[[#This Row],[Class]]="C",WORKDAY(Main[[#This Row],[Tech Start Date]],19),IF(Main[[#This Row],[Class]]="B", WORKDAY(Main[[#This Row],[Tech Start Date]],12),IF(Main[[#This Row],[Class]]="A",WORKDAY(Main[[#This Row],[Tech Start Date]],4),""))))</f>
        <v/>
      </c>
      <c r="O1385" s="73" t="str">
        <f>IF(Main[[#This Row],[Tech Start Date]]&lt;1/1/1990,"",IF(Main[[#This Row],[Class]]="C",WORKDAY(Main[[#This Row],[Tech Start Date]],23),IF(Main[[#This Row],[Class]]="B", WORKDAY(Main[[#This Row],[Tech Start Date]],15),IF(Main[[#This Row],[Class]]="A",WORKDAY(Main[[#This Row],[Tech Start Date]],5),""))))</f>
        <v/>
      </c>
      <c r="P1385" s="73" t="str">
        <f>IF(Main[[#This Row],[Tech Start Date]]&lt;1/1/1990,"",IF(Main[[#This Row],[Class]]="C",WORKDAY(Main[[#This Row],[Tech Start Date]],28),IF(Main[[#This Row],[Class]]="B", WORKDAY(Main[[#This Row],[Tech Start Date]],19),IF(Main[[#This Row],[Class]]="A",WORKDAY(Main[[#This Row],[Tech Start Date]],9),""))))</f>
        <v/>
      </c>
      <c r="Q1385" s="85">
        <v>40223</v>
      </c>
      <c r="R1385" s="112">
        <v>40157</v>
      </c>
      <c r="S1385" s="95" t="s">
        <v>11</v>
      </c>
      <c r="T1385" s="74" t="s">
        <v>4</v>
      </c>
      <c r="U1385" s="95" t="s">
        <v>14</v>
      </c>
      <c r="V1385" s="95" t="s">
        <v>1921</v>
      </c>
      <c r="W1385" s="95" t="s">
        <v>1922</v>
      </c>
      <c r="X1385" s="95" t="s">
        <v>2825</v>
      </c>
      <c r="Y1385" s="72" t="s">
        <v>4</v>
      </c>
      <c r="Z1385" s="72" t="s">
        <v>4</v>
      </c>
      <c r="AA1385" s="95" t="s">
        <v>2825</v>
      </c>
      <c r="AB1385" s="132"/>
      <c r="AC1385" s="132"/>
      <c r="AD1385" s="132"/>
      <c r="AE1385" s="63"/>
      <c r="AF1385" s="63"/>
      <c r="AG1385" s="63"/>
    </row>
    <row r="1386" spans="1:33" ht="17.2" customHeight="1">
      <c r="A1386" s="64" t="str">
        <f>IF(priority(Main[[#This Row],[Comments]])&lt;&gt;0, priority(Main[[#This Row],[Comments]]),"")</f>
        <v/>
      </c>
      <c r="B1386" s="60" t="s">
        <v>1181</v>
      </c>
      <c r="C1386" s="72" t="s">
        <v>4</v>
      </c>
      <c r="D1386" s="59" t="s">
        <v>238</v>
      </c>
      <c r="E1386" s="85"/>
      <c r="F1386" s="85"/>
      <c r="G1386" s="64" t="str">
        <f>IF(stdProdLT(Main[[#This Row],[Comments]])=0.1,"N/A",IF(stdProdLT(Main[[#This Row],[Comments]])=0,"",TRIM(stdProdLT(Main[[#This Row],[Comments]]))))</f>
        <v/>
      </c>
      <c r="H1386" s="94" t="str">
        <f>IF(OR(Main[[#This Row],[Std. Prod. Lead Time]]="N/A",Main[[#This Row],[Std. Prod. Lead Time]]=""), "",IF(AND(Main[[#This Row],[In Stock Date]]&lt;&gt;"",Main[[#This Row],[Revised Due Date]]&lt;&gt;"",Main[[#This Row],[In Stock Date]]&lt;&gt;""),Main[[#This Row],[In Stock Date]]-Main[[#This Row],[Revised Due Date]],""))</f>
        <v/>
      </c>
      <c r="I1386" s="101" t="s">
        <v>239</v>
      </c>
      <c r="J1386" s="95" t="s">
        <v>4</v>
      </c>
      <c r="K1386" s="95" t="s">
        <v>4</v>
      </c>
      <c r="L1386" s="85">
        <v>40134</v>
      </c>
      <c r="M1386" s="73" t="str">
        <f>IF(Main[[#This Row],[Tech Start Date]]&lt;1/1/1990,"",IF(Main[[#This Row],[Class]]="C",WORKDAY(Main[[#This Row],[Tech Start Date]],9),IF(Main[[#This Row],[Class]]="B", WORKDAY(Main[[#This Row],[Tech Start Date]],6),IF(Main[[#This Row],[Class]]="A",WORKDAY(Main[[#This Row],[Tech Start Date]],2),""))))</f>
        <v/>
      </c>
      <c r="N1386" s="73" t="str">
        <f>IF(Main[[#This Row],[Tech Start Date]]&lt;1/1/1990,"",IF(Main[[#This Row],[Class]]="C",WORKDAY(Main[[#This Row],[Tech Start Date]],19),IF(Main[[#This Row],[Class]]="B", WORKDAY(Main[[#This Row],[Tech Start Date]],12),IF(Main[[#This Row],[Class]]="A",WORKDAY(Main[[#This Row],[Tech Start Date]],4),""))))</f>
        <v/>
      </c>
      <c r="O1386" s="73" t="str">
        <f>IF(Main[[#This Row],[Tech Start Date]]&lt;1/1/1990,"",IF(Main[[#This Row],[Class]]="C",WORKDAY(Main[[#This Row],[Tech Start Date]],23),IF(Main[[#This Row],[Class]]="B", WORKDAY(Main[[#This Row],[Tech Start Date]],15),IF(Main[[#This Row],[Class]]="A",WORKDAY(Main[[#This Row],[Tech Start Date]],5),""))))</f>
        <v/>
      </c>
      <c r="P1386" s="73" t="str">
        <f>IF(Main[[#This Row],[Tech Start Date]]&lt;1/1/1990,"",IF(Main[[#This Row],[Class]]="C",WORKDAY(Main[[#This Row],[Tech Start Date]],28),IF(Main[[#This Row],[Class]]="B", WORKDAY(Main[[#This Row],[Tech Start Date]],19),IF(Main[[#This Row],[Class]]="A",WORKDAY(Main[[#This Row],[Tech Start Date]],9),""))))</f>
        <v/>
      </c>
      <c r="Q1386" s="85"/>
      <c r="R1386" s="112"/>
      <c r="S1386" s="95" t="s">
        <v>6</v>
      </c>
      <c r="T1386" s="74" t="s">
        <v>4</v>
      </c>
      <c r="U1386" s="95" t="s">
        <v>14</v>
      </c>
      <c r="V1386" s="95" t="s">
        <v>1914</v>
      </c>
      <c r="W1386" s="95" t="s">
        <v>4</v>
      </c>
      <c r="X1386" s="95" t="s">
        <v>2802</v>
      </c>
      <c r="Y1386" s="72" t="s">
        <v>3120</v>
      </c>
      <c r="Z1386" s="72" t="s">
        <v>4</v>
      </c>
      <c r="AA1386" s="95" t="s">
        <v>2802</v>
      </c>
      <c r="AB1386" s="132"/>
      <c r="AC1386" s="132"/>
      <c r="AD1386" s="132"/>
      <c r="AE1386" s="63"/>
      <c r="AF1386" s="63"/>
      <c r="AG1386" s="63"/>
    </row>
    <row r="1387" spans="1:33" ht="17.2" customHeight="1">
      <c r="A1387" s="64" t="str">
        <f>IF(priority(Main[[#This Row],[Comments]])&lt;&gt;0, priority(Main[[#This Row],[Comments]]),"")</f>
        <v/>
      </c>
      <c r="B1387" s="60" t="s">
        <v>1847</v>
      </c>
      <c r="C1387" s="72" t="s">
        <v>857</v>
      </c>
      <c r="D1387" s="59" t="s">
        <v>905</v>
      </c>
      <c r="E1387" s="85"/>
      <c r="F1387" s="85">
        <v>40305</v>
      </c>
      <c r="G1387" s="64" t="str">
        <f>IF(stdProdLT(Main[[#This Row],[Comments]])=0.1,"N/A",IF(stdProdLT(Main[[#This Row],[Comments]])=0,"",TRIM(stdProdLT(Main[[#This Row],[Comments]]))))</f>
        <v/>
      </c>
      <c r="H1387" s="94" t="str">
        <f>IF(OR(Main[[#This Row],[Std. Prod. Lead Time]]="N/A",Main[[#This Row],[Std. Prod. Lead Time]]=""), "",IF(AND(Main[[#This Row],[In Stock Date]]&lt;&gt;"",Main[[#This Row],[Revised Due Date]]&lt;&gt;"",Main[[#This Row],[In Stock Date]]&lt;&gt;""),Main[[#This Row],[In Stock Date]]-Main[[#This Row],[Revised Due Date]],""))</f>
        <v/>
      </c>
      <c r="I1387" s="101" t="s">
        <v>431</v>
      </c>
      <c r="J1387" s="95" t="s">
        <v>4</v>
      </c>
      <c r="K1387" s="95" t="s">
        <v>1918</v>
      </c>
      <c r="L1387" s="85">
        <v>40162</v>
      </c>
      <c r="M1387" s="73">
        <f>IF(Main[[#This Row],[Tech Start Date]]&lt;1/1/1990,"",IF(Main[[#This Row],[Class]]="C",WORKDAY(Main[[#This Row],[Tech Start Date]],9),IF(Main[[#This Row],[Class]]="B", WORKDAY(Main[[#This Row],[Tech Start Date]],6),IF(Main[[#This Row],[Class]]="A",WORKDAY(Main[[#This Row],[Tech Start Date]],2),""))))</f>
        <v>40170</v>
      </c>
      <c r="N1387" s="73">
        <f>IF(Main[[#This Row],[Tech Start Date]]&lt;1/1/1990,"",IF(Main[[#This Row],[Class]]="C",WORKDAY(Main[[#This Row],[Tech Start Date]],19),IF(Main[[#This Row],[Class]]="B", WORKDAY(Main[[#This Row],[Tech Start Date]],12),IF(Main[[#This Row],[Class]]="A",WORKDAY(Main[[#This Row],[Tech Start Date]],4),""))))</f>
        <v>40178</v>
      </c>
      <c r="O1387" s="73">
        <f>IF(Main[[#This Row],[Tech Start Date]]&lt;1/1/1990,"",IF(Main[[#This Row],[Class]]="C",WORKDAY(Main[[#This Row],[Tech Start Date]],23),IF(Main[[#This Row],[Class]]="B", WORKDAY(Main[[#This Row],[Tech Start Date]],15),IF(Main[[#This Row],[Class]]="A",WORKDAY(Main[[#This Row],[Tech Start Date]],5),""))))</f>
        <v>40183</v>
      </c>
      <c r="P1387" s="73">
        <f>IF(Main[[#This Row],[Tech Start Date]]&lt;1/1/1990,"",IF(Main[[#This Row],[Class]]="C",WORKDAY(Main[[#This Row],[Tech Start Date]],28),IF(Main[[#This Row],[Class]]="B", WORKDAY(Main[[#This Row],[Tech Start Date]],19),IF(Main[[#This Row],[Class]]="A",WORKDAY(Main[[#This Row],[Tech Start Date]],9),""))))</f>
        <v>40189</v>
      </c>
      <c r="Q1387" s="85">
        <v>40531</v>
      </c>
      <c r="R1387" s="112">
        <v>40531</v>
      </c>
      <c r="S1387" s="95" t="s">
        <v>11</v>
      </c>
      <c r="T1387" s="74" t="s">
        <v>4</v>
      </c>
      <c r="U1387" s="95" t="s">
        <v>14</v>
      </c>
      <c r="V1387" s="95" t="s">
        <v>1914</v>
      </c>
      <c r="W1387" s="95" t="s">
        <v>1919</v>
      </c>
      <c r="X1387" s="95" t="s">
        <v>2895</v>
      </c>
      <c r="Y1387" s="72" t="s">
        <v>4</v>
      </c>
      <c r="Z1387" s="72" t="s">
        <v>4</v>
      </c>
      <c r="AA1387" s="95" t="s">
        <v>2895</v>
      </c>
      <c r="AB1387" s="132"/>
      <c r="AC1387" s="132"/>
      <c r="AD1387" s="132"/>
      <c r="AE1387" s="63"/>
      <c r="AF1387" s="63"/>
      <c r="AG1387" s="63"/>
    </row>
    <row r="1388" spans="1:33" ht="17.2" customHeight="1">
      <c r="A1388" s="64" t="str">
        <f>IF(priority(Main[[#This Row],[Comments]])&lt;&gt;0, priority(Main[[#This Row],[Comments]]),"")</f>
        <v/>
      </c>
      <c r="B1388" s="60" t="s">
        <v>1805</v>
      </c>
      <c r="C1388" s="72" t="s">
        <v>31</v>
      </c>
      <c r="D1388" s="59" t="s">
        <v>854</v>
      </c>
      <c r="E1388" s="85"/>
      <c r="F1388" s="85">
        <v>40192</v>
      </c>
      <c r="G1388" s="64" t="str">
        <f>IF(stdProdLT(Main[[#This Row],[Comments]])=0.1,"N/A",IF(stdProdLT(Main[[#This Row],[Comments]])=0,"",TRIM(stdProdLT(Main[[#This Row],[Comments]]))))</f>
        <v/>
      </c>
      <c r="H1388" s="94" t="str">
        <f>IF(OR(Main[[#This Row],[Std. Prod. Lead Time]]="N/A",Main[[#This Row],[Std. Prod. Lead Time]]=""), "",IF(AND(Main[[#This Row],[In Stock Date]]&lt;&gt;"",Main[[#This Row],[Revised Due Date]]&lt;&gt;"",Main[[#This Row],[In Stock Date]]&lt;&gt;""),Main[[#This Row],[In Stock Date]]-Main[[#This Row],[Revised Due Date]],""))</f>
        <v/>
      </c>
      <c r="I1388" s="101" t="s">
        <v>765</v>
      </c>
      <c r="J1388" s="95" t="s">
        <v>4</v>
      </c>
      <c r="K1388" s="96" t="s">
        <v>4</v>
      </c>
      <c r="L1388" s="85">
        <v>40163</v>
      </c>
      <c r="M1388" s="73" t="str">
        <f>IF(Main[[#This Row],[Tech Start Date]]&lt;1/1/1990,"",IF(Main[[#This Row],[Class]]="C",WORKDAY(Main[[#This Row],[Tech Start Date]],9),IF(Main[[#This Row],[Class]]="B", WORKDAY(Main[[#This Row],[Tech Start Date]],6),IF(Main[[#This Row],[Class]]="A",WORKDAY(Main[[#This Row],[Tech Start Date]],2),""))))</f>
        <v/>
      </c>
      <c r="N1388" s="73" t="str">
        <f>IF(Main[[#This Row],[Tech Start Date]]&lt;1/1/1990,"",IF(Main[[#This Row],[Class]]="C",WORKDAY(Main[[#This Row],[Tech Start Date]],19),IF(Main[[#This Row],[Class]]="B", WORKDAY(Main[[#This Row],[Tech Start Date]],12),IF(Main[[#This Row],[Class]]="A",WORKDAY(Main[[#This Row],[Tech Start Date]],4),""))))</f>
        <v/>
      </c>
      <c r="O1388" s="73" t="str">
        <f>IF(Main[[#This Row],[Tech Start Date]]&lt;1/1/1990,"",IF(Main[[#This Row],[Class]]="C",WORKDAY(Main[[#This Row],[Tech Start Date]],23),IF(Main[[#This Row],[Class]]="B", WORKDAY(Main[[#This Row],[Tech Start Date]],15),IF(Main[[#This Row],[Class]]="A",WORKDAY(Main[[#This Row],[Tech Start Date]],5),""))))</f>
        <v/>
      </c>
      <c r="P1388" s="73" t="str">
        <f>IF(Main[[#This Row],[Tech Start Date]]&lt;1/1/1990,"",IF(Main[[#This Row],[Class]]="C",WORKDAY(Main[[#This Row],[Tech Start Date]],28),IF(Main[[#This Row],[Class]]="B", WORKDAY(Main[[#This Row],[Tech Start Date]],19),IF(Main[[#This Row],[Class]]="A",WORKDAY(Main[[#This Row],[Tech Start Date]],9),""))))</f>
        <v/>
      </c>
      <c r="Q1388" s="85">
        <v>40226</v>
      </c>
      <c r="R1388" s="112">
        <v>40192</v>
      </c>
      <c r="S1388" s="95" t="s">
        <v>11</v>
      </c>
      <c r="T1388" s="74" t="s">
        <v>4</v>
      </c>
      <c r="U1388" s="95" t="s">
        <v>14</v>
      </c>
      <c r="V1388" s="95" t="s">
        <v>1921</v>
      </c>
      <c r="W1388" s="95" t="s">
        <v>1917</v>
      </c>
      <c r="X1388" s="95" t="s">
        <v>2851</v>
      </c>
      <c r="Y1388" s="72" t="s">
        <v>4</v>
      </c>
      <c r="Z1388" s="72" t="s">
        <v>4</v>
      </c>
      <c r="AA1388" s="95" t="s">
        <v>2851</v>
      </c>
      <c r="AB1388" s="132"/>
      <c r="AC1388" s="132"/>
      <c r="AD1388" s="132"/>
      <c r="AE1388" s="63"/>
      <c r="AF1388" s="63"/>
      <c r="AG1388" s="63"/>
    </row>
    <row r="1389" spans="1:33" ht="17.2" customHeight="1">
      <c r="A1389" s="64" t="str">
        <f>IF(priority(Main[[#This Row],[Comments]])&lt;&gt;0, priority(Main[[#This Row],[Comments]]),"")</f>
        <v/>
      </c>
      <c r="B1389" s="60" t="s">
        <v>1804</v>
      </c>
      <c r="C1389" s="72" t="s">
        <v>31</v>
      </c>
      <c r="D1389" s="59" t="s">
        <v>853</v>
      </c>
      <c r="E1389" s="85"/>
      <c r="F1389" s="85">
        <v>40192</v>
      </c>
      <c r="G1389" s="64" t="str">
        <f>IF(stdProdLT(Main[[#This Row],[Comments]])=0.1,"N/A",IF(stdProdLT(Main[[#This Row],[Comments]])=0,"",TRIM(stdProdLT(Main[[#This Row],[Comments]]))))</f>
        <v/>
      </c>
      <c r="H1389" s="94" t="str">
        <f>IF(OR(Main[[#This Row],[Std. Prod. Lead Time]]="N/A",Main[[#This Row],[Std. Prod. Lead Time]]=""), "",IF(AND(Main[[#This Row],[In Stock Date]]&lt;&gt;"",Main[[#This Row],[Revised Due Date]]&lt;&gt;"",Main[[#This Row],[In Stock Date]]&lt;&gt;""),Main[[#This Row],[In Stock Date]]-Main[[#This Row],[Revised Due Date]],""))</f>
        <v/>
      </c>
      <c r="I1389" s="101" t="s">
        <v>765</v>
      </c>
      <c r="J1389" s="95" t="s">
        <v>4</v>
      </c>
      <c r="K1389" s="95" t="s">
        <v>4</v>
      </c>
      <c r="L1389" s="85">
        <v>40163</v>
      </c>
      <c r="M1389" s="73" t="str">
        <f>IF(Main[[#This Row],[Tech Start Date]]&lt;1/1/1990,"",IF(Main[[#This Row],[Class]]="C",WORKDAY(Main[[#This Row],[Tech Start Date]],9),IF(Main[[#This Row],[Class]]="B", WORKDAY(Main[[#This Row],[Tech Start Date]],6),IF(Main[[#This Row],[Class]]="A",WORKDAY(Main[[#This Row],[Tech Start Date]],2),""))))</f>
        <v/>
      </c>
      <c r="N1389" s="73" t="str">
        <f>IF(Main[[#This Row],[Tech Start Date]]&lt;1/1/1990,"",IF(Main[[#This Row],[Class]]="C",WORKDAY(Main[[#This Row],[Tech Start Date]],19),IF(Main[[#This Row],[Class]]="B", WORKDAY(Main[[#This Row],[Tech Start Date]],12),IF(Main[[#This Row],[Class]]="A",WORKDAY(Main[[#This Row],[Tech Start Date]],4),""))))</f>
        <v/>
      </c>
      <c r="O1389" s="73" t="str">
        <f>IF(Main[[#This Row],[Tech Start Date]]&lt;1/1/1990,"",IF(Main[[#This Row],[Class]]="C",WORKDAY(Main[[#This Row],[Tech Start Date]],23),IF(Main[[#This Row],[Class]]="B", WORKDAY(Main[[#This Row],[Tech Start Date]],15),IF(Main[[#This Row],[Class]]="A",WORKDAY(Main[[#This Row],[Tech Start Date]],5),""))))</f>
        <v/>
      </c>
      <c r="P1389" s="73" t="str">
        <f>IF(Main[[#This Row],[Tech Start Date]]&lt;1/1/1990,"",IF(Main[[#This Row],[Class]]="C",WORKDAY(Main[[#This Row],[Tech Start Date]],28),IF(Main[[#This Row],[Class]]="B", WORKDAY(Main[[#This Row],[Tech Start Date]],19),IF(Main[[#This Row],[Class]]="A",WORKDAY(Main[[#This Row],[Tech Start Date]],9),""))))</f>
        <v/>
      </c>
      <c r="Q1389" s="85">
        <v>40226</v>
      </c>
      <c r="R1389" s="112">
        <v>40192</v>
      </c>
      <c r="S1389" s="95" t="s">
        <v>11</v>
      </c>
      <c r="T1389" s="74" t="s">
        <v>4</v>
      </c>
      <c r="U1389" s="95" t="s">
        <v>14</v>
      </c>
      <c r="V1389" s="95" t="s">
        <v>1921</v>
      </c>
      <c r="W1389" s="95" t="s">
        <v>1917</v>
      </c>
      <c r="X1389" s="95" t="s">
        <v>2851</v>
      </c>
      <c r="Y1389" s="72" t="s">
        <v>4</v>
      </c>
      <c r="Z1389" s="72" t="s">
        <v>4</v>
      </c>
      <c r="AA1389" s="95" t="s">
        <v>2851</v>
      </c>
      <c r="AB1389" s="132"/>
      <c r="AC1389" s="132"/>
      <c r="AD1389" s="132"/>
      <c r="AE1389" s="63"/>
      <c r="AF1389" s="63"/>
      <c r="AG1389" s="63"/>
    </row>
    <row r="1390" spans="1:33" ht="17.2" customHeight="1">
      <c r="A1390" s="64" t="str">
        <f>IF(priority(Main[[#This Row],[Comments]])&lt;&gt;0, priority(Main[[#This Row],[Comments]]),"")</f>
        <v/>
      </c>
      <c r="B1390" s="60" t="s">
        <v>1807</v>
      </c>
      <c r="C1390" s="72" t="s">
        <v>857</v>
      </c>
      <c r="D1390" s="59" t="s">
        <v>858</v>
      </c>
      <c r="E1390" s="85"/>
      <c r="F1390" s="85">
        <v>40305</v>
      </c>
      <c r="G1390" s="64" t="str">
        <f>IF(stdProdLT(Main[[#This Row],[Comments]])=0.1,"N/A",IF(stdProdLT(Main[[#This Row],[Comments]])=0,"",TRIM(stdProdLT(Main[[#This Row],[Comments]]))))</f>
        <v/>
      </c>
      <c r="H1390" s="94" t="str">
        <f>IF(OR(Main[[#This Row],[Std. Prod. Lead Time]]="N/A",Main[[#This Row],[Std. Prod. Lead Time]]=""), "",IF(AND(Main[[#This Row],[In Stock Date]]&lt;&gt;"",Main[[#This Row],[Revised Due Date]]&lt;&gt;"",Main[[#This Row],[In Stock Date]]&lt;&gt;""),Main[[#This Row],[In Stock Date]]-Main[[#This Row],[Revised Due Date]],""))</f>
        <v/>
      </c>
      <c r="I1390" s="101" t="s">
        <v>765</v>
      </c>
      <c r="J1390" s="95" t="s">
        <v>4</v>
      </c>
      <c r="K1390" s="96" t="s">
        <v>4</v>
      </c>
      <c r="L1390" s="85">
        <v>40192</v>
      </c>
      <c r="M1390" s="73" t="str">
        <f>IF(Main[[#This Row],[Tech Start Date]]&lt;1/1/1990,"",IF(Main[[#This Row],[Class]]="C",WORKDAY(Main[[#This Row],[Tech Start Date]],9),IF(Main[[#This Row],[Class]]="B", WORKDAY(Main[[#This Row],[Tech Start Date]],6),IF(Main[[#This Row],[Class]]="A",WORKDAY(Main[[#This Row],[Tech Start Date]],2),""))))</f>
        <v/>
      </c>
      <c r="N1390" s="73" t="str">
        <f>IF(Main[[#This Row],[Tech Start Date]]&lt;1/1/1990,"",IF(Main[[#This Row],[Class]]="C",WORKDAY(Main[[#This Row],[Tech Start Date]],19),IF(Main[[#This Row],[Class]]="B", WORKDAY(Main[[#This Row],[Tech Start Date]],12),IF(Main[[#This Row],[Class]]="A",WORKDAY(Main[[#This Row],[Tech Start Date]],4),""))))</f>
        <v/>
      </c>
      <c r="O1390" s="73" t="str">
        <f>IF(Main[[#This Row],[Tech Start Date]]&lt;1/1/1990,"",IF(Main[[#This Row],[Class]]="C",WORKDAY(Main[[#This Row],[Tech Start Date]],23),IF(Main[[#This Row],[Class]]="B", WORKDAY(Main[[#This Row],[Tech Start Date]],15),IF(Main[[#This Row],[Class]]="A",WORKDAY(Main[[#This Row],[Tech Start Date]],5),""))))</f>
        <v/>
      </c>
      <c r="P1390" s="73" t="str">
        <f>IF(Main[[#This Row],[Tech Start Date]]&lt;1/1/1990,"",IF(Main[[#This Row],[Class]]="C",WORKDAY(Main[[#This Row],[Tech Start Date]],28),IF(Main[[#This Row],[Class]]="B", WORKDAY(Main[[#This Row],[Tech Start Date]],19),IF(Main[[#This Row],[Class]]="A",WORKDAY(Main[[#This Row],[Tech Start Date]],9),""))))</f>
        <v/>
      </c>
      <c r="Q1390" s="85">
        <v>40178</v>
      </c>
      <c r="R1390" s="112">
        <v>40225</v>
      </c>
      <c r="S1390" s="95" t="s">
        <v>11</v>
      </c>
      <c r="T1390" s="74" t="s">
        <v>4</v>
      </c>
      <c r="U1390" s="95" t="s">
        <v>14</v>
      </c>
      <c r="V1390" s="95" t="s">
        <v>1914</v>
      </c>
      <c r="W1390" s="95" t="s">
        <v>1919</v>
      </c>
      <c r="X1390" s="95" t="s">
        <v>2834</v>
      </c>
      <c r="Y1390" s="72" t="s">
        <v>4</v>
      </c>
      <c r="Z1390" s="72" t="s">
        <v>4</v>
      </c>
      <c r="AA1390" s="95" t="s">
        <v>2834</v>
      </c>
      <c r="AB1390" s="132"/>
      <c r="AC1390" s="132"/>
      <c r="AD1390" s="132"/>
      <c r="AE1390" s="63"/>
      <c r="AF1390" s="63"/>
      <c r="AG1390" s="63"/>
    </row>
    <row r="1391" spans="1:33" ht="17.2" customHeight="1">
      <c r="A1391" s="64" t="str">
        <f>IF(priority(Main[[#This Row],[Comments]])&lt;&gt;0, priority(Main[[#This Row],[Comments]]),"")</f>
        <v/>
      </c>
      <c r="B1391" s="60" t="s">
        <v>1806</v>
      </c>
      <c r="C1391" s="72" t="s">
        <v>855</v>
      </c>
      <c r="D1391" s="59" t="s">
        <v>856</v>
      </c>
      <c r="E1391" s="85"/>
      <c r="F1391" s="85">
        <v>40305</v>
      </c>
      <c r="G1391" s="64" t="str">
        <f>IF(stdProdLT(Main[[#This Row],[Comments]])=0.1,"N/A",IF(stdProdLT(Main[[#This Row],[Comments]])=0,"",TRIM(stdProdLT(Main[[#This Row],[Comments]]))))</f>
        <v/>
      </c>
      <c r="H1391" s="94" t="str">
        <f>IF(OR(Main[[#This Row],[Std. Prod. Lead Time]]="N/A",Main[[#This Row],[Std. Prod. Lead Time]]=""), "",IF(AND(Main[[#This Row],[In Stock Date]]&lt;&gt;"",Main[[#This Row],[Revised Due Date]]&lt;&gt;"",Main[[#This Row],[In Stock Date]]&lt;&gt;""),Main[[#This Row],[In Stock Date]]-Main[[#This Row],[Revised Due Date]],""))</f>
        <v/>
      </c>
      <c r="I1391" s="101" t="s">
        <v>44</v>
      </c>
      <c r="J1391" s="95" t="s">
        <v>4</v>
      </c>
      <c r="K1391" s="95" t="s">
        <v>4</v>
      </c>
      <c r="L1391" s="85">
        <v>40192</v>
      </c>
      <c r="M1391" s="73" t="str">
        <f>IF(Main[[#This Row],[Tech Start Date]]&lt;1/1/1990,"",IF(Main[[#This Row],[Class]]="C",WORKDAY(Main[[#This Row],[Tech Start Date]],9),IF(Main[[#This Row],[Class]]="B", WORKDAY(Main[[#This Row],[Tech Start Date]],6),IF(Main[[#This Row],[Class]]="A",WORKDAY(Main[[#This Row],[Tech Start Date]],2),""))))</f>
        <v/>
      </c>
      <c r="N1391" s="73" t="str">
        <f>IF(Main[[#This Row],[Tech Start Date]]&lt;1/1/1990,"",IF(Main[[#This Row],[Class]]="C",WORKDAY(Main[[#This Row],[Tech Start Date]],19),IF(Main[[#This Row],[Class]]="B", WORKDAY(Main[[#This Row],[Tech Start Date]],12),IF(Main[[#This Row],[Class]]="A",WORKDAY(Main[[#This Row],[Tech Start Date]],4),""))))</f>
        <v/>
      </c>
      <c r="O1391" s="73" t="str">
        <f>IF(Main[[#This Row],[Tech Start Date]]&lt;1/1/1990,"",IF(Main[[#This Row],[Class]]="C",WORKDAY(Main[[#This Row],[Tech Start Date]],23),IF(Main[[#This Row],[Class]]="B", WORKDAY(Main[[#This Row],[Tech Start Date]],15),IF(Main[[#This Row],[Class]]="A",WORKDAY(Main[[#This Row],[Tech Start Date]],5),""))))</f>
        <v/>
      </c>
      <c r="P1391" s="73" t="str">
        <f>IF(Main[[#This Row],[Tech Start Date]]&lt;1/1/1990,"",IF(Main[[#This Row],[Class]]="C",WORKDAY(Main[[#This Row],[Tech Start Date]],28),IF(Main[[#This Row],[Class]]="B", WORKDAY(Main[[#This Row],[Tech Start Date]],19),IF(Main[[#This Row],[Class]]="A",WORKDAY(Main[[#This Row],[Tech Start Date]],9),""))))</f>
        <v/>
      </c>
      <c r="Q1391" s="85">
        <v>40178</v>
      </c>
      <c r="R1391" s="112">
        <v>40224</v>
      </c>
      <c r="S1391" s="95" t="s">
        <v>11</v>
      </c>
      <c r="T1391" s="74" t="s">
        <v>4</v>
      </c>
      <c r="U1391" s="95" t="s">
        <v>14</v>
      </c>
      <c r="V1391" s="95" t="s">
        <v>1914</v>
      </c>
      <c r="W1391" s="95" t="s">
        <v>1919</v>
      </c>
      <c r="X1391" s="95" t="s">
        <v>2834</v>
      </c>
      <c r="Y1391" s="72" t="s">
        <v>4</v>
      </c>
      <c r="Z1391" s="72" t="s">
        <v>4</v>
      </c>
      <c r="AA1391" s="95" t="s">
        <v>2834</v>
      </c>
      <c r="AB1391" s="132"/>
      <c r="AC1391" s="132"/>
      <c r="AD1391" s="132"/>
      <c r="AE1391" s="63"/>
      <c r="AF1391" s="63"/>
      <c r="AG1391" s="63"/>
    </row>
    <row r="1392" spans="1:33" ht="17.2" customHeight="1">
      <c r="A1392" s="64" t="str">
        <f>IF(priority(Main[[#This Row],[Comments]])&lt;&gt;0, priority(Main[[#This Row],[Comments]]),"")</f>
        <v/>
      </c>
      <c r="B1392" s="60" t="s">
        <v>1809</v>
      </c>
      <c r="C1392" s="72" t="s">
        <v>4</v>
      </c>
      <c r="D1392" s="59" t="s">
        <v>860</v>
      </c>
      <c r="E1392" s="85"/>
      <c r="F1392" s="85"/>
      <c r="G1392" s="64" t="str">
        <f>IF(stdProdLT(Main[[#This Row],[Comments]])=0.1,"N/A",IF(stdProdLT(Main[[#This Row],[Comments]])=0,"",TRIM(stdProdLT(Main[[#This Row],[Comments]]))))</f>
        <v/>
      </c>
      <c r="H1392" s="94" t="str">
        <f>IF(OR(Main[[#This Row],[Std. Prod. Lead Time]]="N/A",Main[[#This Row],[Std. Prod. Lead Time]]=""), "",IF(AND(Main[[#This Row],[In Stock Date]]&lt;&gt;"",Main[[#This Row],[Revised Due Date]]&lt;&gt;"",Main[[#This Row],[In Stock Date]]&lt;&gt;""),Main[[#This Row],[In Stock Date]]-Main[[#This Row],[Revised Due Date]],""))</f>
        <v/>
      </c>
      <c r="I1392" s="101" t="s">
        <v>30</v>
      </c>
      <c r="J1392" s="95" t="s">
        <v>28</v>
      </c>
      <c r="K1392" s="95" t="s">
        <v>1918</v>
      </c>
      <c r="L1392" s="85">
        <v>40231</v>
      </c>
      <c r="M1392" s="73">
        <f>IF(Main[[#This Row],[Tech Start Date]]&lt;1/1/1990,"",IF(Main[[#This Row],[Class]]="C",WORKDAY(Main[[#This Row],[Tech Start Date]],9),IF(Main[[#This Row],[Class]]="B", WORKDAY(Main[[#This Row],[Tech Start Date]],6),IF(Main[[#This Row],[Class]]="A",WORKDAY(Main[[#This Row],[Tech Start Date]],2),""))))</f>
        <v>40239</v>
      </c>
      <c r="N1392" s="73">
        <f>IF(Main[[#This Row],[Tech Start Date]]&lt;1/1/1990,"",IF(Main[[#This Row],[Class]]="C",WORKDAY(Main[[#This Row],[Tech Start Date]],19),IF(Main[[#This Row],[Class]]="B", WORKDAY(Main[[#This Row],[Tech Start Date]],12),IF(Main[[#This Row],[Class]]="A",WORKDAY(Main[[#This Row],[Tech Start Date]],4),""))))</f>
        <v>40247</v>
      </c>
      <c r="O1392" s="73">
        <f>IF(Main[[#This Row],[Tech Start Date]]&lt;1/1/1990,"",IF(Main[[#This Row],[Class]]="C",WORKDAY(Main[[#This Row],[Tech Start Date]],23),IF(Main[[#This Row],[Class]]="B", WORKDAY(Main[[#This Row],[Tech Start Date]],15),IF(Main[[#This Row],[Class]]="A",WORKDAY(Main[[#This Row],[Tech Start Date]],5),""))))</f>
        <v>40252</v>
      </c>
      <c r="P1392" s="73">
        <f>IF(Main[[#This Row],[Tech Start Date]]&lt;1/1/1990,"",IF(Main[[#This Row],[Class]]="C",WORKDAY(Main[[#This Row],[Tech Start Date]],28),IF(Main[[#This Row],[Class]]="B", WORKDAY(Main[[#This Row],[Tech Start Date]],19),IF(Main[[#This Row],[Class]]="A",WORKDAY(Main[[#This Row],[Tech Start Date]],9),""))))</f>
        <v>40256</v>
      </c>
      <c r="Q1392" s="85">
        <v>40269</v>
      </c>
      <c r="R1392" s="112">
        <v>40246</v>
      </c>
      <c r="S1392" s="95" t="s">
        <v>6</v>
      </c>
      <c r="T1392" s="74" t="s">
        <v>4</v>
      </c>
      <c r="U1392" s="95" t="s">
        <v>14</v>
      </c>
      <c r="V1392" s="95" t="s">
        <v>1914</v>
      </c>
      <c r="W1392" s="95" t="s">
        <v>1913</v>
      </c>
      <c r="X1392" s="95" t="s">
        <v>2867</v>
      </c>
      <c r="Y1392" s="72" t="s">
        <v>3021</v>
      </c>
      <c r="Z1392" s="72" t="s">
        <v>4</v>
      </c>
      <c r="AA1392" s="95" t="s">
        <v>2867</v>
      </c>
      <c r="AB1392" s="132"/>
      <c r="AC1392" s="132"/>
      <c r="AD1392" s="132"/>
      <c r="AE1392" s="63"/>
      <c r="AF1392" s="63"/>
      <c r="AG1392" s="63"/>
    </row>
    <row r="1393" spans="1:33" ht="17.2" customHeight="1">
      <c r="A1393" s="64" t="str">
        <f>IF(priority(Main[[#This Row],[Comments]])&lt;&gt;0, priority(Main[[#This Row],[Comments]]),"")</f>
        <v/>
      </c>
      <c r="B1393" s="60" t="s">
        <v>1943</v>
      </c>
      <c r="C1393" s="72" t="s">
        <v>862</v>
      </c>
      <c r="D1393" s="59" t="s">
        <v>863</v>
      </c>
      <c r="E1393" s="85"/>
      <c r="F1393" s="85"/>
      <c r="G1393" s="64" t="str">
        <f>IF(stdProdLT(Main[[#This Row],[Comments]])=0.1,"N/A",IF(stdProdLT(Main[[#This Row],[Comments]])=0,"",TRIM(stdProdLT(Main[[#This Row],[Comments]]))))</f>
        <v/>
      </c>
      <c r="H1393" s="94" t="str">
        <f>IF(OR(Main[[#This Row],[Std. Prod. Lead Time]]="N/A",Main[[#This Row],[Std. Prod. Lead Time]]=""), "",IF(AND(Main[[#This Row],[In Stock Date]]&lt;&gt;"",Main[[#This Row],[Revised Due Date]]&lt;&gt;"",Main[[#This Row],[In Stock Date]]&lt;&gt;""),Main[[#This Row],[In Stock Date]]-Main[[#This Row],[Revised Due Date]],""))</f>
        <v/>
      </c>
      <c r="I1393" s="101" t="s">
        <v>765</v>
      </c>
      <c r="J1393" s="95" t="s">
        <v>4</v>
      </c>
      <c r="K1393" s="96" t="s">
        <v>1923</v>
      </c>
      <c r="L1393" s="85">
        <v>40231</v>
      </c>
      <c r="M1393" s="73" t="str">
        <f>IF(Main[[#This Row],[Tech Start Date]]&lt;1/1/1990,"",IF(Main[[#This Row],[Class]]="C",WORKDAY(Main[[#This Row],[Tech Start Date]],9),IF(Main[[#This Row],[Class]]="B", WORKDAY(Main[[#This Row],[Tech Start Date]],6),IF(Main[[#This Row],[Class]]="A",WORKDAY(Main[[#This Row],[Tech Start Date]],2),""))))</f>
        <v/>
      </c>
      <c r="N1393" s="73" t="str">
        <f>IF(Main[[#This Row],[Tech Start Date]]&lt;1/1/1990,"",IF(Main[[#This Row],[Class]]="C",WORKDAY(Main[[#This Row],[Tech Start Date]],19),IF(Main[[#This Row],[Class]]="B", WORKDAY(Main[[#This Row],[Tech Start Date]],12),IF(Main[[#This Row],[Class]]="A",WORKDAY(Main[[#This Row],[Tech Start Date]],4),""))))</f>
        <v/>
      </c>
      <c r="O1393" s="73" t="str">
        <f>IF(Main[[#This Row],[Tech Start Date]]&lt;1/1/1990,"",IF(Main[[#This Row],[Class]]="C",WORKDAY(Main[[#This Row],[Tech Start Date]],23),IF(Main[[#This Row],[Class]]="B", WORKDAY(Main[[#This Row],[Tech Start Date]],15),IF(Main[[#This Row],[Class]]="A",WORKDAY(Main[[#This Row],[Tech Start Date]],5),""))))</f>
        <v/>
      </c>
      <c r="P1393" s="73" t="str">
        <f>IF(Main[[#This Row],[Tech Start Date]]&lt;1/1/1990,"",IF(Main[[#This Row],[Class]]="C",WORKDAY(Main[[#This Row],[Tech Start Date]],28),IF(Main[[#This Row],[Class]]="B", WORKDAY(Main[[#This Row],[Tech Start Date]],19),IF(Main[[#This Row],[Class]]="A",WORKDAY(Main[[#This Row],[Tech Start Date]],9),""))))</f>
        <v/>
      </c>
      <c r="Q1393" s="85">
        <v>40268</v>
      </c>
      <c r="R1393" s="112">
        <v>40268</v>
      </c>
      <c r="S1393" s="95" t="s">
        <v>17</v>
      </c>
      <c r="T1393" s="74" t="s">
        <v>4</v>
      </c>
      <c r="U1393" s="95" t="s">
        <v>14</v>
      </c>
      <c r="V1393" s="95" t="s">
        <v>1914</v>
      </c>
      <c r="W1393" s="95" t="s">
        <v>1916</v>
      </c>
      <c r="X1393" s="95" t="s">
        <v>2896</v>
      </c>
      <c r="Y1393" s="72" t="s">
        <v>3121</v>
      </c>
      <c r="Z1393" s="72" t="s">
        <v>4</v>
      </c>
      <c r="AA1393" s="95" t="s">
        <v>553</v>
      </c>
      <c r="AB1393" s="132"/>
      <c r="AC1393" s="132"/>
      <c r="AD1393" s="132"/>
      <c r="AE1393" s="63"/>
      <c r="AF1393" s="63"/>
      <c r="AG1393" s="63"/>
    </row>
    <row r="1394" spans="1:33" ht="17.2" customHeight="1">
      <c r="A1394" s="64" t="str">
        <f>IF(priority(Main[[#This Row],[Comments]])&lt;&gt;0, priority(Main[[#This Row],[Comments]]),"")</f>
        <v/>
      </c>
      <c r="B1394" s="60" t="s">
        <v>1817</v>
      </c>
      <c r="C1394" s="72" t="s">
        <v>47</v>
      </c>
      <c r="D1394" s="59" t="s">
        <v>871</v>
      </c>
      <c r="E1394" s="85">
        <v>40220.456550925926</v>
      </c>
      <c r="F1394" s="85"/>
      <c r="G1394" s="64" t="str">
        <f>IF(stdProdLT(Main[[#This Row],[Comments]])=0.1,"N/A",IF(stdProdLT(Main[[#This Row],[Comments]])=0,"",TRIM(stdProdLT(Main[[#This Row],[Comments]]))))</f>
        <v/>
      </c>
      <c r="H1394" s="94" t="str">
        <f>IF(OR(Main[[#This Row],[Std. Prod. Lead Time]]="N/A",Main[[#This Row],[Std. Prod. Lead Time]]=""), "",IF(AND(Main[[#This Row],[In Stock Date]]&lt;&gt;"",Main[[#This Row],[Revised Due Date]]&lt;&gt;"",Main[[#This Row],[In Stock Date]]&lt;&gt;""),Main[[#This Row],[In Stock Date]]-Main[[#This Row],[Revised Due Date]],""))</f>
        <v/>
      </c>
      <c r="I1394" s="101" t="s">
        <v>81</v>
      </c>
      <c r="J1394" s="95" t="s">
        <v>52</v>
      </c>
      <c r="K1394" s="95" t="s">
        <v>1923</v>
      </c>
      <c r="L1394" s="85">
        <v>40231</v>
      </c>
      <c r="M1394" s="73" t="str">
        <f>IF(Main[[#This Row],[Tech Start Date]]&lt;1/1/1990,"",IF(Main[[#This Row],[Class]]="C",WORKDAY(Main[[#This Row],[Tech Start Date]],9),IF(Main[[#This Row],[Class]]="B", WORKDAY(Main[[#This Row],[Tech Start Date]],6),IF(Main[[#This Row],[Class]]="A",WORKDAY(Main[[#This Row],[Tech Start Date]],2),""))))</f>
        <v/>
      </c>
      <c r="N1394" s="73" t="str">
        <f>IF(Main[[#This Row],[Tech Start Date]]&lt;1/1/1990,"",IF(Main[[#This Row],[Class]]="C",WORKDAY(Main[[#This Row],[Tech Start Date]],19),IF(Main[[#This Row],[Class]]="B", WORKDAY(Main[[#This Row],[Tech Start Date]],12),IF(Main[[#This Row],[Class]]="A",WORKDAY(Main[[#This Row],[Tech Start Date]],4),""))))</f>
        <v/>
      </c>
      <c r="O1394" s="73" t="str">
        <f>IF(Main[[#This Row],[Tech Start Date]]&lt;1/1/1990,"",IF(Main[[#This Row],[Class]]="C",WORKDAY(Main[[#This Row],[Tech Start Date]],23),IF(Main[[#This Row],[Class]]="B", WORKDAY(Main[[#This Row],[Tech Start Date]],15),IF(Main[[#This Row],[Class]]="A",WORKDAY(Main[[#This Row],[Tech Start Date]],5),""))))</f>
        <v/>
      </c>
      <c r="P1394" s="73" t="str">
        <f>IF(Main[[#This Row],[Tech Start Date]]&lt;1/1/1990,"",IF(Main[[#This Row],[Class]]="C",WORKDAY(Main[[#This Row],[Tech Start Date]],28),IF(Main[[#This Row],[Class]]="B", WORKDAY(Main[[#This Row],[Tech Start Date]],19),IF(Main[[#This Row],[Class]]="A",WORKDAY(Main[[#This Row],[Tech Start Date]],9),""))))</f>
        <v/>
      </c>
      <c r="Q1394" s="85">
        <v>40255</v>
      </c>
      <c r="R1394" s="112">
        <v>40310</v>
      </c>
      <c r="S1394" s="95" t="s">
        <v>17</v>
      </c>
      <c r="T1394" s="74" t="s">
        <v>4</v>
      </c>
      <c r="U1394" s="95" t="s">
        <v>29</v>
      </c>
      <c r="V1394" s="95" t="s">
        <v>1921</v>
      </c>
      <c r="W1394" s="95" t="s">
        <v>1913</v>
      </c>
      <c r="X1394" s="95" t="s">
        <v>2797</v>
      </c>
      <c r="Y1394" s="72" t="s">
        <v>4</v>
      </c>
      <c r="Z1394" s="72" t="s">
        <v>44</v>
      </c>
      <c r="AA1394" s="95" t="s">
        <v>2797</v>
      </c>
      <c r="AB1394" s="132"/>
      <c r="AC1394" s="132"/>
      <c r="AD1394" s="132"/>
      <c r="AE1394" s="63"/>
      <c r="AF1394" s="63"/>
      <c r="AG1394" s="63"/>
    </row>
    <row r="1395" spans="1:33" ht="17.2" customHeight="1">
      <c r="A1395" s="64" t="str">
        <f>IF(priority(Main[[#This Row],[Comments]])&lt;&gt;0, priority(Main[[#This Row],[Comments]]),"")</f>
        <v/>
      </c>
      <c r="B1395" s="60" t="s">
        <v>1812</v>
      </c>
      <c r="C1395" s="72" t="s">
        <v>47</v>
      </c>
      <c r="D1395" s="59" t="s">
        <v>865</v>
      </c>
      <c r="E1395" s="85"/>
      <c r="F1395" s="85"/>
      <c r="G1395" s="64" t="str">
        <f>IF(stdProdLT(Main[[#This Row],[Comments]])=0.1,"N/A",IF(stdProdLT(Main[[#This Row],[Comments]])=0,"",TRIM(stdProdLT(Main[[#This Row],[Comments]]))))</f>
        <v/>
      </c>
      <c r="H1395" s="94" t="str">
        <f>IF(OR(Main[[#This Row],[Std. Prod. Lead Time]]="N/A",Main[[#This Row],[Std. Prod. Lead Time]]=""), "",IF(AND(Main[[#This Row],[In Stock Date]]&lt;&gt;"",Main[[#This Row],[Revised Due Date]]&lt;&gt;"",Main[[#This Row],[In Stock Date]]&lt;&gt;""),Main[[#This Row],[In Stock Date]]-Main[[#This Row],[Revised Due Date]],""))</f>
        <v/>
      </c>
      <c r="I1395" s="101" t="s">
        <v>431</v>
      </c>
      <c r="J1395" s="95" t="s">
        <v>4</v>
      </c>
      <c r="K1395" s="95" t="s">
        <v>1923</v>
      </c>
      <c r="L1395" s="85">
        <v>40248</v>
      </c>
      <c r="M1395" s="73" t="str">
        <f>IF(Main[[#This Row],[Tech Start Date]]&lt;1/1/1990,"",IF(Main[[#This Row],[Class]]="C",WORKDAY(Main[[#This Row],[Tech Start Date]],9),IF(Main[[#This Row],[Class]]="B", WORKDAY(Main[[#This Row],[Tech Start Date]],6),IF(Main[[#This Row],[Class]]="A",WORKDAY(Main[[#This Row],[Tech Start Date]],2),""))))</f>
        <v/>
      </c>
      <c r="N1395" s="73" t="str">
        <f>IF(Main[[#This Row],[Tech Start Date]]&lt;1/1/1990,"",IF(Main[[#This Row],[Class]]="C",WORKDAY(Main[[#This Row],[Tech Start Date]],19),IF(Main[[#This Row],[Class]]="B", WORKDAY(Main[[#This Row],[Tech Start Date]],12),IF(Main[[#This Row],[Class]]="A",WORKDAY(Main[[#This Row],[Tech Start Date]],4),""))))</f>
        <v/>
      </c>
      <c r="O1395" s="73" t="str">
        <f>IF(Main[[#This Row],[Tech Start Date]]&lt;1/1/1990,"",IF(Main[[#This Row],[Class]]="C",WORKDAY(Main[[#This Row],[Tech Start Date]],23),IF(Main[[#This Row],[Class]]="B", WORKDAY(Main[[#This Row],[Tech Start Date]],15),IF(Main[[#This Row],[Class]]="A",WORKDAY(Main[[#This Row],[Tech Start Date]],5),""))))</f>
        <v/>
      </c>
      <c r="P1395" s="73" t="str">
        <f>IF(Main[[#This Row],[Tech Start Date]]&lt;1/1/1990,"",IF(Main[[#This Row],[Class]]="C",WORKDAY(Main[[#This Row],[Tech Start Date]],28),IF(Main[[#This Row],[Class]]="B", WORKDAY(Main[[#This Row],[Tech Start Date]],19),IF(Main[[#This Row],[Class]]="A",WORKDAY(Main[[#This Row],[Tech Start Date]],9),""))))</f>
        <v/>
      </c>
      <c r="Q1395" s="85">
        <v>40289</v>
      </c>
      <c r="R1395" s="112">
        <v>40289</v>
      </c>
      <c r="S1395" s="95" t="s">
        <v>17</v>
      </c>
      <c r="T1395" s="74" t="s">
        <v>4</v>
      </c>
      <c r="U1395" s="95" t="s">
        <v>14</v>
      </c>
      <c r="V1395" s="95" t="s">
        <v>1914</v>
      </c>
      <c r="W1395" s="95" t="s">
        <v>1917</v>
      </c>
      <c r="X1395" s="95" t="s">
        <v>530</v>
      </c>
      <c r="Y1395" s="72" t="s">
        <v>3122</v>
      </c>
      <c r="Z1395" s="72" t="s">
        <v>4</v>
      </c>
      <c r="AA1395" s="95" t="s">
        <v>530</v>
      </c>
      <c r="AB1395" s="132"/>
      <c r="AC1395" s="132"/>
      <c r="AD1395" s="132"/>
      <c r="AE1395" s="63"/>
      <c r="AF1395" s="63"/>
      <c r="AG1395" s="63"/>
    </row>
    <row r="1396" spans="1:33" ht="17.2" customHeight="1">
      <c r="A1396" s="64" t="str">
        <f>IF(priority(Main[[#This Row],[Comments]])&lt;&gt;0, priority(Main[[#This Row],[Comments]]),"")</f>
        <v/>
      </c>
      <c r="B1396" s="60" t="s">
        <v>1813</v>
      </c>
      <c r="C1396" s="72" t="s">
        <v>867</v>
      </c>
      <c r="D1396" s="59" t="s">
        <v>868</v>
      </c>
      <c r="E1396" s="85"/>
      <c r="F1396" s="85">
        <v>40299</v>
      </c>
      <c r="G1396" s="64" t="str">
        <f>IF(stdProdLT(Main[[#This Row],[Comments]])=0.1,"N/A",IF(stdProdLT(Main[[#This Row],[Comments]])=0,"",TRIM(stdProdLT(Main[[#This Row],[Comments]]))))</f>
        <v/>
      </c>
      <c r="H1396" s="94" t="str">
        <f>IF(OR(Main[[#This Row],[Std. Prod. Lead Time]]="N/A",Main[[#This Row],[Std. Prod. Lead Time]]=""), "",IF(AND(Main[[#This Row],[In Stock Date]]&lt;&gt;"",Main[[#This Row],[Revised Due Date]]&lt;&gt;"",Main[[#This Row],[In Stock Date]]&lt;&gt;""),Main[[#This Row],[In Stock Date]]-Main[[#This Row],[Revised Due Date]],""))</f>
        <v/>
      </c>
      <c r="I1396" s="101" t="s">
        <v>652</v>
      </c>
      <c r="J1396" s="95" t="s">
        <v>28</v>
      </c>
      <c r="K1396" s="95" t="s">
        <v>1923</v>
      </c>
      <c r="L1396" s="85">
        <v>40266</v>
      </c>
      <c r="M1396" s="73" t="str">
        <f>IF(Main[[#This Row],[Tech Start Date]]&lt;1/1/1990,"",IF(Main[[#This Row],[Class]]="C",WORKDAY(Main[[#This Row],[Tech Start Date]],9),IF(Main[[#This Row],[Class]]="B", WORKDAY(Main[[#This Row],[Tech Start Date]],6),IF(Main[[#This Row],[Class]]="A",WORKDAY(Main[[#This Row],[Tech Start Date]],2),""))))</f>
        <v/>
      </c>
      <c r="N1396" s="73" t="str">
        <f>IF(Main[[#This Row],[Tech Start Date]]&lt;1/1/1990,"",IF(Main[[#This Row],[Class]]="C",WORKDAY(Main[[#This Row],[Tech Start Date]],19),IF(Main[[#This Row],[Class]]="B", WORKDAY(Main[[#This Row],[Tech Start Date]],12),IF(Main[[#This Row],[Class]]="A",WORKDAY(Main[[#This Row],[Tech Start Date]],4),""))))</f>
        <v/>
      </c>
      <c r="O1396" s="73" t="str">
        <f>IF(Main[[#This Row],[Tech Start Date]]&lt;1/1/1990,"",IF(Main[[#This Row],[Class]]="C",WORKDAY(Main[[#This Row],[Tech Start Date]],23),IF(Main[[#This Row],[Class]]="B", WORKDAY(Main[[#This Row],[Tech Start Date]],15),IF(Main[[#This Row],[Class]]="A",WORKDAY(Main[[#This Row],[Tech Start Date]],5),""))))</f>
        <v/>
      </c>
      <c r="P1396" s="73" t="str">
        <f>IF(Main[[#This Row],[Tech Start Date]]&lt;1/1/1990,"",IF(Main[[#This Row],[Class]]="C",WORKDAY(Main[[#This Row],[Tech Start Date]],28),IF(Main[[#This Row],[Class]]="B", WORKDAY(Main[[#This Row],[Tech Start Date]],19),IF(Main[[#This Row],[Class]]="A",WORKDAY(Main[[#This Row],[Tech Start Date]],9),""))))</f>
        <v/>
      </c>
      <c r="Q1396" s="85">
        <v>40299</v>
      </c>
      <c r="R1396" s="112">
        <v>40291</v>
      </c>
      <c r="S1396" s="95" t="s">
        <v>17</v>
      </c>
      <c r="T1396" s="74" t="s">
        <v>4</v>
      </c>
      <c r="U1396" s="95" t="s">
        <v>14</v>
      </c>
      <c r="V1396" s="95" t="s">
        <v>1921</v>
      </c>
      <c r="W1396" s="95" t="s">
        <v>1916</v>
      </c>
      <c r="X1396" s="95" t="s">
        <v>530</v>
      </c>
      <c r="Y1396" s="72" t="s">
        <v>3122</v>
      </c>
      <c r="Z1396" s="72" t="s">
        <v>652</v>
      </c>
      <c r="AA1396" s="95" t="s">
        <v>530</v>
      </c>
      <c r="AB1396" s="132"/>
      <c r="AC1396" s="132"/>
      <c r="AD1396" s="132"/>
      <c r="AE1396" s="63"/>
      <c r="AF1396" s="63"/>
      <c r="AG1396" s="63"/>
    </row>
    <row r="1397" spans="1:33" ht="17.2" customHeight="1">
      <c r="A1397" s="64" t="str">
        <f>IF(priority(Main[[#This Row],[Comments]])&lt;&gt;0, priority(Main[[#This Row],[Comments]]),"")</f>
        <v/>
      </c>
      <c r="B1397" s="60" t="s">
        <v>1816</v>
      </c>
      <c r="C1397" s="72" t="s">
        <v>4</v>
      </c>
      <c r="D1397" s="59" t="s">
        <v>870</v>
      </c>
      <c r="E1397" s="85"/>
      <c r="F1397" s="85"/>
      <c r="G1397" s="64" t="str">
        <f>IF(stdProdLT(Main[[#This Row],[Comments]])=0.1,"N/A",IF(stdProdLT(Main[[#This Row],[Comments]])=0,"",TRIM(stdProdLT(Main[[#This Row],[Comments]]))))</f>
        <v/>
      </c>
      <c r="H1397" s="94" t="str">
        <f>IF(OR(Main[[#This Row],[Std. Prod. Lead Time]]="N/A",Main[[#This Row],[Std. Prod. Lead Time]]=""), "",IF(AND(Main[[#This Row],[In Stock Date]]&lt;&gt;"",Main[[#This Row],[Revised Due Date]]&lt;&gt;"",Main[[#This Row],[In Stock Date]]&lt;&gt;""),Main[[#This Row],[In Stock Date]]-Main[[#This Row],[Revised Due Date]],""))</f>
        <v/>
      </c>
      <c r="I1397" s="101" t="s">
        <v>399</v>
      </c>
      <c r="J1397" s="95" t="s">
        <v>75</v>
      </c>
      <c r="K1397" s="95" t="s">
        <v>1920</v>
      </c>
      <c r="L1397" s="85">
        <v>40288</v>
      </c>
      <c r="M1397" s="73">
        <f>IF(Main[[#This Row],[Tech Start Date]]&lt;1/1/1990,"",IF(Main[[#This Row],[Class]]="C",WORKDAY(Main[[#This Row],[Tech Start Date]],9),IF(Main[[#This Row],[Class]]="B", WORKDAY(Main[[#This Row],[Tech Start Date]],6),IF(Main[[#This Row],[Class]]="A",WORKDAY(Main[[#This Row],[Tech Start Date]],2),""))))</f>
        <v>40290</v>
      </c>
      <c r="N1397" s="73">
        <f>IF(Main[[#This Row],[Tech Start Date]]&lt;1/1/1990,"",IF(Main[[#This Row],[Class]]="C",WORKDAY(Main[[#This Row],[Tech Start Date]],19),IF(Main[[#This Row],[Class]]="B", WORKDAY(Main[[#This Row],[Tech Start Date]],12),IF(Main[[#This Row],[Class]]="A",WORKDAY(Main[[#This Row],[Tech Start Date]],4),""))))</f>
        <v>40294</v>
      </c>
      <c r="O1397" s="73">
        <f>IF(Main[[#This Row],[Tech Start Date]]&lt;1/1/1990,"",IF(Main[[#This Row],[Class]]="C",WORKDAY(Main[[#This Row],[Tech Start Date]],23),IF(Main[[#This Row],[Class]]="B", WORKDAY(Main[[#This Row],[Tech Start Date]],15),IF(Main[[#This Row],[Class]]="A",WORKDAY(Main[[#This Row],[Tech Start Date]],5),""))))</f>
        <v>40295</v>
      </c>
      <c r="P1397" s="73">
        <f>IF(Main[[#This Row],[Tech Start Date]]&lt;1/1/1990,"",IF(Main[[#This Row],[Class]]="C",WORKDAY(Main[[#This Row],[Tech Start Date]],28),IF(Main[[#This Row],[Class]]="B", WORKDAY(Main[[#This Row],[Tech Start Date]],19),IF(Main[[#This Row],[Class]]="A",WORKDAY(Main[[#This Row],[Tech Start Date]],9),""))))</f>
        <v>40301</v>
      </c>
      <c r="Q1397" s="85"/>
      <c r="R1397" s="112">
        <v>40309</v>
      </c>
      <c r="S1397" s="95" t="s">
        <v>6</v>
      </c>
      <c r="T1397" s="74" t="s">
        <v>4</v>
      </c>
      <c r="U1397" s="95" t="s">
        <v>14</v>
      </c>
      <c r="V1397" s="95" t="s">
        <v>1914</v>
      </c>
      <c r="W1397" s="95" t="s">
        <v>4</v>
      </c>
      <c r="X1397" s="95" t="s">
        <v>2816</v>
      </c>
      <c r="Y1397" s="72" t="s">
        <v>2943</v>
      </c>
      <c r="Z1397" s="72" t="s">
        <v>306</v>
      </c>
      <c r="AA1397" s="95" t="s">
        <v>2816</v>
      </c>
      <c r="AB1397" s="132">
        <v>40281</v>
      </c>
      <c r="AC1397" s="132">
        <v>40288</v>
      </c>
      <c r="AD1397" s="132"/>
      <c r="AE1397" s="63"/>
      <c r="AF1397" s="63"/>
      <c r="AG1397" s="63"/>
    </row>
    <row r="1398" spans="1:33" ht="17.2" customHeight="1">
      <c r="A1398" s="64" t="str">
        <f>IF(priority(Main[[#This Row],[Comments]])&lt;&gt;0, priority(Main[[#This Row],[Comments]]),"")</f>
        <v/>
      </c>
      <c r="B1398" s="60" t="s">
        <v>1818</v>
      </c>
      <c r="C1398" s="72" t="s">
        <v>4</v>
      </c>
      <c r="D1398" s="59" t="s">
        <v>872</v>
      </c>
      <c r="E1398" s="85"/>
      <c r="F1398" s="85"/>
      <c r="G1398" s="64" t="str">
        <f>IF(stdProdLT(Main[[#This Row],[Comments]])=0.1,"N/A",IF(stdProdLT(Main[[#This Row],[Comments]])=0,"",TRIM(stdProdLT(Main[[#This Row],[Comments]]))))</f>
        <v/>
      </c>
      <c r="H1398" s="94" t="str">
        <f>IF(OR(Main[[#This Row],[Std. Prod. Lead Time]]="N/A",Main[[#This Row],[Std. Prod. Lead Time]]=""), "",IF(AND(Main[[#This Row],[In Stock Date]]&lt;&gt;"",Main[[#This Row],[Revised Due Date]]&lt;&gt;"",Main[[#This Row],[In Stock Date]]&lt;&gt;""),Main[[#This Row],[In Stock Date]]-Main[[#This Row],[Revised Due Date]],""))</f>
        <v/>
      </c>
      <c r="I1398" s="101" t="s">
        <v>765</v>
      </c>
      <c r="J1398" s="95" t="s">
        <v>4</v>
      </c>
      <c r="K1398" s="95" t="s">
        <v>1918</v>
      </c>
      <c r="L1398" s="85">
        <v>40291</v>
      </c>
      <c r="M1398" s="73">
        <f>IF(Main[[#This Row],[Tech Start Date]]&lt;1/1/1990,"",IF(Main[[#This Row],[Class]]="C",WORKDAY(Main[[#This Row],[Tech Start Date]],9),IF(Main[[#This Row],[Class]]="B", WORKDAY(Main[[#This Row],[Tech Start Date]],6),IF(Main[[#This Row],[Class]]="A",WORKDAY(Main[[#This Row],[Tech Start Date]],2),""))))</f>
        <v>40301</v>
      </c>
      <c r="N1398" s="73">
        <f>IF(Main[[#This Row],[Tech Start Date]]&lt;1/1/1990,"",IF(Main[[#This Row],[Class]]="C",WORKDAY(Main[[#This Row],[Tech Start Date]],19),IF(Main[[#This Row],[Class]]="B", WORKDAY(Main[[#This Row],[Tech Start Date]],12),IF(Main[[#This Row],[Class]]="A",WORKDAY(Main[[#This Row],[Tech Start Date]],4),""))))</f>
        <v>40309</v>
      </c>
      <c r="O1398" s="73">
        <f>IF(Main[[#This Row],[Tech Start Date]]&lt;1/1/1990,"",IF(Main[[#This Row],[Class]]="C",WORKDAY(Main[[#This Row],[Tech Start Date]],23),IF(Main[[#This Row],[Class]]="B", WORKDAY(Main[[#This Row],[Tech Start Date]],15),IF(Main[[#This Row],[Class]]="A",WORKDAY(Main[[#This Row],[Tech Start Date]],5),""))))</f>
        <v>40312</v>
      </c>
      <c r="P1398" s="73">
        <f>IF(Main[[#This Row],[Tech Start Date]]&lt;1/1/1990,"",IF(Main[[#This Row],[Class]]="C",WORKDAY(Main[[#This Row],[Tech Start Date]],28),IF(Main[[#This Row],[Class]]="B", WORKDAY(Main[[#This Row],[Tech Start Date]],19),IF(Main[[#This Row],[Class]]="A",WORKDAY(Main[[#This Row],[Tech Start Date]],9),""))))</f>
        <v>40318</v>
      </c>
      <c r="Q1398" s="85">
        <v>40312</v>
      </c>
      <c r="R1398" s="112">
        <v>40312</v>
      </c>
      <c r="S1398" s="95" t="s">
        <v>6</v>
      </c>
      <c r="T1398" s="74" t="s">
        <v>4</v>
      </c>
      <c r="U1398" s="95" t="s">
        <v>14</v>
      </c>
      <c r="V1398" s="95" t="s">
        <v>1914</v>
      </c>
      <c r="W1398" s="95" t="s">
        <v>4</v>
      </c>
      <c r="X1398" s="95" t="s">
        <v>2897</v>
      </c>
      <c r="Y1398" s="72" t="s">
        <v>3123</v>
      </c>
      <c r="Z1398" s="72" t="s">
        <v>4</v>
      </c>
      <c r="AA1398" s="95" t="s">
        <v>2897</v>
      </c>
      <c r="AB1398" s="132"/>
      <c r="AC1398" s="132"/>
      <c r="AD1398" s="132"/>
      <c r="AE1398" s="63"/>
      <c r="AF1398" s="63"/>
      <c r="AG1398" s="63"/>
    </row>
    <row r="1399" spans="1:33" ht="17.2" customHeight="1">
      <c r="A1399" s="64" t="str">
        <f>IF(priority(Main[[#This Row],[Comments]])&lt;&gt;0, priority(Main[[#This Row],[Comments]]),"")</f>
        <v/>
      </c>
      <c r="B1399" s="60" t="s">
        <v>1820</v>
      </c>
      <c r="C1399" s="72" t="s">
        <v>4</v>
      </c>
      <c r="D1399" s="59" t="s">
        <v>2126</v>
      </c>
      <c r="E1399" s="85"/>
      <c r="F1399" s="85"/>
      <c r="G1399" s="64" t="str">
        <f>IF(stdProdLT(Main[[#This Row],[Comments]])=0.1,"N/A",IF(stdProdLT(Main[[#This Row],[Comments]])=0,"",TRIM(stdProdLT(Main[[#This Row],[Comments]]))))</f>
        <v/>
      </c>
      <c r="H1399" s="94" t="str">
        <f>IF(OR(Main[[#This Row],[Std. Prod. Lead Time]]="N/A",Main[[#This Row],[Std. Prod. Lead Time]]=""), "",IF(AND(Main[[#This Row],[In Stock Date]]&lt;&gt;"",Main[[#This Row],[Revised Due Date]]&lt;&gt;"",Main[[#This Row],[In Stock Date]]&lt;&gt;""),Main[[#This Row],[In Stock Date]]-Main[[#This Row],[Revised Due Date]],""))</f>
        <v/>
      </c>
      <c r="I1399" s="101" t="s">
        <v>530</v>
      </c>
      <c r="J1399" s="95" t="s">
        <v>28</v>
      </c>
      <c r="K1399" s="95" t="s">
        <v>1918</v>
      </c>
      <c r="L1399" s="85">
        <v>40294</v>
      </c>
      <c r="M1399" s="73">
        <f>IF(Main[[#This Row],[Tech Start Date]]&lt;1/1/1990,"",IF(Main[[#This Row],[Class]]="C",WORKDAY(Main[[#This Row],[Tech Start Date]],9),IF(Main[[#This Row],[Class]]="B", WORKDAY(Main[[#This Row],[Tech Start Date]],6),IF(Main[[#This Row],[Class]]="A",WORKDAY(Main[[#This Row],[Tech Start Date]],2),""))))</f>
        <v>40302</v>
      </c>
      <c r="N1399" s="73">
        <f>IF(Main[[#This Row],[Tech Start Date]]&lt;1/1/1990,"",IF(Main[[#This Row],[Class]]="C",WORKDAY(Main[[#This Row],[Tech Start Date]],19),IF(Main[[#This Row],[Class]]="B", WORKDAY(Main[[#This Row],[Tech Start Date]],12),IF(Main[[#This Row],[Class]]="A",WORKDAY(Main[[#This Row],[Tech Start Date]],4),""))))</f>
        <v>40310</v>
      </c>
      <c r="O1399" s="73">
        <f>IF(Main[[#This Row],[Tech Start Date]]&lt;1/1/1990,"",IF(Main[[#This Row],[Class]]="C",WORKDAY(Main[[#This Row],[Tech Start Date]],23),IF(Main[[#This Row],[Class]]="B", WORKDAY(Main[[#This Row],[Tech Start Date]],15),IF(Main[[#This Row],[Class]]="A",WORKDAY(Main[[#This Row],[Tech Start Date]],5),""))))</f>
        <v>40315</v>
      </c>
      <c r="P1399" s="73">
        <f>IF(Main[[#This Row],[Tech Start Date]]&lt;1/1/1990,"",IF(Main[[#This Row],[Class]]="C",WORKDAY(Main[[#This Row],[Tech Start Date]],28),IF(Main[[#This Row],[Class]]="B", WORKDAY(Main[[#This Row],[Tech Start Date]],19),IF(Main[[#This Row],[Class]]="A",WORKDAY(Main[[#This Row],[Tech Start Date]],9),""))))</f>
        <v>40319</v>
      </c>
      <c r="Q1399" s="85">
        <v>40329</v>
      </c>
      <c r="R1399" s="112">
        <v>40326</v>
      </c>
      <c r="S1399" s="95" t="s">
        <v>6</v>
      </c>
      <c r="T1399" s="74" t="s">
        <v>4</v>
      </c>
      <c r="U1399" s="95" t="s">
        <v>14</v>
      </c>
      <c r="V1399" s="95" t="s">
        <v>1914</v>
      </c>
      <c r="W1399" s="95" t="s">
        <v>1915</v>
      </c>
      <c r="X1399" s="95" t="s">
        <v>2897</v>
      </c>
      <c r="Y1399" s="72" t="s">
        <v>3123</v>
      </c>
      <c r="Z1399" s="72" t="s">
        <v>30</v>
      </c>
      <c r="AA1399" s="95" t="s">
        <v>2897</v>
      </c>
      <c r="AB1399" s="132"/>
      <c r="AC1399" s="132"/>
      <c r="AD1399" s="132"/>
      <c r="AE1399" s="63"/>
      <c r="AF1399" s="63"/>
      <c r="AG1399" s="63"/>
    </row>
    <row r="1400" spans="1:33" ht="17.2" customHeight="1">
      <c r="A1400" s="64" t="str">
        <f>IF(priority(Main[[#This Row],[Comments]])&lt;&gt;0, priority(Main[[#This Row],[Comments]]),"")</f>
        <v/>
      </c>
      <c r="B1400" s="60" t="s">
        <v>1819</v>
      </c>
      <c r="C1400" s="72" t="s">
        <v>4</v>
      </c>
      <c r="D1400" s="59" t="s">
        <v>873</v>
      </c>
      <c r="E1400" s="85"/>
      <c r="F1400" s="85"/>
      <c r="G1400" s="64" t="str">
        <f>IF(stdProdLT(Main[[#This Row],[Comments]])=0.1,"N/A",IF(stdProdLT(Main[[#This Row],[Comments]])=0,"",TRIM(stdProdLT(Main[[#This Row],[Comments]]))))</f>
        <v/>
      </c>
      <c r="H1400" s="94" t="str">
        <f>IF(OR(Main[[#This Row],[Std. Prod. Lead Time]]="N/A",Main[[#This Row],[Std. Prod. Lead Time]]=""), "",IF(AND(Main[[#This Row],[In Stock Date]]&lt;&gt;"",Main[[#This Row],[Revised Due Date]]&lt;&gt;"",Main[[#This Row],[In Stock Date]]&lt;&gt;""),Main[[#This Row],[In Stock Date]]-Main[[#This Row],[Revised Due Date]],""))</f>
        <v/>
      </c>
      <c r="I1400" s="101" t="s">
        <v>489</v>
      </c>
      <c r="J1400" s="95" t="s">
        <v>4</v>
      </c>
      <c r="K1400" s="95" t="s">
        <v>1918</v>
      </c>
      <c r="L1400" s="85">
        <v>40295</v>
      </c>
      <c r="M1400" s="73">
        <f>IF(Main[[#This Row],[Tech Start Date]]&lt;1/1/1990,"",IF(Main[[#This Row],[Class]]="C",WORKDAY(Main[[#This Row],[Tech Start Date]],9),IF(Main[[#This Row],[Class]]="B", WORKDAY(Main[[#This Row],[Tech Start Date]],6),IF(Main[[#This Row],[Class]]="A",WORKDAY(Main[[#This Row],[Tech Start Date]],2),""))))</f>
        <v>40303</v>
      </c>
      <c r="N1400" s="73">
        <f>IF(Main[[#This Row],[Tech Start Date]]&lt;1/1/1990,"",IF(Main[[#This Row],[Class]]="C",WORKDAY(Main[[#This Row],[Tech Start Date]],19),IF(Main[[#This Row],[Class]]="B", WORKDAY(Main[[#This Row],[Tech Start Date]],12),IF(Main[[#This Row],[Class]]="A",WORKDAY(Main[[#This Row],[Tech Start Date]],4),""))))</f>
        <v>40311</v>
      </c>
      <c r="O1400" s="73">
        <f>IF(Main[[#This Row],[Tech Start Date]]&lt;1/1/1990,"",IF(Main[[#This Row],[Class]]="C",WORKDAY(Main[[#This Row],[Tech Start Date]],23),IF(Main[[#This Row],[Class]]="B", WORKDAY(Main[[#This Row],[Tech Start Date]],15),IF(Main[[#This Row],[Class]]="A",WORKDAY(Main[[#This Row],[Tech Start Date]],5),""))))</f>
        <v>40316</v>
      </c>
      <c r="P1400" s="73">
        <f>IF(Main[[#This Row],[Tech Start Date]]&lt;1/1/1990,"",IF(Main[[#This Row],[Class]]="C",WORKDAY(Main[[#This Row],[Tech Start Date]],28),IF(Main[[#This Row],[Class]]="B", WORKDAY(Main[[#This Row],[Tech Start Date]],19),IF(Main[[#This Row],[Class]]="A",WORKDAY(Main[[#This Row],[Tech Start Date]],9),""))))</f>
        <v>40322</v>
      </c>
      <c r="Q1400" s="85">
        <v>40329</v>
      </c>
      <c r="R1400" s="112">
        <v>40325</v>
      </c>
      <c r="S1400" s="95" t="s">
        <v>6</v>
      </c>
      <c r="T1400" s="74" t="s">
        <v>4</v>
      </c>
      <c r="U1400" s="95" t="s">
        <v>14</v>
      </c>
      <c r="V1400" s="95" t="s">
        <v>1914</v>
      </c>
      <c r="W1400" s="95" t="s">
        <v>4</v>
      </c>
      <c r="X1400" s="95" t="s">
        <v>2897</v>
      </c>
      <c r="Y1400" s="72" t="s">
        <v>3123</v>
      </c>
      <c r="Z1400" s="72" t="s">
        <v>973</v>
      </c>
      <c r="AA1400" s="95" t="s">
        <v>2897</v>
      </c>
      <c r="AB1400" s="132"/>
      <c r="AC1400" s="132"/>
      <c r="AD1400" s="132"/>
      <c r="AE1400" s="63"/>
      <c r="AF1400" s="63"/>
      <c r="AG1400" s="63"/>
    </row>
    <row r="1401" spans="1:33" ht="17.2" customHeight="1">
      <c r="A1401" s="64" t="str">
        <f>IF(priority(Main[[#This Row],[Comments]])&lt;&gt;0, priority(Main[[#This Row],[Comments]]),"")</f>
        <v/>
      </c>
      <c r="B1401" s="60" t="s">
        <v>1869</v>
      </c>
      <c r="C1401" s="72" t="s">
        <v>33</v>
      </c>
      <c r="D1401" s="59" t="s">
        <v>926</v>
      </c>
      <c r="E1401" s="85">
        <v>40314.31863425926</v>
      </c>
      <c r="F1401" s="85">
        <v>40489</v>
      </c>
      <c r="G1401" s="64" t="str">
        <f>IF(stdProdLT(Main[[#This Row],[Comments]])=0.1,"N/A",IF(stdProdLT(Main[[#This Row],[Comments]])=0,"",TRIM(stdProdLT(Main[[#This Row],[Comments]]))))</f>
        <v/>
      </c>
      <c r="H1401" s="94" t="str">
        <f>IF(OR(Main[[#This Row],[Std. Prod. Lead Time]]="N/A",Main[[#This Row],[Std. Prod. Lead Time]]=""), "",IF(AND(Main[[#This Row],[In Stock Date]]&lt;&gt;"",Main[[#This Row],[Revised Due Date]]&lt;&gt;"",Main[[#This Row],[In Stock Date]]&lt;&gt;""),Main[[#This Row],[In Stock Date]]-Main[[#This Row],[Revised Due Date]],""))</f>
        <v/>
      </c>
      <c r="I1401" s="101" t="s">
        <v>163</v>
      </c>
      <c r="J1401" s="95" t="s">
        <v>4</v>
      </c>
      <c r="K1401" s="95" t="s">
        <v>1923</v>
      </c>
      <c r="L1401" s="85">
        <v>40331</v>
      </c>
      <c r="M1401" s="73" t="str">
        <f>IF(Main[[#This Row],[Tech Start Date]]&lt;1/1/1990,"",IF(Main[[#This Row],[Class]]="C",WORKDAY(Main[[#This Row],[Tech Start Date]],9),IF(Main[[#This Row],[Class]]="B", WORKDAY(Main[[#This Row],[Tech Start Date]],6),IF(Main[[#This Row],[Class]]="A",WORKDAY(Main[[#This Row],[Tech Start Date]],2),""))))</f>
        <v/>
      </c>
      <c r="N1401" s="73" t="str">
        <f>IF(Main[[#This Row],[Tech Start Date]]&lt;1/1/1990,"",IF(Main[[#This Row],[Class]]="C",WORKDAY(Main[[#This Row],[Tech Start Date]],19),IF(Main[[#This Row],[Class]]="B", WORKDAY(Main[[#This Row],[Tech Start Date]],12),IF(Main[[#This Row],[Class]]="A",WORKDAY(Main[[#This Row],[Tech Start Date]],4),""))))</f>
        <v/>
      </c>
      <c r="O1401" s="73" t="str">
        <f>IF(Main[[#This Row],[Tech Start Date]]&lt;1/1/1990,"",IF(Main[[#This Row],[Class]]="C",WORKDAY(Main[[#This Row],[Tech Start Date]],23),IF(Main[[#This Row],[Class]]="B", WORKDAY(Main[[#This Row],[Tech Start Date]],15),IF(Main[[#This Row],[Class]]="A",WORKDAY(Main[[#This Row],[Tech Start Date]],5),""))))</f>
        <v/>
      </c>
      <c r="P1401" s="73" t="str">
        <f>IF(Main[[#This Row],[Tech Start Date]]&lt;1/1/1990,"",IF(Main[[#This Row],[Class]]="C",WORKDAY(Main[[#This Row],[Tech Start Date]],28),IF(Main[[#This Row],[Class]]="B", WORKDAY(Main[[#This Row],[Tech Start Date]],19),IF(Main[[#This Row],[Class]]="A",WORKDAY(Main[[#This Row],[Tech Start Date]],9),""))))</f>
        <v/>
      </c>
      <c r="Q1401" s="85">
        <v>40349</v>
      </c>
      <c r="R1401" s="112">
        <v>40862</v>
      </c>
      <c r="S1401" s="95" t="s">
        <v>17</v>
      </c>
      <c r="T1401" s="74" t="s">
        <v>4</v>
      </c>
      <c r="U1401" s="95" t="s">
        <v>29</v>
      </c>
      <c r="V1401" s="95" t="s">
        <v>1914</v>
      </c>
      <c r="W1401" s="95" t="s">
        <v>1916</v>
      </c>
      <c r="X1401" s="95" t="s">
        <v>2898</v>
      </c>
      <c r="Y1401" s="72" t="s">
        <v>4</v>
      </c>
      <c r="Z1401" s="72" t="s">
        <v>415</v>
      </c>
      <c r="AA1401" s="95" t="s">
        <v>2898</v>
      </c>
      <c r="AB1401" s="132"/>
      <c r="AC1401" s="132"/>
      <c r="AD1401" s="132"/>
      <c r="AE1401" s="63"/>
      <c r="AF1401" s="63"/>
      <c r="AG1401" s="63"/>
    </row>
    <row r="1402" spans="1:33" ht="17.2" customHeight="1">
      <c r="A1402" s="64" t="str">
        <f>IF(priority(Main[[#This Row],[Comments]])&lt;&gt;0, priority(Main[[#This Row],[Comments]]),"")</f>
        <v/>
      </c>
      <c r="B1402" s="60" t="s">
        <v>1829</v>
      </c>
      <c r="C1402" s="72" t="s">
        <v>180</v>
      </c>
      <c r="D1402" s="59" t="s">
        <v>882</v>
      </c>
      <c r="E1402" s="85"/>
      <c r="F1402" s="85">
        <v>40421</v>
      </c>
      <c r="G1402" s="64" t="str">
        <f>IF(stdProdLT(Main[[#This Row],[Comments]])=0.1,"N/A",IF(stdProdLT(Main[[#This Row],[Comments]])=0,"",TRIM(stdProdLT(Main[[#This Row],[Comments]]))))</f>
        <v/>
      </c>
      <c r="H1402" s="94" t="str">
        <f>IF(OR(Main[[#This Row],[Std. Prod. Lead Time]]="N/A",Main[[#This Row],[Std. Prod. Lead Time]]=""), "",IF(AND(Main[[#This Row],[In Stock Date]]&lt;&gt;"",Main[[#This Row],[Revised Due Date]]&lt;&gt;"",Main[[#This Row],[In Stock Date]]&lt;&gt;""),Main[[#This Row],[In Stock Date]]-Main[[#This Row],[Revised Due Date]],""))</f>
        <v/>
      </c>
      <c r="I1402" s="101" t="s">
        <v>883</v>
      </c>
      <c r="J1402" s="95" t="s">
        <v>51</v>
      </c>
      <c r="K1402" s="95" t="s">
        <v>1920</v>
      </c>
      <c r="L1402" s="85">
        <v>40354</v>
      </c>
      <c r="M1402" s="73">
        <f>IF(Main[[#This Row],[Tech Start Date]]&lt;1/1/1990,"",IF(Main[[#This Row],[Class]]="C",WORKDAY(Main[[#This Row],[Tech Start Date]],9),IF(Main[[#This Row],[Class]]="B", WORKDAY(Main[[#This Row],[Tech Start Date]],6),IF(Main[[#This Row],[Class]]="A",WORKDAY(Main[[#This Row],[Tech Start Date]],2),""))))</f>
        <v>40358</v>
      </c>
      <c r="N1402" s="73">
        <f>IF(Main[[#This Row],[Tech Start Date]]&lt;1/1/1990,"",IF(Main[[#This Row],[Class]]="C",WORKDAY(Main[[#This Row],[Tech Start Date]],19),IF(Main[[#This Row],[Class]]="B", WORKDAY(Main[[#This Row],[Tech Start Date]],12),IF(Main[[#This Row],[Class]]="A",WORKDAY(Main[[#This Row],[Tech Start Date]],4),""))))</f>
        <v>40360</v>
      </c>
      <c r="O1402" s="73">
        <f>IF(Main[[#This Row],[Tech Start Date]]&lt;1/1/1990,"",IF(Main[[#This Row],[Class]]="C",WORKDAY(Main[[#This Row],[Tech Start Date]],23),IF(Main[[#This Row],[Class]]="B", WORKDAY(Main[[#This Row],[Tech Start Date]],15),IF(Main[[#This Row],[Class]]="A",WORKDAY(Main[[#This Row],[Tech Start Date]],5),""))))</f>
        <v>40361</v>
      </c>
      <c r="P1402" s="73">
        <f>IF(Main[[#This Row],[Tech Start Date]]&lt;1/1/1990,"",IF(Main[[#This Row],[Class]]="C",WORKDAY(Main[[#This Row],[Tech Start Date]],28),IF(Main[[#This Row],[Class]]="B", WORKDAY(Main[[#This Row],[Tech Start Date]],19),IF(Main[[#This Row],[Class]]="A",WORKDAY(Main[[#This Row],[Tech Start Date]],9),""))))</f>
        <v>40367</v>
      </c>
      <c r="Q1402" s="85">
        <v>40417</v>
      </c>
      <c r="R1402" s="112">
        <v>40417</v>
      </c>
      <c r="S1402" s="95" t="s">
        <v>11</v>
      </c>
      <c r="T1402" s="74" t="s">
        <v>4</v>
      </c>
      <c r="U1402" s="95" t="s">
        <v>14</v>
      </c>
      <c r="V1402" s="95" t="s">
        <v>1921</v>
      </c>
      <c r="W1402" s="95" t="s">
        <v>1917</v>
      </c>
      <c r="X1402" s="95" t="s">
        <v>2852</v>
      </c>
      <c r="Y1402" s="72" t="s">
        <v>2974</v>
      </c>
      <c r="Z1402" s="72" t="s">
        <v>883</v>
      </c>
      <c r="AA1402" s="95" t="s">
        <v>2852</v>
      </c>
      <c r="AB1402" s="132">
        <v>40358</v>
      </c>
      <c r="AC1402" s="132">
        <v>40406</v>
      </c>
      <c r="AD1402" s="132"/>
      <c r="AE1402" s="63"/>
      <c r="AF1402" s="63"/>
      <c r="AG1402" s="63"/>
    </row>
    <row r="1403" spans="1:33" ht="17.2" customHeight="1">
      <c r="A1403" s="64" t="str">
        <f>IF(priority(Main[[#This Row],[Comments]])&lt;&gt;0, priority(Main[[#This Row],[Comments]]),"")</f>
        <v/>
      </c>
      <c r="B1403" s="60" t="s">
        <v>1828</v>
      </c>
      <c r="C1403" s="72" t="s">
        <v>180</v>
      </c>
      <c r="D1403" s="59" t="s">
        <v>884</v>
      </c>
      <c r="E1403" s="85"/>
      <c r="F1403" s="85">
        <v>40421</v>
      </c>
      <c r="G1403" s="64" t="str">
        <f>IF(stdProdLT(Main[[#This Row],[Comments]])=0.1,"N/A",IF(stdProdLT(Main[[#This Row],[Comments]])=0,"",TRIM(stdProdLT(Main[[#This Row],[Comments]]))))</f>
        <v/>
      </c>
      <c r="H1403" s="94" t="str">
        <f>IF(OR(Main[[#This Row],[Std. Prod. Lead Time]]="N/A",Main[[#This Row],[Std. Prod. Lead Time]]=""), "",IF(AND(Main[[#This Row],[In Stock Date]]&lt;&gt;"",Main[[#This Row],[Revised Due Date]]&lt;&gt;"",Main[[#This Row],[In Stock Date]]&lt;&gt;""),Main[[#This Row],[In Stock Date]]-Main[[#This Row],[Revised Due Date]],""))</f>
        <v/>
      </c>
      <c r="I1403" s="101" t="s">
        <v>883</v>
      </c>
      <c r="J1403" s="95" t="s">
        <v>51</v>
      </c>
      <c r="K1403" s="95" t="s">
        <v>1920</v>
      </c>
      <c r="L1403" s="85">
        <v>40354</v>
      </c>
      <c r="M1403" s="73">
        <f>IF(Main[[#This Row],[Tech Start Date]]&lt;1/1/1990,"",IF(Main[[#This Row],[Class]]="C",WORKDAY(Main[[#This Row],[Tech Start Date]],9),IF(Main[[#This Row],[Class]]="B", WORKDAY(Main[[#This Row],[Tech Start Date]],6),IF(Main[[#This Row],[Class]]="A",WORKDAY(Main[[#This Row],[Tech Start Date]],2),""))))</f>
        <v>40358</v>
      </c>
      <c r="N1403" s="73">
        <f>IF(Main[[#This Row],[Tech Start Date]]&lt;1/1/1990,"",IF(Main[[#This Row],[Class]]="C",WORKDAY(Main[[#This Row],[Tech Start Date]],19),IF(Main[[#This Row],[Class]]="B", WORKDAY(Main[[#This Row],[Tech Start Date]],12),IF(Main[[#This Row],[Class]]="A",WORKDAY(Main[[#This Row],[Tech Start Date]],4),""))))</f>
        <v>40360</v>
      </c>
      <c r="O1403" s="73">
        <f>IF(Main[[#This Row],[Tech Start Date]]&lt;1/1/1990,"",IF(Main[[#This Row],[Class]]="C",WORKDAY(Main[[#This Row],[Tech Start Date]],23),IF(Main[[#This Row],[Class]]="B", WORKDAY(Main[[#This Row],[Tech Start Date]],15),IF(Main[[#This Row],[Class]]="A",WORKDAY(Main[[#This Row],[Tech Start Date]],5),""))))</f>
        <v>40361</v>
      </c>
      <c r="P1403" s="73">
        <f>IF(Main[[#This Row],[Tech Start Date]]&lt;1/1/1990,"",IF(Main[[#This Row],[Class]]="C",WORKDAY(Main[[#This Row],[Tech Start Date]],28),IF(Main[[#This Row],[Class]]="B", WORKDAY(Main[[#This Row],[Tech Start Date]],19),IF(Main[[#This Row],[Class]]="A",WORKDAY(Main[[#This Row],[Tech Start Date]],9),""))))</f>
        <v>40367</v>
      </c>
      <c r="Q1403" s="85">
        <v>40417</v>
      </c>
      <c r="R1403" s="112">
        <v>40417</v>
      </c>
      <c r="S1403" s="95" t="s">
        <v>11</v>
      </c>
      <c r="T1403" s="74" t="s">
        <v>4</v>
      </c>
      <c r="U1403" s="95" t="s">
        <v>14</v>
      </c>
      <c r="V1403" s="95" t="s">
        <v>1921</v>
      </c>
      <c r="W1403" s="95" t="s">
        <v>1917</v>
      </c>
      <c r="X1403" s="95" t="s">
        <v>2852</v>
      </c>
      <c r="Y1403" s="72" t="s">
        <v>2974</v>
      </c>
      <c r="Z1403" s="72" t="s">
        <v>883</v>
      </c>
      <c r="AA1403" s="95" t="s">
        <v>2852</v>
      </c>
      <c r="AB1403" s="132">
        <v>40358</v>
      </c>
      <c r="AC1403" s="132">
        <v>40406</v>
      </c>
      <c r="AD1403" s="132"/>
      <c r="AE1403" s="63"/>
      <c r="AF1403" s="63"/>
      <c r="AG1403" s="63"/>
    </row>
    <row r="1404" spans="1:33" ht="17.2" customHeight="1">
      <c r="A1404" s="64" t="str">
        <f>IF(priority(Main[[#This Row],[Comments]])&lt;&gt;0, priority(Main[[#This Row],[Comments]]),"")</f>
        <v/>
      </c>
      <c r="B1404" s="60" t="s">
        <v>1826</v>
      </c>
      <c r="C1404" s="72" t="s">
        <v>879</v>
      </c>
      <c r="D1404" s="59" t="s">
        <v>880</v>
      </c>
      <c r="E1404" s="85"/>
      <c r="F1404" s="85">
        <v>40442</v>
      </c>
      <c r="G1404" s="64" t="str">
        <f>IF(stdProdLT(Main[[#This Row],[Comments]])=0.1,"N/A",IF(stdProdLT(Main[[#This Row],[Comments]])=0,"",TRIM(stdProdLT(Main[[#This Row],[Comments]]))))</f>
        <v/>
      </c>
      <c r="H1404" s="94" t="str">
        <f>IF(OR(Main[[#This Row],[Std. Prod. Lead Time]]="N/A",Main[[#This Row],[Std. Prod. Lead Time]]=""), "",IF(AND(Main[[#This Row],[In Stock Date]]&lt;&gt;"",Main[[#This Row],[Revised Due Date]]&lt;&gt;"",Main[[#This Row],[In Stock Date]]&lt;&gt;""),Main[[#This Row],[In Stock Date]]-Main[[#This Row],[Revised Due Date]],""))</f>
        <v/>
      </c>
      <c r="I1404" s="101" t="s">
        <v>553</v>
      </c>
      <c r="J1404" s="95" t="s">
        <v>28</v>
      </c>
      <c r="K1404" s="95" t="s">
        <v>1923</v>
      </c>
      <c r="L1404" s="85">
        <v>40366</v>
      </c>
      <c r="M1404" s="73" t="str">
        <f>IF(Main[[#This Row],[Tech Start Date]]&lt;1/1/1990,"",IF(Main[[#This Row],[Class]]="C",WORKDAY(Main[[#This Row],[Tech Start Date]],9),IF(Main[[#This Row],[Class]]="B", WORKDAY(Main[[#This Row],[Tech Start Date]],6),IF(Main[[#This Row],[Class]]="A",WORKDAY(Main[[#This Row],[Tech Start Date]],2),""))))</f>
        <v/>
      </c>
      <c r="N1404" s="73" t="str">
        <f>IF(Main[[#This Row],[Tech Start Date]]&lt;1/1/1990,"",IF(Main[[#This Row],[Class]]="C",WORKDAY(Main[[#This Row],[Tech Start Date]],19),IF(Main[[#This Row],[Class]]="B", WORKDAY(Main[[#This Row],[Tech Start Date]],12),IF(Main[[#This Row],[Class]]="A",WORKDAY(Main[[#This Row],[Tech Start Date]],4),""))))</f>
        <v/>
      </c>
      <c r="O1404" s="73" t="str">
        <f>IF(Main[[#This Row],[Tech Start Date]]&lt;1/1/1990,"",IF(Main[[#This Row],[Class]]="C",WORKDAY(Main[[#This Row],[Tech Start Date]],23),IF(Main[[#This Row],[Class]]="B", WORKDAY(Main[[#This Row],[Tech Start Date]],15),IF(Main[[#This Row],[Class]]="A",WORKDAY(Main[[#This Row],[Tech Start Date]],5),""))))</f>
        <v/>
      </c>
      <c r="P1404" s="73" t="str">
        <f>IF(Main[[#This Row],[Tech Start Date]]&lt;1/1/1990,"",IF(Main[[#This Row],[Class]]="C",WORKDAY(Main[[#This Row],[Tech Start Date]],28),IF(Main[[#This Row],[Class]]="B", WORKDAY(Main[[#This Row],[Tech Start Date]],19),IF(Main[[#This Row],[Class]]="A",WORKDAY(Main[[#This Row],[Tech Start Date]],9),""))))</f>
        <v/>
      </c>
      <c r="Q1404" s="85">
        <v>40374</v>
      </c>
      <c r="R1404" s="112">
        <v>40402</v>
      </c>
      <c r="S1404" s="95" t="s">
        <v>11</v>
      </c>
      <c r="T1404" s="74" t="s">
        <v>4</v>
      </c>
      <c r="U1404" s="95" t="s">
        <v>14</v>
      </c>
      <c r="V1404" s="95" t="s">
        <v>1914</v>
      </c>
      <c r="W1404" s="95" t="s">
        <v>1916</v>
      </c>
      <c r="X1404" s="95" t="s">
        <v>2854</v>
      </c>
      <c r="Y1404" s="72" t="s">
        <v>2997</v>
      </c>
      <c r="Z1404" s="72" t="s">
        <v>4</v>
      </c>
      <c r="AA1404" s="95" t="s">
        <v>2854</v>
      </c>
      <c r="AB1404" s="132"/>
      <c r="AC1404" s="132"/>
      <c r="AD1404" s="132"/>
      <c r="AE1404" s="63"/>
      <c r="AF1404" s="63"/>
      <c r="AG1404" s="63"/>
    </row>
    <row r="1405" spans="1:33" ht="17.2" customHeight="1">
      <c r="A1405" s="64" t="str">
        <f>IF(priority(Main[[#This Row],[Comments]])&lt;&gt;0, priority(Main[[#This Row],[Comments]]),"")</f>
        <v/>
      </c>
      <c r="B1405" s="60" t="s">
        <v>1245</v>
      </c>
      <c r="C1405" s="72" t="s">
        <v>4</v>
      </c>
      <c r="D1405" s="59" t="s">
        <v>309</v>
      </c>
      <c r="E1405" s="85">
        <v>40395.401192129626</v>
      </c>
      <c r="F1405" s="85">
        <v>40574</v>
      </c>
      <c r="G1405" s="64" t="str">
        <f>IF(stdProdLT(Main[[#This Row],[Comments]])=0.1,"N/A",IF(stdProdLT(Main[[#This Row],[Comments]])=0,"",TRIM(stdProdLT(Main[[#This Row],[Comments]]))))</f>
        <v/>
      </c>
      <c r="H1405" s="94" t="str">
        <f>IF(OR(Main[[#This Row],[Std. Prod. Lead Time]]="N/A",Main[[#This Row],[Std. Prod. Lead Time]]=""), "",IF(AND(Main[[#This Row],[In Stock Date]]&lt;&gt;"",Main[[#This Row],[Revised Due Date]]&lt;&gt;"",Main[[#This Row],[In Stock Date]]&lt;&gt;""),Main[[#This Row],[In Stock Date]]-Main[[#This Row],[Revised Due Date]],""))</f>
        <v/>
      </c>
      <c r="I1405" s="101" t="s">
        <v>4</v>
      </c>
      <c r="J1405" s="95" t="s">
        <v>28</v>
      </c>
      <c r="K1405" s="95" t="s">
        <v>1923</v>
      </c>
      <c r="L1405" s="85">
        <v>40405</v>
      </c>
      <c r="M1405" s="73" t="str">
        <f>IF(Main[[#This Row],[Tech Start Date]]&lt;1/1/1990,"",IF(Main[[#This Row],[Class]]="C",WORKDAY(Main[[#This Row],[Tech Start Date]],9),IF(Main[[#This Row],[Class]]="B", WORKDAY(Main[[#This Row],[Tech Start Date]],6),IF(Main[[#This Row],[Class]]="A",WORKDAY(Main[[#This Row],[Tech Start Date]],2),""))))</f>
        <v/>
      </c>
      <c r="N1405" s="73" t="str">
        <f>IF(Main[[#This Row],[Tech Start Date]]&lt;1/1/1990,"",IF(Main[[#This Row],[Class]]="C",WORKDAY(Main[[#This Row],[Tech Start Date]],19),IF(Main[[#This Row],[Class]]="B", WORKDAY(Main[[#This Row],[Tech Start Date]],12),IF(Main[[#This Row],[Class]]="A",WORKDAY(Main[[#This Row],[Tech Start Date]],4),""))))</f>
        <v/>
      </c>
      <c r="O1405" s="73" t="str">
        <f>IF(Main[[#This Row],[Tech Start Date]]&lt;1/1/1990,"",IF(Main[[#This Row],[Class]]="C",WORKDAY(Main[[#This Row],[Tech Start Date]],23),IF(Main[[#This Row],[Class]]="B", WORKDAY(Main[[#This Row],[Tech Start Date]],15),IF(Main[[#This Row],[Class]]="A",WORKDAY(Main[[#This Row],[Tech Start Date]],5),""))))</f>
        <v/>
      </c>
      <c r="P1405" s="73" t="str">
        <f>IF(Main[[#This Row],[Tech Start Date]]&lt;1/1/1990,"",IF(Main[[#This Row],[Class]]="C",WORKDAY(Main[[#This Row],[Tech Start Date]],28),IF(Main[[#This Row],[Class]]="B", WORKDAY(Main[[#This Row],[Tech Start Date]],19),IF(Main[[#This Row],[Class]]="A",WORKDAY(Main[[#This Row],[Tech Start Date]],9),""))))</f>
        <v/>
      </c>
      <c r="Q1405" s="85"/>
      <c r="R1405" s="112">
        <v>41039</v>
      </c>
      <c r="S1405" s="95" t="s">
        <v>17</v>
      </c>
      <c r="T1405" s="74" t="s">
        <v>4</v>
      </c>
      <c r="U1405" s="95" t="s">
        <v>29</v>
      </c>
      <c r="V1405" s="95" t="s">
        <v>1914</v>
      </c>
      <c r="W1405" s="95" t="s">
        <v>1916</v>
      </c>
      <c r="X1405" s="95" t="s">
        <v>50</v>
      </c>
      <c r="Y1405" s="72" t="s">
        <v>2963</v>
      </c>
      <c r="Z1405" s="72" t="s">
        <v>968</v>
      </c>
      <c r="AA1405" s="95" t="s">
        <v>65</v>
      </c>
      <c r="AB1405" s="132"/>
      <c r="AC1405" s="132"/>
      <c r="AD1405" s="132"/>
      <c r="AE1405" s="63"/>
      <c r="AF1405" s="63"/>
      <c r="AG1405" s="63"/>
    </row>
    <row r="1406" spans="1:33" ht="17.2" customHeight="1">
      <c r="A1406" s="64" t="str">
        <f>IF(priority(Main[[#This Row],[Comments]])&lt;&gt;0, priority(Main[[#This Row],[Comments]]),"")</f>
        <v/>
      </c>
      <c r="B1406" s="60" t="s">
        <v>1709</v>
      </c>
      <c r="C1406" s="72" t="s">
        <v>4</v>
      </c>
      <c r="D1406" s="59" t="s">
        <v>762</v>
      </c>
      <c r="E1406" s="85">
        <v>40395.395856481482</v>
      </c>
      <c r="F1406" s="85">
        <v>40574</v>
      </c>
      <c r="G1406" s="64" t="str">
        <f>IF(stdProdLT(Main[[#This Row],[Comments]])=0.1,"N/A",IF(stdProdLT(Main[[#This Row],[Comments]])=0,"",TRIM(stdProdLT(Main[[#This Row],[Comments]]))))</f>
        <v/>
      </c>
      <c r="H1406" s="94" t="str">
        <f>IF(OR(Main[[#This Row],[Std. Prod. Lead Time]]="N/A",Main[[#This Row],[Std. Prod. Lead Time]]=""), "",IF(AND(Main[[#This Row],[In Stock Date]]&lt;&gt;"",Main[[#This Row],[Revised Due Date]]&lt;&gt;"",Main[[#This Row],[In Stock Date]]&lt;&gt;""),Main[[#This Row],[In Stock Date]]-Main[[#This Row],[Revised Due Date]],""))</f>
        <v/>
      </c>
      <c r="I1406" s="101" t="s">
        <v>4</v>
      </c>
      <c r="J1406" s="95" t="s">
        <v>28</v>
      </c>
      <c r="K1406" s="95" t="s">
        <v>1923</v>
      </c>
      <c r="L1406" s="85">
        <v>40405</v>
      </c>
      <c r="M1406" s="73" t="str">
        <f>IF(Main[[#This Row],[Tech Start Date]]&lt;1/1/1990,"",IF(Main[[#This Row],[Class]]="C",WORKDAY(Main[[#This Row],[Tech Start Date]],9),IF(Main[[#This Row],[Class]]="B", WORKDAY(Main[[#This Row],[Tech Start Date]],6),IF(Main[[#This Row],[Class]]="A",WORKDAY(Main[[#This Row],[Tech Start Date]],2),""))))</f>
        <v/>
      </c>
      <c r="N1406" s="73" t="str">
        <f>IF(Main[[#This Row],[Tech Start Date]]&lt;1/1/1990,"",IF(Main[[#This Row],[Class]]="C",WORKDAY(Main[[#This Row],[Tech Start Date]],19),IF(Main[[#This Row],[Class]]="B", WORKDAY(Main[[#This Row],[Tech Start Date]],12),IF(Main[[#This Row],[Class]]="A",WORKDAY(Main[[#This Row],[Tech Start Date]],4),""))))</f>
        <v/>
      </c>
      <c r="O1406" s="73" t="str">
        <f>IF(Main[[#This Row],[Tech Start Date]]&lt;1/1/1990,"",IF(Main[[#This Row],[Class]]="C",WORKDAY(Main[[#This Row],[Tech Start Date]],23),IF(Main[[#This Row],[Class]]="B", WORKDAY(Main[[#This Row],[Tech Start Date]],15),IF(Main[[#This Row],[Class]]="A",WORKDAY(Main[[#This Row],[Tech Start Date]],5),""))))</f>
        <v/>
      </c>
      <c r="P1406" s="73" t="str">
        <f>IF(Main[[#This Row],[Tech Start Date]]&lt;1/1/1990,"",IF(Main[[#This Row],[Class]]="C",WORKDAY(Main[[#This Row],[Tech Start Date]],28),IF(Main[[#This Row],[Class]]="B", WORKDAY(Main[[#This Row],[Tech Start Date]],19),IF(Main[[#This Row],[Class]]="A",WORKDAY(Main[[#This Row],[Tech Start Date]],9),""))))</f>
        <v/>
      </c>
      <c r="Q1406" s="85"/>
      <c r="R1406" s="112">
        <v>41005</v>
      </c>
      <c r="S1406" s="95" t="s">
        <v>17</v>
      </c>
      <c r="T1406" s="74" t="s">
        <v>4</v>
      </c>
      <c r="U1406" s="95" t="s">
        <v>29</v>
      </c>
      <c r="V1406" s="95" t="s">
        <v>1914</v>
      </c>
      <c r="W1406" s="95" t="s">
        <v>1916</v>
      </c>
      <c r="X1406" s="95" t="s">
        <v>50</v>
      </c>
      <c r="Y1406" s="72" t="s">
        <v>2963</v>
      </c>
      <c r="Z1406" s="72" t="s">
        <v>968</v>
      </c>
      <c r="AA1406" s="95" t="s">
        <v>65</v>
      </c>
      <c r="AB1406" s="132">
        <v>40494</v>
      </c>
      <c r="AC1406" s="132"/>
      <c r="AD1406" s="132"/>
      <c r="AE1406" s="63"/>
      <c r="AF1406" s="63"/>
      <c r="AG1406" s="63"/>
    </row>
    <row r="1407" spans="1:33" ht="17.2" customHeight="1">
      <c r="A1407" s="64" t="str">
        <f>IF(priority(Main[[#This Row],[Comments]])&lt;&gt;0, priority(Main[[#This Row],[Comments]]),"")</f>
        <v/>
      </c>
      <c r="B1407" s="60" t="s">
        <v>1521</v>
      </c>
      <c r="C1407" s="72" t="s">
        <v>4</v>
      </c>
      <c r="D1407" s="59" t="s">
        <v>3965</v>
      </c>
      <c r="E1407" s="85">
        <v>40436.377106481479</v>
      </c>
      <c r="F1407" s="85"/>
      <c r="G1407" s="64" t="str">
        <f>IF(stdProdLT(Main[[#This Row],[Comments]])=0.1,"N/A",IF(stdProdLT(Main[[#This Row],[Comments]])=0,"",TRIM(stdProdLT(Main[[#This Row],[Comments]]))))</f>
        <v/>
      </c>
      <c r="H1407" s="94" t="str">
        <f>IF(OR(Main[[#This Row],[Std. Prod. Lead Time]]="N/A",Main[[#This Row],[Std. Prod. Lead Time]]=""), "",IF(AND(Main[[#This Row],[In Stock Date]]&lt;&gt;"",Main[[#This Row],[Revised Due Date]]&lt;&gt;"",Main[[#This Row],[In Stock Date]]&lt;&gt;""),Main[[#This Row],[In Stock Date]]-Main[[#This Row],[Revised Due Date]],""))</f>
        <v/>
      </c>
      <c r="I1407" s="101" t="s">
        <v>886</v>
      </c>
      <c r="J1407" s="95" t="s">
        <v>4</v>
      </c>
      <c r="K1407" s="95" t="s">
        <v>1923</v>
      </c>
      <c r="L1407" s="85">
        <v>40441</v>
      </c>
      <c r="M1407" s="73" t="str">
        <f>IF(Main[[#This Row],[Tech Start Date]]&lt;1/1/1990,"",IF(Main[[#This Row],[Class]]="C",WORKDAY(Main[[#This Row],[Tech Start Date]],9),IF(Main[[#This Row],[Class]]="B", WORKDAY(Main[[#This Row],[Tech Start Date]],6),IF(Main[[#This Row],[Class]]="A",WORKDAY(Main[[#This Row],[Tech Start Date]],2),""))))</f>
        <v/>
      </c>
      <c r="N1407" s="73" t="str">
        <f>IF(Main[[#This Row],[Tech Start Date]]&lt;1/1/1990,"",IF(Main[[#This Row],[Class]]="C",WORKDAY(Main[[#This Row],[Tech Start Date]],19),IF(Main[[#This Row],[Class]]="B", WORKDAY(Main[[#This Row],[Tech Start Date]],12),IF(Main[[#This Row],[Class]]="A",WORKDAY(Main[[#This Row],[Tech Start Date]],4),""))))</f>
        <v/>
      </c>
      <c r="O1407" s="73" t="str">
        <f>IF(Main[[#This Row],[Tech Start Date]]&lt;1/1/1990,"",IF(Main[[#This Row],[Class]]="C",WORKDAY(Main[[#This Row],[Tech Start Date]],23),IF(Main[[#This Row],[Class]]="B", WORKDAY(Main[[#This Row],[Tech Start Date]],15),IF(Main[[#This Row],[Class]]="A",WORKDAY(Main[[#This Row],[Tech Start Date]],5),""))))</f>
        <v/>
      </c>
      <c r="P1407" s="73" t="str">
        <f>IF(Main[[#This Row],[Tech Start Date]]&lt;1/1/1990,"",IF(Main[[#This Row],[Class]]="C",WORKDAY(Main[[#This Row],[Tech Start Date]],28),IF(Main[[#This Row],[Class]]="B", WORKDAY(Main[[#This Row],[Tech Start Date]],19),IF(Main[[#This Row],[Class]]="A",WORKDAY(Main[[#This Row],[Tech Start Date]],9),""))))</f>
        <v/>
      </c>
      <c r="Q1407" s="85">
        <v>41274</v>
      </c>
      <c r="R1407" s="112">
        <v>41180</v>
      </c>
      <c r="S1407" s="95" t="s">
        <v>17</v>
      </c>
      <c r="T1407" s="74" t="s">
        <v>2590</v>
      </c>
      <c r="U1407" s="95" t="s">
        <v>29</v>
      </c>
      <c r="V1407" s="95" t="s">
        <v>1911</v>
      </c>
      <c r="W1407" s="95" t="s">
        <v>1916</v>
      </c>
      <c r="X1407" s="95" t="s">
        <v>922</v>
      </c>
      <c r="Y1407" s="72" t="s">
        <v>3124</v>
      </c>
      <c r="Z1407" s="72" t="s">
        <v>877</v>
      </c>
      <c r="AA1407" s="95" t="s">
        <v>2808</v>
      </c>
      <c r="AB1407" s="132"/>
      <c r="AC1407" s="132"/>
      <c r="AD1407" s="132"/>
      <c r="AE1407" s="63"/>
      <c r="AF1407" s="63"/>
      <c r="AG1407" s="63"/>
    </row>
    <row r="1408" spans="1:33" ht="17.2" customHeight="1">
      <c r="A1408" s="64" t="str">
        <f>IF(priority(Main[[#This Row],[Comments]])&lt;&gt;0, priority(Main[[#This Row],[Comments]]),"")</f>
        <v/>
      </c>
      <c r="B1408" s="60" t="s">
        <v>1837</v>
      </c>
      <c r="C1408" s="72" t="s">
        <v>4</v>
      </c>
      <c r="D1408" s="59" t="s">
        <v>895</v>
      </c>
      <c r="E1408" s="85"/>
      <c r="F1408" s="85"/>
      <c r="G1408" s="64" t="str">
        <f>IF(stdProdLT(Main[[#This Row],[Comments]])=0.1,"N/A",IF(stdProdLT(Main[[#This Row],[Comments]])=0,"",TRIM(stdProdLT(Main[[#This Row],[Comments]]))))</f>
        <v/>
      </c>
      <c r="H1408" s="94" t="str">
        <f>IF(OR(Main[[#This Row],[Std. Prod. Lead Time]]="N/A",Main[[#This Row],[Std. Prod. Lead Time]]=""), "",IF(AND(Main[[#This Row],[In Stock Date]]&lt;&gt;"",Main[[#This Row],[Revised Due Date]]&lt;&gt;"",Main[[#This Row],[In Stock Date]]&lt;&gt;""),Main[[#This Row],[In Stock Date]]-Main[[#This Row],[Revised Due Date]],""))</f>
        <v/>
      </c>
      <c r="I1408" s="101" t="s">
        <v>708</v>
      </c>
      <c r="J1408" s="95" t="s">
        <v>4</v>
      </c>
      <c r="K1408" s="95" t="s">
        <v>4</v>
      </c>
      <c r="L1408" s="85">
        <v>40469</v>
      </c>
      <c r="M1408" s="73" t="str">
        <f>IF(Main[[#This Row],[Tech Start Date]]&lt;1/1/1990,"",IF(Main[[#This Row],[Class]]="C",WORKDAY(Main[[#This Row],[Tech Start Date]],9),IF(Main[[#This Row],[Class]]="B", WORKDAY(Main[[#This Row],[Tech Start Date]],6),IF(Main[[#This Row],[Class]]="A",WORKDAY(Main[[#This Row],[Tech Start Date]],2),""))))</f>
        <v/>
      </c>
      <c r="N1408" s="73" t="str">
        <f>IF(Main[[#This Row],[Tech Start Date]]&lt;1/1/1990,"",IF(Main[[#This Row],[Class]]="C",WORKDAY(Main[[#This Row],[Tech Start Date]],19),IF(Main[[#This Row],[Class]]="B", WORKDAY(Main[[#This Row],[Tech Start Date]],12),IF(Main[[#This Row],[Class]]="A",WORKDAY(Main[[#This Row],[Tech Start Date]],4),""))))</f>
        <v/>
      </c>
      <c r="O1408" s="73" t="str">
        <f>IF(Main[[#This Row],[Tech Start Date]]&lt;1/1/1990,"",IF(Main[[#This Row],[Class]]="C",WORKDAY(Main[[#This Row],[Tech Start Date]],23),IF(Main[[#This Row],[Class]]="B", WORKDAY(Main[[#This Row],[Tech Start Date]],15),IF(Main[[#This Row],[Class]]="A",WORKDAY(Main[[#This Row],[Tech Start Date]],5),""))))</f>
        <v/>
      </c>
      <c r="P1408" s="73" t="str">
        <f>IF(Main[[#This Row],[Tech Start Date]]&lt;1/1/1990,"",IF(Main[[#This Row],[Class]]="C",WORKDAY(Main[[#This Row],[Tech Start Date]],28),IF(Main[[#This Row],[Class]]="B", WORKDAY(Main[[#This Row],[Tech Start Date]],19),IF(Main[[#This Row],[Class]]="A",WORKDAY(Main[[#This Row],[Tech Start Date]],9),""))))</f>
        <v/>
      </c>
      <c r="Q1408" s="85"/>
      <c r="R1408" s="112">
        <v>40473</v>
      </c>
      <c r="S1408" s="95" t="s">
        <v>23</v>
      </c>
      <c r="T1408" s="74" t="s">
        <v>4</v>
      </c>
      <c r="U1408" s="95" t="s">
        <v>14</v>
      </c>
      <c r="V1408" s="95" t="s">
        <v>1911</v>
      </c>
      <c r="W1408" s="95" t="s">
        <v>1915</v>
      </c>
      <c r="X1408" s="95" t="s">
        <v>306</v>
      </c>
      <c r="Y1408" s="72" t="s">
        <v>4</v>
      </c>
      <c r="Z1408" s="72" t="s">
        <v>129</v>
      </c>
      <c r="AA1408" s="95" t="s">
        <v>3431</v>
      </c>
      <c r="AB1408" s="132"/>
      <c r="AC1408" s="132"/>
      <c r="AD1408" s="132"/>
      <c r="AE1408" s="63"/>
      <c r="AF1408" s="63"/>
      <c r="AG1408" s="63"/>
    </row>
    <row r="1409" spans="1:33" ht="17.2" customHeight="1">
      <c r="A1409" s="64" t="str">
        <f>IF(priority(Main[[#This Row],[Comments]])&lt;&gt;0, priority(Main[[#This Row],[Comments]]),"")</f>
        <v/>
      </c>
      <c r="B1409" s="60" t="s">
        <v>1089</v>
      </c>
      <c r="C1409" s="72" t="s">
        <v>4</v>
      </c>
      <c r="D1409" s="59" t="s">
        <v>1994</v>
      </c>
      <c r="E1409" s="85"/>
      <c r="F1409" s="85"/>
      <c r="G1409" s="64" t="str">
        <f>IF(stdProdLT(Main[[#This Row],[Comments]])=0.1,"N/A",IF(stdProdLT(Main[[#This Row],[Comments]])=0,"",TRIM(stdProdLT(Main[[#This Row],[Comments]]))))</f>
        <v/>
      </c>
      <c r="H1409" s="94" t="str">
        <f>IF(OR(Main[[#This Row],[Std. Prod. Lead Time]]="N/A",Main[[#This Row],[Std. Prod. Lead Time]]=""), "",IF(AND(Main[[#This Row],[In Stock Date]]&lt;&gt;"",Main[[#This Row],[Revised Due Date]]&lt;&gt;"",Main[[#This Row],[In Stock Date]]&lt;&gt;""),Main[[#This Row],[In Stock Date]]-Main[[#This Row],[Revised Due Date]],""))</f>
        <v/>
      </c>
      <c r="I1409" s="101" t="s">
        <v>30</v>
      </c>
      <c r="J1409" s="95" t="s">
        <v>28</v>
      </c>
      <c r="K1409" s="95" t="s">
        <v>1918</v>
      </c>
      <c r="L1409" s="85">
        <v>40486</v>
      </c>
      <c r="M1409" s="73">
        <f>IF(Main[[#This Row],[Tech Start Date]]&lt;1/1/1990,"",IF(Main[[#This Row],[Class]]="C",WORKDAY(Main[[#This Row],[Tech Start Date]],9),IF(Main[[#This Row],[Class]]="B", WORKDAY(Main[[#This Row],[Tech Start Date]],6),IF(Main[[#This Row],[Class]]="A",WORKDAY(Main[[#This Row],[Tech Start Date]],2),""))))</f>
        <v>40494</v>
      </c>
      <c r="N1409" s="73">
        <f>IF(Main[[#This Row],[Tech Start Date]]&lt;1/1/1990,"",IF(Main[[#This Row],[Class]]="C",WORKDAY(Main[[#This Row],[Tech Start Date]],19),IF(Main[[#This Row],[Class]]="B", WORKDAY(Main[[#This Row],[Tech Start Date]],12),IF(Main[[#This Row],[Class]]="A",WORKDAY(Main[[#This Row],[Tech Start Date]],4),""))))</f>
        <v>40504</v>
      </c>
      <c r="O1409" s="73">
        <f>IF(Main[[#This Row],[Tech Start Date]]&lt;1/1/1990,"",IF(Main[[#This Row],[Class]]="C",WORKDAY(Main[[#This Row],[Tech Start Date]],23),IF(Main[[#This Row],[Class]]="B", WORKDAY(Main[[#This Row],[Tech Start Date]],15),IF(Main[[#This Row],[Class]]="A",WORKDAY(Main[[#This Row],[Tech Start Date]],5),""))))</f>
        <v>40507</v>
      </c>
      <c r="P1409" s="73">
        <f>IF(Main[[#This Row],[Tech Start Date]]&lt;1/1/1990,"",IF(Main[[#This Row],[Class]]="C",WORKDAY(Main[[#This Row],[Tech Start Date]],28),IF(Main[[#This Row],[Class]]="B", WORKDAY(Main[[#This Row],[Tech Start Date]],19),IF(Main[[#This Row],[Class]]="A",WORKDAY(Main[[#This Row],[Tech Start Date]],9),""))))</f>
        <v>40513</v>
      </c>
      <c r="Q1409" s="85"/>
      <c r="R1409" s="112"/>
      <c r="S1409" s="95" t="s">
        <v>6</v>
      </c>
      <c r="T1409" s="74" t="s">
        <v>4</v>
      </c>
      <c r="U1409" s="95" t="s">
        <v>14</v>
      </c>
      <c r="V1409" s="95" t="s">
        <v>1914</v>
      </c>
      <c r="W1409" s="95" t="s">
        <v>1915</v>
      </c>
      <c r="X1409" s="95" t="s">
        <v>2846</v>
      </c>
      <c r="Y1409" s="72" t="s">
        <v>2978</v>
      </c>
      <c r="Z1409" s="72" t="s">
        <v>530</v>
      </c>
      <c r="AA1409" s="95" t="s">
        <v>2846</v>
      </c>
      <c r="AB1409" s="132"/>
      <c r="AC1409" s="132"/>
      <c r="AD1409" s="132"/>
      <c r="AE1409" s="63"/>
      <c r="AF1409" s="63"/>
      <c r="AG1409" s="63"/>
    </row>
    <row r="1410" spans="1:33" ht="17.2" customHeight="1">
      <c r="A1410" s="64" t="str">
        <f>IF(priority(Main[[#This Row],[Comments]])&lt;&gt;0, priority(Main[[#This Row],[Comments]]),"")</f>
        <v/>
      </c>
      <c r="B1410" s="60" t="s">
        <v>1710</v>
      </c>
      <c r="C1410" s="72" t="s">
        <v>4</v>
      </c>
      <c r="D1410" s="59" t="s">
        <v>763</v>
      </c>
      <c r="E1410" s="85"/>
      <c r="F1410" s="85"/>
      <c r="G1410" s="64" t="str">
        <f>IF(stdProdLT(Main[[#This Row],[Comments]])=0.1,"N/A",IF(stdProdLT(Main[[#This Row],[Comments]])=0,"",TRIM(stdProdLT(Main[[#This Row],[Comments]]))))</f>
        <v/>
      </c>
      <c r="H1410" s="94" t="str">
        <f>IF(OR(Main[[#This Row],[Std. Prod. Lead Time]]="N/A",Main[[#This Row],[Std. Prod. Lead Time]]=""), "",IF(AND(Main[[#This Row],[In Stock Date]]&lt;&gt;"",Main[[#This Row],[Revised Due Date]]&lt;&gt;"",Main[[#This Row],[In Stock Date]]&lt;&gt;""),Main[[#This Row],[In Stock Date]]-Main[[#This Row],[Revised Due Date]],""))</f>
        <v/>
      </c>
      <c r="I1410" s="101" t="s">
        <v>171</v>
      </c>
      <c r="J1410" s="95" t="s">
        <v>70</v>
      </c>
      <c r="K1410" s="95" t="s">
        <v>1918</v>
      </c>
      <c r="L1410" s="85">
        <v>40486</v>
      </c>
      <c r="M1410" s="73">
        <f>IF(Main[[#This Row],[Tech Start Date]]&lt;1/1/1990,"",IF(Main[[#This Row],[Class]]="C",WORKDAY(Main[[#This Row],[Tech Start Date]],9),IF(Main[[#This Row],[Class]]="B", WORKDAY(Main[[#This Row],[Tech Start Date]],6),IF(Main[[#This Row],[Class]]="A",WORKDAY(Main[[#This Row],[Tech Start Date]],2),""))))</f>
        <v>40494</v>
      </c>
      <c r="N1410" s="73">
        <f>IF(Main[[#This Row],[Tech Start Date]]&lt;1/1/1990,"",IF(Main[[#This Row],[Class]]="C",WORKDAY(Main[[#This Row],[Tech Start Date]],19),IF(Main[[#This Row],[Class]]="B", WORKDAY(Main[[#This Row],[Tech Start Date]],12),IF(Main[[#This Row],[Class]]="A",WORKDAY(Main[[#This Row],[Tech Start Date]],4),""))))</f>
        <v>40504</v>
      </c>
      <c r="O1410" s="73">
        <f>IF(Main[[#This Row],[Tech Start Date]]&lt;1/1/1990,"",IF(Main[[#This Row],[Class]]="C",WORKDAY(Main[[#This Row],[Tech Start Date]],23),IF(Main[[#This Row],[Class]]="B", WORKDAY(Main[[#This Row],[Tech Start Date]],15),IF(Main[[#This Row],[Class]]="A",WORKDAY(Main[[#This Row],[Tech Start Date]],5),""))))</f>
        <v>40507</v>
      </c>
      <c r="P1410" s="73">
        <f>IF(Main[[#This Row],[Tech Start Date]]&lt;1/1/1990,"",IF(Main[[#This Row],[Class]]="C",WORKDAY(Main[[#This Row],[Tech Start Date]],28),IF(Main[[#This Row],[Class]]="B", WORKDAY(Main[[#This Row],[Tech Start Date]],19),IF(Main[[#This Row],[Class]]="A",WORKDAY(Main[[#This Row],[Tech Start Date]],9),""))))</f>
        <v>40513</v>
      </c>
      <c r="Q1410" s="85">
        <v>40504</v>
      </c>
      <c r="R1410" s="112"/>
      <c r="S1410" s="95" t="s">
        <v>6</v>
      </c>
      <c r="T1410" s="74" t="s">
        <v>4</v>
      </c>
      <c r="U1410" s="95" t="s">
        <v>14</v>
      </c>
      <c r="V1410" s="95" t="s">
        <v>1914</v>
      </c>
      <c r="W1410" s="95" t="s">
        <v>1915</v>
      </c>
      <c r="X1410" s="95" t="s">
        <v>2802</v>
      </c>
      <c r="Y1410" s="72" t="s">
        <v>2916</v>
      </c>
      <c r="Z1410" s="72" t="s">
        <v>30</v>
      </c>
      <c r="AA1410" s="95" t="s">
        <v>2802</v>
      </c>
      <c r="AB1410" s="132"/>
      <c r="AC1410" s="132"/>
      <c r="AD1410" s="132"/>
      <c r="AE1410" s="63"/>
      <c r="AF1410" s="63"/>
      <c r="AG1410" s="63"/>
    </row>
    <row r="1411" spans="1:33" ht="17.2" customHeight="1">
      <c r="A1411" s="64" t="str">
        <f>IF(priority(Main[[#This Row],[Comments]])&lt;&gt;0, priority(Main[[#This Row],[Comments]]),"")</f>
        <v/>
      </c>
      <c r="B1411" s="60" t="s">
        <v>1723</v>
      </c>
      <c r="C1411" s="72" t="s">
        <v>4</v>
      </c>
      <c r="D1411" s="59" t="s">
        <v>2286</v>
      </c>
      <c r="E1411" s="85">
        <v>40462.421793981484</v>
      </c>
      <c r="F1411" s="85"/>
      <c r="G1411" s="64" t="str">
        <f>IF(stdProdLT(Main[[#This Row],[Comments]])=0.1,"N/A",IF(stdProdLT(Main[[#This Row],[Comments]])=0,"",TRIM(stdProdLT(Main[[#This Row],[Comments]]))))</f>
        <v/>
      </c>
      <c r="H1411" s="94" t="str">
        <f>IF(OR(Main[[#This Row],[Std. Prod. Lead Time]]="N/A",Main[[#This Row],[Std. Prod. Lead Time]]=""), "",IF(AND(Main[[#This Row],[In Stock Date]]&lt;&gt;"",Main[[#This Row],[Revised Due Date]]&lt;&gt;"",Main[[#This Row],[In Stock Date]]&lt;&gt;""),Main[[#This Row],[In Stock Date]]-Main[[#This Row],[Revised Due Date]],""))</f>
        <v/>
      </c>
      <c r="I1411" s="101" t="s">
        <v>894</v>
      </c>
      <c r="J1411" s="95" t="s">
        <v>52</v>
      </c>
      <c r="K1411" s="95" t="s">
        <v>1918</v>
      </c>
      <c r="L1411" s="85">
        <v>40486</v>
      </c>
      <c r="M1411" s="73">
        <f>IF(Main[[#This Row],[Tech Start Date]]&lt;1/1/1990,"",IF(Main[[#This Row],[Class]]="C",WORKDAY(Main[[#This Row],[Tech Start Date]],9),IF(Main[[#This Row],[Class]]="B", WORKDAY(Main[[#This Row],[Tech Start Date]],6),IF(Main[[#This Row],[Class]]="A",WORKDAY(Main[[#This Row],[Tech Start Date]],2),""))))</f>
        <v>40494</v>
      </c>
      <c r="N1411" s="73">
        <f>IF(Main[[#This Row],[Tech Start Date]]&lt;1/1/1990,"",IF(Main[[#This Row],[Class]]="C",WORKDAY(Main[[#This Row],[Tech Start Date]],19),IF(Main[[#This Row],[Class]]="B", WORKDAY(Main[[#This Row],[Tech Start Date]],12),IF(Main[[#This Row],[Class]]="A",WORKDAY(Main[[#This Row],[Tech Start Date]],4),""))))</f>
        <v>40504</v>
      </c>
      <c r="O1411" s="73">
        <f>IF(Main[[#This Row],[Tech Start Date]]&lt;1/1/1990,"",IF(Main[[#This Row],[Class]]="C",WORKDAY(Main[[#This Row],[Tech Start Date]],23),IF(Main[[#This Row],[Class]]="B", WORKDAY(Main[[#This Row],[Tech Start Date]],15),IF(Main[[#This Row],[Class]]="A",WORKDAY(Main[[#This Row],[Tech Start Date]],5),""))))</f>
        <v>40507</v>
      </c>
      <c r="P1411" s="73">
        <f>IF(Main[[#This Row],[Tech Start Date]]&lt;1/1/1990,"",IF(Main[[#This Row],[Class]]="C",WORKDAY(Main[[#This Row],[Tech Start Date]],28),IF(Main[[#This Row],[Class]]="B", WORKDAY(Main[[#This Row],[Tech Start Date]],19),IF(Main[[#This Row],[Class]]="A",WORKDAY(Main[[#This Row],[Tech Start Date]],9),""))))</f>
        <v>40513</v>
      </c>
      <c r="Q1411" s="85">
        <v>40543</v>
      </c>
      <c r="R1411" s="112"/>
      <c r="S1411" s="95" t="s">
        <v>6</v>
      </c>
      <c r="T1411" s="74" t="s">
        <v>4</v>
      </c>
      <c r="U1411" s="95" t="s">
        <v>29</v>
      </c>
      <c r="V1411" s="95" t="s">
        <v>1914</v>
      </c>
      <c r="W1411" s="95" t="s">
        <v>1915</v>
      </c>
      <c r="X1411" s="95" t="s">
        <v>2867</v>
      </c>
      <c r="Y1411" s="72" t="s">
        <v>3021</v>
      </c>
      <c r="Z1411" s="72" t="s">
        <v>30</v>
      </c>
      <c r="AA1411" s="95" t="s">
        <v>2867</v>
      </c>
      <c r="AB1411" s="132"/>
      <c r="AC1411" s="132"/>
      <c r="AD1411" s="132"/>
      <c r="AE1411" s="63"/>
      <c r="AF1411" s="63"/>
      <c r="AG1411" s="63"/>
    </row>
    <row r="1412" spans="1:33" ht="17.2" customHeight="1">
      <c r="A1412" s="64" t="str">
        <f>IF(priority(Main[[#This Row],[Comments]])&lt;&gt;0, priority(Main[[#This Row],[Comments]]),"")</f>
        <v/>
      </c>
      <c r="B1412" s="60" t="s">
        <v>1727</v>
      </c>
      <c r="C1412" s="72" t="s">
        <v>4</v>
      </c>
      <c r="D1412" s="59" t="s">
        <v>2013</v>
      </c>
      <c r="E1412" s="85">
        <v>40478.606620370374</v>
      </c>
      <c r="F1412" s="85"/>
      <c r="G1412" s="64" t="str">
        <f>IF(stdProdLT(Main[[#This Row],[Comments]])=0.1,"N/A",IF(stdProdLT(Main[[#This Row],[Comments]])=0,"",TRIM(stdProdLT(Main[[#This Row],[Comments]]))))</f>
        <v/>
      </c>
      <c r="H1412" s="94" t="str">
        <f>IF(OR(Main[[#This Row],[Std. Prod. Lead Time]]="N/A",Main[[#This Row],[Std. Prod. Lead Time]]=""), "",IF(AND(Main[[#This Row],[In Stock Date]]&lt;&gt;"",Main[[#This Row],[Revised Due Date]]&lt;&gt;"",Main[[#This Row],[In Stock Date]]&lt;&gt;""),Main[[#This Row],[In Stock Date]]-Main[[#This Row],[Revised Due Date]],""))</f>
        <v/>
      </c>
      <c r="I1412" s="101" t="s">
        <v>429</v>
      </c>
      <c r="J1412" s="95" t="s">
        <v>70</v>
      </c>
      <c r="K1412" s="95" t="s">
        <v>1923</v>
      </c>
      <c r="L1412" s="85">
        <v>40513</v>
      </c>
      <c r="M1412" s="73" t="str">
        <f>IF(Main[[#This Row],[Tech Start Date]]&lt;1/1/1990,"",IF(Main[[#This Row],[Class]]="C",WORKDAY(Main[[#This Row],[Tech Start Date]],9),IF(Main[[#This Row],[Class]]="B", WORKDAY(Main[[#This Row],[Tech Start Date]],6),IF(Main[[#This Row],[Class]]="A",WORKDAY(Main[[#This Row],[Tech Start Date]],2),""))))</f>
        <v/>
      </c>
      <c r="N1412" s="73" t="str">
        <f>IF(Main[[#This Row],[Tech Start Date]]&lt;1/1/1990,"",IF(Main[[#This Row],[Class]]="C",WORKDAY(Main[[#This Row],[Tech Start Date]],19),IF(Main[[#This Row],[Class]]="B", WORKDAY(Main[[#This Row],[Tech Start Date]],12),IF(Main[[#This Row],[Class]]="A",WORKDAY(Main[[#This Row],[Tech Start Date]],4),""))))</f>
        <v/>
      </c>
      <c r="O1412" s="73" t="str">
        <f>IF(Main[[#This Row],[Tech Start Date]]&lt;1/1/1990,"",IF(Main[[#This Row],[Class]]="C",WORKDAY(Main[[#This Row],[Tech Start Date]],23),IF(Main[[#This Row],[Class]]="B", WORKDAY(Main[[#This Row],[Tech Start Date]],15),IF(Main[[#This Row],[Class]]="A",WORKDAY(Main[[#This Row],[Tech Start Date]],5),""))))</f>
        <v/>
      </c>
      <c r="P1412" s="73" t="str">
        <f>IF(Main[[#This Row],[Tech Start Date]]&lt;1/1/1990,"",IF(Main[[#This Row],[Class]]="C",WORKDAY(Main[[#This Row],[Tech Start Date]],28),IF(Main[[#This Row],[Class]]="B", WORKDAY(Main[[#This Row],[Tech Start Date]],19),IF(Main[[#This Row],[Class]]="A",WORKDAY(Main[[#This Row],[Tech Start Date]],9),""))))</f>
        <v/>
      </c>
      <c r="Q1412" s="85">
        <v>40724</v>
      </c>
      <c r="R1412" s="112"/>
      <c r="S1412" s="95" t="s">
        <v>17</v>
      </c>
      <c r="T1412" s="74" t="s">
        <v>4</v>
      </c>
      <c r="U1412" s="95" t="s">
        <v>29</v>
      </c>
      <c r="V1412" s="95" t="s">
        <v>1914</v>
      </c>
      <c r="W1412" s="95" t="s">
        <v>1915</v>
      </c>
      <c r="X1412" s="95" t="s">
        <v>2871</v>
      </c>
      <c r="Y1412" s="72" t="s">
        <v>3080</v>
      </c>
      <c r="Z1412" s="72" t="s">
        <v>30</v>
      </c>
      <c r="AA1412" s="95" t="s">
        <v>2871</v>
      </c>
      <c r="AB1412" s="132"/>
      <c r="AC1412" s="132"/>
      <c r="AD1412" s="132"/>
      <c r="AE1412" s="63"/>
      <c r="AF1412" s="63"/>
      <c r="AG1412" s="63"/>
    </row>
    <row r="1413" spans="1:33" ht="17.2" customHeight="1">
      <c r="A1413" s="64" t="str">
        <f>IF(priority(Main[[#This Row],[Comments]])&lt;&gt;0, priority(Main[[#This Row],[Comments]]),"")</f>
        <v/>
      </c>
      <c r="B1413" s="60" t="s">
        <v>1721</v>
      </c>
      <c r="C1413" s="72" t="s">
        <v>72</v>
      </c>
      <c r="D1413" s="59" t="s">
        <v>778</v>
      </c>
      <c r="E1413" s="85"/>
      <c r="F1413" s="85">
        <v>40513</v>
      </c>
      <c r="G1413" s="64" t="str">
        <f>IF(stdProdLT(Main[[#This Row],[Comments]])=0.1,"N/A",IF(stdProdLT(Main[[#This Row],[Comments]])=0,"",TRIM(stdProdLT(Main[[#This Row],[Comments]]))))</f>
        <v/>
      </c>
      <c r="H1413" s="94" t="str">
        <f>IF(OR(Main[[#This Row],[Std. Prod. Lead Time]]="N/A",Main[[#This Row],[Std. Prod. Lead Time]]=""), "",IF(AND(Main[[#This Row],[In Stock Date]]&lt;&gt;"",Main[[#This Row],[Revised Due Date]]&lt;&gt;"",Main[[#This Row],[In Stock Date]]&lt;&gt;""),Main[[#This Row],[In Stock Date]]-Main[[#This Row],[Revised Due Date]],""))</f>
        <v/>
      </c>
      <c r="I1413" s="101" t="s">
        <v>30</v>
      </c>
      <c r="J1413" s="95" t="s">
        <v>28</v>
      </c>
      <c r="K1413" s="95" t="s">
        <v>1923</v>
      </c>
      <c r="L1413" s="85">
        <v>40547</v>
      </c>
      <c r="M1413" s="73" t="str">
        <f>IF(Main[[#This Row],[Tech Start Date]]&lt;1/1/1990,"",IF(Main[[#This Row],[Class]]="C",WORKDAY(Main[[#This Row],[Tech Start Date]],9),IF(Main[[#This Row],[Class]]="B", WORKDAY(Main[[#This Row],[Tech Start Date]],6),IF(Main[[#This Row],[Class]]="A",WORKDAY(Main[[#This Row],[Tech Start Date]],2),""))))</f>
        <v/>
      </c>
      <c r="N1413" s="73" t="str">
        <f>IF(Main[[#This Row],[Tech Start Date]]&lt;1/1/1990,"",IF(Main[[#This Row],[Class]]="C",WORKDAY(Main[[#This Row],[Tech Start Date]],19),IF(Main[[#This Row],[Class]]="B", WORKDAY(Main[[#This Row],[Tech Start Date]],12),IF(Main[[#This Row],[Class]]="A",WORKDAY(Main[[#This Row],[Tech Start Date]],4),""))))</f>
        <v/>
      </c>
      <c r="O1413" s="73" t="str">
        <f>IF(Main[[#This Row],[Tech Start Date]]&lt;1/1/1990,"",IF(Main[[#This Row],[Class]]="C",WORKDAY(Main[[#This Row],[Tech Start Date]],23),IF(Main[[#This Row],[Class]]="B", WORKDAY(Main[[#This Row],[Tech Start Date]],15),IF(Main[[#This Row],[Class]]="A",WORKDAY(Main[[#This Row],[Tech Start Date]],5),""))))</f>
        <v/>
      </c>
      <c r="P1413" s="73" t="str">
        <f>IF(Main[[#This Row],[Tech Start Date]]&lt;1/1/1990,"",IF(Main[[#This Row],[Class]]="C",WORKDAY(Main[[#This Row],[Tech Start Date]],28),IF(Main[[#This Row],[Class]]="B", WORKDAY(Main[[#This Row],[Tech Start Date]],19),IF(Main[[#This Row],[Class]]="A",WORKDAY(Main[[#This Row],[Tech Start Date]],9),""))))</f>
        <v/>
      </c>
      <c r="Q1413" s="85"/>
      <c r="R1413" s="112"/>
      <c r="S1413" s="95" t="s">
        <v>17</v>
      </c>
      <c r="T1413" s="74" t="s">
        <v>4</v>
      </c>
      <c r="U1413" s="95" t="s">
        <v>14</v>
      </c>
      <c r="V1413" s="95" t="s">
        <v>1914</v>
      </c>
      <c r="W1413" s="95" t="s">
        <v>1916</v>
      </c>
      <c r="X1413" s="95" t="s">
        <v>2827</v>
      </c>
      <c r="Y1413" s="72" t="s">
        <v>2956</v>
      </c>
      <c r="Z1413" s="72" t="s">
        <v>30</v>
      </c>
      <c r="AA1413" s="95" t="s">
        <v>2827</v>
      </c>
      <c r="AB1413" s="132"/>
      <c r="AC1413" s="132"/>
      <c r="AD1413" s="132"/>
      <c r="AE1413" s="63"/>
      <c r="AF1413" s="63"/>
      <c r="AG1413" s="63"/>
    </row>
    <row r="1414" spans="1:33" ht="17.2" customHeight="1">
      <c r="A1414" s="64" t="str">
        <f>IF(priority(Main[[#This Row],[Comments]])&lt;&gt;0, priority(Main[[#This Row],[Comments]]),"")</f>
        <v/>
      </c>
      <c r="B1414" s="60" t="s">
        <v>1906</v>
      </c>
      <c r="C1414" s="72" t="s">
        <v>4</v>
      </c>
      <c r="D1414" s="59" t="s">
        <v>959</v>
      </c>
      <c r="E1414" s="85">
        <v>40436.63890046296</v>
      </c>
      <c r="F1414" s="85"/>
      <c r="G1414" s="64" t="str">
        <f>IF(stdProdLT(Main[[#This Row],[Comments]])=0.1,"N/A",IF(stdProdLT(Main[[#This Row],[Comments]])=0,"",TRIM(stdProdLT(Main[[#This Row],[Comments]]))))</f>
        <v/>
      </c>
      <c r="H1414" s="94" t="str">
        <f>IF(OR(Main[[#This Row],[Std. Prod. Lead Time]]="N/A",Main[[#This Row],[Std. Prod. Lead Time]]=""), "",IF(AND(Main[[#This Row],[In Stock Date]]&lt;&gt;"",Main[[#This Row],[Revised Due Date]]&lt;&gt;"",Main[[#This Row],[In Stock Date]]&lt;&gt;""),Main[[#This Row],[In Stock Date]]-Main[[#This Row],[Revised Due Date]],""))</f>
        <v/>
      </c>
      <c r="I1414" s="101" t="s">
        <v>877</v>
      </c>
      <c r="J1414" s="95" t="s">
        <v>28</v>
      </c>
      <c r="K1414" s="96" t="s">
        <v>1923</v>
      </c>
      <c r="L1414" s="85">
        <v>40549</v>
      </c>
      <c r="M1414" s="73" t="str">
        <f>IF(Main[[#This Row],[Tech Start Date]]&lt;1/1/1990,"",IF(Main[[#This Row],[Class]]="C",WORKDAY(Main[[#This Row],[Tech Start Date]],9),IF(Main[[#This Row],[Class]]="B", WORKDAY(Main[[#This Row],[Tech Start Date]],6),IF(Main[[#This Row],[Class]]="A",WORKDAY(Main[[#This Row],[Tech Start Date]],2),""))))</f>
        <v/>
      </c>
      <c r="N1414" s="73" t="str">
        <f>IF(Main[[#This Row],[Tech Start Date]]&lt;1/1/1990,"",IF(Main[[#This Row],[Class]]="C",WORKDAY(Main[[#This Row],[Tech Start Date]],19),IF(Main[[#This Row],[Class]]="B", WORKDAY(Main[[#This Row],[Tech Start Date]],12),IF(Main[[#This Row],[Class]]="A",WORKDAY(Main[[#This Row],[Tech Start Date]],4),""))))</f>
        <v/>
      </c>
      <c r="O1414" s="73" t="str">
        <f>IF(Main[[#This Row],[Tech Start Date]]&lt;1/1/1990,"",IF(Main[[#This Row],[Class]]="C",WORKDAY(Main[[#This Row],[Tech Start Date]],23),IF(Main[[#This Row],[Class]]="B", WORKDAY(Main[[#This Row],[Tech Start Date]],15),IF(Main[[#This Row],[Class]]="A",WORKDAY(Main[[#This Row],[Tech Start Date]],5),""))))</f>
        <v/>
      </c>
      <c r="P1414" s="73" t="str">
        <f>IF(Main[[#This Row],[Tech Start Date]]&lt;1/1/1990,"",IF(Main[[#This Row],[Class]]="C",WORKDAY(Main[[#This Row],[Tech Start Date]],28),IF(Main[[#This Row],[Class]]="B", WORKDAY(Main[[#This Row],[Tech Start Date]],19),IF(Main[[#This Row],[Class]]="A",WORKDAY(Main[[#This Row],[Tech Start Date]],9),""))))</f>
        <v/>
      </c>
      <c r="Q1414" s="85">
        <v>40939</v>
      </c>
      <c r="R1414" s="112">
        <v>40939</v>
      </c>
      <c r="S1414" s="95" t="s">
        <v>17</v>
      </c>
      <c r="T1414" s="74" t="s">
        <v>960</v>
      </c>
      <c r="U1414" s="95" t="s">
        <v>29</v>
      </c>
      <c r="V1414" s="95" t="s">
        <v>1911</v>
      </c>
      <c r="W1414" s="95" t="s">
        <v>1915</v>
      </c>
      <c r="X1414" s="95" t="s">
        <v>922</v>
      </c>
      <c r="Y1414" s="72" t="s">
        <v>2960</v>
      </c>
      <c r="Z1414" s="72" t="s">
        <v>129</v>
      </c>
      <c r="AA1414" s="95" t="s">
        <v>922</v>
      </c>
      <c r="AB1414" s="132"/>
      <c r="AC1414" s="132"/>
      <c r="AD1414" s="132"/>
      <c r="AE1414" s="63"/>
      <c r="AF1414" s="63"/>
      <c r="AG1414" s="63"/>
    </row>
    <row r="1415" spans="1:33" ht="17.2" customHeight="1">
      <c r="A1415" s="64" t="str">
        <f>IF(priority(Main[[#This Row],[Comments]])&lt;&gt;0, priority(Main[[#This Row],[Comments]]),"")</f>
        <v/>
      </c>
      <c r="B1415" s="60" t="s">
        <v>1907</v>
      </c>
      <c r="C1415" s="72" t="s">
        <v>4</v>
      </c>
      <c r="D1415" s="59" t="s">
        <v>961</v>
      </c>
      <c r="E1415" s="85"/>
      <c r="F1415" s="85"/>
      <c r="G1415" s="64" t="str">
        <f>IF(stdProdLT(Main[[#This Row],[Comments]])=0.1,"N/A",IF(stdProdLT(Main[[#This Row],[Comments]])=0,"",TRIM(stdProdLT(Main[[#This Row],[Comments]]))))</f>
        <v/>
      </c>
      <c r="H1415" s="94" t="str">
        <f>IF(OR(Main[[#This Row],[Std. Prod. Lead Time]]="N/A",Main[[#This Row],[Std. Prod. Lead Time]]=""), "",IF(AND(Main[[#This Row],[In Stock Date]]&lt;&gt;"",Main[[#This Row],[Revised Due Date]]&lt;&gt;"",Main[[#This Row],[In Stock Date]]&lt;&gt;""),Main[[#This Row],[In Stock Date]]-Main[[#This Row],[Revised Due Date]],""))</f>
        <v/>
      </c>
      <c r="I1415" s="101" t="s">
        <v>2047</v>
      </c>
      <c r="J1415" s="95" t="s">
        <v>4</v>
      </c>
      <c r="K1415" s="95" t="s">
        <v>1923</v>
      </c>
      <c r="L1415" s="85">
        <v>40549</v>
      </c>
      <c r="M1415" s="73" t="str">
        <f>IF(Main[[#This Row],[Tech Start Date]]&lt;1/1/1990,"",IF(Main[[#This Row],[Class]]="C",WORKDAY(Main[[#This Row],[Tech Start Date]],9),IF(Main[[#This Row],[Class]]="B", WORKDAY(Main[[#This Row],[Tech Start Date]],6),IF(Main[[#This Row],[Class]]="A",WORKDAY(Main[[#This Row],[Tech Start Date]],2),""))))</f>
        <v/>
      </c>
      <c r="N1415" s="73" t="str">
        <f>IF(Main[[#This Row],[Tech Start Date]]&lt;1/1/1990,"",IF(Main[[#This Row],[Class]]="C",WORKDAY(Main[[#This Row],[Tech Start Date]],19),IF(Main[[#This Row],[Class]]="B", WORKDAY(Main[[#This Row],[Tech Start Date]],12),IF(Main[[#This Row],[Class]]="A",WORKDAY(Main[[#This Row],[Tech Start Date]],4),""))))</f>
        <v/>
      </c>
      <c r="O1415" s="73" t="str">
        <f>IF(Main[[#This Row],[Tech Start Date]]&lt;1/1/1990,"",IF(Main[[#This Row],[Class]]="C",WORKDAY(Main[[#This Row],[Tech Start Date]],23),IF(Main[[#This Row],[Class]]="B", WORKDAY(Main[[#This Row],[Tech Start Date]],15),IF(Main[[#This Row],[Class]]="A",WORKDAY(Main[[#This Row],[Tech Start Date]],5),""))))</f>
        <v/>
      </c>
      <c r="P1415" s="73" t="str">
        <f>IF(Main[[#This Row],[Tech Start Date]]&lt;1/1/1990,"",IF(Main[[#This Row],[Class]]="C",WORKDAY(Main[[#This Row],[Tech Start Date]],28),IF(Main[[#This Row],[Class]]="B", WORKDAY(Main[[#This Row],[Tech Start Date]],19),IF(Main[[#This Row],[Class]]="A",WORKDAY(Main[[#This Row],[Tech Start Date]],9),""))))</f>
        <v/>
      </c>
      <c r="Q1415" s="85">
        <v>40939</v>
      </c>
      <c r="R1415" s="112">
        <v>40939</v>
      </c>
      <c r="S1415" s="95" t="s">
        <v>11</v>
      </c>
      <c r="T1415" s="74" t="s">
        <v>4</v>
      </c>
      <c r="U1415" s="95" t="s">
        <v>14</v>
      </c>
      <c r="V1415" s="95" t="s">
        <v>1912</v>
      </c>
      <c r="W1415" s="95" t="s">
        <v>1915</v>
      </c>
      <c r="X1415" s="95" t="s">
        <v>922</v>
      </c>
      <c r="Y1415" s="72" t="s">
        <v>2970</v>
      </c>
      <c r="Z1415" s="72" t="s">
        <v>129</v>
      </c>
      <c r="AA1415" s="95" t="s">
        <v>3387</v>
      </c>
      <c r="AB1415" s="132"/>
      <c r="AC1415" s="132"/>
      <c r="AD1415" s="132"/>
      <c r="AE1415" s="63"/>
      <c r="AF1415" s="63"/>
      <c r="AG1415" s="63"/>
    </row>
    <row r="1416" spans="1:33" ht="17.2" customHeight="1">
      <c r="A1416" s="64" t="str">
        <f>IF(priority(Main[[#This Row],[Comments]])&lt;&gt;0, priority(Main[[#This Row],[Comments]]),"")</f>
        <v/>
      </c>
      <c r="B1416" s="60" t="s">
        <v>1905</v>
      </c>
      <c r="C1416" s="72" t="s">
        <v>4</v>
      </c>
      <c r="D1416" s="59" t="s">
        <v>958</v>
      </c>
      <c r="E1416" s="85"/>
      <c r="F1416" s="85"/>
      <c r="G1416" s="64" t="str">
        <f>IF(stdProdLT(Main[[#This Row],[Comments]])=0.1,"N/A",IF(stdProdLT(Main[[#This Row],[Comments]])=0,"",TRIM(stdProdLT(Main[[#This Row],[Comments]]))))</f>
        <v/>
      </c>
      <c r="H1416" s="94" t="str">
        <f>IF(OR(Main[[#This Row],[Std. Prod. Lead Time]]="N/A",Main[[#This Row],[Std. Prod. Lead Time]]=""), "",IF(AND(Main[[#This Row],[In Stock Date]]&lt;&gt;"",Main[[#This Row],[Revised Due Date]]&lt;&gt;"",Main[[#This Row],[In Stock Date]]&lt;&gt;""),Main[[#This Row],[In Stock Date]]-Main[[#This Row],[Revised Due Date]],""))</f>
        <v/>
      </c>
      <c r="I1416" s="101" t="s">
        <v>877</v>
      </c>
      <c r="J1416" s="95" t="s">
        <v>28</v>
      </c>
      <c r="K1416" s="95" t="s">
        <v>1923</v>
      </c>
      <c r="L1416" s="85">
        <v>40549</v>
      </c>
      <c r="M1416" s="73" t="str">
        <f>IF(Main[[#This Row],[Tech Start Date]]&lt;1/1/1990,"",IF(Main[[#This Row],[Class]]="C",WORKDAY(Main[[#This Row],[Tech Start Date]],9),IF(Main[[#This Row],[Class]]="B", WORKDAY(Main[[#This Row],[Tech Start Date]],6),IF(Main[[#This Row],[Class]]="A",WORKDAY(Main[[#This Row],[Tech Start Date]],2),""))))</f>
        <v/>
      </c>
      <c r="N1416" s="73" t="str">
        <f>IF(Main[[#This Row],[Tech Start Date]]&lt;1/1/1990,"",IF(Main[[#This Row],[Class]]="C",WORKDAY(Main[[#This Row],[Tech Start Date]],19),IF(Main[[#This Row],[Class]]="B", WORKDAY(Main[[#This Row],[Tech Start Date]],12),IF(Main[[#This Row],[Class]]="A",WORKDAY(Main[[#This Row],[Tech Start Date]],4),""))))</f>
        <v/>
      </c>
      <c r="O1416" s="73" t="str">
        <f>IF(Main[[#This Row],[Tech Start Date]]&lt;1/1/1990,"",IF(Main[[#This Row],[Class]]="C",WORKDAY(Main[[#This Row],[Tech Start Date]],23),IF(Main[[#This Row],[Class]]="B", WORKDAY(Main[[#This Row],[Tech Start Date]],15),IF(Main[[#This Row],[Class]]="A",WORKDAY(Main[[#This Row],[Tech Start Date]],5),""))))</f>
        <v/>
      </c>
      <c r="P1416" s="73" t="str">
        <f>IF(Main[[#This Row],[Tech Start Date]]&lt;1/1/1990,"",IF(Main[[#This Row],[Class]]="C",WORKDAY(Main[[#This Row],[Tech Start Date]],28),IF(Main[[#This Row],[Class]]="B", WORKDAY(Main[[#This Row],[Tech Start Date]],19),IF(Main[[#This Row],[Class]]="A",WORKDAY(Main[[#This Row],[Tech Start Date]],9),""))))</f>
        <v/>
      </c>
      <c r="Q1416" s="85">
        <v>40939</v>
      </c>
      <c r="R1416" s="112">
        <v>40939</v>
      </c>
      <c r="S1416" s="95" t="s">
        <v>11</v>
      </c>
      <c r="T1416" s="74" t="s">
        <v>4</v>
      </c>
      <c r="U1416" s="95" t="s">
        <v>14</v>
      </c>
      <c r="V1416" s="95" t="s">
        <v>1911</v>
      </c>
      <c r="W1416" s="95" t="s">
        <v>1915</v>
      </c>
      <c r="X1416" s="95" t="s">
        <v>922</v>
      </c>
      <c r="Y1416" s="72" t="s">
        <v>2970</v>
      </c>
      <c r="Z1416" s="72" t="s">
        <v>129</v>
      </c>
      <c r="AA1416" s="95" t="s">
        <v>3387</v>
      </c>
      <c r="AB1416" s="132"/>
      <c r="AC1416" s="132"/>
      <c r="AD1416" s="132"/>
      <c r="AE1416" s="63"/>
      <c r="AF1416" s="63"/>
      <c r="AG1416" s="63"/>
    </row>
    <row r="1417" spans="1:33" ht="17.2" customHeight="1">
      <c r="A1417" s="64" t="str">
        <f>IF(priority(Main[[#This Row],[Comments]])&lt;&gt;0, priority(Main[[#This Row],[Comments]]),"")</f>
        <v/>
      </c>
      <c r="B1417" s="60" t="s">
        <v>1908</v>
      </c>
      <c r="C1417" s="72" t="s">
        <v>4</v>
      </c>
      <c r="D1417" s="59" t="s">
        <v>962</v>
      </c>
      <c r="E1417" s="85"/>
      <c r="F1417" s="85"/>
      <c r="G1417" s="64" t="str">
        <f>IF(stdProdLT(Main[[#This Row],[Comments]])=0.1,"N/A",IF(stdProdLT(Main[[#This Row],[Comments]])=0,"",TRIM(stdProdLT(Main[[#This Row],[Comments]]))))</f>
        <v/>
      </c>
      <c r="H1417" s="94" t="str">
        <f>IF(OR(Main[[#This Row],[Std. Prod. Lead Time]]="N/A",Main[[#This Row],[Std. Prod. Lead Time]]=""), "",IF(AND(Main[[#This Row],[In Stock Date]]&lt;&gt;"",Main[[#This Row],[Revised Due Date]]&lt;&gt;"",Main[[#This Row],[In Stock Date]]&lt;&gt;""),Main[[#This Row],[In Stock Date]]-Main[[#This Row],[Revised Due Date]],""))</f>
        <v/>
      </c>
      <c r="I1417" s="101" t="s">
        <v>922</v>
      </c>
      <c r="J1417" s="95" t="s">
        <v>4</v>
      </c>
      <c r="K1417" s="95" t="s">
        <v>1923</v>
      </c>
      <c r="L1417" s="85">
        <v>40549</v>
      </c>
      <c r="M1417" s="73" t="str">
        <f>IF(Main[[#This Row],[Tech Start Date]]&lt;1/1/1990,"",IF(Main[[#This Row],[Class]]="C",WORKDAY(Main[[#This Row],[Tech Start Date]],9),IF(Main[[#This Row],[Class]]="B", WORKDAY(Main[[#This Row],[Tech Start Date]],6),IF(Main[[#This Row],[Class]]="A",WORKDAY(Main[[#This Row],[Tech Start Date]],2),""))))</f>
        <v/>
      </c>
      <c r="N1417" s="73" t="str">
        <f>IF(Main[[#This Row],[Tech Start Date]]&lt;1/1/1990,"",IF(Main[[#This Row],[Class]]="C",WORKDAY(Main[[#This Row],[Tech Start Date]],19),IF(Main[[#This Row],[Class]]="B", WORKDAY(Main[[#This Row],[Tech Start Date]],12),IF(Main[[#This Row],[Class]]="A",WORKDAY(Main[[#This Row],[Tech Start Date]],4),""))))</f>
        <v/>
      </c>
      <c r="O1417" s="73" t="str">
        <f>IF(Main[[#This Row],[Tech Start Date]]&lt;1/1/1990,"",IF(Main[[#This Row],[Class]]="C",WORKDAY(Main[[#This Row],[Tech Start Date]],23),IF(Main[[#This Row],[Class]]="B", WORKDAY(Main[[#This Row],[Tech Start Date]],15),IF(Main[[#This Row],[Class]]="A",WORKDAY(Main[[#This Row],[Tech Start Date]],5),""))))</f>
        <v/>
      </c>
      <c r="P1417" s="73" t="str">
        <f>IF(Main[[#This Row],[Tech Start Date]]&lt;1/1/1990,"",IF(Main[[#This Row],[Class]]="C",WORKDAY(Main[[#This Row],[Tech Start Date]],28),IF(Main[[#This Row],[Class]]="B", WORKDAY(Main[[#This Row],[Tech Start Date]],19),IF(Main[[#This Row],[Class]]="A",WORKDAY(Main[[#This Row],[Tech Start Date]],9),""))))</f>
        <v/>
      </c>
      <c r="Q1417" s="85">
        <v>40939</v>
      </c>
      <c r="R1417" s="112">
        <v>40939</v>
      </c>
      <c r="S1417" s="95" t="s">
        <v>11</v>
      </c>
      <c r="T1417" s="74" t="s">
        <v>4</v>
      </c>
      <c r="U1417" s="95" t="s">
        <v>14</v>
      </c>
      <c r="V1417" s="95" t="s">
        <v>1911</v>
      </c>
      <c r="W1417" s="95" t="s">
        <v>1915</v>
      </c>
      <c r="X1417" s="95" t="s">
        <v>922</v>
      </c>
      <c r="Y1417" s="72" t="s">
        <v>2970</v>
      </c>
      <c r="Z1417" s="72" t="s">
        <v>129</v>
      </c>
      <c r="AA1417" s="95" t="s">
        <v>3387</v>
      </c>
      <c r="AB1417" s="132"/>
      <c r="AC1417" s="132"/>
      <c r="AD1417" s="132"/>
      <c r="AE1417" s="63"/>
      <c r="AF1417" s="63"/>
      <c r="AG1417" s="63"/>
    </row>
    <row r="1418" spans="1:33" ht="17.2" customHeight="1">
      <c r="A1418" s="64" t="str">
        <f>IF(priority(Main[[#This Row],[Comments]])&lt;&gt;0, priority(Main[[#This Row],[Comments]]),"")</f>
        <v/>
      </c>
      <c r="B1418" s="60" t="s">
        <v>1864</v>
      </c>
      <c r="C1418" s="72" t="s">
        <v>4</v>
      </c>
      <c r="D1418" s="59" t="s">
        <v>2014</v>
      </c>
      <c r="E1418" s="85">
        <v>40478.350138888891</v>
      </c>
      <c r="F1418" s="85"/>
      <c r="G1418" s="64" t="str">
        <f>IF(stdProdLT(Main[[#This Row],[Comments]])=0.1,"N/A",IF(stdProdLT(Main[[#This Row],[Comments]])=0,"",TRIM(stdProdLT(Main[[#This Row],[Comments]]))))</f>
        <v/>
      </c>
      <c r="H1418" s="94" t="str">
        <f>IF(OR(Main[[#This Row],[Std. Prod. Lead Time]]="N/A",Main[[#This Row],[Std. Prod. Lead Time]]=""), "",IF(AND(Main[[#This Row],[In Stock Date]]&lt;&gt;"",Main[[#This Row],[Revised Due Date]]&lt;&gt;"",Main[[#This Row],[In Stock Date]]&lt;&gt;""),Main[[#This Row],[In Stock Date]]-Main[[#This Row],[Revised Due Date]],""))</f>
        <v/>
      </c>
      <c r="I1418" s="101" t="s">
        <v>922</v>
      </c>
      <c r="J1418" s="95" t="s">
        <v>28</v>
      </c>
      <c r="K1418" s="95" t="s">
        <v>1923</v>
      </c>
      <c r="L1418" s="85">
        <v>40554</v>
      </c>
      <c r="M1418" s="73" t="str">
        <f>IF(Main[[#This Row],[Tech Start Date]]&lt;1/1/1990,"",IF(Main[[#This Row],[Class]]="C",WORKDAY(Main[[#This Row],[Tech Start Date]],9),IF(Main[[#This Row],[Class]]="B", WORKDAY(Main[[#This Row],[Tech Start Date]],6),IF(Main[[#This Row],[Class]]="A",WORKDAY(Main[[#This Row],[Tech Start Date]],2),""))))</f>
        <v/>
      </c>
      <c r="N1418" s="73" t="str">
        <f>IF(Main[[#This Row],[Tech Start Date]]&lt;1/1/1990,"",IF(Main[[#This Row],[Class]]="C",WORKDAY(Main[[#This Row],[Tech Start Date]],19),IF(Main[[#This Row],[Class]]="B", WORKDAY(Main[[#This Row],[Tech Start Date]],12),IF(Main[[#This Row],[Class]]="A",WORKDAY(Main[[#This Row],[Tech Start Date]],4),""))))</f>
        <v/>
      </c>
      <c r="O1418" s="73" t="str">
        <f>IF(Main[[#This Row],[Tech Start Date]]&lt;1/1/1990,"",IF(Main[[#This Row],[Class]]="C",WORKDAY(Main[[#This Row],[Tech Start Date]],23),IF(Main[[#This Row],[Class]]="B", WORKDAY(Main[[#This Row],[Tech Start Date]],15),IF(Main[[#This Row],[Class]]="A",WORKDAY(Main[[#This Row],[Tech Start Date]],5),""))))</f>
        <v/>
      </c>
      <c r="P1418" s="73" t="str">
        <f>IF(Main[[#This Row],[Tech Start Date]]&lt;1/1/1990,"",IF(Main[[#This Row],[Class]]="C",WORKDAY(Main[[#This Row],[Tech Start Date]],28),IF(Main[[#This Row],[Class]]="B", WORKDAY(Main[[#This Row],[Tech Start Date]],19),IF(Main[[#This Row],[Class]]="A",WORKDAY(Main[[#This Row],[Tech Start Date]],9),""))))</f>
        <v/>
      </c>
      <c r="Q1418" s="85">
        <v>40979</v>
      </c>
      <c r="R1418" s="112">
        <v>40979</v>
      </c>
      <c r="S1418" s="95" t="s">
        <v>17</v>
      </c>
      <c r="T1418" s="74" t="s">
        <v>923</v>
      </c>
      <c r="U1418" s="95" t="s">
        <v>29</v>
      </c>
      <c r="V1418" s="95" t="s">
        <v>1926</v>
      </c>
      <c r="W1418" s="95" t="s">
        <v>1915</v>
      </c>
      <c r="X1418" s="95" t="s">
        <v>922</v>
      </c>
      <c r="Y1418" s="72" t="s">
        <v>2960</v>
      </c>
      <c r="Z1418" s="72" t="s">
        <v>2205</v>
      </c>
      <c r="AA1418" s="95" t="s">
        <v>922</v>
      </c>
      <c r="AB1418" s="132"/>
      <c r="AC1418" s="132"/>
      <c r="AD1418" s="132"/>
      <c r="AE1418" s="63"/>
      <c r="AF1418" s="63"/>
      <c r="AG1418" s="63"/>
    </row>
    <row r="1419" spans="1:33" ht="17.2" customHeight="1">
      <c r="A1419" s="64" t="str">
        <f>IF(priority(Main[[#This Row],[Comments]])&lt;&gt;0, priority(Main[[#This Row],[Comments]]),"")</f>
        <v/>
      </c>
      <c r="B1419" s="60" t="s">
        <v>1866</v>
      </c>
      <c r="C1419" s="72" t="s">
        <v>4</v>
      </c>
      <c r="D1419" s="59" t="s">
        <v>925</v>
      </c>
      <c r="E1419" s="85"/>
      <c r="F1419" s="85"/>
      <c r="G1419" s="64" t="str">
        <f>IF(stdProdLT(Main[[#This Row],[Comments]])=0.1,"N/A",IF(stdProdLT(Main[[#This Row],[Comments]])=0,"",TRIM(stdProdLT(Main[[#This Row],[Comments]]))))</f>
        <v/>
      </c>
      <c r="H1419" s="94" t="str">
        <f>IF(OR(Main[[#This Row],[Std. Prod. Lead Time]]="N/A",Main[[#This Row],[Std. Prod. Lead Time]]=""), "",IF(AND(Main[[#This Row],[In Stock Date]]&lt;&gt;"",Main[[#This Row],[Revised Due Date]]&lt;&gt;"",Main[[#This Row],[In Stock Date]]&lt;&gt;""),Main[[#This Row],[In Stock Date]]-Main[[#This Row],[Revised Due Date]],""))</f>
        <v/>
      </c>
      <c r="I1419" s="101" t="s">
        <v>30</v>
      </c>
      <c r="J1419" s="95" t="s">
        <v>52</v>
      </c>
      <c r="K1419" s="95" t="s">
        <v>1920</v>
      </c>
      <c r="L1419" s="85">
        <v>40589</v>
      </c>
      <c r="M1419" s="73">
        <f>IF(Main[[#This Row],[Tech Start Date]]&lt;1/1/1990,"",IF(Main[[#This Row],[Class]]="C",WORKDAY(Main[[#This Row],[Tech Start Date]],9),IF(Main[[#This Row],[Class]]="B", WORKDAY(Main[[#This Row],[Tech Start Date]],6),IF(Main[[#This Row],[Class]]="A",WORKDAY(Main[[#This Row],[Tech Start Date]],2),""))))</f>
        <v>40591</v>
      </c>
      <c r="N1419" s="73">
        <f>IF(Main[[#This Row],[Tech Start Date]]&lt;1/1/1990,"",IF(Main[[#This Row],[Class]]="C",WORKDAY(Main[[#This Row],[Tech Start Date]],19),IF(Main[[#This Row],[Class]]="B", WORKDAY(Main[[#This Row],[Tech Start Date]],12),IF(Main[[#This Row],[Class]]="A",WORKDAY(Main[[#This Row],[Tech Start Date]],4),""))))</f>
        <v>40595</v>
      </c>
      <c r="O1419" s="73">
        <f>IF(Main[[#This Row],[Tech Start Date]]&lt;1/1/1990,"",IF(Main[[#This Row],[Class]]="C",WORKDAY(Main[[#This Row],[Tech Start Date]],23),IF(Main[[#This Row],[Class]]="B", WORKDAY(Main[[#This Row],[Tech Start Date]],15),IF(Main[[#This Row],[Class]]="A",WORKDAY(Main[[#This Row],[Tech Start Date]],5),""))))</f>
        <v>40596</v>
      </c>
      <c r="P1419" s="73">
        <f>IF(Main[[#This Row],[Tech Start Date]]&lt;1/1/1990,"",IF(Main[[#This Row],[Class]]="C",WORKDAY(Main[[#This Row],[Tech Start Date]],28),IF(Main[[#This Row],[Class]]="B", WORKDAY(Main[[#This Row],[Tech Start Date]],19),IF(Main[[#This Row],[Class]]="A",WORKDAY(Main[[#This Row],[Tech Start Date]],9),""))))</f>
        <v>40602</v>
      </c>
      <c r="Q1419" s="85">
        <v>40592</v>
      </c>
      <c r="R1419" s="112">
        <v>40624</v>
      </c>
      <c r="S1419" s="95" t="s">
        <v>6</v>
      </c>
      <c r="T1419" s="74" t="s">
        <v>4</v>
      </c>
      <c r="U1419" s="95" t="s">
        <v>14</v>
      </c>
      <c r="V1419" s="95" t="s">
        <v>1914</v>
      </c>
      <c r="W1419" s="95" t="s">
        <v>1913</v>
      </c>
      <c r="X1419" s="95" t="s">
        <v>30</v>
      </c>
      <c r="Y1419" s="72" t="s">
        <v>2993</v>
      </c>
      <c r="Z1419" s="72" t="s">
        <v>30</v>
      </c>
      <c r="AA1419" s="95" t="s">
        <v>3361</v>
      </c>
      <c r="AB1419" s="132"/>
      <c r="AC1419" s="132"/>
      <c r="AD1419" s="132"/>
      <c r="AE1419" s="63"/>
      <c r="AF1419" s="63"/>
      <c r="AG1419" s="63"/>
    </row>
    <row r="1420" spans="1:33" ht="17.2" customHeight="1">
      <c r="A1420" s="64" t="str">
        <f>IF(priority(Main[[#This Row],[Comments]])&lt;&gt;0, priority(Main[[#This Row],[Comments]]),"")</f>
        <v/>
      </c>
      <c r="B1420" s="60" t="s">
        <v>1863</v>
      </c>
      <c r="C1420" s="72" t="s">
        <v>4</v>
      </c>
      <c r="D1420" s="59" t="s">
        <v>921</v>
      </c>
      <c r="E1420" s="85">
        <v>40590.540578703702</v>
      </c>
      <c r="F1420" s="85"/>
      <c r="G1420" s="64" t="str">
        <f>IF(stdProdLT(Main[[#This Row],[Comments]])=0.1,"N/A",IF(stdProdLT(Main[[#This Row],[Comments]])=0,"",TRIM(stdProdLT(Main[[#This Row],[Comments]]))))</f>
        <v/>
      </c>
      <c r="H1420" s="94" t="str">
        <f>IF(OR(Main[[#This Row],[Std. Prod. Lead Time]]="N/A",Main[[#This Row],[Std. Prod. Lead Time]]=""), "",IF(AND(Main[[#This Row],[In Stock Date]]&lt;&gt;"",Main[[#This Row],[Revised Due Date]]&lt;&gt;"",Main[[#This Row],[In Stock Date]]&lt;&gt;""),Main[[#This Row],[In Stock Date]]-Main[[#This Row],[Revised Due Date]],""))</f>
        <v/>
      </c>
      <c r="I1420" s="101" t="s">
        <v>4</v>
      </c>
      <c r="J1420" s="95" t="s">
        <v>28</v>
      </c>
      <c r="K1420" s="96" t="s">
        <v>1920</v>
      </c>
      <c r="L1420" s="85">
        <v>40590</v>
      </c>
      <c r="M1420" s="73">
        <f>IF(Main[[#This Row],[Tech Start Date]]&lt;1/1/1990,"",IF(Main[[#This Row],[Class]]="C",WORKDAY(Main[[#This Row],[Tech Start Date]],9),IF(Main[[#This Row],[Class]]="B", WORKDAY(Main[[#This Row],[Tech Start Date]],6),IF(Main[[#This Row],[Class]]="A",WORKDAY(Main[[#This Row],[Tech Start Date]],2),""))))</f>
        <v>40592</v>
      </c>
      <c r="N1420" s="73">
        <f>IF(Main[[#This Row],[Tech Start Date]]&lt;1/1/1990,"",IF(Main[[#This Row],[Class]]="C",WORKDAY(Main[[#This Row],[Tech Start Date]],19),IF(Main[[#This Row],[Class]]="B", WORKDAY(Main[[#This Row],[Tech Start Date]],12),IF(Main[[#This Row],[Class]]="A",WORKDAY(Main[[#This Row],[Tech Start Date]],4),""))))</f>
        <v>40596</v>
      </c>
      <c r="O1420" s="73">
        <f>IF(Main[[#This Row],[Tech Start Date]]&lt;1/1/1990,"",IF(Main[[#This Row],[Class]]="C",WORKDAY(Main[[#This Row],[Tech Start Date]],23),IF(Main[[#This Row],[Class]]="B", WORKDAY(Main[[#This Row],[Tech Start Date]],15),IF(Main[[#This Row],[Class]]="A",WORKDAY(Main[[#This Row],[Tech Start Date]],5),""))))</f>
        <v>40597</v>
      </c>
      <c r="P1420" s="73">
        <f>IF(Main[[#This Row],[Tech Start Date]]&lt;1/1/1990,"",IF(Main[[#This Row],[Class]]="C",WORKDAY(Main[[#This Row],[Tech Start Date]],28),IF(Main[[#This Row],[Class]]="B", WORKDAY(Main[[#This Row],[Tech Start Date]],19),IF(Main[[#This Row],[Class]]="A",WORKDAY(Main[[#This Row],[Tech Start Date]],9),""))))</f>
        <v>40603</v>
      </c>
      <c r="Q1420" s="85">
        <v>40618</v>
      </c>
      <c r="R1420" s="112">
        <v>40604</v>
      </c>
      <c r="S1420" s="95" t="s">
        <v>6</v>
      </c>
      <c r="T1420" s="74" t="s">
        <v>4</v>
      </c>
      <c r="U1420" s="95" t="s">
        <v>29</v>
      </c>
      <c r="V1420" s="95" t="s">
        <v>1911</v>
      </c>
      <c r="W1420" s="95" t="s">
        <v>1915</v>
      </c>
      <c r="X1420" s="95" t="s">
        <v>2816</v>
      </c>
      <c r="Y1420" s="72" t="s">
        <v>2943</v>
      </c>
      <c r="Z1420" s="72" t="s">
        <v>4</v>
      </c>
      <c r="AA1420" s="95" t="s">
        <v>2816</v>
      </c>
      <c r="AB1420" s="132"/>
      <c r="AC1420" s="132"/>
      <c r="AD1420" s="132"/>
      <c r="AE1420" s="63"/>
      <c r="AF1420" s="63"/>
      <c r="AG1420" s="63"/>
    </row>
    <row r="1421" spans="1:33" ht="17.2" customHeight="1">
      <c r="A1421" s="64" t="str">
        <f>IF(priority(Main[[#This Row],[Comments]])&lt;&gt;0, priority(Main[[#This Row],[Comments]]),"")</f>
        <v/>
      </c>
      <c r="B1421" s="60" t="s">
        <v>1867</v>
      </c>
      <c r="C1421" s="72" t="s">
        <v>4</v>
      </c>
      <c r="D1421" s="59" t="s">
        <v>2241</v>
      </c>
      <c r="E1421" s="85">
        <v>40577.592002314814</v>
      </c>
      <c r="F1421" s="85"/>
      <c r="G1421" s="64" t="str">
        <f>IF(stdProdLT(Main[[#This Row],[Comments]])=0.1,"N/A",IF(stdProdLT(Main[[#This Row],[Comments]])=0,"",TRIM(stdProdLT(Main[[#This Row],[Comments]]))))</f>
        <v/>
      </c>
      <c r="H1421" s="94" t="str">
        <f>IF(OR(Main[[#This Row],[Std. Prod. Lead Time]]="N/A",Main[[#This Row],[Std. Prod. Lead Time]]=""), "",IF(AND(Main[[#This Row],[In Stock Date]]&lt;&gt;"",Main[[#This Row],[Revised Due Date]]&lt;&gt;"",Main[[#This Row],[In Stock Date]]&lt;&gt;""),Main[[#This Row],[In Stock Date]]-Main[[#This Row],[Revised Due Date]],""))</f>
        <v/>
      </c>
      <c r="I1421" s="101" t="s">
        <v>912</v>
      </c>
      <c r="J1421" s="95" t="s">
        <v>28</v>
      </c>
      <c r="K1421" s="95" t="s">
        <v>1920</v>
      </c>
      <c r="L1421" s="85">
        <v>40591</v>
      </c>
      <c r="M1421" s="73">
        <f>IF(Main[[#This Row],[Tech Start Date]]&lt;1/1/1990,"",IF(Main[[#This Row],[Class]]="C",WORKDAY(Main[[#This Row],[Tech Start Date]],9),IF(Main[[#This Row],[Class]]="B", WORKDAY(Main[[#This Row],[Tech Start Date]],6),IF(Main[[#This Row],[Class]]="A",WORKDAY(Main[[#This Row],[Tech Start Date]],2),""))))</f>
        <v>40595</v>
      </c>
      <c r="N1421" s="73">
        <f>IF(Main[[#This Row],[Tech Start Date]]&lt;1/1/1990,"",IF(Main[[#This Row],[Class]]="C",WORKDAY(Main[[#This Row],[Tech Start Date]],19),IF(Main[[#This Row],[Class]]="B", WORKDAY(Main[[#This Row],[Tech Start Date]],12),IF(Main[[#This Row],[Class]]="A",WORKDAY(Main[[#This Row],[Tech Start Date]],4),""))))</f>
        <v>40597</v>
      </c>
      <c r="O1421" s="73">
        <f>IF(Main[[#This Row],[Tech Start Date]]&lt;1/1/1990,"",IF(Main[[#This Row],[Class]]="C",WORKDAY(Main[[#This Row],[Tech Start Date]],23),IF(Main[[#This Row],[Class]]="B", WORKDAY(Main[[#This Row],[Tech Start Date]],15),IF(Main[[#This Row],[Class]]="A",WORKDAY(Main[[#This Row],[Tech Start Date]],5),""))))</f>
        <v>40598</v>
      </c>
      <c r="P1421" s="73">
        <f>IF(Main[[#This Row],[Tech Start Date]]&lt;1/1/1990,"",IF(Main[[#This Row],[Class]]="C",WORKDAY(Main[[#This Row],[Tech Start Date]],28),IF(Main[[#This Row],[Class]]="B", WORKDAY(Main[[#This Row],[Tech Start Date]],19),IF(Main[[#This Row],[Class]]="A",WORKDAY(Main[[#This Row],[Tech Start Date]],9),""))))</f>
        <v>40604</v>
      </c>
      <c r="Q1421" s="85">
        <v>40626</v>
      </c>
      <c r="R1421" s="112">
        <v>40626</v>
      </c>
      <c r="S1421" s="95" t="s">
        <v>6</v>
      </c>
      <c r="T1421" s="74" t="s">
        <v>4</v>
      </c>
      <c r="U1421" s="95" t="s">
        <v>29</v>
      </c>
      <c r="V1421" s="95" t="s">
        <v>1911</v>
      </c>
      <c r="W1421" s="95" t="s">
        <v>1913</v>
      </c>
      <c r="X1421" s="95" t="s">
        <v>399</v>
      </c>
      <c r="Y1421" s="72" t="s">
        <v>3086</v>
      </c>
      <c r="Z1421" s="72" t="s">
        <v>912</v>
      </c>
      <c r="AA1421" s="95" t="s">
        <v>3335</v>
      </c>
      <c r="AB1421" s="132"/>
      <c r="AC1421" s="132"/>
      <c r="AD1421" s="132"/>
      <c r="AE1421" s="63"/>
      <c r="AF1421" s="63"/>
      <c r="AG1421" s="63"/>
    </row>
    <row r="1422" spans="1:33" ht="17.2" customHeight="1">
      <c r="A1422" s="64" t="str">
        <f>IF(priority(Main[[#This Row],[Comments]])&lt;&gt;0, priority(Main[[#This Row],[Comments]]),"")</f>
        <v/>
      </c>
      <c r="B1422" s="60" t="s">
        <v>1889</v>
      </c>
      <c r="C1422" s="72" t="s">
        <v>947</v>
      </c>
      <c r="D1422" s="59" t="s">
        <v>1957</v>
      </c>
      <c r="E1422" s="85"/>
      <c r="F1422" s="85">
        <v>40709</v>
      </c>
      <c r="G1422" s="64" t="str">
        <f>IF(stdProdLT(Main[[#This Row],[Comments]])=0.1,"N/A",IF(stdProdLT(Main[[#This Row],[Comments]])=0,"",TRIM(stdProdLT(Main[[#This Row],[Comments]]))))</f>
        <v/>
      </c>
      <c r="H1422" s="94" t="str">
        <f>IF(OR(Main[[#This Row],[Std. Prod. Lead Time]]="N/A",Main[[#This Row],[Std. Prod. Lead Time]]=""), "",IF(AND(Main[[#This Row],[In Stock Date]]&lt;&gt;"",Main[[#This Row],[Revised Due Date]]&lt;&gt;"",Main[[#This Row],[In Stock Date]]&lt;&gt;""),Main[[#This Row],[In Stock Date]]-Main[[#This Row],[Revised Due Date]],""))</f>
        <v/>
      </c>
      <c r="I1422" s="101" t="s">
        <v>907</v>
      </c>
      <c r="J1422" s="95" t="s">
        <v>28</v>
      </c>
      <c r="K1422" s="95" t="s">
        <v>1918</v>
      </c>
      <c r="L1422" s="85">
        <v>40612</v>
      </c>
      <c r="M1422" s="73">
        <f>IF(Main[[#This Row],[Tech Start Date]]&lt;1/1/1990,"",IF(Main[[#This Row],[Class]]="C",WORKDAY(Main[[#This Row],[Tech Start Date]],9),IF(Main[[#This Row],[Class]]="B", WORKDAY(Main[[#This Row],[Tech Start Date]],6),IF(Main[[#This Row],[Class]]="A",WORKDAY(Main[[#This Row],[Tech Start Date]],2),""))))</f>
        <v>40620</v>
      </c>
      <c r="N1422" s="73">
        <f>IF(Main[[#This Row],[Tech Start Date]]&lt;1/1/1990,"",IF(Main[[#This Row],[Class]]="C",WORKDAY(Main[[#This Row],[Tech Start Date]],19),IF(Main[[#This Row],[Class]]="B", WORKDAY(Main[[#This Row],[Tech Start Date]],12),IF(Main[[#This Row],[Class]]="A",WORKDAY(Main[[#This Row],[Tech Start Date]],4),""))))</f>
        <v>40630</v>
      </c>
      <c r="O1422" s="73">
        <f>IF(Main[[#This Row],[Tech Start Date]]&lt;1/1/1990,"",IF(Main[[#This Row],[Class]]="C",WORKDAY(Main[[#This Row],[Tech Start Date]],23),IF(Main[[#This Row],[Class]]="B", WORKDAY(Main[[#This Row],[Tech Start Date]],15),IF(Main[[#This Row],[Class]]="A",WORKDAY(Main[[#This Row],[Tech Start Date]],5),""))))</f>
        <v>40633</v>
      </c>
      <c r="P1422" s="73">
        <f>IF(Main[[#This Row],[Tech Start Date]]&lt;1/1/1990,"",IF(Main[[#This Row],[Class]]="C",WORKDAY(Main[[#This Row],[Tech Start Date]],28),IF(Main[[#This Row],[Class]]="B", WORKDAY(Main[[#This Row],[Tech Start Date]],19),IF(Main[[#This Row],[Class]]="A",WORKDAY(Main[[#This Row],[Tech Start Date]],9),""))))</f>
        <v>40639</v>
      </c>
      <c r="Q1422" s="85"/>
      <c r="R1422" s="112">
        <v>40753</v>
      </c>
      <c r="S1422" s="95" t="s">
        <v>11</v>
      </c>
      <c r="T1422" s="74" t="s">
        <v>1995</v>
      </c>
      <c r="U1422" s="95" t="s">
        <v>14</v>
      </c>
      <c r="V1422" s="95" t="s">
        <v>1911</v>
      </c>
      <c r="W1422" s="95" t="s">
        <v>1916</v>
      </c>
      <c r="X1422" s="95" t="s">
        <v>50</v>
      </c>
      <c r="Y1422" s="72" t="s">
        <v>3125</v>
      </c>
      <c r="Z1422" s="72" t="s">
        <v>877</v>
      </c>
      <c r="AA1422" s="95" t="s">
        <v>3432</v>
      </c>
      <c r="AB1422" s="132"/>
      <c r="AC1422" s="132"/>
      <c r="AD1422" s="132"/>
      <c r="AE1422" s="63"/>
      <c r="AF1422" s="63"/>
      <c r="AG1422" s="63"/>
    </row>
    <row r="1423" spans="1:33" ht="17.2" customHeight="1">
      <c r="A1423" s="64" t="str">
        <f>IF(priority(Main[[#This Row],[Comments]])&lt;&gt;0, priority(Main[[#This Row],[Comments]]),"")</f>
        <v/>
      </c>
      <c r="B1423" s="60" t="s">
        <v>1893</v>
      </c>
      <c r="C1423" s="72" t="s">
        <v>949</v>
      </c>
      <c r="D1423" s="59" t="s">
        <v>950</v>
      </c>
      <c r="E1423" s="85"/>
      <c r="F1423" s="85">
        <v>40775</v>
      </c>
      <c r="G1423" s="64" t="str">
        <f>IF(stdProdLT(Main[[#This Row],[Comments]])=0.1,"N/A",IF(stdProdLT(Main[[#This Row],[Comments]])=0,"",TRIM(stdProdLT(Main[[#This Row],[Comments]]))))</f>
        <v/>
      </c>
      <c r="H1423" s="94" t="str">
        <f>IF(OR(Main[[#This Row],[Std. Prod. Lead Time]]="N/A",Main[[#This Row],[Std. Prod. Lead Time]]=""), "",IF(AND(Main[[#This Row],[In Stock Date]]&lt;&gt;"",Main[[#This Row],[Revised Due Date]]&lt;&gt;"",Main[[#This Row],[In Stock Date]]&lt;&gt;""),Main[[#This Row],[In Stock Date]]-Main[[#This Row],[Revised Due Date]],""))</f>
        <v/>
      </c>
      <c r="I1423" s="101" t="s">
        <v>889</v>
      </c>
      <c r="J1423" s="95" t="s">
        <v>28</v>
      </c>
      <c r="K1423" s="95" t="s">
        <v>1923</v>
      </c>
      <c r="L1423" s="85">
        <v>40619</v>
      </c>
      <c r="M1423" s="73" t="str">
        <f>IF(Main[[#This Row],[Tech Start Date]]&lt;1/1/1990,"",IF(Main[[#This Row],[Class]]="C",WORKDAY(Main[[#This Row],[Tech Start Date]],9),IF(Main[[#This Row],[Class]]="B", WORKDAY(Main[[#This Row],[Tech Start Date]],6),IF(Main[[#This Row],[Class]]="A",WORKDAY(Main[[#This Row],[Tech Start Date]],2),""))))</f>
        <v/>
      </c>
      <c r="N1423" s="73" t="str">
        <f>IF(Main[[#This Row],[Tech Start Date]]&lt;1/1/1990,"",IF(Main[[#This Row],[Class]]="C",WORKDAY(Main[[#This Row],[Tech Start Date]],19),IF(Main[[#This Row],[Class]]="B", WORKDAY(Main[[#This Row],[Tech Start Date]],12),IF(Main[[#This Row],[Class]]="A",WORKDAY(Main[[#This Row],[Tech Start Date]],4),""))))</f>
        <v/>
      </c>
      <c r="O1423" s="73" t="str">
        <f>IF(Main[[#This Row],[Tech Start Date]]&lt;1/1/1990,"",IF(Main[[#This Row],[Class]]="C",WORKDAY(Main[[#This Row],[Tech Start Date]],23),IF(Main[[#This Row],[Class]]="B", WORKDAY(Main[[#This Row],[Tech Start Date]],15),IF(Main[[#This Row],[Class]]="A",WORKDAY(Main[[#This Row],[Tech Start Date]],5),""))))</f>
        <v/>
      </c>
      <c r="P1423" s="73" t="str">
        <f>IF(Main[[#This Row],[Tech Start Date]]&lt;1/1/1990,"",IF(Main[[#This Row],[Class]]="C",WORKDAY(Main[[#This Row],[Tech Start Date]],28),IF(Main[[#This Row],[Class]]="B", WORKDAY(Main[[#This Row],[Tech Start Date]],19),IF(Main[[#This Row],[Class]]="A",WORKDAY(Main[[#This Row],[Tech Start Date]],9),""))))</f>
        <v/>
      </c>
      <c r="Q1423" s="85">
        <v>40635</v>
      </c>
      <c r="R1423" s="112">
        <v>40724</v>
      </c>
      <c r="S1423" s="95" t="s">
        <v>11</v>
      </c>
      <c r="T1423" s="74" t="s">
        <v>4</v>
      </c>
      <c r="U1423" s="95" t="s">
        <v>14</v>
      </c>
      <c r="V1423" s="95" t="s">
        <v>1912</v>
      </c>
      <c r="W1423" s="95" t="s">
        <v>1919</v>
      </c>
      <c r="X1423" s="95" t="s">
        <v>2884</v>
      </c>
      <c r="Y1423" s="72" t="s">
        <v>4</v>
      </c>
      <c r="Z1423" s="72" t="s">
        <v>877</v>
      </c>
      <c r="AA1423" s="95" t="s">
        <v>2884</v>
      </c>
      <c r="AB1423" s="132"/>
      <c r="AC1423" s="132"/>
      <c r="AD1423" s="132"/>
      <c r="AE1423" s="63"/>
      <c r="AF1423" s="63"/>
      <c r="AG1423" s="63"/>
    </row>
    <row r="1424" spans="1:33" ht="17.2" customHeight="1">
      <c r="A1424" s="64" t="str">
        <f>IF(priority(Main[[#This Row],[Comments]])&lt;&gt;0, priority(Main[[#This Row],[Comments]]),"")</f>
        <v/>
      </c>
      <c r="B1424" s="60" t="s">
        <v>1885</v>
      </c>
      <c r="C1424" s="72" t="s">
        <v>116</v>
      </c>
      <c r="D1424" s="59" t="s">
        <v>943</v>
      </c>
      <c r="E1424" s="85"/>
      <c r="F1424" s="85">
        <v>40725</v>
      </c>
      <c r="G1424" s="64" t="str">
        <f>IF(stdProdLT(Main[[#This Row],[Comments]])=0.1,"N/A",IF(stdProdLT(Main[[#This Row],[Comments]])=0,"",TRIM(stdProdLT(Main[[#This Row],[Comments]]))))</f>
        <v/>
      </c>
      <c r="H1424" s="94" t="str">
        <f>IF(OR(Main[[#This Row],[Std. Prod. Lead Time]]="N/A",Main[[#This Row],[Std. Prod. Lead Time]]=""), "",IF(AND(Main[[#This Row],[In Stock Date]]&lt;&gt;"",Main[[#This Row],[Revised Due Date]]&lt;&gt;"",Main[[#This Row],[In Stock Date]]&lt;&gt;""),Main[[#This Row],[In Stock Date]]-Main[[#This Row],[Revised Due Date]],""))</f>
        <v/>
      </c>
      <c r="I1424" s="101" t="s">
        <v>171</v>
      </c>
      <c r="J1424" s="95" t="s">
        <v>28</v>
      </c>
      <c r="K1424" s="95" t="s">
        <v>1920</v>
      </c>
      <c r="L1424" s="85">
        <v>40623</v>
      </c>
      <c r="M1424" s="73">
        <f>IF(Main[[#This Row],[Tech Start Date]]&lt;1/1/1990,"",IF(Main[[#This Row],[Class]]="C",WORKDAY(Main[[#This Row],[Tech Start Date]],9),IF(Main[[#This Row],[Class]]="B", WORKDAY(Main[[#This Row],[Tech Start Date]],6),IF(Main[[#This Row],[Class]]="A",WORKDAY(Main[[#This Row],[Tech Start Date]],2),""))))</f>
        <v>40625</v>
      </c>
      <c r="N1424" s="73">
        <f>IF(Main[[#This Row],[Tech Start Date]]&lt;1/1/1990,"",IF(Main[[#This Row],[Class]]="C",WORKDAY(Main[[#This Row],[Tech Start Date]],19),IF(Main[[#This Row],[Class]]="B", WORKDAY(Main[[#This Row],[Tech Start Date]],12),IF(Main[[#This Row],[Class]]="A",WORKDAY(Main[[#This Row],[Tech Start Date]],4),""))))</f>
        <v>40627</v>
      </c>
      <c r="O1424" s="73">
        <f>IF(Main[[#This Row],[Tech Start Date]]&lt;1/1/1990,"",IF(Main[[#This Row],[Class]]="C",WORKDAY(Main[[#This Row],[Tech Start Date]],23),IF(Main[[#This Row],[Class]]="B", WORKDAY(Main[[#This Row],[Tech Start Date]],15),IF(Main[[#This Row],[Class]]="A",WORKDAY(Main[[#This Row],[Tech Start Date]],5),""))))</f>
        <v>40630</v>
      </c>
      <c r="P1424" s="73">
        <f>IF(Main[[#This Row],[Tech Start Date]]&lt;1/1/1990,"",IF(Main[[#This Row],[Class]]="C",WORKDAY(Main[[#This Row],[Tech Start Date]],28),IF(Main[[#This Row],[Class]]="B", WORKDAY(Main[[#This Row],[Tech Start Date]],19),IF(Main[[#This Row],[Class]]="A",WORKDAY(Main[[#This Row],[Tech Start Date]],9),""))))</f>
        <v>40634</v>
      </c>
      <c r="Q1424" s="85">
        <v>40714</v>
      </c>
      <c r="R1424" s="112">
        <v>40714</v>
      </c>
      <c r="S1424" s="95" t="s">
        <v>11</v>
      </c>
      <c r="T1424" s="74" t="s">
        <v>944</v>
      </c>
      <c r="U1424" s="95" t="s">
        <v>14</v>
      </c>
      <c r="V1424" s="95" t="s">
        <v>1914</v>
      </c>
      <c r="W1424" s="95" t="s">
        <v>1916</v>
      </c>
      <c r="X1424" s="95" t="s">
        <v>2825</v>
      </c>
      <c r="Y1424" s="72" t="s">
        <v>3043</v>
      </c>
      <c r="Z1424" s="72" t="s">
        <v>171</v>
      </c>
      <c r="AA1424" s="95" t="s">
        <v>2825</v>
      </c>
      <c r="AB1424" s="132"/>
      <c r="AC1424" s="132"/>
      <c r="AD1424" s="132"/>
      <c r="AE1424" s="63"/>
      <c r="AF1424" s="63"/>
      <c r="AG1424" s="63"/>
    </row>
    <row r="1425" spans="1:33" ht="17.2" customHeight="1">
      <c r="A1425" s="64" t="str">
        <f>IF(priority(Main[[#This Row],[Comments]])&lt;&gt;0, priority(Main[[#This Row],[Comments]]),"")</f>
        <v/>
      </c>
      <c r="B1425" s="60" t="s">
        <v>1436</v>
      </c>
      <c r="C1425" s="72" t="s">
        <v>4</v>
      </c>
      <c r="D1425" s="59" t="s">
        <v>514</v>
      </c>
      <c r="E1425" s="85">
        <v>40623.553414351853</v>
      </c>
      <c r="F1425" s="85"/>
      <c r="G1425" s="64" t="str">
        <f>IF(stdProdLT(Main[[#This Row],[Comments]])=0.1,"N/A",IF(stdProdLT(Main[[#This Row],[Comments]])=0,"",TRIM(stdProdLT(Main[[#This Row],[Comments]]))))</f>
        <v/>
      </c>
      <c r="H1425" s="94" t="str">
        <f>IF(OR(Main[[#This Row],[Std. Prod. Lead Time]]="N/A",Main[[#This Row],[Std. Prod. Lead Time]]=""), "",IF(AND(Main[[#This Row],[In Stock Date]]&lt;&gt;"",Main[[#This Row],[Revised Due Date]]&lt;&gt;"",Main[[#This Row],[In Stock Date]]&lt;&gt;""),Main[[#This Row],[In Stock Date]]-Main[[#This Row],[Revised Due Date]],""))</f>
        <v/>
      </c>
      <c r="I1425" s="101" t="s">
        <v>30</v>
      </c>
      <c r="J1425" s="95" t="s">
        <v>21</v>
      </c>
      <c r="K1425" s="95" t="s">
        <v>1920</v>
      </c>
      <c r="L1425" s="85">
        <v>40623</v>
      </c>
      <c r="M1425" s="73">
        <f>IF(Main[[#This Row],[Tech Start Date]]&lt;1/1/1990,"",IF(Main[[#This Row],[Class]]="C",WORKDAY(Main[[#This Row],[Tech Start Date]],9),IF(Main[[#This Row],[Class]]="B", WORKDAY(Main[[#This Row],[Tech Start Date]],6),IF(Main[[#This Row],[Class]]="A",WORKDAY(Main[[#This Row],[Tech Start Date]],2),""))))</f>
        <v>40625</v>
      </c>
      <c r="N1425" s="73">
        <f>IF(Main[[#This Row],[Tech Start Date]]&lt;1/1/1990,"",IF(Main[[#This Row],[Class]]="C",WORKDAY(Main[[#This Row],[Tech Start Date]],19),IF(Main[[#This Row],[Class]]="B", WORKDAY(Main[[#This Row],[Tech Start Date]],12),IF(Main[[#This Row],[Class]]="A",WORKDAY(Main[[#This Row],[Tech Start Date]],4),""))))</f>
        <v>40627</v>
      </c>
      <c r="O1425" s="73">
        <f>IF(Main[[#This Row],[Tech Start Date]]&lt;1/1/1990,"",IF(Main[[#This Row],[Class]]="C",WORKDAY(Main[[#This Row],[Tech Start Date]],23),IF(Main[[#This Row],[Class]]="B", WORKDAY(Main[[#This Row],[Tech Start Date]],15),IF(Main[[#This Row],[Class]]="A",WORKDAY(Main[[#This Row],[Tech Start Date]],5),""))))</f>
        <v>40630</v>
      </c>
      <c r="P1425" s="73">
        <f>IF(Main[[#This Row],[Tech Start Date]]&lt;1/1/1990,"",IF(Main[[#This Row],[Class]]="C",WORKDAY(Main[[#This Row],[Tech Start Date]],28),IF(Main[[#This Row],[Class]]="B", WORKDAY(Main[[#This Row],[Tech Start Date]],19),IF(Main[[#This Row],[Class]]="A",WORKDAY(Main[[#This Row],[Tech Start Date]],9),""))))</f>
        <v>40634</v>
      </c>
      <c r="Q1425" s="85">
        <v>40662</v>
      </c>
      <c r="R1425" s="112"/>
      <c r="S1425" s="95" t="s">
        <v>6</v>
      </c>
      <c r="T1425" s="74" t="s">
        <v>4</v>
      </c>
      <c r="U1425" s="95" t="s">
        <v>29</v>
      </c>
      <c r="V1425" s="95" t="s">
        <v>1921</v>
      </c>
      <c r="W1425" s="95" t="s">
        <v>1915</v>
      </c>
      <c r="X1425" s="95" t="s">
        <v>30</v>
      </c>
      <c r="Y1425" s="72" t="s">
        <v>2935</v>
      </c>
      <c r="Z1425" s="72" t="s">
        <v>30</v>
      </c>
      <c r="AA1425" s="95" t="s">
        <v>30</v>
      </c>
      <c r="AB1425" s="132"/>
      <c r="AC1425" s="132"/>
      <c r="AD1425" s="132"/>
      <c r="AE1425" s="63"/>
      <c r="AF1425" s="63"/>
      <c r="AG1425" s="63"/>
    </row>
    <row r="1426" spans="1:33" ht="17.2" customHeight="1">
      <c r="A1426" s="64" t="str">
        <f>IF(priority(Main[[#This Row],[Comments]])&lt;&gt;0, priority(Main[[#This Row],[Comments]]),"")</f>
        <v/>
      </c>
      <c r="B1426" s="60" t="s">
        <v>1871</v>
      </c>
      <c r="C1426" s="72" t="s">
        <v>31</v>
      </c>
      <c r="D1426" s="59" t="s">
        <v>927</v>
      </c>
      <c r="E1426" s="85"/>
      <c r="F1426" s="85">
        <v>40725</v>
      </c>
      <c r="G1426" s="64" t="str">
        <f>IF(stdProdLT(Main[[#This Row],[Comments]])=0.1,"N/A",IF(stdProdLT(Main[[#This Row],[Comments]])=0,"",TRIM(stdProdLT(Main[[#This Row],[Comments]]))))</f>
        <v/>
      </c>
      <c r="H1426" s="94" t="str">
        <f>IF(OR(Main[[#This Row],[Std. Prod. Lead Time]]="N/A",Main[[#This Row],[Std. Prod. Lead Time]]=""), "",IF(AND(Main[[#This Row],[In Stock Date]]&lt;&gt;"",Main[[#This Row],[Revised Due Date]]&lt;&gt;"",Main[[#This Row],[In Stock Date]]&lt;&gt;""),Main[[#This Row],[In Stock Date]]-Main[[#This Row],[Revised Due Date]],""))</f>
        <v/>
      </c>
      <c r="I1426" s="101" t="s">
        <v>171</v>
      </c>
      <c r="J1426" s="95" t="s">
        <v>28</v>
      </c>
      <c r="K1426" s="95" t="s">
        <v>1920</v>
      </c>
      <c r="L1426" s="85">
        <v>40623</v>
      </c>
      <c r="M1426" s="73">
        <f>IF(Main[[#This Row],[Tech Start Date]]&lt;1/1/1990,"",IF(Main[[#This Row],[Class]]="C",WORKDAY(Main[[#This Row],[Tech Start Date]],9),IF(Main[[#This Row],[Class]]="B", WORKDAY(Main[[#This Row],[Tech Start Date]],6),IF(Main[[#This Row],[Class]]="A",WORKDAY(Main[[#This Row],[Tech Start Date]],2),""))))</f>
        <v>40625</v>
      </c>
      <c r="N1426" s="73">
        <f>IF(Main[[#This Row],[Tech Start Date]]&lt;1/1/1990,"",IF(Main[[#This Row],[Class]]="C",WORKDAY(Main[[#This Row],[Tech Start Date]],19),IF(Main[[#This Row],[Class]]="B", WORKDAY(Main[[#This Row],[Tech Start Date]],12),IF(Main[[#This Row],[Class]]="A",WORKDAY(Main[[#This Row],[Tech Start Date]],4),""))))</f>
        <v>40627</v>
      </c>
      <c r="O1426" s="73">
        <f>IF(Main[[#This Row],[Tech Start Date]]&lt;1/1/1990,"",IF(Main[[#This Row],[Class]]="C",WORKDAY(Main[[#This Row],[Tech Start Date]],23),IF(Main[[#This Row],[Class]]="B", WORKDAY(Main[[#This Row],[Tech Start Date]],15),IF(Main[[#This Row],[Class]]="A",WORKDAY(Main[[#This Row],[Tech Start Date]],5),""))))</f>
        <v>40630</v>
      </c>
      <c r="P1426" s="73">
        <f>IF(Main[[#This Row],[Tech Start Date]]&lt;1/1/1990,"",IF(Main[[#This Row],[Class]]="C",WORKDAY(Main[[#This Row],[Tech Start Date]],28),IF(Main[[#This Row],[Class]]="B", WORKDAY(Main[[#This Row],[Tech Start Date]],19),IF(Main[[#This Row],[Class]]="A",WORKDAY(Main[[#This Row],[Tech Start Date]],9),""))))</f>
        <v>40634</v>
      </c>
      <c r="Q1426" s="85">
        <v>40659</v>
      </c>
      <c r="R1426" s="112">
        <v>40659</v>
      </c>
      <c r="S1426" s="95" t="s">
        <v>11</v>
      </c>
      <c r="T1426" s="74" t="s">
        <v>4</v>
      </c>
      <c r="U1426" s="95" t="s">
        <v>14</v>
      </c>
      <c r="V1426" s="95" t="s">
        <v>1914</v>
      </c>
      <c r="W1426" s="95" t="s">
        <v>1917</v>
      </c>
      <c r="X1426" s="95" t="s">
        <v>2825</v>
      </c>
      <c r="Y1426" s="72" t="s">
        <v>3043</v>
      </c>
      <c r="Z1426" s="72" t="s">
        <v>171</v>
      </c>
      <c r="AA1426" s="95" t="s">
        <v>2825</v>
      </c>
      <c r="AB1426" s="132"/>
      <c r="AC1426" s="132"/>
      <c r="AD1426" s="132"/>
      <c r="AE1426" s="63"/>
      <c r="AF1426" s="63"/>
      <c r="AG1426" s="63"/>
    </row>
    <row r="1427" spans="1:33" ht="17.2" customHeight="1">
      <c r="A1427" s="64" t="str">
        <f>IF(priority(Main[[#This Row],[Comments]])&lt;&gt;0, priority(Main[[#This Row],[Comments]]),"")</f>
        <v/>
      </c>
      <c r="B1427" s="60" t="s">
        <v>1873</v>
      </c>
      <c r="C1427" s="72" t="s">
        <v>4</v>
      </c>
      <c r="D1427" s="59" t="s">
        <v>3695</v>
      </c>
      <c r="E1427" s="85">
        <v>40624.55673611111</v>
      </c>
      <c r="F1427" s="85"/>
      <c r="G1427" s="64" t="str">
        <f>IF(stdProdLT(Main[[#This Row],[Comments]])=0.1,"N/A",IF(stdProdLT(Main[[#This Row],[Comments]])=0,"",TRIM(stdProdLT(Main[[#This Row],[Comments]]))))</f>
        <v/>
      </c>
      <c r="H1427" s="94" t="str">
        <f>IF(OR(Main[[#This Row],[Std. Prod. Lead Time]]="N/A",Main[[#This Row],[Std. Prod. Lead Time]]=""), "",IF(AND(Main[[#This Row],[In Stock Date]]&lt;&gt;"",Main[[#This Row],[Revised Due Date]]&lt;&gt;"",Main[[#This Row],[In Stock Date]]&lt;&gt;""),Main[[#This Row],[In Stock Date]]-Main[[#This Row],[Revised Due Date]],""))</f>
        <v/>
      </c>
      <c r="I1427" s="101" t="s">
        <v>69</v>
      </c>
      <c r="J1427" s="95" t="s">
        <v>70</v>
      </c>
      <c r="K1427" s="95" t="s">
        <v>1920</v>
      </c>
      <c r="L1427" s="85">
        <v>40638</v>
      </c>
      <c r="M1427" s="73">
        <f>IF(Main[[#This Row],[Tech Start Date]]&lt;1/1/1990,"",IF(Main[[#This Row],[Class]]="C",WORKDAY(Main[[#This Row],[Tech Start Date]],9),IF(Main[[#This Row],[Class]]="B", WORKDAY(Main[[#This Row],[Tech Start Date]],6),IF(Main[[#This Row],[Class]]="A",WORKDAY(Main[[#This Row],[Tech Start Date]],2),""))))</f>
        <v>40640</v>
      </c>
      <c r="N1427" s="73">
        <f>IF(Main[[#This Row],[Tech Start Date]]&lt;1/1/1990,"",IF(Main[[#This Row],[Class]]="C",WORKDAY(Main[[#This Row],[Tech Start Date]],19),IF(Main[[#This Row],[Class]]="B", WORKDAY(Main[[#This Row],[Tech Start Date]],12),IF(Main[[#This Row],[Class]]="A",WORKDAY(Main[[#This Row],[Tech Start Date]],4),""))))</f>
        <v>40644</v>
      </c>
      <c r="O1427" s="73">
        <f>IF(Main[[#This Row],[Tech Start Date]]&lt;1/1/1990,"",IF(Main[[#This Row],[Class]]="C",WORKDAY(Main[[#This Row],[Tech Start Date]],23),IF(Main[[#This Row],[Class]]="B", WORKDAY(Main[[#This Row],[Tech Start Date]],15),IF(Main[[#This Row],[Class]]="A",WORKDAY(Main[[#This Row],[Tech Start Date]],5),""))))</f>
        <v>40645</v>
      </c>
      <c r="P1427" s="73">
        <f>IF(Main[[#This Row],[Tech Start Date]]&lt;1/1/1990,"",IF(Main[[#This Row],[Class]]="C",WORKDAY(Main[[#This Row],[Tech Start Date]],28),IF(Main[[#This Row],[Class]]="B", WORKDAY(Main[[#This Row],[Tech Start Date]],19),IF(Main[[#This Row],[Class]]="A",WORKDAY(Main[[#This Row],[Tech Start Date]],9),""))))</f>
        <v>40651</v>
      </c>
      <c r="Q1427" s="85"/>
      <c r="R1427" s="112">
        <v>40675</v>
      </c>
      <c r="S1427" s="95" t="s">
        <v>6</v>
      </c>
      <c r="T1427" s="74" t="s">
        <v>4</v>
      </c>
      <c r="U1427" s="95" t="s">
        <v>29</v>
      </c>
      <c r="V1427" s="95" t="s">
        <v>1914</v>
      </c>
      <c r="W1427" s="95" t="s">
        <v>1915</v>
      </c>
      <c r="X1427" s="95" t="s">
        <v>2899</v>
      </c>
      <c r="Y1427" s="72" t="s">
        <v>3126</v>
      </c>
      <c r="Z1427" s="72" t="s">
        <v>30</v>
      </c>
      <c r="AA1427" s="95" t="s">
        <v>2899</v>
      </c>
      <c r="AB1427" s="132"/>
      <c r="AC1427" s="132"/>
      <c r="AD1427" s="132"/>
      <c r="AE1427" s="63"/>
      <c r="AF1427" s="63"/>
      <c r="AG1427" s="63"/>
    </row>
    <row r="1428" spans="1:33" ht="17.2" customHeight="1">
      <c r="A1428" s="64" t="str">
        <f>IF(priority(Main[[#This Row],[Comments]])&lt;&gt;0, priority(Main[[#This Row],[Comments]]),"")</f>
        <v/>
      </c>
      <c r="B1428" s="60" t="s">
        <v>1876</v>
      </c>
      <c r="C1428" s="72" t="s">
        <v>4</v>
      </c>
      <c r="D1428" s="59" t="s">
        <v>2128</v>
      </c>
      <c r="E1428" s="85"/>
      <c r="F1428" s="85"/>
      <c r="G1428" s="64" t="str">
        <f>IF(stdProdLT(Main[[#This Row],[Comments]])=0.1,"N/A",IF(stdProdLT(Main[[#This Row],[Comments]])=0,"",TRIM(stdProdLT(Main[[#This Row],[Comments]]))))</f>
        <v/>
      </c>
      <c r="H1428" s="94" t="str">
        <f>IF(OR(Main[[#This Row],[Std. Prod. Lead Time]]="N/A",Main[[#This Row],[Std. Prod. Lead Time]]=""), "",IF(AND(Main[[#This Row],[In Stock Date]]&lt;&gt;"",Main[[#This Row],[Revised Due Date]]&lt;&gt;"",Main[[#This Row],[In Stock Date]]&lt;&gt;""),Main[[#This Row],[In Stock Date]]-Main[[#This Row],[Revised Due Date]],""))</f>
        <v/>
      </c>
      <c r="I1428" s="101" t="s">
        <v>306</v>
      </c>
      <c r="J1428" s="95" t="s">
        <v>75</v>
      </c>
      <c r="K1428" s="95" t="s">
        <v>1920</v>
      </c>
      <c r="L1428" s="85">
        <v>40651</v>
      </c>
      <c r="M1428" s="73">
        <f>IF(Main[[#This Row],[Tech Start Date]]&lt;1/1/1990,"",IF(Main[[#This Row],[Class]]="C",WORKDAY(Main[[#This Row],[Tech Start Date]],9),IF(Main[[#This Row],[Class]]="B", WORKDAY(Main[[#This Row],[Tech Start Date]],6),IF(Main[[#This Row],[Class]]="A",WORKDAY(Main[[#This Row],[Tech Start Date]],2),""))))</f>
        <v>40653</v>
      </c>
      <c r="N1428" s="73">
        <f>IF(Main[[#This Row],[Tech Start Date]]&lt;1/1/1990,"",IF(Main[[#This Row],[Class]]="C",WORKDAY(Main[[#This Row],[Tech Start Date]],19),IF(Main[[#This Row],[Class]]="B", WORKDAY(Main[[#This Row],[Tech Start Date]],12),IF(Main[[#This Row],[Class]]="A",WORKDAY(Main[[#This Row],[Tech Start Date]],4),""))))</f>
        <v>40655</v>
      </c>
      <c r="O1428" s="73">
        <f>IF(Main[[#This Row],[Tech Start Date]]&lt;1/1/1990,"",IF(Main[[#This Row],[Class]]="C",WORKDAY(Main[[#This Row],[Tech Start Date]],23),IF(Main[[#This Row],[Class]]="B", WORKDAY(Main[[#This Row],[Tech Start Date]],15),IF(Main[[#This Row],[Class]]="A",WORKDAY(Main[[#This Row],[Tech Start Date]],5),""))))</f>
        <v>40658</v>
      </c>
      <c r="P1428" s="73">
        <f>IF(Main[[#This Row],[Tech Start Date]]&lt;1/1/1990,"",IF(Main[[#This Row],[Class]]="C",WORKDAY(Main[[#This Row],[Tech Start Date]],28),IF(Main[[#This Row],[Class]]="B", WORKDAY(Main[[#This Row],[Tech Start Date]],19),IF(Main[[#This Row],[Class]]="A",WORKDAY(Main[[#This Row],[Tech Start Date]],9),""))))</f>
        <v>40662</v>
      </c>
      <c r="Q1428" s="85">
        <v>40480</v>
      </c>
      <c r="R1428" s="112">
        <v>40689</v>
      </c>
      <c r="S1428" s="95" t="s">
        <v>6</v>
      </c>
      <c r="T1428" s="74" t="s">
        <v>4</v>
      </c>
      <c r="U1428" s="95" t="s">
        <v>14</v>
      </c>
      <c r="V1428" s="95" t="s">
        <v>1921</v>
      </c>
      <c r="W1428" s="95" t="s">
        <v>1915</v>
      </c>
      <c r="X1428" s="95" t="s">
        <v>2798</v>
      </c>
      <c r="Y1428" s="72" t="s">
        <v>2908</v>
      </c>
      <c r="Z1428" s="72" t="s">
        <v>30</v>
      </c>
      <c r="AA1428" s="95" t="s">
        <v>2798</v>
      </c>
      <c r="AB1428" s="132"/>
      <c r="AC1428" s="132"/>
      <c r="AD1428" s="132"/>
      <c r="AE1428" s="63"/>
      <c r="AF1428" s="63"/>
      <c r="AG1428" s="63"/>
    </row>
    <row r="1429" spans="1:33" ht="17.2" customHeight="1">
      <c r="A1429" s="64" t="str">
        <f>IF(priority(Main[[#This Row],[Comments]])&lt;&gt;0, priority(Main[[#This Row],[Comments]]),"")</f>
        <v/>
      </c>
      <c r="B1429" s="60" t="s">
        <v>1875</v>
      </c>
      <c r="C1429" s="72" t="s">
        <v>4</v>
      </c>
      <c r="D1429" s="59" t="s">
        <v>930</v>
      </c>
      <c r="E1429" s="85"/>
      <c r="F1429" s="85"/>
      <c r="G1429" s="64" t="str">
        <f>IF(stdProdLT(Main[[#This Row],[Comments]])=0.1,"N/A",IF(stdProdLT(Main[[#This Row],[Comments]])=0,"",TRIM(stdProdLT(Main[[#This Row],[Comments]]))))</f>
        <v/>
      </c>
      <c r="H1429" s="94" t="str">
        <f>IF(OR(Main[[#This Row],[Std. Prod. Lead Time]]="N/A",Main[[#This Row],[Std. Prod. Lead Time]]=""), "",IF(AND(Main[[#This Row],[In Stock Date]]&lt;&gt;"",Main[[#This Row],[Revised Due Date]]&lt;&gt;"",Main[[#This Row],[In Stock Date]]&lt;&gt;""),Main[[#This Row],[In Stock Date]]-Main[[#This Row],[Revised Due Date]],""))</f>
        <v/>
      </c>
      <c r="I1429" s="101" t="s">
        <v>44</v>
      </c>
      <c r="J1429" s="95" t="s">
        <v>28</v>
      </c>
      <c r="K1429" s="95" t="s">
        <v>1920</v>
      </c>
      <c r="L1429" s="85">
        <v>40651</v>
      </c>
      <c r="M1429" s="73">
        <f>IF(Main[[#This Row],[Tech Start Date]]&lt;1/1/1990,"",IF(Main[[#This Row],[Class]]="C",WORKDAY(Main[[#This Row],[Tech Start Date]],9),IF(Main[[#This Row],[Class]]="B", WORKDAY(Main[[#This Row],[Tech Start Date]],6),IF(Main[[#This Row],[Class]]="A",WORKDAY(Main[[#This Row],[Tech Start Date]],2),""))))</f>
        <v>40653</v>
      </c>
      <c r="N1429" s="73">
        <f>IF(Main[[#This Row],[Tech Start Date]]&lt;1/1/1990,"",IF(Main[[#This Row],[Class]]="C",WORKDAY(Main[[#This Row],[Tech Start Date]],19),IF(Main[[#This Row],[Class]]="B", WORKDAY(Main[[#This Row],[Tech Start Date]],12),IF(Main[[#This Row],[Class]]="A",WORKDAY(Main[[#This Row],[Tech Start Date]],4),""))))</f>
        <v>40655</v>
      </c>
      <c r="O1429" s="73">
        <f>IF(Main[[#This Row],[Tech Start Date]]&lt;1/1/1990,"",IF(Main[[#This Row],[Class]]="C",WORKDAY(Main[[#This Row],[Tech Start Date]],23),IF(Main[[#This Row],[Class]]="B", WORKDAY(Main[[#This Row],[Tech Start Date]],15),IF(Main[[#This Row],[Class]]="A",WORKDAY(Main[[#This Row],[Tech Start Date]],5),""))))</f>
        <v>40658</v>
      </c>
      <c r="P1429" s="73">
        <f>IF(Main[[#This Row],[Tech Start Date]]&lt;1/1/1990,"",IF(Main[[#This Row],[Class]]="C",WORKDAY(Main[[#This Row],[Tech Start Date]],28),IF(Main[[#This Row],[Class]]="B", WORKDAY(Main[[#This Row],[Tech Start Date]],19),IF(Main[[#This Row],[Class]]="A",WORKDAY(Main[[#This Row],[Tech Start Date]],9),""))))</f>
        <v>40662</v>
      </c>
      <c r="Q1429" s="85">
        <v>40494</v>
      </c>
      <c r="R1429" s="112">
        <v>40689</v>
      </c>
      <c r="S1429" s="95" t="s">
        <v>6</v>
      </c>
      <c r="T1429" s="74" t="s">
        <v>4</v>
      </c>
      <c r="U1429" s="95" t="s">
        <v>14</v>
      </c>
      <c r="V1429" s="95" t="s">
        <v>1914</v>
      </c>
      <c r="W1429" s="95" t="s">
        <v>1915</v>
      </c>
      <c r="X1429" s="95" t="s">
        <v>2799</v>
      </c>
      <c r="Y1429" s="72" t="s">
        <v>2910</v>
      </c>
      <c r="Z1429" s="72" t="s">
        <v>44</v>
      </c>
      <c r="AA1429" s="95" t="s">
        <v>2799</v>
      </c>
      <c r="AB1429" s="132"/>
      <c r="AC1429" s="132"/>
      <c r="AD1429" s="132"/>
      <c r="AE1429" s="63"/>
      <c r="AF1429" s="63"/>
      <c r="AG1429" s="63"/>
    </row>
    <row r="1430" spans="1:33" ht="17.2" customHeight="1">
      <c r="A1430" s="64" t="str">
        <f>IF(priority(Main[[#This Row],[Comments]])&lt;&gt;0, priority(Main[[#This Row],[Comments]]),"")</f>
        <v/>
      </c>
      <c r="B1430" s="60" t="s">
        <v>1874</v>
      </c>
      <c r="C1430" s="72" t="s">
        <v>4</v>
      </c>
      <c r="D1430" s="59" t="s">
        <v>929</v>
      </c>
      <c r="E1430" s="85"/>
      <c r="F1430" s="85"/>
      <c r="G1430" s="64" t="str">
        <f>IF(stdProdLT(Main[[#This Row],[Comments]])=0.1,"N/A",IF(stdProdLT(Main[[#This Row],[Comments]])=0,"",TRIM(stdProdLT(Main[[#This Row],[Comments]]))))</f>
        <v/>
      </c>
      <c r="H1430" s="94" t="str">
        <f>IF(OR(Main[[#This Row],[Std. Prod. Lead Time]]="N/A",Main[[#This Row],[Std. Prod. Lead Time]]=""), "",IF(AND(Main[[#This Row],[In Stock Date]]&lt;&gt;"",Main[[#This Row],[Revised Due Date]]&lt;&gt;"",Main[[#This Row],[In Stock Date]]&lt;&gt;""),Main[[#This Row],[In Stock Date]]-Main[[#This Row],[Revised Due Date]],""))</f>
        <v/>
      </c>
      <c r="I1430" s="101" t="s">
        <v>130</v>
      </c>
      <c r="J1430" s="95" t="s">
        <v>70</v>
      </c>
      <c r="K1430" s="95" t="s">
        <v>1920</v>
      </c>
      <c r="L1430" s="85">
        <v>40658</v>
      </c>
      <c r="M1430" s="73">
        <f>IF(Main[[#This Row],[Tech Start Date]]&lt;1/1/1990,"",IF(Main[[#This Row],[Class]]="C",WORKDAY(Main[[#This Row],[Tech Start Date]],9),IF(Main[[#This Row],[Class]]="B", WORKDAY(Main[[#This Row],[Tech Start Date]],6),IF(Main[[#This Row],[Class]]="A",WORKDAY(Main[[#This Row],[Tech Start Date]],2),""))))</f>
        <v>40660</v>
      </c>
      <c r="N1430" s="73">
        <f>IF(Main[[#This Row],[Tech Start Date]]&lt;1/1/1990,"",IF(Main[[#This Row],[Class]]="C",WORKDAY(Main[[#This Row],[Tech Start Date]],19),IF(Main[[#This Row],[Class]]="B", WORKDAY(Main[[#This Row],[Tech Start Date]],12),IF(Main[[#This Row],[Class]]="A",WORKDAY(Main[[#This Row],[Tech Start Date]],4),""))))</f>
        <v>40662</v>
      </c>
      <c r="O1430" s="73">
        <f>IF(Main[[#This Row],[Tech Start Date]]&lt;1/1/1990,"",IF(Main[[#This Row],[Class]]="C",WORKDAY(Main[[#This Row],[Tech Start Date]],23),IF(Main[[#This Row],[Class]]="B", WORKDAY(Main[[#This Row],[Tech Start Date]],15),IF(Main[[#This Row],[Class]]="A",WORKDAY(Main[[#This Row],[Tech Start Date]],5),""))))</f>
        <v>40665</v>
      </c>
      <c r="P1430" s="73">
        <f>IF(Main[[#This Row],[Tech Start Date]]&lt;1/1/1990,"",IF(Main[[#This Row],[Class]]="C",WORKDAY(Main[[#This Row],[Tech Start Date]],28),IF(Main[[#This Row],[Class]]="B", WORKDAY(Main[[#This Row],[Tech Start Date]],19),IF(Main[[#This Row],[Class]]="A",WORKDAY(Main[[#This Row],[Tech Start Date]],9),""))))</f>
        <v>40669</v>
      </c>
      <c r="Q1430" s="85">
        <v>40665</v>
      </c>
      <c r="R1430" s="112">
        <v>40686</v>
      </c>
      <c r="S1430" s="95" t="s">
        <v>6</v>
      </c>
      <c r="T1430" s="74" t="s">
        <v>4</v>
      </c>
      <c r="U1430" s="95" t="s">
        <v>14</v>
      </c>
      <c r="V1430" s="95" t="s">
        <v>1914</v>
      </c>
      <c r="W1430" s="95" t="s">
        <v>1913</v>
      </c>
      <c r="X1430" s="95" t="s">
        <v>2831</v>
      </c>
      <c r="Y1430" s="72" t="s">
        <v>2964</v>
      </c>
      <c r="Z1430" s="72" t="s">
        <v>30</v>
      </c>
      <c r="AA1430" s="95" t="s">
        <v>2831</v>
      </c>
      <c r="AB1430" s="132"/>
      <c r="AC1430" s="132"/>
      <c r="AD1430" s="132"/>
      <c r="AE1430" s="63"/>
      <c r="AF1430" s="63"/>
      <c r="AG1430" s="63"/>
    </row>
    <row r="1431" spans="1:33" ht="17.2" customHeight="1">
      <c r="A1431" s="64" t="str">
        <f>IF(priority(Main[[#This Row],[Comments]])&lt;&gt;0, priority(Main[[#This Row],[Comments]]),"")</f>
        <v/>
      </c>
      <c r="B1431" s="60" t="s">
        <v>1897</v>
      </c>
      <c r="C1431" s="72" t="s">
        <v>4</v>
      </c>
      <c r="D1431" s="59" t="s">
        <v>2594</v>
      </c>
      <c r="E1431" s="85">
        <v>40659.398043981484</v>
      </c>
      <c r="F1431" s="85"/>
      <c r="G1431" s="64" t="str">
        <f>IF(stdProdLT(Main[[#This Row],[Comments]])=0.1,"N/A",IF(stdProdLT(Main[[#This Row],[Comments]])=0,"",TRIM(stdProdLT(Main[[#This Row],[Comments]]))))</f>
        <v/>
      </c>
      <c r="H1431" s="94" t="str">
        <f>IF(OR(Main[[#This Row],[Std. Prod. Lead Time]]="N/A",Main[[#This Row],[Std. Prod. Lead Time]]=""), "",IF(AND(Main[[#This Row],[In Stock Date]]&lt;&gt;"",Main[[#This Row],[Revised Due Date]]&lt;&gt;"",Main[[#This Row],[In Stock Date]]&lt;&gt;""),Main[[#This Row],[In Stock Date]]-Main[[#This Row],[Revised Due Date]],""))</f>
        <v/>
      </c>
      <c r="I1431" s="101" t="s">
        <v>969</v>
      </c>
      <c r="J1431" s="95" t="s">
        <v>28</v>
      </c>
      <c r="K1431" s="95" t="s">
        <v>1923</v>
      </c>
      <c r="L1431" s="85">
        <v>40665</v>
      </c>
      <c r="M1431" s="73" t="str">
        <f>IF(Main[[#This Row],[Tech Start Date]]&lt;1/1/1990,"",IF(Main[[#This Row],[Class]]="C",WORKDAY(Main[[#This Row],[Tech Start Date]],9),IF(Main[[#This Row],[Class]]="B", WORKDAY(Main[[#This Row],[Tech Start Date]],6),IF(Main[[#This Row],[Class]]="A",WORKDAY(Main[[#This Row],[Tech Start Date]],2),""))))</f>
        <v/>
      </c>
      <c r="N1431" s="73" t="str">
        <f>IF(Main[[#This Row],[Tech Start Date]]&lt;1/1/1990,"",IF(Main[[#This Row],[Class]]="C",WORKDAY(Main[[#This Row],[Tech Start Date]],19),IF(Main[[#This Row],[Class]]="B", WORKDAY(Main[[#This Row],[Tech Start Date]],12),IF(Main[[#This Row],[Class]]="A",WORKDAY(Main[[#This Row],[Tech Start Date]],4),""))))</f>
        <v/>
      </c>
      <c r="O1431" s="73" t="str">
        <f>IF(Main[[#This Row],[Tech Start Date]]&lt;1/1/1990,"",IF(Main[[#This Row],[Class]]="C",WORKDAY(Main[[#This Row],[Tech Start Date]],23),IF(Main[[#This Row],[Class]]="B", WORKDAY(Main[[#This Row],[Tech Start Date]],15),IF(Main[[#This Row],[Class]]="A",WORKDAY(Main[[#This Row],[Tech Start Date]],5),""))))</f>
        <v/>
      </c>
      <c r="P1431" s="73" t="str">
        <f>IF(Main[[#This Row],[Tech Start Date]]&lt;1/1/1990,"",IF(Main[[#This Row],[Class]]="C",WORKDAY(Main[[#This Row],[Tech Start Date]],28),IF(Main[[#This Row],[Class]]="B", WORKDAY(Main[[#This Row],[Tech Start Date]],19),IF(Main[[#This Row],[Class]]="A",WORKDAY(Main[[#This Row],[Tech Start Date]],9),""))))</f>
        <v/>
      </c>
      <c r="Q1431" s="85">
        <v>40877</v>
      </c>
      <c r="R1431" s="112">
        <v>40900</v>
      </c>
      <c r="S1431" s="95" t="s">
        <v>17</v>
      </c>
      <c r="T1431" s="74" t="s">
        <v>2595</v>
      </c>
      <c r="U1431" s="95" t="s">
        <v>29</v>
      </c>
      <c r="V1431" s="95" t="s">
        <v>1911</v>
      </c>
      <c r="W1431" s="95" t="s">
        <v>1915</v>
      </c>
      <c r="X1431" s="95" t="s">
        <v>907</v>
      </c>
      <c r="Y1431" s="72" t="s">
        <v>2995</v>
      </c>
      <c r="Z1431" s="72" t="s">
        <v>877</v>
      </c>
      <c r="AA1431" s="95" t="s">
        <v>907</v>
      </c>
      <c r="AB1431" s="132"/>
      <c r="AC1431" s="132"/>
      <c r="AD1431" s="132"/>
      <c r="AE1431" s="63"/>
      <c r="AF1431" s="63"/>
      <c r="AG1431" s="63"/>
    </row>
    <row r="1432" spans="1:33" ht="17.2" customHeight="1">
      <c r="A1432" s="64" t="str">
        <f>IF(priority(Main[[#This Row],[Comments]])&lt;&gt;0, priority(Main[[#This Row],[Comments]]),"")</f>
        <v/>
      </c>
      <c r="B1432" s="60" t="s">
        <v>1880</v>
      </c>
      <c r="C1432" s="72" t="s">
        <v>113</v>
      </c>
      <c r="D1432" s="59" t="s">
        <v>2597</v>
      </c>
      <c r="E1432" s="85">
        <v>40596.601666666669</v>
      </c>
      <c r="F1432" s="85">
        <v>40605</v>
      </c>
      <c r="G1432" s="64" t="str">
        <f>IF(stdProdLT(Main[[#This Row],[Comments]])=0.1,"N/A",IF(stdProdLT(Main[[#This Row],[Comments]])=0,"",TRIM(stdProdLT(Main[[#This Row],[Comments]]))))</f>
        <v/>
      </c>
      <c r="H1432" s="94" t="str">
        <f>IF(OR(Main[[#This Row],[Std. Prod. Lead Time]]="N/A",Main[[#This Row],[Std. Prod. Lead Time]]=""), "",IF(AND(Main[[#This Row],[In Stock Date]]&lt;&gt;"",Main[[#This Row],[Revised Due Date]]&lt;&gt;"",Main[[#This Row],[In Stock Date]]&lt;&gt;""),Main[[#This Row],[In Stock Date]]-Main[[#This Row],[Revised Due Date]],""))</f>
        <v/>
      </c>
      <c r="I1432" s="101" t="s">
        <v>4</v>
      </c>
      <c r="J1432" s="95" t="s">
        <v>52</v>
      </c>
      <c r="K1432" s="96" t="s">
        <v>1924</v>
      </c>
      <c r="L1432" s="85">
        <v>40666</v>
      </c>
      <c r="M1432" s="73">
        <f>IF(Main[[#This Row],[Tech Start Date]]&lt;1/1/1990,"",IF(Main[[#This Row],[Class]]="C",WORKDAY(Main[[#This Row],[Tech Start Date]],9),IF(Main[[#This Row],[Class]]="B", WORKDAY(Main[[#This Row],[Tech Start Date]],6),IF(Main[[#This Row],[Class]]="A",WORKDAY(Main[[#This Row],[Tech Start Date]],2),""))))</f>
        <v>40679</v>
      </c>
      <c r="N1432" s="73">
        <f>IF(Main[[#This Row],[Tech Start Date]]&lt;1/1/1990,"",IF(Main[[#This Row],[Class]]="C",WORKDAY(Main[[#This Row],[Tech Start Date]],19),IF(Main[[#This Row],[Class]]="B", WORKDAY(Main[[#This Row],[Tech Start Date]],12),IF(Main[[#This Row],[Class]]="A",WORKDAY(Main[[#This Row],[Tech Start Date]],4),""))))</f>
        <v>40693</v>
      </c>
      <c r="O1432" s="73">
        <f>IF(Main[[#This Row],[Tech Start Date]]&lt;1/1/1990,"",IF(Main[[#This Row],[Class]]="C",WORKDAY(Main[[#This Row],[Tech Start Date]],23),IF(Main[[#This Row],[Class]]="B", WORKDAY(Main[[#This Row],[Tech Start Date]],15),IF(Main[[#This Row],[Class]]="A",WORKDAY(Main[[#This Row],[Tech Start Date]],5),""))))</f>
        <v>40697</v>
      </c>
      <c r="P1432" s="73">
        <f>IF(Main[[#This Row],[Tech Start Date]]&lt;1/1/1990,"",IF(Main[[#This Row],[Class]]="C",WORKDAY(Main[[#This Row],[Tech Start Date]],28),IF(Main[[#This Row],[Class]]="B", WORKDAY(Main[[#This Row],[Tech Start Date]],19),IF(Main[[#This Row],[Class]]="A",WORKDAY(Main[[#This Row],[Tech Start Date]],9),""))))</f>
        <v>40704</v>
      </c>
      <c r="Q1432" s="85">
        <v>40701</v>
      </c>
      <c r="R1432" s="112"/>
      <c r="S1432" s="95" t="s">
        <v>17</v>
      </c>
      <c r="T1432" s="74" t="s">
        <v>1996</v>
      </c>
      <c r="U1432" s="95" t="s">
        <v>29</v>
      </c>
      <c r="V1432" s="95" t="s">
        <v>1911</v>
      </c>
      <c r="W1432" s="95" t="s">
        <v>1922</v>
      </c>
      <c r="X1432" s="95" t="s">
        <v>2841</v>
      </c>
      <c r="Y1432" s="72" t="s">
        <v>2983</v>
      </c>
      <c r="Z1432" s="72" t="s">
        <v>129</v>
      </c>
      <c r="AA1432" s="95" t="s">
        <v>2841</v>
      </c>
      <c r="AB1432" s="132"/>
      <c r="AC1432" s="132"/>
      <c r="AD1432" s="132"/>
      <c r="AE1432" s="63"/>
      <c r="AF1432" s="63"/>
      <c r="AG1432" s="63"/>
    </row>
    <row r="1433" spans="1:33" ht="17.2" customHeight="1">
      <c r="A1433" s="64" t="str">
        <f>IF(priority(Main[[#This Row],[Comments]])&lt;&gt;0, priority(Main[[#This Row],[Comments]]),"")</f>
        <v/>
      </c>
      <c r="B1433" s="60" t="s">
        <v>1882</v>
      </c>
      <c r="C1433" s="72" t="s">
        <v>939</v>
      </c>
      <c r="D1433" s="59" t="s">
        <v>2773</v>
      </c>
      <c r="E1433" s="85">
        <v>40617.624050925922</v>
      </c>
      <c r="F1433" s="85">
        <v>40967</v>
      </c>
      <c r="G1433" s="64" t="str">
        <f>IF(stdProdLT(Main[[#This Row],[Comments]])=0.1,"N/A",IF(stdProdLT(Main[[#This Row],[Comments]])=0,"",TRIM(stdProdLT(Main[[#This Row],[Comments]]))))</f>
        <v>112</v>
      </c>
      <c r="H1433" s="94" t="str">
        <f>IF(OR(Main[[#This Row],[Std. Prod. Lead Time]]="N/A",Main[[#This Row],[Std. Prod. Lead Time]]=""), "",IF(AND(Main[[#This Row],[In Stock Date]]&lt;&gt;"",Main[[#This Row],[Revised Due Date]]&lt;&gt;"",Main[[#This Row],[In Stock Date]]&lt;&gt;""),Main[[#This Row],[In Stock Date]]-Main[[#This Row],[Revised Due Date]],""))</f>
        <v/>
      </c>
      <c r="I1433" s="101" t="s">
        <v>561</v>
      </c>
      <c r="J1433" s="95" t="s">
        <v>28</v>
      </c>
      <c r="K1433" s="96" t="s">
        <v>1924</v>
      </c>
      <c r="L1433" s="85">
        <v>40666</v>
      </c>
      <c r="M1433" s="73">
        <f>IF(Main[[#This Row],[Tech Start Date]]&lt;1/1/1990,"",IF(Main[[#This Row],[Class]]="C",WORKDAY(Main[[#This Row],[Tech Start Date]],9),IF(Main[[#This Row],[Class]]="B", WORKDAY(Main[[#This Row],[Tech Start Date]],6),IF(Main[[#This Row],[Class]]="A",WORKDAY(Main[[#This Row],[Tech Start Date]],2),""))))</f>
        <v>40679</v>
      </c>
      <c r="N1433" s="73">
        <f>IF(Main[[#This Row],[Tech Start Date]]&lt;1/1/1990,"",IF(Main[[#This Row],[Class]]="C",WORKDAY(Main[[#This Row],[Tech Start Date]],19),IF(Main[[#This Row],[Class]]="B", WORKDAY(Main[[#This Row],[Tech Start Date]],12),IF(Main[[#This Row],[Class]]="A",WORKDAY(Main[[#This Row],[Tech Start Date]],4),""))))</f>
        <v>40693</v>
      </c>
      <c r="O1433" s="73">
        <f>IF(Main[[#This Row],[Tech Start Date]]&lt;1/1/1990,"",IF(Main[[#This Row],[Class]]="C",WORKDAY(Main[[#This Row],[Tech Start Date]],23),IF(Main[[#This Row],[Class]]="B", WORKDAY(Main[[#This Row],[Tech Start Date]],15),IF(Main[[#This Row],[Class]]="A",WORKDAY(Main[[#This Row],[Tech Start Date]],5),""))))</f>
        <v>40697</v>
      </c>
      <c r="P1433" s="73">
        <f>IF(Main[[#This Row],[Tech Start Date]]&lt;1/1/1990,"",IF(Main[[#This Row],[Class]]="C",WORKDAY(Main[[#This Row],[Tech Start Date]],28),IF(Main[[#This Row],[Class]]="B", WORKDAY(Main[[#This Row],[Tech Start Date]],19),IF(Main[[#This Row],[Class]]="A",WORKDAY(Main[[#This Row],[Tech Start Date]],9),""))))</f>
        <v>40704</v>
      </c>
      <c r="Q1433" s="85">
        <v>40767</v>
      </c>
      <c r="R1433" s="112"/>
      <c r="S1433" s="95" t="s">
        <v>11</v>
      </c>
      <c r="T1433" s="74" t="s">
        <v>3510</v>
      </c>
      <c r="U1433" s="95" t="s">
        <v>534</v>
      </c>
      <c r="V1433" s="95" t="s">
        <v>1911</v>
      </c>
      <c r="W1433" s="95" t="s">
        <v>1919</v>
      </c>
      <c r="X1433" s="95" t="s">
        <v>2900</v>
      </c>
      <c r="Y1433" s="72" t="s">
        <v>3127</v>
      </c>
      <c r="Z1433" s="72" t="s">
        <v>129</v>
      </c>
      <c r="AA1433" s="95" t="s">
        <v>2900</v>
      </c>
      <c r="AB1433" s="132"/>
      <c r="AC1433" s="132"/>
      <c r="AD1433" s="132"/>
      <c r="AE1433" s="63"/>
      <c r="AF1433" s="63"/>
      <c r="AG1433" s="63"/>
    </row>
    <row r="1434" spans="1:33" ht="17.2" customHeight="1">
      <c r="A1434" s="64" t="str">
        <f>IF(priority(Main[[#This Row],[Comments]])&lt;&gt;0, priority(Main[[#This Row],[Comments]]),"")</f>
        <v/>
      </c>
      <c r="B1434" s="60" t="s">
        <v>1881</v>
      </c>
      <c r="C1434" s="72" t="s">
        <v>935</v>
      </c>
      <c r="D1434" s="59" t="s">
        <v>936</v>
      </c>
      <c r="E1434" s="85"/>
      <c r="F1434" s="85">
        <v>40701</v>
      </c>
      <c r="G1434" s="64" t="str">
        <f>IF(stdProdLT(Main[[#This Row],[Comments]])=0.1,"N/A",IF(stdProdLT(Main[[#This Row],[Comments]])=0,"",TRIM(stdProdLT(Main[[#This Row],[Comments]]))))</f>
        <v/>
      </c>
      <c r="H1434" s="94" t="str">
        <f>IF(OR(Main[[#This Row],[Std. Prod. Lead Time]]="N/A",Main[[#This Row],[Std. Prod. Lead Time]]=""), "",IF(AND(Main[[#This Row],[In Stock Date]]&lt;&gt;"",Main[[#This Row],[Revised Due Date]]&lt;&gt;"",Main[[#This Row],[In Stock Date]]&lt;&gt;""),Main[[#This Row],[In Stock Date]]-Main[[#This Row],[Revised Due Date]],""))</f>
        <v/>
      </c>
      <c r="I1434" s="101" t="s">
        <v>937</v>
      </c>
      <c r="J1434" s="95" t="s">
        <v>28</v>
      </c>
      <c r="K1434" s="95" t="s">
        <v>1924</v>
      </c>
      <c r="L1434" s="85">
        <v>40666</v>
      </c>
      <c r="M1434" s="73">
        <f>IF(Main[[#This Row],[Tech Start Date]]&lt;1/1/1990,"",IF(Main[[#This Row],[Class]]="C",WORKDAY(Main[[#This Row],[Tech Start Date]],9),IF(Main[[#This Row],[Class]]="B", WORKDAY(Main[[#This Row],[Tech Start Date]],6),IF(Main[[#This Row],[Class]]="A",WORKDAY(Main[[#This Row],[Tech Start Date]],2),""))))</f>
        <v>40679</v>
      </c>
      <c r="N1434" s="73">
        <f>IF(Main[[#This Row],[Tech Start Date]]&lt;1/1/1990,"",IF(Main[[#This Row],[Class]]="C",WORKDAY(Main[[#This Row],[Tech Start Date]],19),IF(Main[[#This Row],[Class]]="B", WORKDAY(Main[[#This Row],[Tech Start Date]],12),IF(Main[[#This Row],[Class]]="A",WORKDAY(Main[[#This Row],[Tech Start Date]],4),""))))</f>
        <v>40693</v>
      </c>
      <c r="O1434" s="73">
        <f>IF(Main[[#This Row],[Tech Start Date]]&lt;1/1/1990,"",IF(Main[[#This Row],[Class]]="C",WORKDAY(Main[[#This Row],[Tech Start Date]],23),IF(Main[[#This Row],[Class]]="B", WORKDAY(Main[[#This Row],[Tech Start Date]],15),IF(Main[[#This Row],[Class]]="A",WORKDAY(Main[[#This Row],[Tech Start Date]],5),""))))</f>
        <v>40697</v>
      </c>
      <c r="P1434" s="73">
        <f>IF(Main[[#This Row],[Tech Start Date]]&lt;1/1/1990,"",IF(Main[[#This Row],[Class]]="C",WORKDAY(Main[[#This Row],[Tech Start Date]],28),IF(Main[[#This Row],[Class]]="B", WORKDAY(Main[[#This Row],[Tech Start Date]],19),IF(Main[[#This Row],[Class]]="A",WORKDAY(Main[[#This Row],[Tech Start Date]],9),""))))</f>
        <v>40704</v>
      </c>
      <c r="Q1434" s="85">
        <v>40701</v>
      </c>
      <c r="R1434" s="112">
        <v>40701</v>
      </c>
      <c r="S1434" s="95" t="s">
        <v>11</v>
      </c>
      <c r="T1434" s="74" t="s">
        <v>938</v>
      </c>
      <c r="U1434" s="95" t="s">
        <v>14</v>
      </c>
      <c r="V1434" s="95" t="s">
        <v>1911</v>
      </c>
      <c r="W1434" s="95" t="s">
        <v>1916</v>
      </c>
      <c r="X1434" s="95" t="s">
        <v>2834</v>
      </c>
      <c r="Y1434" s="72" t="s">
        <v>3128</v>
      </c>
      <c r="Z1434" s="72" t="s">
        <v>129</v>
      </c>
      <c r="AA1434" s="95" t="s">
        <v>2834</v>
      </c>
      <c r="AB1434" s="132"/>
      <c r="AC1434" s="132"/>
      <c r="AD1434" s="132"/>
      <c r="AE1434" s="63"/>
      <c r="AF1434" s="63"/>
      <c r="AG1434" s="63"/>
    </row>
    <row r="1435" spans="1:33" ht="17.2" customHeight="1">
      <c r="A1435" s="64" t="str">
        <f>IF(priority(Main[[#This Row],[Comments]])&lt;&gt;0, priority(Main[[#This Row],[Comments]]),"")</f>
        <v/>
      </c>
      <c r="B1435" s="60" t="s">
        <v>1687</v>
      </c>
      <c r="C1435" s="72" t="s">
        <v>518</v>
      </c>
      <c r="D1435" s="59" t="s">
        <v>744</v>
      </c>
      <c r="E1435" s="85">
        <v>40661.601064814815</v>
      </c>
      <c r="F1435" s="85">
        <v>40862</v>
      </c>
      <c r="G1435" s="64" t="str">
        <f>IF(stdProdLT(Main[[#This Row],[Comments]])=0.1,"N/A",IF(stdProdLT(Main[[#This Row],[Comments]])=0,"",TRIM(stdProdLT(Main[[#This Row],[Comments]]))))</f>
        <v/>
      </c>
      <c r="H1435" s="94" t="str">
        <f>IF(OR(Main[[#This Row],[Std. Prod. Lead Time]]="N/A",Main[[#This Row],[Std. Prod. Lead Time]]=""), "",IF(AND(Main[[#This Row],[In Stock Date]]&lt;&gt;"",Main[[#This Row],[Revised Due Date]]&lt;&gt;"",Main[[#This Row],[In Stock Date]]&lt;&gt;""),Main[[#This Row],[In Stock Date]]-Main[[#This Row],[Revised Due Date]],""))</f>
        <v/>
      </c>
      <c r="I1435" s="101" t="s">
        <v>745</v>
      </c>
      <c r="J1435" s="95" t="s">
        <v>28</v>
      </c>
      <c r="K1435" s="95" t="s">
        <v>1923</v>
      </c>
      <c r="L1435" s="85">
        <v>40668</v>
      </c>
      <c r="M1435" s="73" t="str">
        <f>IF(Main[[#This Row],[Tech Start Date]]&lt;1/1/1990,"",IF(Main[[#This Row],[Class]]="C",WORKDAY(Main[[#This Row],[Tech Start Date]],9),IF(Main[[#This Row],[Class]]="B", WORKDAY(Main[[#This Row],[Tech Start Date]],6),IF(Main[[#This Row],[Class]]="A",WORKDAY(Main[[#This Row],[Tech Start Date]],2),""))))</f>
        <v/>
      </c>
      <c r="N1435" s="73" t="str">
        <f>IF(Main[[#This Row],[Tech Start Date]]&lt;1/1/1990,"",IF(Main[[#This Row],[Class]]="C",WORKDAY(Main[[#This Row],[Tech Start Date]],19),IF(Main[[#This Row],[Class]]="B", WORKDAY(Main[[#This Row],[Tech Start Date]],12),IF(Main[[#This Row],[Class]]="A",WORKDAY(Main[[#This Row],[Tech Start Date]],4),""))))</f>
        <v/>
      </c>
      <c r="O1435" s="73" t="str">
        <f>IF(Main[[#This Row],[Tech Start Date]]&lt;1/1/1990,"",IF(Main[[#This Row],[Class]]="C",WORKDAY(Main[[#This Row],[Tech Start Date]],23),IF(Main[[#This Row],[Class]]="B", WORKDAY(Main[[#This Row],[Tech Start Date]],15),IF(Main[[#This Row],[Class]]="A",WORKDAY(Main[[#This Row],[Tech Start Date]],5),""))))</f>
        <v/>
      </c>
      <c r="P1435" s="73" t="str">
        <f>IF(Main[[#This Row],[Tech Start Date]]&lt;1/1/1990,"",IF(Main[[#This Row],[Class]]="C",WORKDAY(Main[[#This Row],[Tech Start Date]],28),IF(Main[[#This Row],[Class]]="B", WORKDAY(Main[[#This Row],[Tech Start Date]],19),IF(Main[[#This Row],[Class]]="A",WORKDAY(Main[[#This Row],[Tech Start Date]],9),""))))</f>
        <v/>
      </c>
      <c r="Q1435" s="85">
        <v>40739</v>
      </c>
      <c r="R1435" s="112">
        <v>40861</v>
      </c>
      <c r="S1435" s="95" t="s">
        <v>17</v>
      </c>
      <c r="T1435" s="74" t="s">
        <v>4</v>
      </c>
      <c r="U1435" s="95" t="s">
        <v>29</v>
      </c>
      <c r="V1435" s="95" t="s">
        <v>1914</v>
      </c>
      <c r="W1435" s="95" t="s">
        <v>1916</v>
      </c>
      <c r="X1435" s="95" t="s">
        <v>553</v>
      </c>
      <c r="Y1435" s="72" t="s">
        <v>3129</v>
      </c>
      <c r="Z1435" s="72" t="s">
        <v>968</v>
      </c>
      <c r="AA1435" s="95" t="s">
        <v>3433</v>
      </c>
      <c r="AB1435" s="132"/>
      <c r="AC1435" s="132"/>
      <c r="AD1435" s="132"/>
      <c r="AE1435" s="63"/>
      <c r="AF1435" s="63"/>
      <c r="AG1435" s="63"/>
    </row>
    <row r="1436" spans="1:33" ht="17.2" customHeight="1">
      <c r="A1436" s="64" t="str">
        <f>IF(priority(Main[[#This Row],[Comments]])&lt;&gt;0, priority(Main[[#This Row],[Comments]]),"")</f>
        <v/>
      </c>
      <c r="B1436" s="60" t="s">
        <v>1879</v>
      </c>
      <c r="C1436" s="72" t="s">
        <v>4</v>
      </c>
      <c r="D1436" s="59" t="s">
        <v>934</v>
      </c>
      <c r="E1436" s="85"/>
      <c r="F1436" s="85"/>
      <c r="G1436" s="64" t="str">
        <f>IF(stdProdLT(Main[[#This Row],[Comments]])=0.1,"N/A",IF(stdProdLT(Main[[#This Row],[Comments]])=0,"",TRIM(stdProdLT(Main[[#This Row],[Comments]]))))</f>
        <v/>
      </c>
      <c r="H1436" s="94" t="str">
        <f>IF(OR(Main[[#This Row],[Std. Prod. Lead Time]]="N/A",Main[[#This Row],[Std. Prod. Lead Time]]=""), "",IF(AND(Main[[#This Row],[In Stock Date]]&lt;&gt;"",Main[[#This Row],[Revised Due Date]]&lt;&gt;"",Main[[#This Row],[In Stock Date]]&lt;&gt;""),Main[[#This Row],[In Stock Date]]-Main[[#This Row],[Revised Due Date]],""))</f>
        <v/>
      </c>
      <c r="I1436" s="101" t="s">
        <v>30</v>
      </c>
      <c r="J1436" s="95" t="s">
        <v>28</v>
      </c>
      <c r="K1436" s="95" t="s">
        <v>1920</v>
      </c>
      <c r="L1436" s="85">
        <v>40686</v>
      </c>
      <c r="M1436" s="73">
        <f>IF(Main[[#This Row],[Tech Start Date]]&lt;1/1/1990,"",IF(Main[[#This Row],[Class]]="C",WORKDAY(Main[[#This Row],[Tech Start Date]],9),IF(Main[[#This Row],[Class]]="B", WORKDAY(Main[[#This Row],[Tech Start Date]],6),IF(Main[[#This Row],[Class]]="A",WORKDAY(Main[[#This Row],[Tech Start Date]],2),""))))</f>
        <v>40688</v>
      </c>
      <c r="N1436" s="73">
        <f>IF(Main[[#This Row],[Tech Start Date]]&lt;1/1/1990,"",IF(Main[[#This Row],[Class]]="C",WORKDAY(Main[[#This Row],[Tech Start Date]],19),IF(Main[[#This Row],[Class]]="B", WORKDAY(Main[[#This Row],[Tech Start Date]],12),IF(Main[[#This Row],[Class]]="A",WORKDAY(Main[[#This Row],[Tech Start Date]],4),""))))</f>
        <v>40690</v>
      </c>
      <c r="O1436" s="73">
        <f>IF(Main[[#This Row],[Tech Start Date]]&lt;1/1/1990,"",IF(Main[[#This Row],[Class]]="C",WORKDAY(Main[[#This Row],[Tech Start Date]],23),IF(Main[[#This Row],[Class]]="B", WORKDAY(Main[[#This Row],[Tech Start Date]],15),IF(Main[[#This Row],[Class]]="A",WORKDAY(Main[[#This Row],[Tech Start Date]],5),""))))</f>
        <v>40693</v>
      </c>
      <c r="P1436" s="73">
        <f>IF(Main[[#This Row],[Tech Start Date]]&lt;1/1/1990,"",IF(Main[[#This Row],[Class]]="C",WORKDAY(Main[[#This Row],[Tech Start Date]],28),IF(Main[[#This Row],[Class]]="B", WORKDAY(Main[[#This Row],[Tech Start Date]],19),IF(Main[[#This Row],[Class]]="A",WORKDAY(Main[[#This Row],[Tech Start Date]],9),""))))</f>
        <v>40697</v>
      </c>
      <c r="Q1436" s="85">
        <v>40669</v>
      </c>
      <c r="R1436" s="112">
        <v>40700</v>
      </c>
      <c r="S1436" s="95" t="s">
        <v>6</v>
      </c>
      <c r="T1436" s="74" t="s">
        <v>4</v>
      </c>
      <c r="U1436" s="95" t="s">
        <v>14</v>
      </c>
      <c r="V1436" s="95" t="s">
        <v>1914</v>
      </c>
      <c r="W1436" s="95" t="s">
        <v>1913</v>
      </c>
      <c r="X1436" s="95" t="s">
        <v>2799</v>
      </c>
      <c r="Y1436" s="72" t="s">
        <v>2910</v>
      </c>
      <c r="Z1436" s="72" t="s">
        <v>530</v>
      </c>
      <c r="AA1436" s="95" t="s">
        <v>2799</v>
      </c>
      <c r="AB1436" s="132"/>
      <c r="AC1436" s="132"/>
      <c r="AD1436" s="132"/>
      <c r="AE1436" s="63"/>
      <c r="AF1436" s="63"/>
      <c r="AG1436" s="63"/>
    </row>
    <row r="1437" spans="1:33" ht="17.2" customHeight="1">
      <c r="A1437" s="64" t="str">
        <f>IF(priority(Main[[#This Row],[Comments]])&lt;&gt;0, priority(Main[[#This Row],[Comments]]),"")</f>
        <v/>
      </c>
      <c r="B1437" s="60" t="s">
        <v>1211</v>
      </c>
      <c r="C1437" s="72" t="s">
        <v>4</v>
      </c>
      <c r="D1437" s="59" t="s">
        <v>271</v>
      </c>
      <c r="E1437" s="85">
        <v>40683.573206018518</v>
      </c>
      <c r="F1437" s="85"/>
      <c r="G1437" s="64" t="str">
        <f>IF(stdProdLT(Main[[#This Row],[Comments]])=0.1,"N/A",IF(stdProdLT(Main[[#This Row],[Comments]])=0,"",TRIM(stdProdLT(Main[[#This Row],[Comments]]))))</f>
        <v/>
      </c>
      <c r="H1437" s="94" t="str">
        <f>IF(OR(Main[[#This Row],[Std. Prod. Lead Time]]="N/A",Main[[#This Row],[Std. Prod. Lead Time]]=""), "",IF(AND(Main[[#This Row],[In Stock Date]]&lt;&gt;"",Main[[#This Row],[Revised Due Date]]&lt;&gt;"",Main[[#This Row],[In Stock Date]]&lt;&gt;""),Main[[#This Row],[In Stock Date]]-Main[[#This Row],[Revised Due Date]],""))</f>
        <v/>
      </c>
      <c r="I1437" s="101" t="s">
        <v>272</v>
      </c>
      <c r="J1437" s="95" t="s">
        <v>28</v>
      </c>
      <c r="K1437" s="95" t="s">
        <v>1923</v>
      </c>
      <c r="L1437" s="85">
        <v>40687</v>
      </c>
      <c r="M1437" s="73" t="str">
        <f>IF(Main[[#This Row],[Tech Start Date]]&lt;1/1/1990,"",IF(Main[[#This Row],[Class]]="C",WORKDAY(Main[[#This Row],[Tech Start Date]],9),IF(Main[[#This Row],[Class]]="B", WORKDAY(Main[[#This Row],[Tech Start Date]],6),IF(Main[[#This Row],[Class]]="A",WORKDAY(Main[[#This Row],[Tech Start Date]],2),""))))</f>
        <v/>
      </c>
      <c r="N1437" s="73" t="str">
        <f>IF(Main[[#This Row],[Tech Start Date]]&lt;1/1/1990,"",IF(Main[[#This Row],[Class]]="C",WORKDAY(Main[[#This Row],[Tech Start Date]],19),IF(Main[[#This Row],[Class]]="B", WORKDAY(Main[[#This Row],[Tech Start Date]],12),IF(Main[[#This Row],[Class]]="A",WORKDAY(Main[[#This Row],[Tech Start Date]],4),""))))</f>
        <v/>
      </c>
      <c r="O1437" s="73" t="str">
        <f>IF(Main[[#This Row],[Tech Start Date]]&lt;1/1/1990,"",IF(Main[[#This Row],[Class]]="C",WORKDAY(Main[[#This Row],[Tech Start Date]],23),IF(Main[[#This Row],[Class]]="B", WORKDAY(Main[[#This Row],[Tech Start Date]],15),IF(Main[[#This Row],[Class]]="A",WORKDAY(Main[[#This Row],[Tech Start Date]],5),""))))</f>
        <v/>
      </c>
      <c r="P1437" s="73" t="str">
        <f>IF(Main[[#This Row],[Tech Start Date]]&lt;1/1/1990,"",IF(Main[[#This Row],[Class]]="C",WORKDAY(Main[[#This Row],[Tech Start Date]],28),IF(Main[[#This Row],[Class]]="B", WORKDAY(Main[[#This Row],[Tech Start Date]],19),IF(Main[[#This Row],[Class]]="A",WORKDAY(Main[[#This Row],[Tech Start Date]],9),""))))</f>
        <v/>
      </c>
      <c r="Q1437" s="85">
        <v>41274</v>
      </c>
      <c r="R1437" s="112">
        <v>41241</v>
      </c>
      <c r="S1437" s="95" t="s">
        <v>17</v>
      </c>
      <c r="T1437" s="74" t="s">
        <v>4</v>
      </c>
      <c r="U1437" s="95" t="s">
        <v>29</v>
      </c>
      <c r="V1437" s="95" t="s">
        <v>1914</v>
      </c>
      <c r="W1437" s="95" t="s">
        <v>1916</v>
      </c>
      <c r="X1437" s="95" t="s">
        <v>553</v>
      </c>
      <c r="Y1437" s="72" t="s">
        <v>2930</v>
      </c>
      <c r="Z1437" s="72" t="s">
        <v>968</v>
      </c>
      <c r="AA1437" s="95" t="s">
        <v>553</v>
      </c>
      <c r="AB1437" s="132"/>
      <c r="AC1437" s="132"/>
      <c r="AD1437" s="132"/>
      <c r="AE1437" s="63"/>
      <c r="AF1437" s="63"/>
      <c r="AG1437" s="63"/>
    </row>
    <row r="1438" spans="1:33" ht="17.2" customHeight="1">
      <c r="A1438" s="64" t="str">
        <f>IF(priority(Main[[#This Row],[Comments]])&lt;&gt;0, priority(Main[[#This Row],[Comments]]),"")</f>
        <v/>
      </c>
      <c r="B1438" s="60" t="s">
        <v>1903</v>
      </c>
      <c r="C1438" s="72" t="s">
        <v>122</v>
      </c>
      <c r="D1438" s="59" t="s">
        <v>1951</v>
      </c>
      <c r="E1438" s="85">
        <v>40703.615451388891</v>
      </c>
      <c r="F1438" s="85">
        <v>40907</v>
      </c>
      <c r="G1438" s="64" t="str">
        <f>IF(stdProdLT(Main[[#This Row],[Comments]])=0.1,"N/A",IF(stdProdLT(Main[[#This Row],[Comments]])=0,"",TRIM(stdProdLT(Main[[#This Row],[Comments]]))))</f>
        <v/>
      </c>
      <c r="H1438" s="94" t="str">
        <f>IF(OR(Main[[#This Row],[Std. Prod. Lead Time]]="N/A",Main[[#This Row],[Std. Prod. Lead Time]]=""), "",IF(AND(Main[[#This Row],[In Stock Date]]&lt;&gt;"",Main[[#This Row],[Revised Due Date]]&lt;&gt;"",Main[[#This Row],[In Stock Date]]&lt;&gt;""),Main[[#This Row],[In Stock Date]]-Main[[#This Row],[Revised Due Date]],""))</f>
        <v/>
      </c>
      <c r="I1438" s="101" t="s">
        <v>956</v>
      </c>
      <c r="J1438" s="95" t="s">
        <v>28</v>
      </c>
      <c r="K1438" s="95" t="s">
        <v>1923</v>
      </c>
      <c r="L1438" s="85">
        <v>40703</v>
      </c>
      <c r="M1438" s="73" t="str">
        <f>IF(Main[[#This Row],[Tech Start Date]]&lt;1/1/1990,"",IF(Main[[#This Row],[Class]]="C",WORKDAY(Main[[#This Row],[Tech Start Date]],9),IF(Main[[#This Row],[Class]]="B", WORKDAY(Main[[#This Row],[Tech Start Date]],6),IF(Main[[#This Row],[Class]]="A",WORKDAY(Main[[#This Row],[Tech Start Date]],2),""))))</f>
        <v/>
      </c>
      <c r="N1438" s="73" t="str">
        <f>IF(Main[[#This Row],[Tech Start Date]]&lt;1/1/1990,"",IF(Main[[#This Row],[Class]]="C",WORKDAY(Main[[#This Row],[Tech Start Date]],19),IF(Main[[#This Row],[Class]]="B", WORKDAY(Main[[#This Row],[Tech Start Date]],12),IF(Main[[#This Row],[Class]]="A",WORKDAY(Main[[#This Row],[Tech Start Date]],4),""))))</f>
        <v/>
      </c>
      <c r="O1438" s="73" t="str">
        <f>IF(Main[[#This Row],[Tech Start Date]]&lt;1/1/1990,"",IF(Main[[#This Row],[Class]]="C",WORKDAY(Main[[#This Row],[Tech Start Date]],23),IF(Main[[#This Row],[Class]]="B", WORKDAY(Main[[#This Row],[Tech Start Date]],15),IF(Main[[#This Row],[Class]]="A",WORKDAY(Main[[#This Row],[Tech Start Date]],5),""))))</f>
        <v/>
      </c>
      <c r="P1438" s="73" t="str">
        <f>IF(Main[[#This Row],[Tech Start Date]]&lt;1/1/1990,"",IF(Main[[#This Row],[Class]]="C",WORKDAY(Main[[#This Row],[Tech Start Date]],28),IF(Main[[#This Row],[Class]]="B", WORKDAY(Main[[#This Row],[Tech Start Date]],19),IF(Main[[#This Row],[Class]]="A",WORKDAY(Main[[#This Row],[Tech Start Date]],9),""))))</f>
        <v/>
      </c>
      <c r="Q1438" s="85">
        <v>40864</v>
      </c>
      <c r="R1438" s="112">
        <v>40907</v>
      </c>
      <c r="S1438" s="95" t="s">
        <v>17</v>
      </c>
      <c r="T1438" s="74" t="s">
        <v>1952</v>
      </c>
      <c r="U1438" s="95" t="s">
        <v>29</v>
      </c>
      <c r="V1438" s="95" t="s">
        <v>1912</v>
      </c>
      <c r="W1438" s="95" t="s">
        <v>1922</v>
      </c>
      <c r="X1438" s="95" t="s">
        <v>956</v>
      </c>
      <c r="Y1438" s="72" t="s">
        <v>4</v>
      </c>
      <c r="Z1438" s="72" t="s">
        <v>4</v>
      </c>
      <c r="AA1438" s="95" t="s">
        <v>975</v>
      </c>
      <c r="AB1438" s="132"/>
      <c r="AC1438" s="132"/>
      <c r="AD1438" s="132"/>
      <c r="AE1438" s="63"/>
      <c r="AF1438" s="63"/>
      <c r="AG1438" s="63"/>
    </row>
    <row r="1439" spans="1:33" ht="17.2" customHeight="1">
      <c r="A1439" s="64" t="str">
        <f>IF(priority(Main[[#This Row],[Comments]])&lt;&gt;0, priority(Main[[#This Row],[Comments]]),"")</f>
        <v/>
      </c>
      <c r="B1439" s="60" t="s">
        <v>1900</v>
      </c>
      <c r="C1439" s="72" t="s">
        <v>113</v>
      </c>
      <c r="D1439" s="59" t="s">
        <v>2774</v>
      </c>
      <c r="E1439" s="85">
        <v>40709.602083333331</v>
      </c>
      <c r="F1439" s="85">
        <v>41091</v>
      </c>
      <c r="G1439" s="64" t="str">
        <f>IF(stdProdLT(Main[[#This Row],[Comments]])=0.1,"N/A",IF(stdProdLT(Main[[#This Row],[Comments]])=0,"",TRIM(stdProdLT(Main[[#This Row],[Comments]]))))</f>
        <v>126</v>
      </c>
      <c r="H1439" s="94" t="str">
        <f>IF(OR(Main[[#This Row],[Std. Prod. Lead Time]]="N/A",Main[[#This Row],[Std. Prod. Lead Time]]=""), "",IF(AND(Main[[#This Row],[In Stock Date]]&lt;&gt;"",Main[[#This Row],[Revised Due Date]]&lt;&gt;"",Main[[#This Row],[In Stock Date]]&lt;&gt;""),Main[[#This Row],[In Stock Date]]-Main[[#This Row],[Revised Due Date]],""))</f>
        <v/>
      </c>
      <c r="I1439" s="101" t="s">
        <v>561</v>
      </c>
      <c r="J1439" s="95" t="s">
        <v>28</v>
      </c>
      <c r="K1439" s="96" t="s">
        <v>1924</v>
      </c>
      <c r="L1439" s="85">
        <v>40709</v>
      </c>
      <c r="M1439" s="73">
        <f>IF(Main[[#This Row],[Tech Start Date]]&lt;1/1/1990,"",IF(Main[[#This Row],[Class]]="C",WORKDAY(Main[[#This Row],[Tech Start Date]],9),IF(Main[[#This Row],[Class]]="B", WORKDAY(Main[[#This Row],[Tech Start Date]],6),IF(Main[[#This Row],[Class]]="A",WORKDAY(Main[[#This Row],[Tech Start Date]],2),""))))</f>
        <v>40722</v>
      </c>
      <c r="N1439" s="73">
        <f>IF(Main[[#This Row],[Tech Start Date]]&lt;1/1/1990,"",IF(Main[[#This Row],[Class]]="C",WORKDAY(Main[[#This Row],[Tech Start Date]],19),IF(Main[[#This Row],[Class]]="B", WORKDAY(Main[[#This Row],[Tech Start Date]],12),IF(Main[[#This Row],[Class]]="A",WORKDAY(Main[[#This Row],[Tech Start Date]],4),""))))</f>
        <v>40736</v>
      </c>
      <c r="O1439" s="73">
        <f>IF(Main[[#This Row],[Tech Start Date]]&lt;1/1/1990,"",IF(Main[[#This Row],[Class]]="C",WORKDAY(Main[[#This Row],[Tech Start Date]],23),IF(Main[[#This Row],[Class]]="B", WORKDAY(Main[[#This Row],[Tech Start Date]],15),IF(Main[[#This Row],[Class]]="A",WORKDAY(Main[[#This Row],[Tech Start Date]],5),""))))</f>
        <v>40742</v>
      </c>
      <c r="P1439" s="73">
        <f>IF(Main[[#This Row],[Tech Start Date]]&lt;1/1/1990,"",IF(Main[[#This Row],[Class]]="C",WORKDAY(Main[[#This Row],[Tech Start Date]],28),IF(Main[[#This Row],[Class]]="B", WORKDAY(Main[[#This Row],[Tech Start Date]],19),IF(Main[[#This Row],[Class]]="A",WORKDAY(Main[[#This Row],[Tech Start Date]],9),""))))</f>
        <v>40749</v>
      </c>
      <c r="Q1439" s="85"/>
      <c r="R1439" s="112"/>
      <c r="S1439" s="95" t="s">
        <v>11</v>
      </c>
      <c r="T1439" s="74" t="s">
        <v>3511</v>
      </c>
      <c r="U1439" s="95" t="s">
        <v>534</v>
      </c>
      <c r="V1439" s="95" t="s">
        <v>1911</v>
      </c>
      <c r="W1439" s="95" t="s">
        <v>1922</v>
      </c>
      <c r="X1439" s="95" t="s">
        <v>2813</v>
      </c>
      <c r="Y1439" s="72" t="s">
        <v>2917</v>
      </c>
      <c r="Z1439" s="72" t="s">
        <v>129</v>
      </c>
      <c r="AA1439" s="95" t="s">
        <v>2813</v>
      </c>
      <c r="AB1439" s="132"/>
      <c r="AC1439" s="132"/>
      <c r="AD1439" s="132"/>
      <c r="AE1439" s="63"/>
      <c r="AF1439" s="63"/>
      <c r="AG1439" s="63"/>
    </row>
    <row r="1440" spans="1:33" ht="17.2" customHeight="1">
      <c r="A1440" s="64" t="str">
        <f>IF(priority(Main[[#This Row],[Comments]])&lt;&gt;0, priority(Main[[#This Row],[Comments]]),"")</f>
        <v/>
      </c>
      <c r="B1440" s="60" t="s">
        <v>2001</v>
      </c>
      <c r="C1440" s="72" t="s">
        <v>2002</v>
      </c>
      <c r="D1440" s="59" t="s">
        <v>2016</v>
      </c>
      <c r="E1440" s="85">
        <v>40737.577511574076</v>
      </c>
      <c r="F1440" s="85"/>
      <c r="G1440" s="64" t="str">
        <f>IF(stdProdLT(Main[[#This Row],[Comments]])=0.1,"N/A",IF(stdProdLT(Main[[#This Row],[Comments]])=0,"",TRIM(stdProdLT(Main[[#This Row],[Comments]]))))</f>
        <v/>
      </c>
      <c r="H1440" s="94" t="str">
        <f>IF(OR(Main[[#This Row],[Std. Prod. Lead Time]]="N/A",Main[[#This Row],[Std. Prod. Lead Time]]=""), "",IF(AND(Main[[#This Row],[In Stock Date]]&lt;&gt;"",Main[[#This Row],[Revised Due Date]]&lt;&gt;"",Main[[#This Row],[In Stock Date]]&lt;&gt;""),Main[[#This Row],[In Stock Date]]-Main[[#This Row],[Revised Due Date]],""))</f>
        <v/>
      </c>
      <c r="I1440" s="101" t="s">
        <v>4</v>
      </c>
      <c r="J1440" s="95" t="s">
        <v>28</v>
      </c>
      <c r="K1440" s="95" t="s">
        <v>1923</v>
      </c>
      <c r="L1440" s="85">
        <v>40742</v>
      </c>
      <c r="M1440" s="73" t="str">
        <f>IF(Main[[#This Row],[Tech Start Date]]&lt;1/1/1990,"",IF(Main[[#This Row],[Class]]="C",WORKDAY(Main[[#This Row],[Tech Start Date]],9),IF(Main[[#This Row],[Class]]="B", WORKDAY(Main[[#This Row],[Tech Start Date]],6),IF(Main[[#This Row],[Class]]="A",WORKDAY(Main[[#This Row],[Tech Start Date]],2),""))))</f>
        <v/>
      </c>
      <c r="N1440" s="73" t="str">
        <f>IF(Main[[#This Row],[Tech Start Date]]&lt;1/1/1990,"",IF(Main[[#This Row],[Class]]="C",WORKDAY(Main[[#This Row],[Tech Start Date]],19),IF(Main[[#This Row],[Class]]="B", WORKDAY(Main[[#This Row],[Tech Start Date]],12),IF(Main[[#This Row],[Class]]="A",WORKDAY(Main[[#This Row],[Tech Start Date]],4),""))))</f>
        <v/>
      </c>
      <c r="O1440" s="73" t="str">
        <f>IF(Main[[#This Row],[Tech Start Date]]&lt;1/1/1990,"",IF(Main[[#This Row],[Class]]="C",WORKDAY(Main[[#This Row],[Tech Start Date]],23),IF(Main[[#This Row],[Class]]="B", WORKDAY(Main[[#This Row],[Tech Start Date]],15),IF(Main[[#This Row],[Class]]="A",WORKDAY(Main[[#This Row],[Tech Start Date]],5),""))))</f>
        <v/>
      </c>
      <c r="P1440" s="73" t="str">
        <f>IF(Main[[#This Row],[Tech Start Date]]&lt;1/1/1990,"",IF(Main[[#This Row],[Class]]="C",WORKDAY(Main[[#This Row],[Tech Start Date]],28),IF(Main[[#This Row],[Class]]="B", WORKDAY(Main[[#This Row],[Tech Start Date]],19),IF(Main[[#This Row],[Class]]="A",WORKDAY(Main[[#This Row],[Tech Start Date]],9),""))))</f>
        <v/>
      </c>
      <c r="Q1440" s="85"/>
      <c r="R1440" s="112"/>
      <c r="S1440" s="95" t="s">
        <v>17</v>
      </c>
      <c r="T1440" s="74" t="s">
        <v>4</v>
      </c>
      <c r="U1440" s="95" t="s">
        <v>29</v>
      </c>
      <c r="V1440" s="95" t="s">
        <v>1911</v>
      </c>
      <c r="W1440" s="95" t="s">
        <v>1919</v>
      </c>
      <c r="X1440" s="95" t="s">
        <v>129</v>
      </c>
      <c r="Y1440" s="72" t="s">
        <v>2937</v>
      </c>
      <c r="Z1440" s="72" t="s">
        <v>129</v>
      </c>
      <c r="AA1440" s="95" t="s">
        <v>2808</v>
      </c>
      <c r="AB1440" s="132"/>
      <c r="AC1440" s="132"/>
      <c r="AD1440" s="132"/>
      <c r="AE1440" s="63"/>
      <c r="AF1440" s="63"/>
      <c r="AG1440" s="63"/>
    </row>
    <row r="1441" spans="1:33" ht="17.2" customHeight="1">
      <c r="A1441" s="64" t="str">
        <f>IF(priority(Main[[#This Row],[Comments]])&lt;&gt;0, priority(Main[[#This Row],[Comments]]),"")</f>
        <v/>
      </c>
      <c r="B1441" s="60" t="s">
        <v>1684</v>
      </c>
      <c r="C1441" s="72" t="s">
        <v>741</v>
      </c>
      <c r="D1441" s="59" t="s">
        <v>1966</v>
      </c>
      <c r="E1441" s="85">
        <v>40681.50267361111</v>
      </c>
      <c r="F1441" s="85"/>
      <c r="G1441" s="64" t="str">
        <f>IF(stdProdLT(Main[[#This Row],[Comments]])=0.1,"N/A",IF(stdProdLT(Main[[#This Row],[Comments]])=0,"",TRIM(stdProdLT(Main[[#This Row],[Comments]]))))</f>
        <v/>
      </c>
      <c r="H1441" s="94" t="str">
        <f>IF(OR(Main[[#This Row],[Std. Prod. Lead Time]]="N/A",Main[[#This Row],[Std. Prod. Lead Time]]=""), "",IF(AND(Main[[#This Row],[In Stock Date]]&lt;&gt;"",Main[[#This Row],[Revised Due Date]]&lt;&gt;"",Main[[#This Row],[In Stock Date]]&lt;&gt;""),Main[[#This Row],[In Stock Date]]-Main[[#This Row],[Revised Due Date]],""))</f>
        <v/>
      </c>
      <c r="I1441" s="101" t="s">
        <v>745</v>
      </c>
      <c r="J1441" s="95" t="s">
        <v>28</v>
      </c>
      <c r="K1441" s="95" t="s">
        <v>1923</v>
      </c>
      <c r="L1441" s="85">
        <v>40742</v>
      </c>
      <c r="M1441" s="73" t="str">
        <f>IF(Main[[#This Row],[Tech Start Date]]&lt;1/1/1990,"",IF(Main[[#This Row],[Class]]="C",WORKDAY(Main[[#This Row],[Tech Start Date]],9),IF(Main[[#This Row],[Class]]="B", WORKDAY(Main[[#This Row],[Tech Start Date]],6),IF(Main[[#This Row],[Class]]="A",WORKDAY(Main[[#This Row],[Tech Start Date]],2),""))))</f>
        <v/>
      </c>
      <c r="N1441" s="73" t="str">
        <f>IF(Main[[#This Row],[Tech Start Date]]&lt;1/1/1990,"",IF(Main[[#This Row],[Class]]="C",WORKDAY(Main[[#This Row],[Tech Start Date]],19),IF(Main[[#This Row],[Class]]="B", WORKDAY(Main[[#This Row],[Tech Start Date]],12),IF(Main[[#This Row],[Class]]="A",WORKDAY(Main[[#This Row],[Tech Start Date]],4),""))))</f>
        <v/>
      </c>
      <c r="O1441" s="73" t="str">
        <f>IF(Main[[#This Row],[Tech Start Date]]&lt;1/1/1990,"",IF(Main[[#This Row],[Class]]="C",WORKDAY(Main[[#This Row],[Tech Start Date]],23),IF(Main[[#This Row],[Class]]="B", WORKDAY(Main[[#This Row],[Tech Start Date]],15),IF(Main[[#This Row],[Class]]="A",WORKDAY(Main[[#This Row],[Tech Start Date]],5),""))))</f>
        <v/>
      </c>
      <c r="P1441" s="73" t="str">
        <f>IF(Main[[#This Row],[Tech Start Date]]&lt;1/1/1990,"",IF(Main[[#This Row],[Class]]="C",WORKDAY(Main[[#This Row],[Tech Start Date]],28),IF(Main[[#This Row],[Class]]="B", WORKDAY(Main[[#This Row],[Tech Start Date]],19),IF(Main[[#This Row],[Class]]="A",WORKDAY(Main[[#This Row],[Tech Start Date]],9),""))))</f>
        <v/>
      </c>
      <c r="Q1441" s="85">
        <v>40939</v>
      </c>
      <c r="R1441" s="112">
        <v>40879</v>
      </c>
      <c r="S1441" s="95" t="s">
        <v>17</v>
      </c>
      <c r="T1441" s="74" t="s">
        <v>4</v>
      </c>
      <c r="U1441" s="95" t="s">
        <v>29</v>
      </c>
      <c r="V1441" s="95" t="s">
        <v>1914</v>
      </c>
      <c r="W1441" s="95" t="s">
        <v>1916</v>
      </c>
      <c r="X1441" s="95" t="s">
        <v>553</v>
      </c>
      <c r="Y1441" s="72" t="s">
        <v>2930</v>
      </c>
      <c r="Z1441" s="72" t="s">
        <v>652</v>
      </c>
      <c r="AA1441" s="95" t="s">
        <v>553</v>
      </c>
      <c r="AB1441" s="132"/>
      <c r="AC1441" s="132"/>
      <c r="AD1441" s="132"/>
      <c r="AE1441" s="63"/>
      <c r="AF1441" s="63"/>
      <c r="AG1441" s="63"/>
    </row>
    <row r="1442" spans="1:33" ht="17.2" customHeight="1">
      <c r="A1442" s="64" t="str">
        <f>IF(priority(Main[[#This Row],[Comments]])&lt;&gt;0, priority(Main[[#This Row],[Comments]]),"")</f>
        <v/>
      </c>
      <c r="B1442" s="60" t="s">
        <v>2033</v>
      </c>
      <c r="C1442" s="72" t="s">
        <v>116</v>
      </c>
      <c r="D1442" s="59" t="s">
        <v>2242</v>
      </c>
      <c r="E1442" s="85">
        <v>40751.429224537038</v>
      </c>
      <c r="F1442" s="85"/>
      <c r="G1442" s="64" t="str">
        <f>IF(stdProdLT(Main[[#This Row],[Comments]])=0.1,"N/A",IF(stdProdLT(Main[[#This Row],[Comments]])=0,"",TRIM(stdProdLT(Main[[#This Row],[Comments]]))))</f>
        <v/>
      </c>
      <c r="H1442" s="94" t="str">
        <f>IF(OR(Main[[#This Row],[Std. Prod. Lead Time]]="N/A",Main[[#This Row],[Std. Prod. Lead Time]]=""), "",IF(AND(Main[[#This Row],[In Stock Date]]&lt;&gt;"",Main[[#This Row],[Revised Due Date]]&lt;&gt;"",Main[[#This Row],[In Stock Date]]&lt;&gt;""),Main[[#This Row],[In Stock Date]]-Main[[#This Row],[Revised Due Date]],""))</f>
        <v/>
      </c>
      <c r="I1442" s="101" t="s">
        <v>2037</v>
      </c>
      <c r="J1442" s="95" t="s">
        <v>28</v>
      </c>
      <c r="K1442" s="95" t="s">
        <v>1923</v>
      </c>
      <c r="L1442" s="85">
        <v>40742</v>
      </c>
      <c r="M1442" s="73" t="str">
        <f>IF(Main[[#This Row],[Tech Start Date]]&lt;1/1/1990,"",IF(Main[[#This Row],[Class]]="C",WORKDAY(Main[[#This Row],[Tech Start Date]],9),IF(Main[[#This Row],[Class]]="B", WORKDAY(Main[[#This Row],[Tech Start Date]],6),IF(Main[[#This Row],[Class]]="A",WORKDAY(Main[[#This Row],[Tech Start Date]],2),""))))</f>
        <v/>
      </c>
      <c r="N1442" s="73" t="str">
        <f>IF(Main[[#This Row],[Tech Start Date]]&lt;1/1/1990,"",IF(Main[[#This Row],[Class]]="C",WORKDAY(Main[[#This Row],[Tech Start Date]],19),IF(Main[[#This Row],[Class]]="B", WORKDAY(Main[[#This Row],[Tech Start Date]],12),IF(Main[[#This Row],[Class]]="A",WORKDAY(Main[[#This Row],[Tech Start Date]],4),""))))</f>
        <v/>
      </c>
      <c r="O1442" s="73" t="str">
        <f>IF(Main[[#This Row],[Tech Start Date]]&lt;1/1/1990,"",IF(Main[[#This Row],[Class]]="C",WORKDAY(Main[[#This Row],[Tech Start Date]],23),IF(Main[[#This Row],[Class]]="B", WORKDAY(Main[[#This Row],[Tech Start Date]],15),IF(Main[[#This Row],[Class]]="A",WORKDAY(Main[[#This Row],[Tech Start Date]],5),""))))</f>
        <v/>
      </c>
      <c r="P1442" s="73" t="str">
        <f>IF(Main[[#This Row],[Tech Start Date]]&lt;1/1/1990,"",IF(Main[[#This Row],[Class]]="C",WORKDAY(Main[[#This Row],[Tech Start Date]],28),IF(Main[[#This Row],[Class]]="B", WORKDAY(Main[[#This Row],[Tech Start Date]],19),IF(Main[[#This Row],[Class]]="A",WORKDAY(Main[[#This Row],[Tech Start Date]],9),""))))</f>
        <v/>
      </c>
      <c r="Q1442" s="85"/>
      <c r="R1442" s="112">
        <v>40868</v>
      </c>
      <c r="S1442" s="95" t="s">
        <v>17</v>
      </c>
      <c r="T1442" s="74" t="s">
        <v>4</v>
      </c>
      <c r="U1442" s="95" t="s">
        <v>29</v>
      </c>
      <c r="V1442" s="95" t="s">
        <v>1914</v>
      </c>
      <c r="W1442" s="95" t="s">
        <v>1916</v>
      </c>
      <c r="X1442" s="95" t="s">
        <v>652</v>
      </c>
      <c r="Y1442" s="72" t="s">
        <v>3104</v>
      </c>
      <c r="Z1442" s="72" t="s">
        <v>652</v>
      </c>
      <c r="AA1442" s="95" t="s">
        <v>652</v>
      </c>
      <c r="AB1442" s="132"/>
      <c r="AC1442" s="132"/>
      <c r="AD1442" s="132"/>
      <c r="AE1442" s="63"/>
      <c r="AF1442" s="63"/>
      <c r="AG1442" s="63"/>
    </row>
    <row r="1443" spans="1:33" ht="17.2" customHeight="1">
      <c r="A1443" s="64" t="str">
        <f>IF(priority(Main[[#This Row],[Comments]])&lt;&gt;0, priority(Main[[#This Row],[Comments]]),"")</f>
        <v/>
      </c>
      <c r="B1443" s="60" t="s">
        <v>1028</v>
      </c>
      <c r="C1443" s="72" t="s">
        <v>46</v>
      </c>
      <c r="D1443" s="59" t="s">
        <v>2131</v>
      </c>
      <c r="E1443" s="85">
        <v>40549.665949074071</v>
      </c>
      <c r="F1443" s="85">
        <v>40603</v>
      </c>
      <c r="G1443" s="64" t="str">
        <f>IF(stdProdLT(Main[[#This Row],[Comments]])=0.1,"N/A",IF(stdProdLT(Main[[#This Row],[Comments]])=0,"",TRIM(stdProdLT(Main[[#This Row],[Comments]]))))</f>
        <v/>
      </c>
      <c r="H1443" s="94" t="str">
        <f>IF(OR(Main[[#This Row],[Std. Prod. Lead Time]]="N/A",Main[[#This Row],[Std. Prod. Lead Time]]=""), "",IF(AND(Main[[#This Row],[In Stock Date]]&lt;&gt;"",Main[[#This Row],[Revised Due Date]]&lt;&gt;"",Main[[#This Row],[In Stock Date]]&lt;&gt;""),Main[[#This Row],[In Stock Date]]-Main[[#This Row],[Revised Due Date]],""))</f>
        <v/>
      </c>
      <c r="I1443" s="101" t="s">
        <v>171</v>
      </c>
      <c r="J1443" s="95" t="s">
        <v>70</v>
      </c>
      <c r="K1443" s="95" t="s">
        <v>1923</v>
      </c>
      <c r="L1443" s="85">
        <v>40751</v>
      </c>
      <c r="M1443" s="73" t="str">
        <f>IF(Main[[#This Row],[Tech Start Date]]&lt;1/1/1990,"",IF(Main[[#This Row],[Class]]="C",WORKDAY(Main[[#This Row],[Tech Start Date]],9),IF(Main[[#This Row],[Class]]="B", WORKDAY(Main[[#This Row],[Tech Start Date]],6),IF(Main[[#This Row],[Class]]="A",WORKDAY(Main[[#This Row],[Tech Start Date]],2),""))))</f>
        <v/>
      </c>
      <c r="N1443" s="73" t="str">
        <f>IF(Main[[#This Row],[Tech Start Date]]&lt;1/1/1990,"",IF(Main[[#This Row],[Class]]="C",WORKDAY(Main[[#This Row],[Tech Start Date]],19),IF(Main[[#This Row],[Class]]="B", WORKDAY(Main[[#This Row],[Tech Start Date]],12),IF(Main[[#This Row],[Class]]="A",WORKDAY(Main[[#This Row],[Tech Start Date]],4),""))))</f>
        <v/>
      </c>
      <c r="O1443" s="73" t="str">
        <f>IF(Main[[#This Row],[Tech Start Date]]&lt;1/1/1990,"",IF(Main[[#This Row],[Class]]="C",WORKDAY(Main[[#This Row],[Tech Start Date]],23),IF(Main[[#This Row],[Class]]="B", WORKDAY(Main[[#This Row],[Tech Start Date]],15),IF(Main[[#This Row],[Class]]="A",WORKDAY(Main[[#This Row],[Tech Start Date]],5),""))))</f>
        <v/>
      </c>
      <c r="P1443" s="73" t="str">
        <f>IF(Main[[#This Row],[Tech Start Date]]&lt;1/1/1990,"",IF(Main[[#This Row],[Class]]="C",WORKDAY(Main[[#This Row],[Tech Start Date]],28),IF(Main[[#This Row],[Class]]="B", WORKDAY(Main[[#This Row],[Tech Start Date]],19),IF(Main[[#This Row],[Class]]="A",WORKDAY(Main[[#This Row],[Tech Start Date]],9),""))))</f>
        <v/>
      </c>
      <c r="Q1443" s="85">
        <v>40603</v>
      </c>
      <c r="R1443" s="112"/>
      <c r="S1443" s="95" t="s">
        <v>17</v>
      </c>
      <c r="T1443" s="74" t="s">
        <v>4</v>
      </c>
      <c r="U1443" s="95" t="s">
        <v>29</v>
      </c>
      <c r="V1443" s="95" t="s">
        <v>1914</v>
      </c>
      <c r="W1443" s="95" t="s">
        <v>1916</v>
      </c>
      <c r="X1443" s="95" t="s">
        <v>553</v>
      </c>
      <c r="Y1443" s="72" t="s">
        <v>2930</v>
      </c>
      <c r="Z1443" s="72" t="s">
        <v>968</v>
      </c>
      <c r="AA1443" s="95" t="s">
        <v>553</v>
      </c>
      <c r="AB1443" s="132"/>
      <c r="AC1443" s="132"/>
      <c r="AD1443" s="132"/>
      <c r="AE1443" s="63"/>
      <c r="AF1443" s="63"/>
      <c r="AG1443" s="63"/>
    </row>
    <row r="1444" spans="1:33" ht="17.2" customHeight="1">
      <c r="A1444" s="64" t="str">
        <f>IF(priority(Main[[#This Row],[Comments]])&lt;&gt;0, priority(Main[[#This Row],[Comments]]),"")</f>
        <v/>
      </c>
      <c r="B1444" s="60" t="s">
        <v>2040</v>
      </c>
      <c r="C1444" s="72" t="s">
        <v>4</v>
      </c>
      <c r="D1444" s="59" t="s">
        <v>2048</v>
      </c>
      <c r="E1444" s="85"/>
      <c r="F1444" s="85"/>
      <c r="G1444" s="64" t="str">
        <f>IF(stdProdLT(Main[[#This Row],[Comments]])=0.1,"N/A",IF(stdProdLT(Main[[#This Row],[Comments]])=0,"",TRIM(stdProdLT(Main[[#This Row],[Comments]]))))</f>
        <v/>
      </c>
      <c r="H1444" s="94" t="str">
        <f>IF(OR(Main[[#This Row],[Std. Prod. Lead Time]]="N/A",Main[[#This Row],[Std. Prod. Lead Time]]=""), "",IF(AND(Main[[#This Row],[In Stock Date]]&lt;&gt;"",Main[[#This Row],[Revised Due Date]]&lt;&gt;"",Main[[#This Row],[In Stock Date]]&lt;&gt;""),Main[[#This Row],[In Stock Date]]-Main[[#This Row],[Revised Due Date]],""))</f>
        <v/>
      </c>
      <c r="I1444" s="101" t="s">
        <v>889</v>
      </c>
      <c r="J1444" s="95" t="s">
        <v>28</v>
      </c>
      <c r="K1444" s="95" t="s">
        <v>1920</v>
      </c>
      <c r="L1444" s="85">
        <v>40752</v>
      </c>
      <c r="M1444" s="73">
        <f>IF(Main[[#This Row],[Tech Start Date]]&lt;1/1/1990,"",IF(Main[[#This Row],[Class]]="C",WORKDAY(Main[[#This Row],[Tech Start Date]],9),IF(Main[[#This Row],[Class]]="B", WORKDAY(Main[[#This Row],[Tech Start Date]],6),IF(Main[[#This Row],[Class]]="A",WORKDAY(Main[[#This Row],[Tech Start Date]],2),""))))</f>
        <v>40756</v>
      </c>
      <c r="N1444" s="73">
        <f>IF(Main[[#This Row],[Tech Start Date]]&lt;1/1/1990,"",IF(Main[[#This Row],[Class]]="C",WORKDAY(Main[[#This Row],[Tech Start Date]],19),IF(Main[[#This Row],[Class]]="B", WORKDAY(Main[[#This Row],[Tech Start Date]],12),IF(Main[[#This Row],[Class]]="A",WORKDAY(Main[[#This Row],[Tech Start Date]],4),""))))</f>
        <v>40758</v>
      </c>
      <c r="O1444" s="73">
        <f>IF(Main[[#This Row],[Tech Start Date]]&lt;1/1/1990,"",IF(Main[[#This Row],[Class]]="C",WORKDAY(Main[[#This Row],[Tech Start Date]],23),IF(Main[[#This Row],[Class]]="B", WORKDAY(Main[[#This Row],[Tech Start Date]],15),IF(Main[[#This Row],[Class]]="A",WORKDAY(Main[[#This Row],[Tech Start Date]],5),""))))</f>
        <v>40759</v>
      </c>
      <c r="P1444" s="73">
        <f>IF(Main[[#This Row],[Tech Start Date]]&lt;1/1/1990,"",IF(Main[[#This Row],[Class]]="C",WORKDAY(Main[[#This Row],[Tech Start Date]],28),IF(Main[[#This Row],[Class]]="B", WORKDAY(Main[[#This Row],[Tech Start Date]],19),IF(Main[[#This Row],[Class]]="A",WORKDAY(Main[[#This Row],[Tech Start Date]],9),""))))</f>
        <v>40765</v>
      </c>
      <c r="Q1444" s="85">
        <v>40758</v>
      </c>
      <c r="R1444" s="112">
        <v>40786</v>
      </c>
      <c r="S1444" s="95" t="s">
        <v>6</v>
      </c>
      <c r="T1444" s="74" t="s">
        <v>4</v>
      </c>
      <c r="U1444" s="95" t="s">
        <v>14</v>
      </c>
      <c r="V1444" s="95" t="s">
        <v>1911</v>
      </c>
      <c r="W1444" s="95" t="s">
        <v>1915</v>
      </c>
      <c r="X1444" s="95" t="s">
        <v>877</v>
      </c>
      <c r="Y1444" s="72" t="s">
        <v>2987</v>
      </c>
      <c r="Z1444" s="72" t="s">
        <v>877</v>
      </c>
      <c r="AA1444" s="95" t="s">
        <v>877</v>
      </c>
      <c r="AB1444" s="132"/>
      <c r="AC1444" s="132"/>
      <c r="AD1444" s="132"/>
      <c r="AE1444" s="63"/>
      <c r="AF1444" s="63"/>
      <c r="AG1444" s="63"/>
    </row>
    <row r="1445" spans="1:33" ht="17.2" customHeight="1">
      <c r="A1445" s="64" t="str">
        <f>IF(priority(Main[[#This Row],[Comments]])&lt;&gt;0, priority(Main[[#This Row],[Comments]]),"")</f>
        <v/>
      </c>
      <c r="B1445" s="60" t="s">
        <v>1894</v>
      </c>
      <c r="C1445" s="72" t="s">
        <v>72</v>
      </c>
      <c r="D1445" s="59" t="s">
        <v>2132</v>
      </c>
      <c r="E1445" s="85">
        <v>40470.014479166668</v>
      </c>
      <c r="F1445" s="85">
        <v>40487</v>
      </c>
      <c r="G1445" s="64" t="str">
        <f>IF(stdProdLT(Main[[#This Row],[Comments]])=0.1,"N/A",IF(stdProdLT(Main[[#This Row],[Comments]])=0,"",TRIM(stdProdLT(Main[[#This Row],[Comments]]))))</f>
        <v>42</v>
      </c>
      <c r="H1445" s="94">
        <f>IF(OR(Main[[#This Row],[Std. Prod. Lead Time]]="N/A",Main[[#This Row],[Std. Prod. Lead Time]]=""), "",IF(AND(Main[[#This Row],[In Stock Date]]&lt;&gt;"",Main[[#This Row],[Revised Due Date]]&lt;&gt;"",Main[[#This Row],[In Stock Date]]&lt;&gt;""),Main[[#This Row],[In Stock Date]]-Main[[#This Row],[Revised Due Date]],""))</f>
        <v>-294</v>
      </c>
      <c r="I1445" s="101" t="s">
        <v>2047</v>
      </c>
      <c r="J1445" s="95" t="s">
        <v>52</v>
      </c>
      <c r="K1445" s="95" t="s">
        <v>1918</v>
      </c>
      <c r="L1445" s="85">
        <v>40756</v>
      </c>
      <c r="M1445" s="73">
        <f>IF(Main[[#This Row],[Tech Start Date]]&lt;1/1/1990,"",IF(Main[[#This Row],[Class]]="C",WORKDAY(Main[[#This Row],[Tech Start Date]],9),IF(Main[[#This Row],[Class]]="B", WORKDAY(Main[[#This Row],[Tech Start Date]],6),IF(Main[[#This Row],[Class]]="A",WORKDAY(Main[[#This Row],[Tech Start Date]],2),""))))</f>
        <v>40764</v>
      </c>
      <c r="N1445" s="73">
        <f>IF(Main[[#This Row],[Tech Start Date]]&lt;1/1/1990,"",IF(Main[[#This Row],[Class]]="C",WORKDAY(Main[[#This Row],[Tech Start Date]],19),IF(Main[[#This Row],[Class]]="B", WORKDAY(Main[[#This Row],[Tech Start Date]],12),IF(Main[[#This Row],[Class]]="A",WORKDAY(Main[[#This Row],[Tech Start Date]],4),""))))</f>
        <v>40772</v>
      </c>
      <c r="O1445" s="73">
        <f>IF(Main[[#This Row],[Tech Start Date]]&lt;1/1/1990,"",IF(Main[[#This Row],[Class]]="C",WORKDAY(Main[[#This Row],[Tech Start Date]],23),IF(Main[[#This Row],[Class]]="B", WORKDAY(Main[[#This Row],[Tech Start Date]],15),IF(Main[[#This Row],[Class]]="A",WORKDAY(Main[[#This Row],[Tech Start Date]],5),""))))</f>
        <v>40777</v>
      </c>
      <c r="P1445" s="73">
        <f>IF(Main[[#This Row],[Tech Start Date]]&lt;1/1/1990,"",IF(Main[[#This Row],[Class]]="C",WORKDAY(Main[[#This Row],[Tech Start Date]],28),IF(Main[[#This Row],[Class]]="B", WORKDAY(Main[[#This Row],[Tech Start Date]],19),IF(Main[[#This Row],[Class]]="A",WORKDAY(Main[[#This Row],[Tech Start Date]],9),""))))</f>
        <v>40781</v>
      </c>
      <c r="Q1445" s="85"/>
      <c r="R1445" s="112">
        <v>40781</v>
      </c>
      <c r="S1445" s="95" t="s">
        <v>6</v>
      </c>
      <c r="T1445" s="74" t="s">
        <v>2133</v>
      </c>
      <c r="U1445" s="95" t="s">
        <v>29</v>
      </c>
      <c r="V1445" s="95" t="s">
        <v>1912</v>
      </c>
      <c r="W1445" s="95" t="s">
        <v>1913</v>
      </c>
      <c r="X1445" s="95" t="s">
        <v>2881</v>
      </c>
      <c r="Y1445" s="72" t="s">
        <v>3057</v>
      </c>
      <c r="Z1445" s="72" t="s">
        <v>2047</v>
      </c>
      <c r="AA1445" s="95" t="s">
        <v>2881</v>
      </c>
      <c r="AB1445" s="132"/>
      <c r="AC1445" s="132"/>
      <c r="AD1445" s="132"/>
      <c r="AE1445" s="63"/>
      <c r="AF1445" s="63"/>
      <c r="AG1445" s="63"/>
    </row>
    <row r="1446" spans="1:33" ht="17.2" customHeight="1">
      <c r="A1446" s="64" t="str">
        <f>IF(priority(Main[[#This Row],[Comments]])&lt;&gt;0, priority(Main[[#This Row],[Comments]]),"")</f>
        <v/>
      </c>
      <c r="B1446" s="60" t="s">
        <v>1300</v>
      </c>
      <c r="C1446" s="72" t="s">
        <v>374</v>
      </c>
      <c r="D1446" s="59" t="s">
        <v>2256</v>
      </c>
      <c r="E1446" s="85">
        <v>40711.60083333333</v>
      </c>
      <c r="F1446" s="85">
        <v>40877</v>
      </c>
      <c r="G1446" s="64" t="str">
        <f>IF(stdProdLT(Main[[#This Row],[Comments]])=0.1,"N/A",IF(stdProdLT(Main[[#This Row],[Comments]])=0,"",TRIM(stdProdLT(Main[[#This Row],[Comments]]))))</f>
        <v/>
      </c>
      <c r="H1446" s="94" t="str">
        <f>IF(OR(Main[[#This Row],[Std. Prod. Lead Time]]="N/A",Main[[#This Row],[Std. Prod. Lead Time]]=""), "",IF(AND(Main[[#This Row],[In Stock Date]]&lt;&gt;"",Main[[#This Row],[Revised Due Date]]&lt;&gt;"",Main[[#This Row],[In Stock Date]]&lt;&gt;""),Main[[#This Row],[In Stock Date]]-Main[[#This Row],[Revised Due Date]],""))</f>
        <v/>
      </c>
      <c r="I1446" s="101" t="s">
        <v>239</v>
      </c>
      <c r="J1446" s="95" t="s">
        <v>52</v>
      </c>
      <c r="K1446" s="95" t="s">
        <v>1923</v>
      </c>
      <c r="L1446" s="85">
        <v>40767</v>
      </c>
      <c r="M1446" s="73" t="str">
        <f>IF(Main[[#This Row],[Tech Start Date]]&lt;1/1/1990,"",IF(Main[[#This Row],[Class]]="C",WORKDAY(Main[[#This Row],[Tech Start Date]],9),IF(Main[[#This Row],[Class]]="B", WORKDAY(Main[[#This Row],[Tech Start Date]],6),IF(Main[[#This Row],[Class]]="A",WORKDAY(Main[[#This Row],[Tech Start Date]],2),""))))</f>
        <v/>
      </c>
      <c r="N1446" s="73" t="str">
        <f>IF(Main[[#This Row],[Tech Start Date]]&lt;1/1/1990,"",IF(Main[[#This Row],[Class]]="C",WORKDAY(Main[[#This Row],[Tech Start Date]],19),IF(Main[[#This Row],[Class]]="B", WORKDAY(Main[[#This Row],[Tech Start Date]],12),IF(Main[[#This Row],[Class]]="A",WORKDAY(Main[[#This Row],[Tech Start Date]],4),""))))</f>
        <v/>
      </c>
      <c r="O1446" s="73" t="str">
        <f>IF(Main[[#This Row],[Tech Start Date]]&lt;1/1/1990,"",IF(Main[[#This Row],[Class]]="C",WORKDAY(Main[[#This Row],[Tech Start Date]],23),IF(Main[[#This Row],[Class]]="B", WORKDAY(Main[[#This Row],[Tech Start Date]],15),IF(Main[[#This Row],[Class]]="A",WORKDAY(Main[[#This Row],[Tech Start Date]],5),""))))</f>
        <v/>
      </c>
      <c r="P1446" s="73" t="str">
        <f>IF(Main[[#This Row],[Tech Start Date]]&lt;1/1/1990,"",IF(Main[[#This Row],[Class]]="C",WORKDAY(Main[[#This Row],[Tech Start Date]],28),IF(Main[[#This Row],[Class]]="B", WORKDAY(Main[[#This Row],[Tech Start Date]],19),IF(Main[[#This Row],[Class]]="A",WORKDAY(Main[[#This Row],[Tech Start Date]],9),""))))</f>
        <v/>
      </c>
      <c r="Q1446" s="85">
        <v>40877</v>
      </c>
      <c r="R1446" s="112">
        <v>40877</v>
      </c>
      <c r="S1446" s="95" t="s">
        <v>17</v>
      </c>
      <c r="T1446" s="74" t="s">
        <v>4</v>
      </c>
      <c r="U1446" s="95" t="s">
        <v>29</v>
      </c>
      <c r="V1446" s="95" t="s">
        <v>1914</v>
      </c>
      <c r="W1446" s="95" t="s">
        <v>1919</v>
      </c>
      <c r="X1446" s="95" t="s">
        <v>553</v>
      </c>
      <c r="Y1446" s="72" t="s">
        <v>2930</v>
      </c>
      <c r="Z1446" s="72" t="s">
        <v>530</v>
      </c>
      <c r="AA1446" s="95" t="s">
        <v>553</v>
      </c>
      <c r="AB1446" s="132"/>
      <c r="AC1446" s="132"/>
      <c r="AD1446" s="132"/>
      <c r="AE1446" s="63"/>
      <c r="AF1446" s="63"/>
      <c r="AG1446" s="63"/>
    </row>
    <row r="1447" spans="1:33" ht="17.2" customHeight="1">
      <c r="A1447" s="64" t="str">
        <f>IF(priority(Main[[#This Row],[Comments]])&lt;&gt;0, priority(Main[[#This Row],[Comments]]),"")</f>
        <v/>
      </c>
      <c r="B1447" s="60" t="s">
        <v>2137</v>
      </c>
      <c r="C1447" s="72" t="s">
        <v>4</v>
      </c>
      <c r="D1447" s="59" t="s">
        <v>2600</v>
      </c>
      <c r="E1447" s="85">
        <v>40772.447592592594</v>
      </c>
      <c r="F1447" s="85"/>
      <c r="G1447" s="64" t="str">
        <f>IF(stdProdLT(Main[[#This Row],[Comments]])=0.1,"N/A",IF(stdProdLT(Main[[#This Row],[Comments]])=0,"",TRIM(stdProdLT(Main[[#This Row],[Comments]]))))</f>
        <v/>
      </c>
      <c r="H1447" s="94" t="str">
        <f>IF(OR(Main[[#This Row],[Std. Prod. Lead Time]]="N/A",Main[[#This Row],[Std. Prod. Lead Time]]=""), "",IF(AND(Main[[#This Row],[In Stock Date]]&lt;&gt;"",Main[[#This Row],[Revised Due Date]]&lt;&gt;"",Main[[#This Row],[In Stock Date]]&lt;&gt;""),Main[[#This Row],[In Stock Date]]-Main[[#This Row],[Revised Due Date]],""))</f>
        <v/>
      </c>
      <c r="I1447" s="101" t="s">
        <v>877</v>
      </c>
      <c r="J1447" s="95" t="s">
        <v>28</v>
      </c>
      <c r="K1447" s="95" t="s">
        <v>1924</v>
      </c>
      <c r="L1447" s="85">
        <v>40772</v>
      </c>
      <c r="M1447" s="73">
        <f>IF(Main[[#This Row],[Tech Start Date]]&lt;1/1/1990,"",IF(Main[[#This Row],[Class]]="C",WORKDAY(Main[[#This Row],[Tech Start Date]],9),IF(Main[[#This Row],[Class]]="B", WORKDAY(Main[[#This Row],[Tech Start Date]],6),IF(Main[[#This Row],[Class]]="A",WORKDAY(Main[[#This Row],[Tech Start Date]],2),""))))</f>
        <v>40785</v>
      </c>
      <c r="N1447" s="73">
        <f>IF(Main[[#This Row],[Tech Start Date]]&lt;1/1/1990,"",IF(Main[[#This Row],[Class]]="C",WORKDAY(Main[[#This Row],[Tech Start Date]],19),IF(Main[[#This Row],[Class]]="B", WORKDAY(Main[[#This Row],[Tech Start Date]],12),IF(Main[[#This Row],[Class]]="A",WORKDAY(Main[[#This Row],[Tech Start Date]],4),""))))</f>
        <v>40799</v>
      </c>
      <c r="O1447" s="73">
        <f>IF(Main[[#This Row],[Tech Start Date]]&lt;1/1/1990,"",IF(Main[[#This Row],[Class]]="C",WORKDAY(Main[[#This Row],[Tech Start Date]],23),IF(Main[[#This Row],[Class]]="B", WORKDAY(Main[[#This Row],[Tech Start Date]],15),IF(Main[[#This Row],[Class]]="A",WORKDAY(Main[[#This Row],[Tech Start Date]],5),""))))</f>
        <v>40805</v>
      </c>
      <c r="P1447" s="73">
        <f>IF(Main[[#This Row],[Tech Start Date]]&lt;1/1/1990,"",IF(Main[[#This Row],[Class]]="C",WORKDAY(Main[[#This Row],[Tech Start Date]],28),IF(Main[[#This Row],[Class]]="B", WORKDAY(Main[[#This Row],[Tech Start Date]],19),IF(Main[[#This Row],[Class]]="A",WORKDAY(Main[[#This Row],[Tech Start Date]],9),""))))</f>
        <v>40812</v>
      </c>
      <c r="Q1447" s="85">
        <v>40786</v>
      </c>
      <c r="R1447" s="112">
        <v>40907</v>
      </c>
      <c r="S1447" s="95" t="s">
        <v>17</v>
      </c>
      <c r="T1447" s="74" t="s">
        <v>2315</v>
      </c>
      <c r="U1447" s="95" t="s">
        <v>29</v>
      </c>
      <c r="V1447" s="95" t="s">
        <v>1911</v>
      </c>
      <c r="W1447" s="95" t="s">
        <v>1913</v>
      </c>
      <c r="X1447" s="95" t="s">
        <v>877</v>
      </c>
      <c r="Y1447" s="72" t="s">
        <v>2987</v>
      </c>
      <c r="Z1447" s="72" t="s">
        <v>129</v>
      </c>
      <c r="AA1447" s="95" t="s">
        <v>877</v>
      </c>
      <c r="AB1447" s="132"/>
      <c r="AC1447" s="132"/>
      <c r="AD1447" s="132"/>
      <c r="AE1447" s="63"/>
      <c r="AF1447" s="63"/>
      <c r="AG1447" s="63"/>
    </row>
    <row r="1448" spans="1:33" ht="17.2" customHeight="1">
      <c r="A1448" s="64" t="str">
        <f>IF(priority(Main[[#This Row],[Comments]])&lt;&gt;0, priority(Main[[#This Row],[Comments]]),"")</f>
        <v/>
      </c>
      <c r="B1448" s="60" t="s">
        <v>2136</v>
      </c>
      <c r="C1448" s="72" t="s">
        <v>4</v>
      </c>
      <c r="D1448" s="59" t="s">
        <v>2775</v>
      </c>
      <c r="E1448" s="85">
        <v>40772.344918981478</v>
      </c>
      <c r="F1448" s="85"/>
      <c r="G1448" s="64" t="str">
        <f>IF(stdProdLT(Main[[#This Row],[Comments]])=0.1,"N/A",IF(stdProdLT(Main[[#This Row],[Comments]])=0,"",TRIM(stdProdLT(Main[[#This Row],[Comments]]))))</f>
        <v/>
      </c>
      <c r="H1448" s="94" t="str">
        <f>IF(OR(Main[[#This Row],[Std. Prod. Lead Time]]="N/A",Main[[#This Row],[Std. Prod. Lead Time]]=""), "",IF(AND(Main[[#This Row],[In Stock Date]]&lt;&gt;"",Main[[#This Row],[Revised Due Date]]&lt;&gt;"",Main[[#This Row],[In Stock Date]]&lt;&gt;""),Main[[#This Row],[In Stock Date]]-Main[[#This Row],[Revised Due Date]],""))</f>
        <v/>
      </c>
      <c r="I1448" s="101" t="s">
        <v>877</v>
      </c>
      <c r="J1448" s="95" t="s">
        <v>28</v>
      </c>
      <c r="K1448" s="95" t="s">
        <v>1918</v>
      </c>
      <c r="L1448" s="85">
        <v>40772</v>
      </c>
      <c r="M1448" s="73">
        <f>IF(Main[[#This Row],[Tech Start Date]]&lt;1/1/1990,"",IF(Main[[#This Row],[Class]]="C",WORKDAY(Main[[#This Row],[Tech Start Date]],9),IF(Main[[#This Row],[Class]]="B", WORKDAY(Main[[#This Row],[Tech Start Date]],6),IF(Main[[#This Row],[Class]]="A",WORKDAY(Main[[#This Row],[Tech Start Date]],2),""))))</f>
        <v>40780</v>
      </c>
      <c r="N1448" s="73">
        <f>IF(Main[[#This Row],[Tech Start Date]]&lt;1/1/1990,"",IF(Main[[#This Row],[Class]]="C",WORKDAY(Main[[#This Row],[Tech Start Date]],19),IF(Main[[#This Row],[Class]]="B", WORKDAY(Main[[#This Row],[Tech Start Date]],12),IF(Main[[#This Row],[Class]]="A",WORKDAY(Main[[#This Row],[Tech Start Date]],4),""))))</f>
        <v>40788</v>
      </c>
      <c r="O1448" s="73">
        <f>IF(Main[[#This Row],[Tech Start Date]]&lt;1/1/1990,"",IF(Main[[#This Row],[Class]]="C",WORKDAY(Main[[#This Row],[Tech Start Date]],23),IF(Main[[#This Row],[Class]]="B", WORKDAY(Main[[#This Row],[Tech Start Date]],15),IF(Main[[#This Row],[Class]]="A",WORKDAY(Main[[#This Row],[Tech Start Date]],5),""))))</f>
        <v>40793</v>
      </c>
      <c r="P1448" s="73">
        <f>IF(Main[[#This Row],[Tech Start Date]]&lt;1/1/1990,"",IF(Main[[#This Row],[Class]]="C",WORKDAY(Main[[#This Row],[Tech Start Date]],28),IF(Main[[#This Row],[Class]]="B", WORKDAY(Main[[#This Row],[Tech Start Date]],19),IF(Main[[#This Row],[Class]]="A",WORKDAY(Main[[#This Row],[Tech Start Date]],9),""))))</f>
        <v>40799</v>
      </c>
      <c r="Q1448" s="85">
        <v>40779</v>
      </c>
      <c r="R1448" s="112">
        <v>40907</v>
      </c>
      <c r="S1448" s="95" t="s">
        <v>6</v>
      </c>
      <c r="T1448" s="74" t="s">
        <v>4</v>
      </c>
      <c r="U1448" s="95" t="s">
        <v>29</v>
      </c>
      <c r="V1448" s="95" t="s">
        <v>1911</v>
      </c>
      <c r="W1448" s="95" t="s">
        <v>1919</v>
      </c>
      <c r="X1448" s="95" t="s">
        <v>877</v>
      </c>
      <c r="Y1448" s="72" t="s">
        <v>4</v>
      </c>
      <c r="Z1448" s="72" t="s">
        <v>129</v>
      </c>
      <c r="AA1448" s="95" t="s">
        <v>3436</v>
      </c>
      <c r="AB1448" s="132"/>
      <c r="AC1448" s="132"/>
      <c r="AD1448" s="132"/>
      <c r="AE1448" s="63"/>
      <c r="AF1448" s="63"/>
      <c r="AG1448" s="63"/>
    </row>
    <row r="1449" spans="1:33" ht="17.2" customHeight="1">
      <c r="A1449" s="64" t="str">
        <f>IF(priority(Main[[#This Row],[Comments]])&lt;&gt;0, priority(Main[[#This Row],[Comments]]),"")</f>
        <v/>
      </c>
      <c r="B1449" s="60" t="s">
        <v>2141</v>
      </c>
      <c r="C1449" s="72" t="s">
        <v>53</v>
      </c>
      <c r="D1449" s="59" t="s">
        <v>2142</v>
      </c>
      <c r="E1449" s="85">
        <v>40774.327164351853</v>
      </c>
      <c r="F1449" s="85">
        <v>40786</v>
      </c>
      <c r="G1449" s="64" t="str">
        <f>IF(stdProdLT(Main[[#This Row],[Comments]])=0.1,"N/A",IF(stdProdLT(Main[[#This Row],[Comments]])=0,"",TRIM(stdProdLT(Main[[#This Row],[Comments]]))))</f>
        <v/>
      </c>
      <c r="H1449" s="94" t="str">
        <f>IF(OR(Main[[#This Row],[Std. Prod. Lead Time]]="N/A",Main[[#This Row],[Std. Prod. Lead Time]]=""), "",IF(AND(Main[[#This Row],[In Stock Date]]&lt;&gt;"",Main[[#This Row],[Revised Due Date]]&lt;&gt;"",Main[[#This Row],[In Stock Date]]&lt;&gt;""),Main[[#This Row],[In Stock Date]]-Main[[#This Row],[Revised Due Date]],""))</f>
        <v/>
      </c>
      <c r="I1449" s="101" t="s">
        <v>2047</v>
      </c>
      <c r="J1449" s="95" t="s">
        <v>52</v>
      </c>
      <c r="K1449" s="95" t="s">
        <v>1920</v>
      </c>
      <c r="L1449" s="85">
        <v>40777</v>
      </c>
      <c r="M1449" s="73">
        <f>IF(Main[[#This Row],[Tech Start Date]]&lt;1/1/1990,"",IF(Main[[#This Row],[Class]]="C",WORKDAY(Main[[#This Row],[Tech Start Date]],9),IF(Main[[#This Row],[Class]]="B", WORKDAY(Main[[#This Row],[Tech Start Date]],6),IF(Main[[#This Row],[Class]]="A",WORKDAY(Main[[#This Row],[Tech Start Date]],2),""))))</f>
        <v>40779</v>
      </c>
      <c r="N1449" s="73">
        <f>IF(Main[[#This Row],[Tech Start Date]]&lt;1/1/1990,"",IF(Main[[#This Row],[Class]]="C",WORKDAY(Main[[#This Row],[Tech Start Date]],19),IF(Main[[#This Row],[Class]]="B", WORKDAY(Main[[#This Row],[Tech Start Date]],12),IF(Main[[#This Row],[Class]]="A",WORKDAY(Main[[#This Row],[Tech Start Date]],4),""))))</f>
        <v>40781</v>
      </c>
      <c r="O1449" s="73">
        <f>IF(Main[[#This Row],[Tech Start Date]]&lt;1/1/1990,"",IF(Main[[#This Row],[Class]]="C",WORKDAY(Main[[#This Row],[Tech Start Date]],23),IF(Main[[#This Row],[Class]]="B", WORKDAY(Main[[#This Row],[Tech Start Date]],15),IF(Main[[#This Row],[Class]]="A",WORKDAY(Main[[#This Row],[Tech Start Date]],5),""))))</f>
        <v>40784</v>
      </c>
      <c r="P1449" s="73">
        <f>IF(Main[[#This Row],[Tech Start Date]]&lt;1/1/1990,"",IF(Main[[#This Row],[Class]]="C",WORKDAY(Main[[#This Row],[Tech Start Date]],28),IF(Main[[#This Row],[Class]]="B", WORKDAY(Main[[#This Row],[Tech Start Date]],19),IF(Main[[#This Row],[Class]]="A",WORKDAY(Main[[#This Row],[Tech Start Date]],9),""))))</f>
        <v>40788</v>
      </c>
      <c r="Q1449" s="85"/>
      <c r="R1449" s="112">
        <v>40792</v>
      </c>
      <c r="S1449" s="95" t="s">
        <v>6</v>
      </c>
      <c r="T1449" s="74" t="s">
        <v>4</v>
      </c>
      <c r="U1449" s="95" t="s">
        <v>29</v>
      </c>
      <c r="V1449" s="95" t="s">
        <v>1912</v>
      </c>
      <c r="W1449" s="95" t="s">
        <v>1913</v>
      </c>
      <c r="X1449" s="95" t="s">
        <v>2796</v>
      </c>
      <c r="Y1449" s="72" t="s">
        <v>2971</v>
      </c>
      <c r="Z1449" s="72" t="s">
        <v>2047</v>
      </c>
      <c r="AA1449" s="95" t="s">
        <v>2796</v>
      </c>
      <c r="AB1449" s="132"/>
      <c r="AC1449" s="132"/>
      <c r="AD1449" s="132"/>
      <c r="AE1449" s="63"/>
      <c r="AF1449" s="63"/>
      <c r="AG1449" s="63"/>
    </row>
    <row r="1450" spans="1:33" ht="17.2" customHeight="1">
      <c r="A1450" s="64" t="str">
        <f>IF(priority(Main[[#This Row],[Comments]])&lt;&gt;0, priority(Main[[#This Row],[Comments]]),"")</f>
        <v/>
      </c>
      <c r="B1450" s="60" t="s">
        <v>2143</v>
      </c>
      <c r="C1450" s="72" t="s">
        <v>2144</v>
      </c>
      <c r="D1450" s="59" t="s">
        <v>2145</v>
      </c>
      <c r="E1450" s="85">
        <v>40778.69290509259</v>
      </c>
      <c r="F1450" s="85"/>
      <c r="G1450" s="64" t="str">
        <f>IF(stdProdLT(Main[[#This Row],[Comments]])=0.1,"N/A",IF(stdProdLT(Main[[#This Row],[Comments]])=0,"",TRIM(stdProdLT(Main[[#This Row],[Comments]]))))</f>
        <v/>
      </c>
      <c r="H1450" s="94" t="str">
        <f>IF(OR(Main[[#This Row],[Std. Prod. Lead Time]]="N/A",Main[[#This Row],[Std. Prod. Lead Time]]=""), "",IF(AND(Main[[#This Row],[In Stock Date]]&lt;&gt;"",Main[[#This Row],[Revised Due Date]]&lt;&gt;"",Main[[#This Row],[In Stock Date]]&lt;&gt;""),Main[[#This Row],[In Stock Date]]-Main[[#This Row],[Revised Due Date]],""))</f>
        <v/>
      </c>
      <c r="I1450" s="101" t="s">
        <v>941</v>
      </c>
      <c r="J1450" s="95" t="s">
        <v>28</v>
      </c>
      <c r="K1450" s="95" t="s">
        <v>1918</v>
      </c>
      <c r="L1450" s="85">
        <v>40778</v>
      </c>
      <c r="M1450" s="73">
        <f>IF(Main[[#This Row],[Tech Start Date]]&lt;1/1/1990,"",IF(Main[[#This Row],[Class]]="C",WORKDAY(Main[[#This Row],[Tech Start Date]],9),IF(Main[[#This Row],[Class]]="B", WORKDAY(Main[[#This Row],[Tech Start Date]],6),IF(Main[[#This Row],[Class]]="A",WORKDAY(Main[[#This Row],[Tech Start Date]],2),""))))</f>
        <v>40786</v>
      </c>
      <c r="N1450" s="73">
        <f>IF(Main[[#This Row],[Tech Start Date]]&lt;1/1/1990,"",IF(Main[[#This Row],[Class]]="C",WORKDAY(Main[[#This Row],[Tech Start Date]],19),IF(Main[[#This Row],[Class]]="B", WORKDAY(Main[[#This Row],[Tech Start Date]],12),IF(Main[[#This Row],[Class]]="A",WORKDAY(Main[[#This Row],[Tech Start Date]],4),""))))</f>
        <v>40794</v>
      </c>
      <c r="O1450" s="73">
        <f>IF(Main[[#This Row],[Tech Start Date]]&lt;1/1/1990,"",IF(Main[[#This Row],[Class]]="C",WORKDAY(Main[[#This Row],[Tech Start Date]],23),IF(Main[[#This Row],[Class]]="B", WORKDAY(Main[[#This Row],[Tech Start Date]],15),IF(Main[[#This Row],[Class]]="A",WORKDAY(Main[[#This Row],[Tech Start Date]],5),""))))</f>
        <v>40799</v>
      </c>
      <c r="P1450" s="73">
        <f>IF(Main[[#This Row],[Tech Start Date]]&lt;1/1/1990,"",IF(Main[[#This Row],[Class]]="C",WORKDAY(Main[[#This Row],[Tech Start Date]],28),IF(Main[[#This Row],[Class]]="B", WORKDAY(Main[[#This Row],[Tech Start Date]],19),IF(Main[[#This Row],[Class]]="A",WORKDAY(Main[[#This Row],[Tech Start Date]],9),""))))</f>
        <v>40805</v>
      </c>
      <c r="Q1450" s="85"/>
      <c r="R1450" s="112">
        <v>40807</v>
      </c>
      <c r="S1450" s="95" t="s">
        <v>6</v>
      </c>
      <c r="T1450" s="74" t="s">
        <v>4</v>
      </c>
      <c r="U1450" s="95" t="s">
        <v>29</v>
      </c>
      <c r="V1450" s="95" t="s">
        <v>1912</v>
      </c>
      <c r="W1450" s="95" t="s">
        <v>1915</v>
      </c>
      <c r="X1450" s="95" t="s">
        <v>2047</v>
      </c>
      <c r="Y1450" s="72" t="s">
        <v>3131</v>
      </c>
      <c r="Z1450" s="72" t="s">
        <v>2047</v>
      </c>
      <c r="AA1450" s="95" t="s">
        <v>2047</v>
      </c>
      <c r="AB1450" s="132"/>
      <c r="AC1450" s="132"/>
      <c r="AD1450" s="132"/>
      <c r="AE1450" s="63"/>
      <c r="AF1450" s="63"/>
      <c r="AG1450" s="63"/>
    </row>
    <row r="1451" spans="1:33" ht="17.2" customHeight="1">
      <c r="A1451" s="64" t="str">
        <f>IF(priority(Main[[#This Row],[Comments]])&lt;&gt;0, priority(Main[[#This Row],[Comments]]),"")</f>
        <v/>
      </c>
      <c r="B1451" s="60" t="s">
        <v>2147</v>
      </c>
      <c r="C1451" s="72" t="s">
        <v>2144</v>
      </c>
      <c r="D1451" s="59" t="s">
        <v>2148</v>
      </c>
      <c r="E1451" s="85">
        <v>40778.690706018519</v>
      </c>
      <c r="F1451" s="85"/>
      <c r="G1451" s="64" t="str">
        <f>IF(stdProdLT(Main[[#This Row],[Comments]])=0.1,"N/A",IF(stdProdLT(Main[[#This Row],[Comments]])=0,"",TRIM(stdProdLT(Main[[#This Row],[Comments]]))))</f>
        <v/>
      </c>
      <c r="H1451" s="94" t="str">
        <f>IF(OR(Main[[#This Row],[Std. Prod. Lead Time]]="N/A",Main[[#This Row],[Std. Prod. Lead Time]]=""), "",IF(AND(Main[[#This Row],[In Stock Date]]&lt;&gt;"",Main[[#This Row],[Revised Due Date]]&lt;&gt;"",Main[[#This Row],[In Stock Date]]&lt;&gt;""),Main[[#This Row],[In Stock Date]]-Main[[#This Row],[Revised Due Date]],""))</f>
        <v/>
      </c>
      <c r="I1451" s="101" t="s">
        <v>941</v>
      </c>
      <c r="J1451" s="95" t="s">
        <v>28</v>
      </c>
      <c r="K1451" s="96" t="s">
        <v>1920</v>
      </c>
      <c r="L1451" s="85">
        <v>40778</v>
      </c>
      <c r="M1451" s="73">
        <f>IF(Main[[#This Row],[Tech Start Date]]&lt;1/1/1990,"",IF(Main[[#This Row],[Class]]="C",WORKDAY(Main[[#This Row],[Tech Start Date]],9),IF(Main[[#This Row],[Class]]="B", WORKDAY(Main[[#This Row],[Tech Start Date]],6),IF(Main[[#This Row],[Class]]="A",WORKDAY(Main[[#This Row],[Tech Start Date]],2),""))))</f>
        <v>40780</v>
      </c>
      <c r="N1451" s="73">
        <f>IF(Main[[#This Row],[Tech Start Date]]&lt;1/1/1990,"",IF(Main[[#This Row],[Class]]="C",WORKDAY(Main[[#This Row],[Tech Start Date]],19),IF(Main[[#This Row],[Class]]="B", WORKDAY(Main[[#This Row],[Tech Start Date]],12),IF(Main[[#This Row],[Class]]="A",WORKDAY(Main[[#This Row],[Tech Start Date]],4),""))))</f>
        <v>40784</v>
      </c>
      <c r="O1451" s="73">
        <f>IF(Main[[#This Row],[Tech Start Date]]&lt;1/1/1990,"",IF(Main[[#This Row],[Class]]="C",WORKDAY(Main[[#This Row],[Tech Start Date]],23),IF(Main[[#This Row],[Class]]="B", WORKDAY(Main[[#This Row],[Tech Start Date]],15),IF(Main[[#This Row],[Class]]="A",WORKDAY(Main[[#This Row],[Tech Start Date]],5),""))))</f>
        <v>40785</v>
      </c>
      <c r="P1451" s="73">
        <f>IF(Main[[#This Row],[Tech Start Date]]&lt;1/1/1990,"",IF(Main[[#This Row],[Class]]="C",WORKDAY(Main[[#This Row],[Tech Start Date]],28),IF(Main[[#This Row],[Class]]="B", WORKDAY(Main[[#This Row],[Tech Start Date]],19),IF(Main[[#This Row],[Class]]="A",WORKDAY(Main[[#This Row],[Tech Start Date]],9),""))))</f>
        <v>40791</v>
      </c>
      <c r="Q1451" s="85"/>
      <c r="R1451" s="112">
        <v>40807</v>
      </c>
      <c r="S1451" s="95" t="s">
        <v>6</v>
      </c>
      <c r="T1451" s="74" t="s">
        <v>4</v>
      </c>
      <c r="U1451" s="95" t="s">
        <v>29</v>
      </c>
      <c r="V1451" s="95" t="s">
        <v>1912</v>
      </c>
      <c r="W1451" s="95" t="s">
        <v>1913</v>
      </c>
      <c r="X1451" s="95" t="s">
        <v>2047</v>
      </c>
      <c r="Y1451" s="72" t="s">
        <v>3131</v>
      </c>
      <c r="Z1451" s="72" t="s">
        <v>2047</v>
      </c>
      <c r="AA1451" s="95" t="s">
        <v>2047</v>
      </c>
      <c r="AB1451" s="132"/>
      <c r="AC1451" s="132"/>
      <c r="AD1451" s="132"/>
      <c r="AE1451" s="63"/>
      <c r="AF1451" s="63"/>
      <c r="AG1451" s="63"/>
    </row>
    <row r="1452" spans="1:33" ht="17.2" customHeight="1">
      <c r="A1452" s="64" t="str">
        <f>IF(priority(Main[[#This Row],[Comments]])&lt;&gt;0, priority(Main[[#This Row],[Comments]]),"")</f>
        <v/>
      </c>
      <c r="B1452" s="60" t="s">
        <v>2203</v>
      </c>
      <c r="C1452" s="72" t="s">
        <v>2204</v>
      </c>
      <c r="D1452" s="59" t="s">
        <v>2777</v>
      </c>
      <c r="E1452" s="85"/>
      <c r="F1452" s="85">
        <v>40940</v>
      </c>
      <c r="G1452" s="64" t="str">
        <f>IF(stdProdLT(Main[[#This Row],[Comments]])=0.1,"N/A",IF(stdProdLT(Main[[#This Row],[Comments]])=0,"",TRIM(stdProdLT(Main[[#This Row],[Comments]]))))</f>
        <v>112</v>
      </c>
      <c r="H1452" s="94" t="str">
        <f>IF(OR(Main[[#This Row],[Std. Prod. Lead Time]]="N/A",Main[[#This Row],[Std. Prod. Lead Time]]=""), "",IF(AND(Main[[#This Row],[In Stock Date]]&lt;&gt;"",Main[[#This Row],[Revised Due Date]]&lt;&gt;"",Main[[#This Row],[In Stock Date]]&lt;&gt;""),Main[[#This Row],[In Stock Date]]-Main[[#This Row],[Revised Due Date]],""))</f>
        <v/>
      </c>
      <c r="I1452" s="101" t="s">
        <v>937</v>
      </c>
      <c r="J1452" s="95" t="s">
        <v>28</v>
      </c>
      <c r="K1452" s="95" t="s">
        <v>1918</v>
      </c>
      <c r="L1452" s="85">
        <v>40792</v>
      </c>
      <c r="M1452" s="73">
        <f>IF(Main[[#This Row],[Tech Start Date]]&lt;1/1/1990,"",IF(Main[[#This Row],[Class]]="C",WORKDAY(Main[[#This Row],[Tech Start Date]],9),IF(Main[[#This Row],[Class]]="B", WORKDAY(Main[[#This Row],[Tech Start Date]],6),IF(Main[[#This Row],[Class]]="A",WORKDAY(Main[[#This Row],[Tech Start Date]],2),""))))</f>
        <v>40800</v>
      </c>
      <c r="N1452" s="73">
        <f>IF(Main[[#This Row],[Tech Start Date]]&lt;1/1/1990,"",IF(Main[[#This Row],[Class]]="C",WORKDAY(Main[[#This Row],[Tech Start Date]],19),IF(Main[[#This Row],[Class]]="B", WORKDAY(Main[[#This Row],[Tech Start Date]],12),IF(Main[[#This Row],[Class]]="A",WORKDAY(Main[[#This Row],[Tech Start Date]],4),""))))</f>
        <v>40808</v>
      </c>
      <c r="O1452" s="73">
        <f>IF(Main[[#This Row],[Tech Start Date]]&lt;1/1/1990,"",IF(Main[[#This Row],[Class]]="C",WORKDAY(Main[[#This Row],[Tech Start Date]],23),IF(Main[[#This Row],[Class]]="B", WORKDAY(Main[[#This Row],[Tech Start Date]],15),IF(Main[[#This Row],[Class]]="A",WORKDAY(Main[[#This Row],[Tech Start Date]],5),""))))</f>
        <v>40813</v>
      </c>
      <c r="P1452" s="73">
        <f>IF(Main[[#This Row],[Tech Start Date]]&lt;1/1/1990,"",IF(Main[[#This Row],[Class]]="C",WORKDAY(Main[[#This Row],[Tech Start Date]],28),IF(Main[[#This Row],[Class]]="B", WORKDAY(Main[[#This Row],[Tech Start Date]],19),IF(Main[[#This Row],[Class]]="A",WORKDAY(Main[[#This Row],[Tech Start Date]],9),""))))</f>
        <v>40819</v>
      </c>
      <c r="Q1452" s="85">
        <v>40792</v>
      </c>
      <c r="R1452" s="112"/>
      <c r="S1452" s="95" t="s">
        <v>11</v>
      </c>
      <c r="T1452" s="74" t="s">
        <v>3275</v>
      </c>
      <c r="U1452" s="95" t="s">
        <v>14</v>
      </c>
      <c r="V1452" s="95" t="s">
        <v>1911</v>
      </c>
      <c r="W1452" s="95" t="s">
        <v>1916</v>
      </c>
      <c r="X1452" s="95" t="s">
        <v>2812</v>
      </c>
      <c r="Y1452" s="72" t="s">
        <v>2961</v>
      </c>
      <c r="Z1452" s="72" t="s">
        <v>129</v>
      </c>
      <c r="AA1452" s="95" t="s">
        <v>2829</v>
      </c>
      <c r="AB1452" s="132"/>
      <c r="AC1452" s="132"/>
      <c r="AD1452" s="132"/>
      <c r="AE1452" s="63"/>
      <c r="AF1452" s="63"/>
      <c r="AG1452" s="63"/>
    </row>
    <row r="1453" spans="1:33" ht="17.2" customHeight="1">
      <c r="A1453" s="64" t="str">
        <f>IF(priority(Main[[#This Row],[Comments]])&lt;&gt;0, priority(Main[[#This Row],[Comments]]),"")</f>
        <v/>
      </c>
      <c r="B1453" s="60" t="s">
        <v>2195</v>
      </c>
      <c r="C1453" s="72" t="s">
        <v>116</v>
      </c>
      <c r="D1453" s="59" t="s">
        <v>2196</v>
      </c>
      <c r="E1453" s="85">
        <v>40787.614270833335</v>
      </c>
      <c r="F1453" s="85"/>
      <c r="G1453" s="64" t="str">
        <f>IF(stdProdLT(Main[[#This Row],[Comments]])=0.1,"N/A",IF(stdProdLT(Main[[#This Row],[Comments]])=0,"",TRIM(stdProdLT(Main[[#This Row],[Comments]]))))</f>
        <v/>
      </c>
      <c r="H1453" s="94" t="str">
        <f>IF(OR(Main[[#This Row],[Std. Prod. Lead Time]]="N/A",Main[[#This Row],[Std. Prod. Lead Time]]=""), "",IF(AND(Main[[#This Row],[In Stock Date]]&lt;&gt;"",Main[[#This Row],[Revised Due Date]]&lt;&gt;"",Main[[#This Row],[In Stock Date]]&lt;&gt;""),Main[[#This Row],[In Stock Date]]-Main[[#This Row],[Revised Due Date]],""))</f>
        <v/>
      </c>
      <c r="I1453" s="101" t="s">
        <v>2243</v>
      </c>
      <c r="J1453" s="95" t="s">
        <v>28</v>
      </c>
      <c r="K1453" s="95" t="s">
        <v>1924</v>
      </c>
      <c r="L1453" s="85">
        <v>40798</v>
      </c>
      <c r="M1453" s="73">
        <f>IF(Main[[#This Row],[Tech Start Date]]&lt;1/1/1990,"",IF(Main[[#This Row],[Class]]="C",WORKDAY(Main[[#This Row],[Tech Start Date]],9),IF(Main[[#This Row],[Class]]="B", WORKDAY(Main[[#This Row],[Tech Start Date]],6),IF(Main[[#This Row],[Class]]="A",WORKDAY(Main[[#This Row],[Tech Start Date]],2),""))))</f>
        <v>40809</v>
      </c>
      <c r="N1453" s="73">
        <f>IF(Main[[#This Row],[Tech Start Date]]&lt;1/1/1990,"",IF(Main[[#This Row],[Class]]="C",WORKDAY(Main[[#This Row],[Tech Start Date]],19),IF(Main[[#This Row],[Class]]="B", WORKDAY(Main[[#This Row],[Tech Start Date]],12),IF(Main[[#This Row],[Class]]="A",WORKDAY(Main[[#This Row],[Tech Start Date]],4),""))))</f>
        <v>40823</v>
      </c>
      <c r="O1453" s="73">
        <f>IF(Main[[#This Row],[Tech Start Date]]&lt;1/1/1990,"",IF(Main[[#This Row],[Class]]="C",WORKDAY(Main[[#This Row],[Tech Start Date]],23),IF(Main[[#This Row],[Class]]="B", WORKDAY(Main[[#This Row],[Tech Start Date]],15),IF(Main[[#This Row],[Class]]="A",WORKDAY(Main[[#This Row],[Tech Start Date]],5),""))))</f>
        <v>40829</v>
      </c>
      <c r="P1453" s="73">
        <f>IF(Main[[#This Row],[Tech Start Date]]&lt;1/1/1990,"",IF(Main[[#This Row],[Class]]="C",WORKDAY(Main[[#This Row],[Tech Start Date]],28),IF(Main[[#This Row],[Class]]="B", WORKDAY(Main[[#This Row],[Tech Start Date]],19),IF(Main[[#This Row],[Class]]="A",WORKDAY(Main[[#This Row],[Tech Start Date]],9),""))))</f>
        <v>40836</v>
      </c>
      <c r="Q1453" s="85">
        <v>40914</v>
      </c>
      <c r="R1453" s="112">
        <v>40841</v>
      </c>
      <c r="S1453" s="95" t="s">
        <v>6</v>
      </c>
      <c r="T1453" s="74" t="s">
        <v>4</v>
      </c>
      <c r="U1453" s="95" t="s">
        <v>29</v>
      </c>
      <c r="V1453" s="95" t="s">
        <v>1912</v>
      </c>
      <c r="W1453" s="95" t="s">
        <v>1913</v>
      </c>
      <c r="X1453" s="95" t="s">
        <v>2047</v>
      </c>
      <c r="Y1453" s="72" t="s">
        <v>3131</v>
      </c>
      <c r="Z1453" s="72" t="s">
        <v>2047</v>
      </c>
      <c r="AA1453" s="95" t="s">
        <v>2047</v>
      </c>
      <c r="AB1453" s="132"/>
      <c r="AC1453" s="132"/>
      <c r="AD1453" s="132"/>
      <c r="AE1453" s="63"/>
      <c r="AF1453" s="63"/>
      <c r="AG1453" s="63"/>
    </row>
    <row r="1454" spans="1:33" ht="17.2" customHeight="1">
      <c r="A1454" s="64" t="str">
        <f>IF(priority(Main[[#This Row],[Comments]])&lt;&gt;0, priority(Main[[#This Row],[Comments]]),"")</f>
        <v/>
      </c>
      <c r="B1454" s="60" t="s">
        <v>2172</v>
      </c>
      <c r="C1454" s="72" t="s">
        <v>4</v>
      </c>
      <c r="D1454" s="59" t="s">
        <v>2173</v>
      </c>
      <c r="E1454" s="85">
        <v>40787.619050925925</v>
      </c>
      <c r="F1454" s="85"/>
      <c r="G1454" s="64" t="str">
        <f>IF(stdProdLT(Main[[#This Row],[Comments]])=0.1,"N/A",IF(stdProdLT(Main[[#This Row],[Comments]])=0,"",TRIM(stdProdLT(Main[[#This Row],[Comments]]))))</f>
        <v/>
      </c>
      <c r="H1454" s="94" t="str">
        <f>IF(OR(Main[[#This Row],[Std. Prod. Lead Time]]="N/A",Main[[#This Row],[Std. Prod. Lead Time]]=""), "",IF(AND(Main[[#This Row],[In Stock Date]]&lt;&gt;"",Main[[#This Row],[Revised Due Date]]&lt;&gt;"",Main[[#This Row],[In Stock Date]]&lt;&gt;""),Main[[#This Row],[In Stock Date]]-Main[[#This Row],[Revised Due Date]],""))</f>
        <v/>
      </c>
      <c r="I1454" s="101" t="s">
        <v>940</v>
      </c>
      <c r="J1454" s="95" t="s">
        <v>28</v>
      </c>
      <c r="K1454" s="95" t="s">
        <v>1924</v>
      </c>
      <c r="L1454" s="85">
        <v>40798</v>
      </c>
      <c r="M1454" s="73">
        <f>IF(Main[[#This Row],[Tech Start Date]]&lt;1/1/1990,"",IF(Main[[#This Row],[Class]]="C",WORKDAY(Main[[#This Row],[Tech Start Date]],9),IF(Main[[#This Row],[Class]]="B", WORKDAY(Main[[#This Row],[Tech Start Date]],6),IF(Main[[#This Row],[Class]]="A",WORKDAY(Main[[#This Row],[Tech Start Date]],2),""))))</f>
        <v>40809</v>
      </c>
      <c r="N1454" s="73">
        <f>IF(Main[[#This Row],[Tech Start Date]]&lt;1/1/1990,"",IF(Main[[#This Row],[Class]]="C",WORKDAY(Main[[#This Row],[Tech Start Date]],19),IF(Main[[#This Row],[Class]]="B", WORKDAY(Main[[#This Row],[Tech Start Date]],12),IF(Main[[#This Row],[Class]]="A",WORKDAY(Main[[#This Row],[Tech Start Date]],4),""))))</f>
        <v>40823</v>
      </c>
      <c r="O1454" s="73">
        <f>IF(Main[[#This Row],[Tech Start Date]]&lt;1/1/1990,"",IF(Main[[#This Row],[Class]]="C",WORKDAY(Main[[#This Row],[Tech Start Date]],23),IF(Main[[#This Row],[Class]]="B", WORKDAY(Main[[#This Row],[Tech Start Date]],15),IF(Main[[#This Row],[Class]]="A",WORKDAY(Main[[#This Row],[Tech Start Date]],5),""))))</f>
        <v>40829</v>
      </c>
      <c r="P1454" s="73">
        <f>IF(Main[[#This Row],[Tech Start Date]]&lt;1/1/1990,"",IF(Main[[#This Row],[Class]]="C",WORKDAY(Main[[#This Row],[Tech Start Date]],28),IF(Main[[#This Row],[Class]]="B", WORKDAY(Main[[#This Row],[Tech Start Date]],19),IF(Main[[#This Row],[Class]]="A",WORKDAY(Main[[#This Row],[Tech Start Date]],9),""))))</f>
        <v>40836</v>
      </c>
      <c r="Q1454" s="85">
        <v>40914</v>
      </c>
      <c r="R1454" s="112">
        <v>40841</v>
      </c>
      <c r="S1454" s="95" t="s">
        <v>6</v>
      </c>
      <c r="T1454" s="74" t="s">
        <v>4</v>
      </c>
      <c r="U1454" s="95" t="s">
        <v>29</v>
      </c>
      <c r="V1454" s="95" t="s">
        <v>1912</v>
      </c>
      <c r="W1454" s="95" t="s">
        <v>1913</v>
      </c>
      <c r="X1454" s="95" t="s">
        <v>2047</v>
      </c>
      <c r="Y1454" s="72" t="s">
        <v>3131</v>
      </c>
      <c r="Z1454" s="72" t="s">
        <v>2047</v>
      </c>
      <c r="AA1454" s="95" t="s">
        <v>2047</v>
      </c>
      <c r="AB1454" s="132"/>
      <c r="AC1454" s="132"/>
      <c r="AD1454" s="132"/>
      <c r="AE1454" s="63"/>
      <c r="AF1454" s="63"/>
      <c r="AG1454" s="63"/>
    </row>
    <row r="1455" spans="1:33" ht="17.2" customHeight="1">
      <c r="A1455" s="64" t="str">
        <f>IF(priority(Main[[#This Row],[Comments]])&lt;&gt;0, priority(Main[[#This Row],[Comments]]),"")</f>
        <v/>
      </c>
      <c r="B1455" s="60" t="s">
        <v>2223</v>
      </c>
      <c r="C1455" s="72" t="s">
        <v>2224</v>
      </c>
      <c r="D1455" s="59" t="s">
        <v>2225</v>
      </c>
      <c r="E1455" s="85"/>
      <c r="F1455" s="85">
        <v>40814</v>
      </c>
      <c r="G1455" s="64" t="str">
        <f>IF(stdProdLT(Main[[#This Row],[Comments]])=0.1,"N/A",IF(stdProdLT(Main[[#This Row],[Comments]])=0,"",TRIM(stdProdLT(Main[[#This Row],[Comments]]))))</f>
        <v>112</v>
      </c>
      <c r="H1455" s="94">
        <f>IF(OR(Main[[#This Row],[Std. Prod. Lead Time]]="N/A",Main[[#This Row],[Std. Prod. Lead Time]]=""), "",IF(AND(Main[[#This Row],[In Stock Date]]&lt;&gt;"",Main[[#This Row],[Revised Due Date]]&lt;&gt;"",Main[[#This Row],[In Stock Date]]&lt;&gt;""),Main[[#This Row],[In Stock Date]]-Main[[#This Row],[Revised Due Date]],""))</f>
        <v>-6</v>
      </c>
      <c r="I1455" s="101" t="s">
        <v>2038</v>
      </c>
      <c r="J1455" s="95" t="s">
        <v>28</v>
      </c>
      <c r="K1455" s="95" t="s">
        <v>1920</v>
      </c>
      <c r="L1455" s="85">
        <v>40805</v>
      </c>
      <c r="M1455" s="73">
        <f>IF(Main[[#This Row],[Tech Start Date]]&lt;1/1/1990,"",IF(Main[[#This Row],[Class]]="C",WORKDAY(Main[[#This Row],[Tech Start Date]],9),IF(Main[[#This Row],[Class]]="B", WORKDAY(Main[[#This Row],[Tech Start Date]],6),IF(Main[[#This Row],[Class]]="A",WORKDAY(Main[[#This Row],[Tech Start Date]],2),""))))</f>
        <v>40807</v>
      </c>
      <c r="N1455" s="73">
        <f>IF(Main[[#This Row],[Tech Start Date]]&lt;1/1/1990,"",IF(Main[[#This Row],[Class]]="C",WORKDAY(Main[[#This Row],[Tech Start Date]],19),IF(Main[[#This Row],[Class]]="B", WORKDAY(Main[[#This Row],[Tech Start Date]],12),IF(Main[[#This Row],[Class]]="A",WORKDAY(Main[[#This Row],[Tech Start Date]],4),""))))</f>
        <v>40809</v>
      </c>
      <c r="O1455" s="73">
        <f>IF(Main[[#This Row],[Tech Start Date]]&lt;1/1/1990,"",IF(Main[[#This Row],[Class]]="C",WORKDAY(Main[[#This Row],[Tech Start Date]],23),IF(Main[[#This Row],[Class]]="B", WORKDAY(Main[[#This Row],[Tech Start Date]],15),IF(Main[[#This Row],[Class]]="A",WORKDAY(Main[[#This Row],[Tech Start Date]],5),""))))</f>
        <v>40812</v>
      </c>
      <c r="P1455" s="73">
        <f>IF(Main[[#This Row],[Tech Start Date]]&lt;1/1/1990,"",IF(Main[[#This Row],[Class]]="C",WORKDAY(Main[[#This Row],[Tech Start Date]],28),IF(Main[[#This Row],[Class]]="B", WORKDAY(Main[[#This Row],[Tech Start Date]],19),IF(Main[[#This Row],[Class]]="A",WORKDAY(Main[[#This Row],[Tech Start Date]],9),""))))</f>
        <v>40816</v>
      </c>
      <c r="Q1455" s="85">
        <v>40819</v>
      </c>
      <c r="R1455" s="112">
        <v>40820</v>
      </c>
      <c r="S1455" s="95" t="s">
        <v>11</v>
      </c>
      <c r="T1455" s="74" t="s">
        <v>2257</v>
      </c>
      <c r="U1455" s="95" t="s">
        <v>14</v>
      </c>
      <c r="V1455" s="95" t="s">
        <v>1914</v>
      </c>
      <c r="W1455" s="95" t="s">
        <v>1919</v>
      </c>
      <c r="X1455" s="95" t="s">
        <v>2901</v>
      </c>
      <c r="Y1455" s="72" t="s">
        <v>4</v>
      </c>
      <c r="Z1455" s="72" t="s">
        <v>2038</v>
      </c>
      <c r="AA1455" s="95" t="s">
        <v>2901</v>
      </c>
      <c r="AB1455" s="132"/>
      <c r="AC1455" s="132"/>
      <c r="AD1455" s="132"/>
      <c r="AE1455" s="63"/>
      <c r="AF1455" s="63"/>
      <c r="AG1455" s="63"/>
    </row>
    <row r="1456" spans="1:33" ht="17.2" customHeight="1">
      <c r="A1456" s="64" t="str">
        <f>IF(priority(Main[[#This Row],[Comments]])&lt;&gt;0, priority(Main[[#This Row],[Comments]]),"")</f>
        <v/>
      </c>
      <c r="B1456" s="60" t="s">
        <v>2090</v>
      </c>
      <c r="C1456" s="72" t="s">
        <v>4</v>
      </c>
      <c r="D1456" s="59" t="s">
        <v>2778</v>
      </c>
      <c r="E1456" s="85">
        <v>40760.556030092594</v>
      </c>
      <c r="F1456" s="85"/>
      <c r="G1456" s="64" t="str">
        <f>IF(stdProdLT(Main[[#This Row],[Comments]])=0.1,"N/A",IF(stdProdLT(Main[[#This Row],[Comments]])=0,"",TRIM(stdProdLT(Main[[#This Row],[Comments]]))))</f>
        <v/>
      </c>
      <c r="H1456" s="94" t="str">
        <f>IF(OR(Main[[#This Row],[Std. Prod. Lead Time]]="N/A",Main[[#This Row],[Std. Prod. Lead Time]]=""), "",IF(AND(Main[[#This Row],[In Stock Date]]&lt;&gt;"",Main[[#This Row],[Revised Due Date]]&lt;&gt;"",Main[[#This Row],[In Stock Date]]&lt;&gt;""),Main[[#This Row],[In Stock Date]]-Main[[#This Row],[Revised Due Date]],""))</f>
        <v/>
      </c>
      <c r="I1456" s="101" t="s">
        <v>889</v>
      </c>
      <c r="J1456" s="95" t="s">
        <v>4</v>
      </c>
      <c r="K1456" s="95" t="s">
        <v>1923</v>
      </c>
      <c r="L1456" s="85">
        <v>40805</v>
      </c>
      <c r="M1456" s="73" t="str">
        <f>IF(Main[[#This Row],[Tech Start Date]]&lt;1/1/1990,"",IF(Main[[#This Row],[Class]]="C",WORKDAY(Main[[#This Row],[Tech Start Date]],9),IF(Main[[#This Row],[Class]]="B", WORKDAY(Main[[#This Row],[Tech Start Date]],6),IF(Main[[#This Row],[Class]]="A",WORKDAY(Main[[#This Row],[Tech Start Date]],2),""))))</f>
        <v/>
      </c>
      <c r="N1456" s="73" t="str">
        <f>IF(Main[[#This Row],[Tech Start Date]]&lt;1/1/1990,"",IF(Main[[#This Row],[Class]]="C",WORKDAY(Main[[#This Row],[Tech Start Date]],19),IF(Main[[#This Row],[Class]]="B", WORKDAY(Main[[#This Row],[Tech Start Date]],12),IF(Main[[#This Row],[Class]]="A",WORKDAY(Main[[#This Row],[Tech Start Date]],4),""))))</f>
        <v/>
      </c>
      <c r="O1456" s="73" t="str">
        <f>IF(Main[[#This Row],[Tech Start Date]]&lt;1/1/1990,"",IF(Main[[#This Row],[Class]]="C",WORKDAY(Main[[#This Row],[Tech Start Date]],23),IF(Main[[#This Row],[Class]]="B", WORKDAY(Main[[#This Row],[Tech Start Date]],15),IF(Main[[#This Row],[Class]]="A",WORKDAY(Main[[#This Row],[Tech Start Date]],5),""))))</f>
        <v/>
      </c>
      <c r="P1456" s="73" t="str">
        <f>IF(Main[[#This Row],[Tech Start Date]]&lt;1/1/1990,"",IF(Main[[#This Row],[Class]]="C",WORKDAY(Main[[#This Row],[Tech Start Date]],28),IF(Main[[#This Row],[Class]]="B", WORKDAY(Main[[#This Row],[Tech Start Date]],19),IF(Main[[#This Row],[Class]]="A",WORKDAY(Main[[#This Row],[Tech Start Date]],9),""))))</f>
        <v/>
      </c>
      <c r="Q1456" s="85"/>
      <c r="R1456" s="112">
        <v>41075</v>
      </c>
      <c r="S1456" s="95" t="s">
        <v>6</v>
      </c>
      <c r="T1456" s="74" t="s">
        <v>4</v>
      </c>
      <c r="U1456" s="95" t="s">
        <v>29</v>
      </c>
      <c r="V1456" s="95" t="s">
        <v>1911</v>
      </c>
      <c r="W1456" s="95" t="s">
        <v>1915</v>
      </c>
      <c r="X1456" s="95" t="s">
        <v>306</v>
      </c>
      <c r="Y1456" s="72" t="s">
        <v>4</v>
      </c>
      <c r="Z1456" s="72" t="s">
        <v>877</v>
      </c>
      <c r="AA1456" s="95" t="s">
        <v>4</v>
      </c>
      <c r="AB1456" s="132"/>
      <c r="AC1456" s="132"/>
      <c r="AD1456" s="132"/>
      <c r="AE1456" s="63"/>
      <c r="AF1456" s="63"/>
      <c r="AG1456" s="63"/>
    </row>
    <row r="1457" spans="1:33" ht="17.2" customHeight="1">
      <c r="A1457" s="64" t="str">
        <f>IF(priority(Main[[#This Row],[Comments]])&lt;&gt;0, priority(Main[[#This Row],[Comments]]),"")</f>
        <v/>
      </c>
      <c r="B1457" s="60" t="s">
        <v>2601</v>
      </c>
      <c r="C1457" s="72" t="s">
        <v>518</v>
      </c>
      <c r="D1457" s="59" t="s">
        <v>2602</v>
      </c>
      <c r="E1457" s="85"/>
      <c r="F1457" s="85">
        <v>40854</v>
      </c>
      <c r="G1457" s="64" t="str">
        <f>IF(stdProdLT(Main[[#This Row],[Comments]])=0.1,"N/A",IF(stdProdLT(Main[[#This Row],[Comments]])=0,"",TRIM(stdProdLT(Main[[#This Row],[Comments]]))))</f>
        <v>98</v>
      </c>
      <c r="H1457" s="94">
        <f>IF(OR(Main[[#This Row],[Std. Prod. Lead Time]]="N/A",Main[[#This Row],[Std. Prod. Lead Time]]=""), "",IF(AND(Main[[#This Row],[In Stock Date]]&lt;&gt;"",Main[[#This Row],[Revised Due Date]]&lt;&gt;"",Main[[#This Row],[In Stock Date]]&lt;&gt;""),Main[[#This Row],[In Stock Date]]-Main[[#This Row],[Revised Due Date]],""))</f>
        <v>18</v>
      </c>
      <c r="I1457" s="101" t="s">
        <v>2038</v>
      </c>
      <c r="J1457" s="95" t="s">
        <v>28</v>
      </c>
      <c r="K1457" s="95" t="s">
        <v>1920</v>
      </c>
      <c r="L1457" s="85">
        <v>40821</v>
      </c>
      <c r="M1457" s="73">
        <f>IF(Main[[#This Row],[Tech Start Date]]&lt;1/1/1990,"",IF(Main[[#This Row],[Class]]="C",WORKDAY(Main[[#This Row],[Tech Start Date]],9),IF(Main[[#This Row],[Class]]="B", WORKDAY(Main[[#This Row],[Tech Start Date]],6),IF(Main[[#This Row],[Class]]="A",WORKDAY(Main[[#This Row],[Tech Start Date]],2),""))))</f>
        <v>40823</v>
      </c>
      <c r="N1457" s="73">
        <f>IF(Main[[#This Row],[Tech Start Date]]&lt;1/1/1990,"",IF(Main[[#This Row],[Class]]="C",WORKDAY(Main[[#This Row],[Tech Start Date]],19),IF(Main[[#This Row],[Class]]="B", WORKDAY(Main[[#This Row],[Tech Start Date]],12),IF(Main[[#This Row],[Class]]="A",WORKDAY(Main[[#This Row],[Tech Start Date]],4),""))))</f>
        <v>40827</v>
      </c>
      <c r="O1457" s="73">
        <f>IF(Main[[#This Row],[Tech Start Date]]&lt;1/1/1990,"",IF(Main[[#This Row],[Class]]="C",WORKDAY(Main[[#This Row],[Tech Start Date]],23),IF(Main[[#This Row],[Class]]="B", WORKDAY(Main[[#This Row],[Tech Start Date]],15),IF(Main[[#This Row],[Class]]="A",WORKDAY(Main[[#This Row],[Tech Start Date]],5),""))))</f>
        <v>40828</v>
      </c>
      <c r="P1457" s="73">
        <f>IF(Main[[#This Row],[Tech Start Date]]&lt;1/1/1990,"",IF(Main[[#This Row],[Class]]="C",WORKDAY(Main[[#This Row],[Tech Start Date]],28),IF(Main[[#This Row],[Class]]="B", WORKDAY(Main[[#This Row],[Tech Start Date]],19),IF(Main[[#This Row],[Class]]="A",WORKDAY(Main[[#This Row],[Tech Start Date]],9),""))))</f>
        <v>40834</v>
      </c>
      <c r="Q1457" s="85"/>
      <c r="R1457" s="112">
        <v>40836</v>
      </c>
      <c r="S1457" s="95" t="s">
        <v>11</v>
      </c>
      <c r="T1457" s="74" t="s">
        <v>2603</v>
      </c>
      <c r="U1457" s="95" t="s">
        <v>14</v>
      </c>
      <c r="V1457" s="95" t="s">
        <v>1914</v>
      </c>
      <c r="W1457" s="95" t="s">
        <v>1919</v>
      </c>
      <c r="X1457" s="95" t="s">
        <v>50</v>
      </c>
      <c r="Y1457" s="72" t="s">
        <v>3133</v>
      </c>
      <c r="Z1457" s="72" t="s">
        <v>530</v>
      </c>
      <c r="AA1457" s="95" t="s">
        <v>3437</v>
      </c>
      <c r="AB1457" s="132"/>
      <c r="AC1457" s="132"/>
      <c r="AD1457" s="132"/>
      <c r="AE1457" s="63"/>
      <c r="AF1457" s="63"/>
      <c r="AG1457" s="63"/>
    </row>
    <row r="1458" spans="1:33" ht="17.2" customHeight="1">
      <c r="A1458" s="64" t="str">
        <f>IF(priority(Main[[#This Row],[Comments]])&lt;&gt;0, priority(Main[[#This Row],[Comments]]),"")</f>
        <v/>
      </c>
      <c r="B1458" s="60" t="s">
        <v>2604</v>
      </c>
      <c r="C1458" s="72" t="s">
        <v>116</v>
      </c>
      <c r="D1458" s="59" t="s">
        <v>2605</v>
      </c>
      <c r="E1458" s="85">
        <v>40823.419490740744</v>
      </c>
      <c r="F1458" s="85"/>
      <c r="G1458" s="64" t="str">
        <f>IF(stdProdLT(Main[[#This Row],[Comments]])=0.1,"N/A",IF(stdProdLT(Main[[#This Row],[Comments]])=0,"",TRIM(stdProdLT(Main[[#This Row],[Comments]]))))</f>
        <v/>
      </c>
      <c r="H1458" s="94" t="str">
        <f>IF(OR(Main[[#This Row],[Std. Prod. Lead Time]]="N/A",Main[[#This Row],[Std. Prod. Lead Time]]=""), "",IF(AND(Main[[#This Row],[In Stock Date]]&lt;&gt;"",Main[[#This Row],[Revised Due Date]]&lt;&gt;"",Main[[#This Row],[In Stock Date]]&lt;&gt;""),Main[[#This Row],[In Stock Date]]-Main[[#This Row],[Revised Due Date]],""))</f>
        <v/>
      </c>
      <c r="I1458" s="101" t="s">
        <v>239</v>
      </c>
      <c r="J1458" s="95" t="s">
        <v>21</v>
      </c>
      <c r="K1458" s="95" t="s">
        <v>1918</v>
      </c>
      <c r="L1458" s="85">
        <v>40823</v>
      </c>
      <c r="M1458" s="73">
        <f>IF(Main[[#This Row],[Tech Start Date]]&lt;1/1/1990,"",IF(Main[[#This Row],[Class]]="C",WORKDAY(Main[[#This Row],[Tech Start Date]],9),IF(Main[[#This Row],[Class]]="B", WORKDAY(Main[[#This Row],[Tech Start Date]],6),IF(Main[[#This Row],[Class]]="A",WORKDAY(Main[[#This Row],[Tech Start Date]],2),""))))</f>
        <v>40833</v>
      </c>
      <c r="N1458" s="73">
        <f>IF(Main[[#This Row],[Tech Start Date]]&lt;1/1/1990,"",IF(Main[[#This Row],[Class]]="C",WORKDAY(Main[[#This Row],[Tech Start Date]],19),IF(Main[[#This Row],[Class]]="B", WORKDAY(Main[[#This Row],[Tech Start Date]],12),IF(Main[[#This Row],[Class]]="A",WORKDAY(Main[[#This Row],[Tech Start Date]],4),""))))</f>
        <v>40841</v>
      </c>
      <c r="O1458" s="73">
        <f>IF(Main[[#This Row],[Tech Start Date]]&lt;1/1/1990,"",IF(Main[[#This Row],[Class]]="C",WORKDAY(Main[[#This Row],[Tech Start Date]],23),IF(Main[[#This Row],[Class]]="B", WORKDAY(Main[[#This Row],[Tech Start Date]],15),IF(Main[[#This Row],[Class]]="A",WORKDAY(Main[[#This Row],[Tech Start Date]],5),""))))</f>
        <v>40844</v>
      </c>
      <c r="P1458" s="73">
        <f>IF(Main[[#This Row],[Tech Start Date]]&lt;1/1/1990,"",IF(Main[[#This Row],[Class]]="C",WORKDAY(Main[[#This Row],[Tech Start Date]],28),IF(Main[[#This Row],[Class]]="B", WORKDAY(Main[[#This Row],[Tech Start Date]],19),IF(Main[[#This Row],[Class]]="A",WORKDAY(Main[[#This Row],[Tech Start Date]],9),""))))</f>
        <v>40850</v>
      </c>
      <c r="Q1458" s="85"/>
      <c r="R1458" s="112">
        <v>40837</v>
      </c>
      <c r="S1458" s="95" t="s">
        <v>6</v>
      </c>
      <c r="T1458" s="74" t="s">
        <v>4</v>
      </c>
      <c r="U1458" s="95" t="s">
        <v>29</v>
      </c>
      <c r="V1458" s="95" t="s">
        <v>1914</v>
      </c>
      <c r="W1458" s="95" t="s">
        <v>1915</v>
      </c>
      <c r="X1458" s="95" t="s">
        <v>2038</v>
      </c>
      <c r="Y1458" s="72" t="s">
        <v>3134</v>
      </c>
      <c r="Z1458" s="72" t="s">
        <v>530</v>
      </c>
      <c r="AA1458" s="95" t="s">
        <v>2038</v>
      </c>
      <c r="AB1458" s="132"/>
      <c r="AC1458" s="132"/>
      <c r="AD1458" s="132"/>
      <c r="AE1458" s="63"/>
      <c r="AF1458" s="63"/>
      <c r="AG1458" s="63"/>
    </row>
    <row r="1459" spans="1:33" ht="17.2" customHeight="1">
      <c r="A1459" s="64" t="str">
        <f>IF(priority(Main[[#This Row],[Comments]])&lt;&gt;0, priority(Main[[#This Row],[Comments]]),"")</f>
        <v/>
      </c>
      <c r="B1459" s="60" t="s">
        <v>2284</v>
      </c>
      <c r="C1459" s="72" t="s">
        <v>2285</v>
      </c>
      <c r="D1459" s="59" t="s">
        <v>3701</v>
      </c>
      <c r="E1459" s="85">
        <v>40814.583657407406</v>
      </c>
      <c r="F1459" s="85">
        <v>41150</v>
      </c>
      <c r="G1459" s="64" t="str">
        <f>IF(stdProdLT(Main[[#This Row],[Comments]])=0.1,"N/A",IF(stdProdLT(Main[[#This Row],[Comments]])=0,"",TRIM(stdProdLT(Main[[#This Row],[Comments]]))))</f>
        <v>112</v>
      </c>
      <c r="H1459" s="94" t="str">
        <f>IF(OR(Main[[#This Row],[Std. Prod. Lead Time]]="N/A",Main[[#This Row],[Std. Prod. Lead Time]]=""), "",IF(AND(Main[[#This Row],[In Stock Date]]&lt;&gt;"",Main[[#This Row],[Revised Due Date]]&lt;&gt;"",Main[[#This Row],[In Stock Date]]&lt;&gt;""),Main[[#This Row],[In Stock Date]]-Main[[#This Row],[Revised Due Date]],""))</f>
        <v/>
      </c>
      <c r="I1459" s="101" t="s">
        <v>561</v>
      </c>
      <c r="J1459" s="95" t="s">
        <v>28</v>
      </c>
      <c r="K1459" s="95" t="s">
        <v>1924</v>
      </c>
      <c r="L1459" s="85">
        <v>40828</v>
      </c>
      <c r="M1459" s="73">
        <f>IF(Main[[#This Row],[Tech Start Date]]&lt;1/1/1990,"",IF(Main[[#This Row],[Class]]="C",WORKDAY(Main[[#This Row],[Tech Start Date]],9),IF(Main[[#This Row],[Class]]="B", WORKDAY(Main[[#This Row],[Tech Start Date]],6),IF(Main[[#This Row],[Class]]="A",WORKDAY(Main[[#This Row],[Tech Start Date]],2),""))))</f>
        <v>40841</v>
      </c>
      <c r="N1459" s="73">
        <f>IF(Main[[#This Row],[Tech Start Date]]&lt;1/1/1990,"",IF(Main[[#This Row],[Class]]="C",WORKDAY(Main[[#This Row],[Tech Start Date]],19),IF(Main[[#This Row],[Class]]="B", WORKDAY(Main[[#This Row],[Tech Start Date]],12),IF(Main[[#This Row],[Class]]="A",WORKDAY(Main[[#This Row],[Tech Start Date]],4),""))))</f>
        <v>40855</v>
      </c>
      <c r="O1459" s="73">
        <f>IF(Main[[#This Row],[Tech Start Date]]&lt;1/1/1990,"",IF(Main[[#This Row],[Class]]="C",WORKDAY(Main[[#This Row],[Tech Start Date]],23),IF(Main[[#This Row],[Class]]="B", WORKDAY(Main[[#This Row],[Tech Start Date]],15),IF(Main[[#This Row],[Class]]="A",WORKDAY(Main[[#This Row],[Tech Start Date]],5),""))))</f>
        <v>40861</v>
      </c>
      <c r="P1459" s="73">
        <f>IF(Main[[#This Row],[Tech Start Date]]&lt;1/1/1990,"",IF(Main[[#This Row],[Class]]="C",WORKDAY(Main[[#This Row],[Tech Start Date]],28),IF(Main[[#This Row],[Class]]="B", WORKDAY(Main[[#This Row],[Tech Start Date]],19),IF(Main[[#This Row],[Class]]="A",WORKDAY(Main[[#This Row],[Tech Start Date]],9),""))))</f>
        <v>40868</v>
      </c>
      <c r="Q1459" s="85">
        <v>40876</v>
      </c>
      <c r="R1459" s="112"/>
      <c r="S1459" s="95" t="s">
        <v>11</v>
      </c>
      <c r="T1459" s="74" t="s">
        <v>3702</v>
      </c>
      <c r="U1459" s="95" t="s">
        <v>534</v>
      </c>
      <c r="V1459" s="95" t="s">
        <v>1911</v>
      </c>
      <c r="W1459" s="95" t="s">
        <v>1917</v>
      </c>
      <c r="X1459" s="95" t="s">
        <v>2902</v>
      </c>
      <c r="Y1459" s="72" t="s">
        <v>4</v>
      </c>
      <c r="Z1459" s="72" t="s">
        <v>129</v>
      </c>
      <c r="AA1459" s="95" t="s">
        <v>3438</v>
      </c>
      <c r="AB1459" s="132"/>
      <c r="AC1459" s="132"/>
      <c r="AD1459" s="132"/>
      <c r="AE1459" s="63"/>
      <c r="AF1459" s="63"/>
      <c r="AG1459" s="63"/>
    </row>
    <row r="1460" spans="1:33" ht="17.2" customHeight="1">
      <c r="A1460" s="64" t="str">
        <f>IF(priority(Main[[#This Row],[Comments]])&lt;&gt;0, priority(Main[[#This Row],[Comments]]),"")</f>
        <v/>
      </c>
      <c r="B1460" s="60" t="s">
        <v>2608</v>
      </c>
      <c r="C1460" s="72" t="s">
        <v>116</v>
      </c>
      <c r="D1460" s="59" t="s">
        <v>2609</v>
      </c>
      <c r="E1460" s="85"/>
      <c r="F1460" s="85"/>
      <c r="G1460" s="64" t="str">
        <f>IF(stdProdLT(Main[[#This Row],[Comments]])=0.1,"N/A",IF(stdProdLT(Main[[#This Row],[Comments]])=0,"",TRIM(stdProdLT(Main[[#This Row],[Comments]]))))</f>
        <v>N/A</v>
      </c>
      <c r="H1460" s="94" t="str">
        <f>IF(OR(Main[[#This Row],[Std. Prod. Lead Time]]="N/A",Main[[#This Row],[Std. Prod. Lead Time]]=""), "",IF(AND(Main[[#This Row],[In Stock Date]]&lt;&gt;"",Main[[#This Row],[Revised Due Date]]&lt;&gt;"",Main[[#This Row],[In Stock Date]]&lt;&gt;""),Main[[#This Row],[In Stock Date]]-Main[[#This Row],[Revised Due Date]],""))</f>
        <v/>
      </c>
      <c r="I1460" s="101" t="s">
        <v>171</v>
      </c>
      <c r="J1460" s="95" t="s">
        <v>1972</v>
      </c>
      <c r="K1460" s="95" t="s">
        <v>1920</v>
      </c>
      <c r="L1460" s="85">
        <v>40835</v>
      </c>
      <c r="M1460" s="73">
        <f>IF(Main[[#This Row],[Tech Start Date]]&lt;1/1/1990,"",IF(Main[[#This Row],[Class]]="C",WORKDAY(Main[[#This Row],[Tech Start Date]],9),IF(Main[[#This Row],[Class]]="B", WORKDAY(Main[[#This Row],[Tech Start Date]],6),IF(Main[[#This Row],[Class]]="A",WORKDAY(Main[[#This Row],[Tech Start Date]],2),""))))</f>
        <v>40837</v>
      </c>
      <c r="N1460" s="73">
        <f>IF(Main[[#This Row],[Tech Start Date]]&lt;1/1/1990,"",IF(Main[[#This Row],[Class]]="C",WORKDAY(Main[[#This Row],[Tech Start Date]],19),IF(Main[[#This Row],[Class]]="B", WORKDAY(Main[[#This Row],[Tech Start Date]],12),IF(Main[[#This Row],[Class]]="A",WORKDAY(Main[[#This Row],[Tech Start Date]],4),""))))</f>
        <v>40841</v>
      </c>
      <c r="O1460" s="73">
        <f>IF(Main[[#This Row],[Tech Start Date]]&lt;1/1/1990,"",IF(Main[[#This Row],[Class]]="C",WORKDAY(Main[[#This Row],[Tech Start Date]],23),IF(Main[[#This Row],[Class]]="B", WORKDAY(Main[[#This Row],[Tech Start Date]],15),IF(Main[[#This Row],[Class]]="A",WORKDAY(Main[[#This Row],[Tech Start Date]],5),""))))</f>
        <v>40842</v>
      </c>
      <c r="P1460" s="73">
        <f>IF(Main[[#This Row],[Tech Start Date]]&lt;1/1/1990,"",IF(Main[[#This Row],[Class]]="C",WORKDAY(Main[[#This Row],[Tech Start Date]],28),IF(Main[[#This Row],[Class]]="B", WORKDAY(Main[[#This Row],[Tech Start Date]],19),IF(Main[[#This Row],[Class]]="A",WORKDAY(Main[[#This Row],[Tech Start Date]],9),""))))</f>
        <v>40848</v>
      </c>
      <c r="Q1460" s="85">
        <v>40954</v>
      </c>
      <c r="R1460" s="112">
        <v>40850</v>
      </c>
      <c r="S1460" s="95" t="s">
        <v>11</v>
      </c>
      <c r="T1460" s="74" t="s">
        <v>2610</v>
      </c>
      <c r="U1460" s="95" t="s">
        <v>14</v>
      </c>
      <c r="V1460" s="95" t="s">
        <v>1914</v>
      </c>
      <c r="W1460" s="95" t="s">
        <v>1915</v>
      </c>
      <c r="X1460" s="95" t="s">
        <v>553</v>
      </c>
      <c r="Y1460" s="72" t="s">
        <v>2930</v>
      </c>
      <c r="Z1460" s="72" t="s">
        <v>530</v>
      </c>
      <c r="AA1460" s="95" t="s">
        <v>553</v>
      </c>
      <c r="AB1460" s="132"/>
      <c r="AC1460" s="132"/>
      <c r="AD1460" s="132"/>
      <c r="AE1460" s="63"/>
      <c r="AF1460" s="63"/>
      <c r="AG1460" s="63"/>
    </row>
    <row r="1461" spans="1:33" ht="17.2" customHeight="1">
      <c r="A1461" s="64" t="str">
        <f>IF(priority(Main[[#This Row],[Comments]])&lt;&gt;0, priority(Main[[#This Row],[Comments]]),"")</f>
        <v/>
      </c>
      <c r="B1461" s="60" t="s">
        <v>2612</v>
      </c>
      <c r="C1461" s="72" t="s">
        <v>4</v>
      </c>
      <c r="D1461" s="59" t="s">
        <v>3971</v>
      </c>
      <c r="E1461" s="85">
        <v>40848.357997685183</v>
      </c>
      <c r="F1461" s="85"/>
      <c r="G1461" s="64" t="str">
        <f>IF(stdProdLT(Main[[#This Row],[Comments]])=0.1,"N/A",IF(stdProdLT(Main[[#This Row],[Comments]])=0,"",TRIM(stdProdLT(Main[[#This Row],[Comments]]))))</f>
        <v/>
      </c>
      <c r="H1461" s="94" t="str">
        <f>IF(OR(Main[[#This Row],[Std. Prod. Lead Time]]="N/A",Main[[#This Row],[Std. Prod. Lead Time]]=""), "",IF(AND(Main[[#This Row],[In Stock Date]]&lt;&gt;"",Main[[#This Row],[Revised Due Date]]&lt;&gt;"",Main[[#This Row],[In Stock Date]]&lt;&gt;""),Main[[#This Row],[In Stock Date]]-Main[[#This Row],[Revised Due Date]],""))</f>
        <v/>
      </c>
      <c r="I1461" s="101" t="s">
        <v>2613</v>
      </c>
      <c r="J1461" s="95" t="s">
        <v>28</v>
      </c>
      <c r="K1461" s="95" t="s">
        <v>1923</v>
      </c>
      <c r="L1461" s="85">
        <v>40840</v>
      </c>
      <c r="M1461" s="73" t="str">
        <f>IF(Main[[#This Row],[Tech Start Date]]&lt;1/1/1990,"",IF(Main[[#This Row],[Class]]="C",WORKDAY(Main[[#This Row],[Tech Start Date]],9),IF(Main[[#This Row],[Class]]="B", WORKDAY(Main[[#This Row],[Tech Start Date]],6),IF(Main[[#This Row],[Class]]="A",WORKDAY(Main[[#This Row],[Tech Start Date]],2),""))))</f>
        <v/>
      </c>
      <c r="N1461" s="73" t="str">
        <f>IF(Main[[#This Row],[Tech Start Date]]&lt;1/1/1990,"",IF(Main[[#This Row],[Class]]="C",WORKDAY(Main[[#This Row],[Tech Start Date]],19),IF(Main[[#This Row],[Class]]="B", WORKDAY(Main[[#This Row],[Tech Start Date]],12),IF(Main[[#This Row],[Class]]="A",WORKDAY(Main[[#This Row],[Tech Start Date]],4),""))))</f>
        <v/>
      </c>
      <c r="O1461" s="73" t="str">
        <f>IF(Main[[#This Row],[Tech Start Date]]&lt;1/1/1990,"",IF(Main[[#This Row],[Class]]="C",WORKDAY(Main[[#This Row],[Tech Start Date]],23),IF(Main[[#This Row],[Class]]="B", WORKDAY(Main[[#This Row],[Tech Start Date]],15),IF(Main[[#This Row],[Class]]="A",WORKDAY(Main[[#This Row],[Tech Start Date]],5),""))))</f>
        <v/>
      </c>
      <c r="P1461" s="73" t="str">
        <f>IF(Main[[#This Row],[Tech Start Date]]&lt;1/1/1990,"",IF(Main[[#This Row],[Class]]="C",WORKDAY(Main[[#This Row],[Tech Start Date]],28),IF(Main[[#This Row],[Class]]="B", WORKDAY(Main[[#This Row],[Tech Start Date]],19),IF(Main[[#This Row],[Class]]="A",WORKDAY(Main[[#This Row],[Tech Start Date]],9),""))))</f>
        <v/>
      </c>
      <c r="Q1461" s="85">
        <v>40998</v>
      </c>
      <c r="R1461" s="112">
        <v>40998</v>
      </c>
      <c r="S1461" s="95" t="s">
        <v>17</v>
      </c>
      <c r="T1461" s="74" t="s">
        <v>4</v>
      </c>
      <c r="U1461" s="95" t="s">
        <v>29</v>
      </c>
      <c r="V1461" s="95" t="s">
        <v>1911</v>
      </c>
      <c r="W1461" s="95" t="s">
        <v>1916</v>
      </c>
      <c r="X1461" s="95" t="s">
        <v>877</v>
      </c>
      <c r="Y1461" s="72" t="s">
        <v>2987</v>
      </c>
      <c r="Z1461" s="72" t="s">
        <v>877</v>
      </c>
      <c r="AA1461" s="95" t="s">
        <v>877</v>
      </c>
      <c r="AB1461" s="132"/>
      <c r="AC1461" s="132"/>
      <c r="AD1461" s="132"/>
      <c r="AE1461" s="63"/>
      <c r="AF1461" s="63"/>
      <c r="AG1461" s="63"/>
    </row>
    <row r="1462" spans="1:33" ht="17.2" customHeight="1">
      <c r="A1462" s="64" t="str">
        <f>IF(priority(Main[[#This Row],[Comments]])&lt;&gt;0, priority(Main[[#This Row],[Comments]]),"")</f>
        <v/>
      </c>
      <c r="B1462" s="60" t="s">
        <v>2616</v>
      </c>
      <c r="C1462" s="72" t="s">
        <v>2617</v>
      </c>
      <c r="D1462" s="59" t="s">
        <v>2618</v>
      </c>
      <c r="E1462" s="85"/>
      <c r="F1462" s="85"/>
      <c r="G1462" s="64" t="str">
        <f>IF(stdProdLT(Main[[#This Row],[Comments]])=0.1,"N/A",IF(stdProdLT(Main[[#This Row],[Comments]])=0,"",TRIM(stdProdLT(Main[[#This Row],[Comments]]))))</f>
        <v/>
      </c>
      <c r="H1462" s="94" t="str">
        <f>IF(OR(Main[[#This Row],[Std. Prod. Lead Time]]="N/A",Main[[#This Row],[Std. Prod. Lead Time]]=""), "",IF(AND(Main[[#This Row],[In Stock Date]]&lt;&gt;"",Main[[#This Row],[Revised Due Date]]&lt;&gt;"",Main[[#This Row],[In Stock Date]]&lt;&gt;""),Main[[#This Row],[In Stock Date]]-Main[[#This Row],[Revised Due Date]],""))</f>
        <v/>
      </c>
      <c r="I1462" s="101" t="s">
        <v>2038</v>
      </c>
      <c r="J1462" s="95" t="s">
        <v>28</v>
      </c>
      <c r="K1462" s="95" t="s">
        <v>1920</v>
      </c>
      <c r="L1462" s="85">
        <v>40848</v>
      </c>
      <c r="M1462" s="73">
        <f>IF(Main[[#This Row],[Tech Start Date]]&lt;1/1/1990,"",IF(Main[[#This Row],[Class]]="C",WORKDAY(Main[[#This Row],[Tech Start Date]],9),IF(Main[[#This Row],[Class]]="B", WORKDAY(Main[[#This Row],[Tech Start Date]],6),IF(Main[[#This Row],[Class]]="A",WORKDAY(Main[[#This Row],[Tech Start Date]],2),""))))</f>
        <v>40850</v>
      </c>
      <c r="N1462" s="73">
        <f>IF(Main[[#This Row],[Tech Start Date]]&lt;1/1/1990,"",IF(Main[[#This Row],[Class]]="C",WORKDAY(Main[[#This Row],[Tech Start Date]],19),IF(Main[[#This Row],[Class]]="B", WORKDAY(Main[[#This Row],[Tech Start Date]],12),IF(Main[[#This Row],[Class]]="A",WORKDAY(Main[[#This Row],[Tech Start Date]],4),""))))</f>
        <v>40854</v>
      </c>
      <c r="O1462" s="73">
        <f>IF(Main[[#This Row],[Tech Start Date]]&lt;1/1/1990,"",IF(Main[[#This Row],[Class]]="C",WORKDAY(Main[[#This Row],[Tech Start Date]],23),IF(Main[[#This Row],[Class]]="B", WORKDAY(Main[[#This Row],[Tech Start Date]],15),IF(Main[[#This Row],[Class]]="A",WORKDAY(Main[[#This Row],[Tech Start Date]],5),""))))</f>
        <v>40855</v>
      </c>
      <c r="P1462" s="73">
        <f>IF(Main[[#This Row],[Tech Start Date]]&lt;1/1/1990,"",IF(Main[[#This Row],[Class]]="C",WORKDAY(Main[[#This Row],[Tech Start Date]],28),IF(Main[[#This Row],[Class]]="B", WORKDAY(Main[[#This Row],[Tech Start Date]],19),IF(Main[[#This Row],[Class]]="A",WORKDAY(Main[[#This Row],[Tech Start Date]],9),""))))</f>
        <v>40861</v>
      </c>
      <c r="Q1462" s="85">
        <v>40849</v>
      </c>
      <c r="R1462" s="112">
        <v>40863</v>
      </c>
      <c r="S1462" s="95" t="s">
        <v>11</v>
      </c>
      <c r="T1462" s="74" t="s">
        <v>4</v>
      </c>
      <c r="U1462" s="95" t="s">
        <v>14</v>
      </c>
      <c r="V1462" s="95" t="s">
        <v>1921</v>
      </c>
      <c r="W1462" s="95" t="s">
        <v>1919</v>
      </c>
      <c r="X1462" s="95" t="s">
        <v>2824</v>
      </c>
      <c r="Y1462" s="72" t="s">
        <v>2955</v>
      </c>
      <c r="Z1462" s="72" t="s">
        <v>530</v>
      </c>
      <c r="AA1462" s="95" t="s">
        <v>2824</v>
      </c>
      <c r="AB1462" s="132"/>
      <c r="AC1462" s="132"/>
      <c r="AD1462" s="132"/>
      <c r="AE1462" s="63"/>
      <c r="AF1462" s="63"/>
      <c r="AG1462" s="63"/>
    </row>
    <row r="1463" spans="1:33" ht="17.2" customHeight="1">
      <c r="A1463" s="64" t="str">
        <f>IF(priority(Main[[#This Row],[Comments]])&lt;&gt;0, priority(Main[[#This Row],[Comments]]),"")</f>
        <v/>
      </c>
      <c r="B1463" s="60" t="s">
        <v>2614</v>
      </c>
      <c r="C1463" s="72" t="s">
        <v>2556</v>
      </c>
      <c r="D1463" s="59" t="s">
        <v>2783</v>
      </c>
      <c r="E1463" s="85"/>
      <c r="F1463" s="85">
        <v>40983</v>
      </c>
      <c r="G1463" s="64" t="str">
        <f>IF(stdProdLT(Main[[#This Row],[Comments]])=0.1,"N/A",IF(stdProdLT(Main[[#This Row],[Comments]])=0,"",TRIM(stdProdLT(Main[[#This Row],[Comments]]))))</f>
        <v>N/A</v>
      </c>
      <c r="H1463" s="94" t="str">
        <f>IF(OR(Main[[#This Row],[Std. Prod. Lead Time]]="N/A",Main[[#This Row],[Std. Prod. Lead Time]]=""), "",IF(AND(Main[[#This Row],[In Stock Date]]&lt;&gt;"",Main[[#This Row],[Revised Due Date]]&lt;&gt;"",Main[[#This Row],[In Stock Date]]&lt;&gt;""),Main[[#This Row],[In Stock Date]]-Main[[#This Row],[Revised Due Date]],""))</f>
        <v/>
      </c>
      <c r="I1463" s="101" t="s">
        <v>912</v>
      </c>
      <c r="J1463" s="95" t="s">
        <v>28</v>
      </c>
      <c r="K1463" s="96" t="s">
        <v>1924</v>
      </c>
      <c r="L1463" s="85">
        <v>40848</v>
      </c>
      <c r="M1463" s="73">
        <f>IF(Main[[#This Row],[Tech Start Date]]&lt;1/1/1990,"",IF(Main[[#This Row],[Class]]="C",WORKDAY(Main[[#This Row],[Tech Start Date]],9),IF(Main[[#This Row],[Class]]="B", WORKDAY(Main[[#This Row],[Tech Start Date]],6),IF(Main[[#This Row],[Class]]="A",WORKDAY(Main[[#This Row],[Tech Start Date]],2),""))))</f>
        <v>40861</v>
      </c>
      <c r="N1463" s="73">
        <f>IF(Main[[#This Row],[Tech Start Date]]&lt;1/1/1990,"",IF(Main[[#This Row],[Class]]="C",WORKDAY(Main[[#This Row],[Tech Start Date]],19),IF(Main[[#This Row],[Class]]="B", WORKDAY(Main[[#This Row],[Tech Start Date]],12),IF(Main[[#This Row],[Class]]="A",WORKDAY(Main[[#This Row],[Tech Start Date]],4),""))))</f>
        <v>40875</v>
      </c>
      <c r="O1463" s="73">
        <f>IF(Main[[#This Row],[Tech Start Date]]&lt;1/1/1990,"",IF(Main[[#This Row],[Class]]="C",WORKDAY(Main[[#This Row],[Tech Start Date]],23),IF(Main[[#This Row],[Class]]="B", WORKDAY(Main[[#This Row],[Tech Start Date]],15),IF(Main[[#This Row],[Class]]="A",WORKDAY(Main[[#This Row],[Tech Start Date]],5),""))))</f>
        <v>40879</v>
      </c>
      <c r="P1463" s="73">
        <f>IF(Main[[#This Row],[Tech Start Date]]&lt;1/1/1990,"",IF(Main[[#This Row],[Class]]="C",WORKDAY(Main[[#This Row],[Tech Start Date]],28),IF(Main[[#This Row],[Class]]="B", WORKDAY(Main[[#This Row],[Tech Start Date]],19),IF(Main[[#This Row],[Class]]="A",WORKDAY(Main[[#This Row],[Tech Start Date]],9),""))))</f>
        <v>40886</v>
      </c>
      <c r="Q1463" s="85">
        <v>40885</v>
      </c>
      <c r="R1463" s="112"/>
      <c r="S1463" s="95" t="s">
        <v>11</v>
      </c>
      <c r="T1463" s="74" t="s">
        <v>3194</v>
      </c>
      <c r="U1463" s="95" t="s">
        <v>14</v>
      </c>
      <c r="V1463" s="95" t="s">
        <v>1911</v>
      </c>
      <c r="W1463" s="95" t="s">
        <v>1919</v>
      </c>
      <c r="X1463" s="95" t="s">
        <v>2884</v>
      </c>
      <c r="Y1463" s="72" t="s">
        <v>3135</v>
      </c>
      <c r="Z1463" s="72" t="s">
        <v>129</v>
      </c>
      <c r="AA1463" s="95" t="s">
        <v>2884</v>
      </c>
      <c r="AB1463" s="132"/>
      <c r="AC1463" s="132"/>
      <c r="AD1463" s="132"/>
      <c r="AE1463" s="63"/>
      <c r="AF1463" s="63"/>
      <c r="AG1463" s="63"/>
    </row>
    <row r="1464" spans="1:33" ht="17.2" customHeight="1">
      <c r="A1464" s="64" t="str">
        <f>IF(priority(Main[[#This Row],[Comments]])&lt;&gt;0, priority(Main[[#This Row],[Comments]]),"")</f>
        <v/>
      </c>
      <c r="B1464" s="60" t="s">
        <v>2619</v>
      </c>
      <c r="C1464" s="72" t="s">
        <v>2556</v>
      </c>
      <c r="D1464" s="59" t="s">
        <v>2784</v>
      </c>
      <c r="E1464" s="85"/>
      <c r="F1464" s="85"/>
      <c r="G1464" s="64" t="str">
        <f>IF(stdProdLT(Main[[#This Row],[Comments]])=0.1,"N/A",IF(stdProdLT(Main[[#This Row],[Comments]])=0,"",TRIM(stdProdLT(Main[[#This Row],[Comments]]))))</f>
        <v>168</v>
      </c>
      <c r="H1464" s="94" t="str">
        <f>IF(OR(Main[[#This Row],[Std. Prod. Lead Time]]="N/A",Main[[#This Row],[Std. Prod. Lead Time]]=""), "",IF(AND(Main[[#This Row],[In Stock Date]]&lt;&gt;"",Main[[#This Row],[Revised Due Date]]&lt;&gt;"",Main[[#This Row],[In Stock Date]]&lt;&gt;""),Main[[#This Row],[In Stock Date]]-Main[[#This Row],[Revised Due Date]],""))</f>
        <v/>
      </c>
      <c r="I1464" s="101" t="s">
        <v>894</v>
      </c>
      <c r="J1464" s="95" t="s">
        <v>52</v>
      </c>
      <c r="K1464" s="95" t="s">
        <v>1924</v>
      </c>
      <c r="L1464" s="85">
        <v>40849</v>
      </c>
      <c r="M1464" s="73">
        <f>IF(Main[[#This Row],[Tech Start Date]]&lt;1/1/1990,"",IF(Main[[#This Row],[Class]]="C",WORKDAY(Main[[#This Row],[Tech Start Date]],9),IF(Main[[#This Row],[Class]]="B", WORKDAY(Main[[#This Row],[Tech Start Date]],6),IF(Main[[#This Row],[Class]]="A",WORKDAY(Main[[#This Row],[Tech Start Date]],2),""))))</f>
        <v>40862</v>
      </c>
      <c r="N1464" s="73">
        <f>IF(Main[[#This Row],[Tech Start Date]]&lt;1/1/1990,"",IF(Main[[#This Row],[Class]]="C",WORKDAY(Main[[#This Row],[Tech Start Date]],19),IF(Main[[#This Row],[Class]]="B", WORKDAY(Main[[#This Row],[Tech Start Date]],12),IF(Main[[#This Row],[Class]]="A",WORKDAY(Main[[#This Row],[Tech Start Date]],4),""))))</f>
        <v>40876</v>
      </c>
      <c r="O1464" s="73">
        <f>IF(Main[[#This Row],[Tech Start Date]]&lt;1/1/1990,"",IF(Main[[#This Row],[Class]]="C",WORKDAY(Main[[#This Row],[Tech Start Date]],23),IF(Main[[#This Row],[Class]]="B", WORKDAY(Main[[#This Row],[Tech Start Date]],15),IF(Main[[#This Row],[Class]]="A",WORKDAY(Main[[#This Row],[Tech Start Date]],5),""))))</f>
        <v>40882</v>
      </c>
      <c r="P1464" s="73">
        <f>IF(Main[[#This Row],[Tech Start Date]]&lt;1/1/1990,"",IF(Main[[#This Row],[Class]]="C",WORKDAY(Main[[#This Row],[Tech Start Date]],28),IF(Main[[#This Row],[Class]]="B", WORKDAY(Main[[#This Row],[Tech Start Date]],19),IF(Main[[#This Row],[Class]]="A",WORKDAY(Main[[#This Row],[Tech Start Date]],9),""))))</f>
        <v>40889</v>
      </c>
      <c r="Q1464" s="85">
        <v>40880</v>
      </c>
      <c r="R1464" s="112"/>
      <c r="S1464" s="95" t="s">
        <v>11</v>
      </c>
      <c r="T1464" s="74" t="s">
        <v>3705</v>
      </c>
      <c r="U1464" s="95" t="s">
        <v>14</v>
      </c>
      <c r="V1464" s="95" t="s">
        <v>1914</v>
      </c>
      <c r="W1464" s="95" t="s">
        <v>1919</v>
      </c>
      <c r="X1464" s="95" t="s">
        <v>2884</v>
      </c>
      <c r="Y1464" s="72" t="s">
        <v>3135</v>
      </c>
      <c r="Z1464" s="72" t="s">
        <v>530</v>
      </c>
      <c r="AA1464" s="95" t="s">
        <v>2884</v>
      </c>
      <c r="AB1464" s="132"/>
      <c r="AC1464" s="132"/>
      <c r="AD1464" s="132"/>
      <c r="AE1464" s="63"/>
      <c r="AF1464" s="63"/>
      <c r="AG1464" s="63"/>
    </row>
    <row r="1465" spans="1:33" ht="17.2" customHeight="1">
      <c r="A1465" s="64" t="str">
        <f>IF(priority(Main[[#This Row],[Comments]])&lt;&gt;0, priority(Main[[#This Row],[Comments]]),"")</f>
        <v/>
      </c>
      <c r="B1465" s="60" t="s">
        <v>2625</v>
      </c>
      <c r="C1465" s="72" t="s">
        <v>4</v>
      </c>
      <c r="D1465" s="59" t="s">
        <v>2626</v>
      </c>
      <c r="E1465" s="85">
        <v>40848.726550925923</v>
      </c>
      <c r="F1465" s="85"/>
      <c r="G1465" s="64" t="str">
        <f>IF(stdProdLT(Main[[#This Row],[Comments]])=0.1,"N/A",IF(stdProdLT(Main[[#This Row],[Comments]])=0,"",TRIM(stdProdLT(Main[[#This Row],[Comments]]))))</f>
        <v/>
      </c>
      <c r="H1465" s="94" t="str">
        <f>IF(OR(Main[[#This Row],[Std. Prod. Lead Time]]="N/A",Main[[#This Row],[Std. Prod. Lead Time]]=""), "",IF(AND(Main[[#This Row],[In Stock Date]]&lt;&gt;"",Main[[#This Row],[Revised Due Date]]&lt;&gt;"",Main[[#This Row],[In Stock Date]]&lt;&gt;""),Main[[#This Row],[In Stock Date]]-Main[[#This Row],[Revised Due Date]],""))</f>
        <v/>
      </c>
      <c r="I1465" s="101" t="s">
        <v>69</v>
      </c>
      <c r="J1465" s="95" t="s">
        <v>28</v>
      </c>
      <c r="K1465" s="95" t="s">
        <v>1920</v>
      </c>
      <c r="L1465" s="85">
        <v>40849</v>
      </c>
      <c r="M1465" s="73">
        <f>IF(Main[[#This Row],[Tech Start Date]]&lt;1/1/1990,"",IF(Main[[#This Row],[Class]]="C",WORKDAY(Main[[#This Row],[Tech Start Date]],9),IF(Main[[#This Row],[Class]]="B", WORKDAY(Main[[#This Row],[Tech Start Date]],6),IF(Main[[#This Row],[Class]]="A",WORKDAY(Main[[#This Row],[Tech Start Date]],2),""))))</f>
        <v>40851</v>
      </c>
      <c r="N1465" s="73">
        <f>IF(Main[[#This Row],[Tech Start Date]]&lt;1/1/1990,"",IF(Main[[#This Row],[Class]]="C",WORKDAY(Main[[#This Row],[Tech Start Date]],19),IF(Main[[#This Row],[Class]]="B", WORKDAY(Main[[#This Row],[Tech Start Date]],12),IF(Main[[#This Row],[Class]]="A",WORKDAY(Main[[#This Row],[Tech Start Date]],4),""))))</f>
        <v>40855</v>
      </c>
      <c r="O1465" s="73">
        <f>IF(Main[[#This Row],[Tech Start Date]]&lt;1/1/1990,"",IF(Main[[#This Row],[Class]]="C",WORKDAY(Main[[#This Row],[Tech Start Date]],23),IF(Main[[#This Row],[Class]]="B", WORKDAY(Main[[#This Row],[Tech Start Date]],15),IF(Main[[#This Row],[Class]]="A",WORKDAY(Main[[#This Row],[Tech Start Date]],5),""))))</f>
        <v>40856</v>
      </c>
      <c r="P1465" s="73">
        <f>IF(Main[[#This Row],[Tech Start Date]]&lt;1/1/1990,"",IF(Main[[#This Row],[Class]]="C",WORKDAY(Main[[#This Row],[Tech Start Date]],28),IF(Main[[#This Row],[Class]]="B", WORKDAY(Main[[#This Row],[Tech Start Date]],19),IF(Main[[#This Row],[Class]]="A",WORKDAY(Main[[#This Row],[Tech Start Date]],9),""))))</f>
        <v>40862</v>
      </c>
      <c r="Q1465" s="85"/>
      <c r="R1465" s="112">
        <v>40864</v>
      </c>
      <c r="S1465" s="95" t="s">
        <v>6</v>
      </c>
      <c r="T1465" s="74" t="s">
        <v>4</v>
      </c>
      <c r="U1465" s="95" t="s">
        <v>29</v>
      </c>
      <c r="V1465" s="95" t="s">
        <v>1921</v>
      </c>
      <c r="W1465" s="95" t="s">
        <v>1925</v>
      </c>
      <c r="X1465" s="95" t="s">
        <v>2821</v>
      </c>
      <c r="Y1465" s="72" t="s">
        <v>2949</v>
      </c>
      <c r="Z1465" s="72" t="s">
        <v>2845</v>
      </c>
      <c r="AA1465" s="95" t="s">
        <v>2821</v>
      </c>
      <c r="AB1465" s="132"/>
      <c r="AC1465" s="132"/>
      <c r="AD1465" s="132"/>
      <c r="AE1465" s="63"/>
      <c r="AF1465" s="63"/>
      <c r="AG1465" s="63"/>
    </row>
    <row r="1466" spans="1:33" ht="17.2" customHeight="1">
      <c r="A1466" s="64" t="str">
        <f>IF(priority(Main[[#This Row],[Comments]])&lt;&gt;0, priority(Main[[#This Row],[Comments]]),"")</f>
        <v/>
      </c>
      <c r="B1466" s="60" t="s">
        <v>2623</v>
      </c>
      <c r="C1466" s="72" t="s">
        <v>2556</v>
      </c>
      <c r="D1466" s="59" t="s">
        <v>3152</v>
      </c>
      <c r="E1466" s="85"/>
      <c r="F1466" s="85"/>
      <c r="G1466" s="64" t="str">
        <f>IF(stdProdLT(Main[[#This Row],[Comments]])=0.1,"N/A",IF(stdProdLT(Main[[#This Row],[Comments]])=0,"",TRIM(stdProdLT(Main[[#This Row],[Comments]]))))</f>
        <v>168</v>
      </c>
      <c r="H1466" s="94" t="str">
        <f>IF(OR(Main[[#This Row],[Std. Prod. Lead Time]]="N/A",Main[[#This Row],[Std. Prod. Lead Time]]=""), "",IF(AND(Main[[#This Row],[In Stock Date]]&lt;&gt;"",Main[[#This Row],[Revised Due Date]]&lt;&gt;"",Main[[#This Row],[In Stock Date]]&lt;&gt;""),Main[[#This Row],[In Stock Date]]-Main[[#This Row],[Revised Due Date]],""))</f>
        <v/>
      </c>
      <c r="I1466" s="101" t="s">
        <v>171</v>
      </c>
      <c r="J1466" s="95" t="s">
        <v>70</v>
      </c>
      <c r="K1466" s="95" t="s">
        <v>1924</v>
      </c>
      <c r="L1466" s="85">
        <v>40849</v>
      </c>
      <c r="M1466" s="73">
        <f>IF(Main[[#This Row],[Tech Start Date]]&lt;1/1/1990,"",IF(Main[[#This Row],[Class]]="C",WORKDAY(Main[[#This Row],[Tech Start Date]],9),IF(Main[[#This Row],[Class]]="B", WORKDAY(Main[[#This Row],[Tech Start Date]],6),IF(Main[[#This Row],[Class]]="A",WORKDAY(Main[[#This Row],[Tech Start Date]],2),""))))</f>
        <v>40862</v>
      </c>
      <c r="N1466" s="73">
        <f>IF(Main[[#This Row],[Tech Start Date]]&lt;1/1/1990,"",IF(Main[[#This Row],[Class]]="C",WORKDAY(Main[[#This Row],[Tech Start Date]],19),IF(Main[[#This Row],[Class]]="B", WORKDAY(Main[[#This Row],[Tech Start Date]],12),IF(Main[[#This Row],[Class]]="A",WORKDAY(Main[[#This Row],[Tech Start Date]],4),""))))</f>
        <v>40876</v>
      </c>
      <c r="O1466" s="73">
        <f>IF(Main[[#This Row],[Tech Start Date]]&lt;1/1/1990,"",IF(Main[[#This Row],[Class]]="C",WORKDAY(Main[[#This Row],[Tech Start Date]],23),IF(Main[[#This Row],[Class]]="B", WORKDAY(Main[[#This Row],[Tech Start Date]],15),IF(Main[[#This Row],[Class]]="A",WORKDAY(Main[[#This Row],[Tech Start Date]],5),""))))</f>
        <v>40882</v>
      </c>
      <c r="P1466" s="73">
        <f>IF(Main[[#This Row],[Tech Start Date]]&lt;1/1/1990,"",IF(Main[[#This Row],[Class]]="C",WORKDAY(Main[[#This Row],[Tech Start Date]],28),IF(Main[[#This Row],[Class]]="B", WORKDAY(Main[[#This Row],[Tech Start Date]],19),IF(Main[[#This Row],[Class]]="A",WORKDAY(Main[[#This Row],[Tech Start Date]],9),""))))</f>
        <v>40889</v>
      </c>
      <c r="Q1466" s="85">
        <v>40881</v>
      </c>
      <c r="R1466" s="112"/>
      <c r="S1466" s="95" t="s">
        <v>11</v>
      </c>
      <c r="T1466" s="74" t="s">
        <v>3706</v>
      </c>
      <c r="U1466" s="95" t="s">
        <v>14</v>
      </c>
      <c r="V1466" s="95" t="s">
        <v>1914</v>
      </c>
      <c r="W1466" s="95" t="s">
        <v>1919</v>
      </c>
      <c r="X1466" s="95" t="s">
        <v>2884</v>
      </c>
      <c r="Y1466" s="72" t="s">
        <v>3135</v>
      </c>
      <c r="Z1466" s="72" t="s">
        <v>530</v>
      </c>
      <c r="AA1466" s="95" t="s">
        <v>2884</v>
      </c>
      <c r="AB1466" s="132"/>
      <c r="AC1466" s="132"/>
      <c r="AD1466" s="132"/>
      <c r="AE1466" s="63"/>
      <c r="AF1466" s="63"/>
      <c r="AG1466" s="63"/>
    </row>
    <row r="1467" spans="1:33" ht="17.2" customHeight="1">
      <c r="A1467" s="64" t="str">
        <f>IF(priority(Main[[#This Row],[Comments]])&lt;&gt;0, priority(Main[[#This Row],[Comments]]),"")</f>
        <v/>
      </c>
      <c r="B1467" s="60" t="s">
        <v>2552</v>
      </c>
      <c r="C1467" s="72" t="s">
        <v>2553</v>
      </c>
      <c r="D1467" s="59" t="s">
        <v>3153</v>
      </c>
      <c r="E1467" s="85">
        <v>40821.398842592593</v>
      </c>
      <c r="F1467" s="85">
        <v>41182</v>
      </c>
      <c r="G1467" s="64" t="str">
        <f>IF(stdProdLT(Main[[#This Row],[Comments]])=0.1,"N/A",IF(stdProdLT(Main[[#This Row],[Comments]])=0,"",TRIM(stdProdLT(Main[[#This Row],[Comments]]))))</f>
        <v>210</v>
      </c>
      <c r="H1467" s="94" t="str">
        <f>IF(OR(Main[[#This Row],[Std. Prod. Lead Time]]="N/A",Main[[#This Row],[Std. Prod. Lead Time]]=""), "",IF(AND(Main[[#This Row],[In Stock Date]]&lt;&gt;"",Main[[#This Row],[Revised Due Date]]&lt;&gt;"",Main[[#This Row],[In Stock Date]]&lt;&gt;""),Main[[#This Row],[In Stock Date]]-Main[[#This Row],[Revised Due Date]],""))</f>
        <v/>
      </c>
      <c r="I1467" s="101" t="s">
        <v>4</v>
      </c>
      <c r="J1467" s="95" t="s">
        <v>4</v>
      </c>
      <c r="K1467" s="95" t="s">
        <v>1924</v>
      </c>
      <c r="L1467" s="85">
        <v>40850</v>
      </c>
      <c r="M1467" s="73">
        <f>IF(Main[[#This Row],[Tech Start Date]]&lt;1/1/1990,"",IF(Main[[#This Row],[Class]]="C",WORKDAY(Main[[#This Row],[Tech Start Date]],9),IF(Main[[#This Row],[Class]]="B", WORKDAY(Main[[#This Row],[Tech Start Date]],6),IF(Main[[#This Row],[Class]]="A",WORKDAY(Main[[#This Row],[Tech Start Date]],2),""))))</f>
        <v>40863</v>
      </c>
      <c r="N1467" s="73">
        <f>IF(Main[[#This Row],[Tech Start Date]]&lt;1/1/1990,"",IF(Main[[#This Row],[Class]]="C",WORKDAY(Main[[#This Row],[Tech Start Date]],19),IF(Main[[#This Row],[Class]]="B", WORKDAY(Main[[#This Row],[Tech Start Date]],12),IF(Main[[#This Row],[Class]]="A",WORKDAY(Main[[#This Row],[Tech Start Date]],4),""))))</f>
        <v>40877</v>
      </c>
      <c r="O1467" s="73">
        <f>IF(Main[[#This Row],[Tech Start Date]]&lt;1/1/1990,"",IF(Main[[#This Row],[Class]]="C",WORKDAY(Main[[#This Row],[Tech Start Date]],23),IF(Main[[#This Row],[Class]]="B", WORKDAY(Main[[#This Row],[Tech Start Date]],15),IF(Main[[#This Row],[Class]]="A",WORKDAY(Main[[#This Row],[Tech Start Date]],5),""))))</f>
        <v>40883</v>
      </c>
      <c r="P1467" s="73">
        <f>IF(Main[[#This Row],[Tech Start Date]]&lt;1/1/1990,"",IF(Main[[#This Row],[Class]]="C",WORKDAY(Main[[#This Row],[Tech Start Date]],28),IF(Main[[#This Row],[Class]]="B", WORKDAY(Main[[#This Row],[Tech Start Date]],19),IF(Main[[#This Row],[Class]]="A",WORKDAY(Main[[#This Row],[Tech Start Date]],9),""))))</f>
        <v>40890</v>
      </c>
      <c r="Q1467" s="85">
        <v>40872</v>
      </c>
      <c r="R1467" s="112"/>
      <c r="S1467" s="95" t="s">
        <v>11</v>
      </c>
      <c r="T1467" s="74" t="s">
        <v>3276</v>
      </c>
      <c r="U1467" s="95" t="s">
        <v>534</v>
      </c>
      <c r="V1467" s="95" t="s">
        <v>1914</v>
      </c>
      <c r="W1467" s="95" t="s">
        <v>1916</v>
      </c>
      <c r="X1467" s="95" t="s">
        <v>2809</v>
      </c>
      <c r="Y1467" s="72" t="s">
        <v>2929</v>
      </c>
      <c r="Z1467" s="72" t="s">
        <v>4</v>
      </c>
      <c r="AA1467" s="95" t="s">
        <v>2809</v>
      </c>
      <c r="AB1467" s="132"/>
      <c r="AC1467" s="132"/>
      <c r="AD1467" s="132"/>
      <c r="AE1467" s="63"/>
      <c r="AF1467" s="63"/>
      <c r="AG1467" s="63"/>
    </row>
    <row r="1468" spans="1:33" ht="17.2" customHeight="1">
      <c r="A1468" s="64" t="str">
        <f>IF(priority(Main[[#This Row],[Comments]])&lt;&gt;0, priority(Main[[#This Row],[Comments]]),"")</f>
        <v/>
      </c>
      <c r="B1468" s="60" t="s">
        <v>1673</v>
      </c>
      <c r="C1468" s="72" t="s">
        <v>4</v>
      </c>
      <c r="D1468" s="59" t="s">
        <v>2630</v>
      </c>
      <c r="E1468" s="85">
        <v>40647.529861111114</v>
      </c>
      <c r="F1468" s="85"/>
      <c r="G1468" s="64" t="str">
        <f>IF(stdProdLT(Main[[#This Row],[Comments]])=0.1,"N/A",IF(stdProdLT(Main[[#This Row],[Comments]])=0,"",TRIM(stdProdLT(Main[[#This Row],[Comments]]))))</f>
        <v/>
      </c>
      <c r="H1468" s="94" t="str">
        <f>IF(OR(Main[[#This Row],[Std. Prod. Lead Time]]="N/A",Main[[#This Row],[Std. Prod. Lead Time]]=""), "",IF(AND(Main[[#This Row],[In Stock Date]]&lt;&gt;"",Main[[#This Row],[Revised Due Date]]&lt;&gt;"",Main[[#This Row],[In Stock Date]]&lt;&gt;""),Main[[#This Row],[In Stock Date]]-Main[[#This Row],[Revised Due Date]],""))</f>
        <v/>
      </c>
      <c r="I1468" s="101" t="s">
        <v>877</v>
      </c>
      <c r="J1468" s="95" t="s">
        <v>4</v>
      </c>
      <c r="K1468" s="95" t="s">
        <v>1920</v>
      </c>
      <c r="L1468" s="85">
        <v>40856</v>
      </c>
      <c r="M1468" s="73">
        <f>IF(Main[[#This Row],[Tech Start Date]]&lt;1/1/1990,"",IF(Main[[#This Row],[Class]]="C",WORKDAY(Main[[#This Row],[Tech Start Date]],9),IF(Main[[#This Row],[Class]]="B", WORKDAY(Main[[#This Row],[Tech Start Date]],6),IF(Main[[#This Row],[Class]]="A",WORKDAY(Main[[#This Row],[Tech Start Date]],2),""))))</f>
        <v>40858</v>
      </c>
      <c r="N1468" s="73">
        <f>IF(Main[[#This Row],[Tech Start Date]]&lt;1/1/1990,"",IF(Main[[#This Row],[Class]]="C",WORKDAY(Main[[#This Row],[Tech Start Date]],19),IF(Main[[#This Row],[Class]]="B", WORKDAY(Main[[#This Row],[Tech Start Date]],12),IF(Main[[#This Row],[Class]]="A",WORKDAY(Main[[#This Row],[Tech Start Date]],4),""))))</f>
        <v>40862</v>
      </c>
      <c r="O1468" s="73">
        <f>IF(Main[[#This Row],[Tech Start Date]]&lt;1/1/1990,"",IF(Main[[#This Row],[Class]]="C",WORKDAY(Main[[#This Row],[Tech Start Date]],23),IF(Main[[#This Row],[Class]]="B", WORKDAY(Main[[#This Row],[Tech Start Date]],15),IF(Main[[#This Row],[Class]]="A",WORKDAY(Main[[#This Row],[Tech Start Date]],5),""))))</f>
        <v>40863</v>
      </c>
      <c r="P1468" s="73">
        <f>IF(Main[[#This Row],[Tech Start Date]]&lt;1/1/1990,"",IF(Main[[#This Row],[Class]]="C",WORKDAY(Main[[#This Row],[Tech Start Date]],28),IF(Main[[#This Row],[Class]]="B", WORKDAY(Main[[#This Row],[Tech Start Date]],19),IF(Main[[#This Row],[Class]]="A",WORKDAY(Main[[#This Row],[Tech Start Date]],9),""))))</f>
        <v>40869</v>
      </c>
      <c r="Q1468" s="85">
        <v>40877</v>
      </c>
      <c r="R1468" s="112">
        <v>40883</v>
      </c>
      <c r="S1468" s="95" t="s">
        <v>6</v>
      </c>
      <c r="T1468" s="74" t="s">
        <v>2631</v>
      </c>
      <c r="U1468" s="95" t="s">
        <v>29</v>
      </c>
      <c r="V1468" s="95" t="s">
        <v>1911</v>
      </c>
      <c r="W1468" s="95" t="s">
        <v>1913</v>
      </c>
      <c r="X1468" s="95" t="s">
        <v>922</v>
      </c>
      <c r="Y1468" s="72" t="s">
        <v>2960</v>
      </c>
      <c r="Z1468" s="72" t="s">
        <v>129</v>
      </c>
      <c r="AA1468" s="95" t="s">
        <v>922</v>
      </c>
      <c r="AB1468" s="132"/>
      <c r="AC1468" s="132"/>
      <c r="AD1468" s="132"/>
      <c r="AE1468" s="63"/>
      <c r="AF1468" s="63"/>
      <c r="AG1468" s="63"/>
    </row>
    <row r="1469" spans="1:33" ht="17.2" customHeight="1">
      <c r="A1469" s="64" t="str">
        <f>IF(priority(Main[[#This Row],[Comments]])&lt;&gt;0, priority(Main[[#This Row],[Comments]]),"")</f>
        <v/>
      </c>
      <c r="B1469" s="60" t="s">
        <v>2632</v>
      </c>
      <c r="C1469" s="72" t="s">
        <v>4</v>
      </c>
      <c r="D1469" s="59" t="s">
        <v>2633</v>
      </c>
      <c r="E1469" s="85">
        <v>40864.413506944446</v>
      </c>
      <c r="F1469" s="85"/>
      <c r="G1469" s="64" t="str">
        <f>IF(stdProdLT(Main[[#This Row],[Comments]])=0.1,"N/A",IF(stdProdLT(Main[[#This Row],[Comments]])=0,"",TRIM(stdProdLT(Main[[#This Row],[Comments]]))))</f>
        <v/>
      </c>
      <c r="H1469" s="94" t="str">
        <f>IF(OR(Main[[#This Row],[Std. Prod. Lead Time]]="N/A",Main[[#This Row],[Std. Prod. Lead Time]]=""), "",IF(AND(Main[[#This Row],[In Stock Date]]&lt;&gt;"",Main[[#This Row],[Revised Due Date]]&lt;&gt;"",Main[[#This Row],[In Stock Date]]&lt;&gt;""),Main[[#This Row],[In Stock Date]]-Main[[#This Row],[Revised Due Date]],""))</f>
        <v/>
      </c>
      <c r="I1469" s="101" t="s">
        <v>941</v>
      </c>
      <c r="J1469" s="95" t="s">
        <v>28</v>
      </c>
      <c r="K1469" s="95" t="s">
        <v>1920</v>
      </c>
      <c r="L1469" s="85">
        <v>40864</v>
      </c>
      <c r="M1469" s="73">
        <f>IF(Main[[#This Row],[Tech Start Date]]&lt;1/1/1990,"",IF(Main[[#This Row],[Class]]="C",WORKDAY(Main[[#This Row],[Tech Start Date]],9),IF(Main[[#This Row],[Class]]="B", WORKDAY(Main[[#This Row],[Tech Start Date]],6),IF(Main[[#This Row],[Class]]="A",WORKDAY(Main[[#This Row],[Tech Start Date]],2),""))))</f>
        <v>40868</v>
      </c>
      <c r="N1469" s="73">
        <f>IF(Main[[#This Row],[Tech Start Date]]&lt;1/1/1990,"",IF(Main[[#This Row],[Class]]="C",WORKDAY(Main[[#This Row],[Tech Start Date]],19),IF(Main[[#This Row],[Class]]="B", WORKDAY(Main[[#This Row],[Tech Start Date]],12),IF(Main[[#This Row],[Class]]="A",WORKDAY(Main[[#This Row],[Tech Start Date]],4),""))))</f>
        <v>40870</v>
      </c>
      <c r="O1469" s="73">
        <f>IF(Main[[#This Row],[Tech Start Date]]&lt;1/1/1990,"",IF(Main[[#This Row],[Class]]="C",WORKDAY(Main[[#This Row],[Tech Start Date]],23),IF(Main[[#This Row],[Class]]="B", WORKDAY(Main[[#This Row],[Tech Start Date]],15),IF(Main[[#This Row],[Class]]="A",WORKDAY(Main[[#This Row],[Tech Start Date]],5),""))))</f>
        <v>40871</v>
      </c>
      <c r="P1469" s="73">
        <f>IF(Main[[#This Row],[Tech Start Date]]&lt;1/1/1990,"",IF(Main[[#This Row],[Class]]="C",WORKDAY(Main[[#This Row],[Tech Start Date]],28),IF(Main[[#This Row],[Class]]="B", WORKDAY(Main[[#This Row],[Tech Start Date]],19),IF(Main[[#This Row],[Class]]="A",WORKDAY(Main[[#This Row],[Tech Start Date]],9),""))))</f>
        <v>40877</v>
      </c>
      <c r="Q1469" s="85"/>
      <c r="R1469" s="112">
        <v>40877</v>
      </c>
      <c r="S1469" s="95" t="s">
        <v>6</v>
      </c>
      <c r="T1469" s="74" t="s">
        <v>4</v>
      </c>
      <c r="U1469" s="95" t="s">
        <v>29</v>
      </c>
      <c r="V1469" s="95" t="s">
        <v>1912</v>
      </c>
      <c r="W1469" s="95" t="s">
        <v>1915</v>
      </c>
      <c r="X1469" s="95" t="s">
        <v>941</v>
      </c>
      <c r="Y1469" s="72" t="s">
        <v>2973</v>
      </c>
      <c r="Z1469" s="72" t="s">
        <v>2047</v>
      </c>
      <c r="AA1469" s="95" t="s">
        <v>941</v>
      </c>
      <c r="AB1469" s="132"/>
      <c r="AC1469" s="132"/>
      <c r="AD1469" s="132"/>
      <c r="AE1469" s="63"/>
      <c r="AF1469" s="63"/>
      <c r="AG1469" s="63"/>
    </row>
    <row r="1470" spans="1:33" ht="17.2" customHeight="1">
      <c r="A1470" s="64" t="str">
        <f>IF(priority(Main[[#This Row],[Comments]])&lt;&gt;0, priority(Main[[#This Row],[Comments]]),"")</f>
        <v/>
      </c>
      <c r="B1470" s="60" t="s">
        <v>2639</v>
      </c>
      <c r="C1470" s="72" t="s">
        <v>72</v>
      </c>
      <c r="D1470" s="59" t="s">
        <v>2652</v>
      </c>
      <c r="E1470" s="85"/>
      <c r="F1470" s="85"/>
      <c r="G1470" s="64" t="str">
        <f>IF(stdProdLT(Main[[#This Row],[Comments]])=0.1,"N/A",IF(stdProdLT(Main[[#This Row],[Comments]])=0,"",TRIM(stdProdLT(Main[[#This Row],[Comments]]))))</f>
        <v/>
      </c>
      <c r="H1470" s="94" t="str">
        <f>IF(OR(Main[[#This Row],[Std. Prod. Lead Time]]="N/A",Main[[#This Row],[Std. Prod. Lead Time]]=""), "",IF(AND(Main[[#This Row],[In Stock Date]]&lt;&gt;"",Main[[#This Row],[Revised Due Date]]&lt;&gt;"",Main[[#This Row],[In Stock Date]]&lt;&gt;""),Main[[#This Row],[In Stock Date]]-Main[[#This Row],[Revised Due Date]],""))</f>
        <v/>
      </c>
      <c r="I1470" s="101" t="s">
        <v>2243</v>
      </c>
      <c r="J1470" s="95" t="s">
        <v>28</v>
      </c>
      <c r="K1470" s="95" t="s">
        <v>1920</v>
      </c>
      <c r="L1470" s="85">
        <v>40869</v>
      </c>
      <c r="M1470" s="73">
        <f>IF(Main[[#This Row],[Tech Start Date]]&lt;1/1/1990,"",IF(Main[[#This Row],[Class]]="C",WORKDAY(Main[[#This Row],[Tech Start Date]],9),IF(Main[[#This Row],[Class]]="B", WORKDAY(Main[[#This Row],[Tech Start Date]],6),IF(Main[[#This Row],[Class]]="A",WORKDAY(Main[[#This Row],[Tech Start Date]],2),""))))</f>
        <v>40871</v>
      </c>
      <c r="N1470" s="73">
        <f>IF(Main[[#This Row],[Tech Start Date]]&lt;1/1/1990,"",IF(Main[[#This Row],[Class]]="C",WORKDAY(Main[[#This Row],[Tech Start Date]],19),IF(Main[[#This Row],[Class]]="B", WORKDAY(Main[[#This Row],[Tech Start Date]],12),IF(Main[[#This Row],[Class]]="A",WORKDAY(Main[[#This Row],[Tech Start Date]],4),""))))</f>
        <v>40875</v>
      </c>
      <c r="O1470" s="73">
        <f>IF(Main[[#This Row],[Tech Start Date]]&lt;1/1/1990,"",IF(Main[[#This Row],[Class]]="C",WORKDAY(Main[[#This Row],[Tech Start Date]],23),IF(Main[[#This Row],[Class]]="B", WORKDAY(Main[[#This Row],[Tech Start Date]],15),IF(Main[[#This Row],[Class]]="A",WORKDAY(Main[[#This Row],[Tech Start Date]],5),""))))</f>
        <v>40876</v>
      </c>
      <c r="P1470" s="73">
        <f>IF(Main[[#This Row],[Tech Start Date]]&lt;1/1/1990,"",IF(Main[[#This Row],[Class]]="C",WORKDAY(Main[[#This Row],[Tech Start Date]],28),IF(Main[[#This Row],[Class]]="B", WORKDAY(Main[[#This Row],[Tech Start Date]],19),IF(Main[[#This Row],[Class]]="A",WORKDAY(Main[[#This Row],[Tech Start Date]],9),""))))</f>
        <v>40882</v>
      </c>
      <c r="Q1470" s="85">
        <v>40882</v>
      </c>
      <c r="R1470" s="112"/>
      <c r="S1470" s="95" t="s">
        <v>11</v>
      </c>
      <c r="T1470" s="74" t="s">
        <v>4</v>
      </c>
      <c r="U1470" s="95" t="s">
        <v>14</v>
      </c>
      <c r="V1470" s="95" t="s">
        <v>1912</v>
      </c>
      <c r="W1470" s="95" t="s">
        <v>1913</v>
      </c>
      <c r="X1470" s="95" t="s">
        <v>2870</v>
      </c>
      <c r="Y1470" s="72" t="s">
        <v>3025</v>
      </c>
      <c r="Z1470" s="72" t="s">
        <v>2047</v>
      </c>
      <c r="AA1470" s="95" t="s">
        <v>2870</v>
      </c>
      <c r="AB1470" s="132"/>
      <c r="AC1470" s="132"/>
      <c r="AD1470" s="132"/>
      <c r="AE1470" s="63"/>
      <c r="AF1470" s="63"/>
      <c r="AG1470" s="63"/>
    </row>
    <row r="1471" spans="1:33" ht="17.2" customHeight="1">
      <c r="A1471" s="64" t="str">
        <f>IF(priority(Main[[#This Row],[Comments]])&lt;&gt;0, priority(Main[[#This Row],[Comments]]),"")</f>
        <v/>
      </c>
      <c r="B1471" s="60" t="s">
        <v>2637</v>
      </c>
      <c r="C1471" s="72" t="s">
        <v>72</v>
      </c>
      <c r="D1471" s="59" t="s">
        <v>2638</v>
      </c>
      <c r="E1471" s="85"/>
      <c r="F1471" s="85"/>
      <c r="G1471" s="64" t="str">
        <f>IF(stdProdLT(Main[[#This Row],[Comments]])=0.1,"N/A",IF(stdProdLT(Main[[#This Row],[Comments]])=0,"",TRIM(stdProdLT(Main[[#This Row],[Comments]]))))</f>
        <v/>
      </c>
      <c r="H1471" s="94" t="str">
        <f>IF(OR(Main[[#This Row],[Std. Prod. Lead Time]]="N/A",Main[[#This Row],[Std. Prod. Lead Time]]=""), "",IF(AND(Main[[#This Row],[In Stock Date]]&lt;&gt;"",Main[[#This Row],[Revised Due Date]]&lt;&gt;"",Main[[#This Row],[In Stock Date]]&lt;&gt;""),Main[[#This Row],[In Stock Date]]-Main[[#This Row],[Revised Due Date]],""))</f>
        <v/>
      </c>
      <c r="I1471" s="101" t="s">
        <v>2611</v>
      </c>
      <c r="J1471" s="95" t="s">
        <v>28</v>
      </c>
      <c r="K1471" s="95" t="s">
        <v>1920</v>
      </c>
      <c r="L1471" s="85">
        <v>40869</v>
      </c>
      <c r="M1471" s="73">
        <f>IF(Main[[#This Row],[Tech Start Date]]&lt;1/1/1990,"",IF(Main[[#This Row],[Class]]="C",WORKDAY(Main[[#This Row],[Tech Start Date]],9),IF(Main[[#This Row],[Class]]="B", WORKDAY(Main[[#This Row],[Tech Start Date]],6),IF(Main[[#This Row],[Class]]="A",WORKDAY(Main[[#This Row],[Tech Start Date]],2),""))))</f>
        <v>40871</v>
      </c>
      <c r="N1471" s="73">
        <f>IF(Main[[#This Row],[Tech Start Date]]&lt;1/1/1990,"",IF(Main[[#This Row],[Class]]="C",WORKDAY(Main[[#This Row],[Tech Start Date]],19),IF(Main[[#This Row],[Class]]="B", WORKDAY(Main[[#This Row],[Tech Start Date]],12),IF(Main[[#This Row],[Class]]="A",WORKDAY(Main[[#This Row],[Tech Start Date]],4),""))))</f>
        <v>40875</v>
      </c>
      <c r="O1471" s="73">
        <f>IF(Main[[#This Row],[Tech Start Date]]&lt;1/1/1990,"",IF(Main[[#This Row],[Class]]="C",WORKDAY(Main[[#This Row],[Tech Start Date]],23),IF(Main[[#This Row],[Class]]="B", WORKDAY(Main[[#This Row],[Tech Start Date]],15),IF(Main[[#This Row],[Class]]="A",WORKDAY(Main[[#This Row],[Tech Start Date]],5),""))))</f>
        <v>40876</v>
      </c>
      <c r="P1471" s="73">
        <f>IF(Main[[#This Row],[Tech Start Date]]&lt;1/1/1990,"",IF(Main[[#This Row],[Class]]="C",WORKDAY(Main[[#This Row],[Tech Start Date]],28),IF(Main[[#This Row],[Class]]="B", WORKDAY(Main[[#This Row],[Tech Start Date]],19),IF(Main[[#This Row],[Class]]="A",WORKDAY(Main[[#This Row],[Tech Start Date]],9),""))))</f>
        <v>40882</v>
      </c>
      <c r="Q1471" s="85">
        <v>40882</v>
      </c>
      <c r="R1471" s="112">
        <v>40882</v>
      </c>
      <c r="S1471" s="95" t="s">
        <v>11</v>
      </c>
      <c r="T1471" s="74" t="s">
        <v>4</v>
      </c>
      <c r="U1471" s="95" t="s">
        <v>14</v>
      </c>
      <c r="V1471" s="95" t="s">
        <v>1912</v>
      </c>
      <c r="W1471" s="95" t="s">
        <v>1913</v>
      </c>
      <c r="X1471" s="95" t="s">
        <v>2870</v>
      </c>
      <c r="Y1471" s="72" t="s">
        <v>3025</v>
      </c>
      <c r="Z1471" s="72" t="s">
        <v>2047</v>
      </c>
      <c r="AA1471" s="95" t="s">
        <v>2870</v>
      </c>
      <c r="AB1471" s="132"/>
      <c r="AC1471" s="132"/>
      <c r="AD1471" s="132"/>
      <c r="AE1471" s="63"/>
      <c r="AF1471" s="63"/>
      <c r="AG1471" s="63"/>
    </row>
    <row r="1472" spans="1:33" ht="17.2" customHeight="1">
      <c r="A1472" s="64" t="str">
        <f>IF(priority(Main[[#This Row],[Comments]])&lt;&gt;0, priority(Main[[#This Row],[Comments]]),"")</f>
        <v/>
      </c>
      <c r="B1472" s="60" t="s">
        <v>2634</v>
      </c>
      <c r="C1472" s="72" t="s">
        <v>72</v>
      </c>
      <c r="D1472" s="59" t="s">
        <v>2635</v>
      </c>
      <c r="E1472" s="85"/>
      <c r="F1472" s="85"/>
      <c r="G1472" s="64" t="str">
        <f>IF(stdProdLT(Main[[#This Row],[Comments]])=0.1,"N/A",IF(stdProdLT(Main[[#This Row],[Comments]])=0,"",TRIM(stdProdLT(Main[[#This Row],[Comments]]))))</f>
        <v/>
      </c>
      <c r="H1472" s="94" t="str">
        <f>IF(OR(Main[[#This Row],[Std. Prod. Lead Time]]="N/A",Main[[#This Row],[Std. Prod. Lead Time]]=""), "",IF(AND(Main[[#This Row],[In Stock Date]]&lt;&gt;"",Main[[#This Row],[Revised Due Date]]&lt;&gt;"",Main[[#This Row],[In Stock Date]]&lt;&gt;""),Main[[#This Row],[In Stock Date]]-Main[[#This Row],[Revised Due Date]],""))</f>
        <v/>
      </c>
      <c r="I1472" s="101" t="s">
        <v>2611</v>
      </c>
      <c r="J1472" s="95" t="s">
        <v>28</v>
      </c>
      <c r="K1472" s="95" t="s">
        <v>1920</v>
      </c>
      <c r="L1472" s="85">
        <v>40869</v>
      </c>
      <c r="M1472" s="73">
        <f>IF(Main[[#This Row],[Tech Start Date]]&lt;1/1/1990,"",IF(Main[[#This Row],[Class]]="C",WORKDAY(Main[[#This Row],[Tech Start Date]],9),IF(Main[[#This Row],[Class]]="B", WORKDAY(Main[[#This Row],[Tech Start Date]],6),IF(Main[[#This Row],[Class]]="A",WORKDAY(Main[[#This Row],[Tech Start Date]],2),""))))</f>
        <v>40871</v>
      </c>
      <c r="N1472" s="73">
        <f>IF(Main[[#This Row],[Tech Start Date]]&lt;1/1/1990,"",IF(Main[[#This Row],[Class]]="C",WORKDAY(Main[[#This Row],[Tech Start Date]],19),IF(Main[[#This Row],[Class]]="B", WORKDAY(Main[[#This Row],[Tech Start Date]],12),IF(Main[[#This Row],[Class]]="A",WORKDAY(Main[[#This Row],[Tech Start Date]],4),""))))</f>
        <v>40875</v>
      </c>
      <c r="O1472" s="73">
        <f>IF(Main[[#This Row],[Tech Start Date]]&lt;1/1/1990,"",IF(Main[[#This Row],[Class]]="C",WORKDAY(Main[[#This Row],[Tech Start Date]],23),IF(Main[[#This Row],[Class]]="B", WORKDAY(Main[[#This Row],[Tech Start Date]],15),IF(Main[[#This Row],[Class]]="A",WORKDAY(Main[[#This Row],[Tech Start Date]],5),""))))</f>
        <v>40876</v>
      </c>
      <c r="P1472" s="73">
        <f>IF(Main[[#This Row],[Tech Start Date]]&lt;1/1/1990,"",IF(Main[[#This Row],[Class]]="C",WORKDAY(Main[[#This Row],[Tech Start Date]],28),IF(Main[[#This Row],[Class]]="B", WORKDAY(Main[[#This Row],[Tech Start Date]],19),IF(Main[[#This Row],[Class]]="A",WORKDAY(Main[[#This Row],[Tech Start Date]],9),""))))</f>
        <v>40882</v>
      </c>
      <c r="Q1472" s="85">
        <v>40882</v>
      </c>
      <c r="R1472" s="112">
        <v>40882</v>
      </c>
      <c r="S1472" s="95" t="s">
        <v>17</v>
      </c>
      <c r="T1472" s="74" t="s">
        <v>4</v>
      </c>
      <c r="U1472" s="95" t="s">
        <v>14</v>
      </c>
      <c r="V1472" s="95" t="s">
        <v>1912</v>
      </c>
      <c r="W1472" s="95" t="s">
        <v>1913</v>
      </c>
      <c r="X1472" s="95" t="s">
        <v>2870</v>
      </c>
      <c r="Y1472" s="72" t="s">
        <v>3025</v>
      </c>
      <c r="Z1472" s="72" t="s">
        <v>2047</v>
      </c>
      <c r="AA1472" s="95" t="s">
        <v>2870</v>
      </c>
      <c r="AB1472" s="132"/>
      <c r="AC1472" s="132"/>
      <c r="AD1472" s="132"/>
      <c r="AE1472" s="63"/>
      <c r="AF1472" s="63"/>
      <c r="AG1472" s="63"/>
    </row>
    <row r="1473" spans="1:33" ht="17.2" customHeight="1">
      <c r="A1473" s="64" t="str">
        <f>IF(priority(Main[[#This Row],[Comments]])&lt;&gt;0, priority(Main[[#This Row],[Comments]]),"")</f>
        <v/>
      </c>
      <c r="B1473" s="60" t="s">
        <v>1227</v>
      </c>
      <c r="C1473" s="72" t="s">
        <v>33</v>
      </c>
      <c r="D1473" s="59" t="s">
        <v>3977</v>
      </c>
      <c r="E1473" s="85">
        <v>40603.336435185185</v>
      </c>
      <c r="F1473" s="85">
        <v>40632</v>
      </c>
      <c r="G1473" s="64" t="str">
        <f>IF(stdProdLT(Main[[#This Row],[Comments]])=0.1,"N/A",IF(stdProdLT(Main[[#This Row],[Comments]])=0,"",TRIM(stdProdLT(Main[[#This Row],[Comments]]))))</f>
        <v/>
      </c>
      <c r="H1473" s="94" t="str">
        <f>IF(OR(Main[[#This Row],[Std. Prod. Lead Time]]="N/A",Main[[#This Row],[Std. Prod. Lead Time]]=""), "",IF(AND(Main[[#This Row],[In Stock Date]]&lt;&gt;"",Main[[#This Row],[Revised Due Date]]&lt;&gt;"",Main[[#This Row],[In Stock Date]]&lt;&gt;""),Main[[#This Row],[In Stock Date]]-Main[[#This Row],[Revised Due Date]],""))</f>
        <v/>
      </c>
      <c r="I1473" s="101" t="s">
        <v>889</v>
      </c>
      <c r="J1473" s="95" t="s">
        <v>28</v>
      </c>
      <c r="K1473" s="95" t="s">
        <v>1923</v>
      </c>
      <c r="L1473" s="85">
        <v>40878</v>
      </c>
      <c r="M1473" s="73" t="str">
        <f>IF(Main[[#This Row],[Tech Start Date]]&lt;1/1/1990,"",IF(Main[[#This Row],[Class]]="C",WORKDAY(Main[[#This Row],[Tech Start Date]],9),IF(Main[[#This Row],[Class]]="B", WORKDAY(Main[[#This Row],[Tech Start Date]],6),IF(Main[[#This Row],[Class]]="A",WORKDAY(Main[[#This Row],[Tech Start Date]],2),""))))</f>
        <v/>
      </c>
      <c r="N1473" s="73" t="str">
        <f>IF(Main[[#This Row],[Tech Start Date]]&lt;1/1/1990,"",IF(Main[[#This Row],[Class]]="C",WORKDAY(Main[[#This Row],[Tech Start Date]],19),IF(Main[[#This Row],[Class]]="B", WORKDAY(Main[[#This Row],[Tech Start Date]],12),IF(Main[[#This Row],[Class]]="A",WORKDAY(Main[[#This Row],[Tech Start Date]],4),""))))</f>
        <v/>
      </c>
      <c r="O1473" s="73" t="str">
        <f>IF(Main[[#This Row],[Tech Start Date]]&lt;1/1/1990,"",IF(Main[[#This Row],[Class]]="C",WORKDAY(Main[[#This Row],[Tech Start Date]],23),IF(Main[[#This Row],[Class]]="B", WORKDAY(Main[[#This Row],[Tech Start Date]],15),IF(Main[[#This Row],[Class]]="A",WORKDAY(Main[[#This Row],[Tech Start Date]],5),""))))</f>
        <v/>
      </c>
      <c r="P1473" s="73" t="str">
        <f>IF(Main[[#This Row],[Tech Start Date]]&lt;1/1/1990,"",IF(Main[[#This Row],[Class]]="C",WORKDAY(Main[[#This Row],[Tech Start Date]],28),IF(Main[[#This Row],[Class]]="B", WORKDAY(Main[[#This Row],[Tech Start Date]],19),IF(Main[[#This Row],[Class]]="A",WORKDAY(Main[[#This Row],[Tech Start Date]],9),""))))</f>
        <v/>
      </c>
      <c r="Q1473" s="85">
        <v>40612</v>
      </c>
      <c r="R1473" s="112">
        <v>40983</v>
      </c>
      <c r="S1473" s="95" t="s">
        <v>17</v>
      </c>
      <c r="T1473" s="74" t="s">
        <v>4</v>
      </c>
      <c r="U1473" s="95" t="s">
        <v>29</v>
      </c>
      <c r="V1473" s="95" t="s">
        <v>1911</v>
      </c>
      <c r="W1473" s="95" t="s">
        <v>1916</v>
      </c>
      <c r="X1473" s="95" t="s">
        <v>2855</v>
      </c>
      <c r="Y1473" s="72" t="s">
        <v>2999</v>
      </c>
      <c r="Z1473" s="72" t="s">
        <v>877</v>
      </c>
      <c r="AA1473" s="95" t="s">
        <v>2855</v>
      </c>
      <c r="AB1473" s="132"/>
      <c r="AC1473" s="132"/>
      <c r="AD1473" s="132"/>
      <c r="AE1473" s="63"/>
      <c r="AF1473" s="63"/>
      <c r="AG1473" s="63"/>
    </row>
    <row r="1474" spans="1:33" ht="17.2" customHeight="1">
      <c r="A1474" s="64" t="str">
        <f>IF(priority(Main[[#This Row],[Comments]])&lt;&gt;0, priority(Main[[#This Row],[Comments]]),"")</f>
        <v/>
      </c>
      <c r="B1474" s="60" t="s">
        <v>2555</v>
      </c>
      <c r="C1474" s="72" t="s">
        <v>2556</v>
      </c>
      <c r="D1474" s="59" t="s">
        <v>2786</v>
      </c>
      <c r="E1474" s="85"/>
      <c r="F1474" s="85"/>
      <c r="G1474" s="64" t="str">
        <f>IF(stdProdLT(Main[[#This Row],[Comments]])=0.1,"N/A",IF(stdProdLT(Main[[#This Row],[Comments]])=0,"",TRIM(stdProdLT(Main[[#This Row],[Comments]]))))</f>
        <v>140</v>
      </c>
      <c r="H1474" s="94" t="str">
        <f>IF(OR(Main[[#This Row],[Std. Prod. Lead Time]]="N/A",Main[[#This Row],[Std. Prod. Lead Time]]=""), "",IF(AND(Main[[#This Row],[In Stock Date]]&lt;&gt;"",Main[[#This Row],[Revised Due Date]]&lt;&gt;"",Main[[#This Row],[In Stock Date]]&lt;&gt;""),Main[[#This Row],[In Stock Date]]-Main[[#This Row],[Revised Due Date]],""))</f>
        <v/>
      </c>
      <c r="I1474" s="101" t="s">
        <v>429</v>
      </c>
      <c r="J1474" s="95" t="s">
        <v>70</v>
      </c>
      <c r="K1474" s="95" t="s">
        <v>1920</v>
      </c>
      <c r="L1474" s="85">
        <v>40885</v>
      </c>
      <c r="M1474" s="73">
        <f>IF(Main[[#This Row],[Tech Start Date]]&lt;1/1/1990,"",IF(Main[[#This Row],[Class]]="C",WORKDAY(Main[[#This Row],[Tech Start Date]],9),IF(Main[[#This Row],[Class]]="B", WORKDAY(Main[[#This Row],[Tech Start Date]],6),IF(Main[[#This Row],[Class]]="A",WORKDAY(Main[[#This Row],[Tech Start Date]],2),""))))</f>
        <v>40889</v>
      </c>
      <c r="N1474" s="73">
        <f>IF(Main[[#This Row],[Tech Start Date]]&lt;1/1/1990,"",IF(Main[[#This Row],[Class]]="C",WORKDAY(Main[[#This Row],[Tech Start Date]],19),IF(Main[[#This Row],[Class]]="B", WORKDAY(Main[[#This Row],[Tech Start Date]],12),IF(Main[[#This Row],[Class]]="A",WORKDAY(Main[[#This Row],[Tech Start Date]],4),""))))</f>
        <v>40891</v>
      </c>
      <c r="O1474" s="73">
        <f>IF(Main[[#This Row],[Tech Start Date]]&lt;1/1/1990,"",IF(Main[[#This Row],[Class]]="C",WORKDAY(Main[[#This Row],[Tech Start Date]],23),IF(Main[[#This Row],[Class]]="B", WORKDAY(Main[[#This Row],[Tech Start Date]],15),IF(Main[[#This Row],[Class]]="A",WORKDAY(Main[[#This Row],[Tech Start Date]],5),""))))</f>
        <v>40892</v>
      </c>
      <c r="P1474" s="73">
        <f>IF(Main[[#This Row],[Tech Start Date]]&lt;1/1/1990,"",IF(Main[[#This Row],[Class]]="C",WORKDAY(Main[[#This Row],[Tech Start Date]],28),IF(Main[[#This Row],[Class]]="B", WORKDAY(Main[[#This Row],[Tech Start Date]],19),IF(Main[[#This Row],[Class]]="A",WORKDAY(Main[[#This Row],[Tech Start Date]],9),""))))</f>
        <v>40898</v>
      </c>
      <c r="Q1474" s="85">
        <v>40879</v>
      </c>
      <c r="R1474" s="112"/>
      <c r="S1474" s="95" t="s">
        <v>11</v>
      </c>
      <c r="T1474" s="74" t="s">
        <v>3707</v>
      </c>
      <c r="U1474" s="95" t="s">
        <v>14</v>
      </c>
      <c r="V1474" s="95" t="s">
        <v>1921</v>
      </c>
      <c r="W1474" s="95" t="s">
        <v>1919</v>
      </c>
      <c r="X1474" s="95" t="s">
        <v>2884</v>
      </c>
      <c r="Y1474" s="72" t="s">
        <v>4</v>
      </c>
      <c r="Z1474" s="72" t="s">
        <v>530</v>
      </c>
      <c r="AA1474" s="95" t="s">
        <v>2884</v>
      </c>
      <c r="AB1474" s="132"/>
      <c r="AC1474" s="132"/>
      <c r="AD1474" s="132"/>
      <c r="AE1474" s="63"/>
      <c r="AF1474" s="63"/>
      <c r="AG1474" s="63"/>
    </row>
    <row r="1475" spans="1:33" ht="17.2" customHeight="1">
      <c r="A1475" s="64" t="str">
        <f>IF(priority(Main[[#This Row],[Comments]])&lt;&gt;0, priority(Main[[#This Row],[Comments]]),"")</f>
        <v/>
      </c>
      <c r="B1475" s="60" t="s">
        <v>2787</v>
      </c>
      <c r="C1475" s="72" t="s">
        <v>2788</v>
      </c>
      <c r="D1475" s="59" t="s">
        <v>3154</v>
      </c>
      <c r="E1475" s="85">
        <v>40889.938506944447</v>
      </c>
      <c r="F1475" s="85">
        <v>41029</v>
      </c>
      <c r="G1475" s="64" t="str">
        <f>IF(stdProdLT(Main[[#This Row],[Comments]])=0.1,"N/A",IF(stdProdLT(Main[[#This Row],[Comments]])=0,"",TRIM(stdProdLT(Main[[#This Row],[Comments]]))))</f>
        <v>154</v>
      </c>
      <c r="H1475" s="94" t="str">
        <f>IF(OR(Main[[#This Row],[Std. Prod. Lead Time]]="N/A",Main[[#This Row],[Std. Prod. Lead Time]]=""), "",IF(AND(Main[[#This Row],[In Stock Date]]&lt;&gt;"",Main[[#This Row],[Revised Due Date]]&lt;&gt;"",Main[[#This Row],[In Stock Date]]&lt;&gt;""),Main[[#This Row],[In Stock Date]]-Main[[#This Row],[Revised Due Date]],""))</f>
        <v/>
      </c>
      <c r="I1475" s="101" t="s">
        <v>765</v>
      </c>
      <c r="J1475" s="95" t="s">
        <v>28</v>
      </c>
      <c r="K1475" s="95" t="s">
        <v>1918</v>
      </c>
      <c r="L1475" s="85">
        <v>40904</v>
      </c>
      <c r="M1475" s="73">
        <f>IF(Main[[#This Row],[Tech Start Date]]&lt;1/1/1990,"",IF(Main[[#This Row],[Class]]="C",WORKDAY(Main[[#This Row],[Tech Start Date]],9),IF(Main[[#This Row],[Class]]="B", WORKDAY(Main[[#This Row],[Tech Start Date]],6),IF(Main[[#This Row],[Class]]="A",WORKDAY(Main[[#This Row],[Tech Start Date]],2),""))))</f>
        <v>40912</v>
      </c>
      <c r="N1475" s="73">
        <f>IF(Main[[#This Row],[Tech Start Date]]&lt;1/1/1990,"",IF(Main[[#This Row],[Class]]="C",WORKDAY(Main[[#This Row],[Tech Start Date]],19),IF(Main[[#This Row],[Class]]="B", WORKDAY(Main[[#This Row],[Tech Start Date]],12),IF(Main[[#This Row],[Class]]="A",WORKDAY(Main[[#This Row],[Tech Start Date]],4),""))))</f>
        <v>40920</v>
      </c>
      <c r="O1475" s="73">
        <f>IF(Main[[#This Row],[Tech Start Date]]&lt;1/1/1990,"",IF(Main[[#This Row],[Class]]="C",WORKDAY(Main[[#This Row],[Tech Start Date]],23),IF(Main[[#This Row],[Class]]="B", WORKDAY(Main[[#This Row],[Tech Start Date]],15),IF(Main[[#This Row],[Class]]="A",WORKDAY(Main[[#This Row],[Tech Start Date]],5),""))))</f>
        <v>40925</v>
      </c>
      <c r="P1475" s="73">
        <f>IF(Main[[#This Row],[Tech Start Date]]&lt;1/1/1990,"",IF(Main[[#This Row],[Class]]="C",WORKDAY(Main[[#This Row],[Tech Start Date]],28),IF(Main[[#This Row],[Class]]="B", WORKDAY(Main[[#This Row],[Tech Start Date]],19),IF(Main[[#This Row],[Class]]="A",WORKDAY(Main[[#This Row],[Tech Start Date]],9),""))))</f>
        <v>40931</v>
      </c>
      <c r="Q1475" s="85">
        <v>40918</v>
      </c>
      <c r="R1475" s="112"/>
      <c r="S1475" s="95" t="s">
        <v>11</v>
      </c>
      <c r="T1475" s="74" t="s">
        <v>3277</v>
      </c>
      <c r="U1475" s="95" t="s">
        <v>534</v>
      </c>
      <c r="V1475" s="95" t="s">
        <v>1914</v>
      </c>
      <c r="W1475" s="95" t="s">
        <v>1916</v>
      </c>
      <c r="X1475" s="95" t="s">
        <v>2903</v>
      </c>
      <c r="Y1475" s="72" t="s">
        <v>4</v>
      </c>
      <c r="Z1475" s="72" t="s">
        <v>530</v>
      </c>
      <c r="AA1475" s="95" t="s">
        <v>2903</v>
      </c>
      <c r="AB1475" s="132"/>
      <c r="AC1475" s="132"/>
      <c r="AD1475" s="132"/>
      <c r="AE1475" s="63"/>
      <c r="AF1475" s="63"/>
      <c r="AG1475" s="63"/>
    </row>
    <row r="1476" spans="1:33" ht="17.2" customHeight="1">
      <c r="A1476" s="64" t="str">
        <f>IF(priority(Main[[#This Row],[Comments]])&lt;&gt;0, priority(Main[[#This Row],[Comments]]),"")</f>
        <v/>
      </c>
      <c r="B1476" s="60" t="s">
        <v>3149</v>
      </c>
      <c r="C1476" s="72" t="s">
        <v>3210</v>
      </c>
      <c r="D1476" s="59" t="s">
        <v>3278</v>
      </c>
      <c r="E1476" s="85"/>
      <c r="F1476" s="85">
        <v>41105</v>
      </c>
      <c r="G1476" s="64" t="str">
        <f>IF(stdProdLT(Main[[#This Row],[Comments]])=0.1,"N/A",IF(stdProdLT(Main[[#This Row],[Comments]])=0,"",TRIM(stdProdLT(Main[[#This Row],[Comments]]))))</f>
        <v>126</v>
      </c>
      <c r="H1476" s="94" t="str">
        <f>IF(OR(Main[[#This Row],[Std. Prod. Lead Time]]="N/A",Main[[#This Row],[Std. Prod. Lead Time]]=""), "",IF(AND(Main[[#This Row],[In Stock Date]]&lt;&gt;"",Main[[#This Row],[Revised Due Date]]&lt;&gt;"",Main[[#This Row],[In Stock Date]]&lt;&gt;""),Main[[#This Row],[In Stock Date]]-Main[[#This Row],[Revised Due Date]],""))</f>
        <v/>
      </c>
      <c r="I1476" s="101" t="s">
        <v>937</v>
      </c>
      <c r="J1476" s="95" t="s">
        <v>28</v>
      </c>
      <c r="K1476" s="96" t="s">
        <v>1918</v>
      </c>
      <c r="L1476" s="85">
        <v>40921</v>
      </c>
      <c r="M1476" s="73">
        <f>IF(Main[[#This Row],[Tech Start Date]]&lt;1/1/1990,"",IF(Main[[#This Row],[Class]]="C",WORKDAY(Main[[#This Row],[Tech Start Date]],9),IF(Main[[#This Row],[Class]]="B", WORKDAY(Main[[#This Row],[Tech Start Date]],6),IF(Main[[#This Row],[Class]]="A",WORKDAY(Main[[#This Row],[Tech Start Date]],2),""))))</f>
        <v>40931</v>
      </c>
      <c r="N1476" s="73">
        <f>IF(Main[[#This Row],[Tech Start Date]]&lt;1/1/1990,"",IF(Main[[#This Row],[Class]]="C",WORKDAY(Main[[#This Row],[Tech Start Date]],19),IF(Main[[#This Row],[Class]]="B", WORKDAY(Main[[#This Row],[Tech Start Date]],12),IF(Main[[#This Row],[Class]]="A",WORKDAY(Main[[#This Row],[Tech Start Date]],4),""))))</f>
        <v>40939</v>
      </c>
      <c r="O1476" s="73">
        <f>IF(Main[[#This Row],[Tech Start Date]]&lt;1/1/1990,"",IF(Main[[#This Row],[Class]]="C",WORKDAY(Main[[#This Row],[Tech Start Date]],23),IF(Main[[#This Row],[Class]]="B", WORKDAY(Main[[#This Row],[Tech Start Date]],15),IF(Main[[#This Row],[Class]]="A",WORKDAY(Main[[#This Row],[Tech Start Date]],5),""))))</f>
        <v>40942</v>
      </c>
      <c r="P1476" s="73">
        <f>IF(Main[[#This Row],[Tech Start Date]]&lt;1/1/1990,"",IF(Main[[#This Row],[Class]]="C",WORKDAY(Main[[#This Row],[Tech Start Date]],28),IF(Main[[#This Row],[Class]]="B", WORKDAY(Main[[#This Row],[Tech Start Date]],19),IF(Main[[#This Row],[Class]]="A",WORKDAY(Main[[#This Row],[Tech Start Date]],9),""))))</f>
        <v>40948</v>
      </c>
      <c r="Q1476" s="85">
        <v>41105</v>
      </c>
      <c r="R1476" s="112"/>
      <c r="S1476" s="95" t="s">
        <v>11</v>
      </c>
      <c r="T1476" s="74" t="s">
        <v>3279</v>
      </c>
      <c r="U1476" s="95" t="s">
        <v>14</v>
      </c>
      <c r="V1476" s="95" t="s">
        <v>1911</v>
      </c>
      <c r="W1476" s="95" t="s">
        <v>1922</v>
      </c>
      <c r="X1476" s="95" t="s">
        <v>2832</v>
      </c>
      <c r="Y1476" s="72" t="s">
        <v>2968</v>
      </c>
      <c r="Z1476" s="72" t="s">
        <v>129</v>
      </c>
      <c r="AA1476" s="95" t="s">
        <v>2832</v>
      </c>
      <c r="AB1476" s="132"/>
      <c r="AC1476" s="132"/>
      <c r="AD1476" s="132"/>
      <c r="AE1476" s="63"/>
      <c r="AF1476" s="63"/>
      <c r="AG1476" s="63"/>
    </row>
    <row r="1477" spans="1:33" ht="17.2" customHeight="1">
      <c r="A1477" s="64" t="str">
        <f>IF(priority(Main[[#This Row],[Comments]])&lt;&gt;0, priority(Main[[#This Row],[Comments]]),"")</f>
        <v/>
      </c>
      <c r="B1477" s="60" t="s">
        <v>3451</v>
      </c>
      <c r="C1477" s="72" t="s">
        <v>3452</v>
      </c>
      <c r="D1477" s="59" t="s">
        <v>3453</v>
      </c>
      <c r="E1477" s="85">
        <v>40899.057951388888</v>
      </c>
      <c r="F1477" s="85"/>
      <c r="G1477" s="64" t="str">
        <f>IF(stdProdLT(Main[[#This Row],[Comments]])=0.1,"N/A",IF(stdProdLT(Main[[#This Row],[Comments]])=0,"",TRIM(stdProdLT(Main[[#This Row],[Comments]]))))</f>
        <v>N/A</v>
      </c>
      <c r="H1477" s="94" t="str">
        <f>IF(OR(Main[[#This Row],[Std. Prod. Lead Time]]="N/A",Main[[#This Row],[Std. Prod. Lead Time]]=""), "",IF(AND(Main[[#This Row],[In Stock Date]]&lt;&gt;"",Main[[#This Row],[Revised Due Date]]&lt;&gt;"",Main[[#This Row],[In Stock Date]]&lt;&gt;""),Main[[#This Row],[In Stock Date]]-Main[[#This Row],[Revised Due Date]],""))</f>
        <v/>
      </c>
      <c r="I1477" s="101" t="s">
        <v>946</v>
      </c>
      <c r="J1477" s="95" t="s">
        <v>28</v>
      </c>
      <c r="K1477" s="96" t="s">
        <v>1924</v>
      </c>
      <c r="L1477" s="85">
        <v>40932</v>
      </c>
      <c r="M1477" s="73">
        <f>IF(Main[[#This Row],[Tech Start Date]]&lt;1/1/1990,"",IF(Main[[#This Row],[Class]]="C",WORKDAY(Main[[#This Row],[Tech Start Date]],9),IF(Main[[#This Row],[Class]]="B", WORKDAY(Main[[#This Row],[Tech Start Date]],6),IF(Main[[#This Row],[Class]]="A",WORKDAY(Main[[#This Row],[Tech Start Date]],2),""))))</f>
        <v>40945</v>
      </c>
      <c r="N1477" s="73">
        <f>IF(Main[[#This Row],[Tech Start Date]]&lt;1/1/1990,"",IF(Main[[#This Row],[Class]]="C",WORKDAY(Main[[#This Row],[Tech Start Date]],19),IF(Main[[#This Row],[Class]]="B", WORKDAY(Main[[#This Row],[Tech Start Date]],12),IF(Main[[#This Row],[Class]]="A",WORKDAY(Main[[#This Row],[Tech Start Date]],4),""))))</f>
        <v>40959</v>
      </c>
      <c r="O1477" s="73">
        <f>IF(Main[[#This Row],[Tech Start Date]]&lt;1/1/1990,"",IF(Main[[#This Row],[Class]]="C",WORKDAY(Main[[#This Row],[Tech Start Date]],23),IF(Main[[#This Row],[Class]]="B", WORKDAY(Main[[#This Row],[Tech Start Date]],15),IF(Main[[#This Row],[Class]]="A",WORKDAY(Main[[#This Row],[Tech Start Date]],5),""))))</f>
        <v>40963</v>
      </c>
      <c r="P1477" s="73">
        <f>IF(Main[[#This Row],[Tech Start Date]]&lt;1/1/1990,"",IF(Main[[#This Row],[Class]]="C",WORKDAY(Main[[#This Row],[Tech Start Date]],28),IF(Main[[#This Row],[Class]]="B", WORKDAY(Main[[#This Row],[Tech Start Date]],19),IF(Main[[#This Row],[Class]]="A",WORKDAY(Main[[#This Row],[Tech Start Date]],9),""))))</f>
        <v>40970</v>
      </c>
      <c r="Q1477" s="85">
        <v>40921</v>
      </c>
      <c r="R1477" s="112">
        <v>40968</v>
      </c>
      <c r="S1477" s="95" t="s">
        <v>17</v>
      </c>
      <c r="T1477" s="74" t="s">
        <v>3454</v>
      </c>
      <c r="U1477" s="95" t="s">
        <v>29</v>
      </c>
      <c r="V1477" s="95" t="s">
        <v>1912</v>
      </c>
      <c r="W1477" s="95" t="s">
        <v>1913</v>
      </c>
      <c r="X1477" s="95" t="s">
        <v>2815</v>
      </c>
      <c r="Y1477" s="72" t="s">
        <v>4</v>
      </c>
      <c r="Z1477" s="72" t="s">
        <v>2047</v>
      </c>
      <c r="AA1477" s="95" t="s">
        <v>2815</v>
      </c>
      <c r="AB1477" s="132"/>
      <c r="AC1477" s="132"/>
      <c r="AD1477" s="132"/>
      <c r="AE1477" s="63"/>
      <c r="AF1477" s="63"/>
      <c r="AG1477" s="63"/>
    </row>
    <row r="1478" spans="1:33" ht="17.2" customHeight="1">
      <c r="A1478" s="64" t="str">
        <f>IF(priority(Main[[#This Row],[Comments]])&lt;&gt;0, priority(Main[[#This Row],[Comments]]),"")</f>
        <v/>
      </c>
      <c r="B1478" s="60" t="s">
        <v>3455</v>
      </c>
      <c r="C1478" s="72" t="s">
        <v>2204</v>
      </c>
      <c r="D1478" s="59" t="s">
        <v>3512</v>
      </c>
      <c r="E1478" s="85"/>
      <c r="F1478" s="85">
        <v>40978</v>
      </c>
      <c r="G1478" s="64" t="str">
        <f>IF(stdProdLT(Main[[#This Row],[Comments]])=0.1,"N/A",IF(stdProdLT(Main[[#This Row],[Comments]])=0,"",TRIM(stdProdLT(Main[[#This Row],[Comments]]))))</f>
        <v/>
      </c>
      <c r="H1478" s="94" t="str">
        <f>IF(OR(Main[[#This Row],[Std. Prod. Lead Time]]="N/A",Main[[#This Row],[Std. Prod. Lead Time]]=""), "",IF(AND(Main[[#This Row],[In Stock Date]]&lt;&gt;"",Main[[#This Row],[Revised Due Date]]&lt;&gt;"",Main[[#This Row],[In Stock Date]]&lt;&gt;""),Main[[#This Row],[In Stock Date]]-Main[[#This Row],[Revised Due Date]],""))</f>
        <v/>
      </c>
      <c r="I1478" s="101" t="s">
        <v>941</v>
      </c>
      <c r="J1478" s="95" t="s">
        <v>28</v>
      </c>
      <c r="K1478" s="95" t="s">
        <v>1920</v>
      </c>
      <c r="L1478" s="85">
        <v>40945</v>
      </c>
      <c r="M1478" s="73">
        <f>IF(Main[[#This Row],[Tech Start Date]]&lt;1/1/1990,"",IF(Main[[#This Row],[Class]]="C",WORKDAY(Main[[#This Row],[Tech Start Date]],9),IF(Main[[#This Row],[Class]]="B", WORKDAY(Main[[#This Row],[Tech Start Date]],6),IF(Main[[#This Row],[Class]]="A",WORKDAY(Main[[#This Row],[Tech Start Date]],2),""))))</f>
        <v>40947</v>
      </c>
      <c r="N1478" s="73">
        <f>IF(Main[[#This Row],[Tech Start Date]]&lt;1/1/1990,"",IF(Main[[#This Row],[Class]]="C",WORKDAY(Main[[#This Row],[Tech Start Date]],19),IF(Main[[#This Row],[Class]]="B", WORKDAY(Main[[#This Row],[Tech Start Date]],12),IF(Main[[#This Row],[Class]]="A",WORKDAY(Main[[#This Row],[Tech Start Date]],4),""))))</f>
        <v>40949</v>
      </c>
      <c r="O1478" s="73">
        <f>IF(Main[[#This Row],[Tech Start Date]]&lt;1/1/1990,"",IF(Main[[#This Row],[Class]]="C",WORKDAY(Main[[#This Row],[Tech Start Date]],23),IF(Main[[#This Row],[Class]]="B", WORKDAY(Main[[#This Row],[Tech Start Date]],15),IF(Main[[#This Row],[Class]]="A",WORKDAY(Main[[#This Row],[Tech Start Date]],5),""))))</f>
        <v>40952</v>
      </c>
      <c r="P1478" s="73">
        <f>IF(Main[[#This Row],[Tech Start Date]]&lt;1/1/1990,"",IF(Main[[#This Row],[Class]]="C",WORKDAY(Main[[#This Row],[Tech Start Date]],28),IF(Main[[#This Row],[Class]]="B", WORKDAY(Main[[#This Row],[Tech Start Date]],19),IF(Main[[#This Row],[Class]]="A",WORKDAY(Main[[#This Row],[Tech Start Date]],9),""))))</f>
        <v>40956</v>
      </c>
      <c r="Q1478" s="85">
        <v>40978</v>
      </c>
      <c r="R1478" s="112">
        <v>40954</v>
      </c>
      <c r="S1478" s="95" t="s">
        <v>11</v>
      </c>
      <c r="T1478" s="74" t="s">
        <v>3513</v>
      </c>
      <c r="U1478" s="95" t="s">
        <v>14</v>
      </c>
      <c r="V1478" s="95" t="s">
        <v>1912</v>
      </c>
      <c r="W1478" s="95" t="s">
        <v>1916</v>
      </c>
      <c r="X1478" s="95" t="s">
        <v>2796</v>
      </c>
      <c r="Y1478" s="72" t="s">
        <v>4</v>
      </c>
      <c r="Z1478" s="72" t="s">
        <v>2047</v>
      </c>
      <c r="AA1478" s="95" t="s">
        <v>2796</v>
      </c>
      <c r="AB1478" s="132"/>
      <c r="AC1478" s="132"/>
      <c r="AD1478" s="132"/>
      <c r="AE1478" s="63"/>
      <c r="AF1478" s="63"/>
      <c r="AG1478" s="63"/>
    </row>
    <row r="1479" spans="1:33" ht="17.2" customHeight="1">
      <c r="A1479" s="64" t="str">
        <f>IF(priority(Main[[#This Row],[Comments]])&lt;&gt;0, priority(Main[[#This Row],[Comments]]),"")</f>
        <v/>
      </c>
      <c r="B1479" s="60" t="s">
        <v>3517</v>
      </c>
      <c r="C1479" s="72" t="s">
        <v>4</v>
      </c>
      <c r="D1479" s="59" t="s">
        <v>3518</v>
      </c>
      <c r="E1479" s="85">
        <v>40947.374143518522</v>
      </c>
      <c r="F1479" s="85"/>
      <c r="G1479" s="64" t="str">
        <f>IF(stdProdLT(Main[[#This Row],[Comments]])=0.1,"N/A",IF(stdProdLT(Main[[#This Row],[Comments]])=0,"",TRIM(stdProdLT(Main[[#This Row],[Comments]]))))</f>
        <v/>
      </c>
      <c r="H1479" s="94" t="str">
        <f>IF(OR(Main[[#This Row],[Std. Prod. Lead Time]]="N/A",Main[[#This Row],[Std. Prod. Lead Time]]=""), "",IF(AND(Main[[#This Row],[In Stock Date]]&lt;&gt;"",Main[[#This Row],[Revised Due Date]]&lt;&gt;"",Main[[#This Row],[In Stock Date]]&lt;&gt;""),Main[[#This Row],[In Stock Date]]-Main[[#This Row],[Revised Due Date]],""))</f>
        <v/>
      </c>
      <c r="I1479" s="101" t="s">
        <v>942</v>
      </c>
      <c r="J1479" s="95" t="s">
        <v>28</v>
      </c>
      <c r="K1479" s="95" t="s">
        <v>1918</v>
      </c>
      <c r="L1479" s="85">
        <v>40947</v>
      </c>
      <c r="M1479" s="73">
        <f>IF(Main[[#This Row],[Tech Start Date]]&lt;1/1/1990,"",IF(Main[[#This Row],[Class]]="C",WORKDAY(Main[[#This Row],[Tech Start Date]],9),IF(Main[[#This Row],[Class]]="B", WORKDAY(Main[[#This Row],[Tech Start Date]],6),IF(Main[[#This Row],[Class]]="A",WORKDAY(Main[[#This Row],[Tech Start Date]],2),""))))</f>
        <v>40955</v>
      </c>
      <c r="N1479" s="73">
        <f>IF(Main[[#This Row],[Tech Start Date]]&lt;1/1/1990,"",IF(Main[[#This Row],[Class]]="C",WORKDAY(Main[[#This Row],[Tech Start Date]],19),IF(Main[[#This Row],[Class]]="B", WORKDAY(Main[[#This Row],[Tech Start Date]],12),IF(Main[[#This Row],[Class]]="A",WORKDAY(Main[[#This Row],[Tech Start Date]],4),""))))</f>
        <v>40963</v>
      </c>
      <c r="O1479" s="73">
        <f>IF(Main[[#This Row],[Tech Start Date]]&lt;1/1/1990,"",IF(Main[[#This Row],[Class]]="C",WORKDAY(Main[[#This Row],[Tech Start Date]],23),IF(Main[[#This Row],[Class]]="B", WORKDAY(Main[[#This Row],[Tech Start Date]],15),IF(Main[[#This Row],[Class]]="A",WORKDAY(Main[[#This Row],[Tech Start Date]],5),""))))</f>
        <v>40968</v>
      </c>
      <c r="P1479" s="73">
        <f>IF(Main[[#This Row],[Tech Start Date]]&lt;1/1/1990,"",IF(Main[[#This Row],[Class]]="C",WORKDAY(Main[[#This Row],[Tech Start Date]],28),IF(Main[[#This Row],[Class]]="B", WORKDAY(Main[[#This Row],[Tech Start Date]],19),IF(Main[[#This Row],[Class]]="A",WORKDAY(Main[[#This Row],[Tech Start Date]],9),""))))</f>
        <v>40974</v>
      </c>
      <c r="Q1479" s="85"/>
      <c r="R1479" s="112">
        <v>40956</v>
      </c>
      <c r="S1479" s="95" t="s">
        <v>6</v>
      </c>
      <c r="T1479" s="74" t="s">
        <v>4</v>
      </c>
      <c r="U1479" s="95" t="s">
        <v>29</v>
      </c>
      <c r="V1479" s="95" t="s">
        <v>1912</v>
      </c>
      <c r="W1479" s="95" t="s">
        <v>1916</v>
      </c>
      <c r="X1479" s="95" t="s">
        <v>2047</v>
      </c>
      <c r="Y1479" s="72" t="s">
        <v>3131</v>
      </c>
      <c r="Z1479" s="72" t="s">
        <v>2047</v>
      </c>
      <c r="AA1479" s="95" t="s">
        <v>2047</v>
      </c>
      <c r="AB1479" s="132"/>
      <c r="AC1479" s="132"/>
      <c r="AD1479" s="132"/>
      <c r="AE1479" s="63"/>
      <c r="AF1479" s="63"/>
      <c r="AG1479" s="63"/>
    </row>
    <row r="1480" spans="1:33" ht="17.2" customHeight="1">
      <c r="A1480" s="116" t="str">
        <f>IF(priority(Main[[#This Row],[Comments]])&lt;&gt;0, priority(Main[[#This Row],[Comments]]),"")</f>
        <v/>
      </c>
      <c r="B1480" s="117" t="s">
        <v>3263</v>
      </c>
      <c r="C1480" s="125" t="s">
        <v>116</v>
      </c>
      <c r="D1480" s="137" t="s">
        <v>3519</v>
      </c>
      <c r="E1480" s="118">
        <v>40933.750428240739</v>
      </c>
      <c r="F1480" s="118">
        <v>40969</v>
      </c>
      <c r="G1480" s="116" t="str">
        <f>IF(stdProdLT(Main[[#This Row],[Comments]])=0.1,"N/A",IF(stdProdLT(Main[[#This Row],[Comments]])=0,"",TRIM(stdProdLT(Main[[#This Row],[Comments]]))))</f>
        <v>N/A</v>
      </c>
      <c r="H1480" s="119" t="str">
        <f>IF(OR(Main[[#This Row],[Std. Prod. Lead Time]]="N/A",Main[[#This Row],[Std. Prod. Lead Time]]=""), "",IF(AND(Main[[#This Row],[In Stock Date]]&lt;&gt;"",Main[[#This Row],[Revised Due Date]]&lt;&gt;"",Main[[#This Row],[In Stock Date]]&lt;&gt;""),Main[[#This Row],[In Stock Date]]-Main[[#This Row],[Revised Due Date]],""))</f>
        <v/>
      </c>
      <c r="I1480" s="120" t="s">
        <v>2038</v>
      </c>
      <c r="J1480" s="121" t="s">
        <v>28</v>
      </c>
      <c r="K1480" s="121" t="s">
        <v>1924</v>
      </c>
      <c r="L1480" s="118">
        <v>40948</v>
      </c>
      <c r="M1480" s="122">
        <f>IF(Main[[#This Row],[Tech Start Date]]&lt;1/1/1990,"",IF(Main[[#This Row],[Class]]="C",WORKDAY(Main[[#This Row],[Tech Start Date]],9),IF(Main[[#This Row],[Class]]="B", WORKDAY(Main[[#This Row],[Tech Start Date]],6),IF(Main[[#This Row],[Class]]="A",WORKDAY(Main[[#This Row],[Tech Start Date]],2),""))))</f>
        <v>40961</v>
      </c>
      <c r="N1480" s="122">
        <f>IF(Main[[#This Row],[Tech Start Date]]&lt;1/1/1990,"",IF(Main[[#This Row],[Class]]="C",WORKDAY(Main[[#This Row],[Tech Start Date]],19),IF(Main[[#This Row],[Class]]="B", WORKDAY(Main[[#This Row],[Tech Start Date]],12),IF(Main[[#This Row],[Class]]="A",WORKDAY(Main[[#This Row],[Tech Start Date]],4),""))))</f>
        <v>40975</v>
      </c>
      <c r="O1480" s="122">
        <f>IF(Main[[#This Row],[Tech Start Date]]&lt;1/1/1990,"",IF(Main[[#This Row],[Class]]="C",WORKDAY(Main[[#This Row],[Tech Start Date]],23),IF(Main[[#This Row],[Class]]="B", WORKDAY(Main[[#This Row],[Tech Start Date]],15),IF(Main[[#This Row],[Class]]="A",WORKDAY(Main[[#This Row],[Tech Start Date]],5),""))))</f>
        <v>40981</v>
      </c>
      <c r="P1480" s="122">
        <f>IF(Main[[#This Row],[Tech Start Date]]&lt;1/1/1990,"",IF(Main[[#This Row],[Class]]="C",WORKDAY(Main[[#This Row],[Tech Start Date]],28),IF(Main[[#This Row],[Class]]="B", WORKDAY(Main[[#This Row],[Tech Start Date]],19),IF(Main[[#This Row],[Class]]="A",WORKDAY(Main[[#This Row],[Tech Start Date]],9),""))))</f>
        <v>40988</v>
      </c>
      <c r="Q1480" s="118">
        <v>40969</v>
      </c>
      <c r="R1480" s="123"/>
      <c r="S1480" s="121" t="s">
        <v>11</v>
      </c>
      <c r="T1480" s="124" t="s">
        <v>3201</v>
      </c>
      <c r="U1480" s="121" t="s">
        <v>534</v>
      </c>
      <c r="V1480" s="121" t="s">
        <v>1914</v>
      </c>
      <c r="W1480" s="121" t="s">
        <v>1916</v>
      </c>
      <c r="X1480" s="121" t="s">
        <v>553</v>
      </c>
      <c r="Y1480" s="125" t="s">
        <v>2930</v>
      </c>
      <c r="Z1480" s="125" t="s">
        <v>530</v>
      </c>
      <c r="AA1480" s="121" t="s">
        <v>553</v>
      </c>
      <c r="AB1480" s="132"/>
      <c r="AC1480" s="132"/>
      <c r="AD1480" s="132"/>
      <c r="AE1480" s="63"/>
      <c r="AF1480" s="63"/>
      <c r="AG1480" s="63"/>
    </row>
    <row r="1481" spans="1:33" ht="17.2" customHeight="1">
      <c r="A1481" s="64" t="str">
        <f>IF(priority(Main[[#This Row],[Comments]])&lt;&gt;0, priority(Main[[#This Row],[Comments]]),"")</f>
        <v/>
      </c>
      <c r="B1481" s="60" t="s">
        <v>3232</v>
      </c>
      <c r="C1481" s="72" t="s">
        <v>3178</v>
      </c>
      <c r="D1481" s="59" t="s">
        <v>3233</v>
      </c>
      <c r="E1481" s="85"/>
      <c r="F1481" s="85">
        <v>41153</v>
      </c>
      <c r="G1481" s="64" t="str">
        <f>IF(stdProdLT(Main[[#This Row],[Comments]])=0.1,"N/A",IF(stdProdLT(Main[[#This Row],[Comments]])=0,"",TRIM(stdProdLT(Main[[#This Row],[Comments]]))))</f>
        <v>168</v>
      </c>
      <c r="H1481" s="94" t="str">
        <f>IF(OR(Main[[#This Row],[Std. Prod. Lead Time]]="N/A",Main[[#This Row],[Std. Prod. Lead Time]]=""), "",IF(AND(Main[[#This Row],[In Stock Date]]&lt;&gt;"",Main[[#This Row],[Revised Due Date]]&lt;&gt;"",Main[[#This Row],[In Stock Date]]&lt;&gt;""),Main[[#This Row],[In Stock Date]]-Main[[#This Row],[Revised Due Date]],""))</f>
        <v/>
      </c>
      <c r="I1481" s="101" t="s">
        <v>765</v>
      </c>
      <c r="J1481" s="95" t="s">
        <v>28</v>
      </c>
      <c r="K1481" s="95" t="s">
        <v>1918</v>
      </c>
      <c r="L1481" s="85">
        <v>40948</v>
      </c>
      <c r="M1481" s="73">
        <f>IF(Main[[#This Row],[Tech Start Date]]&lt;1/1/1990,"",IF(Main[[#This Row],[Class]]="C",WORKDAY(Main[[#This Row],[Tech Start Date]],9),IF(Main[[#This Row],[Class]]="B", WORKDAY(Main[[#This Row],[Tech Start Date]],6),IF(Main[[#This Row],[Class]]="A",WORKDAY(Main[[#This Row],[Tech Start Date]],2),""))))</f>
        <v>40956</v>
      </c>
      <c r="N1481" s="73">
        <f>IF(Main[[#This Row],[Tech Start Date]]&lt;1/1/1990,"",IF(Main[[#This Row],[Class]]="C",WORKDAY(Main[[#This Row],[Tech Start Date]],19),IF(Main[[#This Row],[Class]]="B", WORKDAY(Main[[#This Row],[Tech Start Date]],12),IF(Main[[#This Row],[Class]]="A",WORKDAY(Main[[#This Row],[Tech Start Date]],4),""))))</f>
        <v>40966</v>
      </c>
      <c r="O1481" s="73">
        <f>IF(Main[[#This Row],[Tech Start Date]]&lt;1/1/1990,"",IF(Main[[#This Row],[Class]]="C",WORKDAY(Main[[#This Row],[Tech Start Date]],23),IF(Main[[#This Row],[Class]]="B", WORKDAY(Main[[#This Row],[Tech Start Date]],15),IF(Main[[#This Row],[Class]]="A",WORKDAY(Main[[#This Row],[Tech Start Date]],5),""))))</f>
        <v>40969</v>
      </c>
      <c r="P1481" s="73">
        <f>IF(Main[[#This Row],[Tech Start Date]]&lt;1/1/1990,"",IF(Main[[#This Row],[Class]]="C",WORKDAY(Main[[#This Row],[Tech Start Date]],28),IF(Main[[#This Row],[Class]]="B", WORKDAY(Main[[#This Row],[Tech Start Date]],19),IF(Main[[#This Row],[Class]]="A",WORKDAY(Main[[#This Row],[Tech Start Date]],9),""))))</f>
        <v>40975</v>
      </c>
      <c r="Q1481" s="85">
        <v>40983</v>
      </c>
      <c r="R1481" s="112"/>
      <c r="S1481" s="95" t="s">
        <v>11</v>
      </c>
      <c r="T1481" s="74" t="s">
        <v>3716</v>
      </c>
      <c r="U1481" s="95" t="s">
        <v>14</v>
      </c>
      <c r="V1481" s="95" t="s">
        <v>1914</v>
      </c>
      <c r="W1481" s="95" t="s">
        <v>1917</v>
      </c>
      <c r="X1481" s="95" t="s">
        <v>2828</v>
      </c>
      <c r="Y1481" s="72" t="s">
        <v>2957</v>
      </c>
      <c r="Z1481" s="72" t="s">
        <v>530</v>
      </c>
      <c r="AA1481" s="95" t="s">
        <v>2828</v>
      </c>
      <c r="AB1481" s="132"/>
      <c r="AC1481" s="132"/>
      <c r="AD1481" s="132"/>
      <c r="AE1481" s="63"/>
      <c r="AF1481" s="63"/>
      <c r="AG1481" s="63"/>
    </row>
    <row r="1482" spans="1:33" ht="17.2" customHeight="1">
      <c r="A1482" s="64" t="str">
        <f>IF(priority(Main[[#This Row],[Comments]])&lt;&gt;0, priority(Main[[#This Row],[Comments]]),"")</f>
        <v/>
      </c>
      <c r="B1482" s="60" t="s">
        <v>3520</v>
      </c>
      <c r="C1482" s="72" t="s">
        <v>122</v>
      </c>
      <c r="D1482" s="59" t="s">
        <v>3521</v>
      </c>
      <c r="E1482" s="85">
        <v>40946.693032407406</v>
      </c>
      <c r="F1482" s="85"/>
      <c r="G1482" s="64" t="str">
        <f>IF(stdProdLT(Main[[#This Row],[Comments]])=0.1,"N/A",IF(stdProdLT(Main[[#This Row],[Comments]])=0,"",TRIM(stdProdLT(Main[[#This Row],[Comments]]))))</f>
        <v/>
      </c>
      <c r="H1482" s="94" t="str">
        <f>IF(OR(Main[[#This Row],[Std. Prod. Lead Time]]="N/A",Main[[#This Row],[Std. Prod. Lead Time]]=""), "",IF(AND(Main[[#This Row],[In Stock Date]]&lt;&gt;"",Main[[#This Row],[Revised Due Date]]&lt;&gt;"",Main[[#This Row],[In Stock Date]]&lt;&gt;""),Main[[#This Row],[In Stock Date]]-Main[[#This Row],[Revised Due Date]],""))</f>
        <v/>
      </c>
      <c r="I1482" s="101" t="s">
        <v>561</v>
      </c>
      <c r="J1482" s="95" t="s">
        <v>21</v>
      </c>
      <c r="K1482" s="95" t="s">
        <v>1920</v>
      </c>
      <c r="L1482" s="85">
        <v>40948</v>
      </c>
      <c r="M1482" s="73">
        <f>IF(Main[[#This Row],[Tech Start Date]]&lt;1/1/1990,"",IF(Main[[#This Row],[Class]]="C",WORKDAY(Main[[#This Row],[Tech Start Date]],9),IF(Main[[#This Row],[Class]]="B", WORKDAY(Main[[#This Row],[Tech Start Date]],6),IF(Main[[#This Row],[Class]]="A",WORKDAY(Main[[#This Row],[Tech Start Date]],2),""))))</f>
        <v>40952</v>
      </c>
      <c r="N1482" s="73">
        <f>IF(Main[[#This Row],[Tech Start Date]]&lt;1/1/1990,"",IF(Main[[#This Row],[Class]]="C",WORKDAY(Main[[#This Row],[Tech Start Date]],19),IF(Main[[#This Row],[Class]]="B", WORKDAY(Main[[#This Row],[Tech Start Date]],12),IF(Main[[#This Row],[Class]]="A",WORKDAY(Main[[#This Row],[Tech Start Date]],4),""))))</f>
        <v>40954</v>
      </c>
      <c r="O1482" s="73">
        <f>IF(Main[[#This Row],[Tech Start Date]]&lt;1/1/1990,"",IF(Main[[#This Row],[Class]]="C",WORKDAY(Main[[#This Row],[Tech Start Date]],23),IF(Main[[#This Row],[Class]]="B", WORKDAY(Main[[#This Row],[Tech Start Date]],15),IF(Main[[#This Row],[Class]]="A",WORKDAY(Main[[#This Row],[Tech Start Date]],5),""))))</f>
        <v>40955</v>
      </c>
      <c r="P1482" s="73">
        <f>IF(Main[[#This Row],[Tech Start Date]]&lt;1/1/1990,"",IF(Main[[#This Row],[Class]]="C",WORKDAY(Main[[#This Row],[Tech Start Date]],28),IF(Main[[#This Row],[Class]]="B", WORKDAY(Main[[#This Row],[Tech Start Date]],19),IF(Main[[#This Row],[Class]]="A",WORKDAY(Main[[#This Row],[Tech Start Date]],9),""))))</f>
        <v>40961</v>
      </c>
      <c r="Q1482" s="85"/>
      <c r="R1482" s="112">
        <v>40959</v>
      </c>
      <c r="S1482" s="95" t="s">
        <v>17</v>
      </c>
      <c r="T1482" s="74" t="s">
        <v>4</v>
      </c>
      <c r="U1482" s="95" t="s">
        <v>29</v>
      </c>
      <c r="V1482" s="95" t="s">
        <v>1911</v>
      </c>
      <c r="W1482" s="95" t="s">
        <v>1913</v>
      </c>
      <c r="X1482" s="95" t="s">
        <v>2819</v>
      </c>
      <c r="Y1482" s="72" t="s">
        <v>2948</v>
      </c>
      <c r="Z1482" s="72" t="s">
        <v>129</v>
      </c>
      <c r="AA1482" s="95" t="s">
        <v>2819</v>
      </c>
      <c r="AB1482" s="132"/>
      <c r="AC1482" s="132"/>
      <c r="AD1482" s="132"/>
      <c r="AE1482" s="63"/>
      <c r="AF1482" s="63"/>
      <c r="AG1482" s="63"/>
    </row>
    <row r="1483" spans="1:33" ht="17.2" customHeight="1">
      <c r="A1483" s="116" t="str">
        <f>IF(priority(Main[[#This Row],[Comments]])&lt;&gt;0, priority(Main[[#This Row],[Comments]]),"")</f>
        <v/>
      </c>
      <c r="B1483" s="117" t="s">
        <v>3717</v>
      </c>
      <c r="C1483" s="125" t="s">
        <v>3718</v>
      </c>
      <c r="D1483" s="137" t="s">
        <v>4083</v>
      </c>
      <c r="E1483" s="118">
        <v>40953.697708333333</v>
      </c>
      <c r="F1483" s="118">
        <v>41154</v>
      </c>
      <c r="G1483" s="116" t="str">
        <f>IF(stdProdLT(Main[[#This Row],[Comments]])=0.1,"N/A",IF(stdProdLT(Main[[#This Row],[Comments]])=0,"",TRIM(stdProdLT(Main[[#This Row],[Comments]]))))</f>
        <v>126</v>
      </c>
      <c r="H1483" s="119" t="str">
        <f>IF(OR(Main[[#This Row],[Std. Prod. Lead Time]]="N/A",Main[[#This Row],[Std. Prod. Lead Time]]=""), "",IF(AND(Main[[#This Row],[In Stock Date]]&lt;&gt;"",Main[[#This Row],[Revised Due Date]]&lt;&gt;"",Main[[#This Row],[In Stock Date]]&lt;&gt;""),Main[[#This Row],[In Stock Date]]-Main[[#This Row],[Revised Due Date]],""))</f>
        <v/>
      </c>
      <c r="I1483" s="120" t="s">
        <v>937</v>
      </c>
      <c r="J1483" s="121" t="s">
        <v>21</v>
      </c>
      <c r="K1483" s="121" t="s">
        <v>1918</v>
      </c>
      <c r="L1483" s="118">
        <v>40954</v>
      </c>
      <c r="M1483" s="122">
        <f>IF(Main[[#This Row],[Tech Start Date]]&lt;1/1/1990,"",IF(Main[[#This Row],[Class]]="C",WORKDAY(Main[[#This Row],[Tech Start Date]],9),IF(Main[[#This Row],[Class]]="B", WORKDAY(Main[[#This Row],[Tech Start Date]],6),IF(Main[[#This Row],[Class]]="A",WORKDAY(Main[[#This Row],[Tech Start Date]],2),""))))</f>
        <v>40962</v>
      </c>
      <c r="N1483" s="122">
        <f>IF(Main[[#This Row],[Tech Start Date]]&lt;1/1/1990,"",IF(Main[[#This Row],[Class]]="C",WORKDAY(Main[[#This Row],[Tech Start Date]],19),IF(Main[[#This Row],[Class]]="B", WORKDAY(Main[[#This Row],[Tech Start Date]],12),IF(Main[[#This Row],[Class]]="A",WORKDAY(Main[[#This Row],[Tech Start Date]],4),""))))</f>
        <v>40970</v>
      </c>
      <c r="O1483" s="122">
        <f>IF(Main[[#This Row],[Tech Start Date]]&lt;1/1/1990,"",IF(Main[[#This Row],[Class]]="C",WORKDAY(Main[[#This Row],[Tech Start Date]],23),IF(Main[[#This Row],[Class]]="B", WORKDAY(Main[[#This Row],[Tech Start Date]],15),IF(Main[[#This Row],[Class]]="A",WORKDAY(Main[[#This Row],[Tech Start Date]],5),""))))</f>
        <v>40975</v>
      </c>
      <c r="P1483" s="122">
        <f>IF(Main[[#This Row],[Tech Start Date]]&lt;1/1/1990,"",IF(Main[[#This Row],[Class]]="C",WORKDAY(Main[[#This Row],[Tech Start Date]],28),IF(Main[[#This Row],[Class]]="B", WORKDAY(Main[[#This Row],[Tech Start Date]],19),IF(Main[[#This Row],[Class]]="A",WORKDAY(Main[[#This Row],[Tech Start Date]],9),""))))</f>
        <v>40981</v>
      </c>
      <c r="Q1483" s="118"/>
      <c r="R1483" s="123"/>
      <c r="S1483" s="121" t="s">
        <v>11</v>
      </c>
      <c r="T1483" s="124" t="s">
        <v>4065</v>
      </c>
      <c r="U1483" s="121" t="s">
        <v>534</v>
      </c>
      <c r="V1483" s="121" t="s">
        <v>1911</v>
      </c>
      <c r="W1483" s="121" t="s">
        <v>1917</v>
      </c>
      <c r="X1483" s="121" t="s">
        <v>2832</v>
      </c>
      <c r="Y1483" s="125" t="s">
        <v>2968</v>
      </c>
      <c r="Z1483" s="125" t="s">
        <v>129</v>
      </c>
      <c r="AA1483" s="121" t="s">
        <v>2832</v>
      </c>
      <c r="AB1483" s="132"/>
      <c r="AC1483" s="132"/>
      <c r="AD1483" s="132"/>
      <c r="AE1483" s="63"/>
      <c r="AF1483" s="63"/>
      <c r="AG1483" s="63"/>
    </row>
    <row r="1484" spans="1:33" ht="17.2" customHeight="1">
      <c r="A1484" s="116" t="str">
        <f>IF(priority(Main[[#This Row],[Comments]])&lt;&gt;0, priority(Main[[#This Row],[Comments]]),"")</f>
        <v/>
      </c>
      <c r="B1484" s="117" t="s">
        <v>3719</v>
      </c>
      <c r="C1484" s="125" t="s">
        <v>3718</v>
      </c>
      <c r="D1484" s="137" t="s">
        <v>3720</v>
      </c>
      <c r="E1484" s="118">
        <v>40953.687349537038</v>
      </c>
      <c r="F1484" s="118">
        <v>41154</v>
      </c>
      <c r="G1484" s="116" t="str">
        <f>IF(stdProdLT(Main[[#This Row],[Comments]])=0.1,"N/A",IF(stdProdLT(Main[[#This Row],[Comments]])=0,"",TRIM(stdProdLT(Main[[#This Row],[Comments]]))))</f>
        <v>126</v>
      </c>
      <c r="H1484" s="119" t="str">
        <f>IF(OR(Main[[#This Row],[Std. Prod. Lead Time]]="N/A",Main[[#This Row],[Std. Prod. Lead Time]]=""), "",IF(AND(Main[[#This Row],[In Stock Date]]&lt;&gt;"",Main[[#This Row],[Revised Due Date]]&lt;&gt;"",Main[[#This Row],[In Stock Date]]&lt;&gt;""),Main[[#This Row],[In Stock Date]]-Main[[#This Row],[Revised Due Date]],""))</f>
        <v/>
      </c>
      <c r="I1484" s="120" t="s">
        <v>912</v>
      </c>
      <c r="J1484" s="121" t="s">
        <v>52</v>
      </c>
      <c r="K1484" s="121" t="s">
        <v>1918</v>
      </c>
      <c r="L1484" s="118">
        <v>40954</v>
      </c>
      <c r="M1484" s="122">
        <f>IF(Main[[#This Row],[Tech Start Date]]&lt;1/1/1990,"",IF(Main[[#This Row],[Class]]="C",WORKDAY(Main[[#This Row],[Tech Start Date]],9),IF(Main[[#This Row],[Class]]="B", WORKDAY(Main[[#This Row],[Tech Start Date]],6),IF(Main[[#This Row],[Class]]="A",WORKDAY(Main[[#This Row],[Tech Start Date]],2),""))))</f>
        <v>40962</v>
      </c>
      <c r="N1484" s="122">
        <f>IF(Main[[#This Row],[Tech Start Date]]&lt;1/1/1990,"",IF(Main[[#This Row],[Class]]="C",WORKDAY(Main[[#This Row],[Tech Start Date]],19),IF(Main[[#This Row],[Class]]="B", WORKDAY(Main[[#This Row],[Tech Start Date]],12),IF(Main[[#This Row],[Class]]="A",WORKDAY(Main[[#This Row],[Tech Start Date]],4),""))))</f>
        <v>40970</v>
      </c>
      <c r="O1484" s="122">
        <f>IF(Main[[#This Row],[Tech Start Date]]&lt;1/1/1990,"",IF(Main[[#This Row],[Class]]="C",WORKDAY(Main[[#This Row],[Tech Start Date]],23),IF(Main[[#This Row],[Class]]="B", WORKDAY(Main[[#This Row],[Tech Start Date]],15),IF(Main[[#This Row],[Class]]="A",WORKDAY(Main[[#This Row],[Tech Start Date]],5),""))))</f>
        <v>40975</v>
      </c>
      <c r="P1484" s="122">
        <f>IF(Main[[#This Row],[Tech Start Date]]&lt;1/1/1990,"",IF(Main[[#This Row],[Class]]="C",WORKDAY(Main[[#This Row],[Tech Start Date]],28),IF(Main[[#This Row],[Class]]="B", WORKDAY(Main[[#This Row],[Tech Start Date]],19),IF(Main[[#This Row],[Class]]="A",WORKDAY(Main[[#This Row],[Tech Start Date]],9),""))))</f>
        <v>40981</v>
      </c>
      <c r="Q1484" s="118"/>
      <c r="R1484" s="123"/>
      <c r="S1484" s="121" t="s">
        <v>11</v>
      </c>
      <c r="T1484" s="124" t="s">
        <v>4065</v>
      </c>
      <c r="U1484" s="121" t="s">
        <v>534</v>
      </c>
      <c r="V1484" s="121" t="s">
        <v>1911</v>
      </c>
      <c r="W1484" s="121" t="s">
        <v>1917</v>
      </c>
      <c r="X1484" s="121" t="s">
        <v>2832</v>
      </c>
      <c r="Y1484" s="125" t="s">
        <v>2968</v>
      </c>
      <c r="Z1484" s="125" t="s">
        <v>129</v>
      </c>
      <c r="AA1484" s="121" t="s">
        <v>2832</v>
      </c>
      <c r="AB1484" s="132"/>
      <c r="AC1484" s="132"/>
      <c r="AD1484" s="132"/>
      <c r="AE1484" s="63"/>
      <c r="AF1484" s="63"/>
      <c r="AG1484" s="63"/>
    </row>
    <row r="1485" spans="1:33" ht="17.2" customHeight="1">
      <c r="A1485" s="116" t="str">
        <f>IF(priority(Main[[#This Row],[Comments]])&lt;&gt;0, priority(Main[[#This Row],[Comments]]),"")</f>
        <v/>
      </c>
      <c r="B1485" s="117" t="s">
        <v>3723</v>
      </c>
      <c r="C1485" s="125" t="s">
        <v>4</v>
      </c>
      <c r="D1485" s="137" t="s">
        <v>3993</v>
      </c>
      <c r="E1485" s="118"/>
      <c r="F1485" s="118">
        <v>40959</v>
      </c>
      <c r="G1485" s="116" t="str">
        <f>IF(stdProdLT(Main[[#This Row],[Comments]])=0.1,"N/A",IF(stdProdLT(Main[[#This Row],[Comments]])=0,"",TRIM(stdProdLT(Main[[#This Row],[Comments]]))))</f>
        <v/>
      </c>
      <c r="H1485" s="119" t="str">
        <f>IF(OR(Main[[#This Row],[Std. Prod. Lead Time]]="N/A",Main[[#This Row],[Std. Prod. Lead Time]]=""), "",IF(AND(Main[[#This Row],[In Stock Date]]&lt;&gt;"",Main[[#This Row],[Revised Due Date]]&lt;&gt;"",Main[[#This Row],[In Stock Date]]&lt;&gt;""),Main[[#This Row],[In Stock Date]]-Main[[#This Row],[Revised Due Date]],""))</f>
        <v/>
      </c>
      <c r="I1485" s="120" t="s">
        <v>2038</v>
      </c>
      <c r="J1485" s="121" t="s">
        <v>28</v>
      </c>
      <c r="K1485" s="121" t="s">
        <v>1920</v>
      </c>
      <c r="L1485" s="118">
        <v>40955</v>
      </c>
      <c r="M1485" s="122">
        <f>IF(Main[[#This Row],[Tech Start Date]]&lt;1/1/1990,"",IF(Main[[#This Row],[Class]]="C",WORKDAY(Main[[#This Row],[Tech Start Date]],9),IF(Main[[#This Row],[Class]]="B", WORKDAY(Main[[#This Row],[Tech Start Date]],6),IF(Main[[#This Row],[Class]]="A",WORKDAY(Main[[#This Row],[Tech Start Date]],2),""))))</f>
        <v>40959</v>
      </c>
      <c r="N1485" s="122">
        <f>IF(Main[[#This Row],[Tech Start Date]]&lt;1/1/1990,"",IF(Main[[#This Row],[Class]]="C",WORKDAY(Main[[#This Row],[Tech Start Date]],19),IF(Main[[#This Row],[Class]]="B", WORKDAY(Main[[#This Row],[Tech Start Date]],12),IF(Main[[#This Row],[Class]]="A",WORKDAY(Main[[#This Row],[Tech Start Date]],4),""))))</f>
        <v>40961</v>
      </c>
      <c r="O1485" s="122">
        <f>IF(Main[[#This Row],[Tech Start Date]]&lt;1/1/1990,"",IF(Main[[#This Row],[Class]]="C",WORKDAY(Main[[#This Row],[Tech Start Date]],23),IF(Main[[#This Row],[Class]]="B", WORKDAY(Main[[#This Row],[Tech Start Date]],15),IF(Main[[#This Row],[Class]]="A",WORKDAY(Main[[#This Row],[Tech Start Date]],5),""))))</f>
        <v>40962</v>
      </c>
      <c r="P1485" s="122">
        <f>IF(Main[[#This Row],[Tech Start Date]]&lt;1/1/1990,"",IF(Main[[#This Row],[Class]]="C",WORKDAY(Main[[#This Row],[Tech Start Date]],28),IF(Main[[#This Row],[Class]]="B", WORKDAY(Main[[#This Row],[Tech Start Date]],19),IF(Main[[#This Row],[Class]]="A",WORKDAY(Main[[#This Row],[Tech Start Date]],9),""))))</f>
        <v>40968</v>
      </c>
      <c r="Q1485" s="118"/>
      <c r="R1485" s="123"/>
      <c r="S1485" s="121" t="s">
        <v>11</v>
      </c>
      <c r="T1485" s="124" t="s">
        <v>3724</v>
      </c>
      <c r="U1485" s="121" t="s">
        <v>14</v>
      </c>
      <c r="V1485" s="121" t="s">
        <v>1914</v>
      </c>
      <c r="W1485" s="121" t="s">
        <v>1919</v>
      </c>
      <c r="X1485" s="121" t="s">
        <v>50</v>
      </c>
      <c r="Y1485" s="125" t="s">
        <v>3726</v>
      </c>
      <c r="Z1485" s="125" t="s">
        <v>530</v>
      </c>
      <c r="AA1485" s="121" t="s">
        <v>3725</v>
      </c>
      <c r="AB1485" s="132"/>
      <c r="AC1485" s="132"/>
      <c r="AD1485" s="132"/>
      <c r="AE1485" s="63"/>
      <c r="AF1485" s="63"/>
      <c r="AG1485" s="63"/>
    </row>
    <row r="1486" spans="1:33" ht="17.2" customHeight="1">
      <c r="A1486" s="116" t="str">
        <f>IF(priority(Main[[#This Row],[Comments]])&lt;&gt;0, priority(Main[[#This Row],[Comments]]),"")</f>
        <v/>
      </c>
      <c r="B1486" s="117" t="s">
        <v>3727</v>
      </c>
      <c r="C1486" s="125" t="s">
        <v>3728</v>
      </c>
      <c r="D1486" s="137" t="s">
        <v>3995</v>
      </c>
      <c r="E1486" s="118">
        <v>40953.707939814813</v>
      </c>
      <c r="F1486" s="118">
        <v>41173</v>
      </c>
      <c r="G1486" s="116" t="str">
        <f>IF(stdProdLT(Main[[#This Row],[Comments]])=0.1,"N/A",IF(stdProdLT(Main[[#This Row],[Comments]])=0,"",TRIM(stdProdLT(Main[[#This Row],[Comments]]))))</f>
        <v>126</v>
      </c>
      <c r="H1486" s="119" t="str">
        <f>IF(OR(Main[[#This Row],[Std. Prod. Lead Time]]="N/A",Main[[#This Row],[Std. Prod. Lead Time]]=""), "",IF(AND(Main[[#This Row],[In Stock Date]]&lt;&gt;"",Main[[#This Row],[Revised Due Date]]&lt;&gt;"",Main[[#This Row],[In Stock Date]]&lt;&gt;""),Main[[#This Row],[In Stock Date]]-Main[[#This Row],[Revised Due Date]],""))</f>
        <v/>
      </c>
      <c r="I1486" s="120" t="s">
        <v>937</v>
      </c>
      <c r="J1486" s="121" t="s">
        <v>21</v>
      </c>
      <c r="K1486" s="121" t="s">
        <v>1918</v>
      </c>
      <c r="L1486" s="118">
        <v>40959</v>
      </c>
      <c r="M1486" s="122">
        <f>IF(Main[[#This Row],[Tech Start Date]]&lt;1/1/1990,"",IF(Main[[#This Row],[Class]]="C",WORKDAY(Main[[#This Row],[Tech Start Date]],9),IF(Main[[#This Row],[Class]]="B", WORKDAY(Main[[#This Row],[Tech Start Date]],6),IF(Main[[#This Row],[Class]]="A",WORKDAY(Main[[#This Row],[Tech Start Date]],2),""))))</f>
        <v>40967</v>
      </c>
      <c r="N1486" s="122">
        <f>IF(Main[[#This Row],[Tech Start Date]]&lt;1/1/1990,"",IF(Main[[#This Row],[Class]]="C",WORKDAY(Main[[#This Row],[Tech Start Date]],19),IF(Main[[#This Row],[Class]]="B", WORKDAY(Main[[#This Row],[Tech Start Date]],12),IF(Main[[#This Row],[Class]]="A",WORKDAY(Main[[#This Row],[Tech Start Date]],4),""))))</f>
        <v>40975</v>
      </c>
      <c r="O1486" s="122">
        <f>IF(Main[[#This Row],[Tech Start Date]]&lt;1/1/1990,"",IF(Main[[#This Row],[Class]]="C",WORKDAY(Main[[#This Row],[Tech Start Date]],23),IF(Main[[#This Row],[Class]]="B", WORKDAY(Main[[#This Row],[Tech Start Date]],15),IF(Main[[#This Row],[Class]]="A",WORKDAY(Main[[#This Row],[Tech Start Date]],5),""))))</f>
        <v>40980</v>
      </c>
      <c r="P1486" s="122">
        <f>IF(Main[[#This Row],[Tech Start Date]]&lt;1/1/1990,"",IF(Main[[#This Row],[Class]]="C",WORKDAY(Main[[#This Row],[Tech Start Date]],28),IF(Main[[#This Row],[Class]]="B", WORKDAY(Main[[#This Row],[Tech Start Date]],19),IF(Main[[#This Row],[Class]]="A",WORKDAY(Main[[#This Row],[Tech Start Date]],9),""))))</f>
        <v>40984</v>
      </c>
      <c r="Q1486" s="118"/>
      <c r="R1486" s="123"/>
      <c r="S1486" s="121" t="s">
        <v>11</v>
      </c>
      <c r="T1486" s="124" t="s">
        <v>4065</v>
      </c>
      <c r="U1486" s="121" t="s">
        <v>534</v>
      </c>
      <c r="V1486" s="121" t="s">
        <v>1911</v>
      </c>
      <c r="W1486" s="121" t="s">
        <v>1917</v>
      </c>
      <c r="X1486" s="121" t="s">
        <v>2832</v>
      </c>
      <c r="Y1486" s="125" t="s">
        <v>2968</v>
      </c>
      <c r="Z1486" s="125" t="s">
        <v>129</v>
      </c>
      <c r="AA1486" s="121" t="s">
        <v>2832</v>
      </c>
      <c r="AB1486" s="132"/>
      <c r="AC1486" s="132"/>
      <c r="AD1486" s="132"/>
      <c r="AE1486" s="63"/>
      <c r="AF1486" s="63"/>
      <c r="AG1486" s="63"/>
    </row>
    <row r="1487" spans="1:33" ht="17.2" customHeight="1">
      <c r="A1487" s="64" t="str">
        <f>IF(priority(Main[[#This Row],[Comments]])&lt;&gt;0, priority(Main[[#This Row],[Comments]]),"")</f>
        <v/>
      </c>
      <c r="B1487" s="60" t="s">
        <v>3733</v>
      </c>
      <c r="C1487" s="72" t="s">
        <v>3728</v>
      </c>
      <c r="D1487" s="59" t="s">
        <v>4044</v>
      </c>
      <c r="E1487" s="85">
        <v>40955.592650462961</v>
      </c>
      <c r="F1487" s="85">
        <v>41173</v>
      </c>
      <c r="G1487" s="64" t="str">
        <f>IF(stdProdLT(Main[[#This Row],[Comments]])=0.1,"N/A",IF(stdProdLT(Main[[#This Row],[Comments]])=0,"",TRIM(stdProdLT(Main[[#This Row],[Comments]]))))</f>
        <v>126</v>
      </c>
      <c r="H1487" s="94" t="str">
        <f>IF(OR(Main[[#This Row],[Std. Prod. Lead Time]]="N/A",Main[[#This Row],[Std. Prod. Lead Time]]=""), "",IF(AND(Main[[#This Row],[In Stock Date]]&lt;&gt;"",Main[[#This Row],[Revised Due Date]]&lt;&gt;"",Main[[#This Row],[In Stock Date]]&lt;&gt;""),Main[[#This Row],[In Stock Date]]-Main[[#This Row],[Revised Due Date]],""))</f>
        <v/>
      </c>
      <c r="I1487" s="101" t="s">
        <v>937</v>
      </c>
      <c r="J1487" s="95" t="s">
        <v>21</v>
      </c>
      <c r="K1487" s="96" t="s">
        <v>1918</v>
      </c>
      <c r="L1487" s="85">
        <v>40959</v>
      </c>
      <c r="M1487" s="73">
        <f>IF(Main[[#This Row],[Tech Start Date]]&lt;1/1/1990,"",IF(Main[[#This Row],[Class]]="C",WORKDAY(Main[[#This Row],[Tech Start Date]],9),IF(Main[[#This Row],[Class]]="B", WORKDAY(Main[[#This Row],[Tech Start Date]],6),IF(Main[[#This Row],[Class]]="A",WORKDAY(Main[[#This Row],[Tech Start Date]],2),""))))</f>
        <v>40967</v>
      </c>
      <c r="N1487" s="73">
        <f>IF(Main[[#This Row],[Tech Start Date]]&lt;1/1/1990,"",IF(Main[[#This Row],[Class]]="C",WORKDAY(Main[[#This Row],[Tech Start Date]],19),IF(Main[[#This Row],[Class]]="B", WORKDAY(Main[[#This Row],[Tech Start Date]],12),IF(Main[[#This Row],[Class]]="A",WORKDAY(Main[[#This Row],[Tech Start Date]],4),""))))</f>
        <v>40975</v>
      </c>
      <c r="O1487" s="73">
        <f>IF(Main[[#This Row],[Tech Start Date]]&lt;1/1/1990,"",IF(Main[[#This Row],[Class]]="C",WORKDAY(Main[[#This Row],[Tech Start Date]],23),IF(Main[[#This Row],[Class]]="B", WORKDAY(Main[[#This Row],[Tech Start Date]],15),IF(Main[[#This Row],[Class]]="A",WORKDAY(Main[[#This Row],[Tech Start Date]],5),""))))</f>
        <v>40980</v>
      </c>
      <c r="P1487" s="73">
        <f>IF(Main[[#This Row],[Tech Start Date]]&lt;1/1/1990,"",IF(Main[[#This Row],[Class]]="C",WORKDAY(Main[[#This Row],[Tech Start Date]],28),IF(Main[[#This Row],[Class]]="B", WORKDAY(Main[[#This Row],[Tech Start Date]],19),IF(Main[[#This Row],[Class]]="A",WORKDAY(Main[[#This Row],[Tech Start Date]],9),""))))</f>
        <v>40984</v>
      </c>
      <c r="Q1487" s="85"/>
      <c r="R1487" s="112"/>
      <c r="S1487" s="95" t="s">
        <v>11</v>
      </c>
      <c r="T1487" s="74" t="s">
        <v>4068</v>
      </c>
      <c r="U1487" s="95" t="s">
        <v>534</v>
      </c>
      <c r="V1487" s="95" t="s">
        <v>1911</v>
      </c>
      <c r="W1487" s="95" t="s">
        <v>1917</v>
      </c>
      <c r="X1487" s="95" t="s">
        <v>2832</v>
      </c>
      <c r="Y1487" s="72" t="s">
        <v>2968</v>
      </c>
      <c r="Z1487" s="72" t="s">
        <v>129</v>
      </c>
      <c r="AA1487" s="95" t="s">
        <v>2832</v>
      </c>
      <c r="AB1487" s="132"/>
      <c r="AC1487" s="132"/>
      <c r="AD1487" s="132"/>
      <c r="AE1487" s="63"/>
      <c r="AF1487" s="63"/>
      <c r="AG1487" s="63"/>
    </row>
    <row r="1488" spans="1:33" ht="17.2" customHeight="1">
      <c r="A1488" s="116" t="str">
        <f>IF(priority(Main[[#This Row],[Comments]])&lt;&gt;0, priority(Main[[#This Row],[Comments]]),"")</f>
        <v/>
      </c>
      <c r="B1488" s="117" t="s">
        <v>4070</v>
      </c>
      <c r="C1488" s="125" t="s">
        <v>148</v>
      </c>
      <c r="D1488" s="137" t="s">
        <v>4071</v>
      </c>
      <c r="E1488" s="118">
        <v>40975.75545138889</v>
      </c>
      <c r="F1488" s="118">
        <v>41045</v>
      </c>
      <c r="G1488" s="116" t="str">
        <f>IF(stdProdLT(Main[[#This Row],[Comments]])=0.1,"N/A",IF(stdProdLT(Main[[#This Row],[Comments]])=0,"",TRIM(stdProdLT(Main[[#This Row],[Comments]]))))</f>
        <v/>
      </c>
      <c r="H1488" s="119" t="str">
        <f>IF(OR(Main[[#This Row],[Std. Prod. Lead Time]]="N/A",Main[[#This Row],[Std. Prod. Lead Time]]=""), "",IF(AND(Main[[#This Row],[In Stock Date]]&lt;&gt;"",Main[[#This Row],[Revised Due Date]]&lt;&gt;"",Main[[#This Row],[In Stock Date]]&lt;&gt;""),Main[[#This Row],[In Stock Date]]-Main[[#This Row],[Revised Due Date]],""))</f>
        <v/>
      </c>
      <c r="I1488" s="120" t="s">
        <v>306</v>
      </c>
      <c r="J1488" s="121" t="s">
        <v>75</v>
      </c>
      <c r="K1488" s="121" t="s">
        <v>1920</v>
      </c>
      <c r="L1488" s="118">
        <v>40967</v>
      </c>
      <c r="M1488" s="122">
        <f>IF(Main[[#This Row],[Tech Start Date]]&lt;1/1/1990,"",IF(Main[[#This Row],[Class]]="C",WORKDAY(Main[[#This Row],[Tech Start Date]],9),IF(Main[[#This Row],[Class]]="B", WORKDAY(Main[[#This Row],[Tech Start Date]],6),IF(Main[[#This Row],[Class]]="A",WORKDAY(Main[[#This Row],[Tech Start Date]],2),""))))</f>
        <v>40969</v>
      </c>
      <c r="N1488" s="122">
        <f>IF(Main[[#This Row],[Tech Start Date]]&lt;1/1/1990,"",IF(Main[[#This Row],[Class]]="C",WORKDAY(Main[[#This Row],[Tech Start Date]],19),IF(Main[[#This Row],[Class]]="B", WORKDAY(Main[[#This Row],[Tech Start Date]],12),IF(Main[[#This Row],[Class]]="A",WORKDAY(Main[[#This Row],[Tech Start Date]],4),""))))</f>
        <v>40973</v>
      </c>
      <c r="O1488" s="122">
        <f>IF(Main[[#This Row],[Tech Start Date]]&lt;1/1/1990,"",IF(Main[[#This Row],[Class]]="C",WORKDAY(Main[[#This Row],[Tech Start Date]],23),IF(Main[[#This Row],[Class]]="B", WORKDAY(Main[[#This Row],[Tech Start Date]],15),IF(Main[[#This Row],[Class]]="A",WORKDAY(Main[[#This Row],[Tech Start Date]],5),""))))</f>
        <v>40974</v>
      </c>
      <c r="P1488" s="122">
        <f>IF(Main[[#This Row],[Tech Start Date]]&lt;1/1/1990,"",IF(Main[[#This Row],[Class]]="C",WORKDAY(Main[[#This Row],[Tech Start Date]],28),IF(Main[[#This Row],[Class]]="B", WORKDAY(Main[[#This Row],[Tech Start Date]],19),IF(Main[[#This Row],[Class]]="A",WORKDAY(Main[[#This Row],[Tech Start Date]],9),""))))</f>
        <v>40980</v>
      </c>
      <c r="Q1488" s="118">
        <v>40939</v>
      </c>
      <c r="R1488" s="123">
        <v>40976</v>
      </c>
      <c r="S1488" s="121" t="s">
        <v>11</v>
      </c>
      <c r="T1488" s="124" t="s">
        <v>4</v>
      </c>
      <c r="U1488" s="121" t="s">
        <v>29</v>
      </c>
      <c r="V1488" s="121" t="s">
        <v>1921</v>
      </c>
      <c r="W1488" s="121" t="s">
        <v>1919</v>
      </c>
      <c r="X1488" s="121" t="s">
        <v>30</v>
      </c>
      <c r="Y1488" s="125" t="s">
        <v>3314</v>
      </c>
      <c r="Z1488" s="125" t="s">
        <v>530</v>
      </c>
      <c r="AA1488" s="121" t="s">
        <v>3313</v>
      </c>
      <c r="AB1488" s="132"/>
      <c r="AC1488" s="132"/>
      <c r="AD1488" s="132"/>
      <c r="AE1488" s="63"/>
      <c r="AF1488" s="63"/>
      <c r="AG1488" s="63"/>
    </row>
    <row r="1489" spans="1:33" ht="17.2" customHeight="1">
      <c r="A1489" s="116" t="str">
        <f>IF(priority(Main[[#This Row],[Comments]])&lt;&gt;0, priority(Main[[#This Row],[Comments]]),"")</f>
        <v/>
      </c>
      <c r="B1489" s="117" t="s">
        <v>3460</v>
      </c>
      <c r="C1489" s="125" t="s">
        <v>79</v>
      </c>
      <c r="D1489" s="137" t="s">
        <v>4007</v>
      </c>
      <c r="E1489" s="118">
        <v>40967.732847222222</v>
      </c>
      <c r="F1489" s="118">
        <v>40967</v>
      </c>
      <c r="G1489" s="116" t="str">
        <f>IF(stdProdLT(Main[[#This Row],[Comments]])=0.1,"N/A",IF(stdProdLT(Main[[#This Row],[Comments]])=0,"",TRIM(stdProdLT(Main[[#This Row],[Comments]]))))</f>
        <v>N/A</v>
      </c>
      <c r="H1489" s="119" t="str">
        <f>IF(OR(Main[[#This Row],[Std. Prod. Lead Time]]="N/A",Main[[#This Row],[Std. Prod. Lead Time]]=""), "",IF(AND(Main[[#This Row],[In Stock Date]]&lt;&gt;"",Main[[#This Row],[Revised Due Date]]&lt;&gt;"",Main[[#This Row],[In Stock Date]]&lt;&gt;""),Main[[#This Row],[In Stock Date]]-Main[[#This Row],[Revised Due Date]],""))</f>
        <v/>
      </c>
      <c r="I1489" s="120" t="s">
        <v>3793</v>
      </c>
      <c r="J1489" s="121" t="s">
        <v>28</v>
      </c>
      <c r="K1489" s="131" t="s">
        <v>1920</v>
      </c>
      <c r="L1489" s="118">
        <v>40967</v>
      </c>
      <c r="M1489" s="122">
        <f>IF(Main[[#This Row],[Tech Start Date]]&lt;1/1/1990,"",IF(Main[[#This Row],[Class]]="C",WORKDAY(Main[[#This Row],[Tech Start Date]],9),IF(Main[[#This Row],[Class]]="B", WORKDAY(Main[[#This Row],[Tech Start Date]],6),IF(Main[[#This Row],[Class]]="A",WORKDAY(Main[[#This Row],[Tech Start Date]],2),""))))</f>
        <v>40969</v>
      </c>
      <c r="N1489" s="122">
        <f>IF(Main[[#This Row],[Tech Start Date]]&lt;1/1/1990,"",IF(Main[[#This Row],[Class]]="C",WORKDAY(Main[[#This Row],[Tech Start Date]],19),IF(Main[[#This Row],[Class]]="B", WORKDAY(Main[[#This Row],[Tech Start Date]],12),IF(Main[[#This Row],[Class]]="A",WORKDAY(Main[[#This Row],[Tech Start Date]],4),""))))</f>
        <v>40973</v>
      </c>
      <c r="O1489" s="122">
        <f>IF(Main[[#This Row],[Tech Start Date]]&lt;1/1/1990,"",IF(Main[[#This Row],[Class]]="C",WORKDAY(Main[[#This Row],[Tech Start Date]],23),IF(Main[[#This Row],[Class]]="B", WORKDAY(Main[[#This Row],[Tech Start Date]],15),IF(Main[[#This Row],[Class]]="A",WORKDAY(Main[[#This Row],[Tech Start Date]],5),""))))</f>
        <v>40974</v>
      </c>
      <c r="P1489" s="122">
        <f>IF(Main[[#This Row],[Tech Start Date]]&lt;1/1/1990,"",IF(Main[[#This Row],[Class]]="C",WORKDAY(Main[[#This Row],[Tech Start Date]],28),IF(Main[[#This Row],[Class]]="B", WORKDAY(Main[[#This Row],[Tech Start Date]],19),IF(Main[[#This Row],[Class]]="A",WORKDAY(Main[[#This Row],[Tech Start Date]],9),""))))</f>
        <v>40980</v>
      </c>
      <c r="Q1489" s="118">
        <v>40949</v>
      </c>
      <c r="R1489" s="123"/>
      <c r="S1489" s="121" t="s">
        <v>11</v>
      </c>
      <c r="T1489" s="124" t="s">
        <v>3749</v>
      </c>
      <c r="U1489" s="121" t="s">
        <v>534</v>
      </c>
      <c r="V1489" s="121" t="s">
        <v>1921</v>
      </c>
      <c r="W1489" s="121" t="s">
        <v>1916</v>
      </c>
      <c r="X1489" s="121" t="s">
        <v>3461</v>
      </c>
      <c r="Y1489" s="125" t="s">
        <v>3462</v>
      </c>
      <c r="Z1489" s="125" t="s">
        <v>530</v>
      </c>
      <c r="AA1489" s="121" t="s">
        <v>3461</v>
      </c>
      <c r="AB1489" s="132"/>
      <c r="AC1489" s="132"/>
      <c r="AD1489" s="132"/>
      <c r="AE1489" s="63"/>
      <c r="AF1489" s="63"/>
      <c r="AG1489" s="63"/>
    </row>
    <row r="1490" spans="1:33" ht="17.2" customHeight="1">
      <c r="A1490" s="65" t="str">
        <f>IF(priority(Main[[#This Row],[Comments]])&lt;&gt;0, priority(Main[[#This Row],[Comments]]),"")</f>
        <v/>
      </c>
      <c r="B1490" s="60" t="s">
        <v>3312</v>
      </c>
      <c r="C1490" s="78" t="s">
        <v>148</v>
      </c>
      <c r="D1490" s="137" t="s">
        <v>3763</v>
      </c>
      <c r="E1490" s="87">
        <v>40967.72111111111</v>
      </c>
      <c r="F1490" s="87">
        <v>41045</v>
      </c>
      <c r="G1490" s="65" t="str">
        <f>IF(stdProdLT(Main[[#This Row],[Comments]])=0.1,"N/A",IF(stdProdLT(Main[[#This Row],[Comments]])=0,"",TRIM(stdProdLT(Main[[#This Row],[Comments]]))))</f>
        <v>N/A</v>
      </c>
      <c r="H1490" s="98" t="str">
        <f>IF(OR(Main[[#This Row],[Std. Prod. Lead Time]]="N/A",Main[[#This Row],[Std. Prod. Lead Time]]=""), "",IF(AND(Main[[#This Row],[In Stock Date]]&lt;&gt;"",Main[[#This Row],[Revised Due Date]]&lt;&gt;"",Main[[#This Row],[In Stock Date]]&lt;&gt;""),Main[[#This Row],[In Stock Date]]-Main[[#This Row],[Revised Due Date]],""))</f>
        <v/>
      </c>
      <c r="I1490" s="103" t="s">
        <v>306</v>
      </c>
      <c r="J1490" s="99" t="s">
        <v>75</v>
      </c>
      <c r="K1490" s="99" t="s">
        <v>1920</v>
      </c>
      <c r="L1490" s="87">
        <v>40967</v>
      </c>
      <c r="M1490" s="79">
        <f>IF(Main[[#This Row],[Tech Start Date]]&lt;1/1/1990,"",IF(Main[[#This Row],[Class]]="C",WORKDAY(Main[[#This Row],[Tech Start Date]],9),IF(Main[[#This Row],[Class]]="B", WORKDAY(Main[[#This Row],[Tech Start Date]],6),IF(Main[[#This Row],[Class]]="A",WORKDAY(Main[[#This Row],[Tech Start Date]],2),""))))</f>
        <v>40969</v>
      </c>
      <c r="N1490" s="79">
        <f>IF(Main[[#This Row],[Tech Start Date]]&lt;1/1/1990,"",IF(Main[[#This Row],[Class]]="C",WORKDAY(Main[[#This Row],[Tech Start Date]],19),IF(Main[[#This Row],[Class]]="B", WORKDAY(Main[[#This Row],[Tech Start Date]],12),IF(Main[[#This Row],[Class]]="A",WORKDAY(Main[[#This Row],[Tech Start Date]],4),""))))</f>
        <v>40973</v>
      </c>
      <c r="O1490" s="79">
        <f>IF(Main[[#This Row],[Tech Start Date]]&lt;1/1/1990,"",IF(Main[[#This Row],[Class]]="C",WORKDAY(Main[[#This Row],[Tech Start Date]],23),IF(Main[[#This Row],[Class]]="B", WORKDAY(Main[[#This Row],[Tech Start Date]],15),IF(Main[[#This Row],[Class]]="A",WORKDAY(Main[[#This Row],[Tech Start Date]],5),""))))</f>
        <v>40974</v>
      </c>
      <c r="P1490" s="79">
        <f>IF(Main[[#This Row],[Tech Start Date]]&lt;1/1/1990,"",IF(Main[[#This Row],[Class]]="C",WORKDAY(Main[[#This Row],[Tech Start Date]],28),IF(Main[[#This Row],[Class]]="B", WORKDAY(Main[[#This Row],[Tech Start Date]],19),IF(Main[[#This Row],[Class]]="A",WORKDAY(Main[[#This Row],[Tech Start Date]],9),""))))</f>
        <v>40980</v>
      </c>
      <c r="Q1490" s="87">
        <v>40939</v>
      </c>
      <c r="R1490" s="114">
        <v>40974</v>
      </c>
      <c r="S1490" s="99" t="s">
        <v>11</v>
      </c>
      <c r="T1490" s="80" t="s">
        <v>4001</v>
      </c>
      <c r="U1490" s="99" t="s">
        <v>29</v>
      </c>
      <c r="V1490" s="99" t="s">
        <v>1921</v>
      </c>
      <c r="W1490" s="99" t="s">
        <v>1919</v>
      </c>
      <c r="X1490" s="99" t="s">
        <v>3313</v>
      </c>
      <c r="Y1490" s="78" t="s">
        <v>3314</v>
      </c>
      <c r="Z1490" s="78" t="s">
        <v>530</v>
      </c>
      <c r="AA1490" s="99" t="s">
        <v>3313</v>
      </c>
      <c r="AB1490" s="134"/>
      <c r="AC1490" s="134"/>
      <c r="AD1490" s="134"/>
    </row>
    <row r="1491" spans="1:33" ht="17.2" customHeight="1">
      <c r="A1491" s="65" t="str">
        <f>IF(priority(Main[[#This Row],[Comments]])&lt;&gt;0, priority(Main[[#This Row],[Comments]]),"")</f>
        <v/>
      </c>
      <c r="B1491" s="60" t="s">
        <v>3687</v>
      </c>
      <c r="C1491" s="78" t="s">
        <v>148</v>
      </c>
      <c r="D1491" s="137" t="s">
        <v>3688</v>
      </c>
      <c r="E1491" s="87">
        <v>40967.369837962964</v>
      </c>
      <c r="F1491" s="87">
        <v>41096</v>
      </c>
      <c r="G1491" s="65" t="str">
        <f>IF(stdProdLT(Main[[#This Row],[Comments]])=0.1,"N/A",IF(stdProdLT(Main[[#This Row],[Comments]])=0,"",TRIM(stdProdLT(Main[[#This Row],[Comments]]))))</f>
        <v>126</v>
      </c>
      <c r="H1491" s="98">
        <f>IF(OR(Main[[#This Row],[Std. Prod. Lead Time]]="N/A",Main[[#This Row],[Std. Prod. Lead Time]]=""), "",IF(AND(Main[[#This Row],[In Stock Date]]&lt;&gt;"",Main[[#This Row],[Revised Due Date]]&lt;&gt;"",Main[[#This Row],[In Stock Date]]&lt;&gt;""),Main[[#This Row],[In Stock Date]]-Main[[#This Row],[Revised Due Date]],""))</f>
        <v>93</v>
      </c>
      <c r="I1491" s="103" t="s">
        <v>44</v>
      </c>
      <c r="J1491" s="99" t="s">
        <v>28</v>
      </c>
      <c r="K1491" s="99" t="s">
        <v>1918</v>
      </c>
      <c r="L1491" s="87">
        <v>40974</v>
      </c>
      <c r="M1491" s="79">
        <f>IF(Main[[#This Row],[Tech Start Date]]&lt;1/1/1990,"",IF(Main[[#This Row],[Class]]="C",WORKDAY(Main[[#This Row],[Tech Start Date]],9),IF(Main[[#This Row],[Class]]="B", WORKDAY(Main[[#This Row],[Tech Start Date]],6),IF(Main[[#This Row],[Class]]="A",WORKDAY(Main[[#This Row],[Tech Start Date]],2),""))))</f>
        <v>40982</v>
      </c>
      <c r="N1491" s="79">
        <f>IF(Main[[#This Row],[Tech Start Date]]&lt;1/1/1990,"",IF(Main[[#This Row],[Class]]="C",WORKDAY(Main[[#This Row],[Tech Start Date]],19),IF(Main[[#This Row],[Class]]="B", WORKDAY(Main[[#This Row],[Tech Start Date]],12),IF(Main[[#This Row],[Class]]="A",WORKDAY(Main[[#This Row],[Tech Start Date]],4),""))))</f>
        <v>40990</v>
      </c>
      <c r="O1491" s="79">
        <f>IF(Main[[#This Row],[Tech Start Date]]&lt;1/1/1990,"",IF(Main[[#This Row],[Class]]="C",WORKDAY(Main[[#This Row],[Tech Start Date]],23),IF(Main[[#This Row],[Class]]="B", WORKDAY(Main[[#This Row],[Tech Start Date]],15),IF(Main[[#This Row],[Class]]="A",WORKDAY(Main[[#This Row],[Tech Start Date]],5),""))))</f>
        <v>40995</v>
      </c>
      <c r="P1491" s="79">
        <f>IF(Main[[#This Row],[Tech Start Date]]&lt;1/1/1990,"",IF(Main[[#This Row],[Class]]="C",WORKDAY(Main[[#This Row],[Tech Start Date]],28),IF(Main[[#This Row],[Class]]="B", WORKDAY(Main[[#This Row],[Tech Start Date]],19),IF(Main[[#This Row],[Class]]="A",WORKDAY(Main[[#This Row],[Tech Start Date]],9),""))))</f>
        <v>41001</v>
      </c>
      <c r="Q1491" s="87"/>
      <c r="R1491" s="114">
        <v>41003</v>
      </c>
      <c r="S1491" s="99" t="s">
        <v>11</v>
      </c>
      <c r="T1491" s="80" t="s">
        <v>3841</v>
      </c>
      <c r="U1491" s="99" t="s">
        <v>29</v>
      </c>
      <c r="V1491" s="99" t="s">
        <v>1914</v>
      </c>
      <c r="W1491" s="99" t="s">
        <v>1919</v>
      </c>
      <c r="X1491" s="99" t="s">
        <v>50</v>
      </c>
      <c r="Y1491" s="78" t="s">
        <v>3669</v>
      </c>
      <c r="Z1491" s="78" t="s">
        <v>530</v>
      </c>
      <c r="AA1491" s="99" t="s">
        <v>3668</v>
      </c>
      <c r="AB1491" s="134"/>
      <c r="AC1491" s="134"/>
      <c r="AD1491" s="134"/>
    </row>
    <row r="1492" spans="1:33" ht="17.2" customHeight="1">
      <c r="A1492" s="65" t="str">
        <f>IF(priority(Main[[#This Row],[Comments]])&lt;&gt;0, priority(Main[[#This Row],[Comments]]),"")</f>
        <v/>
      </c>
      <c r="B1492" s="60" t="s">
        <v>3666</v>
      </c>
      <c r="C1492" s="78" t="s">
        <v>148</v>
      </c>
      <c r="D1492" s="137" t="s">
        <v>3667</v>
      </c>
      <c r="E1492" s="87">
        <v>40967.383240740739</v>
      </c>
      <c r="F1492" s="87">
        <v>41096</v>
      </c>
      <c r="G1492" s="65" t="str">
        <f>IF(stdProdLT(Main[[#This Row],[Comments]])=0.1,"N/A",IF(stdProdLT(Main[[#This Row],[Comments]])=0,"",TRIM(stdProdLT(Main[[#This Row],[Comments]]))))</f>
        <v>126</v>
      </c>
      <c r="H1492" s="98">
        <f>IF(OR(Main[[#This Row],[Std. Prod. Lead Time]]="N/A",Main[[#This Row],[Std. Prod. Lead Time]]=""), "",IF(AND(Main[[#This Row],[In Stock Date]]&lt;&gt;"",Main[[#This Row],[Revised Due Date]]&lt;&gt;"",Main[[#This Row],[In Stock Date]]&lt;&gt;""),Main[[#This Row],[In Stock Date]]-Main[[#This Row],[Revised Due Date]],""))</f>
        <v>107</v>
      </c>
      <c r="I1492" s="103" t="s">
        <v>44</v>
      </c>
      <c r="J1492" s="99" t="s">
        <v>28</v>
      </c>
      <c r="K1492" s="99" t="s">
        <v>1920</v>
      </c>
      <c r="L1492" s="87">
        <v>40974</v>
      </c>
      <c r="M1492" s="79">
        <f>IF(Main[[#This Row],[Tech Start Date]]&lt;1/1/1990,"",IF(Main[[#This Row],[Class]]="C",WORKDAY(Main[[#This Row],[Tech Start Date]],9),IF(Main[[#This Row],[Class]]="B", WORKDAY(Main[[#This Row],[Tech Start Date]],6),IF(Main[[#This Row],[Class]]="A",WORKDAY(Main[[#This Row],[Tech Start Date]],2),""))))</f>
        <v>40976</v>
      </c>
      <c r="N1492" s="79">
        <f>IF(Main[[#This Row],[Tech Start Date]]&lt;1/1/1990,"",IF(Main[[#This Row],[Class]]="C",WORKDAY(Main[[#This Row],[Tech Start Date]],19),IF(Main[[#This Row],[Class]]="B", WORKDAY(Main[[#This Row],[Tech Start Date]],12),IF(Main[[#This Row],[Class]]="A",WORKDAY(Main[[#This Row],[Tech Start Date]],4),""))))</f>
        <v>40980</v>
      </c>
      <c r="O1492" s="79">
        <f>IF(Main[[#This Row],[Tech Start Date]]&lt;1/1/1990,"",IF(Main[[#This Row],[Class]]="C",WORKDAY(Main[[#This Row],[Tech Start Date]],23),IF(Main[[#This Row],[Class]]="B", WORKDAY(Main[[#This Row],[Tech Start Date]],15),IF(Main[[#This Row],[Class]]="A",WORKDAY(Main[[#This Row],[Tech Start Date]],5),""))))</f>
        <v>40981</v>
      </c>
      <c r="P1492" s="79">
        <f>IF(Main[[#This Row],[Tech Start Date]]&lt;1/1/1990,"",IF(Main[[#This Row],[Class]]="C",WORKDAY(Main[[#This Row],[Tech Start Date]],28),IF(Main[[#This Row],[Class]]="B", WORKDAY(Main[[#This Row],[Tech Start Date]],19),IF(Main[[#This Row],[Class]]="A",WORKDAY(Main[[#This Row],[Tech Start Date]],9),""))))</f>
        <v>40987</v>
      </c>
      <c r="Q1492" s="87"/>
      <c r="R1492" s="114">
        <v>40989</v>
      </c>
      <c r="S1492" s="99" t="s">
        <v>11</v>
      </c>
      <c r="T1492" s="80" t="s">
        <v>3841</v>
      </c>
      <c r="U1492" s="99" t="s">
        <v>29</v>
      </c>
      <c r="V1492" s="99" t="s">
        <v>1914</v>
      </c>
      <c r="W1492" s="99" t="s">
        <v>1919</v>
      </c>
      <c r="X1492" s="99" t="s">
        <v>50</v>
      </c>
      <c r="Y1492" s="78" t="s">
        <v>3669</v>
      </c>
      <c r="Z1492" s="78" t="s">
        <v>530</v>
      </c>
      <c r="AA1492" s="99" t="s">
        <v>3668</v>
      </c>
      <c r="AB1492" s="134"/>
      <c r="AC1492" s="134"/>
      <c r="AD1492" s="134"/>
    </row>
    <row r="1493" spans="1:33" ht="17.2" customHeight="1">
      <c r="A1493" s="65" t="str">
        <f>IF(priority(Main[[#This Row],[Comments]])&lt;&gt;0, priority(Main[[#This Row],[Comments]]),"")</f>
        <v/>
      </c>
      <c r="B1493" s="60" t="s">
        <v>3818</v>
      </c>
      <c r="C1493" s="78" t="s">
        <v>31</v>
      </c>
      <c r="D1493" s="137" t="s">
        <v>3819</v>
      </c>
      <c r="E1493" s="87">
        <v>40969.355092592596</v>
      </c>
      <c r="F1493" s="87">
        <v>41061</v>
      </c>
      <c r="G1493" s="65" t="str">
        <f>IF(stdProdLT(Main[[#This Row],[Comments]])=0.1,"N/A",IF(stdProdLT(Main[[#This Row],[Comments]])=0,"",TRIM(stdProdLT(Main[[#This Row],[Comments]]))))</f>
        <v>N/A</v>
      </c>
      <c r="H1493" s="98" t="str">
        <f>IF(OR(Main[[#This Row],[Std. Prod. Lead Time]]="N/A",Main[[#This Row],[Std. Prod. Lead Time]]=""), "",IF(AND(Main[[#This Row],[In Stock Date]]&lt;&gt;"",Main[[#This Row],[Revised Due Date]]&lt;&gt;"",Main[[#This Row],[In Stock Date]]&lt;&gt;""),Main[[#This Row],[In Stock Date]]-Main[[#This Row],[Revised Due Date]],""))</f>
        <v/>
      </c>
      <c r="I1493" s="103" t="s">
        <v>2045</v>
      </c>
      <c r="J1493" s="99" t="s">
        <v>52</v>
      </c>
      <c r="K1493" s="99" t="s">
        <v>1920</v>
      </c>
      <c r="L1493" s="87">
        <v>40974</v>
      </c>
      <c r="M1493" s="79">
        <f>IF(Main[[#This Row],[Tech Start Date]]&lt;1/1/1990,"",IF(Main[[#This Row],[Class]]="C",WORKDAY(Main[[#This Row],[Tech Start Date]],9),IF(Main[[#This Row],[Class]]="B", WORKDAY(Main[[#This Row],[Tech Start Date]],6),IF(Main[[#This Row],[Class]]="A",WORKDAY(Main[[#This Row],[Tech Start Date]],2),""))))</f>
        <v>40976</v>
      </c>
      <c r="N1493" s="79">
        <f>IF(Main[[#This Row],[Tech Start Date]]&lt;1/1/1990,"",IF(Main[[#This Row],[Class]]="C",WORKDAY(Main[[#This Row],[Tech Start Date]],19),IF(Main[[#This Row],[Class]]="B", WORKDAY(Main[[#This Row],[Tech Start Date]],12),IF(Main[[#This Row],[Class]]="A",WORKDAY(Main[[#This Row],[Tech Start Date]],4),""))))</f>
        <v>40980</v>
      </c>
      <c r="O1493" s="79">
        <f>IF(Main[[#This Row],[Tech Start Date]]&lt;1/1/1990,"",IF(Main[[#This Row],[Class]]="C",WORKDAY(Main[[#This Row],[Tech Start Date]],23),IF(Main[[#This Row],[Class]]="B", WORKDAY(Main[[#This Row],[Tech Start Date]],15),IF(Main[[#This Row],[Class]]="A",WORKDAY(Main[[#This Row],[Tech Start Date]],5),""))))</f>
        <v>40981</v>
      </c>
      <c r="P1493" s="79">
        <f>IF(Main[[#This Row],[Tech Start Date]]&lt;1/1/1990,"",IF(Main[[#This Row],[Class]]="C",WORKDAY(Main[[#This Row],[Tech Start Date]],28),IF(Main[[#This Row],[Class]]="B", WORKDAY(Main[[#This Row],[Tech Start Date]],19),IF(Main[[#This Row],[Class]]="A",WORKDAY(Main[[#This Row],[Tech Start Date]],9),""))))</f>
        <v>40987</v>
      </c>
      <c r="Q1493" s="87">
        <v>41000</v>
      </c>
      <c r="R1493" s="114">
        <v>40981</v>
      </c>
      <c r="S1493" s="99" t="s">
        <v>11</v>
      </c>
      <c r="T1493" s="80" t="s">
        <v>3201</v>
      </c>
      <c r="U1493" s="99" t="s">
        <v>29</v>
      </c>
      <c r="V1493" s="99" t="s">
        <v>1921</v>
      </c>
      <c r="W1493" s="99" t="s">
        <v>1919</v>
      </c>
      <c r="X1493" s="99" t="s">
        <v>2826</v>
      </c>
      <c r="Y1493" s="78" t="s">
        <v>3208</v>
      </c>
      <c r="Z1493" s="78" t="s">
        <v>530</v>
      </c>
      <c r="AA1493" s="99" t="s">
        <v>2826</v>
      </c>
      <c r="AB1493" s="134"/>
      <c r="AC1493" s="134"/>
      <c r="AD1493" s="134"/>
    </row>
    <row r="1494" spans="1:33" ht="17.2" customHeight="1">
      <c r="A1494" s="65" t="str">
        <f>IF(priority(Main[[#This Row],[Comments]])&lt;&gt;0, priority(Main[[#This Row],[Comments]]),"")</f>
        <v/>
      </c>
      <c r="B1494" s="60" t="s">
        <v>3776</v>
      </c>
      <c r="C1494" s="78" t="s">
        <v>4031</v>
      </c>
      <c r="D1494" s="137" t="s">
        <v>3777</v>
      </c>
      <c r="E1494" s="87">
        <v>40968.135138888887</v>
      </c>
      <c r="F1494" s="87">
        <v>41122</v>
      </c>
      <c r="G1494" s="65" t="str">
        <f>IF(stdProdLT(Main[[#This Row],[Comments]])=0.1,"N/A",IF(stdProdLT(Main[[#This Row],[Comments]])=0,"",TRIM(stdProdLT(Main[[#This Row],[Comments]]))))</f>
        <v>140</v>
      </c>
      <c r="H1494" s="98">
        <f>IF(OR(Main[[#This Row],[Std. Prod. Lead Time]]="N/A",Main[[#This Row],[Std. Prod. Lead Time]]=""), "",IF(AND(Main[[#This Row],[In Stock Date]]&lt;&gt;"",Main[[#This Row],[Revised Due Date]]&lt;&gt;"",Main[[#This Row],[In Stock Date]]&lt;&gt;""),Main[[#This Row],[In Stock Date]]-Main[[#This Row],[Revised Due Date]],""))</f>
        <v>127</v>
      </c>
      <c r="I1494" s="103" t="s">
        <v>130</v>
      </c>
      <c r="J1494" s="99" t="s">
        <v>28</v>
      </c>
      <c r="K1494" s="99" t="s">
        <v>1920</v>
      </c>
      <c r="L1494" s="87">
        <v>40974</v>
      </c>
      <c r="M1494" s="79">
        <f>IF(Main[[#This Row],[Tech Start Date]]&lt;1/1/1990,"",IF(Main[[#This Row],[Class]]="C",WORKDAY(Main[[#This Row],[Tech Start Date]],9),IF(Main[[#This Row],[Class]]="B", WORKDAY(Main[[#This Row],[Tech Start Date]],6),IF(Main[[#This Row],[Class]]="A",WORKDAY(Main[[#This Row],[Tech Start Date]],2),""))))</f>
        <v>40976</v>
      </c>
      <c r="N1494" s="79">
        <f>IF(Main[[#This Row],[Tech Start Date]]&lt;1/1/1990,"",IF(Main[[#This Row],[Class]]="C",WORKDAY(Main[[#This Row],[Tech Start Date]],19),IF(Main[[#This Row],[Class]]="B", WORKDAY(Main[[#This Row],[Tech Start Date]],12),IF(Main[[#This Row],[Class]]="A",WORKDAY(Main[[#This Row],[Tech Start Date]],4),""))))</f>
        <v>40980</v>
      </c>
      <c r="O1494" s="79">
        <f>IF(Main[[#This Row],[Tech Start Date]]&lt;1/1/1990,"",IF(Main[[#This Row],[Class]]="C",WORKDAY(Main[[#This Row],[Tech Start Date]],23),IF(Main[[#This Row],[Class]]="B", WORKDAY(Main[[#This Row],[Tech Start Date]],15),IF(Main[[#This Row],[Class]]="A",WORKDAY(Main[[#This Row],[Tech Start Date]],5),""))))</f>
        <v>40981</v>
      </c>
      <c r="P1494" s="79">
        <f>IF(Main[[#This Row],[Tech Start Date]]&lt;1/1/1990,"",IF(Main[[#This Row],[Class]]="C",WORKDAY(Main[[#This Row],[Tech Start Date]],28),IF(Main[[#This Row],[Class]]="B", WORKDAY(Main[[#This Row],[Tech Start Date]],19),IF(Main[[#This Row],[Class]]="A",WORKDAY(Main[[#This Row],[Tech Start Date]],9),""))))</f>
        <v>40987</v>
      </c>
      <c r="Q1494" s="87">
        <v>41000</v>
      </c>
      <c r="R1494" s="114">
        <v>40995</v>
      </c>
      <c r="S1494" s="99" t="s">
        <v>11</v>
      </c>
      <c r="T1494" s="80" t="s">
        <v>4032</v>
      </c>
      <c r="U1494" s="99" t="s">
        <v>29</v>
      </c>
      <c r="V1494" s="99" t="s">
        <v>1921</v>
      </c>
      <c r="W1494" s="99" t="s">
        <v>1917</v>
      </c>
      <c r="X1494" s="99" t="s">
        <v>3778</v>
      </c>
      <c r="Y1494" s="78" t="s">
        <v>3779</v>
      </c>
      <c r="Z1494" s="78" t="s">
        <v>530</v>
      </c>
      <c r="AA1494" s="99" t="s">
        <v>3778</v>
      </c>
      <c r="AB1494" s="134"/>
      <c r="AC1494" s="134"/>
      <c r="AD1494" s="134"/>
    </row>
    <row r="1495" spans="1:33" ht="17.2" customHeight="1">
      <c r="A1495" s="65" t="str">
        <f>IF(priority(Main[[#This Row],[Comments]])&lt;&gt;0, priority(Main[[#This Row],[Comments]]),"")</f>
        <v/>
      </c>
      <c r="B1495" s="60" t="s">
        <v>3820</v>
      </c>
      <c r="C1495" s="78" t="s">
        <v>31</v>
      </c>
      <c r="D1495" s="137" t="s">
        <v>3821</v>
      </c>
      <c r="E1495" s="87">
        <v>40969.357372685183</v>
      </c>
      <c r="F1495" s="87">
        <v>41061</v>
      </c>
      <c r="G1495" s="65" t="str">
        <f>IF(stdProdLT(Main[[#This Row],[Comments]])=0.1,"N/A",IF(stdProdLT(Main[[#This Row],[Comments]])=0,"",TRIM(stdProdLT(Main[[#This Row],[Comments]]))))</f>
        <v>N/A</v>
      </c>
      <c r="H1495" s="98" t="str">
        <f>IF(OR(Main[[#This Row],[Std. Prod. Lead Time]]="N/A",Main[[#This Row],[Std. Prod. Lead Time]]=""), "",IF(AND(Main[[#This Row],[In Stock Date]]&lt;&gt;"",Main[[#This Row],[Revised Due Date]]&lt;&gt;"",Main[[#This Row],[In Stock Date]]&lt;&gt;""),Main[[#This Row],[In Stock Date]]-Main[[#This Row],[Revised Due Date]],""))</f>
        <v/>
      </c>
      <c r="I1495" s="103" t="s">
        <v>3793</v>
      </c>
      <c r="J1495" s="99" t="s">
        <v>28</v>
      </c>
      <c r="K1495" s="99" t="s">
        <v>1920</v>
      </c>
      <c r="L1495" s="87">
        <v>40974</v>
      </c>
      <c r="M1495" s="79">
        <f>IF(Main[[#This Row],[Tech Start Date]]&lt;1/1/1990,"",IF(Main[[#This Row],[Class]]="C",WORKDAY(Main[[#This Row],[Tech Start Date]],9),IF(Main[[#This Row],[Class]]="B", WORKDAY(Main[[#This Row],[Tech Start Date]],6),IF(Main[[#This Row],[Class]]="A",WORKDAY(Main[[#This Row],[Tech Start Date]],2),""))))</f>
        <v>40976</v>
      </c>
      <c r="N1495" s="79">
        <f>IF(Main[[#This Row],[Tech Start Date]]&lt;1/1/1990,"",IF(Main[[#This Row],[Class]]="C",WORKDAY(Main[[#This Row],[Tech Start Date]],19),IF(Main[[#This Row],[Class]]="B", WORKDAY(Main[[#This Row],[Tech Start Date]],12),IF(Main[[#This Row],[Class]]="A",WORKDAY(Main[[#This Row],[Tech Start Date]],4),""))))</f>
        <v>40980</v>
      </c>
      <c r="O1495" s="79">
        <f>IF(Main[[#This Row],[Tech Start Date]]&lt;1/1/1990,"",IF(Main[[#This Row],[Class]]="C",WORKDAY(Main[[#This Row],[Tech Start Date]],23),IF(Main[[#This Row],[Class]]="B", WORKDAY(Main[[#This Row],[Tech Start Date]],15),IF(Main[[#This Row],[Class]]="A",WORKDAY(Main[[#This Row],[Tech Start Date]],5),""))))</f>
        <v>40981</v>
      </c>
      <c r="P1495" s="79">
        <f>IF(Main[[#This Row],[Tech Start Date]]&lt;1/1/1990,"",IF(Main[[#This Row],[Class]]="C",WORKDAY(Main[[#This Row],[Tech Start Date]],28),IF(Main[[#This Row],[Class]]="B", WORKDAY(Main[[#This Row],[Tech Start Date]],19),IF(Main[[#This Row],[Class]]="A",WORKDAY(Main[[#This Row],[Tech Start Date]],9),""))))</f>
        <v>40987</v>
      </c>
      <c r="Q1495" s="87">
        <v>41000</v>
      </c>
      <c r="R1495" s="114">
        <v>40981</v>
      </c>
      <c r="S1495" s="99" t="s">
        <v>11</v>
      </c>
      <c r="T1495" s="80" t="s">
        <v>3201</v>
      </c>
      <c r="U1495" s="99" t="s">
        <v>29</v>
      </c>
      <c r="V1495" s="99" t="s">
        <v>1921</v>
      </c>
      <c r="W1495" s="99" t="s">
        <v>1919</v>
      </c>
      <c r="X1495" s="99" t="s">
        <v>2826</v>
      </c>
      <c r="Y1495" s="78" t="s">
        <v>3208</v>
      </c>
      <c r="Z1495" s="78" t="s">
        <v>530</v>
      </c>
      <c r="AA1495" s="99" t="s">
        <v>2826</v>
      </c>
      <c r="AB1495" s="134"/>
      <c r="AC1495" s="134"/>
      <c r="AD1495" s="134"/>
    </row>
    <row r="1496" spans="1:33" ht="17.2" customHeight="1">
      <c r="A1496" s="65" t="str">
        <f>IF(priority(Main[[#This Row],[Comments]])&lt;&gt;0, priority(Main[[#This Row],[Comments]]),"")</f>
        <v/>
      </c>
      <c r="B1496" s="60" t="s">
        <v>3308</v>
      </c>
      <c r="C1496" s="78" t="s">
        <v>148</v>
      </c>
      <c r="D1496" s="137" t="s">
        <v>3309</v>
      </c>
      <c r="E1496" s="87">
        <v>40969.375949074078</v>
      </c>
      <c r="F1496" s="87">
        <v>41128</v>
      </c>
      <c r="G1496" s="65" t="str">
        <f>IF(stdProdLT(Main[[#This Row],[Comments]])=0.1,"N/A",IF(stdProdLT(Main[[#This Row],[Comments]])=0,"",TRIM(stdProdLT(Main[[#This Row],[Comments]]))))</f>
        <v>126</v>
      </c>
      <c r="H1496" s="98">
        <f>IF(OR(Main[[#This Row],[Std. Prod. Lead Time]]="N/A",Main[[#This Row],[Std. Prod. Lead Time]]=""), "",IF(AND(Main[[#This Row],[In Stock Date]]&lt;&gt;"",Main[[#This Row],[Revised Due Date]]&lt;&gt;"",Main[[#This Row],[In Stock Date]]&lt;&gt;""),Main[[#This Row],[In Stock Date]]-Main[[#This Row],[Revised Due Date]],""))</f>
        <v>125</v>
      </c>
      <c r="I1496" s="103" t="s">
        <v>44</v>
      </c>
      <c r="J1496" s="99" t="s">
        <v>28</v>
      </c>
      <c r="K1496" s="99" t="s">
        <v>1918</v>
      </c>
      <c r="L1496" s="87">
        <v>40974</v>
      </c>
      <c r="M1496" s="79">
        <f>IF(Main[[#This Row],[Tech Start Date]]&lt;1/1/1990,"",IF(Main[[#This Row],[Class]]="C",WORKDAY(Main[[#This Row],[Tech Start Date]],9),IF(Main[[#This Row],[Class]]="B", WORKDAY(Main[[#This Row],[Tech Start Date]],6),IF(Main[[#This Row],[Class]]="A",WORKDAY(Main[[#This Row],[Tech Start Date]],2),""))))</f>
        <v>40982</v>
      </c>
      <c r="N1496" s="79">
        <f>IF(Main[[#This Row],[Tech Start Date]]&lt;1/1/1990,"",IF(Main[[#This Row],[Class]]="C",WORKDAY(Main[[#This Row],[Tech Start Date]],19),IF(Main[[#This Row],[Class]]="B", WORKDAY(Main[[#This Row],[Tech Start Date]],12),IF(Main[[#This Row],[Class]]="A",WORKDAY(Main[[#This Row],[Tech Start Date]],4),""))))</f>
        <v>40990</v>
      </c>
      <c r="O1496" s="79">
        <f>IF(Main[[#This Row],[Tech Start Date]]&lt;1/1/1990,"",IF(Main[[#This Row],[Class]]="C",WORKDAY(Main[[#This Row],[Tech Start Date]],23),IF(Main[[#This Row],[Class]]="B", WORKDAY(Main[[#This Row],[Tech Start Date]],15),IF(Main[[#This Row],[Class]]="A",WORKDAY(Main[[#This Row],[Tech Start Date]],5),""))))</f>
        <v>40995</v>
      </c>
      <c r="P1496" s="79">
        <f>IF(Main[[#This Row],[Tech Start Date]]&lt;1/1/1990,"",IF(Main[[#This Row],[Class]]="C",WORKDAY(Main[[#This Row],[Tech Start Date]],28),IF(Main[[#This Row],[Class]]="B", WORKDAY(Main[[#This Row],[Tech Start Date]],19),IF(Main[[#This Row],[Class]]="A",WORKDAY(Main[[#This Row],[Tech Start Date]],9),""))))</f>
        <v>41001</v>
      </c>
      <c r="Q1496" s="87"/>
      <c r="R1496" s="114">
        <v>41003</v>
      </c>
      <c r="S1496" s="99" t="s">
        <v>11</v>
      </c>
      <c r="T1496" s="80" t="s">
        <v>4033</v>
      </c>
      <c r="U1496" s="99" t="s">
        <v>29</v>
      </c>
      <c r="V1496" s="99" t="s">
        <v>1914</v>
      </c>
      <c r="W1496" s="99" t="s">
        <v>1919</v>
      </c>
      <c r="X1496" s="99" t="s">
        <v>2873</v>
      </c>
      <c r="Y1496" s="78" t="s">
        <v>3033</v>
      </c>
      <c r="Z1496" s="78" t="s">
        <v>530</v>
      </c>
      <c r="AA1496" s="99" t="s">
        <v>2873</v>
      </c>
      <c r="AB1496" s="134"/>
      <c r="AC1496" s="134"/>
      <c r="AD1496" s="134"/>
    </row>
    <row r="1497" spans="1:33" ht="17.2" customHeight="1">
      <c r="A1497" s="65" t="str">
        <f>IF(priority(Main[[#This Row],[Comments]])&lt;&gt;0, priority(Main[[#This Row],[Comments]]),"")</f>
        <v/>
      </c>
      <c r="B1497" s="60" t="s">
        <v>3835</v>
      </c>
      <c r="C1497" s="78" t="s">
        <v>3836</v>
      </c>
      <c r="D1497" s="137" t="s">
        <v>3837</v>
      </c>
      <c r="E1497" s="87">
        <v>40969.652303240742</v>
      </c>
      <c r="F1497" s="87">
        <v>40976</v>
      </c>
      <c r="G1497" s="65" t="str">
        <f>IF(stdProdLT(Main[[#This Row],[Comments]])=0.1,"N/A",IF(stdProdLT(Main[[#This Row],[Comments]])=0,"",TRIM(stdProdLT(Main[[#This Row],[Comments]]))))</f>
        <v>N/A</v>
      </c>
      <c r="H1497" s="98" t="str">
        <f>IF(OR(Main[[#This Row],[Std. Prod. Lead Time]]="N/A",Main[[#This Row],[Std. Prod. Lead Time]]=""), "",IF(AND(Main[[#This Row],[In Stock Date]]&lt;&gt;"",Main[[#This Row],[Revised Due Date]]&lt;&gt;"",Main[[#This Row],[In Stock Date]]&lt;&gt;""),Main[[#This Row],[In Stock Date]]-Main[[#This Row],[Revised Due Date]],""))</f>
        <v/>
      </c>
      <c r="I1497" s="103" t="s">
        <v>3793</v>
      </c>
      <c r="J1497" s="99" t="s">
        <v>28</v>
      </c>
      <c r="K1497" s="99" t="s">
        <v>1920</v>
      </c>
      <c r="L1497" s="87">
        <v>40974</v>
      </c>
      <c r="M1497" s="79">
        <f>IF(Main[[#This Row],[Tech Start Date]]&lt;1/1/1990,"",IF(Main[[#This Row],[Class]]="C",WORKDAY(Main[[#This Row],[Tech Start Date]],9),IF(Main[[#This Row],[Class]]="B", WORKDAY(Main[[#This Row],[Tech Start Date]],6),IF(Main[[#This Row],[Class]]="A",WORKDAY(Main[[#This Row],[Tech Start Date]],2),""))))</f>
        <v>40976</v>
      </c>
      <c r="N1497" s="79">
        <f>IF(Main[[#This Row],[Tech Start Date]]&lt;1/1/1990,"",IF(Main[[#This Row],[Class]]="C",WORKDAY(Main[[#This Row],[Tech Start Date]],19),IF(Main[[#This Row],[Class]]="B", WORKDAY(Main[[#This Row],[Tech Start Date]],12),IF(Main[[#This Row],[Class]]="A",WORKDAY(Main[[#This Row],[Tech Start Date]],4),""))))</f>
        <v>40980</v>
      </c>
      <c r="O1497" s="79">
        <f>IF(Main[[#This Row],[Tech Start Date]]&lt;1/1/1990,"",IF(Main[[#This Row],[Class]]="C",WORKDAY(Main[[#This Row],[Tech Start Date]],23),IF(Main[[#This Row],[Class]]="B", WORKDAY(Main[[#This Row],[Tech Start Date]],15),IF(Main[[#This Row],[Class]]="A",WORKDAY(Main[[#This Row],[Tech Start Date]],5),""))))</f>
        <v>40981</v>
      </c>
      <c r="P1497" s="79">
        <f>IF(Main[[#This Row],[Tech Start Date]]&lt;1/1/1990,"",IF(Main[[#This Row],[Class]]="C",WORKDAY(Main[[#This Row],[Tech Start Date]],28),IF(Main[[#This Row],[Class]]="B", WORKDAY(Main[[#This Row],[Tech Start Date]],19),IF(Main[[#This Row],[Class]]="A",WORKDAY(Main[[#This Row],[Tech Start Date]],9),""))))</f>
        <v>40987</v>
      </c>
      <c r="Q1497" s="87"/>
      <c r="R1497" s="114">
        <v>40981</v>
      </c>
      <c r="S1497" s="99" t="s">
        <v>11</v>
      </c>
      <c r="T1497" s="80" t="s">
        <v>3201</v>
      </c>
      <c r="U1497" s="99" t="s">
        <v>29</v>
      </c>
      <c r="V1497" s="99" t="s">
        <v>1921</v>
      </c>
      <c r="W1497" s="99" t="s">
        <v>1919</v>
      </c>
      <c r="X1497" s="99" t="s">
        <v>2865</v>
      </c>
      <c r="Y1497" s="78" t="s">
        <v>3019</v>
      </c>
      <c r="Z1497" s="78" t="s">
        <v>530</v>
      </c>
      <c r="AA1497" s="99" t="s">
        <v>2865</v>
      </c>
      <c r="AB1497" s="134"/>
      <c r="AC1497" s="134"/>
      <c r="AD1497" s="134"/>
    </row>
    <row r="1498" spans="1:33" ht="17.2" customHeight="1">
      <c r="A1498" s="65" t="str">
        <f>IF(priority(Main[[#This Row],[Comments]])&lt;&gt;0, priority(Main[[#This Row],[Comments]]),"")</f>
        <v/>
      </c>
      <c r="B1498" s="60" t="s">
        <v>3489</v>
      </c>
      <c r="C1498" s="78" t="s">
        <v>53</v>
      </c>
      <c r="D1498" s="137" t="s">
        <v>3490</v>
      </c>
      <c r="E1498" s="87">
        <v>40974.619247685187</v>
      </c>
      <c r="F1498" s="87">
        <v>41000</v>
      </c>
      <c r="G1498" s="65" t="str">
        <f>IF(stdProdLT(Main[[#This Row],[Comments]])=0.1,"N/A",IF(stdProdLT(Main[[#This Row],[Comments]])=0,"",TRIM(stdProdLT(Main[[#This Row],[Comments]]))))</f>
        <v>112</v>
      </c>
      <c r="H1498" s="98">
        <f>IF(OR(Main[[#This Row],[Std. Prod. Lead Time]]="N/A",Main[[#This Row],[Std. Prod. Lead Time]]=""), "",IF(AND(Main[[#This Row],[In Stock Date]]&lt;&gt;"",Main[[#This Row],[Revised Due Date]]&lt;&gt;"",Main[[#This Row],[In Stock Date]]&lt;&gt;""),Main[[#This Row],[In Stock Date]]-Main[[#This Row],[Revised Due Date]],""))</f>
        <v>11</v>
      </c>
      <c r="I1498" s="103" t="s">
        <v>3793</v>
      </c>
      <c r="J1498" s="99" t="s">
        <v>28</v>
      </c>
      <c r="K1498" s="99" t="s">
        <v>1920</v>
      </c>
      <c r="L1498" s="87">
        <v>40974</v>
      </c>
      <c r="M1498" s="79">
        <f>IF(Main[[#This Row],[Tech Start Date]]&lt;1/1/1990,"",IF(Main[[#This Row],[Class]]="C",WORKDAY(Main[[#This Row],[Tech Start Date]],9),IF(Main[[#This Row],[Class]]="B", WORKDAY(Main[[#This Row],[Tech Start Date]],6),IF(Main[[#This Row],[Class]]="A",WORKDAY(Main[[#This Row],[Tech Start Date]],2),""))))</f>
        <v>40976</v>
      </c>
      <c r="N1498" s="79">
        <f>IF(Main[[#This Row],[Tech Start Date]]&lt;1/1/1990,"",IF(Main[[#This Row],[Class]]="C",WORKDAY(Main[[#This Row],[Tech Start Date]],19),IF(Main[[#This Row],[Class]]="B", WORKDAY(Main[[#This Row],[Tech Start Date]],12),IF(Main[[#This Row],[Class]]="A",WORKDAY(Main[[#This Row],[Tech Start Date]],4),""))))</f>
        <v>40980</v>
      </c>
      <c r="O1498" s="79">
        <f>IF(Main[[#This Row],[Tech Start Date]]&lt;1/1/1990,"",IF(Main[[#This Row],[Class]]="C",WORKDAY(Main[[#This Row],[Tech Start Date]],23),IF(Main[[#This Row],[Class]]="B", WORKDAY(Main[[#This Row],[Tech Start Date]],15),IF(Main[[#This Row],[Class]]="A",WORKDAY(Main[[#This Row],[Tech Start Date]],5),""))))</f>
        <v>40981</v>
      </c>
      <c r="P1498" s="79">
        <f>IF(Main[[#This Row],[Tech Start Date]]&lt;1/1/1990,"",IF(Main[[#This Row],[Class]]="C",WORKDAY(Main[[#This Row],[Tech Start Date]],28),IF(Main[[#This Row],[Class]]="B", WORKDAY(Main[[#This Row],[Tech Start Date]],19),IF(Main[[#This Row],[Class]]="A",WORKDAY(Main[[#This Row],[Tech Start Date]],9),""))))</f>
        <v>40987</v>
      </c>
      <c r="Q1498" s="87">
        <v>40956</v>
      </c>
      <c r="R1498" s="114">
        <v>40989</v>
      </c>
      <c r="S1498" s="99" t="s">
        <v>11</v>
      </c>
      <c r="T1498" s="80" t="s">
        <v>4034</v>
      </c>
      <c r="U1498" s="99" t="s">
        <v>29</v>
      </c>
      <c r="V1498" s="99" t="s">
        <v>1914</v>
      </c>
      <c r="W1498" s="99" t="s">
        <v>1913</v>
      </c>
      <c r="X1498" s="99" t="s">
        <v>3491</v>
      </c>
      <c r="Y1498" s="78" t="s">
        <v>4</v>
      </c>
      <c r="Z1498" s="78" t="s">
        <v>530</v>
      </c>
      <c r="AA1498" s="99" t="s">
        <v>3491</v>
      </c>
      <c r="AB1498" s="134"/>
      <c r="AC1498" s="134"/>
      <c r="AD1498" s="134"/>
    </row>
    <row r="1499" spans="1:33" ht="17.2" customHeight="1">
      <c r="A1499" s="65" t="str">
        <f>IF(priority(Main[[#This Row],[Comments]])&lt;&gt;0, priority(Main[[#This Row],[Comments]]),"")</f>
        <v/>
      </c>
      <c r="B1499" s="60" t="s">
        <v>3769</v>
      </c>
      <c r="C1499" s="78" t="s">
        <v>3817</v>
      </c>
      <c r="D1499" s="137" t="s">
        <v>3770</v>
      </c>
      <c r="E1499" s="87">
        <v>40968.458784722221</v>
      </c>
      <c r="F1499" s="87">
        <v>41030</v>
      </c>
      <c r="G1499" s="65" t="str">
        <f>IF(stdProdLT(Main[[#This Row],[Comments]])=0.1,"N/A",IF(stdProdLT(Main[[#This Row],[Comments]])=0,"",TRIM(stdProdLT(Main[[#This Row],[Comments]]))))</f>
        <v>N/A</v>
      </c>
      <c r="H1499" s="98" t="str">
        <f>IF(OR(Main[[#This Row],[Std. Prod. Lead Time]]="N/A",Main[[#This Row],[Std. Prod. Lead Time]]=""), "",IF(AND(Main[[#This Row],[In Stock Date]]&lt;&gt;"",Main[[#This Row],[Revised Due Date]]&lt;&gt;"",Main[[#This Row],[In Stock Date]]&lt;&gt;""),Main[[#This Row],[In Stock Date]]-Main[[#This Row],[Revised Due Date]],""))</f>
        <v/>
      </c>
      <c r="I1499" s="103" t="s">
        <v>3793</v>
      </c>
      <c r="J1499" s="99" t="s">
        <v>28</v>
      </c>
      <c r="K1499" s="99" t="s">
        <v>1920</v>
      </c>
      <c r="L1499" s="87">
        <v>40974</v>
      </c>
      <c r="M1499" s="79">
        <f>IF(Main[[#This Row],[Tech Start Date]]&lt;1/1/1990,"",IF(Main[[#This Row],[Class]]="C",WORKDAY(Main[[#This Row],[Tech Start Date]],9),IF(Main[[#This Row],[Class]]="B", WORKDAY(Main[[#This Row],[Tech Start Date]],6),IF(Main[[#This Row],[Class]]="A",WORKDAY(Main[[#This Row],[Tech Start Date]],2),""))))</f>
        <v>40976</v>
      </c>
      <c r="N1499" s="79">
        <f>IF(Main[[#This Row],[Tech Start Date]]&lt;1/1/1990,"",IF(Main[[#This Row],[Class]]="C",WORKDAY(Main[[#This Row],[Tech Start Date]],19),IF(Main[[#This Row],[Class]]="B", WORKDAY(Main[[#This Row],[Tech Start Date]],12),IF(Main[[#This Row],[Class]]="A",WORKDAY(Main[[#This Row],[Tech Start Date]],4),""))))</f>
        <v>40980</v>
      </c>
      <c r="O1499" s="79">
        <f>IF(Main[[#This Row],[Tech Start Date]]&lt;1/1/1990,"",IF(Main[[#This Row],[Class]]="C",WORKDAY(Main[[#This Row],[Tech Start Date]],23),IF(Main[[#This Row],[Class]]="B", WORKDAY(Main[[#This Row],[Tech Start Date]],15),IF(Main[[#This Row],[Class]]="A",WORKDAY(Main[[#This Row],[Tech Start Date]],5),""))))</f>
        <v>40981</v>
      </c>
      <c r="P1499" s="79">
        <f>IF(Main[[#This Row],[Tech Start Date]]&lt;1/1/1990,"",IF(Main[[#This Row],[Class]]="C",WORKDAY(Main[[#This Row],[Tech Start Date]],28),IF(Main[[#This Row],[Class]]="B", WORKDAY(Main[[#This Row],[Tech Start Date]],19),IF(Main[[#This Row],[Class]]="A",WORKDAY(Main[[#This Row],[Tech Start Date]],9),""))))</f>
        <v>40987</v>
      </c>
      <c r="Q1499" s="87">
        <v>40972</v>
      </c>
      <c r="R1499" s="114">
        <v>40981</v>
      </c>
      <c r="S1499" s="99" t="s">
        <v>11</v>
      </c>
      <c r="T1499" s="80" t="s">
        <v>3792</v>
      </c>
      <c r="U1499" s="99" t="s">
        <v>29</v>
      </c>
      <c r="V1499" s="99" t="s">
        <v>1921</v>
      </c>
      <c r="W1499" s="99" t="s">
        <v>1919</v>
      </c>
      <c r="X1499" s="99" t="s">
        <v>2837</v>
      </c>
      <c r="Y1499" s="78" t="s">
        <v>2976</v>
      </c>
      <c r="Z1499" s="78" t="s">
        <v>530</v>
      </c>
      <c r="AA1499" s="99" t="s">
        <v>2837</v>
      </c>
      <c r="AB1499" s="134"/>
      <c r="AC1499" s="134"/>
      <c r="AD1499" s="134"/>
    </row>
    <row r="1500" spans="1:33" ht="17.2" customHeight="1">
      <c r="A1500" s="65" t="str">
        <f>IF(priority(Main[[#This Row],[Comments]])&lt;&gt;0, priority(Main[[#This Row],[Comments]]),"")</f>
        <v/>
      </c>
      <c r="B1500" s="60" t="s">
        <v>3561</v>
      </c>
      <c r="C1500" s="78" t="s">
        <v>2348</v>
      </c>
      <c r="D1500" s="137" t="s">
        <v>3562</v>
      </c>
      <c r="E1500" s="87">
        <v>40969.379120370373</v>
      </c>
      <c r="F1500" s="87">
        <v>41014</v>
      </c>
      <c r="G1500" s="65" t="str">
        <f>IF(stdProdLT(Main[[#This Row],[Comments]])=0.1,"N/A",IF(stdProdLT(Main[[#This Row],[Comments]])=0,"",TRIM(stdProdLT(Main[[#This Row],[Comments]]))))</f>
        <v>N/A</v>
      </c>
      <c r="H1500" s="98" t="str">
        <f>IF(OR(Main[[#This Row],[Std. Prod. Lead Time]]="N/A",Main[[#This Row],[Std. Prod. Lead Time]]=""), "",IF(AND(Main[[#This Row],[In Stock Date]]&lt;&gt;"",Main[[#This Row],[Revised Due Date]]&lt;&gt;"",Main[[#This Row],[In Stock Date]]&lt;&gt;""),Main[[#This Row],[In Stock Date]]-Main[[#This Row],[Revised Due Date]],""))</f>
        <v/>
      </c>
      <c r="I1500" s="103" t="s">
        <v>3793</v>
      </c>
      <c r="J1500" s="99" t="s">
        <v>28</v>
      </c>
      <c r="K1500" s="99" t="s">
        <v>1920</v>
      </c>
      <c r="L1500" s="87">
        <v>40974</v>
      </c>
      <c r="M1500" s="79">
        <f>IF(Main[[#This Row],[Tech Start Date]]&lt;1/1/1990,"",IF(Main[[#This Row],[Class]]="C",WORKDAY(Main[[#This Row],[Tech Start Date]],9),IF(Main[[#This Row],[Class]]="B", WORKDAY(Main[[#This Row],[Tech Start Date]],6),IF(Main[[#This Row],[Class]]="A",WORKDAY(Main[[#This Row],[Tech Start Date]],2),""))))</f>
        <v>40976</v>
      </c>
      <c r="N1500" s="79">
        <f>IF(Main[[#This Row],[Tech Start Date]]&lt;1/1/1990,"",IF(Main[[#This Row],[Class]]="C",WORKDAY(Main[[#This Row],[Tech Start Date]],19),IF(Main[[#This Row],[Class]]="B", WORKDAY(Main[[#This Row],[Tech Start Date]],12),IF(Main[[#This Row],[Class]]="A",WORKDAY(Main[[#This Row],[Tech Start Date]],4),""))))</f>
        <v>40980</v>
      </c>
      <c r="O1500" s="79">
        <f>IF(Main[[#This Row],[Tech Start Date]]&lt;1/1/1990,"",IF(Main[[#This Row],[Class]]="C",WORKDAY(Main[[#This Row],[Tech Start Date]],23),IF(Main[[#This Row],[Class]]="B", WORKDAY(Main[[#This Row],[Tech Start Date]],15),IF(Main[[#This Row],[Class]]="A",WORKDAY(Main[[#This Row],[Tech Start Date]],5),""))))</f>
        <v>40981</v>
      </c>
      <c r="P1500" s="79">
        <f>IF(Main[[#This Row],[Tech Start Date]]&lt;1/1/1990,"",IF(Main[[#This Row],[Class]]="C",WORKDAY(Main[[#This Row],[Tech Start Date]],28),IF(Main[[#This Row],[Class]]="B", WORKDAY(Main[[#This Row],[Tech Start Date]],19),IF(Main[[#This Row],[Class]]="A",WORKDAY(Main[[#This Row],[Tech Start Date]],9),""))))</f>
        <v>40987</v>
      </c>
      <c r="Q1500" s="87">
        <v>40916</v>
      </c>
      <c r="R1500" s="114">
        <v>40981</v>
      </c>
      <c r="S1500" s="99" t="s">
        <v>11</v>
      </c>
      <c r="T1500" s="80" t="s">
        <v>3816</v>
      </c>
      <c r="U1500" s="99" t="s">
        <v>29</v>
      </c>
      <c r="V1500" s="99" t="s">
        <v>1921</v>
      </c>
      <c r="W1500" s="99" t="s">
        <v>1919</v>
      </c>
      <c r="X1500" s="99" t="s">
        <v>2823</v>
      </c>
      <c r="Y1500" s="78" t="s">
        <v>4</v>
      </c>
      <c r="Z1500" s="78" t="s">
        <v>530</v>
      </c>
      <c r="AA1500" s="99" t="s">
        <v>2823</v>
      </c>
      <c r="AB1500" s="134"/>
      <c r="AC1500" s="134"/>
      <c r="AD1500" s="134"/>
    </row>
    <row r="1501" spans="1:33" ht="17.2" customHeight="1">
      <c r="A1501" s="65" t="str">
        <f>IF(priority(Main[[#This Row],[Comments]])&lt;&gt;0, priority(Main[[#This Row],[Comments]]),"")</f>
        <v/>
      </c>
      <c r="B1501" s="60" t="s">
        <v>3811</v>
      </c>
      <c r="C1501" s="78" t="s">
        <v>4029</v>
      </c>
      <c r="D1501" s="137" t="s">
        <v>4073</v>
      </c>
      <c r="E1501" s="87">
        <v>40969.074282407404</v>
      </c>
      <c r="F1501" s="87">
        <v>41144</v>
      </c>
      <c r="G1501" s="65" t="str">
        <f>IF(stdProdLT(Main[[#This Row],[Comments]])=0.1,"N/A",IF(stdProdLT(Main[[#This Row],[Comments]])=0,"",TRIM(stdProdLT(Main[[#This Row],[Comments]]))))</f>
        <v>140</v>
      </c>
      <c r="H1501" s="98" t="str">
        <f>IF(OR(Main[[#This Row],[Std. Prod. Lead Time]]="N/A",Main[[#This Row],[Std. Prod. Lead Time]]=""), "",IF(AND(Main[[#This Row],[In Stock Date]]&lt;&gt;"",Main[[#This Row],[Revised Due Date]]&lt;&gt;"",Main[[#This Row],[In Stock Date]]&lt;&gt;""),Main[[#This Row],[In Stock Date]]-Main[[#This Row],[Revised Due Date]],""))</f>
        <v/>
      </c>
      <c r="I1501" s="103" t="s">
        <v>429</v>
      </c>
      <c r="J1501" s="99" t="s">
        <v>28</v>
      </c>
      <c r="K1501" s="99" t="s">
        <v>1918</v>
      </c>
      <c r="L1501" s="87">
        <v>40974</v>
      </c>
      <c r="M1501" s="79">
        <f>IF(Main[[#This Row],[Tech Start Date]]&lt;1/1/1990,"",IF(Main[[#This Row],[Class]]="C",WORKDAY(Main[[#This Row],[Tech Start Date]],9),IF(Main[[#This Row],[Class]]="B", WORKDAY(Main[[#This Row],[Tech Start Date]],6),IF(Main[[#This Row],[Class]]="A",WORKDAY(Main[[#This Row],[Tech Start Date]],2),""))))</f>
        <v>40982</v>
      </c>
      <c r="N1501" s="79">
        <f>IF(Main[[#This Row],[Tech Start Date]]&lt;1/1/1990,"",IF(Main[[#This Row],[Class]]="C",WORKDAY(Main[[#This Row],[Tech Start Date]],19),IF(Main[[#This Row],[Class]]="B", WORKDAY(Main[[#This Row],[Tech Start Date]],12),IF(Main[[#This Row],[Class]]="A",WORKDAY(Main[[#This Row],[Tech Start Date]],4),""))))</f>
        <v>40990</v>
      </c>
      <c r="O1501" s="79">
        <f>IF(Main[[#This Row],[Tech Start Date]]&lt;1/1/1990,"",IF(Main[[#This Row],[Class]]="C",WORKDAY(Main[[#This Row],[Tech Start Date]],23),IF(Main[[#This Row],[Class]]="B", WORKDAY(Main[[#This Row],[Tech Start Date]],15),IF(Main[[#This Row],[Class]]="A",WORKDAY(Main[[#This Row],[Tech Start Date]],5),""))))</f>
        <v>40995</v>
      </c>
      <c r="P1501" s="79">
        <f>IF(Main[[#This Row],[Tech Start Date]]&lt;1/1/1990,"",IF(Main[[#This Row],[Class]]="C",WORKDAY(Main[[#This Row],[Tech Start Date]],28),IF(Main[[#This Row],[Class]]="B", WORKDAY(Main[[#This Row],[Tech Start Date]],19),IF(Main[[#This Row],[Class]]="A",WORKDAY(Main[[#This Row],[Tech Start Date]],9),""))))</f>
        <v>41001</v>
      </c>
      <c r="Q1501" s="87">
        <v>40962</v>
      </c>
      <c r="R1501" s="114"/>
      <c r="S1501" s="99" t="s">
        <v>11</v>
      </c>
      <c r="T1501" s="80" t="s">
        <v>4074</v>
      </c>
      <c r="U1501" s="99" t="s">
        <v>534</v>
      </c>
      <c r="V1501" s="99" t="s">
        <v>1921</v>
      </c>
      <c r="W1501" s="99" t="s">
        <v>1917</v>
      </c>
      <c r="X1501" s="99" t="s">
        <v>3812</v>
      </c>
      <c r="Y1501" s="78" t="s">
        <v>4</v>
      </c>
      <c r="Z1501" s="78" t="s">
        <v>530</v>
      </c>
      <c r="AA1501" s="99" t="s">
        <v>3812</v>
      </c>
      <c r="AB1501" s="134"/>
      <c r="AC1501" s="134"/>
      <c r="AD1501" s="134"/>
    </row>
    <row r="1502" spans="1:33" ht="17.2" customHeight="1">
      <c r="A1502" s="65" t="str">
        <f>IF(priority(Main[[#This Row],[Comments]])&lt;&gt;0, priority(Main[[#This Row],[Comments]]),"")</f>
        <v/>
      </c>
      <c r="B1502" s="60" t="s">
        <v>3815</v>
      </c>
      <c r="C1502" s="78" t="s">
        <v>4029</v>
      </c>
      <c r="D1502" s="137" t="s">
        <v>4075</v>
      </c>
      <c r="E1502" s="87">
        <v>40969.074548611112</v>
      </c>
      <c r="F1502" s="87">
        <v>41144</v>
      </c>
      <c r="G1502" s="65" t="str">
        <f>IF(stdProdLT(Main[[#This Row],[Comments]])=0.1,"N/A",IF(stdProdLT(Main[[#This Row],[Comments]])=0,"",TRIM(stdProdLT(Main[[#This Row],[Comments]]))))</f>
        <v>140</v>
      </c>
      <c r="H1502" s="98">
        <f>IF(OR(Main[[#This Row],[Std. Prod. Lead Time]]="N/A",Main[[#This Row],[Std. Prod. Lead Time]]=""), "",IF(AND(Main[[#This Row],[In Stock Date]]&lt;&gt;"",Main[[#This Row],[Revised Due Date]]&lt;&gt;"",Main[[#This Row],[In Stock Date]]&lt;&gt;""),Main[[#This Row],[In Stock Date]]-Main[[#This Row],[Revised Due Date]],""))</f>
        <v>135</v>
      </c>
      <c r="I1502" s="103" t="s">
        <v>429</v>
      </c>
      <c r="J1502" s="99" t="s">
        <v>28</v>
      </c>
      <c r="K1502" s="99" t="s">
        <v>1918</v>
      </c>
      <c r="L1502" s="87">
        <v>40974</v>
      </c>
      <c r="M1502" s="79">
        <f>IF(Main[[#This Row],[Tech Start Date]]&lt;1/1/1990,"",IF(Main[[#This Row],[Class]]="C",WORKDAY(Main[[#This Row],[Tech Start Date]],9),IF(Main[[#This Row],[Class]]="B", WORKDAY(Main[[#This Row],[Tech Start Date]],6),IF(Main[[#This Row],[Class]]="A",WORKDAY(Main[[#This Row],[Tech Start Date]],2),""))))</f>
        <v>40982</v>
      </c>
      <c r="N1502" s="79">
        <f>IF(Main[[#This Row],[Tech Start Date]]&lt;1/1/1990,"",IF(Main[[#This Row],[Class]]="C",WORKDAY(Main[[#This Row],[Tech Start Date]],19),IF(Main[[#This Row],[Class]]="B", WORKDAY(Main[[#This Row],[Tech Start Date]],12),IF(Main[[#This Row],[Class]]="A",WORKDAY(Main[[#This Row],[Tech Start Date]],4),""))))</f>
        <v>40990</v>
      </c>
      <c r="O1502" s="79">
        <f>IF(Main[[#This Row],[Tech Start Date]]&lt;1/1/1990,"",IF(Main[[#This Row],[Class]]="C",WORKDAY(Main[[#This Row],[Tech Start Date]],23),IF(Main[[#This Row],[Class]]="B", WORKDAY(Main[[#This Row],[Tech Start Date]],15),IF(Main[[#This Row],[Class]]="A",WORKDAY(Main[[#This Row],[Tech Start Date]],5),""))))</f>
        <v>40995</v>
      </c>
      <c r="P1502" s="79">
        <f>IF(Main[[#This Row],[Tech Start Date]]&lt;1/1/1990,"",IF(Main[[#This Row],[Class]]="C",WORKDAY(Main[[#This Row],[Tech Start Date]],28),IF(Main[[#This Row],[Class]]="B", WORKDAY(Main[[#This Row],[Tech Start Date]],19),IF(Main[[#This Row],[Class]]="A",WORKDAY(Main[[#This Row],[Tech Start Date]],9),""))))</f>
        <v>41001</v>
      </c>
      <c r="Q1502" s="87">
        <v>40962</v>
      </c>
      <c r="R1502" s="114">
        <v>41009</v>
      </c>
      <c r="S1502" s="99" t="s">
        <v>11</v>
      </c>
      <c r="T1502" s="80" t="s">
        <v>4035</v>
      </c>
      <c r="U1502" s="99" t="s">
        <v>29</v>
      </c>
      <c r="V1502" s="99" t="s">
        <v>1921</v>
      </c>
      <c r="W1502" s="99" t="s">
        <v>1917</v>
      </c>
      <c r="X1502" s="99" t="s">
        <v>3812</v>
      </c>
      <c r="Y1502" s="78" t="s">
        <v>4</v>
      </c>
      <c r="Z1502" s="78" t="s">
        <v>530</v>
      </c>
      <c r="AA1502" s="99" t="s">
        <v>3812</v>
      </c>
      <c r="AB1502" s="134"/>
      <c r="AC1502" s="134"/>
      <c r="AD1502" s="134"/>
    </row>
    <row r="1503" spans="1:33" ht="17.2" customHeight="1">
      <c r="A1503" s="65" t="str">
        <f>IF(priority(Main[[#This Row],[Comments]])&lt;&gt;0, priority(Main[[#This Row],[Comments]]),"")</f>
        <v/>
      </c>
      <c r="B1503" s="60" t="s">
        <v>3850</v>
      </c>
      <c r="C1503" s="78" t="s">
        <v>113</v>
      </c>
      <c r="D1503" s="137" t="s">
        <v>3851</v>
      </c>
      <c r="E1503" s="87">
        <v>40970.392118055555</v>
      </c>
      <c r="F1503" s="87">
        <v>41061</v>
      </c>
      <c r="G1503" s="65" t="str">
        <f>IF(stdProdLT(Main[[#This Row],[Comments]])=0.1,"N/A",IF(stdProdLT(Main[[#This Row],[Comments]])=0,"",TRIM(stdProdLT(Main[[#This Row],[Comments]]))))</f>
        <v>140</v>
      </c>
      <c r="H1503" s="98">
        <f>IF(OR(Main[[#This Row],[Std. Prod. Lead Time]]="N/A",Main[[#This Row],[Std. Prod. Lead Time]]=""), "",IF(AND(Main[[#This Row],[In Stock Date]]&lt;&gt;"",Main[[#This Row],[Revised Due Date]]&lt;&gt;"",Main[[#This Row],[In Stock Date]]&lt;&gt;""),Main[[#This Row],[In Stock Date]]-Main[[#This Row],[Revised Due Date]],""))</f>
        <v>52</v>
      </c>
      <c r="I1503" s="103" t="s">
        <v>130</v>
      </c>
      <c r="J1503" s="99" t="s">
        <v>28</v>
      </c>
      <c r="K1503" s="99" t="s">
        <v>1918</v>
      </c>
      <c r="L1503" s="87">
        <v>40974</v>
      </c>
      <c r="M1503" s="79">
        <f>IF(Main[[#This Row],[Tech Start Date]]&lt;1/1/1990,"",IF(Main[[#This Row],[Class]]="C",WORKDAY(Main[[#This Row],[Tech Start Date]],9),IF(Main[[#This Row],[Class]]="B", WORKDAY(Main[[#This Row],[Tech Start Date]],6),IF(Main[[#This Row],[Class]]="A",WORKDAY(Main[[#This Row],[Tech Start Date]],2),""))))</f>
        <v>40982</v>
      </c>
      <c r="N1503" s="79">
        <f>IF(Main[[#This Row],[Tech Start Date]]&lt;1/1/1990,"",IF(Main[[#This Row],[Class]]="C",WORKDAY(Main[[#This Row],[Tech Start Date]],19),IF(Main[[#This Row],[Class]]="B", WORKDAY(Main[[#This Row],[Tech Start Date]],12),IF(Main[[#This Row],[Class]]="A",WORKDAY(Main[[#This Row],[Tech Start Date]],4),""))))</f>
        <v>40990</v>
      </c>
      <c r="O1503" s="79">
        <f>IF(Main[[#This Row],[Tech Start Date]]&lt;1/1/1990,"",IF(Main[[#This Row],[Class]]="C",WORKDAY(Main[[#This Row],[Tech Start Date]],23),IF(Main[[#This Row],[Class]]="B", WORKDAY(Main[[#This Row],[Tech Start Date]],15),IF(Main[[#This Row],[Class]]="A",WORKDAY(Main[[#This Row],[Tech Start Date]],5),""))))</f>
        <v>40995</v>
      </c>
      <c r="P1503" s="79">
        <f>IF(Main[[#This Row],[Tech Start Date]]&lt;1/1/1990,"",IF(Main[[#This Row],[Class]]="C",WORKDAY(Main[[#This Row],[Tech Start Date]],28),IF(Main[[#This Row],[Class]]="B", WORKDAY(Main[[#This Row],[Tech Start Date]],19),IF(Main[[#This Row],[Class]]="A",WORKDAY(Main[[#This Row],[Tech Start Date]],9),""))))</f>
        <v>41001</v>
      </c>
      <c r="Q1503" s="87"/>
      <c r="R1503" s="114">
        <v>41009</v>
      </c>
      <c r="S1503" s="99" t="s">
        <v>11</v>
      </c>
      <c r="T1503" s="80" t="s">
        <v>3852</v>
      </c>
      <c r="U1503" s="99" t="s">
        <v>29</v>
      </c>
      <c r="V1503" s="99" t="s">
        <v>1914</v>
      </c>
      <c r="W1503" s="99" t="s">
        <v>1917</v>
      </c>
      <c r="X1503" s="99" t="s">
        <v>2813</v>
      </c>
      <c r="Y1503" s="78" t="s">
        <v>2917</v>
      </c>
      <c r="Z1503" s="78" t="s">
        <v>530</v>
      </c>
      <c r="AA1503" s="99" t="s">
        <v>2813</v>
      </c>
      <c r="AB1503" s="134"/>
      <c r="AC1503" s="134"/>
      <c r="AD1503" s="134"/>
    </row>
    <row r="1504" spans="1:33" ht="17.2" customHeight="1">
      <c r="A1504" s="65" t="str">
        <f>IF(priority(Main[[#This Row],[Comments]])&lt;&gt;0, priority(Main[[#This Row],[Comments]]),"")</f>
        <v/>
      </c>
      <c r="B1504" s="60" t="s">
        <v>3543</v>
      </c>
      <c r="C1504" s="78" t="s">
        <v>3544</v>
      </c>
      <c r="D1504" s="137" t="s">
        <v>3545</v>
      </c>
      <c r="E1504" s="87">
        <v>40969.44121527778</v>
      </c>
      <c r="F1504" s="87">
        <v>40982</v>
      </c>
      <c r="G1504" s="65" t="str">
        <f>IF(stdProdLT(Main[[#This Row],[Comments]])=0.1,"N/A",IF(stdProdLT(Main[[#This Row],[Comments]])=0,"",TRIM(stdProdLT(Main[[#This Row],[Comments]]))))</f>
        <v>140</v>
      </c>
      <c r="H1504" s="98">
        <f>IF(OR(Main[[#This Row],[Std. Prod. Lead Time]]="N/A",Main[[#This Row],[Std. Prod. Lead Time]]=""), "",IF(AND(Main[[#This Row],[In Stock Date]]&lt;&gt;"",Main[[#This Row],[Revised Due Date]]&lt;&gt;"",Main[[#This Row],[In Stock Date]]&lt;&gt;""),Main[[#This Row],[In Stock Date]]-Main[[#This Row],[Revised Due Date]],""))</f>
        <v>-10</v>
      </c>
      <c r="I1504" s="103" t="s">
        <v>69</v>
      </c>
      <c r="J1504" s="99" t="s">
        <v>1972</v>
      </c>
      <c r="K1504" s="133" t="s">
        <v>1918</v>
      </c>
      <c r="L1504" s="87">
        <v>40975</v>
      </c>
      <c r="M1504" s="79">
        <f>IF(Main[[#This Row],[Tech Start Date]]&lt;1/1/1990,"",IF(Main[[#This Row],[Class]]="C",WORKDAY(Main[[#This Row],[Tech Start Date]],9),IF(Main[[#This Row],[Class]]="B", WORKDAY(Main[[#This Row],[Tech Start Date]],6),IF(Main[[#This Row],[Class]]="A",WORKDAY(Main[[#This Row],[Tech Start Date]],2),""))))</f>
        <v>40983</v>
      </c>
      <c r="N1504" s="79">
        <f>IF(Main[[#This Row],[Tech Start Date]]&lt;1/1/1990,"",IF(Main[[#This Row],[Class]]="C",WORKDAY(Main[[#This Row],[Tech Start Date]],19),IF(Main[[#This Row],[Class]]="B", WORKDAY(Main[[#This Row],[Tech Start Date]],12),IF(Main[[#This Row],[Class]]="A",WORKDAY(Main[[#This Row],[Tech Start Date]],4),""))))</f>
        <v>40991</v>
      </c>
      <c r="O1504" s="79">
        <f>IF(Main[[#This Row],[Tech Start Date]]&lt;1/1/1990,"",IF(Main[[#This Row],[Class]]="C",WORKDAY(Main[[#This Row],[Tech Start Date]],23),IF(Main[[#This Row],[Class]]="B", WORKDAY(Main[[#This Row],[Tech Start Date]],15),IF(Main[[#This Row],[Class]]="A",WORKDAY(Main[[#This Row],[Tech Start Date]],5),""))))</f>
        <v>40996</v>
      </c>
      <c r="P1504" s="79">
        <f>IF(Main[[#This Row],[Tech Start Date]]&lt;1/1/1990,"",IF(Main[[#This Row],[Class]]="C",WORKDAY(Main[[#This Row],[Tech Start Date]],28),IF(Main[[#This Row],[Class]]="B", WORKDAY(Main[[#This Row],[Tech Start Date]],19),IF(Main[[#This Row],[Class]]="A",WORKDAY(Main[[#This Row],[Tech Start Date]],9),""))))</f>
        <v>41002</v>
      </c>
      <c r="Q1504" s="87"/>
      <c r="R1504" s="114">
        <v>40992</v>
      </c>
      <c r="S1504" s="99" t="s">
        <v>11</v>
      </c>
      <c r="T1504" s="80" t="s">
        <v>4037</v>
      </c>
      <c r="U1504" s="99" t="s">
        <v>29</v>
      </c>
      <c r="V1504" s="99" t="s">
        <v>1914</v>
      </c>
      <c r="W1504" s="99" t="s">
        <v>1916</v>
      </c>
      <c r="X1504" s="99" t="s">
        <v>2814</v>
      </c>
      <c r="Y1504" s="78" t="s">
        <v>3536</v>
      </c>
      <c r="Z1504" s="78" t="s">
        <v>530</v>
      </c>
      <c r="AA1504" s="99" t="s">
        <v>2814</v>
      </c>
      <c r="AB1504" s="134"/>
      <c r="AC1504" s="134"/>
      <c r="AD1504" s="134"/>
    </row>
    <row r="1505" spans="1:30" ht="17.2" customHeight="1">
      <c r="A1505" s="141" t="str">
        <f>IF(priority(Main[[#This Row],[Comments]])&lt;&gt;0, priority(Main[[#This Row],[Comments]]),"")</f>
        <v/>
      </c>
      <c r="B1505" s="142" t="s">
        <v>3571</v>
      </c>
      <c r="C1505" s="143" t="s">
        <v>2348</v>
      </c>
      <c r="D1505" s="144" t="s">
        <v>3572</v>
      </c>
      <c r="E1505" s="145">
        <v>40976.463379629633</v>
      </c>
      <c r="F1505" s="145">
        <v>41014</v>
      </c>
      <c r="G1505" s="141" t="str">
        <f>IF(stdProdLT(Main[[#This Row],[Comments]])=0.1,"N/A",IF(stdProdLT(Main[[#This Row],[Comments]])=0,"",TRIM(stdProdLT(Main[[#This Row],[Comments]]))))</f>
        <v>N/A</v>
      </c>
      <c r="H1505" s="146" t="str">
        <f>IF(OR(Main[[#This Row],[Std. Prod. Lead Time]]="N/A",Main[[#This Row],[Std. Prod. Lead Time]]=""), "",IF(AND(Main[[#This Row],[In Stock Date]]&lt;&gt;"",Main[[#This Row],[Revised Due Date]]&lt;&gt;"",Main[[#This Row],[In Stock Date]]&lt;&gt;""),Main[[#This Row],[In Stock Date]]-Main[[#This Row],[Revised Due Date]],""))</f>
        <v/>
      </c>
      <c r="I1505" s="147" t="s">
        <v>2038</v>
      </c>
      <c r="J1505" s="148" t="s">
        <v>28</v>
      </c>
      <c r="K1505" s="149" t="s">
        <v>1920</v>
      </c>
      <c r="L1505" s="145">
        <v>40976</v>
      </c>
      <c r="M1505" s="150">
        <f>IF(Main[[#This Row],[Tech Start Date]]&lt;1/1/1990,"",IF(Main[[#This Row],[Class]]="C",WORKDAY(Main[[#This Row],[Tech Start Date]],9),IF(Main[[#This Row],[Class]]="B", WORKDAY(Main[[#This Row],[Tech Start Date]],6),IF(Main[[#This Row],[Class]]="A",WORKDAY(Main[[#This Row],[Tech Start Date]],2),""))))</f>
        <v>40980</v>
      </c>
      <c r="N1505" s="150">
        <f>IF(Main[[#This Row],[Tech Start Date]]&lt;1/1/1990,"",IF(Main[[#This Row],[Class]]="C",WORKDAY(Main[[#This Row],[Tech Start Date]],19),IF(Main[[#This Row],[Class]]="B", WORKDAY(Main[[#This Row],[Tech Start Date]],12),IF(Main[[#This Row],[Class]]="A",WORKDAY(Main[[#This Row],[Tech Start Date]],4),""))))</f>
        <v>40982</v>
      </c>
      <c r="O1505" s="150">
        <f>IF(Main[[#This Row],[Tech Start Date]]&lt;1/1/1990,"",IF(Main[[#This Row],[Class]]="C",WORKDAY(Main[[#This Row],[Tech Start Date]],23),IF(Main[[#This Row],[Class]]="B", WORKDAY(Main[[#This Row],[Tech Start Date]],15),IF(Main[[#This Row],[Class]]="A",WORKDAY(Main[[#This Row],[Tech Start Date]],5),""))))</f>
        <v>40983</v>
      </c>
      <c r="P1505" s="150">
        <f>IF(Main[[#This Row],[Tech Start Date]]&lt;1/1/1990,"",IF(Main[[#This Row],[Class]]="C",WORKDAY(Main[[#This Row],[Tech Start Date]],28),IF(Main[[#This Row],[Class]]="B", WORKDAY(Main[[#This Row],[Tech Start Date]],19),IF(Main[[#This Row],[Class]]="A",WORKDAY(Main[[#This Row],[Tech Start Date]],9),""))))</f>
        <v>40989</v>
      </c>
      <c r="Q1505" s="145">
        <v>40916</v>
      </c>
      <c r="R1505" s="151">
        <v>40983</v>
      </c>
      <c r="S1505" s="148" t="s">
        <v>11</v>
      </c>
      <c r="T1505" s="152" t="s">
        <v>3201</v>
      </c>
      <c r="U1505" s="148" t="s">
        <v>29</v>
      </c>
      <c r="V1505" s="148" t="s">
        <v>1921</v>
      </c>
      <c r="W1505" s="148" t="s">
        <v>1919</v>
      </c>
      <c r="X1505" s="148" t="s">
        <v>2823</v>
      </c>
      <c r="Y1505" s="143" t="s">
        <v>4</v>
      </c>
      <c r="Z1505" s="143" t="s">
        <v>530</v>
      </c>
      <c r="AA1505" s="148" t="s">
        <v>2823</v>
      </c>
      <c r="AB1505" s="153"/>
      <c r="AC1505" s="153"/>
      <c r="AD1505" s="153"/>
    </row>
    <row r="1506" spans="1:30" ht="17.2" customHeight="1">
      <c r="A1506" s="141" t="str">
        <f>IF(priority(Main[[#This Row],[Comments]])&lt;&gt;0, priority(Main[[#This Row],[Comments]]),"")</f>
        <v/>
      </c>
      <c r="B1506" s="154" t="s">
        <v>3797</v>
      </c>
      <c r="C1506" s="143" t="s">
        <v>3798</v>
      </c>
      <c r="D1506" s="144" t="s">
        <v>4086</v>
      </c>
      <c r="E1506" s="145">
        <v>40968.612673611111</v>
      </c>
      <c r="F1506" s="145">
        <v>40970</v>
      </c>
      <c r="G1506" s="141" t="str">
        <f>IF(stdProdLT(Main[[#This Row],[Comments]])=0.1,"N/A",IF(stdProdLT(Main[[#This Row],[Comments]])=0,"",TRIM(stdProdLT(Main[[#This Row],[Comments]]))))</f>
        <v>N/A</v>
      </c>
      <c r="H1506" s="146" t="str">
        <f>IF(OR(Main[[#This Row],[Std. Prod. Lead Time]]="N/A",Main[[#This Row],[Std. Prod. Lead Time]]=""), "",IF(AND(Main[[#This Row],[In Stock Date]]&lt;&gt;"",Main[[#This Row],[Revised Due Date]]&lt;&gt;"",Main[[#This Row],[In Stock Date]]&lt;&gt;""),Main[[#This Row],[In Stock Date]]-Main[[#This Row],[Revised Due Date]],""))</f>
        <v/>
      </c>
      <c r="I1506" s="147" t="s">
        <v>399</v>
      </c>
      <c r="J1506" s="148" t="s">
        <v>75</v>
      </c>
      <c r="K1506" s="149" t="s">
        <v>1920</v>
      </c>
      <c r="L1506" s="145">
        <v>40976</v>
      </c>
      <c r="M1506" s="150">
        <f>IF(Main[[#This Row],[Tech Start Date]]&lt;1/1/1990,"",IF(Main[[#This Row],[Class]]="C",WORKDAY(Main[[#This Row],[Tech Start Date]],9),IF(Main[[#This Row],[Class]]="B", WORKDAY(Main[[#This Row],[Tech Start Date]],6),IF(Main[[#This Row],[Class]]="A",WORKDAY(Main[[#This Row],[Tech Start Date]],2),""))))</f>
        <v>40980</v>
      </c>
      <c r="N1506" s="150">
        <f>IF(Main[[#This Row],[Tech Start Date]]&lt;1/1/1990,"",IF(Main[[#This Row],[Class]]="C",WORKDAY(Main[[#This Row],[Tech Start Date]],19),IF(Main[[#This Row],[Class]]="B", WORKDAY(Main[[#This Row],[Tech Start Date]],12),IF(Main[[#This Row],[Class]]="A",WORKDAY(Main[[#This Row],[Tech Start Date]],4),""))))</f>
        <v>40982</v>
      </c>
      <c r="O1506" s="150">
        <f>IF(Main[[#This Row],[Tech Start Date]]&lt;1/1/1990,"",IF(Main[[#This Row],[Class]]="C",WORKDAY(Main[[#This Row],[Tech Start Date]],23),IF(Main[[#This Row],[Class]]="B", WORKDAY(Main[[#This Row],[Tech Start Date]],15),IF(Main[[#This Row],[Class]]="A",WORKDAY(Main[[#This Row],[Tech Start Date]],5),""))))</f>
        <v>40983</v>
      </c>
      <c r="P1506" s="150">
        <f>IF(Main[[#This Row],[Tech Start Date]]&lt;1/1/1990,"",IF(Main[[#This Row],[Class]]="C",WORKDAY(Main[[#This Row],[Tech Start Date]],28),IF(Main[[#This Row],[Class]]="B", WORKDAY(Main[[#This Row],[Tech Start Date]],19),IF(Main[[#This Row],[Class]]="A",WORKDAY(Main[[#This Row],[Tech Start Date]],9),""))))</f>
        <v>40989</v>
      </c>
      <c r="Q1506" s="145">
        <v>40969</v>
      </c>
      <c r="R1506" s="151">
        <v>40981</v>
      </c>
      <c r="S1506" s="148" t="s">
        <v>6</v>
      </c>
      <c r="T1506" s="152" t="s">
        <v>3201</v>
      </c>
      <c r="U1506" s="148" t="s">
        <v>29</v>
      </c>
      <c r="V1506" s="148" t="s">
        <v>1911</v>
      </c>
      <c r="W1506" s="148" t="s">
        <v>1913</v>
      </c>
      <c r="X1506" s="148" t="s">
        <v>2804</v>
      </c>
      <c r="Y1506" s="143" t="s">
        <v>2921</v>
      </c>
      <c r="Z1506" s="143" t="s">
        <v>129</v>
      </c>
      <c r="AA1506" s="148" t="s">
        <v>2804</v>
      </c>
      <c r="AB1506" s="153">
        <v>40976</v>
      </c>
      <c r="AC1506" s="153">
        <v>40980</v>
      </c>
      <c r="AD1506" s="153"/>
    </row>
  </sheetData>
  <sheetProtection formatCells="0" formatColumns="0" formatRows="0" insertColumns="0" insertRows="0" insertHyperlinks="0" deleteColumns="0" deleteRows="0" selectLockedCells="1" sort="0" autoFilter="0" pivotTables="0"/>
  <dataConsolidate/>
  <mergeCells count="3">
    <mergeCell ref="A1:B1"/>
    <mergeCell ref="A2:B4"/>
    <mergeCell ref="C1:C4"/>
  </mergeCells>
  <conditionalFormatting sqref="B6:B1506">
    <cfRule type="expression" dxfId="5" priority="1457">
      <formula>atat($T6)=1</formula>
    </cfRule>
  </conditionalFormatting>
  <conditionalFormatting sqref="M6:P1506">
    <cfRule type="colorScale" priority="25">
      <colorScale>
        <cfvo type="num" val="TODAY()"/>
        <cfvo type="num" val="TODAY()+2"/>
        <cfvo type="num" val="TODAY()+4"/>
        <color rgb="FFD36767"/>
        <color rgb="FFFFFFD1"/>
        <color rgb="FFC0E391"/>
      </colorScale>
    </cfRule>
  </conditionalFormatting>
  <conditionalFormatting sqref="C6:R1048576">
    <cfRule type="expression" dxfId="4" priority="1642">
      <formula>OR($J6="Document Control", $J6="Quality")</formula>
    </cfRule>
  </conditionalFormatting>
  <conditionalFormatting sqref="C6:U1048576">
    <cfRule type="expression" dxfId="3" priority="1980">
      <formula>OR($U6="Design Hold", $U6="Define Requirements")</formula>
    </cfRule>
  </conditionalFormatting>
  <conditionalFormatting sqref="H5:H1506">
    <cfRule type="containsBlanks" priority="2" stopIfTrue="1">
      <formula>LEN(TRIM(H5))=0</formula>
    </cfRule>
  </conditionalFormatting>
  <conditionalFormatting sqref="H6:H1506">
    <cfRule type="cellIs" dxfId="2" priority="4" operator="between">
      <formula>$G6-7</formula>
      <formula>$G6</formula>
    </cfRule>
    <cfRule type="cellIs" dxfId="1" priority="19" operator="lessThan">
      <formula>$G6</formula>
    </cfRule>
    <cfRule type="cellIs" dxfId="0" priority="3" operator="greaterThan">
      <formula>$G6</formula>
    </cfRule>
  </conditionalFormatting>
  <printOptions horizontalCentered="1"/>
  <pageMargins left="0.25" right="0.05" top="0.82" bottom="0.3" header="0.12" footer="0.1"/>
  <pageSetup scale="87" fitToHeight="0" orientation="landscape" r:id="rId1"/>
  <headerFooter alignWithMargins="0">
    <oddHeader>&amp;L&amp;G&amp;R&amp;D</oddHeader>
    <oddFooter>&amp;R&amp;P of &amp;N</oddFooter>
  </headerFooter>
  <drawing r:id="rId2"/>
  <legacyDrawing r:id="rId3"/>
  <legacyDrawingHF r:id="rId4"/>
  <controls>
    <mc:AlternateContent xmlns:mc="http://schemas.openxmlformats.org/markup-compatibility/2006">
      <mc:Choice Requires="x14">
        <control shapeId="9980" r:id="rId5" name="softSht">
          <controlPr defaultSize="0" print="0" autoLine="0" r:id="rId6">
            <anchor moveWithCells="1">
              <from>
                <xdr:col>3</xdr:col>
                <xdr:colOff>2427316</xdr:colOff>
                <xdr:row>2</xdr:row>
                <xdr:rowOff>581891</xdr:rowOff>
              </from>
              <to>
                <xdr:col>3</xdr:col>
                <xdr:colOff>2743200</xdr:colOff>
                <xdr:row>3</xdr:row>
                <xdr:rowOff>24938</xdr:rowOff>
              </to>
            </anchor>
          </controlPr>
        </control>
      </mc:Choice>
      <mc:Fallback>
        <control shapeId="9980" r:id="rId5" name="softSht"/>
      </mc:Fallback>
    </mc:AlternateContent>
    <mc:AlternateContent xmlns:mc="http://schemas.openxmlformats.org/markup-compatibility/2006">
      <mc:Choice Requires="x14">
        <control shapeId="9979" r:id="rId7" name="diSht">
          <controlPr defaultSize="0" print="0" autoLine="0" r:id="rId8">
            <anchor moveWithCells="1">
              <from>
                <xdr:col>3</xdr:col>
                <xdr:colOff>2427316</xdr:colOff>
                <xdr:row>2</xdr:row>
                <xdr:rowOff>191193</xdr:rowOff>
              </from>
              <to>
                <xdr:col>3</xdr:col>
                <xdr:colOff>2743200</xdr:colOff>
                <xdr:row>2</xdr:row>
                <xdr:rowOff>515389</xdr:rowOff>
              </to>
            </anchor>
          </controlPr>
        </control>
      </mc:Choice>
      <mc:Fallback>
        <control shapeId="9979" r:id="rId7" name="diSht"/>
      </mc:Fallback>
    </mc:AlternateContent>
    <mc:AlternateContent xmlns:mc="http://schemas.openxmlformats.org/markup-compatibility/2006">
      <mc:Choice Requires="x14">
        <control shapeId="9978" r:id="rId9" name="fcSht">
          <controlPr defaultSize="0" print="0" autoLine="0" r:id="rId6">
            <anchor moveWithCells="1">
              <from>
                <xdr:col>3</xdr:col>
                <xdr:colOff>2427316</xdr:colOff>
                <xdr:row>1</xdr:row>
                <xdr:rowOff>631767</xdr:rowOff>
              </from>
              <to>
                <xdr:col>3</xdr:col>
                <xdr:colOff>2743200</xdr:colOff>
                <xdr:row>2</xdr:row>
                <xdr:rowOff>133004</xdr:rowOff>
              </to>
            </anchor>
          </controlPr>
        </control>
      </mc:Choice>
      <mc:Fallback>
        <control shapeId="9978" r:id="rId9" name="fcSht"/>
      </mc:Fallback>
    </mc:AlternateContent>
    <mc:AlternateContent xmlns:mc="http://schemas.openxmlformats.org/markup-compatibility/2006">
      <mc:Choice Requires="x14">
        <control shapeId="9976" r:id="rId10" name="pmSht">
          <controlPr defaultSize="0" print="0" autoLine="0" r:id="rId8">
            <anchor moveWithCells="1">
              <from>
                <xdr:col>3</xdr:col>
                <xdr:colOff>2427316</xdr:colOff>
                <xdr:row>1</xdr:row>
                <xdr:rowOff>249382</xdr:rowOff>
              </from>
              <to>
                <xdr:col>3</xdr:col>
                <xdr:colOff>2743200</xdr:colOff>
                <xdr:row>1</xdr:row>
                <xdr:rowOff>573578</xdr:rowOff>
              </to>
            </anchor>
          </controlPr>
        </control>
      </mc:Choice>
      <mc:Fallback>
        <control shapeId="9976" r:id="rId10" name="pmSht"/>
      </mc:Fallback>
    </mc:AlternateContent>
    <mc:AlternateContent xmlns:mc="http://schemas.openxmlformats.org/markup-compatibility/2006">
      <mc:Choice Requires="x14">
        <control shapeId="9975" r:id="rId11" name="fullScreenMode">
          <controlPr defaultSize="0" print="0" autoLine="0" r:id="rId12">
            <anchor moveWithCells="1">
              <from>
                <xdr:col>2</xdr:col>
                <xdr:colOff>365760</xdr:colOff>
                <xdr:row>0</xdr:row>
                <xdr:rowOff>41564</xdr:rowOff>
              </from>
              <to>
                <xdr:col>2</xdr:col>
                <xdr:colOff>1546167</xdr:colOff>
                <xdr:row>1</xdr:row>
                <xdr:rowOff>108065</xdr:rowOff>
              </to>
            </anchor>
          </controlPr>
        </control>
      </mc:Choice>
      <mc:Fallback>
        <control shapeId="9975" r:id="rId11" name="fullScreenMode"/>
      </mc:Fallback>
    </mc:AlternateContent>
    <mc:AlternateContent xmlns:mc="http://schemas.openxmlformats.org/markup-compatibility/2006">
      <mc:Choice Requires="x14">
        <control shapeId="9974" r:id="rId13" name="posReturn">
          <controlPr defaultSize="0" print="0" autoLine="0" r:id="rId14">
            <anchor>
              <from>
                <xdr:col>0</xdr:col>
                <xdr:colOff>66502</xdr:colOff>
                <xdr:row>2</xdr:row>
                <xdr:rowOff>631767</xdr:rowOff>
              </from>
              <to>
                <xdr:col>1</xdr:col>
                <xdr:colOff>706582</xdr:colOff>
                <xdr:row>3</xdr:row>
                <xdr:rowOff>124691</xdr:rowOff>
              </to>
            </anchor>
          </controlPr>
        </control>
      </mc:Choice>
      <mc:Fallback>
        <control shapeId="9974" r:id="rId13" name="posReturn"/>
      </mc:Fallback>
    </mc:AlternateContent>
    <mc:AlternateContent xmlns:mc="http://schemas.openxmlformats.org/markup-compatibility/2006">
      <mc:Choice Requires="x14">
        <control shapeId="9973" r:id="rId15" name="refreshMain">
          <controlPr defaultSize="0" print="0" autoLine="0" r:id="rId16">
            <anchor>
              <from>
                <xdr:col>0</xdr:col>
                <xdr:colOff>66502</xdr:colOff>
                <xdr:row>2</xdr:row>
                <xdr:rowOff>207818</xdr:rowOff>
              </from>
              <to>
                <xdr:col>1</xdr:col>
                <xdr:colOff>706582</xdr:colOff>
                <xdr:row>2</xdr:row>
                <xdr:rowOff>573578</xdr:rowOff>
              </to>
            </anchor>
          </controlPr>
        </control>
      </mc:Choice>
      <mc:Fallback>
        <control shapeId="9973" r:id="rId15" name="refreshMain"/>
      </mc:Fallback>
    </mc:AlternateContent>
    <mc:AlternateContent xmlns:mc="http://schemas.openxmlformats.org/markup-compatibility/2006">
      <mc:Choice Requires="x14">
        <control shapeId="9972" r:id="rId17" name="ClearSort">
          <controlPr defaultSize="0" print="0" autoLine="0" r:id="rId18">
            <anchor moveWithCells="1">
              <from>
                <xdr:col>0</xdr:col>
                <xdr:colOff>133004</xdr:colOff>
                <xdr:row>1</xdr:row>
                <xdr:rowOff>91440</xdr:rowOff>
              </from>
              <to>
                <xdr:col>1</xdr:col>
                <xdr:colOff>573578</xdr:colOff>
                <xdr:row>1</xdr:row>
                <xdr:rowOff>432262</xdr:rowOff>
              </to>
            </anchor>
          </controlPr>
        </control>
      </mc:Choice>
      <mc:Fallback>
        <control shapeId="9972" r:id="rId17" name="ClearSort"/>
      </mc:Fallback>
    </mc:AlternateContent>
    <mc:AlternateContent xmlns:mc="http://schemas.openxmlformats.org/markup-compatibility/2006">
      <mc:Choice Requires="x14">
        <control shapeId="9971" r:id="rId19" name="gotoDept">
          <controlPr defaultSize="0" print="0" autoLine="0" r:id="rId20">
            <anchor moveWithCells="1">
              <from>
                <xdr:col>0</xdr:col>
                <xdr:colOff>133004</xdr:colOff>
                <xdr:row>1</xdr:row>
                <xdr:rowOff>498764</xdr:rowOff>
              </from>
              <to>
                <xdr:col>1</xdr:col>
                <xdr:colOff>573578</xdr:colOff>
                <xdr:row>2</xdr:row>
                <xdr:rowOff>141316</xdr:rowOff>
              </to>
            </anchor>
          </controlPr>
        </control>
      </mc:Choice>
      <mc:Fallback>
        <control shapeId="9971" r:id="rId19" name="gotoDept"/>
      </mc:Fallback>
    </mc:AlternateContent>
    <mc:AlternateContent xmlns:mc="http://schemas.openxmlformats.org/markup-compatibility/2006">
      <mc:Choice Requires="x14">
        <control shapeId="9970" r:id="rId21" name="prioritizer">
          <controlPr defaultSize="0" print="0" autoFill="0" autoLine="0" r:id="rId22">
            <anchor moveWithCells="1">
              <from>
                <xdr:col>2</xdr:col>
                <xdr:colOff>133004</xdr:colOff>
                <xdr:row>2</xdr:row>
                <xdr:rowOff>207818</xdr:rowOff>
              </from>
              <to>
                <xdr:col>2</xdr:col>
                <xdr:colOff>1778924</xdr:colOff>
                <xdr:row>2</xdr:row>
                <xdr:rowOff>598516</xdr:rowOff>
              </to>
            </anchor>
          </controlPr>
        </control>
      </mc:Choice>
      <mc:Fallback>
        <control shapeId="9970" r:id="rId21" name="prioritizer"/>
      </mc:Fallback>
    </mc:AlternateContent>
    <mc:AlternateContent xmlns:mc="http://schemas.openxmlformats.org/markup-compatibility/2006">
      <mc:Choice Requires="x14">
        <control shapeId="9969" r:id="rId23" name="printReport">
          <controlPr defaultSize="0" print="0" autoFill="0" autoLine="0" r:id="rId24">
            <anchor moveWithCells="1">
              <from>
                <xdr:col>2</xdr:col>
                <xdr:colOff>133004</xdr:colOff>
                <xdr:row>1</xdr:row>
                <xdr:rowOff>590204</xdr:rowOff>
              </from>
              <to>
                <xdr:col>2</xdr:col>
                <xdr:colOff>1778924</xdr:colOff>
                <xdr:row>2</xdr:row>
                <xdr:rowOff>157942</xdr:rowOff>
              </to>
            </anchor>
          </controlPr>
        </control>
      </mc:Choice>
      <mc:Fallback>
        <control shapeId="9969" r:id="rId23" name="printReport"/>
      </mc:Fallback>
    </mc:AlternateContent>
    <mc:AlternateContent xmlns:mc="http://schemas.openxmlformats.org/markup-compatibility/2006">
      <mc:Choice Requires="x14">
        <control shapeId="9968" r:id="rId25" name="tools">
          <controlPr defaultSize="0" print="0" autoFill="0" autoLine="0" r:id="rId26">
            <anchor moveWithCells="1">
              <from>
                <xdr:col>2</xdr:col>
                <xdr:colOff>133004</xdr:colOff>
                <xdr:row>1</xdr:row>
                <xdr:rowOff>149629</xdr:rowOff>
              </from>
              <to>
                <xdr:col>2</xdr:col>
                <xdr:colOff>1778924</xdr:colOff>
                <xdr:row>1</xdr:row>
                <xdr:rowOff>540327</xdr:rowOff>
              </to>
            </anchor>
          </controlPr>
        </control>
      </mc:Choice>
      <mc:Fallback>
        <control shapeId="9968" r:id="rId25" name="tools"/>
      </mc:Fallback>
    </mc:AlternateContent>
    <mc:AlternateContent xmlns:mc="http://schemas.openxmlformats.org/markup-compatibility/2006">
      <mc:Choice Requires="x14">
        <control shapeId="9967" r:id="rId27" name="searchButton">
          <controlPr defaultSize="0" print="0" autoLine="0" r:id="rId28">
            <anchor moveWithCells="1">
              <from>
                <xdr:col>2</xdr:col>
                <xdr:colOff>1163782</xdr:colOff>
                <xdr:row>2</xdr:row>
                <xdr:rowOff>731520</xdr:rowOff>
              </from>
              <to>
                <xdr:col>2</xdr:col>
                <xdr:colOff>1546167</xdr:colOff>
                <xdr:row>3</xdr:row>
                <xdr:rowOff>174567</xdr:rowOff>
              </to>
            </anchor>
          </controlPr>
        </control>
      </mc:Choice>
      <mc:Fallback>
        <control shapeId="9967" r:id="rId27" name="searchButton"/>
      </mc:Fallback>
    </mc:AlternateContent>
    <mc:AlternateContent xmlns:mc="http://schemas.openxmlformats.org/markup-compatibility/2006">
      <mc:Choice Requires="x14">
        <control shapeId="9961" r:id="rId29" name="rtasearch">
          <controlPr defaultSize="0" print="0" autoLine="0" listFillRange="B6:B2317" r:id="rId30">
            <anchor moveWithCells="1">
              <from>
                <xdr:col>2</xdr:col>
                <xdr:colOff>282633</xdr:colOff>
                <xdr:row>2</xdr:row>
                <xdr:rowOff>764771</xdr:rowOff>
              </from>
              <to>
                <xdr:col>2</xdr:col>
                <xdr:colOff>1122218</xdr:colOff>
                <xdr:row>3</xdr:row>
                <xdr:rowOff>157942</xdr:rowOff>
              </to>
            </anchor>
          </controlPr>
        </control>
      </mc:Choice>
      <mc:Fallback>
        <control shapeId="9961" r:id="rId29" name="rtasearch"/>
      </mc:Fallback>
    </mc:AlternateContent>
    <mc:AlternateContent xmlns:mc="http://schemas.openxmlformats.org/markup-compatibility/2006">
      <mc:Choice Requires="x14">
        <control shapeId="1045" r:id="rId31" name="PM">
          <controlPr defaultSize="0" print="0" autoFill="0" autoLine="0" r:id="rId32">
            <anchor moveWithCells="1">
              <from>
                <xdr:col>3</xdr:col>
                <xdr:colOff>191193</xdr:colOff>
                <xdr:row>1</xdr:row>
                <xdr:rowOff>241069</xdr:rowOff>
              </from>
              <to>
                <xdr:col>3</xdr:col>
                <xdr:colOff>2377440</xdr:colOff>
                <xdr:row>1</xdr:row>
                <xdr:rowOff>581891</xdr:rowOff>
              </to>
            </anchor>
          </controlPr>
        </control>
      </mc:Choice>
      <mc:Fallback>
        <control shapeId="1045" r:id="rId31" name="PM"/>
      </mc:Fallback>
    </mc:AlternateContent>
    <mc:AlternateContent xmlns:mc="http://schemas.openxmlformats.org/markup-compatibility/2006">
      <mc:Choice Requires="x14">
        <control shapeId="1046" r:id="rId33" name="fc">
          <controlPr defaultSize="0" print="0" autoFill="0" autoLine="0" r:id="rId34">
            <anchor moveWithCells="1">
              <from>
                <xdr:col>3</xdr:col>
                <xdr:colOff>191193</xdr:colOff>
                <xdr:row>1</xdr:row>
                <xdr:rowOff>615142</xdr:rowOff>
              </from>
              <to>
                <xdr:col>3</xdr:col>
                <xdr:colOff>2377440</xdr:colOff>
                <xdr:row>2</xdr:row>
                <xdr:rowOff>141316</xdr:rowOff>
              </to>
            </anchor>
          </controlPr>
        </control>
      </mc:Choice>
      <mc:Fallback>
        <control shapeId="1046" r:id="rId33" name="fc"/>
      </mc:Fallback>
    </mc:AlternateContent>
    <mc:AlternateContent xmlns:mc="http://schemas.openxmlformats.org/markup-compatibility/2006">
      <mc:Choice Requires="x14">
        <control shapeId="1047" r:id="rId35" name="di">
          <controlPr defaultSize="0" print="0" autoFill="0" autoLine="0" r:id="rId36">
            <anchor moveWithCells="1">
              <from>
                <xdr:col>3</xdr:col>
                <xdr:colOff>191193</xdr:colOff>
                <xdr:row>2</xdr:row>
                <xdr:rowOff>182880</xdr:rowOff>
              </from>
              <to>
                <xdr:col>3</xdr:col>
                <xdr:colOff>2377440</xdr:colOff>
                <xdr:row>2</xdr:row>
                <xdr:rowOff>523702</xdr:rowOff>
              </to>
            </anchor>
          </controlPr>
        </control>
      </mc:Choice>
      <mc:Fallback>
        <control shapeId="1047" r:id="rId35" name="di"/>
      </mc:Fallback>
    </mc:AlternateContent>
    <mc:AlternateContent xmlns:mc="http://schemas.openxmlformats.org/markup-compatibility/2006">
      <mc:Choice Requires="x14">
        <control shapeId="1048" r:id="rId37" name="soft">
          <controlPr defaultSize="0" print="0" autoFill="0" autoLine="0" r:id="rId38">
            <anchor moveWithCells="1">
              <from>
                <xdr:col>3</xdr:col>
                <xdr:colOff>191193</xdr:colOff>
                <xdr:row>2</xdr:row>
                <xdr:rowOff>573578</xdr:rowOff>
              </from>
              <to>
                <xdr:col>3</xdr:col>
                <xdr:colOff>2377440</xdr:colOff>
                <xdr:row>3</xdr:row>
                <xdr:rowOff>41564</xdr:rowOff>
              </to>
            </anchor>
          </controlPr>
        </control>
      </mc:Choice>
      <mc:Fallback>
        <control shapeId="1048" r:id="rId37" name="soft"/>
      </mc:Fallback>
    </mc:AlternateContent>
    <mc:AlternateContent xmlns:mc="http://schemas.openxmlformats.org/markup-compatibility/2006">
      <mc:Choice Requires="x14">
        <control shapeId="1055" r:id="rId39" name="sheetView">
          <controlPr defaultSize="0" print="0" autoLine="0" r:id="rId40">
            <anchor moveWithCells="1">
              <from>
                <xdr:col>3</xdr:col>
                <xdr:colOff>133004</xdr:colOff>
                <xdr:row>0</xdr:row>
                <xdr:rowOff>66502</xdr:rowOff>
              </from>
              <to>
                <xdr:col>3</xdr:col>
                <xdr:colOff>2818015</xdr:colOff>
                <xdr:row>1</xdr:row>
                <xdr:rowOff>191193</xdr:rowOff>
              </to>
            </anchor>
          </controlPr>
        </control>
      </mc:Choice>
      <mc:Fallback>
        <control shapeId="1055" r:id="rId39" name="sheetView"/>
      </mc:Fallback>
    </mc:AlternateContent>
  </controls>
  <tableParts count="1">
    <tablePart r:id="rId41"/>
  </tableParts>
  <extLst>
    <ext xmlns:x14="http://schemas.microsoft.com/office/spreadsheetml/2009/9/main" uri="{78C0D931-6437-407d-A8EE-F0AAD7539E65}">
      <x14:conditionalFormattings>
        <x14:conditionalFormatting xmlns:xm="http://schemas.microsoft.com/office/excel/2006/main">
          <x14:cfRule type="iconSet" priority="2127" id="{A1FC3F13-76EB-4633-85C9-6092B91F0CE3}">
            <x14:iconSet iconSet="3Symbols2" custom="1">
              <x14:cfvo type="percent">
                <xm:f>0</xm:f>
              </x14:cfvo>
              <x14:cfvo type="num">
                <xm:f>TODAY()</xm:f>
              </x14:cfvo>
              <x14:cfvo type="num">
                <xm:f>TODAY()+2</xm:f>
              </x14:cfvo>
              <x14:cfIcon iconSet="3Signs" iconId="0"/>
              <x14:cfIcon iconSet="3Symbols" iconId="1"/>
              <x14:cfIcon iconSet="NoIcons" iconId="0"/>
            </x14:iconSet>
          </x14:cfRule>
          <xm:sqref>R6:R1506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Y93"/>
  <sheetViews>
    <sheetView showGridLines="0" showRowColHeaders="0" zoomScale="70" zoomScaleNormal="70" workbookViewId="0">
      <selection activeCell="O16" sqref="O16"/>
    </sheetView>
  </sheetViews>
  <sheetFormatPr defaultColWidth="15.44140625" defaultRowHeight="17.2" customHeight="1"/>
  <cols>
    <col min="1" max="1" width="3.44140625" style="6" customWidth="1"/>
    <col min="2" max="2" width="5.77734375" style="6" customWidth="1"/>
    <col min="3" max="3" width="13.44140625" style="6" customWidth="1"/>
    <col min="4" max="6" width="20.21875" style="6" customWidth="1"/>
    <col min="7" max="7" width="20.21875" style="9" customWidth="1"/>
    <col min="8" max="8" width="28.33203125" style="9" customWidth="1"/>
    <col min="9" max="10" width="20.21875" style="9" customWidth="1"/>
    <col min="11" max="13" width="20.21875" style="6" customWidth="1"/>
    <col min="14" max="14" width="19.77734375" style="9" customWidth="1"/>
    <col min="15" max="17" width="20.33203125" style="4" customWidth="1"/>
    <col min="18" max="18" width="27.77734375" style="4" customWidth="1"/>
    <col min="19" max="26" width="15.44140625" style="4" customWidth="1"/>
    <col min="27" max="16384" width="15.44140625" style="4"/>
  </cols>
  <sheetData>
    <row r="1" spans="2:18" ht="15.05" customHeight="1" thickBot="1"/>
    <row r="2" spans="2:18" ht="54" customHeight="1" thickTop="1" thickBot="1">
      <c r="B2" s="175" t="s">
        <v>998</v>
      </c>
      <c r="C2" s="176"/>
      <c r="D2" s="176"/>
      <c r="E2" s="176"/>
      <c r="F2" s="176"/>
      <c r="G2" s="176"/>
      <c r="H2" s="176"/>
      <c r="I2" s="176"/>
      <c r="J2" s="176"/>
      <c r="K2" s="176"/>
      <c r="L2" s="176"/>
      <c r="M2" s="177"/>
      <c r="O2" s="165" t="s">
        <v>3526</v>
      </c>
      <c r="P2" s="166"/>
      <c r="Q2" s="165" t="s">
        <v>1941</v>
      </c>
      <c r="R2" s="166"/>
    </row>
    <row r="3" spans="2:18" s="7" customFormat="1" ht="19.5" customHeight="1" thickTop="1">
      <c r="B3" s="178" t="s">
        <v>982</v>
      </c>
      <c r="C3" s="23" t="s">
        <v>986</v>
      </c>
      <c r="D3" s="17" t="s">
        <v>11</v>
      </c>
      <c r="E3" s="18"/>
      <c r="F3" s="18"/>
      <c r="G3" s="18"/>
      <c r="H3" s="18"/>
      <c r="I3" s="18"/>
      <c r="J3" s="18"/>
      <c r="K3" s="18"/>
      <c r="L3" s="18"/>
      <c r="M3" s="19"/>
      <c r="N3" s="9"/>
      <c r="O3" s="167" t="s">
        <v>3808</v>
      </c>
      <c r="P3" s="167"/>
      <c r="Q3" s="167" t="s">
        <v>2643</v>
      </c>
      <c r="R3" s="167"/>
    </row>
    <row r="4" spans="2:18" s="7" customFormat="1" ht="19.5" customHeight="1">
      <c r="B4" s="179"/>
      <c r="C4" s="24" t="s">
        <v>1933</v>
      </c>
      <c r="D4" s="29" t="s">
        <v>1911</v>
      </c>
      <c r="E4" s="30"/>
      <c r="F4" s="30"/>
      <c r="G4" s="30"/>
      <c r="H4" s="30"/>
      <c r="I4" s="30"/>
      <c r="J4" s="30"/>
      <c r="K4" s="30"/>
      <c r="L4" s="30"/>
      <c r="M4" s="31"/>
      <c r="N4" s="9"/>
      <c r="O4" s="168"/>
      <c r="P4" s="168"/>
      <c r="Q4" s="168"/>
      <c r="R4" s="168"/>
    </row>
    <row r="5" spans="2:18" s="8" customFormat="1" ht="19.5" customHeight="1">
      <c r="B5" s="179"/>
      <c r="C5" s="24" t="s">
        <v>987</v>
      </c>
      <c r="D5" s="20">
        <v>1</v>
      </c>
      <c r="E5" s="21">
        <v>2</v>
      </c>
      <c r="F5" s="21">
        <v>3</v>
      </c>
      <c r="G5" s="21">
        <v>4</v>
      </c>
      <c r="H5" s="21">
        <v>5</v>
      </c>
      <c r="I5" s="21">
        <v>6</v>
      </c>
      <c r="J5" s="21">
        <v>7</v>
      </c>
      <c r="K5" s="21">
        <v>0</v>
      </c>
      <c r="L5" s="21">
        <v>0</v>
      </c>
      <c r="M5" s="22">
        <v>0</v>
      </c>
      <c r="N5" s="9"/>
      <c r="O5" s="168"/>
      <c r="P5" s="168"/>
      <c r="Q5" s="168"/>
      <c r="R5" s="168"/>
    </row>
    <row r="6" spans="2:18" ht="19.5" customHeight="1">
      <c r="B6" s="179"/>
      <c r="C6" s="24" t="s">
        <v>988</v>
      </c>
      <c r="D6" s="20" t="s">
        <v>7</v>
      </c>
      <c r="E6" s="21" t="s">
        <v>29</v>
      </c>
      <c r="F6" s="21" t="s">
        <v>534</v>
      </c>
      <c r="G6" s="21" t="s">
        <v>694</v>
      </c>
      <c r="H6" s="21"/>
      <c r="I6" s="21"/>
      <c r="J6" s="21"/>
      <c r="K6" s="21"/>
      <c r="L6" s="21"/>
      <c r="M6" s="22"/>
      <c r="O6" s="168"/>
      <c r="P6" s="168"/>
      <c r="Q6" s="168"/>
      <c r="R6" s="168"/>
    </row>
    <row r="7" spans="2:18" ht="19.5" customHeight="1" thickBot="1">
      <c r="B7" s="179"/>
      <c r="C7" s="24" t="s">
        <v>3140</v>
      </c>
      <c r="D7" s="27" t="s">
        <v>7</v>
      </c>
      <c r="E7" s="27" t="s">
        <v>29</v>
      </c>
      <c r="F7" s="27" t="s">
        <v>534</v>
      </c>
      <c r="G7" s="27" t="s">
        <v>694</v>
      </c>
      <c r="H7" s="27"/>
      <c r="I7" s="27"/>
      <c r="J7" s="27"/>
      <c r="K7" s="27"/>
      <c r="L7" s="27"/>
      <c r="M7" s="27"/>
      <c r="O7" s="168"/>
      <c r="P7" s="168"/>
      <c r="Q7" s="168"/>
      <c r="R7" s="168"/>
    </row>
    <row r="8" spans="2:18" ht="19.5" customHeight="1" thickTop="1" thickBot="1">
      <c r="B8" s="180"/>
      <c r="C8" s="25" t="s">
        <v>3141</v>
      </c>
      <c r="D8" s="28" t="s">
        <v>3186</v>
      </c>
      <c r="E8" s="28"/>
      <c r="F8" s="28"/>
      <c r="G8" s="28"/>
      <c r="H8" s="28"/>
      <c r="I8" s="28"/>
      <c r="J8" s="28"/>
      <c r="K8" s="28"/>
      <c r="L8" s="28"/>
      <c r="M8" s="28"/>
      <c r="O8" s="163" t="s">
        <v>2149</v>
      </c>
      <c r="P8" s="163"/>
      <c r="Q8" s="163" t="s">
        <v>3155</v>
      </c>
      <c r="R8" s="163"/>
    </row>
    <row r="9" spans="2:18" ht="19.5" customHeight="1" thickTop="1" thickBot="1">
      <c r="B9" s="178" t="s">
        <v>983</v>
      </c>
      <c r="C9" s="23" t="s">
        <v>989</v>
      </c>
      <c r="D9" s="17" t="s">
        <v>11</v>
      </c>
      <c r="E9" s="18"/>
      <c r="F9" s="18"/>
      <c r="G9" s="18"/>
      <c r="H9" s="18"/>
      <c r="I9" s="18"/>
      <c r="J9" s="18"/>
      <c r="K9" s="18"/>
      <c r="L9" s="18"/>
      <c r="M9" s="19"/>
      <c r="O9" s="164">
        <v>0</v>
      </c>
      <c r="P9" s="164"/>
      <c r="Q9" s="164" t="b">
        <v>1</v>
      </c>
      <c r="R9" s="164"/>
    </row>
    <row r="10" spans="2:18" s="7" customFormat="1" ht="19.5" customHeight="1" thickTop="1" thickBot="1">
      <c r="B10" s="179"/>
      <c r="C10" s="24" t="s">
        <v>1936</v>
      </c>
      <c r="D10" s="29" t="s">
        <v>1914</v>
      </c>
      <c r="E10" s="30" t="s">
        <v>1921</v>
      </c>
      <c r="F10" s="30"/>
      <c r="G10" s="30"/>
      <c r="H10" s="30"/>
      <c r="I10" s="30"/>
      <c r="J10" s="30"/>
      <c r="K10" s="30"/>
      <c r="L10" s="30"/>
      <c r="M10" s="31"/>
      <c r="N10" s="9"/>
      <c r="O10" s="163" t="s">
        <v>2258</v>
      </c>
      <c r="P10" s="163"/>
      <c r="Q10" s="163" t="s">
        <v>2259</v>
      </c>
      <c r="R10" s="163"/>
    </row>
    <row r="11" spans="2:18" ht="19.5" customHeight="1" thickTop="1" thickBot="1">
      <c r="B11" s="179"/>
      <c r="C11" s="24" t="s">
        <v>990</v>
      </c>
      <c r="D11" s="20">
        <v>1</v>
      </c>
      <c r="E11" s="21">
        <v>2</v>
      </c>
      <c r="F11" s="21">
        <v>3</v>
      </c>
      <c r="G11" s="21">
        <v>4</v>
      </c>
      <c r="H11" s="21">
        <v>5</v>
      </c>
      <c r="I11" s="21">
        <v>6</v>
      </c>
      <c r="J11" s="21">
        <v>7</v>
      </c>
      <c r="K11" s="21">
        <v>0</v>
      </c>
      <c r="L11" s="21">
        <v>0</v>
      </c>
      <c r="M11" s="22">
        <v>0</v>
      </c>
      <c r="O11" s="164" t="s">
        <v>86</v>
      </c>
      <c r="P11" s="164"/>
      <c r="Q11" s="164" t="s">
        <v>1920</v>
      </c>
      <c r="R11" s="164"/>
    </row>
    <row r="12" spans="2:18" ht="19.5" customHeight="1" thickTop="1" thickBot="1">
      <c r="B12" s="179"/>
      <c r="C12" s="24" t="s">
        <v>991</v>
      </c>
      <c r="D12" s="20" t="s">
        <v>7</v>
      </c>
      <c r="E12" s="21" t="s">
        <v>29</v>
      </c>
      <c r="F12" s="21" t="s">
        <v>534</v>
      </c>
      <c r="G12" s="21" t="s">
        <v>694</v>
      </c>
      <c r="H12" s="21"/>
      <c r="I12" s="21"/>
      <c r="J12" s="21"/>
      <c r="K12" s="21"/>
      <c r="L12" s="21"/>
      <c r="M12" s="22"/>
      <c r="O12" s="163" t="s">
        <v>3139</v>
      </c>
      <c r="P12" s="163"/>
      <c r="Q12" s="163" t="s">
        <v>3527</v>
      </c>
      <c r="R12" s="163"/>
    </row>
    <row r="13" spans="2:18" ht="19.5" customHeight="1" thickTop="1" thickBot="1">
      <c r="B13" s="179"/>
      <c r="C13" s="24" t="s">
        <v>3142</v>
      </c>
      <c r="D13" s="27"/>
      <c r="E13" s="27"/>
      <c r="F13" s="27"/>
      <c r="G13" s="27"/>
      <c r="H13" s="27"/>
      <c r="I13" s="27"/>
      <c r="J13" s="27"/>
      <c r="K13" s="27"/>
      <c r="L13" s="27"/>
      <c r="M13" s="27"/>
      <c r="O13" s="164"/>
      <c r="P13" s="164"/>
      <c r="Q13" s="164" t="s">
        <v>3845</v>
      </c>
      <c r="R13" s="164"/>
    </row>
    <row r="14" spans="2:18" ht="19.5" customHeight="1" thickTop="1" thickBot="1">
      <c r="B14" s="180"/>
      <c r="C14" s="25" t="s">
        <v>3143</v>
      </c>
      <c r="D14" s="28"/>
      <c r="E14" s="28"/>
      <c r="F14" s="28"/>
      <c r="G14" s="28"/>
      <c r="H14" s="28"/>
      <c r="I14" s="28"/>
      <c r="J14" s="28"/>
      <c r="K14" s="28"/>
      <c r="L14" s="28"/>
      <c r="M14" s="28"/>
      <c r="O14" s="163" t="s">
        <v>3843</v>
      </c>
      <c r="P14" s="163"/>
      <c r="Q14" s="7"/>
      <c r="R14" s="7"/>
    </row>
    <row r="15" spans="2:18" ht="19.5" customHeight="1" thickTop="1" thickBot="1">
      <c r="B15" s="178" t="s">
        <v>984</v>
      </c>
      <c r="C15" s="23" t="s">
        <v>992</v>
      </c>
      <c r="D15" s="17" t="s">
        <v>11</v>
      </c>
      <c r="E15" s="18"/>
      <c r="F15" s="18"/>
      <c r="G15" s="18"/>
      <c r="H15" s="18"/>
      <c r="I15" s="18"/>
      <c r="J15" s="18"/>
      <c r="K15" s="18"/>
      <c r="L15" s="18"/>
      <c r="M15" s="19"/>
      <c r="O15" s="164" t="s">
        <v>4076</v>
      </c>
      <c r="P15" s="164"/>
      <c r="Q15" s="7"/>
      <c r="R15" s="7"/>
    </row>
    <row r="16" spans="2:18" ht="19.5" customHeight="1" thickTop="1">
      <c r="B16" s="179"/>
      <c r="C16" s="24" t="s">
        <v>1935</v>
      </c>
      <c r="D16" s="29" t="s">
        <v>1912</v>
      </c>
      <c r="E16" s="30"/>
      <c r="F16" s="30"/>
      <c r="G16" s="30"/>
      <c r="H16" s="30"/>
      <c r="I16" s="30"/>
      <c r="J16" s="30"/>
      <c r="K16" s="30"/>
      <c r="L16" s="30"/>
      <c r="M16" s="31"/>
      <c r="O16" s="7"/>
      <c r="P16" s="7"/>
      <c r="Q16" s="7"/>
      <c r="R16" s="7"/>
    </row>
    <row r="17" spans="1:24" ht="19.5" customHeight="1">
      <c r="B17" s="179"/>
      <c r="C17" s="24" t="s">
        <v>993</v>
      </c>
      <c r="D17" s="20">
        <v>1</v>
      </c>
      <c r="E17" s="21">
        <v>2</v>
      </c>
      <c r="F17" s="21">
        <v>3</v>
      </c>
      <c r="G17" s="21">
        <v>4</v>
      </c>
      <c r="H17" s="21">
        <v>5</v>
      </c>
      <c r="I17" s="21">
        <v>6</v>
      </c>
      <c r="J17" s="21">
        <v>7</v>
      </c>
      <c r="K17" s="21">
        <v>0</v>
      </c>
      <c r="L17" s="21">
        <v>0</v>
      </c>
      <c r="M17" s="22">
        <v>0</v>
      </c>
      <c r="O17" s="7"/>
      <c r="P17" s="7"/>
      <c r="Q17" s="7"/>
      <c r="R17" s="7"/>
    </row>
    <row r="18" spans="1:24" ht="19.5" customHeight="1">
      <c r="B18" s="179"/>
      <c r="C18" s="24" t="s">
        <v>994</v>
      </c>
      <c r="D18" s="20" t="s">
        <v>7</v>
      </c>
      <c r="E18" s="21" t="s">
        <v>29</v>
      </c>
      <c r="F18" s="21" t="s">
        <v>534</v>
      </c>
      <c r="G18" s="21" t="s">
        <v>694</v>
      </c>
      <c r="H18" s="21"/>
      <c r="I18" s="21"/>
      <c r="J18" s="21"/>
      <c r="K18" s="21"/>
      <c r="L18" s="21"/>
      <c r="M18" s="22"/>
    </row>
    <row r="19" spans="1:24" ht="19.5" customHeight="1">
      <c r="B19" s="179"/>
      <c r="C19" s="24" t="s">
        <v>3144</v>
      </c>
      <c r="D19" s="27" t="s">
        <v>7</v>
      </c>
      <c r="E19" s="27" t="s">
        <v>29</v>
      </c>
      <c r="F19" s="27" t="s">
        <v>534</v>
      </c>
      <c r="G19" s="27" t="s">
        <v>694</v>
      </c>
      <c r="H19" s="27"/>
      <c r="I19" s="27"/>
      <c r="J19" s="27"/>
      <c r="K19" s="27"/>
      <c r="L19" s="27"/>
      <c r="M19" s="27"/>
    </row>
    <row r="20" spans="1:24" ht="19.5" customHeight="1" thickBot="1">
      <c r="B20" s="180"/>
      <c r="C20" s="25" t="s">
        <v>3145</v>
      </c>
      <c r="D20" s="28"/>
      <c r="E20" s="28"/>
      <c r="F20" s="28"/>
      <c r="G20" s="28"/>
      <c r="H20" s="28"/>
      <c r="I20" s="28"/>
      <c r="J20" s="28"/>
      <c r="K20" s="28"/>
      <c r="L20" s="28"/>
      <c r="M20" s="28"/>
    </row>
    <row r="21" spans="1:24" ht="19.5" customHeight="1" thickTop="1">
      <c r="B21" s="178" t="s">
        <v>985</v>
      </c>
      <c r="C21" s="23" t="s">
        <v>995</v>
      </c>
      <c r="D21" s="17" t="s">
        <v>11</v>
      </c>
      <c r="E21" s="18"/>
      <c r="F21" s="18"/>
      <c r="G21" s="18"/>
      <c r="H21" s="18"/>
      <c r="I21" s="18"/>
      <c r="J21" s="18"/>
      <c r="K21" s="18"/>
      <c r="L21" s="18"/>
      <c r="M21" s="19"/>
    </row>
    <row r="22" spans="1:24" ht="19.5" customHeight="1">
      <c r="B22" s="179"/>
      <c r="C22" s="24" t="s">
        <v>1934</v>
      </c>
      <c r="D22" s="29" t="s">
        <v>1926</v>
      </c>
      <c r="E22" s="30"/>
      <c r="F22" s="30"/>
      <c r="G22" s="30"/>
      <c r="H22" s="30"/>
      <c r="I22" s="30"/>
      <c r="J22" s="30"/>
      <c r="K22" s="30"/>
      <c r="L22" s="30"/>
      <c r="M22" s="31"/>
    </row>
    <row r="23" spans="1:24" ht="19.5" customHeight="1">
      <c r="B23" s="179"/>
      <c r="C23" s="24" t="s">
        <v>996</v>
      </c>
      <c r="D23" s="20">
        <v>1</v>
      </c>
      <c r="E23" s="21">
        <v>2</v>
      </c>
      <c r="F23" s="21">
        <v>3</v>
      </c>
      <c r="G23" s="21">
        <v>4</v>
      </c>
      <c r="H23" s="21">
        <v>5</v>
      </c>
      <c r="I23" s="21">
        <v>6</v>
      </c>
      <c r="J23" s="21">
        <v>7</v>
      </c>
      <c r="K23" s="21">
        <v>0</v>
      </c>
      <c r="L23" s="21">
        <v>0</v>
      </c>
      <c r="M23" s="22">
        <v>0</v>
      </c>
    </row>
    <row r="24" spans="1:24" ht="19.5" customHeight="1">
      <c r="B24" s="179"/>
      <c r="C24" s="24" t="s">
        <v>997</v>
      </c>
      <c r="D24" s="20" t="s">
        <v>7</v>
      </c>
      <c r="E24" s="21" t="s">
        <v>29</v>
      </c>
      <c r="F24" s="21" t="s">
        <v>534</v>
      </c>
      <c r="G24" s="21" t="s">
        <v>694</v>
      </c>
      <c r="H24" s="21"/>
      <c r="I24" s="21"/>
      <c r="J24" s="21"/>
      <c r="K24" s="21"/>
      <c r="L24" s="21"/>
      <c r="M24" s="22"/>
    </row>
    <row r="25" spans="1:24" ht="19.5" customHeight="1">
      <c r="B25" s="179"/>
      <c r="C25" s="24" t="s">
        <v>3146</v>
      </c>
      <c r="D25" s="27"/>
      <c r="E25" s="27"/>
      <c r="F25" s="27"/>
      <c r="G25" s="27"/>
      <c r="H25" s="27"/>
      <c r="I25" s="27"/>
      <c r="J25" s="27"/>
      <c r="K25" s="27"/>
      <c r="L25" s="27"/>
      <c r="M25" s="27"/>
    </row>
    <row r="26" spans="1:24" ht="19.5" customHeight="1" thickBot="1">
      <c r="B26" s="180"/>
      <c r="C26" s="25" t="s">
        <v>3147</v>
      </c>
      <c r="D26" s="28"/>
      <c r="E26" s="28"/>
      <c r="F26" s="28"/>
      <c r="G26" s="28"/>
      <c r="H26" s="28"/>
      <c r="I26" s="28"/>
      <c r="J26" s="28"/>
      <c r="K26" s="28"/>
      <c r="L26" s="28"/>
      <c r="M26" s="28"/>
    </row>
    <row r="27" spans="1:24" ht="35.200000000000003" customHeight="1" thickTop="1" thickBot="1">
      <c r="C27" s="169" t="s">
        <v>976</v>
      </c>
      <c r="D27" s="170"/>
      <c r="E27" s="170"/>
      <c r="F27" s="171"/>
      <c r="G27" s="169" t="s">
        <v>981</v>
      </c>
      <c r="H27" s="170"/>
      <c r="I27" s="170"/>
      <c r="J27" s="170"/>
      <c r="K27" s="172" t="s">
        <v>1927</v>
      </c>
      <c r="L27" s="173"/>
      <c r="M27" s="173"/>
      <c r="N27" s="173"/>
      <c r="O27" s="174"/>
    </row>
    <row r="28" spans="1:24" s="11" customFormat="1" ht="20.95" thickTop="1">
      <c r="A28" s="10"/>
      <c r="B28" s="10"/>
      <c r="C28" s="13" t="s">
        <v>982</v>
      </c>
      <c r="D28" s="13" t="s">
        <v>983</v>
      </c>
      <c r="E28" s="13" t="s">
        <v>984</v>
      </c>
      <c r="F28" s="13" t="s">
        <v>999</v>
      </c>
      <c r="G28" s="16" t="s">
        <v>1001</v>
      </c>
      <c r="H28" s="14" t="s">
        <v>967</v>
      </c>
      <c r="I28" s="14" t="s">
        <v>3</v>
      </c>
      <c r="J28" s="15" t="s">
        <v>1007</v>
      </c>
      <c r="K28" s="26" t="s">
        <v>966</v>
      </c>
      <c r="L28" s="12" t="s">
        <v>964</v>
      </c>
      <c r="M28" s="12" t="s">
        <v>965</v>
      </c>
      <c r="N28" s="12" t="s">
        <v>977</v>
      </c>
      <c r="O28" s="12" t="s">
        <v>978</v>
      </c>
      <c r="X28" s="4"/>
    </row>
    <row r="29" spans="1:24" ht="17.2" customHeight="1">
      <c r="C29" s="2" t="s">
        <v>877</v>
      </c>
      <c r="D29" s="2" t="s">
        <v>1970</v>
      </c>
      <c r="E29" s="2" t="s">
        <v>956</v>
      </c>
      <c r="F29" s="12" t="s">
        <v>2205</v>
      </c>
      <c r="G29" t="s">
        <v>3235</v>
      </c>
      <c r="H29" s="2" t="s">
        <v>11</v>
      </c>
      <c r="I29" s="2" t="s">
        <v>14</v>
      </c>
      <c r="J29" s="12" t="s">
        <v>1919</v>
      </c>
      <c r="K29" s="12" t="s">
        <v>1920</v>
      </c>
      <c r="L29" s="12">
        <v>2</v>
      </c>
      <c r="M29" s="12">
        <v>4</v>
      </c>
      <c r="N29" s="12">
        <v>5</v>
      </c>
      <c r="O29" s="12">
        <v>9</v>
      </c>
      <c r="X29" s="11"/>
    </row>
    <row r="30" spans="1:24" ht="17.2" customHeight="1">
      <c r="C30" s="2" t="s">
        <v>50</v>
      </c>
      <c r="D30" s="2" t="s">
        <v>971</v>
      </c>
      <c r="E30" s="2" t="s">
        <v>50</v>
      </c>
      <c r="F30" s="12" t="s">
        <v>2007</v>
      </c>
      <c r="G30" t="s">
        <v>2593</v>
      </c>
      <c r="H30" s="2" t="s">
        <v>17</v>
      </c>
      <c r="I30" s="2" t="s">
        <v>979</v>
      </c>
      <c r="J30" s="12" t="s">
        <v>1917</v>
      </c>
      <c r="K30" s="12" t="s">
        <v>1918</v>
      </c>
      <c r="L30" s="12">
        <v>6</v>
      </c>
      <c r="M30" s="12">
        <v>12</v>
      </c>
      <c r="N30" s="12">
        <v>15</v>
      </c>
      <c r="O30" s="12">
        <v>19</v>
      </c>
    </row>
    <row r="31" spans="1:24" ht="17.2" customHeight="1">
      <c r="C31" s="2" t="s">
        <v>968</v>
      </c>
      <c r="D31" s="2" t="s">
        <v>2045</v>
      </c>
      <c r="E31" s="2" t="s">
        <v>2611</v>
      </c>
      <c r="F31" s="12" t="s">
        <v>306</v>
      </c>
      <c r="G31" t="s">
        <v>2020</v>
      </c>
      <c r="H31" s="2" t="s">
        <v>411</v>
      </c>
      <c r="I31" s="3" t="s">
        <v>12</v>
      </c>
      <c r="J31" s="12" t="s">
        <v>1925</v>
      </c>
      <c r="K31" s="12" t="s">
        <v>1924</v>
      </c>
      <c r="L31" s="12">
        <v>9</v>
      </c>
      <c r="M31" s="12">
        <v>19</v>
      </c>
      <c r="N31" s="12">
        <v>23</v>
      </c>
      <c r="O31" s="12">
        <v>28</v>
      </c>
    </row>
    <row r="32" spans="1:24" ht="17.2" customHeight="1">
      <c r="C32" s="2" t="s">
        <v>306</v>
      </c>
      <c r="D32" s="2" t="s">
        <v>239</v>
      </c>
      <c r="E32" s="2" t="s">
        <v>306</v>
      </c>
      <c r="F32" s="12" t="s">
        <v>2200</v>
      </c>
      <c r="G32" t="s">
        <v>75</v>
      </c>
      <c r="H32" s="2" t="s">
        <v>6</v>
      </c>
      <c r="I32" s="2" t="s">
        <v>694</v>
      </c>
      <c r="J32" s="12" t="s">
        <v>1913</v>
      </c>
      <c r="K32" s="12" t="s">
        <v>1923</v>
      </c>
      <c r="L32" s="12">
        <v>15</v>
      </c>
      <c r="M32" s="12">
        <v>19</v>
      </c>
      <c r="N32" s="12">
        <v>35</v>
      </c>
      <c r="O32" s="12">
        <v>60</v>
      </c>
    </row>
    <row r="33" spans="3:14" ht="17.2" customHeight="1">
      <c r="C33" s="2" t="s">
        <v>44</v>
      </c>
      <c r="D33" s="2" t="s">
        <v>2038</v>
      </c>
      <c r="E33" s="2" t="s">
        <v>399</v>
      </c>
      <c r="F33" s="12" t="s">
        <v>399</v>
      </c>
      <c r="G33" t="s">
        <v>1972</v>
      </c>
      <c r="H33" s="3" t="s">
        <v>296</v>
      </c>
      <c r="I33" s="2" t="s">
        <v>534</v>
      </c>
      <c r="J33" s="12" t="s">
        <v>1915</v>
      </c>
      <c r="K33" s="9"/>
      <c r="L33" s="4"/>
      <c r="M33" s="4"/>
      <c r="N33" s="4"/>
    </row>
    <row r="34" spans="3:14" ht="17.2" customHeight="1">
      <c r="C34" s="2" t="s">
        <v>399</v>
      </c>
      <c r="D34" s="2" t="s">
        <v>81</v>
      </c>
      <c r="E34" s="2" t="s">
        <v>417</v>
      </c>
      <c r="F34" s="39" t="s">
        <v>946</v>
      </c>
      <c r="G34" t="s">
        <v>70</v>
      </c>
      <c r="H34" s="2" t="s">
        <v>318</v>
      </c>
      <c r="I34" s="2" t="s">
        <v>103</v>
      </c>
      <c r="J34" s="12" t="s">
        <v>1916</v>
      </c>
      <c r="K34" s="9"/>
      <c r="L34" s="4"/>
      <c r="M34" s="4"/>
      <c r="N34" s="4"/>
    </row>
    <row r="35" spans="3:14" ht="17.2" customHeight="1">
      <c r="C35" s="2" t="s">
        <v>417</v>
      </c>
      <c r="D35" s="2" t="s">
        <v>50</v>
      </c>
      <c r="E35" s="2" t="s">
        <v>2243</v>
      </c>
      <c r="F35" s="39" t="s">
        <v>102</v>
      </c>
      <c r="G35" t="s">
        <v>2206</v>
      </c>
      <c r="H35" s="2" t="s">
        <v>23</v>
      </c>
      <c r="I35" s="2" t="s">
        <v>7</v>
      </c>
      <c r="J35" s="12" t="s">
        <v>1922</v>
      </c>
      <c r="K35" s="9"/>
      <c r="L35" s="4"/>
      <c r="M35" s="4"/>
      <c r="N35" s="4"/>
    </row>
    <row r="36" spans="3:14" ht="17.2" customHeight="1">
      <c r="C36" s="2" t="s">
        <v>907</v>
      </c>
      <c r="D36" s="2" t="s">
        <v>745</v>
      </c>
      <c r="E36" s="2" t="s">
        <v>946</v>
      </c>
      <c r="F36" s="40" t="s">
        <v>2202</v>
      </c>
      <c r="G36" t="s">
        <v>51</v>
      </c>
      <c r="H36" s="2" t="s">
        <v>49</v>
      </c>
      <c r="I36" s="2" t="s">
        <v>29</v>
      </c>
      <c r="K36" s="9"/>
      <c r="L36" s="4"/>
      <c r="M36" s="4"/>
      <c r="N36" s="4"/>
    </row>
    <row r="37" spans="3:14" ht="17.2" customHeight="1">
      <c r="C37" s="2" t="s">
        <v>561</v>
      </c>
      <c r="D37" s="2" t="s">
        <v>968</v>
      </c>
      <c r="E37" s="2" t="s">
        <v>942</v>
      </c>
      <c r="F37" s="40" t="s">
        <v>922</v>
      </c>
      <c r="G37" t="s">
        <v>980</v>
      </c>
      <c r="K37" s="9"/>
      <c r="L37" s="4"/>
      <c r="M37" s="4"/>
      <c r="N37" s="4"/>
    </row>
    <row r="38" spans="3:14" ht="17.2" customHeight="1">
      <c r="C38" s="2" t="s">
        <v>102</v>
      </c>
      <c r="D38" s="2" t="s">
        <v>883</v>
      </c>
      <c r="E38" s="2" t="s">
        <v>102</v>
      </c>
      <c r="F38" s="40" t="s">
        <v>2008</v>
      </c>
      <c r="G38" t="s">
        <v>52</v>
      </c>
      <c r="H38" s="5"/>
      <c r="K38" s="9"/>
      <c r="L38" s="4"/>
      <c r="M38" s="4"/>
      <c r="N38" s="4"/>
    </row>
    <row r="39" spans="3:14" ht="17.2" customHeight="1">
      <c r="C39" s="2" t="s">
        <v>708</v>
      </c>
      <c r="D39" s="2" t="s">
        <v>306</v>
      </c>
      <c r="E39" s="2" t="s">
        <v>940</v>
      </c>
      <c r="F39" s="58" t="s">
        <v>2012</v>
      </c>
      <c r="G39" t="s">
        <v>21</v>
      </c>
      <c r="K39" s="9"/>
      <c r="L39" s="4"/>
      <c r="M39" s="4"/>
      <c r="N39" s="4"/>
    </row>
    <row r="40" spans="3:14" ht="17.2" customHeight="1">
      <c r="C40" s="2" t="s">
        <v>2202</v>
      </c>
      <c r="D40" s="2" t="s">
        <v>44</v>
      </c>
      <c r="E40" s="2" t="s">
        <v>2202</v>
      </c>
      <c r="F40" s="4"/>
      <c r="G40" t="s">
        <v>28</v>
      </c>
      <c r="K40" s="9"/>
      <c r="L40" s="4"/>
      <c r="M40" s="4"/>
      <c r="N40" s="4"/>
    </row>
    <row r="41" spans="3:14" ht="17.2" customHeight="1">
      <c r="C41" s="2" t="s">
        <v>889</v>
      </c>
      <c r="D41" s="2" t="s">
        <v>2019</v>
      </c>
      <c r="E41" s="2" t="s">
        <v>889</v>
      </c>
      <c r="K41" s="9"/>
      <c r="L41" s="4"/>
      <c r="M41" s="4"/>
      <c r="N41" s="4"/>
    </row>
    <row r="42" spans="3:14" ht="17.2" customHeight="1">
      <c r="C42" s="2" t="s">
        <v>2046</v>
      </c>
      <c r="D42" s="2" t="s">
        <v>399</v>
      </c>
      <c r="E42" s="2" t="s">
        <v>108</v>
      </c>
      <c r="K42" s="9"/>
      <c r="L42" s="4"/>
      <c r="M42" s="4"/>
      <c r="N42" s="4"/>
    </row>
    <row r="43" spans="3:14" ht="17.2" customHeight="1">
      <c r="C43" s="2" t="s">
        <v>126</v>
      </c>
      <c r="D43" s="2" t="s">
        <v>415</v>
      </c>
      <c r="E43" s="34" t="s">
        <v>975</v>
      </c>
      <c r="K43" s="9"/>
    </row>
    <row r="44" spans="3:14" ht="17.2" customHeight="1">
      <c r="C44" s="2" t="s">
        <v>129</v>
      </c>
      <c r="D44" s="2" t="s">
        <v>417</v>
      </c>
      <c r="E44" s="34" t="s">
        <v>941</v>
      </c>
      <c r="K44" s="9"/>
    </row>
    <row r="45" spans="3:14" ht="17.2" customHeight="1">
      <c r="C45" s="2" t="s">
        <v>922</v>
      </c>
      <c r="D45" s="2" t="s">
        <v>972</v>
      </c>
      <c r="E45" s="34" t="s">
        <v>2047</v>
      </c>
      <c r="J45" s="5"/>
      <c r="K45" s="9"/>
    </row>
    <row r="46" spans="3:14" ht="17.2" customHeight="1">
      <c r="C46" s="2" t="s">
        <v>894</v>
      </c>
      <c r="D46" s="2" t="s">
        <v>163</v>
      </c>
      <c r="E46" s="34" t="s">
        <v>969</v>
      </c>
      <c r="H46" s="1"/>
      <c r="I46" s="5"/>
      <c r="J46" s="5"/>
      <c r="K46" s="9"/>
    </row>
    <row r="47" spans="3:14" ht="17.2" customHeight="1">
      <c r="C47" s="2" t="s">
        <v>431</v>
      </c>
      <c r="D47" s="2" t="s">
        <v>130</v>
      </c>
      <c r="E47" s="4"/>
      <c r="H47" s="1"/>
    </row>
    <row r="48" spans="3:14" ht="17.2" customHeight="1">
      <c r="C48" s="2" t="s">
        <v>912</v>
      </c>
      <c r="D48" s="2" t="s">
        <v>102</v>
      </c>
      <c r="H48" s="1"/>
    </row>
    <row r="49" spans="3:25" ht="17.2" customHeight="1">
      <c r="C49" s="2" t="s">
        <v>2613</v>
      </c>
      <c r="D49" s="2" t="s">
        <v>65</v>
      </c>
      <c r="H49" s="1"/>
    </row>
    <row r="50" spans="3:25" ht="17.2" customHeight="1">
      <c r="C50" s="2" t="s">
        <v>937</v>
      </c>
      <c r="D50" s="2" t="s">
        <v>2202</v>
      </c>
      <c r="H50" s="1"/>
    </row>
    <row r="51" spans="3:25" ht="17.2" customHeight="1">
      <c r="C51" s="2" t="s">
        <v>969</v>
      </c>
      <c r="D51" s="2" t="s">
        <v>2046</v>
      </c>
      <c r="G51" s="5"/>
      <c r="H51" s="1"/>
      <c r="N51" s="1"/>
      <c r="O51" s="1"/>
    </row>
    <row r="52" spans="3:25" ht="17.2" customHeight="1">
      <c r="C52" s="2" t="s">
        <v>886</v>
      </c>
      <c r="D52" s="2" t="s">
        <v>652</v>
      </c>
      <c r="H52" s="1"/>
      <c r="L52" s="1"/>
      <c r="M52" s="1"/>
      <c r="N52" s="1"/>
      <c r="O52" s="1"/>
    </row>
    <row r="53" spans="3:25" ht="17.2" customHeight="1">
      <c r="C53" s="34" t="s">
        <v>970</v>
      </c>
      <c r="D53" s="2" t="s">
        <v>852</v>
      </c>
      <c r="H53" s="1"/>
      <c r="J53" s="1"/>
      <c r="L53" s="1"/>
      <c r="M53" s="1"/>
      <c r="N53" s="1"/>
      <c r="O53" s="1"/>
    </row>
    <row r="54" spans="3:25" ht="17.2" customHeight="1">
      <c r="C54" s="4"/>
      <c r="D54" s="2" t="s">
        <v>3793</v>
      </c>
      <c r="H54" s="1"/>
      <c r="I54" s="1"/>
      <c r="J54" s="1"/>
      <c r="L54" s="1"/>
      <c r="M54" s="1"/>
      <c r="N54" s="1"/>
      <c r="O54" s="1"/>
      <c r="P54" s="1"/>
      <c r="Q54" s="1"/>
      <c r="R54" s="1"/>
      <c r="S54" s="1"/>
      <c r="T54" s="1"/>
      <c r="U54" s="1"/>
      <c r="V54" s="1"/>
      <c r="W54" s="1"/>
      <c r="X54" s="1"/>
      <c r="Y54" s="1"/>
    </row>
    <row r="55" spans="3:25" ht="17.2" customHeight="1">
      <c r="D55" s="2" t="s">
        <v>3495</v>
      </c>
      <c r="H55" s="1"/>
      <c r="I55" s="1"/>
      <c r="J55" s="1"/>
      <c r="K55" s="1"/>
      <c r="L55" s="1"/>
      <c r="M55" s="1"/>
      <c r="N55" s="1"/>
      <c r="O55" s="1"/>
      <c r="P55" s="1"/>
      <c r="Q55" s="1"/>
      <c r="R55" s="1"/>
      <c r="S55" s="1"/>
      <c r="T55" s="1"/>
      <c r="U55" s="1"/>
      <c r="V55" s="1"/>
      <c r="W55" s="1"/>
      <c r="X55" s="1"/>
      <c r="Y55" s="1"/>
    </row>
    <row r="56" spans="3:25" ht="17.2" customHeight="1">
      <c r="D56" s="2" t="s">
        <v>30</v>
      </c>
      <c r="H56" s="1"/>
      <c r="I56" s="1"/>
      <c r="J56" s="1"/>
      <c r="K56" s="1"/>
      <c r="L56" s="1"/>
      <c r="M56" s="1"/>
      <c r="N56" s="1"/>
      <c r="O56" s="1"/>
      <c r="P56" s="1"/>
      <c r="Q56" s="1"/>
      <c r="R56" s="1"/>
      <c r="S56" s="1"/>
      <c r="T56" s="1"/>
      <c r="U56" s="1"/>
      <c r="V56" s="1"/>
      <c r="W56" s="1"/>
      <c r="X56" s="1"/>
      <c r="Y56" s="1"/>
    </row>
    <row r="57" spans="3:25" ht="17.2" customHeight="1">
      <c r="D57" s="2" t="s">
        <v>894</v>
      </c>
      <c r="H57" s="1"/>
      <c r="I57" s="1"/>
      <c r="J57" s="1"/>
      <c r="K57" s="1"/>
      <c r="L57" s="1"/>
      <c r="M57" s="1"/>
      <c r="N57" s="1"/>
      <c r="O57" s="1"/>
      <c r="P57" s="1"/>
      <c r="Q57" s="1"/>
      <c r="R57" s="1"/>
      <c r="S57" s="1"/>
      <c r="T57" s="1"/>
      <c r="U57" s="1"/>
      <c r="V57" s="1"/>
      <c r="W57" s="1"/>
      <c r="X57" s="1"/>
      <c r="Y57" s="1"/>
    </row>
    <row r="58" spans="3:25" ht="17.2" customHeight="1">
      <c r="D58" s="2" t="s">
        <v>530</v>
      </c>
      <c r="H58" s="1"/>
      <c r="I58" s="1"/>
      <c r="J58" s="1"/>
      <c r="K58" s="1"/>
      <c r="L58" s="1"/>
      <c r="M58" s="1"/>
      <c r="N58" s="1"/>
      <c r="O58" s="1"/>
      <c r="P58" s="1"/>
      <c r="Q58" s="1"/>
      <c r="R58" s="1"/>
      <c r="S58" s="1"/>
      <c r="T58" s="1"/>
      <c r="U58" s="1"/>
      <c r="V58" s="1"/>
      <c r="W58" s="1"/>
      <c r="X58" s="1"/>
      <c r="Y58" s="1"/>
    </row>
    <row r="59" spans="3:25" ht="17.2" customHeight="1">
      <c r="D59" s="2" t="s">
        <v>431</v>
      </c>
      <c r="G59" s="1"/>
      <c r="H59" s="1"/>
      <c r="I59" s="1"/>
      <c r="J59" s="1"/>
      <c r="K59" s="1"/>
      <c r="L59" s="1"/>
      <c r="M59" s="1"/>
      <c r="N59" s="1"/>
      <c r="O59" s="1"/>
      <c r="P59" s="1"/>
      <c r="Q59" s="1"/>
      <c r="R59" s="1"/>
      <c r="S59" s="1"/>
      <c r="T59" s="1"/>
      <c r="U59" s="1"/>
      <c r="V59" s="1"/>
      <c r="W59" s="1"/>
      <c r="X59" s="1"/>
      <c r="Y59" s="1"/>
    </row>
    <row r="60" spans="3:25" ht="17.2" customHeight="1">
      <c r="D60" s="2" t="s">
        <v>74</v>
      </c>
      <c r="G60" s="1"/>
      <c r="H60" s="1"/>
      <c r="I60" s="1"/>
      <c r="J60" s="1"/>
      <c r="K60" s="1"/>
      <c r="L60" s="1"/>
      <c r="M60" s="1"/>
      <c r="N60" s="1"/>
      <c r="O60" s="1"/>
      <c r="P60" s="1"/>
      <c r="Q60" s="1"/>
      <c r="R60" s="1"/>
      <c r="S60" s="1"/>
      <c r="T60" s="1"/>
      <c r="U60" s="1"/>
      <c r="V60" s="1"/>
      <c r="W60" s="1"/>
      <c r="X60" s="1"/>
      <c r="Y60" s="1"/>
    </row>
    <row r="61" spans="3:25" ht="17.2" customHeight="1">
      <c r="D61" s="2" t="s">
        <v>898</v>
      </c>
      <c r="G61" s="1"/>
      <c r="H61" s="1"/>
      <c r="I61" s="1"/>
      <c r="J61" s="1"/>
      <c r="K61" s="1"/>
      <c r="L61" s="1"/>
      <c r="M61" s="1"/>
      <c r="N61" s="1"/>
      <c r="O61" s="1"/>
      <c r="P61" s="1"/>
      <c r="Q61" s="1"/>
      <c r="R61" s="1"/>
      <c r="S61" s="1"/>
      <c r="T61" s="1"/>
      <c r="U61" s="1"/>
      <c r="V61" s="1"/>
      <c r="W61" s="1"/>
      <c r="X61" s="1"/>
      <c r="Y61" s="1"/>
    </row>
    <row r="62" spans="3:25" ht="17.2" customHeight="1">
      <c r="D62" s="2" t="s">
        <v>2037</v>
      </c>
      <c r="G62" s="1"/>
      <c r="H62" s="1"/>
      <c r="I62" s="1"/>
      <c r="J62" s="1"/>
      <c r="K62" s="1"/>
      <c r="L62" s="1"/>
      <c r="M62" s="1"/>
      <c r="N62" s="1"/>
      <c r="O62" s="1"/>
      <c r="P62" s="1"/>
      <c r="Q62" s="1"/>
      <c r="R62" s="1"/>
      <c r="S62" s="1"/>
      <c r="T62" s="1"/>
      <c r="U62" s="1"/>
      <c r="V62" s="1"/>
      <c r="W62" s="1"/>
      <c r="X62" s="1"/>
      <c r="Y62" s="1"/>
    </row>
    <row r="63" spans="3:25" ht="17.2" customHeight="1">
      <c r="D63" s="2" t="s">
        <v>272</v>
      </c>
      <c r="G63" s="1"/>
      <c r="H63" s="1"/>
      <c r="I63" s="1"/>
      <c r="J63" s="1"/>
      <c r="K63" s="1"/>
      <c r="L63" s="1"/>
      <c r="M63" s="1"/>
      <c r="N63" s="1"/>
      <c r="O63" s="1"/>
      <c r="P63" s="1"/>
      <c r="Q63" s="1"/>
      <c r="R63" s="1"/>
      <c r="S63" s="1"/>
      <c r="T63" s="1"/>
      <c r="U63" s="1"/>
      <c r="V63" s="1"/>
      <c r="W63" s="1"/>
      <c r="X63" s="1"/>
      <c r="Y63" s="1"/>
    </row>
    <row r="64" spans="3:25" ht="17.2" customHeight="1">
      <c r="D64" s="2" t="s">
        <v>973</v>
      </c>
      <c r="F64" s="1"/>
      <c r="G64" s="1"/>
      <c r="H64" s="1"/>
      <c r="I64" s="1"/>
      <c r="J64" s="1"/>
      <c r="K64" s="1"/>
      <c r="L64" s="1"/>
      <c r="M64" s="1"/>
      <c r="N64" s="1"/>
      <c r="O64" s="1"/>
      <c r="P64" s="1"/>
      <c r="Q64" s="1"/>
      <c r="R64" s="1"/>
      <c r="S64" s="1"/>
      <c r="T64" s="1"/>
      <c r="U64" s="1"/>
      <c r="V64" s="1"/>
      <c r="W64" s="1"/>
      <c r="X64" s="1"/>
      <c r="Y64" s="1"/>
    </row>
    <row r="65" spans="4:25" ht="17.2" customHeight="1">
      <c r="D65" s="2" t="s">
        <v>553</v>
      </c>
      <c r="F65" s="1"/>
      <c r="G65" s="1"/>
      <c r="H65" s="1"/>
      <c r="I65" s="1"/>
      <c r="J65" s="1"/>
      <c r="K65" s="1"/>
      <c r="L65" s="1"/>
      <c r="M65" s="1"/>
      <c r="N65" s="1"/>
      <c r="O65" s="1"/>
      <c r="P65" s="1"/>
      <c r="Q65" s="1"/>
      <c r="R65" s="1"/>
      <c r="S65" s="1"/>
      <c r="T65" s="1"/>
      <c r="U65" s="1"/>
      <c r="V65" s="1"/>
      <c r="W65" s="1"/>
      <c r="X65" s="1"/>
      <c r="Y65" s="1"/>
    </row>
    <row r="66" spans="4:25" ht="17.2" customHeight="1">
      <c r="D66" s="34" t="s">
        <v>489</v>
      </c>
      <c r="F66" s="1"/>
      <c r="G66" s="1"/>
      <c r="H66" s="1"/>
      <c r="I66" s="1"/>
      <c r="J66" s="1"/>
      <c r="K66" s="1"/>
      <c r="L66" s="1"/>
      <c r="M66" s="1"/>
      <c r="N66" s="1"/>
      <c r="O66" s="1"/>
      <c r="P66" s="1"/>
      <c r="Q66" s="1"/>
      <c r="R66" s="1"/>
      <c r="S66" s="1"/>
      <c r="T66" s="1"/>
      <c r="U66" s="1"/>
      <c r="V66" s="1"/>
      <c r="W66" s="1"/>
      <c r="X66" s="1"/>
      <c r="Y66" s="1"/>
    </row>
    <row r="67" spans="4:25" ht="17.2" customHeight="1">
      <c r="D67" s="34" t="s">
        <v>765</v>
      </c>
      <c r="F67" s="1"/>
      <c r="G67" s="1"/>
      <c r="H67" s="1"/>
      <c r="I67" s="1"/>
      <c r="J67" s="1"/>
      <c r="K67" s="1"/>
      <c r="L67" s="1"/>
      <c r="M67" s="1"/>
      <c r="N67" s="1"/>
      <c r="O67" s="1"/>
      <c r="P67" s="1"/>
      <c r="Q67" s="1"/>
      <c r="R67" s="1"/>
      <c r="S67" s="1"/>
      <c r="T67" s="1"/>
      <c r="U67" s="1"/>
      <c r="V67" s="1"/>
      <c r="W67" s="1"/>
      <c r="X67" s="1"/>
      <c r="Y67" s="1"/>
    </row>
    <row r="68" spans="4:25" ht="17.2" customHeight="1">
      <c r="D68" s="34" t="s">
        <v>429</v>
      </c>
      <c r="F68" s="1"/>
      <c r="G68" s="1"/>
      <c r="H68" s="1"/>
      <c r="I68" s="1"/>
      <c r="J68" s="1"/>
      <c r="K68" s="1"/>
      <c r="L68" s="1"/>
      <c r="M68" s="1"/>
      <c r="N68" s="1"/>
      <c r="O68" s="1"/>
      <c r="P68" s="1"/>
      <c r="Q68" s="1"/>
      <c r="R68" s="1"/>
      <c r="S68" s="1"/>
      <c r="T68" s="1"/>
      <c r="U68" s="1"/>
      <c r="V68" s="1"/>
      <c r="W68" s="1"/>
      <c r="X68" s="1"/>
      <c r="Y68" s="1"/>
    </row>
    <row r="69" spans="4:25" ht="17.2" customHeight="1">
      <c r="D69" s="34" t="s">
        <v>974</v>
      </c>
      <c r="F69" s="1"/>
      <c r="G69" s="1"/>
      <c r="H69" s="1"/>
      <c r="I69" s="1"/>
      <c r="J69" s="1"/>
      <c r="K69" s="1"/>
      <c r="L69" s="1"/>
      <c r="M69" s="1"/>
      <c r="N69" s="1"/>
      <c r="O69" s="1"/>
      <c r="P69" s="1"/>
      <c r="Q69" s="1"/>
      <c r="R69" s="1"/>
      <c r="S69" s="1"/>
      <c r="T69" s="1"/>
      <c r="U69" s="1"/>
      <c r="V69" s="1"/>
      <c r="W69" s="1"/>
      <c r="X69" s="1"/>
      <c r="Y69" s="1"/>
    </row>
    <row r="70" spans="4:25" ht="17.2" customHeight="1">
      <c r="D70" s="34" t="s">
        <v>69</v>
      </c>
      <c r="F70" s="1"/>
      <c r="G70" s="1"/>
      <c r="H70" s="1"/>
      <c r="I70" s="1"/>
      <c r="J70" s="1"/>
      <c r="K70" s="1"/>
      <c r="L70" s="1"/>
      <c r="M70" s="1"/>
      <c r="N70" s="1"/>
      <c r="O70" s="1"/>
      <c r="P70" s="1"/>
      <c r="Q70" s="1"/>
      <c r="R70" s="1"/>
      <c r="S70" s="1"/>
      <c r="T70" s="1"/>
      <c r="U70" s="1"/>
      <c r="V70" s="1"/>
      <c r="W70" s="1"/>
      <c r="X70" s="1"/>
      <c r="Y70" s="1"/>
    </row>
    <row r="71" spans="4:25" ht="17.2" customHeight="1">
      <c r="D71" s="34" t="s">
        <v>970</v>
      </c>
      <c r="F71" s="1"/>
      <c r="G71" s="1"/>
      <c r="H71" s="1"/>
      <c r="I71" s="1"/>
      <c r="J71" s="1"/>
      <c r="K71" s="1"/>
      <c r="L71" s="1"/>
      <c r="M71" s="1"/>
      <c r="N71" s="1"/>
      <c r="O71" s="1"/>
      <c r="P71" s="1"/>
      <c r="Q71" s="1"/>
      <c r="R71" s="1"/>
      <c r="S71" s="1"/>
      <c r="T71" s="1"/>
      <c r="U71" s="1"/>
      <c r="V71" s="1"/>
      <c r="W71" s="1"/>
      <c r="X71" s="1"/>
      <c r="Y71" s="1"/>
    </row>
    <row r="72" spans="4:25" ht="17.2" customHeight="1">
      <c r="D72" s="34" t="s">
        <v>370</v>
      </c>
      <c r="F72" s="1"/>
      <c r="G72" s="1"/>
      <c r="H72" s="1"/>
      <c r="I72" s="1"/>
      <c r="J72" s="1"/>
      <c r="K72" s="1"/>
      <c r="L72" s="1"/>
      <c r="M72" s="1"/>
      <c r="N72" s="1"/>
      <c r="O72" s="1"/>
      <c r="P72" s="1"/>
      <c r="Q72" s="1"/>
      <c r="R72" s="1"/>
      <c r="S72" s="1"/>
      <c r="T72" s="1"/>
      <c r="U72" s="1"/>
      <c r="V72" s="1"/>
      <c r="W72" s="1"/>
      <c r="X72" s="1"/>
      <c r="Y72" s="1"/>
    </row>
    <row r="73" spans="4:25" ht="17.2" customHeight="1">
      <c r="D73" s="34" t="s">
        <v>171</v>
      </c>
      <c r="F73" s="1"/>
      <c r="G73" s="1"/>
      <c r="H73" s="1"/>
      <c r="I73" s="1"/>
      <c r="J73" s="1"/>
      <c r="K73" s="1"/>
      <c r="L73" s="1"/>
      <c r="M73" s="1"/>
      <c r="N73" s="1"/>
      <c r="O73" s="1"/>
      <c r="P73" s="1"/>
      <c r="Q73" s="1"/>
      <c r="R73" s="1"/>
      <c r="S73" s="1"/>
      <c r="T73" s="1"/>
      <c r="U73" s="1"/>
      <c r="V73" s="1"/>
      <c r="W73" s="1"/>
      <c r="X73" s="1"/>
      <c r="Y73" s="1"/>
    </row>
    <row r="74" spans="4:25" ht="17.2" customHeight="1">
      <c r="D74" s="4"/>
      <c r="F74" s="1"/>
      <c r="G74" s="1"/>
      <c r="H74" s="1"/>
      <c r="I74" s="1"/>
      <c r="J74" s="1"/>
      <c r="K74" s="1"/>
      <c r="L74" s="1"/>
      <c r="M74" s="1"/>
      <c r="N74" s="1"/>
      <c r="O74" s="1"/>
      <c r="P74" s="1"/>
      <c r="Q74" s="1"/>
      <c r="R74" s="1"/>
      <c r="S74" s="1"/>
      <c r="T74" s="1"/>
      <c r="U74" s="1"/>
      <c r="V74" s="1"/>
      <c r="W74" s="1"/>
      <c r="X74" s="1"/>
      <c r="Y74" s="1"/>
    </row>
    <row r="75" spans="4:25" ht="17.2" customHeight="1">
      <c r="F75" s="1"/>
      <c r="G75" s="1"/>
      <c r="H75" s="1"/>
      <c r="I75" s="1"/>
      <c r="J75" s="1"/>
      <c r="K75" s="1"/>
      <c r="L75" s="1"/>
      <c r="M75" s="1"/>
      <c r="N75" s="1"/>
      <c r="O75" s="1"/>
      <c r="P75" s="1"/>
      <c r="Q75" s="1"/>
      <c r="R75" s="1"/>
      <c r="S75" s="1"/>
      <c r="T75" s="1"/>
      <c r="U75" s="1"/>
      <c r="V75" s="1"/>
      <c r="W75" s="1"/>
      <c r="X75" s="1"/>
      <c r="Y75" s="1"/>
    </row>
    <row r="76" spans="4:25" ht="17.2" customHeight="1">
      <c r="F76" s="1"/>
      <c r="G76" s="1"/>
      <c r="I76" s="1"/>
      <c r="J76" s="1"/>
      <c r="K76" s="1"/>
      <c r="L76" s="1"/>
      <c r="M76" s="1"/>
      <c r="N76" s="1"/>
      <c r="O76" s="1"/>
      <c r="P76" s="1"/>
      <c r="Q76" s="1"/>
      <c r="R76" s="1"/>
      <c r="S76" s="1"/>
      <c r="T76" s="1"/>
      <c r="U76" s="1"/>
      <c r="V76" s="1"/>
      <c r="W76" s="1"/>
      <c r="X76" s="1"/>
      <c r="Y76" s="1"/>
    </row>
    <row r="77" spans="4:25" ht="17.2" customHeight="1">
      <c r="F77" s="1"/>
      <c r="G77" s="1"/>
      <c r="I77" s="1"/>
      <c r="J77" s="1"/>
      <c r="K77" s="1"/>
      <c r="L77" s="1"/>
      <c r="M77" s="1"/>
      <c r="N77" s="1"/>
      <c r="O77" s="1"/>
      <c r="P77" s="1"/>
      <c r="Q77" s="1"/>
      <c r="R77" s="1"/>
      <c r="S77" s="1"/>
      <c r="T77" s="1"/>
      <c r="U77" s="1"/>
      <c r="V77" s="1"/>
      <c r="W77" s="1"/>
      <c r="X77" s="1"/>
      <c r="Y77" s="1"/>
    </row>
    <row r="78" spans="4:25" ht="17.2" customHeight="1">
      <c r="F78" s="1"/>
      <c r="G78" s="1"/>
      <c r="I78" s="1"/>
      <c r="J78" s="1"/>
      <c r="K78" s="1"/>
      <c r="L78" s="1"/>
      <c r="M78" s="1"/>
      <c r="N78" s="1"/>
      <c r="O78" s="1"/>
      <c r="P78" s="1"/>
      <c r="Q78" s="1"/>
      <c r="R78" s="1"/>
      <c r="S78" s="1"/>
      <c r="T78" s="1"/>
      <c r="U78" s="1"/>
      <c r="V78" s="1"/>
      <c r="W78" s="1"/>
      <c r="X78" s="1"/>
      <c r="Y78" s="1"/>
    </row>
    <row r="79" spans="4:25" ht="17.2" customHeight="1">
      <c r="F79" s="1"/>
      <c r="G79" s="1"/>
      <c r="I79" s="1"/>
      <c r="J79" s="1"/>
      <c r="K79" s="1"/>
      <c r="L79" s="1"/>
      <c r="M79" s="1"/>
      <c r="N79" s="1"/>
      <c r="O79" s="1"/>
      <c r="P79" s="1"/>
      <c r="Q79" s="1"/>
      <c r="R79" s="1"/>
      <c r="S79" s="1"/>
      <c r="T79" s="1"/>
      <c r="U79" s="1"/>
      <c r="V79" s="1"/>
      <c r="W79" s="1"/>
      <c r="X79" s="1"/>
      <c r="Y79" s="1"/>
    </row>
    <row r="80" spans="4:25" ht="17.2" customHeight="1">
      <c r="F80" s="1"/>
      <c r="G80" s="1"/>
      <c r="I80" s="1"/>
      <c r="J80" s="1"/>
      <c r="K80" s="1"/>
      <c r="L80" s="1"/>
      <c r="M80" s="1"/>
      <c r="N80" s="1"/>
      <c r="O80" s="1"/>
      <c r="P80" s="1"/>
      <c r="Q80" s="1"/>
      <c r="R80" s="1"/>
      <c r="S80" s="1"/>
      <c r="T80" s="1"/>
      <c r="U80" s="1"/>
      <c r="V80" s="1"/>
      <c r="W80" s="1"/>
      <c r="X80" s="1"/>
      <c r="Y80" s="1"/>
    </row>
    <row r="81" spans="6:25" ht="17.2" customHeight="1">
      <c r="F81" s="1"/>
      <c r="G81" s="1"/>
      <c r="I81" s="1"/>
      <c r="J81" s="1"/>
      <c r="K81" s="1"/>
      <c r="L81" s="1"/>
      <c r="M81" s="1"/>
      <c r="P81" s="1"/>
      <c r="Q81" s="1"/>
      <c r="R81" s="1"/>
      <c r="S81" s="1"/>
      <c r="T81" s="1"/>
      <c r="U81" s="1"/>
      <c r="V81" s="1"/>
      <c r="W81" s="1"/>
      <c r="X81" s="1"/>
      <c r="Y81" s="1"/>
    </row>
    <row r="82" spans="6:25" ht="17.2" customHeight="1">
      <c r="F82" s="1"/>
      <c r="G82" s="1"/>
      <c r="I82" s="1"/>
      <c r="J82" s="1"/>
      <c r="K82" s="1"/>
      <c r="P82" s="1"/>
      <c r="Q82" s="1"/>
      <c r="R82" s="1"/>
      <c r="S82" s="1"/>
      <c r="T82" s="1"/>
      <c r="U82" s="1"/>
      <c r="V82" s="1"/>
      <c r="W82" s="1"/>
      <c r="X82" s="1"/>
      <c r="Y82" s="1"/>
    </row>
    <row r="83" spans="6:25" ht="17.2" customHeight="1">
      <c r="F83" s="1"/>
      <c r="G83" s="1"/>
      <c r="I83" s="1"/>
      <c r="K83" s="1"/>
      <c r="P83" s="1"/>
      <c r="Q83" s="1"/>
      <c r="R83" s="1"/>
      <c r="S83" s="1"/>
      <c r="T83" s="1"/>
      <c r="U83" s="1"/>
      <c r="V83" s="1"/>
      <c r="W83" s="1"/>
      <c r="X83" s="1"/>
      <c r="Y83" s="1"/>
    </row>
    <row r="84" spans="6:25" ht="17.2" customHeight="1">
      <c r="F84" s="1"/>
      <c r="G84" s="1"/>
      <c r="K84" s="1"/>
    </row>
    <row r="85" spans="6:25" ht="17.2" customHeight="1">
      <c r="F85" s="1"/>
      <c r="G85" s="1"/>
    </row>
    <row r="86" spans="6:25" ht="17.2" customHeight="1">
      <c r="F86" s="1"/>
      <c r="G86" s="1"/>
    </row>
    <row r="87" spans="6:25" ht="17.2" customHeight="1">
      <c r="F87" s="1"/>
      <c r="G87" s="1"/>
    </row>
    <row r="88" spans="6:25" ht="17.2" customHeight="1">
      <c r="F88" s="1"/>
      <c r="G88" s="1"/>
    </row>
    <row r="89" spans="6:25" ht="17.2" customHeight="1">
      <c r="F89" s="1"/>
    </row>
    <row r="90" spans="6:25" ht="17.2" customHeight="1">
      <c r="F90" s="1"/>
    </row>
    <row r="91" spans="6:25" ht="17.2" customHeight="1">
      <c r="F91" s="1"/>
    </row>
    <row r="92" spans="6:25" ht="17.2" customHeight="1">
      <c r="F92" s="1"/>
    </row>
    <row r="93" spans="6:25" ht="17.2" customHeight="1">
      <c r="F93" s="1"/>
    </row>
  </sheetData>
  <dataConsolidate/>
  <mergeCells count="26">
    <mergeCell ref="C27:F27"/>
    <mergeCell ref="G27:J27"/>
    <mergeCell ref="K27:O27"/>
    <mergeCell ref="B2:M2"/>
    <mergeCell ref="B3:B8"/>
    <mergeCell ref="B9:B14"/>
    <mergeCell ref="B15:B20"/>
    <mergeCell ref="B21:B26"/>
    <mergeCell ref="O2:P2"/>
    <mergeCell ref="O3:P7"/>
    <mergeCell ref="O9:P9"/>
    <mergeCell ref="O8:P8"/>
    <mergeCell ref="O10:P10"/>
    <mergeCell ref="O11:P11"/>
    <mergeCell ref="O12:P12"/>
    <mergeCell ref="O13:P13"/>
    <mergeCell ref="O14:P14"/>
    <mergeCell ref="O15:P15"/>
    <mergeCell ref="Q2:R2"/>
    <mergeCell ref="Q3:R7"/>
    <mergeCell ref="Q10:R10"/>
    <mergeCell ref="Q12:R12"/>
    <mergeCell ref="Q13:R13"/>
    <mergeCell ref="Q11:R11"/>
    <mergeCell ref="Q8:R8"/>
    <mergeCell ref="Q9:R9"/>
  </mergeCells>
  <pageMargins left="0.7" right="0.7" top="0.75" bottom="0.75" header="0.3" footer="0.3"/>
  <pageSetup paperSize="3" orientation="portrait" verticalDpi="300" r:id="rId1"/>
  <legacyDrawing r:id="rId2"/>
  <tableParts count="9">
    <tablePart r:id="rId3"/>
    <tablePart r:id="rId4"/>
    <tablePart r:id="rId5"/>
    <tablePart r:id="rId6"/>
    <tablePart r:id="rId7"/>
    <tablePart r:id="rId8"/>
    <tablePart r:id="rId9"/>
    <tablePart r:id="rId10"/>
    <tablePart r:id="rId1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H21"/>
  <sheetViews>
    <sheetView zoomScale="85" zoomScaleNormal="85" workbookViewId="0">
      <selection activeCell="C44" sqref="C44"/>
    </sheetView>
  </sheetViews>
  <sheetFormatPr defaultColWidth="15.88671875" defaultRowHeight="20.149999999999999" customHeight="1"/>
  <cols>
    <col min="1" max="1" width="8.21875" style="32" customWidth="1"/>
    <col min="2" max="2" width="20.44140625" style="32" customWidth="1"/>
    <col min="3" max="3" width="64.33203125" style="32" customWidth="1"/>
    <col min="4" max="4" width="37.21875" style="32" customWidth="1"/>
    <col min="5" max="7" width="15.88671875" style="32"/>
    <col min="8" max="8" width="16.6640625" style="33" customWidth="1"/>
    <col min="9" max="16384" width="15.88671875" style="32"/>
  </cols>
  <sheetData>
    <row r="1" spans="1:8" s="34" customFormat="1" ht="29.95" customHeight="1">
      <c r="A1" s="36" t="s">
        <v>967</v>
      </c>
      <c r="B1" s="36" t="s">
        <v>1937</v>
      </c>
      <c r="C1" s="36" t="s">
        <v>0</v>
      </c>
      <c r="D1" s="36" t="s">
        <v>2</v>
      </c>
      <c r="E1" s="36" t="s">
        <v>1938</v>
      </c>
      <c r="F1" s="36" t="s">
        <v>1910</v>
      </c>
      <c r="G1" s="36" t="s">
        <v>1939</v>
      </c>
      <c r="H1" s="37" t="s">
        <v>1940</v>
      </c>
    </row>
    <row r="2" spans="1:8" ht="14.4">
      <c r="A2" s="38"/>
      <c r="B2" s="38"/>
      <c r="C2" s="35"/>
      <c r="D2" s="35"/>
    </row>
    <row r="3" spans="1:8" ht="20.149999999999999" customHeight="1">
      <c r="A3" s="38"/>
      <c r="B3" s="38"/>
      <c r="C3" s="35"/>
      <c r="D3" s="35"/>
    </row>
    <row r="4" spans="1:8" ht="20.149999999999999" customHeight="1">
      <c r="A4" s="38"/>
      <c r="B4" s="38"/>
      <c r="C4" s="35"/>
      <c r="D4" s="35"/>
    </row>
    <row r="5" spans="1:8" ht="20.149999999999999" customHeight="1">
      <c r="A5" s="38"/>
      <c r="B5" s="38"/>
      <c r="C5" s="35"/>
      <c r="D5" s="35"/>
    </row>
    <row r="6" spans="1:8" ht="20.149999999999999" customHeight="1">
      <c r="A6" s="38"/>
      <c r="B6" s="38"/>
      <c r="C6" s="35"/>
      <c r="D6" s="35"/>
    </row>
    <row r="7" spans="1:8" ht="20.149999999999999" customHeight="1">
      <c r="A7" s="38"/>
      <c r="B7" s="38"/>
      <c r="C7" s="35"/>
      <c r="D7" s="35"/>
    </row>
    <row r="8" spans="1:8" ht="20.149999999999999" customHeight="1">
      <c r="A8" s="38"/>
      <c r="B8" s="38"/>
      <c r="C8" s="35"/>
      <c r="D8" s="35"/>
    </row>
    <row r="9" spans="1:8" ht="20.149999999999999" customHeight="1">
      <c r="A9" s="38"/>
      <c r="B9" s="38"/>
      <c r="C9" s="35"/>
      <c r="D9" s="35"/>
    </row>
    <row r="10" spans="1:8" ht="20.149999999999999" customHeight="1">
      <c r="A10" s="38"/>
      <c r="B10" s="38"/>
      <c r="C10" s="35"/>
      <c r="D10" s="35"/>
    </row>
    <row r="11" spans="1:8" ht="20.149999999999999" customHeight="1">
      <c r="A11" s="38"/>
      <c r="B11" s="38"/>
      <c r="C11" s="35"/>
      <c r="D11" s="35"/>
    </row>
    <row r="12" spans="1:8" ht="20.149999999999999" customHeight="1">
      <c r="A12" s="38"/>
      <c r="B12" s="38"/>
      <c r="C12" s="35"/>
      <c r="D12" s="35"/>
    </row>
    <row r="13" spans="1:8" ht="20.149999999999999" customHeight="1">
      <c r="A13" s="38"/>
      <c r="B13" s="38"/>
      <c r="C13" s="35"/>
      <c r="D13" s="35"/>
    </row>
    <row r="14" spans="1:8" ht="20.149999999999999" customHeight="1">
      <c r="A14" s="38"/>
      <c r="B14" s="38"/>
      <c r="C14" s="35"/>
      <c r="D14" s="35"/>
    </row>
    <row r="15" spans="1:8" ht="20.149999999999999" customHeight="1">
      <c r="A15" s="38"/>
      <c r="B15" s="38"/>
      <c r="C15" s="35"/>
      <c r="D15" s="35"/>
    </row>
    <row r="16" spans="1:8" ht="20.149999999999999" customHeight="1">
      <c r="A16" s="38"/>
      <c r="B16" s="38"/>
      <c r="C16" s="35"/>
      <c r="D16" s="35"/>
    </row>
    <row r="17" spans="1:4" ht="20.149999999999999" customHeight="1">
      <c r="A17" s="38"/>
      <c r="B17" s="38"/>
      <c r="C17" s="35"/>
      <c r="D17" s="35"/>
    </row>
    <row r="18" spans="1:4" ht="20.149999999999999" customHeight="1">
      <c r="C18" s="35"/>
      <c r="D18" s="35"/>
    </row>
    <row r="19" spans="1:4" ht="20.149999999999999" customHeight="1">
      <c r="C19" s="35"/>
      <c r="D19" s="35"/>
    </row>
    <row r="20" spans="1:4" ht="20.149999999999999" customHeight="1">
      <c r="C20" s="35"/>
      <c r="D20" s="35"/>
    </row>
    <row r="21" spans="1:4" ht="20.149999999999999" customHeight="1">
      <c r="C21" s="35"/>
      <c r="D21" s="35"/>
    </row>
  </sheetData>
  <dataConsolidate/>
  <pageMargins left="0.7" right="0.7" top="0.75" bottom="0.75" header="0.3" footer="0.3"/>
  <pageSetup paperSize="3"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C22"/>
  <sheetViews>
    <sheetView workbookViewId="0"/>
  </sheetViews>
  <sheetFormatPr defaultColWidth="15.88671875" defaultRowHeight="20.149999999999999" customHeight="1"/>
  <cols>
    <col min="1" max="1" width="8.21875" style="32" customWidth="1"/>
    <col min="2" max="2" width="20.44140625" style="32" customWidth="1"/>
    <col min="3" max="3" width="79.6640625" style="32" customWidth="1"/>
    <col min="4" max="16384" width="15.88671875" style="32"/>
  </cols>
  <sheetData>
    <row r="1" spans="1:3" s="34" customFormat="1" ht="29.95" customHeight="1">
      <c r="A1" s="36" t="s">
        <v>967</v>
      </c>
      <c r="B1" s="36" t="s">
        <v>1937</v>
      </c>
      <c r="C1" s="36" t="s">
        <v>2</v>
      </c>
    </row>
    <row r="2" spans="1:3" ht="20.149999999999999" customHeight="1">
      <c r="A2" s="38"/>
      <c r="B2" s="38"/>
      <c r="C2" s="35"/>
    </row>
    <row r="3" spans="1:3" ht="20.149999999999999" customHeight="1">
      <c r="A3" s="38"/>
      <c r="B3" s="38"/>
      <c r="C3" s="35"/>
    </row>
    <row r="4" spans="1:3" ht="20.149999999999999" customHeight="1">
      <c r="A4" s="38"/>
      <c r="B4" s="38"/>
      <c r="C4" s="35"/>
    </row>
    <row r="5" spans="1:3" ht="20.149999999999999" customHeight="1">
      <c r="A5" s="38"/>
      <c r="B5" s="38"/>
      <c r="C5" s="35"/>
    </row>
    <row r="6" spans="1:3" ht="20.149999999999999" customHeight="1">
      <c r="A6" s="38"/>
      <c r="B6" s="38"/>
      <c r="C6" s="35"/>
    </row>
    <row r="7" spans="1:3" ht="20.149999999999999" customHeight="1">
      <c r="A7" s="38"/>
      <c r="B7" s="38"/>
      <c r="C7" s="35"/>
    </row>
    <row r="8" spans="1:3" ht="20.149999999999999" customHeight="1">
      <c r="A8" s="38"/>
      <c r="B8" s="38"/>
      <c r="C8" s="35"/>
    </row>
    <row r="9" spans="1:3" ht="20.149999999999999" customHeight="1">
      <c r="A9" s="38"/>
      <c r="B9" s="38"/>
      <c r="C9" s="35"/>
    </row>
    <row r="10" spans="1:3" ht="20.149999999999999" customHeight="1">
      <c r="A10" s="38"/>
      <c r="B10" s="38"/>
      <c r="C10" s="35"/>
    </row>
    <row r="11" spans="1:3" ht="20.149999999999999" customHeight="1">
      <c r="A11" s="38"/>
      <c r="B11" s="38"/>
      <c r="C11" s="35"/>
    </row>
    <row r="12" spans="1:3" ht="20.149999999999999" customHeight="1">
      <c r="A12" s="38"/>
      <c r="B12" s="38"/>
      <c r="C12" s="35"/>
    </row>
    <row r="13" spans="1:3" ht="20.149999999999999" customHeight="1">
      <c r="A13" s="38"/>
      <c r="B13" s="38"/>
      <c r="C13" s="35"/>
    </row>
    <row r="14" spans="1:3" ht="20.149999999999999" customHeight="1">
      <c r="A14" s="38"/>
      <c r="B14" s="38"/>
      <c r="C14" s="35"/>
    </row>
    <row r="15" spans="1:3" ht="20.149999999999999" customHeight="1">
      <c r="A15" s="38"/>
      <c r="B15" s="38"/>
      <c r="C15" s="35"/>
    </row>
    <row r="16" spans="1:3" ht="20.149999999999999" customHeight="1">
      <c r="A16" s="38"/>
      <c r="B16" s="38"/>
      <c r="C16" s="35"/>
    </row>
    <row r="17" spans="1:3" ht="20.149999999999999" customHeight="1">
      <c r="A17" s="38"/>
      <c r="B17" s="38"/>
      <c r="C17" s="35"/>
    </row>
    <row r="18" spans="1:3" ht="20.149999999999999" customHeight="1">
      <c r="A18" s="38"/>
      <c r="B18" s="38"/>
      <c r="C18" s="35"/>
    </row>
    <row r="19" spans="1:3" ht="20.149999999999999" customHeight="1">
      <c r="C19" s="35"/>
    </row>
    <row r="20" spans="1:3" ht="20.149999999999999" customHeight="1">
      <c r="C20" s="35"/>
    </row>
    <row r="21" spans="1:3" ht="20.149999999999999" customHeight="1">
      <c r="C21" s="35"/>
    </row>
    <row r="22" spans="1:3" ht="20.149999999999999" customHeight="1">
      <c r="C22" s="35"/>
    </row>
  </sheetData>
  <dataConsolidate/>
  <pageMargins left="0.7" right="0.7" top="0.75" bottom="0.75" header="0.3" footer="0.3"/>
  <pageSetup paperSize="3"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D67F2"/>
  </sheetPr>
  <dimension ref="A1:H3"/>
  <sheetViews>
    <sheetView view="pageLayout" zoomScaleNormal="100" workbookViewId="0">
      <selection activeCell="H1" activeCellId="1" sqref="E1:E1048576 H1:H1048576"/>
    </sheetView>
  </sheetViews>
  <sheetFormatPr defaultColWidth="9" defaultRowHeight="15.9" customHeight="1"/>
  <cols>
    <col min="1" max="1" width="3.109375" style="42" customWidth="1"/>
    <col min="2" max="2" width="8.109375" style="42" customWidth="1"/>
    <col min="3" max="3" width="14.6640625" style="42" customWidth="1"/>
    <col min="4" max="4" width="32.109375" style="42" customWidth="1"/>
    <col min="5" max="5" width="10" style="128" bestFit="1" customWidth="1"/>
    <col min="6" max="6" width="19.88671875" style="42" customWidth="1"/>
    <col min="7" max="7" width="19.33203125" style="42" customWidth="1"/>
    <col min="8" max="8" width="10.33203125" style="128" customWidth="1"/>
    <col min="9" max="10" width="9" style="42"/>
    <col min="11" max="11" width="0" style="42" hidden="1" customWidth="1"/>
    <col min="12" max="16384" width="9" style="42"/>
  </cols>
  <sheetData>
    <row r="1" spans="1:8" ht="80.2" customHeight="1">
      <c r="A1" s="181" t="s">
        <v>3833</v>
      </c>
      <c r="B1" s="181"/>
      <c r="C1" s="181"/>
      <c r="D1" s="181"/>
      <c r="E1" s="181"/>
      <c r="F1" s="41"/>
    </row>
    <row r="2" spans="1:8" ht="33.75" customHeight="1">
      <c r="A2" s="12" t="s">
        <v>1964</v>
      </c>
      <c r="B2" s="12" t="s">
        <v>963</v>
      </c>
      <c r="C2" s="12" t="s">
        <v>1002</v>
      </c>
      <c r="D2" s="12" t="s">
        <v>0</v>
      </c>
      <c r="E2" s="86" t="s">
        <v>1965</v>
      </c>
      <c r="F2" s="12" t="s">
        <v>1910</v>
      </c>
      <c r="G2" s="12" t="s">
        <v>1963</v>
      </c>
      <c r="H2" s="86" t="s">
        <v>3834</v>
      </c>
    </row>
    <row r="3" spans="1:8" ht="15.9" customHeight="1">
      <c r="A3" s="102"/>
      <c r="B3" s="102"/>
      <c r="C3" s="102"/>
      <c r="D3" s="110"/>
      <c r="E3" s="111"/>
      <c r="F3" s="102"/>
      <c r="G3" s="102"/>
      <c r="H3" s="111"/>
    </row>
  </sheetData>
  <dataConsolidate/>
  <mergeCells count="1">
    <mergeCell ref="A1:E1"/>
  </mergeCells>
  <conditionalFormatting sqref="A3:H500">
    <cfRule type="expression" dxfId="43" priority="1">
      <formula>OR($F3="Document Control",$F3="Quality")</formula>
    </cfRule>
  </conditionalFormatting>
  <printOptions horizontalCentered="1"/>
  <pageMargins left="0.1" right="0.15" top="0.3" bottom="0.6" header="0.15" footer="0.3"/>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D67F2"/>
  </sheetPr>
  <dimension ref="A1:H3"/>
  <sheetViews>
    <sheetView showGridLines="0" zoomScaleNormal="100" workbookViewId="0">
      <selection activeCell="A3" sqref="A3:H3"/>
    </sheetView>
  </sheetViews>
  <sheetFormatPr defaultColWidth="9" defaultRowHeight="15.9" customHeight="1"/>
  <cols>
    <col min="1" max="1" width="4.109375" style="126" customWidth="1"/>
    <col min="2" max="2" width="8.109375" style="42" customWidth="1"/>
    <col min="3" max="3" width="14.6640625" style="42" customWidth="1"/>
    <col min="4" max="4" width="32.109375" style="42" customWidth="1"/>
    <col min="5" max="5" width="10" style="128" bestFit="1" customWidth="1"/>
    <col min="6" max="6" width="19.88671875" style="42" customWidth="1"/>
    <col min="7" max="7" width="20" style="42" customWidth="1"/>
    <col min="8" max="8" width="10" style="128" customWidth="1"/>
    <col min="9" max="16384" width="9" style="42"/>
  </cols>
  <sheetData>
    <row r="1" spans="1:8" ht="63.85" customHeight="1">
      <c r="A1" s="181" t="s">
        <v>3844</v>
      </c>
      <c r="B1" s="181"/>
      <c r="C1" s="181"/>
      <c r="D1" s="181"/>
      <c r="E1" s="181"/>
      <c r="F1" s="41"/>
    </row>
    <row r="2" spans="1:8" ht="31.6" customHeight="1">
      <c r="A2" s="127" t="s">
        <v>1964</v>
      </c>
      <c r="B2" s="12" t="s">
        <v>963</v>
      </c>
      <c r="C2" s="130" t="s">
        <v>1002</v>
      </c>
      <c r="D2" s="130" t="s">
        <v>0</v>
      </c>
      <c r="E2" s="129" t="s">
        <v>3807</v>
      </c>
      <c r="F2" s="12" t="s">
        <v>1910</v>
      </c>
      <c r="G2" s="130" t="s">
        <v>1963</v>
      </c>
      <c r="H2" s="129" t="s">
        <v>3834</v>
      </c>
    </row>
    <row r="3" spans="1:8" ht="15.9" customHeight="1">
      <c r="A3" s="127"/>
      <c r="B3" s="12"/>
      <c r="C3" s="102"/>
      <c r="D3" s="110"/>
      <c r="E3" s="86"/>
      <c r="F3" s="102"/>
      <c r="G3" s="102"/>
      <c r="H3" s="86"/>
    </row>
  </sheetData>
  <dataConsolidate/>
  <mergeCells count="1">
    <mergeCell ref="A1:E1"/>
  </mergeCells>
  <conditionalFormatting sqref="A3:H500">
    <cfRule type="expression" dxfId="42" priority="1">
      <formula>OR($F3="Document Control",$F3="Quality")</formula>
    </cfRule>
  </conditionalFormatting>
  <printOptions horizontalCentered="1"/>
  <pageMargins left="0.15" right="0.15" top="0.45" bottom="0.5" header="0" footer="0.05"/>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4.4"/>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46</vt:i4>
      </vt:variant>
    </vt:vector>
  </HeadingPairs>
  <TitlesOfParts>
    <vt:vector size="54" baseType="lpstr">
      <vt:lpstr>Intro Checker</vt:lpstr>
      <vt:lpstr>RTA Manager</vt:lpstr>
      <vt:lpstr>Settings</vt:lpstr>
      <vt:lpstr>RTAimport</vt:lpstr>
      <vt:lpstr>PriorityLoad</vt:lpstr>
      <vt:lpstr>Report_reportMain</vt:lpstr>
      <vt:lpstr>Report_reportBlue</vt:lpstr>
      <vt:lpstr>Sheet1</vt:lpstr>
      <vt:lpstr>aisHide</vt:lpstr>
      <vt:lpstr>Report_reportBlue!ATTRclass</vt:lpstr>
      <vt:lpstr>ATTRclass</vt:lpstr>
      <vt:lpstr>BuildNum</vt:lpstr>
      <vt:lpstr>cFilt</vt:lpstr>
      <vt:lpstr>deptHide</vt:lpstr>
      <vt:lpstr>DIcode</vt:lpstr>
      <vt:lpstr>DIgroup</vt:lpstr>
      <vt:lpstr>DIgroupDelim</vt:lpstr>
      <vt:lpstr>DIlab</vt:lpstr>
      <vt:lpstr>DIstate</vt:lpstr>
      <vt:lpstr>DItype</vt:lpstr>
      <vt:lpstr>FCcode</vt:lpstr>
      <vt:lpstr>FCgroup</vt:lpstr>
      <vt:lpstr>FCgroupDelim</vt:lpstr>
      <vt:lpstr>FClab</vt:lpstr>
      <vt:lpstr>FCstate</vt:lpstr>
      <vt:lpstr>FCtype</vt:lpstr>
      <vt:lpstr>FullScreenMode</vt:lpstr>
      <vt:lpstr>inProc</vt:lpstr>
      <vt:lpstr>my_Version</vt:lpstr>
      <vt:lpstr>nameQuery</vt:lpstr>
      <vt:lpstr>PMcode</vt:lpstr>
      <vt:lpstr>PMgroup</vt:lpstr>
      <vt:lpstr>PMgroupDelim</vt:lpstr>
      <vt:lpstr>PMlab</vt:lpstr>
      <vt:lpstr>PMstate</vt:lpstr>
      <vt:lpstr>PMThide</vt:lpstr>
      <vt:lpstr>PMtype</vt:lpstr>
      <vt:lpstr>'RTA Manager'!Print_Area</vt:lpstr>
      <vt:lpstr>reportBlue</vt:lpstr>
      <vt:lpstr>reportFormat</vt:lpstr>
      <vt:lpstr>reportMain</vt:lpstr>
      <vt:lpstr>schedHide</vt:lpstr>
      <vt:lpstr>Scode</vt:lpstr>
      <vt:lpstr>Sgroup</vt:lpstr>
      <vt:lpstr>SgroupDelim</vt:lpstr>
      <vt:lpstr>sheetViewMode</vt:lpstr>
      <vt:lpstr>showAll</vt:lpstr>
      <vt:lpstr>Slab</vt:lpstr>
      <vt:lpstr>sortCol</vt:lpstr>
      <vt:lpstr>sortOrder</vt:lpstr>
      <vt:lpstr>Sstate</vt:lpstr>
      <vt:lpstr>Stype</vt:lpstr>
      <vt:lpstr>trackRtaHide</vt:lpstr>
      <vt:lpstr>TSGhide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2012-03-02T16:40:55Z</cp:lastPrinted>
  <dcterms:created xsi:type="dcterms:W3CDTF">2011-06-24T10:58:18Z</dcterms:created>
  <dcterms:modified xsi:type="dcterms:W3CDTF">2012-03-08T21:44:37Z</dcterms:modified>
</cp:coreProperties>
</file>