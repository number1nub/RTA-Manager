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functionGroup name="Utility"/>
    <functionGroup name="Array"/>
  </functionGroups>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Manager'!$M:$P,'RTA Manager'!$W:$AJ,'RTA Manager'!$V:$V,'RTA Manager'!$S:$U,'RTA Manager'!$E:$E,'RTA Manager'!$K:$K,'RTA Manager'!$L:$L,'RTA Manager'!$AA:$AA</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Settings!$C$29:$C$54</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Manager'!$E$6:$E$1414,'RTA Manager'!$I$6:$I$1414,'RTA Manager'!$K$6:$Q$1414,'RTA Manager'!$S$6:$W$1414,'RTA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Manager'!$B$5:$AA$1414</definedName>
  </definedNames>
  <calcPr calcId="145621"/>
</workbook>
</file>

<file path=xl/calcChain.xml><?xml version="1.0" encoding="utf-8"?>
<calcChain xmlns="http://schemas.openxmlformats.org/spreadsheetml/2006/main">
  <c r="H123" i="4" l="1"/>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102"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73" i="4"/>
  <c r="H245" i="4"/>
  <c r="H246" i="4"/>
  <c r="H247" i="4"/>
  <c r="H248" i="4"/>
  <c r="H249" i="4"/>
  <c r="H250" i="4"/>
  <c r="H251" i="4"/>
  <c r="H252" i="4"/>
  <c r="H253" i="4"/>
  <c r="H254" i="4"/>
  <c r="H255" i="4"/>
  <c r="H256" i="4"/>
  <c r="H80"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11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6"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98" i="4"/>
  <c r="H373" i="4"/>
  <c r="H374" i="4"/>
  <c r="H375" i="4"/>
  <c r="H376" i="4"/>
  <c r="H377" i="4"/>
  <c r="H378" i="4"/>
  <c r="H379" i="4"/>
  <c r="H380" i="4"/>
  <c r="H63"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82" i="4"/>
  <c r="H117" i="4"/>
  <c r="H85" i="4"/>
  <c r="H584" i="4"/>
  <c r="H585" i="4"/>
  <c r="H586" i="4"/>
  <c r="H587" i="4"/>
  <c r="H588" i="4"/>
  <c r="H589" i="4"/>
  <c r="H590" i="4"/>
  <c r="H591" i="4"/>
  <c r="H113"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91"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103"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32"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105" i="4"/>
  <c r="H35"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7" i="4"/>
  <c r="H855" i="4"/>
  <c r="H856" i="4"/>
  <c r="H857" i="4"/>
  <c r="H858" i="4"/>
  <c r="H859" i="4"/>
  <c r="H860" i="4"/>
  <c r="H861" i="4"/>
  <c r="H862" i="4"/>
  <c r="H863" i="4"/>
  <c r="H864" i="4"/>
  <c r="H865" i="4"/>
  <c r="H866" i="4"/>
  <c r="H867" i="4"/>
  <c r="H868" i="4"/>
  <c r="H869" i="4"/>
  <c r="H870" i="4"/>
  <c r="H64"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10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76" i="4"/>
  <c r="H997" i="4"/>
  <c r="H998" i="4"/>
  <c r="H999" i="4"/>
  <c r="H1000" i="4"/>
  <c r="H1001" i="4"/>
  <c r="H1002" i="4"/>
  <c r="H1003" i="4"/>
  <c r="H1004" i="4"/>
  <c r="H62" i="4"/>
  <c r="H1005" i="4"/>
  <c r="H49"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8" i="4"/>
  <c r="H1055" i="4"/>
  <c r="H1056" i="4"/>
  <c r="H1057" i="4"/>
  <c r="H1058" i="4"/>
  <c r="H1059" i="4"/>
  <c r="H1060" i="4"/>
  <c r="H1061" i="4"/>
  <c r="H1062" i="4"/>
  <c r="H1063" i="4"/>
  <c r="H1064" i="4"/>
  <c r="H1065" i="4"/>
  <c r="H1066" i="4"/>
  <c r="H1067" i="4"/>
  <c r="H88" i="4"/>
  <c r="H1068" i="4"/>
  <c r="H1069" i="4"/>
  <c r="H1070" i="4"/>
  <c r="H1071" i="4"/>
  <c r="H1072" i="4"/>
  <c r="H1073" i="4"/>
  <c r="H1074" i="4"/>
  <c r="H14" i="4"/>
  <c r="H1075" i="4"/>
  <c r="H53" i="4"/>
  <c r="H1076" i="4"/>
  <c r="H1077" i="4"/>
  <c r="H1078" i="4"/>
  <c r="H1079" i="4"/>
  <c r="H1080" i="4"/>
  <c r="H1081" i="4"/>
  <c r="H1082" i="4"/>
  <c r="H1083" i="4"/>
  <c r="H1084" i="4"/>
  <c r="H1085" i="4"/>
  <c r="H96"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09" i="4"/>
  <c r="H1118" i="4"/>
  <c r="H1119" i="4"/>
  <c r="H1120" i="4"/>
  <c r="H86"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81" i="4"/>
  <c r="H1188" i="4"/>
  <c r="H1189" i="4"/>
  <c r="H1190" i="4"/>
  <c r="H1191" i="4"/>
  <c r="H1192" i="4"/>
  <c r="H1193" i="4"/>
  <c r="H1194" i="4"/>
  <c r="H1195" i="4"/>
  <c r="H77" i="4"/>
  <c r="H1196" i="4"/>
  <c r="H1197" i="4"/>
  <c r="H1198" i="4"/>
  <c r="H1199" i="4"/>
  <c r="H1200" i="4"/>
  <c r="H1201" i="4"/>
  <c r="H1202" i="4"/>
  <c r="H1203" i="4"/>
  <c r="H122" i="4"/>
  <c r="H1204" i="4"/>
  <c r="H30" i="4"/>
  <c r="H1205" i="4"/>
  <c r="H1206" i="4"/>
  <c r="H1207" i="4"/>
  <c r="H1208" i="4"/>
  <c r="H1209" i="4"/>
  <c r="H1210" i="4"/>
  <c r="H1211" i="4"/>
  <c r="H1212" i="4"/>
  <c r="H1213" i="4"/>
  <c r="H1214" i="4"/>
  <c r="H1215" i="4"/>
  <c r="H1216" i="4"/>
  <c r="H1217" i="4"/>
  <c r="H1218" i="4"/>
  <c r="H1219" i="4"/>
  <c r="H1220" i="4"/>
  <c r="H1221" i="4"/>
  <c r="H1222" i="4"/>
  <c r="H1223" i="4"/>
  <c r="H118" i="4"/>
  <c r="H1224" i="4"/>
  <c r="H1225" i="4"/>
  <c r="H1226" i="4"/>
  <c r="H1227" i="4"/>
  <c r="H48" i="4"/>
  <c r="H1228" i="4"/>
  <c r="H1229" i="4"/>
  <c r="H1230" i="4"/>
  <c r="H1231" i="4"/>
  <c r="H1232" i="4"/>
  <c r="H1233" i="4"/>
  <c r="H44"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16" i="4"/>
  <c r="H69" i="4"/>
  <c r="H99" i="4"/>
  <c r="H107" i="4"/>
  <c r="H1258" i="4"/>
  <c r="H1259" i="4"/>
  <c r="H1260" i="4"/>
  <c r="H1261" i="4"/>
  <c r="H1262" i="4"/>
  <c r="H1263" i="4"/>
  <c r="H1264" i="4"/>
  <c r="H1265" i="4"/>
  <c r="H1266" i="4"/>
  <c r="H1267" i="4"/>
  <c r="H1268" i="4"/>
  <c r="H1269" i="4"/>
  <c r="H1270" i="4"/>
  <c r="H1271" i="4"/>
  <c r="H1272" i="4"/>
  <c r="H112" i="4"/>
  <c r="H1273" i="4"/>
  <c r="H1274" i="4"/>
  <c r="H1275" i="4"/>
  <c r="H1276" i="4"/>
  <c r="H1277" i="4"/>
  <c r="H1278" i="4"/>
  <c r="H1279" i="4"/>
  <c r="H1280" i="4"/>
  <c r="H1281" i="4"/>
  <c r="H1282" i="4"/>
  <c r="H1283" i="4"/>
  <c r="H1284" i="4"/>
  <c r="H1285" i="4"/>
  <c r="H1286" i="4"/>
  <c r="H1287" i="4"/>
  <c r="H1288" i="4"/>
  <c r="H1289" i="4"/>
  <c r="H1290" i="4"/>
  <c r="H1291" i="4"/>
  <c r="H1292" i="4"/>
  <c r="H1293" i="4"/>
  <c r="H1294" i="4"/>
  <c r="H115" i="4"/>
  <c r="H1295" i="4"/>
  <c r="H1296" i="4"/>
  <c r="H1297" i="4"/>
  <c r="H1298" i="4"/>
  <c r="H1299" i="4"/>
  <c r="H1300" i="4"/>
  <c r="H1301" i="4"/>
  <c r="H1302" i="4"/>
  <c r="H1303" i="4"/>
  <c r="H1304" i="4"/>
  <c r="H1305" i="4"/>
  <c r="H1306" i="4"/>
  <c r="H1307" i="4"/>
  <c r="H9"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10" i="4"/>
  <c r="H1354" i="4"/>
  <c r="H1355" i="4"/>
  <c r="H1356" i="4"/>
  <c r="H1357" i="4"/>
  <c r="H1358" i="4"/>
  <c r="H1359" i="4"/>
  <c r="H1360" i="4"/>
  <c r="H1361" i="4"/>
  <c r="H10" i="4"/>
  <c r="H1362" i="4"/>
  <c r="H1363" i="4"/>
  <c r="H1364" i="4"/>
  <c r="H13" i="4"/>
  <c r="H1365" i="4"/>
  <c r="H1366" i="4"/>
  <c r="H121" i="4"/>
  <c r="H119" i="4"/>
  <c r="H1367" i="4"/>
  <c r="H1368" i="4"/>
  <c r="H92" i="4"/>
  <c r="H1369" i="4"/>
  <c r="H50" i="4"/>
  <c r="H1370" i="4"/>
  <c r="H15" i="4"/>
  <c r="H11" i="4"/>
  <c r="H93" i="4"/>
  <c r="H1371" i="4"/>
  <c r="H1372" i="4"/>
  <c r="H1373" i="4"/>
  <c r="H65" i="4"/>
  <c r="H38" i="4"/>
  <c r="H1374" i="4"/>
  <c r="H1375" i="4"/>
  <c r="H1376" i="4"/>
  <c r="H74" i="4"/>
  <c r="H33" i="4"/>
  <c r="H108" i="4"/>
  <c r="H1377" i="4"/>
  <c r="H100" i="4"/>
  <c r="H101" i="4"/>
  <c r="H104" i="4"/>
  <c r="H25" i="4"/>
  <c r="H1378" i="4"/>
  <c r="H1379" i="4"/>
  <c r="H83" i="4"/>
  <c r="H1380" i="4"/>
  <c r="H1381" i="4"/>
  <c r="H89" i="4"/>
  <c r="H1382" i="4"/>
  <c r="H1383" i="4"/>
  <c r="H1384" i="4"/>
  <c r="H1385" i="4"/>
  <c r="H1386" i="4"/>
  <c r="H1387" i="4"/>
  <c r="H1388" i="4"/>
  <c r="H1389" i="4"/>
  <c r="H54" i="4"/>
  <c r="H1390" i="4"/>
  <c r="H1391" i="4"/>
  <c r="H78" i="4"/>
  <c r="H12" i="4"/>
  <c r="H16" i="4"/>
  <c r="H1392" i="4"/>
  <c r="H66" i="4"/>
  <c r="H1393" i="4"/>
  <c r="H1394" i="4"/>
  <c r="H1395" i="4"/>
  <c r="H19" i="4"/>
  <c r="H28" i="4"/>
  <c r="H23" i="4"/>
  <c r="H1396" i="4"/>
  <c r="H1397" i="4"/>
  <c r="H1398" i="4"/>
  <c r="H111" i="4"/>
  <c r="H1399" i="4"/>
  <c r="H79" i="4"/>
  <c r="H1400" i="4"/>
  <c r="H1401" i="4"/>
  <c r="H94" i="4"/>
  <c r="H1402" i="4"/>
  <c r="H1403" i="4"/>
  <c r="H1404" i="4"/>
  <c r="H1405" i="4"/>
  <c r="H70" i="4"/>
  <c r="H24" i="4"/>
  <c r="H17" i="4"/>
  <c r="H1406" i="4"/>
  <c r="H1407" i="4"/>
  <c r="H1408" i="4"/>
  <c r="H1409" i="4"/>
  <c r="H29" i="4"/>
  <c r="H31" i="4"/>
  <c r="H20" i="4"/>
  <c r="H18" i="4"/>
  <c r="H36" i="4"/>
  <c r="H39" i="4"/>
  <c r="H41" i="4"/>
  <c r="H57" i="4"/>
  <c r="H45" i="4"/>
  <c r="H55" i="4"/>
  <c r="H42" i="4"/>
  <c r="H51" i="4"/>
  <c r="H71" i="4"/>
  <c r="H1410" i="4"/>
  <c r="H58" i="4"/>
  <c r="H34" i="4"/>
  <c r="H87" i="4"/>
  <c r="H60" i="4"/>
  <c r="H1411" i="4"/>
  <c r="H72" i="4"/>
  <c r="H97" i="4"/>
  <c r="H120" i="4"/>
  <c r="H67" i="4"/>
  <c r="H90" i="4"/>
  <c r="H95" i="4"/>
  <c r="H59" i="4"/>
  <c r="H84" i="4"/>
  <c r="H75" i="4"/>
  <c r="H46" i="4"/>
  <c r="H26" i="4"/>
  <c r="H1412" i="4"/>
  <c r="H27" i="4"/>
  <c r="H21" i="4"/>
  <c r="H1413" i="4"/>
  <c r="H68" i="4"/>
  <c r="H61" i="4"/>
  <c r="H1414" i="4"/>
  <c r="H43" i="4"/>
  <c r="H52" i="4"/>
  <c r="H56" i="4"/>
  <c r="H47" i="4"/>
  <c r="H37" i="4"/>
  <c r="H40" i="4"/>
  <c r="H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102"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73" i="4"/>
  <c r="M245" i="4"/>
  <c r="M246" i="4"/>
  <c r="M247" i="4"/>
  <c r="M248" i="4"/>
  <c r="M249" i="4"/>
  <c r="M250" i="4"/>
  <c r="M251" i="4"/>
  <c r="M252" i="4"/>
  <c r="M253" i="4"/>
  <c r="M254" i="4"/>
  <c r="M255" i="4"/>
  <c r="M256" i="4"/>
  <c r="M80"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11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6"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98" i="4"/>
  <c r="M373" i="4"/>
  <c r="M374" i="4"/>
  <c r="M375" i="4"/>
  <c r="M376" i="4"/>
  <c r="M377" i="4"/>
  <c r="M378" i="4"/>
  <c r="M379" i="4"/>
  <c r="M380" i="4"/>
  <c r="M63"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82" i="4"/>
  <c r="M117" i="4"/>
  <c r="M85" i="4"/>
  <c r="M584" i="4"/>
  <c r="M585" i="4"/>
  <c r="M586" i="4"/>
  <c r="M587" i="4"/>
  <c r="M588" i="4"/>
  <c r="M589" i="4"/>
  <c r="M590" i="4"/>
  <c r="M591" i="4"/>
  <c r="M113"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91"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103"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32"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105" i="4"/>
  <c r="M35"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7" i="4"/>
  <c r="M855" i="4"/>
  <c r="M856" i="4"/>
  <c r="M857" i="4"/>
  <c r="M858" i="4"/>
  <c r="M859" i="4"/>
  <c r="M860" i="4"/>
  <c r="M861" i="4"/>
  <c r="M862" i="4"/>
  <c r="M863" i="4"/>
  <c r="M864" i="4"/>
  <c r="M865" i="4"/>
  <c r="M866" i="4"/>
  <c r="M867" i="4"/>
  <c r="M868" i="4"/>
  <c r="M869" i="4"/>
  <c r="M870" i="4"/>
  <c r="M64"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10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76" i="4"/>
  <c r="M997" i="4"/>
  <c r="M998" i="4"/>
  <c r="M999" i="4"/>
  <c r="M1000" i="4"/>
  <c r="M1001" i="4"/>
  <c r="M1002" i="4"/>
  <c r="M1003" i="4"/>
  <c r="M1004" i="4"/>
  <c r="M62" i="4"/>
  <c r="M1005" i="4"/>
  <c r="M49"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8" i="4"/>
  <c r="M1055" i="4"/>
  <c r="M1056" i="4"/>
  <c r="M1057" i="4"/>
  <c r="M1058" i="4"/>
  <c r="M1059" i="4"/>
  <c r="M1060" i="4"/>
  <c r="M1061" i="4"/>
  <c r="M1062" i="4"/>
  <c r="M1063" i="4"/>
  <c r="M1064" i="4"/>
  <c r="M1065" i="4"/>
  <c r="M1066" i="4"/>
  <c r="M1067" i="4"/>
  <c r="M88" i="4"/>
  <c r="M1068" i="4"/>
  <c r="M1069" i="4"/>
  <c r="M1070" i="4"/>
  <c r="M1071" i="4"/>
  <c r="M1072" i="4"/>
  <c r="M1073" i="4"/>
  <c r="M1074" i="4"/>
  <c r="M14" i="4"/>
  <c r="M1075" i="4"/>
  <c r="M53" i="4"/>
  <c r="M1076" i="4"/>
  <c r="M1077" i="4"/>
  <c r="M1078" i="4"/>
  <c r="M1079" i="4"/>
  <c r="M1080" i="4"/>
  <c r="M1081" i="4"/>
  <c r="M1082" i="4"/>
  <c r="M1083" i="4"/>
  <c r="M1084" i="4"/>
  <c r="M1085" i="4"/>
  <c r="M96"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09" i="4"/>
  <c r="M1118" i="4"/>
  <c r="M1119" i="4"/>
  <c r="M1120" i="4"/>
  <c r="M86"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81" i="4"/>
  <c r="M1188" i="4"/>
  <c r="M1189" i="4"/>
  <c r="M1190" i="4"/>
  <c r="M1191" i="4"/>
  <c r="M1192" i="4"/>
  <c r="M1193" i="4"/>
  <c r="M1194" i="4"/>
  <c r="M1195" i="4"/>
  <c r="M77" i="4"/>
  <c r="M1196" i="4"/>
  <c r="M1197" i="4"/>
  <c r="M1198" i="4"/>
  <c r="M1199" i="4"/>
  <c r="M1200" i="4"/>
  <c r="M1201" i="4"/>
  <c r="M1202" i="4"/>
  <c r="M1203" i="4"/>
  <c r="M122" i="4"/>
  <c r="M1204" i="4"/>
  <c r="M30" i="4"/>
  <c r="M1205" i="4"/>
  <c r="M1206" i="4"/>
  <c r="M1207" i="4"/>
  <c r="M1208" i="4"/>
  <c r="M1209" i="4"/>
  <c r="M1210" i="4"/>
  <c r="M1211" i="4"/>
  <c r="M1212" i="4"/>
  <c r="M1213" i="4"/>
  <c r="M1214" i="4"/>
  <c r="M1215" i="4"/>
  <c r="M1216" i="4"/>
  <c r="M1217" i="4"/>
  <c r="M1218" i="4"/>
  <c r="M1219" i="4"/>
  <c r="M1220" i="4"/>
  <c r="M1221" i="4"/>
  <c r="M1222" i="4"/>
  <c r="M1223" i="4"/>
  <c r="M118" i="4"/>
  <c r="M1224" i="4"/>
  <c r="M1225" i="4"/>
  <c r="M1226" i="4"/>
  <c r="M1227" i="4"/>
  <c r="M48" i="4"/>
  <c r="M1228" i="4"/>
  <c r="M1229" i="4"/>
  <c r="M1230" i="4"/>
  <c r="M1231" i="4"/>
  <c r="M1232" i="4"/>
  <c r="M1233" i="4"/>
  <c r="M44"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16" i="4"/>
  <c r="M69" i="4"/>
  <c r="M99" i="4"/>
  <c r="M107" i="4"/>
  <c r="M1258" i="4"/>
  <c r="M1259" i="4"/>
  <c r="M1260" i="4"/>
  <c r="M1261" i="4"/>
  <c r="M1262" i="4"/>
  <c r="M1263" i="4"/>
  <c r="M1264" i="4"/>
  <c r="M1265" i="4"/>
  <c r="M1266" i="4"/>
  <c r="M1267" i="4"/>
  <c r="M1268" i="4"/>
  <c r="M1269" i="4"/>
  <c r="M1270" i="4"/>
  <c r="M1271" i="4"/>
  <c r="M1272" i="4"/>
  <c r="M112" i="4"/>
  <c r="M1273" i="4"/>
  <c r="M1274" i="4"/>
  <c r="M1275" i="4"/>
  <c r="M1276" i="4"/>
  <c r="M1277" i="4"/>
  <c r="M1278" i="4"/>
  <c r="M1279" i="4"/>
  <c r="M1280" i="4"/>
  <c r="M1281" i="4"/>
  <c r="M1282" i="4"/>
  <c r="M1283" i="4"/>
  <c r="M1284" i="4"/>
  <c r="M1285" i="4"/>
  <c r="M1286" i="4"/>
  <c r="M1287" i="4"/>
  <c r="M1288" i="4"/>
  <c r="M1289" i="4"/>
  <c r="M1290" i="4"/>
  <c r="M1291" i="4"/>
  <c r="M1292" i="4"/>
  <c r="M1293" i="4"/>
  <c r="M1294" i="4"/>
  <c r="M115" i="4"/>
  <c r="M1295" i="4"/>
  <c r="M1296" i="4"/>
  <c r="M1297" i="4"/>
  <c r="M1298" i="4"/>
  <c r="M1299" i="4"/>
  <c r="M1300" i="4"/>
  <c r="M1301" i="4"/>
  <c r="M1302" i="4"/>
  <c r="M1303" i="4"/>
  <c r="M1304" i="4"/>
  <c r="M1305" i="4"/>
  <c r="M1306" i="4"/>
  <c r="M1307" i="4"/>
  <c r="M9"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10" i="4"/>
  <c r="M1354" i="4"/>
  <c r="M1355" i="4"/>
  <c r="M1356" i="4"/>
  <c r="M1357" i="4"/>
  <c r="M1358" i="4"/>
  <c r="M1359" i="4"/>
  <c r="M1360" i="4"/>
  <c r="M1361" i="4"/>
  <c r="M10" i="4"/>
  <c r="M1362" i="4"/>
  <c r="M1363" i="4"/>
  <c r="M1364" i="4"/>
  <c r="M13" i="4"/>
  <c r="M1365" i="4"/>
  <c r="M1366" i="4"/>
  <c r="M121" i="4"/>
  <c r="M119" i="4"/>
  <c r="M1367" i="4"/>
  <c r="M1368" i="4"/>
  <c r="M92" i="4"/>
  <c r="M1369" i="4"/>
  <c r="M50" i="4"/>
  <c r="M1370" i="4"/>
  <c r="M15" i="4"/>
  <c r="M11" i="4"/>
  <c r="M93" i="4"/>
  <c r="M1371" i="4"/>
  <c r="M1372" i="4"/>
  <c r="M1373" i="4"/>
  <c r="M65" i="4"/>
  <c r="M38" i="4"/>
  <c r="M1374" i="4"/>
  <c r="M1375" i="4"/>
  <c r="M1376" i="4"/>
  <c r="M74" i="4"/>
  <c r="M33" i="4"/>
  <c r="M108" i="4"/>
  <c r="M1377" i="4"/>
  <c r="M100" i="4"/>
  <c r="M101" i="4"/>
  <c r="M104" i="4"/>
  <c r="M25" i="4"/>
  <c r="M1378" i="4"/>
  <c r="M1379" i="4"/>
  <c r="M83" i="4"/>
  <c r="M1380" i="4"/>
  <c r="M1381" i="4"/>
  <c r="M89" i="4"/>
  <c r="M1382" i="4"/>
  <c r="M1383" i="4"/>
  <c r="M1384" i="4"/>
  <c r="M1385" i="4"/>
  <c r="M1386" i="4"/>
  <c r="M1387" i="4"/>
  <c r="M1388" i="4"/>
  <c r="M1389" i="4"/>
  <c r="M54" i="4"/>
  <c r="M1390" i="4"/>
  <c r="M1391" i="4"/>
  <c r="M78" i="4"/>
  <c r="M12" i="4"/>
  <c r="M16" i="4"/>
  <c r="M1392" i="4"/>
  <c r="M66" i="4"/>
  <c r="M1393" i="4"/>
  <c r="M1394" i="4"/>
  <c r="M1395" i="4"/>
  <c r="M19" i="4"/>
  <c r="M28" i="4"/>
  <c r="M23" i="4"/>
  <c r="M1396" i="4"/>
  <c r="M1397" i="4"/>
  <c r="M1398" i="4"/>
  <c r="M111" i="4"/>
  <c r="M1399" i="4"/>
  <c r="M79" i="4"/>
  <c r="M1400" i="4"/>
  <c r="M1401" i="4"/>
  <c r="M94" i="4"/>
  <c r="M1402" i="4"/>
  <c r="M1403" i="4"/>
  <c r="M1404" i="4"/>
  <c r="M1405" i="4"/>
  <c r="M70" i="4"/>
  <c r="M24" i="4"/>
  <c r="M17" i="4"/>
  <c r="M1406" i="4"/>
  <c r="M1407" i="4"/>
  <c r="M1408" i="4"/>
  <c r="M1409" i="4"/>
  <c r="M29" i="4"/>
  <c r="M31" i="4"/>
  <c r="M20" i="4"/>
  <c r="M18" i="4"/>
  <c r="M36" i="4"/>
  <c r="M39" i="4"/>
  <c r="M41" i="4"/>
  <c r="M57" i="4"/>
  <c r="M45" i="4"/>
  <c r="M55" i="4"/>
  <c r="M42" i="4"/>
  <c r="M51" i="4"/>
  <c r="M71" i="4"/>
  <c r="M1410" i="4"/>
  <c r="M58" i="4"/>
  <c r="M34" i="4"/>
  <c r="M87" i="4"/>
  <c r="M60" i="4"/>
  <c r="M1411" i="4"/>
  <c r="M72" i="4"/>
  <c r="M97" i="4"/>
  <c r="M120" i="4"/>
  <c r="M67" i="4"/>
  <c r="M90" i="4"/>
  <c r="M95" i="4"/>
  <c r="M59" i="4"/>
  <c r="M84" i="4"/>
  <c r="M75" i="4"/>
  <c r="M46" i="4"/>
  <c r="M26" i="4"/>
  <c r="M1412" i="4"/>
  <c r="M27" i="4"/>
  <c r="M21" i="4"/>
  <c r="M1413" i="4"/>
  <c r="M68" i="4"/>
  <c r="M61" i="4"/>
  <c r="M1414" i="4"/>
  <c r="M43" i="4"/>
  <c r="M52" i="4"/>
  <c r="M56" i="4"/>
  <c r="M47" i="4"/>
  <c r="M37" i="4"/>
  <c r="M40" i="4"/>
  <c r="M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102"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73" i="4"/>
  <c r="N245" i="4"/>
  <c r="N246" i="4"/>
  <c r="N247" i="4"/>
  <c r="N248" i="4"/>
  <c r="N249" i="4"/>
  <c r="N250" i="4"/>
  <c r="N251" i="4"/>
  <c r="N252" i="4"/>
  <c r="N253" i="4"/>
  <c r="N254" i="4"/>
  <c r="N255" i="4"/>
  <c r="N256" i="4"/>
  <c r="N80"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11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6"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98" i="4"/>
  <c r="N373" i="4"/>
  <c r="N374" i="4"/>
  <c r="N375" i="4"/>
  <c r="N376" i="4"/>
  <c r="N377" i="4"/>
  <c r="N378" i="4"/>
  <c r="N379" i="4"/>
  <c r="N380" i="4"/>
  <c r="N63"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82" i="4"/>
  <c r="N117" i="4"/>
  <c r="N85" i="4"/>
  <c r="N584" i="4"/>
  <c r="N585" i="4"/>
  <c r="N586" i="4"/>
  <c r="N587" i="4"/>
  <c r="N588" i="4"/>
  <c r="N589" i="4"/>
  <c r="N590" i="4"/>
  <c r="N591" i="4"/>
  <c r="N113"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91"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103"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32"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105" i="4"/>
  <c r="N35"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7" i="4"/>
  <c r="N855" i="4"/>
  <c r="N856" i="4"/>
  <c r="N857" i="4"/>
  <c r="N858" i="4"/>
  <c r="N859" i="4"/>
  <c r="N860" i="4"/>
  <c r="N861" i="4"/>
  <c r="N862" i="4"/>
  <c r="N863" i="4"/>
  <c r="N864" i="4"/>
  <c r="N865" i="4"/>
  <c r="N866" i="4"/>
  <c r="N867" i="4"/>
  <c r="N868" i="4"/>
  <c r="N869" i="4"/>
  <c r="N870" i="4"/>
  <c r="N64"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10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76" i="4"/>
  <c r="N997" i="4"/>
  <c r="N998" i="4"/>
  <c r="N999" i="4"/>
  <c r="N1000" i="4"/>
  <c r="N1001" i="4"/>
  <c r="N1002" i="4"/>
  <c r="N1003" i="4"/>
  <c r="N1004" i="4"/>
  <c r="N62" i="4"/>
  <c r="N1005" i="4"/>
  <c r="N49"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8" i="4"/>
  <c r="N1055" i="4"/>
  <c r="N1056" i="4"/>
  <c r="N1057" i="4"/>
  <c r="N1058" i="4"/>
  <c r="N1059" i="4"/>
  <c r="N1060" i="4"/>
  <c r="N1061" i="4"/>
  <c r="N1062" i="4"/>
  <c r="N1063" i="4"/>
  <c r="N1064" i="4"/>
  <c r="N1065" i="4"/>
  <c r="N1066" i="4"/>
  <c r="N1067" i="4"/>
  <c r="N88" i="4"/>
  <c r="N1068" i="4"/>
  <c r="N1069" i="4"/>
  <c r="N1070" i="4"/>
  <c r="N1071" i="4"/>
  <c r="N1072" i="4"/>
  <c r="N1073" i="4"/>
  <c r="N1074" i="4"/>
  <c r="N14" i="4"/>
  <c r="N1075" i="4"/>
  <c r="N53" i="4"/>
  <c r="N1076" i="4"/>
  <c r="N1077" i="4"/>
  <c r="N1078" i="4"/>
  <c r="N1079" i="4"/>
  <c r="N1080" i="4"/>
  <c r="N1081" i="4"/>
  <c r="N1082" i="4"/>
  <c r="N1083" i="4"/>
  <c r="N1084" i="4"/>
  <c r="N1085" i="4"/>
  <c r="N96"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1109" i="4"/>
  <c r="N1110" i="4"/>
  <c r="N1111" i="4"/>
  <c r="N1112" i="4"/>
  <c r="N1113" i="4"/>
  <c r="N1114" i="4"/>
  <c r="N1115" i="4"/>
  <c r="N1116" i="4"/>
  <c r="N1117" i="4"/>
  <c r="N109" i="4"/>
  <c r="N1118" i="4"/>
  <c r="N1119" i="4"/>
  <c r="N1120" i="4"/>
  <c r="N86"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81" i="4"/>
  <c r="N1188" i="4"/>
  <c r="N1189" i="4"/>
  <c r="N1190" i="4"/>
  <c r="N1191" i="4"/>
  <c r="N1192" i="4"/>
  <c r="N1193" i="4"/>
  <c r="N1194" i="4"/>
  <c r="N1195" i="4"/>
  <c r="N77" i="4"/>
  <c r="N1196" i="4"/>
  <c r="N1197" i="4"/>
  <c r="N1198" i="4"/>
  <c r="N1199" i="4"/>
  <c r="N1200" i="4"/>
  <c r="N1201" i="4"/>
  <c r="N1202" i="4"/>
  <c r="N1203" i="4"/>
  <c r="N122" i="4"/>
  <c r="N1204" i="4"/>
  <c r="N30" i="4"/>
  <c r="N1205" i="4"/>
  <c r="N1206" i="4"/>
  <c r="N1207" i="4"/>
  <c r="N1208" i="4"/>
  <c r="N1209" i="4"/>
  <c r="N1210" i="4"/>
  <c r="N1211" i="4"/>
  <c r="N1212" i="4"/>
  <c r="N1213" i="4"/>
  <c r="N1214" i="4"/>
  <c r="N1215" i="4"/>
  <c r="N1216" i="4"/>
  <c r="N1217" i="4"/>
  <c r="N1218" i="4"/>
  <c r="N1219" i="4"/>
  <c r="N1220" i="4"/>
  <c r="N1221" i="4"/>
  <c r="N1222" i="4"/>
  <c r="N1223" i="4"/>
  <c r="N118" i="4"/>
  <c r="N1224" i="4"/>
  <c r="N1225" i="4"/>
  <c r="N1226" i="4"/>
  <c r="N1227" i="4"/>
  <c r="N48" i="4"/>
  <c r="N1228" i="4"/>
  <c r="N1229" i="4"/>
  <c r="N1230" i="4"/>
  <c r="N1231" i="4"/>
  <c r="N1232" i="4"/>
  <c r="N1233" i="4"/>
  <c r="N44"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16" i="4"/>
  <c r="N69" i="4"/>
  <c r="N99" i="4"/>
  <c r="N107" i="4"/>
  <c r="N1258" i="4"/>
  <c r="N1259" i="4"/>
  <c r="N1260" i="4"/>
  <c r="N1261" i="4"/>
  <c r="N1262" i="4"/>
  <c r="N1263" i="4"/>
  <c r="N1264" i="4"/>
  <c r="N1265" i="4"/>
  <c r="N1266" i="4"/>
  <c r="N1267" i="4"/>
  <c r="N1268" i="4"/>
  <c r="N1269" i="4"/>
  <c r="N1270" i="4"/>
  <c r="N1271" i="4"/>
  <c r="N1272" i="4"/>
  <c r="N112" i="4"/>
  <c r="N1273" i="4"/>
  <c r="N1274" i="4"/>
  <c r="N1275" i="4"/>
  <c r="N1276" i="4"/>
  <c r="N1277" i="4"/>
  <c r="N1278" i="4"/>
  <c r="N1279" i="4"/>
  <c r="N1280" i="4"/>
  <c r="N1281" i="4"/>
  <c r="N1282" i="4"/>
  <c r="N1283" i="4"/>
  <c r="N1284" i="4"/>
  <c r="N1285" i="4"/>
  <c r="N1286" i="4"/>
  <c r="N1287" i="4"/>
  <c r="N1288" i="4"/>
  <c r="N1289" i="4"/>
  <c r="N1290" i="4"/>
  <c r="N1291" i="4"/>
  <c r="N1292" i="4"/>
  <c r="N1293" i="4"/>
  <c r="N1294" i="4"/>
  <c r="N115" i="4"/>
  <c r="N1295" i="4"/>
  <c r="N1296" i="4"/>
  <c r="N1297" i="4"/>
  <c r="N1298" i="4"/>
  <c r="N1299" i="4"/>
  <c r="N1300" i="4"/>
  <c r="N1301" i="4"/>
  <c r="N1302" i="4"/>
  <c r="N1303" i="4"/>
  <c r="N1304" i="4"/>
  <c r="N1305" i="4"/>
  <c r="N1306" i="4"/>
  <c r="N1307" i="4"/>
  <c r="N9" i="4"/>
  <c r="N1308" i="4"/>
  <c r="N1309" i="4"/>
  <c r="N1310" i="4"/>
  <c r="N1311" i="4"/>
  <c r="N1312" i="4"/>
  <c r="N1313"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342" i="4"/>
  <c r="N1343" i="4"/>
  <c r="N1344" i="4"/>
  <c r="N1345" i="4"/>
  <c r="N1346" i="4"/>
  <c r="N1347" i="4"/>
  <c r="N1348" i="4"/>
  <c r="N1349" i="4"/>
  <c r="N1350" i="4"/>
  <c r="N1351" i="4"/>
  <c r="N1352" i="4"/>
  <c r="N1353" i="4"/>
  <c r="N110" i="4"/>
  <c r="N1354" i="4"/>
  <c r="N1355" i="4"/>
  <c r="N1356" i="4"/>
  <c r="N1357" i="4"/>
  <c r="N1358" i="4"/>
  <c r="N1359" i="4"/>
  <c r="N1360" i="4"/>
  <c r="N1361" i="4"/>
  <c r="N10" i="4"/>
  <c r="N1362" i="4"/>
  <c r="N1363" i="4"/>
  <c r="N1364" i="4"/>
  <c r="N13" i="4"/>
  <c r="N1365" i="4"/>
  <c r="N1366" i="4"/>
  <c r="N121" i="4"/>
  <c r="N119" i="4"/>
  <c r="N1367" i="4"/>
  <c r="N1368" i="4"/>
  <c r="N92" i="4"/>
  <c r="N1369" i="4"/>
  <c r="N50" i="4"/>
  <c r="N1370" i="4"/>
  <c r="N15" i="4"/>
  <c r="N11" i="4"/>
  <c r="N93" i="4"/>
  <c r="N1371" i="4"/>
  <c r="N1372" i="4"/>
  <c r="N1373" i="4"/>
  <c r="N65" i="4"/>
  <c r="N38" i="4"/>
  <c r="N1374" i="4"/>
  <c r="N1375" i="4"/>
  <c r="N1376" i="4"/>
  <c r="N74" i="4"/>
  <c r="N33" i="4"/>
  <c r="N108" i="4"/>
  <c r="N1377" i="4"/>
  <c r="N100" i="4"/>
  <c r="N101" i="4"/>
  <c r="N104" i="4"/>
  <c r="N25" i="4"/>
  <c r="N1378" i="4"/>
  <c r="N1379" i="4"/>
  <c r="N83" i="4"/>
  <c r="N1380" i="4"/>
  <c r="N1381" i="4"/>
  <c r="N89" i="4"/>
  <c r="N1382" i="4"/>
  <c r="N1383" i="4"/>
  <c r="N1384" i="4"/>
  <c r="N1385" i="4"/>
  <c r="N1386" i="4"/>
  <c r="N1387" i="4"/>
  <c r="N1388" i="4"/>
  <c r="N1389" i="4"/>
  <c r="N54" i="4"/>
  <c r="N1390" i="4"/>
  <c r="N1391" i="4"/>
  <c r="N78" i="4"/>
  <c r="N12" i="4"/>
  <c r="N16" i="4"/>
  <c r="N1392" i="4"/>
  <c r="N66" i="4"/>
  <c r="N1393" i="4"/>
  <c r="N1394" i="4"/>
  <c r="N1395" i="4"/>
  <c r="N19" i="4"/>
  <c r="N28" i="4"/>
  <c r="N23" i="4"/>
  <c r="N1396" i="4"/>
  <c r="N1397" i="4"/>
  <c r="N1398" i="4"/>
  <c r="N111" i="4"/>
  <c r="N1399" i="4"/>
  <c r="N79" i="4"/>
  <c r="N1400" i="4"/>
  <c r="N1401" i="4"/>
  <c r="N94" i="4"/>
  <c r="N1402" i="4"/>
  <c r="N1403" i="4"/>
  <c r="N1404" i="4"/>
  <c r="N1405" i="4"/>
  <c r="N70" i="4"/>
  <c r="N24" i="4"/>
  <c r="N17" i="4"/>
  <c r="N1406" i="4"/>
  <c r="N1407" i="4"/>
  <c r="N1408" i="4"/>
  <c r="N1409" i="4"/>
  <c r="N29" i="4"/>
  <c r="N31" i="4"/>
  <c r="N20" i="4"/>
  <c r="N18" i="4"/>
  <c r="N36" i="4"/>
  <c r="N39" i="4"/>
  <c r="N41" i="4"/>
  <c r="N57" i="4"/>
  <c r="N45" i="4"/>
  <c r="N55" i="4"/>
  <c r="N42" i="4"/>
  <c r="N51" i="4"/>
  <c r="N71" i="4"/>
  <c r="N1410" i="4"/>
  <c r="N58" i="4"/>
  <c r="N34" i="4"/>
  <c r="N87" i="4"/>
  <c r="N60" i="4"/>
  <c r="N1411" i="4"/>
  <c r="N72" i="4"/>
  <c r="N97" i="4"/>
  <c r="N120" i="4"/>
  <c r="N67" i="4"/>
  <c r="N90" i="4"/>
  <c r="N95" i="4"/>
  <c r="N59" i="4"/>
  <c r="N84" i="4"/>
  <c r="N75" i="4"/>
  <c r="N46" i="4"/>
  <c r="N26" i="4"/>
  <c r="N1412" i="4"/>
  <c r="N27" i="4"/>
  <c r="N21" i="4"/>
  <c r="N1413" i="4"/>
  <c r="N68" i="4"/>
  <c r="N61" i="4"/>
  <c r="N1414" i="4"/>
  <c r="N43" i="4"/>
  <c r="N52" i="4"/>
  <c r="N56" i="4"/>
  <c r="N47" i="4"/>
  <c r="N37" i="4"/>
  <c r="N40" i="4"/>
  <c r="N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102"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73" i="4"/>
  <c r="O245" i="4"/>
  <c r="O246" i="4"/>
  <c r="O247" i="4"/>
  <c r="O248" i="4"/>
  <c r="O249" i="4"/>
  <c r="O250" i="4"/>
  <c r="O251" i="4"/>
  <c r="O252" i="4"/>
  <c r="O253" i="4"/>
  <c r="O254" i="4"/>
  <c r="O255" i="4"/>
  <c r="O256" i="4"/>
  <c r="O80"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11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6"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98" i="4"/>
  <c r="O373" i="4"/>
  <c r="O374" i="4"/>
  <c r="O375" i="4"/>
  <c r="O376" i="4"/>
  <c r="O377" i="4"/>
  <c r="O378" i="4"/>
  <c r="O379" i="4"/>
  <c r="O380" i="4"/>
  <c r="O63"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82" i="4"/>
  <c r="O117" i="4"/>
  <c r="O85" i="4"/>
  <c r="O584" i="4"/>
  <c r="O585" i="4"/>
  <c r="O586" i="4"/>
  <c r="O587" i="4"/>
  <c r="O588" i="4"/>
  <c r="O589" i="4"/>
  <c r="O590" i="4"/>
  <c r="O591" i="4"/>
  <c r="O113"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91"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103"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32"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105" i="4"/>
  <c r="O35"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7" i="4"/>
  <c r="O855" i="4"/>
  <c r="O856" i="4"/>
  <c r="O857" i="4"/>
  <c r="O858" i="4"/>
  <c r="O859" i="4"/>
  <c r="O860" i="4"/>
  <c r="O861" i="4"/>
  <c r="O862" i="4"/>
  <c r="O863" i="4"/>
  <c r="O864" i="4"/>
  <c r="O865" i="4"/>
  <c r="O866" i="4"/>
  <c r="O867" i="4"/>
  <c r="O868" i="4"/>
  <c r="O869" i="4"/>
  <c r="O870" i="4"/>
  <c r="O64"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10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76" i="4"/>
  <c r="O997" i="4"/>
  <c r="O998" i="4"/>
  <c r="O999" i="4"/>
  <c r="O1000" i="4"/>
  <c r="O1001" i="4"/>
  <c r="O1002" i="4"/>
  <c r="O1003" i="4"/>
  <c r="O1004" i="4"/>
  <c r="O62" i="4"/>
  <c r="O1005" i="4"/>
  <c r="O49"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8" i="4"/>
  <c r="O1055" i="4"/>
  <c r="O1056" i="4"/>
  <c r="O1057" i="4"/>
  <c r="O1058" i="4"/>
  <c r="O1059" i="4"/>
  <c r="O1060" i="4"/>
  <c r="O1061" i="4"/>
  <c r="O1062" i="4"/>
  <c r="O1063" i="4"/>
  <c r="O1064" i="4"/>
  <c r="O1065" i="4"/>
  <c r="O1066" i="4"/>
  <c r="O1067" i="4"/>
  <c r="O88" i="4"/>
  <c r="O1068" i="4"/>
  <c r="O1069" i="4"/>
  <c r="O1070" i="4"/>
  <c r="O1071" i="4"/>
  <c r="O1072" i="4"/>
  <c r="O1073" i="4"/>
  <c r="O1074" i="4"/>
  <c r="O14" i="4"/>
  <c r="O1075" i="4"/>
  <c r="O53" i="4"/>
  <c r="O1076" i="4"/>
  <c r="O1077" i="4"/>
  <c r="O1078" i="4"/>
  <c r="O1079" i="4"/>
  <c r="O1080" i="4"/>
  <c r="O1081" i="4"/>
  <c r="O1082" i="4"/>
  <c r="O1083" i="4"/>
  <c r="O1084" i="4"/>
  <c r="O1085" i="4"/>
  <c r="O96"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09" i="4"/>
  <c r="O1118" i="4"/>
  <c r="O1119" i="4"/>
  <c r="O1120" i="4"/>
  <c r="O86"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81" i="4"/>
  <c r="O1188" i="4"/>
  <c r="O1189" i="4"/>
  <c r="O1190" i="4"/>
  <c r="O1191" i="4"/>
  <c r="O1192" i="4"/>
  <c r="O1193" i="4"/>
  <c r="O1194" i="4"/>
  <c r="O1195" i="4"/>
  <c r="O77" i="4"/>
  <c r="O1196" i="4"/>
  <c r="O1197" i="4"/>
  <c r="O1198" i="4"/>
  <c r="O1199" i="4"/>
  <c r="O1200" i="4"/>
  <c r="O1201" i="4"/>
  <c r="O1202" i="4"/>
  <c r="O1203" i="4"/>
  <c r="O122" i="4"/>
  <c r="O1204" i="4"/>
  <c r="O30" i="4"/>
  <c r="O1205" i="4"/>
  <c r="O1206" i="4"/>
  <c r="O1207" i="4"/>
  <c r="O1208" i="4"/>
  <c r="O1209" i="4"/>
  <c r="O1210" i="4"/>
  <c r="O1211" i="4"/>
  <c r="O1212" i="4"/>
  <c r="O1213" i="4"/>
  <c r="O1214" i="4"/>
  <c r="O1215" i="4"/>
  <c r="O1216" i="4"/>
  <c r="O1217" i="4"/>
  <c r="O1218" i="4"/>
  <c r="O1219" i="4"/>
  <c r="O1220" i="4"/>
  <c r="O1221" i="4"/>
  <c r="O1222" i="4"/>
  <c r="O1223" i="4"/>
  <c r="O118" i="4"/>
  <c r="O1224" i="4"/>
  <c r="O1225" i="4"/>
  <c r="O1226" i="4"/>
  <c r="O1227" i="4"/>
  <c r="O48" i="4"/>
  <c r="O1228" i="4"/>
  <c r="O1229" i="4"/>
  <c r="O1230" i="4"/>
  <c r="O1231" i="4"/>
  <c r="O1232" i="4"/>
  <c r="O1233" i="4"/>
  <c r="O44"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16" i="4"/>
  <c r="O69" i="4"/>
  <c r="O99" i="4"/>
  <c r="O107" i="4"/>
  <c r="O1258" i="4"/>
  <c r="O1259" i="4"/>
  <c r="O1260" i="4"/>
  <c r="O1261" i="4"/>
  <c r="O1262" i="4"/>
  <c r="O1263" i="4"/>
  <c r="O1264" i="4"/>
  <c r="O1265" i="4"/>
  <c r="O1266" i="4"/>
  <c r="O1267" i="4"/>
  <c r="O1268" i="4"/>
  <c r="O1269" i="4"/>
  <c r="O1270" i="4"/>
  <c r="O1271" i="4"/>
  <c r="O1272" i="4"/>
  <c r="O112" i="4"/>
  <c r="O1273" i="4"/>
  <c r="O1274" i="4"/>
  <c r="O1275" i="4"/>
  <c r="O1276" i="4"/>
  <c r="O1277" i="4"/>
  <c r="O1278" i="4"/>
  <c r="O1279" i="4"/>
  <c r="O1280" i="4"/>
  <c r="O1281" i="4"/>
  <c r="O1282" i="4"/>
  <c r="O1283" i="4"/>
  <c r="O1284" i="4"/>
  <c r="O1285" i="4"/>
  <c r="O1286" i="4"/>
  <c r="O1287" i="4"/>
  <c r="O1288" i="4"/>
  <c r="O1289" i="4"/>
  <c r="O1290" i="4"/>
  <c r="O1291" i="4"/>
  <c r="O1292" i="4"/>
  <c r="O1293" i="4"/>
  <c r="O1294" i="4"/>
  <c r="O115" i="4"/>
  <c r="O1295" i="4"/>
  <c r="O1296" i="4"/>
  <c r="O1297" i="4"/>
  <c r="O1298" i="4"/>
  <c r="O1299" i="4"/>
  <c r="O1300" i="4"/>
  <c r="O1301" i="4"/>
  <c r="O1302" i="4"/>
  <c r="O1303" i="4"/>
  <c r="O1304" i="4"/>
  <c r="O1305" i="4"/>
  <c r="O1306" i="4"/>
  <c r="O1307" i="4"/>
  <c r="O9"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10" i="4"/>
  <c r="O1354" i="4"/>
  <c r="O1355" i="4"/>
  <c r="O1356" i="4"/>
  <c r="O1357" i="4"/>
  <c r="O1358" i="4"/>
  <c r="O1359" i="4"/>
  <c r="O1360" i="4"/>
  <c r="O1361" i="4"/>
  <c r="O10" i="4"/>
  <c r="O1362" i="4"/>
  <c r="O1363" i="4"/>
  <c r="O1364" i="4"/>
  <c r="O13" i="4"/>
  <c r="O1365" i="4"/>
  <c r="O1366" i="4"/>
  <c r="O121" i="4"/>
  <c r="O119" i="4"/>
  <c r="O1367" i="4"/>
  <c r="O1368" i="4"/>
  <c r="O92" i="4"/>
  <c r="O1369" i="4"/>
  <c r="O50" i="4"/>
  <c r="O1370" i="4"/>
  <c r="O15" i="4"/>
  <c r="O11" i="4"/>
  <c r="O93" i="4"/>
  <c r="O1371" i="4"/>
  <c r="O1372" i="4"/>
  <c r="O1373" i="4"/>
  <c r="O65" i="4"/>
  <c r="O38" i="4"/>
  <c r="O1374" i="4"/>
  <c r="O1375" i="4"/>
  <c r="O1376" i="4"/>
  <c r="O74" i="4"/>
  <c r="O33" i="4"/>
  <c r="O108" i="4"/>
  <c r="O1377" i="4"/>
  <c r="O100" i="4"/>
  <c r="O101" i="4"/>
  <c r="O104" i="4"/>
  <c r="O25" i="4"/>
  <c r="O1378" i="4"/>
  <c r="O1379" i="4"/>
  <c r="O83" i="4"/>
  <c r="O1380" i="4"/>
  <c r="O1381" i="4"/>
  <c r="O89" i="4"/>
  <c r="O1382" i="4"/>
  <c r="O1383" i="4"/>
  <c r="O1384" i="4"/>
  <c r="O1385" i="4"/>
  <c r="O1386" i="4"/>
  <c r="O1387" i="4"/>
  <c r="O1388" i="4"/>
  <c r="O1389" i="4"/>
  <c r="O54" i="4"/>
  <c r="O1390" i="4"/>
  <c r="O1391" i="4"/>
  <c r="O78" i="4"/>
  <c r="O12" i="4"/>
  <c r="O16" i="4"/>
  <c r="O1392" i="4"/>
  <c r="O66" i="4"/>
  <c r="O1393" i="4"/>
  <c r="O1394" i="4"/>
  <c r="O1395" i="4"/>
  <c r="O19" i="4"/>
  <c r="O28" i="4"/>
  <c r="O23" i="4"/>
  <c r="O1396" i="4"/>
  <c r="O1397" i="4"/>
  <c r="O1398" i="4"/>
  <c r="O111" i="4"/>
  <c r="O1399" i="4"/>
  <c r="O79" i="4"/>
  <c r="O1400" i="4"/>
  <c r="O1401" i="4"/>
  <c r="O94" i="4"/>
  <c r="O1402" i="4"/>
  <c r="O1403" i="4"/>
  <c r="O1404" i="4"/>
  <c r="O1405" i="4"/>
  <c r="O70" i="4"/>
  <c r="O24" i="4"/>
  <c r="O17" i="4"/>
  <c r="O1406" i="4"/>
  <c r="O1407" i="4"/>
  <c r="O1408" i="4"/>
  <c r="O1409" i="4"/>
  <c r="O29" i="4"/>
  <c r="O31" i="4"/>
  <c r="O20" i="4"/>
  <c r="O18" i="4"/>
  <c r="O36" i="4"/>
  <c r="O39" i="4"/>
  <c r="O41" i="4"/>
  <c r="O57" i="4"/>
  <c r="O45" i="4"/>
  <c r="O55" i="4"/>
  <c r="O42" i="4"/>
  <c r="O51" i="4"/>
  <c r="O71" i="4"/>
  <c r="O1410" i="4"/>
  <c r="O58" i="4"/>
  <c r="O34" i="4"/>
  <c r="O87" i="4"/>
  <c r="O60" i="4"/>
  <c r="O1411" i="4"/>
  <c r="O72" i="4"/>
  <c r="O97" i="4"/>
  <c r="O120" i="4"/>
  <c r="O67" i="4"/>
  <c r="O90" i="4"/>
  <c r="O95" i="4"/>
  <c r="O59" i="4"/>
  <c r="O84" i="4"/>
  <c r="O75" i="4"/>
  <c r="O46" i="4"/>
  <c r="O26" i="4"/>
  <c r="O1412" i="4"/>
  <c r="O27" i="4"/>
  <c r="O21" i="4"/>
  <c r="O1413" i="4"/>
  <c r="O68" i="4"/>
  <c r="O61" i="4"/>
  <c r="O1414" i="4"/>
  <c r="O43" i="4"/>
  <c r="O52" i="4"/>
  <c r="O56" i="4"/>
  <c r="O47" i="4"/>
  <c r="O37" i="4"/>
  <c r="O40" i="4"/>
  <c r="O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102"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73" i="4"/>
  <c r="P245" i="4"/>
  <c r="P246" i="4"/>
  <c r="P247" i="4"/>
  <c r="P248" i="4"/>
  <c r="P249" i="4"/>
  <c r="P250" i="4"/>
  <c r="P251" i="4"/>
  <c r="P252" i="4"/>
  <c r="P253" i="4"/>
  <c r="P254" i="4"/>
  <c r="P255" i="4"/>
  <c r="P256" i="4"/>
  <c r="P80"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11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6"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98" i="4"/>
  <c r="P373" i="4"/>
  <c r="P374" i="4"/>
  <c r="P375" i="4"/>
  <c r="P376" i="4"/>
  <c r="P377" i="4"/>
  <c r="P378" i="4"/>
  <c r="P379" i="4"/>
  <c r="P380" i="4"/>
  <c r="P63"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82" i="4"/>
  <c r="P117" i="4"/>
  <c r="P85" i="4"/>
  <c r="P584" i="4"/>
  <c r="P585" i="4"/>
  <c r="P586" i="4"/>
  <c r="P587" i="4"/>
  <c r="P588" i="4"/>
  <c r="P589" i="4"/>
  <c r="P590" i="4"/>
  <c r="P591" i="4"/>
  <c r="P113"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91"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103"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32"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105" i="4"/>
  <c r="P35"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7" i="4"/>
  <c r="P855" i="4"/>
  <c r="P856" i="4"/>
  <c r="P857" i="4"/>
  <c r="P858" i="4"/>
  <c r="P859" i="4"/>
  <c r="P860" i="4"/>
  <c r="P861" i="4"/>
  <c r="P862" i="4"/>
  <c r="P863" i="4"/>
  <c r="P864" i="4"/>
  <c r="P865" i="4"/>
  <c r="P866" i="4"/>
  <c r="P867" i="4"/>
  <c r="P868" i="4"/>
  <c r="P869" i="4"/>
  <c r="P870" i="4"/>
  <c r="P64"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10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76" i="4"/>
  <c r="P997" i="4"/>
  <c r="P998" i="4"/>
  <c r="P999" i="4"/>
  <c r="P1000" i="4"/>
  <c r="P1001" i="4"/>
  <c r="P1002" i="4"/>
  <c r="P1003" i="4"/>
  <c r="P1004" i="4"/>
  <c r="P62" i="4"/>
  <c r="P1005" i="4"/>
  <c r="P49"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8" i="4"/>
  <c r="P1055" i="4"/>
  <c r="P1056" i="4"/>
  <c r="P1057" i="4"/>
  <c r="P1058" i="4"/>
  <c r="P1059" i="4"/>
  <c r="P1060" i="4"/>
  <c r="P1061" i="4"/>
  <c r="P1062" i="4"/>
  <c r="P1063" i="4"/>
  <c r="P1064" i="4"/>
  <c r="P1065" i="4"/>
  <c r="P1066" i="4"/>
  <c r="P1067" i="4"/>
  <c r="P88" i="4"/>
  <c r="P1068" i="4"/>
  <c r="P1069" i="4"/>
  <c r="P1070" i="4"/>
  <c r="P1071" i="4"/>
  <c r="P1072" i="4"/>
  <c r="P1073" i="4"/>
  <c r="P1074" i="4"/>
  <c r="P14" i="4"/>
  <c r="P1075" i="4"/>
  <c r="P53" i="4"/>
  <c r="P1076" i="4"/>
  <c r="P1077" i="4"/>
  <c r="P1078" i="4"/>
  <c r="P1079" i="4"/>
  <c r="P1080" i="4"/>
  <c r="P1081" i="4"/>
  <c r="P1082" i="4"/>
  <c r="P1083" i="4"/>
  <c r="P1084" i="4"/>
  <c r="P1085" i="4"/>
  <c r="P96"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1109" i="4"/>
  <c r="P1110" i="4"/>
  <c r="P1111" i="4"/>
  <c r="P1112" i="4"/>
  <c r="P1113" i="4"/>
  <c r="P1114" i="4"/>
  <c r="P1115" i="4"/>
  <c r="P1116" i="4"/>
  <c r="P1117" i="4"/>
  <c r="P109" i="4"/>
  <c r="P1118" i="4"/>
  <c r="P1119" i="4"/>
  <c r="P1120" i="4"/>
  <c r="P86"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81" i="4"/>
  <c r="P1188" i="4"/>
  <c r="P1189" i="4"/>
  <c r="P1190" i="4"/>
  <c r="P1191" i="4"/>
  <c r="P1192" i="4"/>
  <c r="P1193" i="4"/>
  <c r="P1194" i="4"/>
  <c r="P1195" i="4"/>
  <c r="P77" i="4"/>
  <c r="P1196" i="4"/>
  <c r="P1197" i="4"/>
  <c r="P1198" i="4"/>
  <c r="P1199" i="4"/>
  <c r="P1200" i="4"/>
  <c r="P1201" i="4"/>
  <c r="P1202" i="4"/>
  <c r="P1203" i="4"/>
  <c r="P122" i="4"/>
  <c r="P1204" i="4"/>
  <c r="P30" i="4"/>
  <c r="P1205" i="4"/>
  <c r="P1206" i="4"/>
  <c r="P1207" i="4"/>
  <c r="P1208" i="4"/>
  <c r="P1209" i="4"/>
  <c r="P1210" i="4"/>
  <c r="P1211" i="4"/>
  <c r="P1212" i="4"/>
  <c r="P1213" i="4"/>
  <c r="P1214" i="4"/>
  <c r="P1215" i="4"/>
  <c r="P1216" i="4"/>
  <c r="P1217" i="4"/>
  <c r="P1218" i="4"/>
  <c r="P1219" i="4"/>
  <c r="P1220" i="4"/>
  <c r="P1221" i="4"/>
  <c r="P1222" i="4"/>
  <c r="P1223" i="4"/>
  <c r="P118" i="4"/>
  <c r="P1224" i="4"/>
  <c r="P1225" i="4"/>
  <c r="P1226" i="4"/>
  <c r="P1227" i="4"/>
  <c r="P48" i="4"/>
  <c r="P1228" i="4"/>
  <c r="P1229" i="4"/>
  <c r="P1230" i="4"/>
  <c r="P1231" i="4"/>
  <c r="P1232" i="4"/>
  <c r="P1233" i="4"/>
  <c r="P44"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16" i="4"/>
  <c r="P69" i="4"/>
  <c r="P99" i="4"/>
  <c r="P107" i="4"/>
  <c r="P1258" i="4"/>
  <c r="P1259" i="4"/>
  <c r="P1260" i="4"/>
  <c r="P1261" i="4"/>
  <c r="P1262" i="4"/>
  <c r="P1263" i="4"/>
  <c r="P1264" i="4"/>
  <c r="P1265" i="4"/>
  <c r="P1266" i="4"/>
  <c r="P1267" i="4"/>
  <c r="P1268" i="4"/>
  <c r="P1269" i="4"/>
  <c r="P1270" i="4"/>
  <c r="P1271" i="4"/>
  <c r="P1272" i="4"/>
  <c r="P112" i="4"/>
  <c r="P1273" i="4"/>
  <c r="P1274" i="4"/>
  <c r="P1275" i="4"/>
  <c r="P1276" i="4"/>
  <c r="P1277" i="4"/>
  <c r="P1278" i="4"/>
  <c r="P1279" i="4"/>
  <c r="P1280" i="4"/>
  <c r="P1281" i="4"/>
  <c r="P1282" i="4"/>
  <c r="P1283" i="4"/>
  <c r="P1284" i="4"/>
  <c r="P1285" i="4"/>
  <c r="P1286" i="4"/>
  <c r="P1287" i="4"/>
  <c r="P1288" i="4"/>
  <c r="P1289" i="4"/>
  <c r="P1290" i="4"/>
  <c r="P1291" i="4"/>
  <c r="P1292" i="4"/>
  <c r="P1293" i="4"/>
  <c r="P1294" i="4"/>
  <c r="P115" i="4"/>
  <c r="P1295" i="4"/>
  <c r="P1296" i="4"/>
  <c r="P1297" i="4"/>
  <c r="P1298" i="4"/>
  <c r="P1299" i="4"/>
  <c r="P1300" i="4"/>
  <c r="P1301" i="4"/>
  <c r="P1302" i="4"/>
  <c r="P1303" i="4"/>
  <c r="P1304" i="4"/>
  <c r="P1305" i="4"/>
  <c r="P1306" i="4"/>
  <c r="P1307" i="4"/>
  <c r="P9" i="4"/>
  <c r="P1308" i="4"/>
  <c r="P1309" i="4"/>
  <c r="P1310" i="4"/>
  <c r="P1311" i="4"/>
  <c r="P1312" i="4"/>
  <c r="P1313"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10" i="4"/>
  <c r="P1354" i="4"/>
  <c r="P1355" i="4"/>
  <c r="P1356" i="4"/>
  <c r="P1357" i="4"/>
  <c r="P1358" i="4"/>
  <c r="P1359" i="4"/>
  <c r="P1360" i="4"/>
  <c r="P1361" i="4"/>
  <c r="P10" i="4"/>
  <c r="P1362" i="4"/>
  <c r="P1363" i="4"/>
  <c r="P1364" i="4"/>
  <c r="P13" i="4"/>
  <c r="P1365" i="4"/>
  <c r="P1366" i="4"/>
  <c r="P121" i="4"/>
  <c r="P119" i="4"/>
  <c r="P1367" i="4"/>
  <c r="P1368" i="4"/>
  <c r="P92" i="4"/>
  <c r="P1369" i="4"/>
  <c r="P50" i="4"/>
  <c r="P1370" i="4"/>
  <c r="P15" i="4"/>
  <c r="P11" i="4"/>
  <c r="P93" i="4"/>
  <c r="P1371" i="4"/>
  <c r="P1372" i="4"/>
  <c r="P1373" i="4"/>
  <c r="P65" i="4"/>
  <c r="P38" i="4"/>
  <c r="P1374" i="4"/>
  <c r="P1375" i="4"/>
  <c r="P1376" i="4"/>
  <c r="P74" i="4"/>
  <c r="P33" i="4"/>
  <c r="P108" i="4"/>
  <c r="P1377" i="4"/>
  <c r="P100" i="4"/>
  <c r="P101" i="4"/>
  <c r="P104" i="4"/>
  <c r="P25" i="4"/>
  <c r="P1378" i="4"/>
  <c r="P1379" i="4"/>
  <c r="P83" i="4"/>
  <c r="P1380" i="4"/>
  <c r="P1381" i="4"/>
  <c r="P89" i="4"/>
  <c r="P1382" i="4"/>
  <c r="P1383" i="4"/>
  <c r="P1384" i="4"/>
  <c r="P1385" i="4"/>
  <c r="P1386" i="4"/>
  <c r="P1387" i="4"/>
  <c r="P1388" i="4"/>
  <c r="P1389" i="4"/>
  <c r="P54" i="4"/>
  <c r="P1390" i="4"/>
  <c r="P1391" i="4"/>
  <c r="P78" i="4"/>
  <c r="P12" i="4"/>
  <c r="P16" i="4"/>
  <c r="P1392" i="4"/>
  <c r="P66" i="4"/>
  <c r="P1393" i="4"/>
  <c r="P1394" i="4"/>
  <c r="P1395" i="4"/>
  <c r="P19" i="4"/>
  <c r="P28" i="4"/>
  <c r="P23" i="4"/>
  <c r="P1396" i="4"/>
  <c r="P1397" i="4"/>
  <c r="P1398" i="4"/>
  <c r="P111" i="4"/>
  <c r="P1399" i="4"/>
  <c r="P79" i="4"/>
  <c r="P1400" i="4"/>
  <c r="P1401" i="4"/>
  <c r="P94" i="4"/>
  <c r="P1402" i="4"/>
  <c r="P1403" i="4"/>
  <c r="P1404" i="4"/>
  <c r="P1405" i="4"/>
  <c r="P70" i="4"/>
  <c r="P24" i="4"/>
  <c r="P17" i="4"/>
  <c r="P1406" i="4"/>
  <c r="P1407" i="4"/>
  <c r="P1408" i="4"/>
  <c r="P1409" i="4"/>
  <c r="P29" i="4"/>
  <c r="P31" i="4"/>
  <c r="P20" i="4"/>
  <c r="P18" i="4"/>
  <c r="P36" i="4"/>
  <c r="P39" i="4"/>
  <c r="P41" i="4"/>
  <c r="P57" i="4"/>
  <c r="P45" i="4"/>
  <c r="P55" i="4"/>
  <c r="P42" i="4"/>
  <c r="P51" i="4"/>
  <c r="P71" i="4"/>
  <c r="P1410" i="4"/>
  <c r="P58" i="4"/>
  <c r="P34" i="4"/>
  <c r="P87" i="4"/>
  <c r="P60" i="4"/>
  <c r="P1411" i="4"/>
  <c r="P72" i="4"/>
  <c r="P97" i="4"/>
  <c r="P120" i="4"/>
  <c r="P67" i="4"/>
  <c r="P90" i="4"/>
  <c r="P95" i="4"/>
  <c r="P59" i="4"/>
  <c r="P84" i="4"/>
  <c r="P75" i="4"/>
  <c r="P46" i="4"/>
  <c r="P26" i="4"/>
  <c r="P1412" i="4"/>
  <c r="P27" i="4"/>
  <c r="P21" i="4"/>
  <c r="P1413" i="4"/>
  <c r="P68" i="4"/>
  <c r="P61" i="4"/>
  <c r="P1414" i="4"/>
  <c r="P43" i="4"/>
  <c r="P52" i="4"/>
  <c r="P56" i="4"/>
  <c r="P47" i="4"/>
  <c r="P37" i="4"/>
  <c r="P40" i="4"/>
  <c r="P22" i="4"/>
  <c r="A123" i="4"/>
  <c r="A127" i="4"/>
  <c r="A131" i="4"/>
  <c r="A135" i="4"/>
  <c r="A139" i="4"/>
  <c r="A143" i="4"/>
  <c r="A147" i="4"/>
  <c r="A151" i="4"/>
  <c r="A155" i="4"/>
  <c r="A159" i="4"/>
  <c r="A163" i="4"/>
  <c r="A167" i="4"/>
  <c r="A171" i="4"/>
  <c r="A175" i="4"/>
  <c r="A179" i="4"/>
  <c r="A183" i="4"/>
  <c r="A187" i="4"/>
  <c r="A191" i="4"/>
  <c r="A195" i="4"/>
  <c r="A199" i="4"/>
  <c r="A203" i="4"/>
  <c r="A102" i="4"/>
  <c r="A210" i="4"/>
  <c r="A214" i="4"/>
  <c r="A218" i="4"/>
  <c r="A222" i="4"/>
  <c r="A226" i="4"/>
  <c r="A230" i="4"/>
  <c r="A234" i="4"/>
  <c r="A238" i="4"/>
  <c r="A242" i="4"/>
  <c r="A245" i="4"/>
  <c r="A249" i="4"/>
  <c r="A253" i="4"/>
  <c r="A80" i="4"/>
  <c r="A260" i="4"/>
  <c r="A264" i="4"/>
  <c r="A268" i="4"/>
  <c r="A272" i="4"/>
  <c r="A276" i="4"/>
  <c r="A280" i="4"/>
  <c r="A284" i="4"/>
  <c r="A288" i="4"/>
  <c r="A292" i="4"/>
  <c r="A295" i="4"/>
  <c r="A299" i="4"/>
  <c r="A303" i="4"/>
  <c r="A307" i="4"/>
  <c r="A311" i="4"/>
  <c r="A315" i="4"/>
  <c r="A319" i="4"/>
  <c r="A323" i="4"/>
  <c r="A327" i="4"/>
  <c r="A330" i="4"/>
  <c r="A334" i="4"/>
  <c r="A338" i="4"/>
  <c r="A342" i="4"/>
  <c r="A346" i="4"/>
  <c r="A350" i="4"/>
  <c r="A354" i="4"/>
  <c r="A358" i="4"/>
  <c r="A362" i="4"/>
  <c r="A366" i="4"/>
  <c r="A370" i="4"/>
  <c r="A373" i="4"/>
  <c r="A377" i="4"/>
  <c r="A63"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82" i="4"/>
  <c r="A585" i="4"/>
  <c r="A589" i="4"/>
  <c r="A592" i="4"/>
  <c r="A596" i="4"/>
  <c r="A600" i="4"/>
  <c r="A604" i="4"/>
  <c r="A608" i="4"/>
  <c r="A612" i="4"/>
  <c r="A616" i="4"/>
  <c r="A124" i="4"/>
  <c r="A128" i="4"/>
  <c r="A132"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3" i="4"/>
  <c r="A246" i="4"/>
  <c r="A250" i="4"/>
  <c r="A254" i="4"/>
  <c r="A257" i="4"/>
  <c r="A261" i="4"/>
  <c r="A265" i="4"/>
  <c r="A269" i="4"/>
  <c r="A273" i="4"/>
  <c r="A277" i="4"/>
  <c r="A281" i="4"/>
  <c r="A285" i="4"/>
  <c r="A289" i="4"/>
  <c r="A293" i="4"/>
  <c r="A296" i="4"/>
  <c r="A300" i="4"/>
  <c r="A304" i="4"/>
  <c r="A308" i="4"/>
  <c r="A312" i="4"/>
  <c r="A316" i="4"/>
  <c r="A320" i="4"/>
  <c r="A324" i="4"/>
  <c r="A328" i="4"/>
  <c r="A331" i="4"/>
  <c r="A335" i="4"/>
  <c r="A339" i="4"/>
  <c r="A343" i="4"/>
  <c r="A347" i="4"/>
  <c r="A351" i="4"/>
  <c r="A355" i="4"/>
  <c r="A359" i="4"/>
  <c r="A363" i="4"/>
  <c r="A367" i="4"/>
  <c r="A371" i="4"/>
  <c r="A374" i="4"/>
  <c r="A378" i="4"/>
  <c r="A381" i="4"/>
  <c r="A385" i="4"/>
  <c r="A389" i="4"/>
  <c r="A393" i="4"/>
  <c r="A397" i="4"/>
  <c r="A401" i="4"/>
  <c r="A405" i="4"/>
  <c r="A409" i="4"/>
  <c r="A413" i="4"/>
  <c r="A417" i="4"/>
  <c r="A421" i="4"/>
  <c r="A425" i="4"/>
  <c r="A429" i="4"/>
  <c r="A433" i="4"/>
  <c r="A437" i="4"/>
  <c r="A441" i="4"/>
  <c r="A445" i="4"/>
  <c r="A449" i="4"/>
  <c r="A453" i="4"/>
  <c r="A457" i="4"/>
  <c r="A461" i="4"/>
  <c r="A465" i="4"/>
  <c r="A469" i="4"/>
  <c r="A473" i="4"/>
  <c r="A477" i="4"/>
  <c r="A481" i="4"/>
  <c r="A126" i="4"/>
  <c r="A130" i="4"/>
  <c r="A134" i="4"/>
  <c r="A138" i="4"/>
  <c r="A142" i="4"/>
  <c r="A146" i="4"/>
  <c r="A150" i="4"/>
  <c r="A154" i="4"/>
  <c r="A158" i="4"/>
  <c r="A162" i="4"/>
  <c r="A166" i="4"/>
  <c r="A170" i="4"/>
  <c r="A174" i="4"/>
  <c r="A178" i="4"/>
  <c r="A182" i="4"/>
  <c r="A186" i="4"/>
  <c r="A190" i="4"/>
  <c r="A194" i="4"/>
  <c r="A198" i="4"/>
  <c r="A202" i="4"/>
  <c r="A206" i="4"/>
  <c r="A209" i="4"/>
  <c r="A213" i="4"/>
  <c r="A217" i="4"/>
  <c r="A221" i="4"/>
  <c r="A225" i="4"/>
  <c r="A229" i="4"/>
  <c r="A233" i="4"/>
  <c r="A237" i="4"/>
  <c r="A241" i="4"/>
  <c r="A73" i="4"/>
  <c r="A248" i="4"/>
  <c r="A252" i="4"/>
  <c r="A256" i="4"/>
  <c r="A259" i="4"/>
  <c r="A263" i="4"/>
  <c r="A267" i="4"/>
  <c r="A271" i="4"/>
  <c r="A275" i="4"/>
  <c r="A279" i="4"/>
  <c r="A283" i="4"/>
  <c r="A287" i="4"/>
  <c r="A291" i="4"/>
  <c r="A114" i="4"/>
  <c r="A298" i="4"/>
  <c r="A302" i="4"/>
  <c r="A306" i="4"/>
  <c r="A310" i="4"/>
  <c r="A314" i="4"/>
  <c r="A318" i="4"/>
  <c r="A322" i="4"/>
  <c r="A326" i="4"/>
  <c r="A329" i="4"/>
  <c r="A333" i="4"/>
  <c r="A337" i="4"/>
  <c r="A341" i="4"/>
  <c r="A345" i="4"/>
  <c r="A349" i="4"/>
  <c r="A353" i="4"/>
  <c r="A357" i="4"/>
  <c r="A361" i="4"/>
  <c r="A365" i="4"/>
  <c r="A369" i="4"/>
  <c r="A98" i="4"/>
  <c r="A376" i="4"/>
  <c r="A380"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125" i="4"/>
  <c r="A141" i="4"/>
  <c r="A157" i="4"/>
  <c r="A173" i="4"/>
  <c r="A189" i="4"/>
  <c r="A205" i="4"/>
  <c r="A220" i="4"/>
  <c r="A236" i="4"/>
  <c r="A251" i="4"/>
  <c r="A266" i="4"/>
  <c r="A282" i="4"/>
  <c r="A297" i="4"/>
  <c r="A313" i="4"/>
  <c r="A6" i="4"/>
  <c r="A344" i="4"/>
  <c r="A360" i="4"/>
  <c r="A375" i="4"/>
  <c r="A390" i="4"/>
  <c r="A406" i="4"/>
  <c r="A422" i="4"/>
  <c r="A438" i="4"/>
  <c r="A454" i="4"/>
  <c r="A470" i="4"/>
  <c r="A485" i="4"/>
  <c r="A490" i="4"/>
  <c r="A495" i="4"/>
  <c r="A501" i="4"/>
  <c r="A506" i="4"/>
  <c r="A511" i="4"/>
  <c r="A517" i="4"/>
  <c r="A522" i="4"/>
  <c r="A527" i="4"/>
  <c r="A533" i="4"/>
  <c r="A538" i="4"/>
  <c r="A543" i="4"/>
  <c r="A549" i="4"/>
  <c r="A554" i="4"/>
  <c r="A559" i="4"/>
  <c r="A565" i="4"/>
  <c r="A570" i="4"/>
  <c r="A575" i="4"/>
  <c r="A581" i="4"/>
  <c r="A85" i="4"/>
  <c r="A588" i="4"/>
  <c r="A593" i="4"/>
  <c r="A598" i="4"/>
  <c r="A603" i="4"/>
  <c r="A609" i="4"/>
  <c r="A614" i="4"/>
  <c r="A619" i="4"/>
  <c r="A623" i="4"/>
  <c r="A627" i="4"/>
  <c r="A630" i="4"/>
  <c r="A634" i="4"/>
  <c r="A638" i="4"/>
  <c r="A642" i="4"/>
  <c r="A646" i="4"/>
  <c r="A650" i="4"/>
  <c r="A654" i="4"/>
  <c r="A658" i="4"/>
  <c r="A662" i="4"/>
  <c r="A666" i="4"/>
  <c r="A670" i="4"/>
  <c r="A674" i="4"/>
  <c r="A678" i="4"/>
  <c r="A682" i="4"/>
  <c r="A686" i="4"/>
  <c r="A690" i="4"/>
  <c r="A694" i="4"/>
  <c r="A697" i="4"/>
  <c r="A701" i="4"/>
  <c r="A705" i="4"/>
  <c r="A709" i="4"/>
  <c r="A713" i="4"/>
  <c r="A717" i="4"/>
  <c r="A721" i="4"/>
  <c r="A725" i="4"/>
  <c r="A729" i="4"/>
  <c r="A733" i="4"/>
  <c r="A737" i="4"/>
  <c r="A741" i="4"/>
  <c r="A745" i="4"/>
  <c r="A748" i="4"/>
  <c r="A752" i="4"/>
  <c r="A756" i="4"/>
  <c r="A760" i="4"/>
  <c r="A764" i="4"/>
  <c r="A768" i="4"/>
  <c r="A129" i="4"/>
  <c r="A145" i="4"/>
  <c r="A161" i="4"/>
  <c r="A177" i="4"/>
  <c r="A193" i="4"/>
  <c r="A208" i="4"/>
  <c r="A224" i="4"/>
  <c r="A240" i="4"/>
  <c r="A255" i="4"/>
  <c r="A270" i="4"/>
  <c r="A286" i="4"/>
  <c r="A301" i="4"/>
  <c r="A317" i="4"/>
  <c r="A332" i="4"/>
  <c r="A348" i="4"/>
  <c r="A364" i="4"/>
  <c r="A379" i="4"/>
  <c r="A394" i="4"/>
  <c r="A410" i="4"/>
  <c r="A426" i="4"/>
  <c r="A442" i="4"/>
  <c r="A458" i="4"/>
  <c r="A474" i="4"/>
  <c r="A486" i="4"/>
  <c r="A491" i="4"/>
  <c r="A497" i="4"/>
  <c r="A502" i="4"/>
  <c r="A507" i="4"/>
  <c r="A513" i="4"/>
  <c r="A518" i="4"/>
  <c r="A523" i="4"/>
  <c r="A529" i="4"/>
  <c r="A534" i="4"/>
  <c r="A539" i="4"/>
  <c r="A545" i="4"/>
  <c r="A550" i="4"/>
  <c r="A555" i="4"/>
  <c r="A561" i="4"/>
  <c r="A566" i="4"/>
  <c r="A571" i="4"/>
  <c r="A577" i="4"/>
  <c r="A582" i="4"/>
  <c r="A584" i="4"/>
  <c r="A590" i="4"/>
  <c r="A594" i="4"/>
  <c r="A599" i="4"/>
  <c r="A605" i="4"/>
  <c r="A610" i="4"/>
  <c r="A615" i="4"/>
  <c r="A620" i="4"/>
  <c r="A624" i="4"/>
  <c r="A628" i="4"/>
  <c r="A631" i="4"/>
  <c r="A635" i="4"/>
  <c r="A639" i="4"/>
  <c r="A643" i="4"/>
  <c r="A647" i="4"/>
  <c r="A651" i="4"/>
  <c r="A655" i="4"/>
  <c r="A659" i="4"/>
  <c r="A663" i="4"/>
  <c r="A667" i="4"/>
  <c r="A671" i="4"/>
  <c r="A675" i="4"/>
  <c r="A679" i="4"/>
  <c r="A683" i="4"/>
  <c r="A687" i="4"/>
  <c r="A691" i="4"/>
  <c r="A695" i="4"/>
  <c r="A698" i="4"/>
  <c r="A702" i="4"/>
  <c r="A706" i="4"/>
  <c r="A710" i="4"/>
  <c r="A714" i="4"/>
  <c r="A718" i="4"/>
  <c r="A722" i="4"/>
  <c r="A726" i="4"/>
  <c r="A730" i="4"/>
  <c r="A734" i="4"/>
  <c r="A738" i="4"/>
  <c r="A742" i="4"/>
  <c r="A746" i="4"/>
  <c r="A749" i="4"/>
  <c r="A753" i="4"/>
  <c r="A757" i="4"/>
  <c r="A761" i="4"/>
  <c r="A765" i="4"/>
  <c r="A133" i="4"/>
  <c r="A149" i="4"/>
  <c r="A165" i="4"/>
  <c r="A181" i="4"/>
  <c r="A197" i="4"/>
  <c r="A212" i="4"/>
  <c r="A228" i="4"/>
  <c r="A244" i="4"/>
  <c r="A258" i="4"/>
  <c r="A274" i="4"/>
  <c r="A290" i="4"/>
  <c r="A305" i="4"/>
  <c r="A321" i="4"/>
  <c r="A336" i="4"/>
  <c r="A352" i="4"/>
  <c r="A368" i="4"/>
  <c r="A382" i="4"/>
  <c r="A398" i="4"/>
  <c r="A414" i="4"/>
  <c r="A430" i="4"/>
  <c r="A446" i="4"/>
  <c r="A462" i="4"/>
  <c r="A478" i="4"/>
  <c r="A487" i="4"/>
  <c r="A493" i="4"/>
  <c r="A498" i="4"/>
  <c r="A503" i="4"/>
  <c r="A509" i="4"/>
  <c r="A514" i="4"/>
  <c r="A519" i="4"/>
  <c r="A525" i="4"/>
  <c r="A530" i="4"/>
  <c r="A535" i="4"/>
  <c r="A541" i="4"/>
  <c r="A546" i="4"/>
  <c r="A551" i="4"/>
  <c r="A557" i="4"/>
  <c r="A562" i="4"/>
  <c r="A567" i="4"/>
  <c r="A573" i="4"/>
  <c r="A578" i="4"/>
  <c r="A583" i="4"/>
  <c r="A586" i="4"/>
  <c r="A591" i="4"/>
  <c r="A595" i="4"/>
  <c r="A601" i="4"/>
  <c r="A606" i="4"/>
  <c r="A611" i="4"/>
  <c r="A617" i="4"/>
  <c r="A621" i="4"/>
  <c r="A625" i="4"/>
  <c r="A629" i="4"/>
  <c r="A632" i="4"/>
  <c r="A636" i="4"/>
  <c r="A640" i="4"/>
  <c r="A644" i="4"/>
  <c r="A648" i="4"/>
  <c r="A652" i="4"/>
  <c r="A656" i="4"/>
  <c r="A660" i="4"/>
  <c r="A664" i="4"/>
  <c r="A668" i="4"/>
  <c r="A672" i="4"/>
  <c r="A676" i="4"/>
  <c r="A680" i="4"/>
  <c r="A684" i="4"/>
  <c r="A688" i="4"/>
  <c r="A692" i="4"/>
  <c r="A103" i="4"/>
  <c r="A699" i="4"/>
  <c r="A703" i="4"/>
  <c r="A707" i="4"/>
  <c r="A711" i="4"/>
  <c r="A715" i="4"/>
  <c r="A719" i="4"/>
  <c r="A723" i="4"/>
  <c r="A727" i="4"/>
  <c r="A731" i="4"/>
  <c r="A735" i="4"/>
  <c r="A739" i="4"/>
  <c r="A743" i="4"/>
  <c r="A32" i="4"/>
  <c r="A750" i="4"/>
  <c r="A754" i="4"/>
  <c r="A758" i="4"/>
  <c r="A762" i="4"/>
  <c r="A766" i="4"/>
  <c r="A770" i="4"/>
  <c r="A774" i="4"/>
  <c r="A778" i="4"/>
  <c r="A782" i="4"/>
  <c r="A35" i="4"/>
  <c r="A788" i="4"/>
  <c r="A792" i="4"/>
  <c r="A796" i="4"/>
  <c r="A800" i="4"/>
  <c r="A804" i="4"/>
  <c r="A808" i="4"/>
  <c r="A812" i="4"/>
  <c r="A816" i="4"/>
  <c r="A820" i="4"/>
  <c r="A824" i="4"/>
  <c r="A828" i="4"/>
  <c r="A832" i="4"/>
  <c r="A836" i="4"/>
  <c r="A840" i="4"/>
  <c r="A844" i="4"/>
  <c r="A848" i="4"/>
  <c r="A852" i="4"/>
  <c r="A855" i="4"/>
  <c r="A859" i="4"/>
  <c r="A863" i="4"/>
  <c r="A867" i="4"/>
  <c r="A64" i="4"/>
  <c r="A874" i="4"/>
  <c r="A878" i="4"/>
  <c r="A882" i="4"/>
  <c r="A886" i="4"/>
  <c r="A890" i="4"/>
  <c r="A894" i="4"/>
  <c r="A898" i="4"/>
  <c r="A902" i="4"/>
  <c r="A906" i="4"/>
  <c r="A910" i="4"/>
  <c r="A914" i="4"/>
  <c r="A918" i="4"/>
  <c r="A922" i="4"/>
  <c r="A137" i="4"/>
  <c r="A201" i="4"/>
  <c r="A262" i="4"/>
  <c r="A325" i="4"/>
  <c r="A386" i="4"/>
  <c r="A450" i="4"/>
  <c r="A494" i="4"/>
  <c r="A515" i="4"/>
  <c r="A537" i="4"/>
  <c r="A558" i="4"/>
  <c r="A579" i="4"/>
  <c r="A597" i="4"/>
  <c r="A618" i="4"/>
  <c r="A633" i="4"/>
  <c r="A649" i="4"/>
  <c r="A665" i="4"/>
  <c r="A681" i="4"/>
  <c r="A696" i="4"/>
  <c r="A712" i="4"/>
  <c r="A728" i="4"/>
  <c r="A744" i="4"/>
  <c r="A759" i="4"/>
  <c r="A771" i="4"/>
  <c r="A776" i="4"/>
  <c r="A781" i="4"/>
  <c r="A785" i="4"/>
  <c r="A790" i="4"/>
  <c r="A795" i="4"/>
  <c r="A801" i="4"/>
  <c r="A806" i="4"/>
  <c r="A811" i="4"/>
  <c r="A817" i="4"/>
  <c r="A822" i="4"/>
  <c r="A827" i="4"/>
  <c r="A833" i="4"/>
  <c r="A838" i="4"/>
  <c r="A843" i="4"/>
  <c r="A849" i="4"/>
  <c r="A854" i="4"/>
  <c r="A858" i="4"/>
  <c r="A864" i="4"/>
  <c r="A869" i="4"/>
  <c r="A873" i="4"/>
  <c r="A879" i="4"/>
  <c r="A884" i="4"/>
  <c r="A889" i="4"/>
  <c r="A895" i="4"/>
  <c r="A900" i="4"/>
  <c r="A905" i="4"/>
  <c r="A911" i="4"/>
  <c r="A916" i="4"/>
  <c r="A921" i="4"/>
  <c r="A926" i="4"/>
  <c r="A930" i="4"/>
  <c r="A934" i="4"/>
  <c r="A938" i="4"/>
  <c r="A942" i="4"/>
  <c r="A946" i="4"/>
  <c r="A950" i="4"/>
  <c r="A954" i="4"/>
  <c r="A958" i="4"/>
  <c r="A962" i="4"/>
  <c r="A966" i="4"/>
  <c r="A969" i="4"/>
  <c r="A973" i="4"/>
  <c r="A977" i="4"/>
  <c r="A981" i="4"/>
  <c r="A985" i="4"/>
  <c r="A989" i="4"/>
  <c r="A993" i="4"/>
  <c r="A76" i="4"/>
  <c r="A1000" i="4"/>
  <c r="A1004" i="4"/>
  <c r="A1006" i="4"/>
  <c r="A1010" i="4"/>
  <c r="A1014" i="4"/>
  <c r="A1018" i="4"/>
  <c r="A1022" i="4"/>
  <c r="A1026" i="4"/>
  <c r="A1030" i="4"/>
  <c r="A1034" i="4"/>
  <c r="A1038" i="4"/>
  <c r="A1042" i="4"/>
  <c r="A1046" i="4"/>
  <c r="A1050" i="4"/>
  <c r="A1054" i="4"/>
  <c r="A1057" i="4"/>
  <c r="A1061" i="4"/>
  <c r="A1065" i="4"/>
  <c r="A1068" i="4"/>
  <c r="A1072" i="4"/>
  <c r="A1075" i="4"/>
  <c r="A1078" i="4"/>
  <c r="A1082" i="4"/>
  <c r="A96" i="4"/>
  <c r="A1089" i="4"/>
  <c r="A1093" i="4"/>
  <c r="A1097" i="4"/>
  <c r="A1101" i="4"/>
  <c r="A1105" i="4"/>
  <c r="A1109" i="4"/>
  <c r="A1113" i="4"/>
  <c r="A1117" i="4"/>
  <c r="A1120" i="4"/>
  <c r="A1123" i="4"/>
  <c r="A1127" i="4"/>
  <c r="A1131" i="4"/>
  <c r="A1135" i="4"/>
  <c r="A1139" i="4"/>
  <c r="A1143" i="4"/>
  <c r="A1147" i="4"/>
  <c r="A1151" i="4"/>
  <c r="A1155" i="4"/>
  <c r="A1159" i="4"/>
  <c r="A1163" i="4"/>
  <c r="A1167" i="4"/>
  <c r="A1171" i="4"/>
  <c r="A1175" i="4"/>
  <c r="A1179" i="4"/>
  <c r="A1183" i="4"/>
  <c r="A1187" i="4"/>
  <c r="A1190" i="4"/>
  <c r="A1194" i="4"/>
  <c r="A1197" i="4"/>
  <c r="A1201" i="4"/>
  <c r="A1204" i="4"/>
  <c r="A1207" i="4"/>
  <c r="A1211" i="4"/>
  <c r="A1215" i="4"/>
  <c r="A153" i="4"/>
  <c r="A216" i="4"/>
  <c r="A278" i="4"/>
  <c r="A340" i="4"/>
  <c r="A402" i="4"/>
  <c r="A466" i="4"/>
  <c r="A499" i="4"/>
  <c r="A521" i="4"/>
  <c r="A542" i="4"/>
  <c r="A563" i="4"/>
  <c r="A117" i="4"/>
  <c r="A602" i="4"/>
  <c r="A622" i="4"/>
  <c r="A637" i="4"/>
  <c r="A653" i="4"/>
  <c r="A669" i="4"/>
  <c r="A685" i="4"/>
  <c r="A700" i="4"/>
  <c r="A716" i="4"/>
  <c r="A732" i="4"/>
  <c r="A747" i="4"/>
  <c r="A763" i="4"/>
  <c r="A772" i="4"/>
  <c r="A777" i="4"/>
  <c r="A783" i="4"/>
  <c r="A786" i="4"/>
  <c r="A791" i="4"/>
  <c r="A797" i="4"/>
  <c r="A802" i="4"/>
  <c r="A807" i="4"/>
  <c r="A813" i="4"/>
  <c r="A818" i="4"/>
  <c r="A823" i="4"/>
  <c r="A829" i="4"/>
  <c r="A834" i="4"/>
  <c r="A839" i="4"/>
  <c r="A845" i="4"/>
  <c r="A850" i="4"/>
  <c r="A7" i="4"/>
  <c r="A860" i="4"/>
  <c r="A865" i="4"/>
  <c r="A870" i="4"/>
  <c r="A875" i="4"/>
  <c r="A880" i="4"/>
  <c r="A885" i="4"/>
  <c r="A891" i="4"/>
  <c r="A896" i="4"/>
  <c r="A901" i="4"/>
  <c r="A907" i="4"/>
  <c r="A912" i="4"/>
  <c r="A917" i="4"/>
  <c r="A923" i="4"/>
  <c r="A927" i="4"/>
  <c r="A931" i="4"/>
  <c r="A935" i="4"/>
  <c r="A939" i="4"/>
  <c r="A943" i="4"/>
  <c r="A947" i="4"/>
  <c r="A951" i="4"/>
  <c r="A955" i="4"/>
  <c r="A959" i="4"/>
  <c r="A963" i="4"/>
  <c r="A106" i="4"/>
  <c r="A970" i="4"/>
  <c r="A974" i="4"/>
  <c r="A978" i="4"/>
  <c r="A982" i="4"/>
  <c r="A986" i="4"/>
  <c r="A990" i="4"/>
  <c r="A994" i="4"/>
  <c r="A997" i="4"/>
  <c r="A1001" i="4"/>
  <c r="A62" i="4"/>
  <c r="A1007" i="4"/>
  <c r="A1011" i="4"/>
  <c r="A1015" i="4"/>
  <c r="A1019" i="4"/>
  <c r="A1023" i="4"/>
  <c r="A1027" i="4"/>
  <c r="A1031" i="4"/>
  <c r="A1035" i="4"/>
  <c r="A1039" i="4"/>
  <c r="A1043" i="4"/>
  <c r="A1047" i="4"/>
  <c r="A1051" i="4"/>
  <c r="A8" i="4"/>
  <c r="A1058" i="4"/>
  <c r="A1062" i="4"/>
  <c r="A1066" i="4"/>
  <c r="A1069" i="4"/>
  <c r="A1073" i="4"/>
  <c r="A53" i="4"/>
  <c r="A1079" i="4"/>
  <c r="A1083" i="4"/>
  <c r="A1086" i="4"/>
  <c r="A1090" i="4"/>
  <c r="A1094" i="4"/>
  <c r="A1098" i="4"/>
  <c r="A1102" i="4"/>
  <c r="A1106" i="4"/>
  <c r="A1110" i="4"/>
  <c r="A1114" i="4"/>
  <c r="A109" i="4"/>
  <c r="A86" i="4"/>
  <c r="A1124" i="4"/>
  <c r="A1128" i="4"/>
  <c r="A1132" i="4"/>
  <c r="A1136" i="4"/>
  <c r="A1140" i="4"/>
  <c r="A1144" i="4"/>
  <c r="A1148" i="4"/>
  <c r="A1152" i="4"/>
  <c r="A1156" i="4"/>
  <c r="A1160" i="4"/>
  <c r="A1164" i="4"/>
  <c r="A1168" i="4"/>
  <c r="A1172" i="4"/>
  <c r="A1176" i="4"/>
  <c r="A1180" i="4"/>
  <c r="A1184" i="4"/>
  <c r="A81" i="4"/>
  <c r="A1191" i="4"/>
  <c r="A1195" i="4"/>
  <c r="A1198" i="4"/>
  <c r="A1202" i="4"/>
  <c r="A30" i="4"/>
  <c r="A1208" i="4"/>
  <c r="A169" i="4"/>
  <c r="A232" i="4"/>
  <c r="A294" i="4"/>
  <c r="A356" i="4"/>
  <c r="A418" i="4"/>
  <c r="A482" i="4"/>
  <c r="A505" i="4"/>
  <c r="A526" i="4"/>
  <c r="A547" i="4"/>
  <c r="A569" i="4"/>
  <c r="A587" i="4"/>
  <c r="A607" i="4"/>
  <c r="A626" i="4"/>
  <c r="A641" i="4"/>
  <c r="A657" i="4"/>
  <c r="A673" i="4"/>
  <c r="A689" i="4"/>
  <c r="A704" i="4"/>
  <c r="A720" i="4"/>
  <c r="A736" i="4"/>
  <c r="A751" i="4"/>
  <c r="A767" i="4"/>
  <c r="A773" i="4"/>
  <c r="A779" i="4"/>
  <c r="A784" i="4"/>
  <c r="A787" i="4"/>
  <c r="A793" i="4"/>
  <c r="A798" i="4"/>
  <c r="A803" i="4"/>
  <c r="A809" i="4"/>
  <c r="A814" i="4"/>
  <c r="A819" i="4"/>
  <c r="A825" i="4"/>
  <c r="A830" i="4"/>
  <c r="A835" i="4"/>
  <c r="A841" i="4"/>
  <c r="A846" i="4"/>
  <c r="A851" i="4"/>
  <c r="A856" i="4"/>
  <c r="A861" i="4"/>
  <c r="A866" i="4"/>
  <c r="A871" i="4"/>
  <c r="A876" i="4"/>
  <c r="A881" i="4"/>
  <c r="A887" i="4"/>
  <c r="A892" i="4"/>
  <c r="A897" i="4"/>
  <c r="A903" i="4"/>
  <c r="A908" i="4"/>
  <c r="A913" i="4"/>
  <c r="A919" i="4"/>
  <c r="A924" i="4"/>
  <c r="A928" i="4"/>
  <c r="A932" i="4"/>
  <c r="A936" i="4"/>
  <c r="A940" i="4"/>
  <c r="A944" i="4"/>
  <c r="A948" i="4"/>
  <c r="A952" i="4"/>
  <c r="A956" i="4"/>
  <c r="A960" i="4"/>
  <c r="A964" i="4"/>
  <c r="A967" i="4"/>
  <c r="A971" i="4"/>
  <c r="A975" i="4"/>
  <c r="A979" i="4"/>
  <c r="A983" i="4"/>
  <c r="A987" i="4"/>
  <c r="A991" i="4"/>
  <c r="A995" i="4"/>
  <c r="A998" i="4"/>
  <c r="A1002" i="4"/>
  <c r="A1005" i="4"/>
  <c r="A1008" i="4"/>
  <c r="A1012" i="4"/>
  <c r="A1016" i="4"/>
  <c r="A1020" i="4"/>
  <c r="A1024" i="4"/>
  <c r="A1028" i="4"/>
  <c r="A1032" i="4"/>
  <c r="A1036" i="4"/>
  <c r="A1040" i="4"/>
  <c r="A1044" i="4"/>
  <c r="A1048" i="4"/>
  <c r="A1052" i="4"/>
  <c r="A1055" i="4"/>
  <c r="A1059" i="4"/>
  <c r="A1063" i="4"/>
  <c r="A1067" i="4"/>
  <c r="A1070" i="4"/>
  <c r="A1074" i="4"/>
  <c r="A1076" i="4"/>
  <c r="A1080" i="4"/>
  <c r="A1084" i="4"/>
  <c r="A1087" i="4"/>
  <c r="A1091" i="4"/>
  <c r="A1095" i="4"/>
  <c r="A1099" i="4"/>
  <c r="A1103" i="4"/>
  <c r="A1107" i="4"/>
  <c r="A1111" i="4"/>
  <c r="A1115" i="4"/>
  <c r="A1118" i="4"/>
  <c r="A1121" i="4"/>
  <c r="A1125" i="4"/>
  <c r="A1129" i="4"/>
  <c r="A1133" i="4"/>
  <c r="A1137" i="4"/>
  <c r="A1141" i="4"/>
  <c r="A1145" i="4"/>
  <c r="A1149" i="4"/>
  <c r="A1153" i="4"/>
  <c r="A1157" i="4"/>
  <c r="A1161" i="4"/>
  <c r="A1165" i="4"/>
  <c r="A1169" i="4"/>
  <c r="A1173" i="4"/>
  <c r="A1177" i="4"/>
  <c r="A1181" i="4"/>
  <c r="A1185" i="4"/>
  <c r="A1188" i="4"/>
  <c r="A1192" i="4"/>
  <c r="A77" i="4"/>
  <c r="A1199" i="4"/>
  <c r="A1203" i="4"/>
  <c r="A1205" i="4"/>
  <c r="A1209" i="4"/>
  <c r="A1213" i="4"/>
  <c r="A1217" i="4"/>
  <c r="A1221" i="4"/>
  <c r="A1224" i="4"/>
  <c r="A48" i="4"/>
  <c r="A1231" i="4"/>
  <c r="A1234" i="4"/>
  <c r="A1238" i="4"/>
  <c r="A1242" i="4"/>
  <c r="A1246" i="4"/>
  <c r="A1250" i="4"/>
  <c r="A1254" i="4"/>
  <c r="A116" i="4"/>
  <c r="A1258" i="4"/>
  <c r="A1262" i="4"/>
  <c r="A1266" i="4"/>
  <c r="A1270" i="4"/>
  <c r="A1273" i="4"/>
  <c r="A1277" i="4"/>
  <c r="A1281" i="4"/>
  <c r="A1285" i="4"/>
  <c r="A1289" i="4"/>
  <c r="A1293" i="4"/>
  <c r="A1296" i="4"/>
  <c r="A1300" i="4"/>
  <c r="A1304" i="4"/>
  <c r="A9" i="4"/>
  <c r="A1311" i="4"/>
  <c r="A1315" i="4"/>
  <c r="A1319" i="4"/>
  <c r="A1323" i="4"/>
  <c r="A1327" i="4"/>
  <c r="A1331" i="4"/>
  <c r="A1335" i="4"/>
  <c r="A1339" i="4"/>
  <c r="A1343" i="4"/>
  <c r="A1347" i="4"/>
  <c r="A1351" i="4"/>
  <c r="A1354" i="4"/>
  <c r="A1358" i="4"/>
  <c r="A10" i="4"/>
  <c r="A13" i="4"/>
  <c r="A119" i="4"/>
  <c r="A1369" i="4"/>
  <c r="A11" i="4"/>
  <c r="A1373" i="4"/>
  <c r="A1375" i="4"/>
  <c r="A108" i="4"/>
  <c r="A104" i="4"/>
  <c r="A83" i="4"/>
  <c r="A1382" i="4"/>
  <c r="A1386" i="4"/>
  <c r="A54" i="4"/>
  <c r="A185" i="4"/>
  <c r="A434" i="4"/>
  <c r="A553" i="4"/>
  <c r="A91" i="4"/>
  <c r="A693" i="4"/>
  <c r="A755" i="4"/>
  <c r="A105" i="4"/>
  <c r="A805" i="4"/>
  <c r="A826" i="4"/>
  <c r="A847" i="4"/>
  <c r="A868" i="4"/>
  <c r="A888" i="4"/>
  <c r="A909" i="4"/>
  <c r="A929" i="4"/>
  <c r="A945" i="4"/>
  <c r="A961" i="4"/>
  <c r="A976" i="4"/>
  <c r="A992" i="4"/>
  <c r="A49" i="4"/>
  <c r="A1021" i="4"/>
  <c r="A1037" i="4"/>
  <c r="A1053" i="4"/>
  <c r="A88" i="4"/>
  <c r="A1081" i="4"/>
  <c r="A1096" i="4"/>
  <c r="A1112" i="4"/>
  <c r="A1126" i="4"/>
  <c r="A1142" i="4"/>
  <c r="A1158" i="4"/>
  <c r="A1174" i="4"/>
  <c r="A1189" i="4"/>
  <c r="A122" i="4"/>
  <c r="A1214" i="4"/>
  <c r="A1220" i="4"/>
  <c r="A1225" i="4"/>
  <c r="A1229" i="4"/>
  <c r="A44" i="4"/>
  <c r="A1239" i="4"/>
  <c r="A1244" i="4"/>
  <c r="A1249" i="4"/>
  <c r="A1255" i="4"/>
  <c r="A99" i="4"/>
  <c r="A1261" i="4"/>
  <c r="A1267" i="4"/>
  <c r="A1272" i="4"/>
  <c r="A1276" i="4"/>
  <c r="A1282" i="4"/>
  <c r="A1287" i="4"/>
  <c r="A1292" i="4"/>
  <c r="A1297" i="4"/>
  <c r="A1302" i="4"/>
  <c r="A1307" i="4"/>
  <c r="A1312" i="4"/>
  <c r="A1317" i="4"/>
  <c r="A1322" i="4"/>
  <c r="A1328" i="4"/>
  <c r="A1333" i="4"/>
  <c r="A1338" i="4"/>
  <c r="A1344" i="4"/>
  <c r="A1349" i="4"/>
  <c r="A110" i="4"/>
  <c r="A1359" i="4"/>
  <c r="A1363" i="4"/>
  <c r="A121" i="4"/>
  <c r="A50" i="4"/>
  <c r="A1371" i="4"/>
  <c r="A1374" i="4"/>
  <c r="A1377" i="4"/>
  <c r="A1378" i="4"/>
  <c r="A89" i="4"/>
  <c r="A1387" i="4"/>
  <c r="A1391" i="4"/>
  <c r="A1392" i="4"/>
  <c r="A1395" i="4"/>
  <c r="A1396" i="4"/>
  <c r="A1399" i="4"/>
  <c r="A94" i="4"/>
  <c r="A1405" i="4"/>
  <c r="A1406" i="4"/>
  <c r="A29" i="4"/>
  <c r="A36" i="4"/>
  <c r="A45" i="4"/>
  <c r="A71" i="4"/>
  <c r="A87" i="4"/>
  <c r="A97" i="4"/>
  <c r="A95" i="4"/>
  <c r="A46" i="4"/>
  <c r="A21" i="4"/>
  <c r="A1414" i="4"/>
  <c r="A47" i="4"/>
  <c r="G123" i="4"/>
  <c r="G127" i="4"/>
  <c r="G131" i="4"/>
  <c r="G135" i="4"/>
  <c r="G139" i="4"/>
  <c r="G143" i="4"/>
  <c r="G147" i="4"/>
  <c r="G151" i="4"/>
  <c r="G155" i="4"/>
  <c r="G159" i="4"/>
  <c r="G163" i="4"/>
  <c r="G167" i="4"/>
  <c r="G171" i="4"/>
  <c r="G175" i="4"/>
  <c r="G179" i="4"/>
  <c r="G183" i="4"/>
  <c r="G187" i="4"/>
  <c r="G191" i="4"/>
  <c r="G195" i="4"/>
  <c r="G199" i="4"/>
  <c r="G203" i="4"/>
  <c r="G102" i="4"/>
  <c r="G210" i="4"/>
  <c r="G214" i="4"/>
  <c r="G218" i="4"/>
  <c r="G222" i="4"/>
  <c r="G226" i="4"/>
  <c r="G230" i="4"/>
  <c r="G234" i="4"/>
  <c r="G238" i="4"/>
  <c r="G242" i="4"/>
  <c r="G245" i="4"/>
  <c r="G249" i="4"/>
  <c r="G253" i="4"/>
  <c r="G80" i="4"/>
  <c r="G260" i="4"/>
  <c r="G264" i="4"/>
  <c r="G268" i="4"/>
  <c r="G272" i="4"/>
  <c r="G276" i="4"/>
  <c r="G280" i="4"/>
  <c r="G284" i="4"/>
  <c r="G288" i="4"/>
  <c r="G292" i="4"/>
  <c r="G295" i="4"/>
  <c r="G299" i="4"/>
  <c r="G303" i="4"/>
  <c r="G307" i="4"/>
  <c r="G311" i="4"/>
  <c r="G315" i="4"/>
  <c r="G319" i="4"/>
  <c r="G323" i="4"/>
  <c r="G327" i="4"/>
  <c r="G330" i="4"/>
  <c r="G334" i="4"/>
  <c r="G338" i="4"/>
  <c r="G342" i="4"/>
  <c r="G346" i="4"/>
  <c r="G350" i="4"/>
  <c r="G354" i="4"/>
  <c r="G358" i="4"/>
  <c r="G362" i="4"/>
  <c r="G366" i="4"/>
  <c r="G370" i="4"/>
  <c r="G373" i="4"/>
  <c r="G377" i="4"/>
  <c r="G63"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82" i="4"/>
  <c r="G585" i="4"/>
  <c r="G589" i="4"/>
  <c r="G592" i="4"/>
  <c r="G596" i="4"/>
  <c r="G600" i="4"/>
  <c r="G604" i="4"/>
  <c r="G608" i="4"/>
  <c r="G612" i="4"/>
  <c r="G616" i="4"/>
  <c r="G620" i="4"/>
  <c r="G624" i="4"/>
  <c r="G628" i="4"/>
  <c r="G631" i="4"/>
  <c r="G635" i="4"/>
  <c r="G639" i="4"/>
  <c r="G643" i="4"/>
  <c r="G647" i="4"/>
  <c r="G651" i="4"/>
  <c r="G655" i="4"/>
  <c r="G659" i="4"/>
  <c r="G663" i="4"/>
  <c r="G667" i="4"/>
  <c r="G671" i="4"/>
  <c r="G675" i="4"/>
  <c r="G679" i="4"/>
  <c r="G683" i="4"/>
  <c r="G687" i="4"/>
  <c r="G691" i="4"/>
  <c r="G695" i="4"/>
  <c r="G698" i="4"/>
  <c r="G702" i="4"/>
  <c r="G706" i="4"/>
  <c r="G710" i="4"/>
  <c r="G714" i="4"/>
  <c r="G718" i="4"/>
  <c r="G722" i="4"/>
  <c r="G726" i="4"/>
  <c r="G730" i="4"/>
  <c r="G734" i="4"/>
  <c r="G738" i="4"/>
  <c r="G742" i="4"/>
  <c r="G746" i="4"/>
  <c r="G749" i="4"/>
  <c r="G753" i="4"/>
  <c r="G757" i="4"/>
  <c r="G761" i="4"/>
  <c r="G765" i="4"/>
  <c r="A247" i="4"/>
  <c r="A489" i="4"/>
  <c r="A574" i="4"/>
  <c r="A645" i="4"/>
  <c r="A708" i="4"/>
  <c r="A769" i="4"/>
  <c r="A789" i="4"/>
  <c r="A810" i="4"/>
  <c r="A831" i="4"/>
  <c r="A853" i="4"/>
  <c r="A872" i="4"/>
  <c r="A893" i="4"/>
  <c r="A915" i="4"/>
  <c r="A933" i="4"/>
  <c r="A949" i="4"/>
  <c r="A965" i="4"/>
  <c r="A980" i="4"/>
  <c r="A996" i="4"/>
  <c r="A1009" i="4"/>
  <c r="A1025" i="4"/>
  <c r="A1041" i="4"/>
  <c r="A1056" i="4"/>
  <c r="A1071" i="4"/>
  <c r="A1085" i="4"/>
  <c r="A1100" i="4"/>
  <c r="A1116" i="4"/>
  <c r="A1130" i="4"/>
  <c r="A1146" i="4"/>
  <c r="A1162" i="4"/>
  <c r="A1178" i="4"/>
  <c r="A1193" i="4"/>
  <c r="A1206" i="4"/>
  <c r="A1216" i="4"/>
  <c r="A1222" i="4"/>
  <c r="A1226" i="4"/>
  <c r="A1230" i="4"/>
  <c r="A1235" i="4"/>
  <c r="A1240" i="4"/>
  <c r="A1245" i="4"/>
  <c r="A1251" i="4"/>
  <c r="A1256" i="4"/>
  <c r="A107" i="4"/>
  <c r="A1263" i="4"/>
  <c r="A1268" i="4"/>
  <c r="A112" i="4"/>
  <c r="A1278" i="4"/>
  <c r="A1283" i="4"/>
  <c r="A1288" i="4"/>
  <c r="A1294" i="4"/>
  <c r="A1298" i="4"/>
  <c r="A1303" i="4"/>
  <c r="A1308" i="4"/>
  <c r="A1313" i="4"/>
  <c r="A1318" i="4"/>
  <c r="A1324" i="4"/>
  <c r="A1329" i="4"/>
  <c r="A1334" i="4"/>
  <c r="A1340" i="4"/>
  <c r="A1345" i="4"/>
  <c r="A1350" i="4"/>
  <c r="A1355" i="4"/>
  <c r="A1360" i="4"/>
  <c r="A1364" i="4"/>
  <c r="A1367" i="4"/>
  <c r="A1370" i="4"/>
  <c r="A1372" i="4"/>
  <c r="A1376" i="4"/>
  <c r="A100" i="4"/>
  <c r="A1379" i="4"/>
  <c r="A1383" i="4"/>
  <c r="A1388" i="4"/>
  <c r="A78" i="4"/>
  <c r="A66" i="4"/>
  <c r="A19" i="4"/>
  <c r="A1397" i="4"/>
  <c r="A79" i="4"/>
  <c r="A1402" i="4"/>
  <c r="A70" i="4"/>
  <c r="A1407" i="4"/>
  <c r="A31" i="4"/>
  <c r="A39" i="4"/>
  <c r="A55" i="4"/>
  <c r="A1410" i="4"/>
  <c r="A60" i="4"/>
  <c r="A120" i="4"/>
  <c r="A59" i="4"/>
  <c r="A26" i="4"/>
  <c r="A1413" i="4"/>
  <c r="A43" i="4"/>
  <c r="A37" i="4"/>
  <c r="G124" i="4"/>
  <c r="G128" i="4"/>
  <c r="G132" i="4"/>
  <c r="G136" i="4"/>
  <c r="G140" i="4"/>
  <c r="G144" i="4"/>
  <c r="G148" i="4"/>
  <c r="G152" i="4"/>
  <c r="G156" i="4"/>
  <c r="G160" i="4"/>
  <c r="G164" i="4"/>
  <c r="G168" i="4"/>
  <c r="G172" i="4"/>
  <c r="G176" i="4"/>
  <c r="G180" i="4"/>
  <c r="G184" i="4"/>
  <c r="G188" i="4"/>
  <c r="G192" i="4"/>
  <c r="G196" i="4"/>
  <c r="G200" i="4"/>
  <c r="G204" i="4"/>
  <c r="G207" i="4"/>
  <c r="G211" i="4"/>
  <c r="G215" i="4"/>
  <c r="G219" i="4"/>
  <c r="G223" i="4"/>
  <c r="G227" i="4"/>
  <c r="G231" i="4"/>
  <c r="G235" i="4"/>
  <c r="G239" i="4"/>
  <c r="G243" i="4"/>
  <c r="G246" i="4"/>
  <c r="G250" i="4"/>
  <c r="G254" i="4"/>
  <c r="G257" i="4"/>
  <c r="G261" i="4"/>
  <c r="G265" i="4"/>
  <c r="G269" i="4"/>
  <c r="G273" i="4"/>
  <c r="G277" i="4"/>
  <c r="G281" i="4"/>
  <c r="G285" i="4"/>
  <c r="G289" i="4"/>
  <c r="G293" i="4"/>
  <c r="G296" i="4"/>
  <c r="G300" i="4"/>
  <c r="G304" i="4"/>
  <c r="G308" i="4"/>
  <c r="G312" i="4"/>
  <c r="G316" i="4"/>
  <c r="G320" i="4"/>
  <c r="G324" i="4"/>
  <c r="G328" i="4"/>
  <c r="G331" i="4"/>
  <c r="G335" i="4"/>
  <c r="G339" i="4"/>
  <c r="G343" i="4"/>
  <c r="G347" i="4"/>
  <c r="G351" i="4"/>
  <c r="G355" i="4"/>
  <c r="G359" i="4"/>
  <c r="G363" i="4"/>
  <c r="G367" i="4"/>
  <c r="G371" i="4"/>
  <c r="G374" i="4"/>
  <c r="G378" i="4"/>
  <c r="G381" i="4"/>
  <c r="G385" i="4"/>
  <c r="G389" i="4"/>
  <c r="G393" i="4"/>
  <c r="G397" i="4"/>
  <c r="G401" i="4"/>
  <c r="G405" i="4"/>
  <c r="A309" i="4"/>
  <c r="A510" i="4"/>
  <c r="A113" i="4"/>
  <c r="A661" i="4"/>
  <c r="A724" i="4"/>
  <c r="A775" i="4"/>
  <c r="A794" i="4"/>
  <c r="A815" i="4"/>
  <c r="A837" i="4"/>
  <c r="A857" i="4"/>
  <c r="A877" i="4"/>
  <c r="A899" i="4"/>
  <c r="A920" i="4"/>
  <c r="A937" i="4"/>
  <c r="A953" i="4"/>
  <c r="A968" i="4"/>
  <c r="A984" i="4"/>
  <c r="A999" i="4"/>
  <c r="A1013" i="4"/>
  <c r="A1029" i="4"/>
  <c r="A1045" i="4"/>
  <c r="A1060" i="4"/>
  <c r="A14" i="4"/>
  <c r="A1088" i="4"/>
  <c r="A1104" i="4"/>
  <c r="A1119" i="4"/>
  <c r="A1134" i="4"/>
  <c r="A1150" i="4"/>
  <c r="A1166" i="4"/>
  <c r="A1182" i="4"/>
  <c r="A1196" i="4"/>
  <c r="A1210" i="4"/>
  <c r="A1218" i="4"/>
  <c r="A1223" i="4"/>
  <c r="A1227" i="4"/>
  <c r="A1232" i="4"/>
  <c r="A1236" i="4"/>
  <c r="A1241" i="4"/>
  <c r="A1247" i="4"/>
  <c r="A1252" i="4"/>
  <c r="A1257" i="4"/>
  <c r="A1259" i="4"/>
  <c r="A1264" i="4"/>
  <c r="A1269" i="4"/>
  <c r="A1274" i="4"/>
  <c r="A1279" i="4"/>
  <c r="A1284" i="4"/>
  <c r="A1290" i="4"/>
  <c r="A115" i="4"/>
  <c r="A1299" i="4"/>
  <c r="A1305" i="4"/>
  <c r="A1309" i="4"/>
  <c r="A1314" i="4"/>
  <c r="A1320" i="4"/>
  <c r="A1325" i="4"/>
  <c r="A1330" i="4"/>
  <c r="A1336" i="4"/>
  <c r="A1341" i="4"/>
  <c r="A1346" i="4"/>
  <c r="A1352" i="4"/>
  <c r="A1356" i="4"/>
  <c r="A1361" i="4"/>
  <c r="A1365" i="4"/>
  <c r="A1368" i="4"/>
  <c r="A15" i="4"/>
  <c r="A65" i="4"/>
  <c r="A74" i="4"/>
  <c r="A101" i="4"/>
  <c r="A1380" i="4"/>
  <c r="A1384" i="4"/>
  <c r="A1389" i="4"/>
  <c r="A12" i="4"/>
  <c r="A1393" i="4"/>
  <c r="A28" i="4"/>
  <c r="A1398" i="4"/>
  <c r="A1400" i="4"/>
  <c r="A1403" i="4"/>
  <c r="A24" i="4"/>
  <c r="A1408" i="4"/>
  <c r="A20" i="4"/>
  <c r="A41" i="4"/>
  <c r="A42" i="4"/>
  <c r="A58" i="4"/>
  <c r="A1411" i="4"/>
  <c r="A67" i="4"/>
  <c r="A84" i="4"/>
  <c r="A1412" i="4"/>
  <c r="A68" i="4"/>
  <c r="A52" i="4"/>
  <c r="A40" i="4"/>
  <c r="G125" i="4"/>
  <c r="G129" i="4"/>
  <c r="G133" i="4"/>
  <c r="G137" i="4"/>
  <c r="G141" i="4"/>
  <c r="G145" i="4"/>
  <c r="G149" i="4"/>
  <c r="G153" i="4"/>
  <c r="G157" i="4"/>
  <c r="G161" i="4"/>
  <c r="G165" i="4"/>
  <c r="G169" i="4"/>
  <c r="G173" i="4"/>
  <c r="G177" i="4"/>
  <c r="G181" i="4"/>
  <c r="G185" i="4"/>
  <c r="G189" i="4"/>
  <c r="G193" i="4"/>
  <c r="G197" i="4"/>
  <c r="G201" i="4"/>
  <c r="G205" i="4"/>
  <c r="G208" i="4"/>
  <c r="G212" i="4"/>
  <c r="G216" i="4"/>
  <c r="G220" i="4"/>
  <c r="G224" i="4"/>
  <c r="G228" i="4"/>
  <c r="G232" i="4"/>
  <c r="G236" i="4"/>
  <c r="G240" i="4"/>
  <c r="G244" i="4"/>
  <c r="G247" i="4"/>
  <c r="G251" i="4"/>
  <c r="G255" i="4"/>
  <c r="G258" i="4"/>
  <c r="G262" i="4"/>
  <c r="G266" i="4"/>
  <c r="G270" i="4"/>
  <c r="G274" i="4"/>
  <c r="G278" i="4"/>
  <c r="G282" i="4"/>
  <c r="G286" i="4"/>
  <c r="G290" i="4"/>
  <c r="G294" i="4"/>
  <c r="G297" i="4"/>
  <c r="G301" i="4"/>
  <c r="G305" i="4"/>
  <c r="G309" i="4"/>
  <c r="G313" i="4"/>
  <c r="G317" i="4"/>
  <c r="G321" i="4"/>
  <c r="G325" i="4"/>
  <c r="G6" i="4"/>
  <c r="G332" i="4"/>
  <c r="G336" i="4"/>
  <c r="G340" i="4"/>
  <c r="G344" i="4"/>
  <c r="G348" i="4"/>
  <c r="G352" i="4"/>
  <c r="G356" i="4"/>
  <c r="G360" i="4"/>
  <c r="G364" i="4"/>
  <c r="G368" i="4"/>
  <c r="G372" i="4"/>
  <c r="G375" i="4"/>
  <c r="G379" i="4"/>
  <c r="G382" i="4"/>
  <c r="G386" i="4"/>
  <c r="G390" i="4"/>
  <c r="G394" i="4"/>
  <c r="G398" i="4"/>
  <c r="G402" i="4"/>
  <c r="G406" i="4"/>
  <c r="A372" i="4"/>
  <c r="A740" i="4"/>
  <c r="A842" i="4"/>
  <c r="A925" i="4"/>
  <c r="A988" i="4"/>
  <c r="A1049" i="4"/>
  <c r="A1108" i="4"/>
  <c r="A1170" i="4"/>
  <c r="A1219" i="4"/>
  <c r="A1237" i="4"/>
  <c r="A69" i="4"/>
  <c r="A1275" i="4"/>
  <c r="A1295" i="4"/>
  <c r="A1316" i="4"/>
  <c r="A1337" i="4"/>
  <c r="A1357" i="4"/>
  <c r="A93" i="4"/>
  <c r="A1381" i="4"/>
  <c r="A1394" i="4"/>
  <c r="A1404" i="4"/>
  <c r="A57" i="4"/>
  <c r="A90" i="4"/>
  <c r="A56" i="4"/>
  <c r="G134" i="4"/>
  <c r="G150" i="4"/>
  <c r="G166" i="4"/>
  <c r="G182" i="4"/>
  <c r="G198" i="4"/>
  <c r="G213" i="4"/>
  <c r="G229" i="4"/>
  <c r="G73" i="4"/>
  <c r="G259" i="4"/>
  <c r="G275" i="4"/>
  <c r="G291" i="4"/>
  <c r="G306" i="4"/>
  <c r="G322" i="4"/>
  <c r="G337" i="4"/>
  <c r="G353" i="4"/>
  <c r="G369" i="4"/>
  <c r="G383" i="4"/>
  <c r="G399" i="4"/>
  <c r="G410" i="4"/>
  <c r="G415" i="4"/>
  <c r="G421" i="4"/>
  <c r="G426" i="4"/>
  <c r="G431" i="4"/>
  <c r="G437" i="4"/>
  <c r="G442" i="4"/>
  <c r="G447" i="4"/>
  <c r="G453" i="4"/>
  <c r="G458" i="4"/>
  <c r="G463" i="4"/>
  <c r="G469" i="4"/>
  <c r="G474" i="4"/>
  <c r="G479" i="4"/>
  <c r="G485" i="4"/>
  <c r="G490" i="4"/>
  <c r="G495" i="4"/>
  <c r="G501" i="4"/>
  <c r="G506" i="4"/>
  <c r="G511" i="4"/>
  <c r="G517" i="4"/>
  <c r="G522" i="4"/>
  <c r="G527" i="4"/>
  <c r="G533" i="4"/>
  <c r="G538" i="4"/>
  <c r="G543" i="4"/>
  <c r="G549" i="4"/>
  <c r="G554" i="4"/>
  <c r="G559" i="4"/>
  <c r="G565" i="4"/>
  <c r="G570" i="4"/>
  <c r="G575" i="4"/>
  <c r="G581" i="4"/>
  <c r="G85" i="4"/>
  <c r="G588" i="4"/>
  <c r="G593" i="4"/>
  <c r="G598" i="4"/>
  <c r="G603" i="4"/>
  <c r="G609" i="4"/>
  <c r="G614" i="4"/>
  <c r="G619" i="4"/>
  <c r="G625" i="4"/>
  <c r="G91" i="4"/>
  <c r="G634" i="4"/>
  <c r="G640" i="4"/>
  <c r="G645" i="4"/>
  <c r="G650" i="4"/>
  <c r="G656" i="4"/>
  <c r="G661" i="4"/>
  <c r="G666" i="4"/>
  <c r="G672" i="4"/>
  <c r="G677" i="4"/>
  <c r="G682" i="4"/>
  <c r="G688" i="4"/>
  <c r="G693" i="4"/>
  <c r="G697" i="4"/>
  <c r="G703" i="4"/>
  <c r="G708" i="4"/>
  <c r="G713" i="4"/>
  <c r="G719" i="4"/>
  <c r="G724" i="4"/>
  <c r="G729" i="4"/>
  <c r="G735" i="4"/>
  <c r="G740" i="4"/>
  <c r="G745" i="4"/>
  <c r="G750" i="4"/>
  <c r="G755" i="4"/>
  <c r="G760" i="4"/>
  <c r="G766" i="4"/>
  <c r="G770" i="4"/>
  <c r="G774" i="4"/>
  <c r="G778" i="4"/>
  <c r="G782" i="4"/>
  <c r="G35" i="4"/>
  <c r="G788" i="4"/>
  <c r="G792" i="4"/>
  <c r="G796" i="4"/>
  <c r="G800" i="4"/>
  <c r="G804" i="4"/>
  <c r="G808" i="4"/>
  <c r="G812" i="4"/>
  <c r="G816" i="4"/>
  <c r="G820" i="4"/>
  <c r="G824" i="4"/>
  <c r="G828" i="4"/>
  <c r="G832" i="4"/>
  <c r="G836" i="4"/>
  <c r="G840" i="4"/>
  <c r="G844" i="4"/>
  <c r="G848" i="4"/>
  <c r="G852" i="4"/>
  <c r="G855" i="4"/>
  <c r="G859" i="4"/>
  <c r="G863" i="4"/>
  <c r="G867" i="4"/>
  <c r="G64" i="4"/>
  <c r="G874" i="4"/>
  <c r="G878" i="4"/>
  <c r="G882" i="4"/>
  <c r="G886" i="4"/>
  <c r="G890" i="4"/>
  <c r="G894" i="4"/>
  <c r="G898" i="4"/>
  <c r="G902" i="4"/>
  <c r="G906" i="4"/>
  <c r="G910" i="4"/>
  <c r="G914" i="4"/>
  <c r="G918" i="4"/>
  <c r="G922" i="4"/>
  <c r="G926" i="4"/>
  <c r="G930" i="4"/>
  <c r="G934" i="4"/>
  <c r="G938" i="4"/>
  <c r="G942" i="4"/>
  <c r="G946" i="4"/>
  <c r="G950" i="4"/>
  <c r="G954" i="4"/>
  <c r="G958" i="4"/>
  <c r="G962" i="4"/>
  <c r="G966" i="4"/>
  <c r="G969" i="4"/>
  <c r="G973" i="4"/>
  <c r="G977" i="4"/>
  <c r="G981" i="4"/>
  <c r="G985" i="4"/>
  <c r="G989" i="4"/>
  <c r="G993" i="4"/>
  <c r="G76" i="4"/>
  <c r="G1000" i="4"/>
  <c r="G1004" i="4"/>
  <c r="G1006" i="4"/>
  <c r="G1010" i="4"/>
  <c r="G1014" i="4"/>
  <c r="G1018" i="4"/>
  <c r="G1022" i="4"/>
  <c r="G1026" i="4"/>
  <c r="G1030" i="4"/>
  <c r="G1034" i="4"/>
  <c r="G1038" i="4"/>
  <c r="G1042" i="4"/>
  <c r="G1046" i="4"/>
  <c r="G1050" i="4"/>
  <c r="G1054" i="4"/>
  <c r="G1057" i="4"/>
  <c r="G1061" i="4"/>
  <c r="G1065" i="4"/>
  <c r="G1068" i="4"/>
  <c r="G1072" i="4"/>
  <c r="G1075" i="4"/>
  <c r="G1078" i="4"/>
  <c r="G1082" i="4"/>
  <c r="G96" i="4"/>
  <c r="G1089" i="4"/>
  <c r="G1093" i="4"/>
  <c r="G1097" i="4"/>
  <c r="G1101" i="4"/>
  <c r="G1105" i="4"/>
  <c r="G1109" i="4"/>
  <c r="G1113" i="4"/>
  <c r="G1117" i="4"/>
  <c r="G1120" i="4"/>
  <c r="G1123" i="4"/>
  <c r="G1127" i="4"/>
  <c r="G1131" i="4"/>
  <c r="G1135" i="4"/>
  <c r="G1139" i="4"/>
  <c r="G1143" i="4"/>
  <c r="G1147" i="4"/>
  <c r="G1151" i="4"/>
  <c r="G1155" i="4"/>
  <c r="G1159" i="4"/>
  <c r="G1163" i="4"/>
  <c r="G1167" i="4"/>
  <c r="G1171" i="4"/>
  <c r="G1175" i="4"/>
  <c r="G1179" i="4"/>
  <c r="G1183" i="4"/>
  <c r="G1187" i="4"/>
  <c r="G1190" i="4"/>
  <c r="G1194" i="4"/>
  <c r="G1197" i="4"/>
  <c r="G1201" i="4"/>
  <c r="G1204" i="4"/>
  <c r="G1207" i="4"/>
  <c r="G1211" i="4"/>
  <c r="G1215" i="4"/>
  <c r="G1219" i="4"/>
  <c r="G1223" i="4"/>
  <c r="G1226" i="4"/>
  <c r="G1229" i="4"/>
  <c r="G1233" i="4"/>
  <c r="G1236" i="4"/>
  <c r="G1240" i="4"/>
  <c r="G1244" i="4"/>
  <c r="G1248" i="4"/>
  <c r="G1252" i="4"/>
  <c r="G1256" i="4"/>
  <c r="G99" i="4"/>
  <c r="G1260" i="4"/>
  <c r="G1264" i="4"/>
  <c r="G1268" i="4"/>
  <c r="G1272" i="4"/>
  <c r="G1275" i="4"/>
  <c r="G1279" i="4"/>
  <c r="G1283" i="4"/>
  <c r="G1287" i="4"/>
  <c r="G1291" i="4"/>
  <c r="G115" i="4"/>
  <c r="G1298" i="4"/>
  <c r="G1302" i="4"/>
  <c r="G1306" i="4"/>
  <c r="G1309" i="4"/>
  <c r="G1313" i="4"/>
  <c r="G1317" i="4"/>
  <c r="G1321" i="4"/>
  <c r="G1325" i="4"/>
  <c r="G1329" i="4"/>
  <c r="G1333" i="4"/>
  <c r="G1337" i="4"/>
  <c r="G1341" i="4"/>
  <c r="G1345" i="4"/>
  <c r="G1349" i="4"/>
  <c r="G1353" i="4"/>
  <c r="G1356" i="4"/>
  <c r="G1360" i="4"/>
  <c r="G1363" i="4"/>
  <c r="G1366" i="4"/>
  <c r="G1368" i="4"/>
  <c r="G1370" i="4"/>
  <c r="G1371" i="4"/>
  <c r="G38" i="4"/>
  <c r="G74" i="4"/>
  <c r="G100" i="4"/>
  <c r="G1378" i="4"/>
  <c r="G1381" i="4"/>
  <c r="G1384" i="4"/>
  <c r="G1388" i="4"/>
  <c r="G1391" i="4"/>
  <c r="G1392" i="4"/>
  <c r="G1395" i="4"/>
  <c r="G1396" i="4"/>
  <c r="G1399" i="4"/>
  <c r="G94" i="4"/>
  <c r="G1405" i="4"/>
  <c r="G1406" i="4"/>
  <c r="G29" i="4"/>
  <c r="G36" i="4"/>
  <c r="G45" i="4"/>
  <c r="G71" i="4"/>
  <c r="G87" i="4"/>
  <c r="G97" i="4"/>
  <c r="G95" i="4"/>
  <c r="G46" i="4"/>
  <c r="G21" i="4"/>
  <c r="G1414" i="4"/>
  <c r="G47" i="4"/>
  <c r="A531" i="4"/>
  <c r="A780" i="4"/>
  <c r="A862" i="4"/>
  <c r="A941" i="4"/>
  <c r="A1003" i="4"/>
  <c r="A1064" i="4"/>
  <c r="A1122" i="4"/>
  <c r="A1186" i="4"/>
  <c r="A118" i="4"/>
  <c r="A1243" i="4"/>
  <c r="A1260" i="4"/>
  <c r="A1280" i="4"/>
  <c r="A1301" i="4"/>
  <c r="A1321" i="4"/>
  <c r="A1342" i="4"/>
  <c r="A1362" i="4"/>
  <c r="A38" i="4"/>
  <c r="A1385" i="4"/>
  <c r="A23" i="4"/>
  <c r="A17" i="4"/>
  <c r="A51" i="4"/>
  <c r="A75" i="4"/>
  <c r="A22" i="4"/>
  <c r="G138" i="4"/>
  <c r="G154" i="4"/>
  <c r="G170" i="4"/>
  <c r="G186" i="4"/>
  <c r="G202" i="4"/>
  <c r="G217" i="4"/>
  <c r="G233" i="4"/>
  <c r="G248" i="4"/>
  <c r="G263" i="4"/>
  <c r="G279" i="4"/>
  <c r="G114" i="4"/>
  <c r="G310" i="4"/>
  <c r="G326" i="4"/>
  <c r="G341" i="4"/>
  <c r="G357" i="4"/>
  <c r="G98" i="4"/>
  <c r="G387" i="4"/>
  <c r="G403" i="4"/>
  <c r="G411" i="4"/>
  <c r="G417" i="4"/>
  <c r="G422" i="4"/>
  <c r="G427" i="4"/>
  <c r="G433" i="4"/>
  <c r="G438" i="4"/>
  <c r="G443" i="4"/>
  <c r="G449" i="4"/>
  <c r="G454" i="4"/>
  <c r="G459" i="4"/>
  <c r="G465" i="4"/>
  <c r="G470" i="4"/>
  <c r="G475" i="4"/>
  <c r="G481" i="4"/>
  <c r="G486" i="4"/>
  <c r="G491" i="4"/>
  <c r="G497" i="4"/>
  <c r="G502" i="4"/>
  <c r="G507" i="4"/>
  <c r="G513" i="4"/>
  <c r="G518" i="4"/>
  <c r="G523" i="4"/>
  <c r="G529" i="4"/>
  <c r="G534" i="4"/>
  <c r="G539" i="4"/>
  <c r="G545" i="4"/>
  <c r="G550" i="4"/>
  <c r="G555" i="4"/>
  <c r="G561" i="4"/>
  <c r="G566" i="4"/>
  <c r="G571" i="4"/>
  <c r="G577" i="4"/>
  <c r="G582" i="4"/>
  <c r="G584" i="4"/>
  <c r="G590" i="4"/>
  <c r="G594" i="4"/>
  <c r="G599" i="4"/>
  <c r="G605" i="4"/>
  <c r="G610" i="4"/>
  <c r="G615" i="4"/>
  <c r="G621" i="4"/>
  <c r="G626" i="4"/>
  <c r="G630" i="4"/>
  <c r="G636" i="4"/>
  <c r="G641" i="4"/>
  <c r="G646" i="4"/>
  <c r="G652" i="4"/>
  <c r="G657" i="4"/>
  <c r="G662" i="4"/>
  <c r="G668" i="4"/>
  <c r="G673" i="4"/>
  <c r="G678" i="4"/>
  <c r="G684" i="4"/>
  <c r="G689" i="4"/>
  <c r="G694" i="4"/>
  <c r="G699" i="4"/>
  <c r="G704" i="4"/>
  <c r="G709" i="4"/>
  <c r="G715" i="4"/>
  <c r="G720" i="4"/>
  <c r="G725" i="4"/>
  <c r="G731" i="4"/>
  <c r="G736" i="4"/>
  <c r="G741" i="4"/>
  <c r="G32" i="4"/>
  <c r="G751" i="4"/>
  <c r="G756" i="4"/>
  <c r="G762" i="4"/>
  <c r="G767" i="4"/>
  <c r="G771" i="4"/>
  <c r="G775" i="4"/>
  <c r="G779" i="4"/>
  <c r="G783" i="4"/>
  <c r="G785" i="4"/>
  <c r="G789" i="4"/>
  <c r="G793" i="4"/>
  <c r="G797" i="4"/>
  <c r="G801" i="4"/>
  <c r="G805" i="4"/>
  <c r="G809" i="4"/>
  <c r="G813" i="4"/>
  <c r="G817" i="4"/>
  <c r="G821" i="4"/>
  <c r="G825" i="4"/>
  <c r="G829" i="4"/>
  <c r="G833" i="4"/>
  <c r="G837" i="4"/>
  <c r="G841" i="4"/>
  <c r="G845" i="4"/>
  <c r="G849" i="4"/>
  <c r="G853" i="4"/>
  <c r="G856" i="4"/>
  <c r="G860" i="4"/>
  <c r="G864" i="4"/>
  <c r="G868" i="4"/>
  <c r="G871" i="4"/>
  <c r="G875" i="4"/>
  <c r="G879" i="4"/>
  <c r="G883" i="4"/>
  <c r="G887" i="4"/>
  <c r="G891" i="4"/>
  <c r="G895" i="4"/>
  <c r="G899" i="4"/>
  <c r="G903" i="4"/>
  <c r="G907" i="4"/>
  <c r="G911" i="4"/>
  <c r="G915" i="4"/>
  <c r="G919" i="4"/>
  <c r="G923" i="4"/>
  <c r="G927" i="4"/>
  <c r="G931" i="4"/>
  <c r="G935" i="4"/>
  <c r="G939" i="4"/>
  <c r="G943" i="4"/>
  <c r="G947" i="4"/>
  <c r="G951" i="4"/>
  <c r="G955" i="4"/>
  <c r="G959" i="4"/>
  <c r="G963" i="4"/>
  <c r="G106" i="4"/>
  <c r="G970" i="4"/>
  <c r="G974" i="4"/>
  <c r="G978" i="4"/>
  <c r="G982" i="4"/>
  <c r="G986" i="4"/>
  <c r="G990" i="4"/>
  <c r="G994" i="4"/>
  <c r="G997" i="4"/>
  <c r="G1001" i="4"/>
  <c r="G62" i="4"/>
  <c r="G1007" i="4"/>
  <c r="G1011" i="4"/>
  <c r="G1015" i="4"/>
  <c r="G1019" i="4"/>
  <c r="G1023" i="4"/>
  <c r="G1027" i="4"/>
  <c r="G1031" i="4"/>
  <c r="G1035" i="4"/>
  <c r="G1039" i="4"/>
  <c r="G1043" i="4"/>
  <c r="G1047" i="4"/>
  <c r="G1051" i="4"/>
  <c r="G8" i="4"/>
  <c r="G1058" i="4"/>
  <c r="G1062" i="4"/>
  <c r="G1066" i="4"/>
  <c r="G1069" i="4"/>
  <c r="G1073" i="4"/>
  <c r="G53" i="4"/>
  <c r="G1079" i="4"/>
  <c r="G1083" i="4"/>
  <c r="G1086" i="4"/>
  <c r="G1090" i="4"/>
  <c r="G1094" i="4"/>
  <c r="G1098" i="4"/>
  <c r="G1102" i="4"/>
  <c r="G1106" i="4"/>
  <c r="G1110" i="4"/>
  <c r="G1114" i="4"/>
  <c r="G109" i="4"/>
  <c r="G86" i="4"/>
  <c r="G1124" i="4"/>
  <c r="G1128" i="4"/>
  <c r="G1132" i="4"/>
  <c r="G1136" i="4"/>
  <c r="G1140" i="4"/>
  <c r="G1144" i="4"/>
  <c r="G1148" i="4"/>
  <c r="G1152" i="4"/>
  <c r="G1156" i="4"/>
  <c r="G1160" i="4"/>
  <c r="G1164" i="4"/>
  <c r="G1168" i="4"/>
  <c r="G1172" i="4"/>
  <c r="G1176" i="4"/>
  <c r="G1180" i="4"/>
  <c r="G1184" i="4"/>
  <c r="G81" i="4"/>
  <c r="G1191" i="4"/>
  <c r="G1195" i="4"/>
  <c r="G1198" i="4"/>
  <c r="G1202" i="4"/>
  <c r="G30" i="4"/>
  <c r="G1208" i="4"/>
  <c r="G1212" i="4"/>
  <c r="G1216" i="4"/>
  <c r="G1220" i="4"/>
  <c r="G118" i="4"/>
  <c r="G1227" i="4"/>
  <c r="G1230" i="4"/>
  <c r="G44" i="4"/>
  <c r="G1237" i="4"/>
  <c r="G1241" i="4"/>
  <c r="G1245" i="4"/>
  <c r="G1249" i="4"/>
  <c r="G1253" i="4"/>
  <c r="G1257" i="4"/>
  <c r="G107" i="4"/>
  <c r="G1261" i="4"/>
  <c r="G1265" i="4"/>
  <c r="G1269" i="4"/>
  <c r="G112" i="4"/>
  <c r="G1276" i="4"/>
  <c r="G1280" i="4"/>
  <c r="G1284" i="4"/>
  <c r="G1288" i="4"/>
  <c r="G1292" i="4"/>
  <c r="G1295" i="4"/>
  <c r="G1299" i="4"/>
  <c r="G1303" i="4"/>
  <c r="G1307" i="4"/>
  <c r="G1310" i="4"/>
  <c r="G1314" i="4"/>
  <c r="G1318" i="4"/>
  <c r="A613" i="4"/>
  <c r="A799" i="4"/>
  <c r="A883" i="4"/>
  <c r="A957" i="4"/>
  <c r="A1017" i="4"/>
  <c r="A1077" i="4"/>
  <c r="A1138" i="4"/>
  <c r="A1200" i="4"/>
  <c r="A1228" i="4"/>
  <c r="A1248" i="4"/>
  <c r="A1265" i="4"/>
  <c r="A1286" i="4"/>
  <c r="A1306" i="4"/>
  <c r="A1326" i="4"/>
  <c r="A1348" i="4"/>
  <c r="A1366" i="4"/>
  <c r="A33" i="4"/>
  <c r="A1390" i="4"/>
  <c r="A111" i="4"/>
  <c r="A1409" i="4"/>
  <c r="A34" i="4"/>
  <c r="A27" i="4"/>
  <c r="G126" i="4"/>
  <c r="G142" i="4"/>
  <c r="G158" i="4"/>
  <c r="G174" i="4"/>
  <c r="G190" i="4"/>
  <c r="G206" i="4"/>
  <c r="G221" i="4"/>
  <c r="G237" i="4"/>
  <c r="G252" i="4"/>
  <c r="G267" i="4"/>
  <c r="G283" i="4"/>
  <c r="G298" i="4"/>
  <c r="G314" i="4"/>
  <c r="G329" i="4"/>
  <c r="G345" i="4"/>
  <c r="G361" i="4"/>
  <c r="G376" i="4"/>
  <c r="G391" i="4"/>
  <c r="G407" i="4"/>
  <c r="G413" i="4"/>
  <c r="G418" i="4"/>
  <c r="G423" i="4"/>
  <c r="G429" i="4"/>
  <c r="G434" i="4"/>
  <c r="G439" i="4"/>
  <c r="G445" i="4"/>
  <c r="G450" i="4"/>
  <c r="G455" i="4"/>
  <c r="G461" i="4"/>
  <c r="G466" i="4"/>
  <c r="G471" i="4"/>
  <c r="G477" i="4"/>
  <c r="G482" i="4"/>
  <c r="G487" i="4"/>
  <c r="G493" i="4"/>
  <c r="G498" i="4"/>
  <c r="G503" i="4"/>
  <c r="G509" i="4"/>
  <c r="G514" i="4"/>
  <c r="G519" i="4"/>
  <c r="G525" i="4"/>
  <c r="G530" i="4"/>
  <c r="G535" i="4"/>
  <c r="G541" i="4"/>
  <c r="G546" i="4"/>
  <c r="G551" i="4"/>
  <c r="G557" i="4"/>
  <c r="G562" i="4"/>
  <c r="G567" i="4"/>
  <c r="G573" i="4"/>
  <c r="G578" i="4"/>
  <c r="G583" i="4"/>
  <c r="G586" i="4"/>
  <c r="G591" i="4"/>
  <c r="G595" i="4"/>
  <c r="G601" i="4"/>
  <c r="G606" i="4"/>
  <c r="G611" i="4"/>
  <c r="G617" i="4"/>
  <c r="G622" i="4"/>
  <c r="G627" i="4"/>
  <c r="G632" i="4"/>
  <c r="G637" i="4"/>
  <c r="G642" i="4"/>
  <c r="G648" i="4"/>
  <c r="G653" i="4"/>
  <c r="G658" i="4"/>
  <c r="G664" i="4"/>
  <c r="G669" i="4"/>
  <c r="G674" i="4"/>
  <c r="G680" i="4"/>
  <c r="G685" i="4"/>
  <c r="G690" i="4"/>
  <c r="G103" i="4"/>
  <c r="G700" i="4"/>
  <c r="G705" i="4"/>
  <c r="G711" i="4"/>
  <c r="G716" i="4"/>
  <c r="G721" i="4"/>
  <c r="G727" i="4"/>
  <c r="G732" i="4"/>
  <c r="G737" i="4"/>
  <c r="G743" i="4"/>
  <c r="G747" i="4"/>
  <c r="G752" i="4"/>
  <c r="G758" i="4"/>
  <c r="G763" i="4"/>
  <c r="G768" i="4"/>
  <c r="G772" i="4"/>
  <c r="G776" i="4"/>
  <c r="G780" i="4"/>
  <c r="G784" i="4"/>
  <c r="G786" i="4"/>
  <c r="G790" i="4"/>
  <c r="G794" i="4"/>
  <c r="G798" i="4"/>
  <c r="G802" i="4"/>
  <c r="G806" i="4"/>
  <c r="G810" i="4"/>
  <c r="G814" i="4"/>
  <c r="G818" i="4"/>
  <c r="G822" i="4"/>
  <c r="G826" i="4"/>
  <c r="G830" i="4"/>
  <c r="G834" i="4"/>
  <c r="G838" i="4"/>
  <c r="G842" i="4"/>
  <c r="G846" i="4"/>
  <c r="G850" i="4"/>
  <c r="G854" i="4"/>
  <c r="G857" i="4"/>
  <c r="G861" i="4"/>
  <c r="G865" i="4"/>
  <c r="G869" i="4"/>
  <c r="G872" i="4"/>
  <c r="G876" i="4"/>
  <c r="G880" i="4"/>
  <c r="G884" i="4"/>
  <c r="G888" i="4"/>
  <c r="G892" i="4"/>
  <c r="G896" i="4"/>
  <c r="G900" i="4"/>
  <c r="G904" i="4"/>
  <c r="G908" i="4"/>
  <c r="G912" i="4"/>
  <c r="G916" i="4"/>
  <c r="G920" i="4"/>
  <c r="G924" i="4"/>
  <c r="G928" i="4"/>
  <c r="G932" i="4"/>
  <c r="G936" i="4"/>
  <c r="G940" i="4"/>
  <c r="G944" i="4"/>
  <c r="G948" i="4"/>
  <c r="G952" i="4"/>
  <c r="G956" i="4"/>
  <c r="G960" i="4"/>
  <c r="G964" i="4"/>
  <c r="G967" i="4"/>
  <c r="G971" i="4"/>
  <c r="G975" i="4"/>
  <c r="G979" i="4"/>
  <c r="G983" i="4"/>
  <c r="G987" i="4"/>
  <c r="G991" i="4"/>
  <c r="G995" i="4"/>
  <c r="G998" i="4"/>
  <c r="G1002" i="4"/>
  <c r="G1005" i="4"/>
  <c r="G1008" i="4"/>
  <c r="G1012" i="4"/>
  <c r="G1016" i="4"/>
  <c r="G1020" i="4"/>
  <c r="G1024" i="4"/>
  <c r="G1028" i="4"/>
  <c r="G1032" i="4"/>
  <c r="G1036" i="4"/>
  <c r="G1040" i="4"/>
  <c r="G1044" i="4"/>
  <c r="G1048" i="4"/>
  <c r="G1052" i="4"/>
  <c r="G1055" i="4"/>
  <c r="G1059" i="4"/>
  <c r="G1063" i="4"/>
  <c r="G1067" i="4"/>
  <c r="G1070" i="4"/>
  <c r="G1074" i="4"/>
  <c r="G1076" i="4"/>
  <c r="G1080" i="4"/>
  <c r="G1084" i="4"/>
  <c r="G1087" i="4"/>
  <c r="G1091" i="4"/>
  <c r="G1095" i="4"/>
  <c r="G1099" i="4"/>
  <c r="G1103" i="4"/>
  <c r="G1107" i="4"/>
  <c r="G1111" i="4"/>
  <c r="G1115" i="4"/>
  <c r="G1118" i="4"/>
  <c r="G1121" i="4"/>
  <c r="G1125" i="4"/>
  <c r="G1129" i="4"/>
  <c r="G1133" i="4"/>
  <c r="G1137" i="4"/>
  <c r="G1141" i="4"/>
  <c r="G1145" i="4"/>
  <c r="G1149" i="4"/>
  <c r="G1153" i="4"/>
  <c r="G1157" i="4"/>
  <c r="G1161" i="4"/>
  <c r="G1165" i="4"/>
  <c r="G1169" i="4"/>
  <c r="G1173" i="4"/>
  <c r="G1177" i="4"/>
  <c r="G1181" i="4"/>
  <c r="G1185" i="4"/>
  <c r="G1188" i="4"/>
  <c r="G1192" i="4"/>
  <c r="G77" i="4"/>
  <c r="G1199" i="4"/>
  <c r="G1203" i="4"/>
  <c r="G1205" i="4"/>
  <c r="G1209" i="4"/>
  <c r="G1213" i="4"/>
  <c r="G1217" i="4"/>
  <c r="G1221" i="4"/>
  <c r="G1224" i="4"/>
  <c r="G48" i="4"/>
  <c r="G1231" i="4"/>
  <c r="G1234" i="4"/>
  <c r="G1238" i="4"/>
  <c r="G1242" i="4"/>
  <c r="G1246" i="4"/>
  <c r="G1250" i="4"/>
  <c r="G1254" i="4"/>
  <c r="G116" i="4"/>
  <c r="G1258" i="4"/>
  <c r="G1262" i="4"/>
  <c r="G1266" i="4"/>
  <c r="G1270" i="4"/>
  <c r="G1273" i="4"/>
  <c r="G1277" i="4"/>
  <c r="G1281" i="4"/>
  <c r="G1285" i="4"/>
  <c r="G1289" i="4"/>
  <c r="G1293" i="4"/>
  <c r="G1296" i="4"/>
  <c r="G1300" i="4"/>
  <c r="G1304" i="4"/>
  <c r="G9" i="4"/>
  <c r="G1311" i="4"/>
  <c r="G1315" i="4"/>
  <c r="G1319" i="4"/>
  <c r="A677" i="4"/>
  <c r="A1033" i="4"/>
  <c r="A1233" i="4"/>
  <c r="A1310" i="4"/>
  <c r="A25" i="4"/>
  <c r="A72" i="4"/>
  <c r="G162" i="4"/>
  <c r="G225" i="4"/>
  <c r="G287" i="4"/>
  <c r="G349" i="4"/>
  <c r="G409" i="4"/>
  <c r="G430" i="4"/>
  <c r="G451" i="4"/>
  <c r="G473" i="4"/>
  <c r="G494" i="4"/>
  <c r="G515" i="4"/>
  <c r="G537" i="4"/>
  <c r="G558" i="4"/>
  <c r="G579" i="4"/>
  <c r="G597" i="4"/>
  <c r="G618" i="4"/>
  <c r="G638" i="4"/>
  <c r="G660" i="4"/>
  <c r="G681" i="4"/>
  <c r="G701" i="4"/>
  <c r="G723" i="4"/>
  <c r="G744" i="4"/>
  <c r="G764" i="4"/>
  <c r="G781" i="4"/>
  <c r="G795" i="4"/>
  <c r="G811" i="4"/>
  <c r="G827" i="4"/>
  <c r="G843" i="4"/>
  <c r="G858" i="4"/>
  <c r="G873" i="4"/>
  <c r="G889" i="4"/>
  <c r="G905" i="4"/>
  <c r="G921" i="4"/>
  <c r="G937" i="4"/>
  <c r="G953" i="4"/>
  <c r="G968" i="4"/>
  <c r="G984" i="4"/>
  <c r="G999" i="4"/>
  <c r="G1013" i="4"/>
  <c r="G1029" i="4"/>
  <c r="G1045" i="4"/>
  <c r="G1060" i="4"/>
  <c r="G14" i="4"/>
  <c r="G1088" i="4"/>
  <c r="G1104" i="4"/>
  <c r="G1119" i="4"/>
  <c r="G1134" i="4"/>
  <c r="G1150" i="4"/>
  <c r="G1166" i="4"/>
  <c r="G1182" i="4"/>
  <c r="G1196" i="4"/>
  <c r="G1210" i="4"/>
  <c r="G1225" i="4"/>
  <c r="G1239" i="4"/>
  <c r="G1255" i="4"/>
  <c r="G1267" i="4"/>
  <c r="G1282" i="4"/>
  <c r="G1297" i="4"/>
  <c r="G1312" i="4"/>
  <c r="G1323" i="4"/>
  <c r="G1328" i="4"/>
  <c r="G1334" i="4"/>
  <c r="G1339" i="4"/>
  <c r="G1344" i="4"/>
  <c r="G1350" i="4"/>
  <c r="G1354" i="4"/>
  <c r="G1359" i="4"/>
  <c r="G1364" i="4"/>
  <c r="G119" i="4"/>
  <c r="G50" i="4"/>
  <c r="G1372" i="4"/>
  <c r="G1375" i="4"/>
  <c r="G1377" i="4"/>
  <c r="G1379" i="4"/>
  <c r="G1382" i="4"/>
  <c r="G1387" i="4"/>
  <c r="G78" i="4"/>
  <c r="G1393" i="4"/>
  <c r="G23" i="4"/>
  <c r="G79" i="4"/>
  <c r="G1403" i="4"/>
  <c r="G17" i="4"/>
  <c r="G31" i="4"/>
  <c r="G41" i="4"/>
  <c r="G51" i="4"/>
  <c r="G60" i="4"/>
  <c r="G67" i="4"/>
  <c r="G75" i="4"/>
  <c r="G1413" i="4"/>
  <c r="G52" i="4"/>
  <c r="G22" i="4"/>
  <c r="A821" i="4"/>
  <c r="A1092" i="4"/>
  <c r="A1253" i="4"/>
  <c r="A1332" i="4"/>
  <c r="A16" i="4"/>
  <c r="A61" i="4"/>
  <c r="G178" i="4"/>
  <c r="G241" i="4"/>
  <c r="G302" i="4"/>
  <c r="G365" i="4"/>
  <c r="G414" i="4"/>
  <c r="G435" i="4"/>
  <c r="G457" i="4"/>
  <c r="G478" i="4"/>
  <c r="G499" i="4"/>
  <c r="G521" i="4"/>
  <c r="G542" i="4"/>
  <c r="G563" i="4"/>
  <c r="G117" i="4"/>
  <c r="G602" i="4"/>
  <c r="G623" i="4"/>
  <c r="G644" i="4"/>
  <c r="G665" i="4"/>
  <c r="G686" i="4"/>
  <c r="G707" i="4"/>
  <c r="G728" i="4"/>
  <c r="G748" i="4"/>
  <c r="G769" i="4"/>
  <c r="G105" i="4"/>
  <c r="G799" i="4"/>
  <c r="G815" i="4"/>
  <c r="G831" i="4"/>
  <c r="G847" i="4"/>
  <c r="G862" i="4"/>
  <c r="G877" i="4"/>
  <c r="G893" i="4"/>
  <c r="G909" i="4"/>
  <c r="G925" i="4"/>
  <c r="G941" i="4"/>
  <c r="G957" i="4"/>
  <c r="G972" i="4"/>
  <c r="G988" i="4"/>
  <c r="G1003" i="4"/>
  <c r="G1017" i="4"/>
  <c r="G1033" i="4"/>
  <c r="G1049" i="4"/>
  <c r="G1064" i="4"/>
  <c r="G1077" i="4"/>
  <c r="G1092" i="4"/>
  <c r="G1108" i="4"/>
  <c r="G1122" i="4"/>
  <c r="G1138" i="4"/>
  <c r="G1154" i="4"/>
  <c r="G1170" i="4"/>
  <c r="G1186" i="4"/>
  <c r="G1200" i="4"/>
  <c r="G1214" i="4"/>
  <c r="G1228" i="4"/>
  <c r="G1243" i="4"/>
  <c r="G69" i="4"/>
  <c r="G1271" i="4"/>
  <c r="G1286" i="4"/>
  <c r="G1301" i="4"/>
  <c r="G1316" i="4"/>
  <c r="G1324" i="4"/>
  <c r="G1330" i="4"/>
  <c r="G1335" i="4"/>
  <c r="G1340" i="4"/>
  <c r="G1346" i="4"/>
  <c r="G1351" i="4"/>
  <c r="G1355" i="4"/>
  <c r="G1361" i="4"/>
  <c r="G13" i="4"/>
  <c r="G1367" i="4"/>
  <c r="G15" i="4"/>
  <c r="G1373" i="4"/>
  <c r="G1376" i="4"/>
  <c r="G101" i="4"/>
  <c r="G83" i="4"/>
  <c r="G1383" i="4"/>
  <c r="G1389" i="4"/>
  <c r="G12" i="4"/>
  <c r="G1394" i="4"/>
  <c r="G1397" i="4"/>
  <c r="G1400" i="4"/>
  <c r="G1404" i="4"/>
  <c r="G1407" i="4"/>
  <c r="G20" i="4"/>
  <c r="G57" i="4"/>
  <c r="G1410" i="4"/>
  <c r="G1411" i="4"/>
  <c r="G90" i="4"/>
  <c r="G26" i="4"/>
  <c r="G68" i="4"/>
  <c r="G56" i="4"/>
  <c r="A904" i="4"/>
  <c r="A1154" i="4"/>
  <c r="A1271" i="4"/>
  <c r="A1353" i="4"/>
  <c r="A1401" i="4"/>
  <c r="G130" i="4"/>
  <c r="G194" i="4"/>
  <c r="G256" i="4"/>
  <c r="G318" i="4"/>
  <c r="G380" i="4"/>
  <c r="G419" i="4"/>
  <c r="G441" i="4"/>
  <c r="G462" i="4"/>
  <c r="G483" i="4"/>
  <c r="G505" i="4"/>
  <c r="G526" i="4"/>
  <c r="G547" i="4"/>
  <c r="G569" i="4"/>
  <c r="G587" i="4"/>
  <c r="G607" i="4"/>
  <c r="G629" i="4"/>
  <c r="G649" i="4"/>
  <c r="G670" i="4"/>
  <c r="G692" i="4"/>
  <c r="G712" i="4"/>
  <c r="G733" i="4"/>
  <c r="G754" i="4"/>
  <c r="G773" i="4"/>
  <c r="G787" i="4"/>
  <c r="G803" i="4"/>
  <c r="G819" i="4"/>
  <c r="G835" i="4"/>
  <c r="G851" i="4"/>
  <c r="G866" i="4"/>
  <c r="G881" i="4"/>
  <c r="G897" i="4"/>
  <c r="G913" i="4"/>
  <c r="G929" i="4"/>
  <c r="G945" i="4"/>
  <c r="G961" i="4"/>
  <c r="G976" i="4"/>
  <c r="G992" i="4"/>
  <c r="G49" i="4"/>
  <c r="G1021" i="4"/>
  <c r="G1037" i="4"/>
  <c r="G1053" i="4"/>
  <c r="G88" i="4"/>
  <c r="G1081" i="4"/>
  <c r="G1096" i="4"/>
  <c r="G1112" i="4"/>
  <c r="G1126" i="4"/>
  <c r="G1142" i="4"/>
  <c r="G1158" i="4"/>
  <c r="G1174" i="4"/>
  <c r="G1189" i="4"/>
  <c r="G122" i="4"/>
  <c r="G1218" i="4"/>
  <c r="G1232" i="4"/>
  <c r="G1247" i="4"/>
  <c r="G1259" i="4"/>
  <c r="G1274" i="4"/>
  <c r="G1290" i="4"/>
  <c r="G1305" i="4"/>
  <c r="G1320" i="4"/>
  <c r="G1326" i="4"/>
  <c r="G1331" i="4"/>
  <c r="G1336" i="4"/>
  <c r="G1342" i="4"/>
  <c r="G1347" i="4"/>
  <c r="G1352" i="4"/>
  <c r="G1357" i="4"/>
  <c r="G10" i="4"/>
  <c r="G1365" i="4"/>
  <c r="G92" i="4"/>
  <c r="G11" i="4"/>
  <c r="G65" i="4"/>
  <c r="G33" i="4"/>
  <c r="G104" i="4"/>
  <c r="G1380" i="4"/>
  <c r="G1385" i="4"/>
  <c r="G54" i="4"/>
  <c r="G16" i="4"/>
  <c r="G19" i="4"/>
  <c r="G1398" i="4"/>
  <c r="G1401" i="4"/>
  <c r="G70" i="4"/>
  <c r="G1408" i="4"/>
  <c r="G18" i="4"/>
  <c r="G55" i="4"/>
  <c r="G58" i="4"/>
  <c r="G72" i="4"/>
  <c r="G59" i="4"/>
  <c r="G1412" i="4"/>
  <c r="G61" i="4"/>
  <c r="G37" i="4"/>
  <c r="A972" i="4"/>
  <c r="A1212" i="4"/>
  <c r="A1291" i="4"/>
  <c r="A92" i="4"/>
  <c r="A18" i="4"/>
  <c r="G146" i="4"/>
  <c r="G209" i="4"/>
  <c r="G271" i="4"/>
  <c r="G333" i="4"/>
  <c r="G395" i="4"/>
  <c r="G425" i="4"/>
  <c r="G446" i="4"/>
  <c r="G467" i="4"/>
  <c r="G489" i="4"/>
  <c r="G510" i="4"/>
  <c r="G531" i="4"/>
  <c r="G553" i="4"/>
  <c r="G574" i="4"/>
  <c r="G113" i="4"/>
  <c r="G613" i="4"/>
  <c r="G633" i="4"/>
  <c r="G654" i="4"/>
  <c r="G676" i="4"/>
  <c r="G696" i="4"/>
  <c r="G717" i="4"/>
  <c r="G739" i="4"/>
  <c r="G759" i="4"/>
  <c r="G777" i="4"/>
  <c r="G791" i="4"/>
  <c r="G807" i="4"/>
  <c r="G823" i="4"/>
  <c r="G839" i="4"/>
  <c r="G7" i="4"/>
  <c r="G870" i="4"/>
  <c r="G885" i="4"/>
  <c r="G901" i="4"/>
  <c r="G917" i="4"/>
  <c r="G933" i="4"/>
  <c r="G949" i="4"/>
  <c r="G965" i="4"/>
  <c r="G980" i="4"/>
  <c r="G996" i="4"/>
  <c r="G1009" i="4"/>
  <c r="G1025" i="4"/>
  <c r="G1041" i="4"/>
  <c r="G1056" i="4"/>
  <c r="G1071" i="4"/>
  <c r="G1085" i="4"/>
  <c r="G1100" i="4"/>
  <c r="G1116" i="4"/>
  <c r="G1130" i="4"/>
  <c r="G1146" i="4"/>
  <c r="G1162" i="4"/>
  <c r="G1178" i="4"/>
  <c r="G1193" i="4"/>
  <c r="G1206" i="4"/>
  <c r="G1222" i="4"/>
  <c r="G1235" i="4"/>
  <c r="G1251" i="4"/>
  <c r="G1263" i="4"/>
  <c r="G1278" i="4"/>
  <c r="G1294" i="4"/>
  <c r="G1308" i="4"/>
  <c r="G1322" i="4"/>
  <c r="G1327" i="4"/>
  <c r="G1332" i="4"/>
  <c r="G1338" i="4"/>
  <c r="G1343" i="4"/>
  <c r="G1348" i="4"/>
  <c r="G110" i="4"/>
  <c r="G1358" i="4"/>
  <c r="G1362" i="4"/>
  <c r="G121" i="4"/>
  <c r="G1369" i="4"/>
  <c r="G93" i="4"/>
  <c r="G1374" i="4"/>
  <c r="G108" i="4"/>
  <c r="G25" i="4"/>
  <c r="G89" i="4"/>
  <c r="G1386" i="4"/>
  <c r="G1390" i="4"/>
  <c r="G66" i="4"/>
  <c r="G28" i="4"/>
  <c r="G111" i="4"/>
  <c r="G1402" i="4"/>
  <c r="G24" i="4"/>
  <c r="G1409" i="4"/>
  <c r="G39" i="4"/>
  <c r="G42" i="4"/>
  <c r="G34" i="4"/>
  <c r="G120" i="4"/>
  <c r="G84" i="4"/>
  <c r="G27" i="4"/>
  <c r="G43" i="4"/>
  <c r="G40"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<sst xmlns="http://schemas.openxmlformats.org/spreadsheetml/2006/main" count="21414" uniqueCount="3823">
  <si>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</si>
  <si>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</si>
  <si>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</si>
  <si>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</si>
  <si>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</si>
  <si>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</si>
  <si>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</si>
  <si>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</si>
  <si>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</si>
  <si>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</si>
  <si>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</si>
  <si>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</si>
  <si>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</si>
  <si>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</si>
  <si>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</si>
  <si>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</si>
  <si>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</si>
  <si>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</si>
  <si>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</si>
  <si>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</si>
  <si>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</si>
  <si>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</si>
  <si>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</si>
  <si>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</si>
  <si>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</si>
  <si>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</si>
  <si>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</si>
  <si>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</si>
  <si>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</si>
  <si>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</si>
  <si>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</si>
  <si>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</si>
  <si>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</si>
  <si>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</si>
  <si>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</si>
  <si>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</si>
  <si>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</si>
  <si>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</si>
  <si>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</si>
  <si>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</si>
  <si>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</si>
  <si>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</si>
  <si>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</si>
  <si>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</si>
  <si>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</si>
  <si>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</si>
  <si>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</si>
  <si>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</si>
  <si>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</si>
  <si>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</si>
  <si>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</si>
  <si>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</si>
  <si>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</si>
  <si>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</si>
  <si>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</si>
  <si>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</si>
  <si>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</si>
  <si>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</si>
  <si>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</si>
  <si>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</si>
  <si>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</si>
  <si>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</si>
  <si>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</si>
  <si>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</si>
  <si>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</si>
  <si>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</si>
  <si>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</si>
  <si>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</si>
  <si>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</si>
  <si>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</si>
  <si>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</si>
  <si>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</si>
  <si>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</si>
  <si>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</si>
  <si>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</si>
  <si>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</si>
  <si>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</si>
  <si>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</si>
  <si>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</si>
  <si>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</si>
  <si>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</si>
  <si>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</si>
  <si>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</si>
  <si>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</si>
  <si>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</si>
  <si>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</si>
  <si>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</si>
  <si>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</si>
  <si>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</si>
  <si>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</si>
  <si>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</si>
  <si>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</si>
  <si>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</si>
  <si>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</si>
  <si>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</si>
  <si>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</si>
  <si>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</si>
  <si>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</si>
  <si>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</si>
  <si>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</si>
  <si>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</si>
  <si>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</si>
  <si>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</si>
  <si>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</si>
  <si>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</si>
  <si>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</si>
  <si>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</si>
  <si>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</si>
  <si>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</si>
  <si>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</si>
  <si>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</si>
  <si>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</si>
  <si>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</si>
  <si>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</si>
  <si>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</si>
  <si>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</si>
  <si>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</si>
  <si>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</si>
  <si>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</si>
  <si>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</si>
  <si>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</si>
  <si>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</si>
  <si>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</si>
  <si>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</si>
  <si>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</si>
  <si>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</si>
  <si>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</si>
  <si>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</si>
  <si>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</si>
  <si>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</si>
  <si>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</si>
  <si>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</si>
  <si>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</si>
  <si>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</si>
  <si>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</si>
  <si>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</si>
  <si>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</si>
  <si>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</si>
  <si>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</si>
  <si>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</si>
  <si>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</si>
  <si>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</si>
  <si>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</si>
  <si>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</si>
  <si>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</si>
  <si>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</si>
  <si>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</si>
  <si>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</si>
  <si>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</si>
  <si>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</si>
  <si>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</si>
  <si>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</si>
  <si>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</si>
  <si>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</si>
  <si>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</si>
  <si>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</si>
  <si>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</si>
  <si>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</si>
  <si>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</si>
  <si>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</si>
  <si>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</si>
  <si>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</si>
  <si>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</si>
  <si>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</si>
  <si>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</si>
  <si>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</si>
  <si>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</si>
  <si>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</si>
  <si>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</si>
  <si>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</si>
  <si>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</si>
  <si>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</si>
  <si>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</si>
  <si>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</si>
  <si>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</si>
  <si>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</si>
  <si>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</si>
  <si>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</si>
  <si>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</si>
  <si>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</si>
  <si>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</si>
  <si>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</si>
  <si>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</si>
  <si>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</si>
  <si>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</si>
  <si>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</si>
  <si>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</si>
  <si>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</si>
  <si>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</si>
  <si>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</si>
  <si>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</si>
  <si>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</si>
  <si>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</si>
  <si>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</si>
  <si>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</si>
  <si>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</si>
  <si>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</si>
  <si>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</si>
  <si>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</si>
  <si>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</si>
  <si>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</si>
  <si>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</si>
  <si>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</si>
  <si>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</si>
  <si>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</si>
  <si>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</si>
  <si>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</si>
  <si>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</si>
  <si>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</si>
  <si>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</si>
  <si>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</si>
  <si>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</si>
  <si>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</si>
  <si>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</si>
  <si>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</si>
  <si>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</si>
  <si>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</si>
  <si>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</si>
  <si>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</si>
  <si>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</si>
  <si>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</si>
  <si>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</si>
  <si>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</si>
  <si>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</si>
  <si>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</si>
  <si>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</si>
  <si>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</si>
  <si>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</si>
  <si>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</si>
  <si>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</si>
  <si>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</si>
  <si>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</si>
  <si>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</si>
  <si>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</si>
  <si>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</si>
  <si>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</si>
  <si>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</si>
  <si>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</si>
  <si>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</si>
  <si>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</si>
  <si>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</si>
  <si>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</si>
  <si>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</si>
  <si>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</si>
  <si>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</si>
  <si>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</si>
  <si>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</si>
  <si>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</si>
  <si>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</si>
  <si>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</si>
  <si>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</si>
  <si>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</si>
  <si>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</si>
  <si>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</si>
  <si>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</si>
  <si>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</si>
  <si>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</si>
  <si>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</si>
  <si>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</si>
  <si>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</si>
  <si>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</si>
  <si>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</si>
  <si>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</si>
  <si>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</si>
  <si>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</si>
  <si>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</si>
  <si>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</si>
  <si>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</si>
  <si>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</si>
  <si>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</si>
  <si>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</si>
  <si>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</si>
  <si>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</si>
  <si>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</si>
  <si>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</si>
  <si>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</si>
  <si>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</si>
  <si>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</si>
  <si>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</si>
  <si>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</si>
  <si>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</si>
  <si>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</si>
  <si>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</si>
  <si>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</si>
  <si>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</si>
  <si>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</si>
  <si>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</si>
  <si>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</si>
  <si>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</si>
  <si>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</si>
  <si>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</si>
  <si>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</si>
  <si>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</si>
  <si>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</si>
  <si>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</si>
  <si>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</si>
  <si>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</si>
  <si>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</si>
  <si>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</si>
  <si>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</si>
  <si>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</si>
  <si>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</si>
  <si>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</si>
  <si>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</si>
  <si>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</si>
  <si>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</si>
  <si>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</si>
  <si>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</si>
  <si>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</si>
  <si>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</si>
  <si>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</si>
  <si>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</si>
  <si>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</si>
  <si>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</si>
  <si>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</si>
  <si>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</si>
  <si>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</si>
  <si>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</si>
  <si>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</si>
  <si>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</si>
  <si>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</si>
  <si>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</si>
  <si>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</si>
  <si>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</si>
  <si>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</si>
  <si>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</si>
  <si>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</si>
  <si>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</si>
  <si>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</si>
  <si>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</si>
  <si>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</si>
  <si>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</si>
  <si>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</si>
  <si>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</si>
  <si>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</si>
  <si>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</si>
  <si>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</si>
  <si>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</si>
  <si>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</si>
  <si>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</si>
  <si>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</si>
  <si>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</si>
  <si>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</si>
  <si>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</si>
  <si>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</si>
  <si>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</si>
  <si>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</si>
  <si>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</si>
  <si>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</si>
  <si>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</si>
  <si>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</si>
  <si>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</si>
  <si>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</si>
  <si>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</si>
  <si>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</si>
  <si>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</si>
  <si>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</si>
  <si>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</si>
  <si>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</si>
  <si>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</si>
  <si>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</si>
  <si>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</si>
  <si>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</si>
  <si>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</si>
  <si>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</si>
  <si>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</si>
  <si>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</si>
  <si>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</si>
  <si>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</si>
  <si>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</si>
  <si>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</si>
  <si>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</si>
  <si>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</si>
  <si>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</si>
  <si>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</si>
  <si>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</si>
  <si>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</si>
  <si>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</si>
  <si>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</si>
  <si>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</si>
  <si>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</si>
  <si>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</si>
  <si>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</si>
  <si>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</si>
  <si>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</si>
  <si>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</si>
  <si>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</si>
  <si>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</si>
  <si>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</si>
  <si>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</si>
  <si>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</si>
  <si>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</si>
  <si>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</si>
  <si>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</si>
  <si>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</si>
  <si>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</si>
  <si>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</si>
  <si>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</si>
  <si>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</si>
  <si>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</si>
  <si>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</si>
  <si>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</si>
  <si>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</si>
  <si>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</si>
  <si>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</si>
  <si>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</si>
  <si>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</si>
  <si>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</si>
  <si>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</si>
  <si>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</si>
  <si>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</si>
  <si>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</si>
  <si>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</si>
  <si>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</si>
  <si>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</si>
  <si>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</si>
  <si>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</si>
  <si>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</si>
  <si>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</si>
  <si>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</si>
  <si>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</si>
  <si>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</si>
  <si>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</si>
  <si>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</si>
  <si>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</si>
  <si>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</si>
  <si>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</si>
  <si>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</si>
  <si>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</si>
  <si>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</si>
  <si>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</si>
  <si>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</si>
  <si>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</si>
  <si>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</si>
  <si>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</si>
  <si>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</si>
  <si>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</si>
  <si>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</si>
  <si>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</si>
  <si>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</si>
  <si>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</si>
  <si>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</si>
  <si>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</si>
  <si>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</si>
  <si>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</si>
  <si>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</si>
  <si>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</si>
  <si>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</si>
  <si>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</si>
  <si>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</si>
  <si>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</si>
  <si>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</si>
  <si>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</si>
  <si>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</si>
  <si>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</si>
  <si>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</si>
  <si>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</si>
  <si>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</si>
  <si>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</si>
  <si>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</si>
  <si>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</si>
  <si>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</si>
  <si>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</si>
  <si>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</si>
  <si>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</si>
  <si>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</si>
  <si>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</si>
  <si>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</si>
  <si>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</si>
  <si>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</si>
  <si>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</si>
  <si>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</si>
  <si>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</si>
  <si>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</si>
  <si>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</si>
  <si>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</si>
  <si>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</si>
  <si>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</si>
  <si>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</si>
  <si>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</si>
  <si>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</si>
  <si>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</si>
  <si>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</si>
  <si>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</si>
  <si>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</si>
  <si>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</si>
  <si>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</si>
  <si>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</si>
  <si>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</si>
  <si>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</si>
  <si>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</si>
  <si>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</si>
  <si>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</si>
  <si>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</si>
  <si>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</si>
  <si>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</si>
  <si>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</si>
  <si>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</si>
  <si>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</si>
  <si>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</si>
  <si>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</si>
  <si>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</si>
  <si>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</si>
  <si>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</si>
  <si>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</si>
  <si>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</si>
  <si>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</si>
  <si>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</si>
  <si>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</si>
  <si>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</si>
  <si>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</si>
  <si>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</si>
  <si>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</si>
  <si>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</si>
  <si>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</si>
  <si>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</si>
  <si>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</si>
  <si>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</si>
  <si>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</si>
  <si>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</si>
  <si>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</si>
  <si>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</si>
  <si>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</si>
  <si>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</si>
  <si>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</si>
  <si>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</si>
  <si>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</si>
  <si>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</si>
  <si>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</si>
  <si>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</si>
  <si>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</si>
  <si>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</si>
  <si>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</si>
  <si>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</si>
  <si>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</si>
  <si>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</si>
  <si>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</si>
  <si>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</si>
  <si>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</si>
  <si>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</si>
  <si>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</si>
  <si>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</si>
  <si>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</si>
  <si>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</si>
  <si>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</si>
  <si>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</si>
  <si>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</si>
  <si>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</si>
  <si>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</si>
  <si>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</si>
  <si>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</si>
  <si>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</si>
  <si>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</si>
  <si>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</si>
  <si>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</si>
  <si>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</si>
  <si>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</si>
  <si>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</si>
  <si>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</si>
  <si>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</si>
  <si>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</si>
  <si>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</si>
  <si>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</si>
  <si>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</si>
  <si>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</si>
  <si>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</si>
  <si>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</si>
  <si>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</si>
  <si>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</si>
  <si>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</si>
  <si>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</si>
  <si>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</si>
  <si>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</si>
  <si>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</si>
  <si>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</si>
  <si>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</si>
  <si>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</si>
  <si>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</si>
  <si>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</si>
  <si>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</si>
  <si>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</si>
  <si>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</si>
  <si>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</si>
  <si>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</si>
  <si>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</si>
  <si>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</si>
  <si>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</si>
  <si>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</si>
  <si>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</si>
  <si>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</si>
  <si>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</si>
  <si>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</si>
  <si>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</si>
  <si>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</si>
  <si>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</si>
  <si>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</si>
  <si>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</si>
  <si>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</si>
  <si>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</si>
  <si>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</si>
  <si>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</si>
  <si>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</si>
  <si>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</si>
  <si>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</si>
  <si>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</si>
  <si>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</si>
  <si>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</si>
  <si>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</si>
  <si>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</si>
  <si>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</si>
  <si>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</si>
  <si>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</si>
  <si>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</si>
  <si>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</si>
  <si>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</si>
  <si>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</si>
  <si>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</si>
  <si>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</si>
  <si>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</si>
  <si>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</si>
  <si>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</si>
  <si>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</si>
  <si>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</si>
  <si>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</si>
  <si>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</si>
  <si>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</si>
  <si>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</si>
  <si>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</si>
  <si>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</si>
  <si>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</si>
  <si>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</si>
  <si>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</si>
  <si>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</si>
  <si>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</si>
  <si>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</si>
  <si>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</si>
  <si>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</si>
  <si>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</si>
  <si>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</si>
  <si>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</si>
  <si>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</si>
  <si>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</si>
  <si>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</si>
  <si>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</si>
  <si>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</si>
  <si>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</si>
  <si>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</si>
  <si>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</si>
  <si>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</si>
  <si>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</si>
  <si>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</si>
  <si>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</si>
  <si>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</si>
  <si>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</si>
  <si>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</si>
  <si>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</si>
  <si>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</si>
  <si>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</si>
  <si>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</si>
  <si>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</si>
  <si>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</si>
  <si>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</si>
  <si>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</si>
  <si>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</si>
  <si>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</si>
  <si>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</si>
  <si>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</si>
  <si>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</si>
  <si>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</si>
  <si>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</si>
  <si>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</si>
  <si>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</si>
  <si>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</si>
  <si>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</si>
  <si>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</si>
  <si>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</si>
  <si>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</si>
  <si>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</si>
  <si>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</si>
  <si>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</si>
  <si>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</si>
  <si>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</si>
  <si>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</si>
  <si>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</si>
  <si>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</si>
  <si>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</si>
  <si>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</si>
  <si>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</si>
  <si>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</si>
  <si>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</si>
  <si>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</si>
  <si>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</si>
  <si>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</si>
  <si>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</si>
  <si>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</si>
  <si>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</si>
  <si>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</si>
  <si>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</si>
  <si>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</si>
  <si>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</si>
  <si>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</si>
  <si>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</si>
  <si>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</si>
  <si>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</si>
  <si>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</si>
  <si>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</si>
  <si>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</si>
  <si>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</si>
  <si>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</si>
  <si>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</si>
  <si>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</si>
  <si>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</si>
  <si>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</si>
  <si>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</si>
  <si>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</si>
  <si>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</si>
  <si>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</si>
  <si>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</si>
  <si>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</si>
  <si>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</si>
  <si>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</si>
  <si>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</si>
  <si>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</si>
  <si>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</si>
  <si>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</si>
  <si>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</si>
  <si>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</si>
  <si>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</si>
  <si>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</si>
  <si>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</si>
  <si>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</si>
  <si>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</si>
  <si>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</si>
  <si>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</si>
  <si>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</si>
  <si>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</si>
  <si>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</si>
  <si>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</si>
  <si>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</si>
  <si>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</si>
  <si>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</si>
  <si>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</si>
  <si>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</si>
  <si>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</si>
  <si>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</si>
  <si>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</si>
  <si>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</si>
  <si>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</si>
  <si>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</si>
  <si>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</si>
  <si>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</si>
  <si>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</si>
  <si>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</si>
  <si>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</si>
  <si>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</si>
  <si>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</si>
  <si>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</si>
  <si>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</si>
  <si>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</si>
  <si>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</si>
  <si>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</si>
  <si>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</si>
  <si>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</si>
  <si>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</si>
  <si>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</si>
  <si>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</si>
  <si>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</si>
  <si>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</si>
  <si>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</si>
  <si>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</si>
  <si>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</si>
  <si>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</si>
  <si>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</si>
  <si>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</si>
  <si>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</si>
  <si>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</si>
  <si>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</si>
  <si>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</si>
  <si>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</si>
  <si>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</si>
  <si>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</si>
  <si>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</si>
  <si>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</si>
  <si>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</si>
  <si>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</si>
  <si>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</si>
  <si>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</si>
  <si>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</si>
  <si>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</si>
  <si>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</si>
  <si>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</si>
  <si>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</si>
  <si>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</si>
  <si>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</si>
  <si>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</si>
  <si>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</si>
  <si>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</si>
  <si>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</si>
  <si>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</si>
  <si>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</si>
  <si>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</si>
  <si>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</si>
  <si>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</si>
  <si>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</si>
  <si>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</si>
  <si>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</si>
  <si>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</si>
  <si>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</si>
  <si>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</si>
  <si>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</si>
  <si>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</si>
  <si>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</si>
  <si>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</si>
  <si>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</si>
  <si>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</si>
  <si>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</si>
  <si>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</si>
  <si>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</si>
  <si>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</si>
  <si>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</si>
  <si>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</si>
  <si>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</si>
  <si>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</si>
  <si>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</si>
  <si>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</si>
  <si>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</si>
  <si>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</si>
  <si>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</si>
  <si>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</si>
  <si>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</si>
  <si>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</si>
  <si>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</si>
  <si>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</si>
  <si>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</si>
  <si>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</si>
  <si>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</si>
  <si>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</si>
  <si>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</si>
  <si>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</si>
  <si>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</si>
  <si>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</si>
  <si>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</si>
  <si>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</si>
  <si>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</si>
  <si>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</si>
  <si>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</si>
  <si>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</si>
  <si>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</si>
  <si>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</si>
  <si>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</si>
  <si>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</si>
  <si>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</si>
  <si>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</si>
  <si>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</si>
  <si>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</si>
  <si>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</si>
  <si>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</si>
  <si>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</si>
  <si>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</si>
  <si>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</si>
  <si>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</si>
  <si>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</si>
  <si>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</si>
  <si>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</si>
  <si>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</si>
  <si>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</si>
  <si>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</si>
  <si>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</si>
  <si>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</si>
  <si>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</si>
  <si>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</si>
  <si>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</si>
  <si>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</si>
  <si>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</si>
  <si>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</si>
  <si>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</si>
  <si>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</si>
  <si>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</si>
  <si>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</si>
  <si>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</si>
  <si>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</si>
  <si>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</si>
  <si>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</si>
  <si>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</si>
  <si>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</si>
  <si>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</si>
  <si>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</si>
  <si>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</si>
  <si>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</si>
  <si>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</si>
  <si>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</si>
  <si>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</si>
  <si>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</si>
  <si>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</si>
  <si>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</si>
  <si>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</si>
  <si>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</si>
  <si>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</si>
  <si>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</si>
  <si>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</si>
  <si>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</si>
  <si>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</si>
  <si>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</si>
  <si>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</si>
  <si>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</si>
  <si>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</si>
  <si>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</si>
  <si>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</si>
  <si>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</si>
  <si>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</si>
  <si>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</si>
  <si>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</si>
  <si>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</si>
  <si>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</si>
  <si>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</si>
  <si>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</si>
  <si>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</si>
  <si>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</si>
  <si>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</si>
  <si>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</si>
  <si>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</si>
  <si>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</si>
  <si>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</si>
  <si>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</si>
  <si>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</si>
  <si>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</si>
  <si>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</si>
  <si>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</si>
  <si>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</si>
  <si>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</si>
  <si>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</si>
  <si>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</si>
  <si>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</si>
  <si>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</si>
  <si>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</si>
  <si>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</si>
  <si>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</si>
  <si>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</si>
  <si>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</si>
  <si>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</si>
  <si>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</si>
  <si>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</si>
  <si>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</si>
  <si>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</si>
  <si>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</si>
  <si>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</si>
  <si>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</si>
  <si>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</si>
  <si>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</si>
  <si>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</si>
  <si>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</si>
  <si>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</si>
  <si>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</si>
  <si>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</si>
  <si>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</si>
  <si>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</si>
  <si>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</si>
  <si>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</si>
  <si>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</si>
  <si>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</si>
  <si>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</si>
  <si>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</si>
  <si>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</si>
  <si>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</si>
  <si>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</si>
  <si>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</si>
  <si>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</si>
  <si>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</si>
  <si>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</si>
  <si>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</si>
  <si>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</si>
  <si>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</si>
  <si>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</si>
  <si>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</si>
  <si>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</si>
  <si>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</si>
  <si>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</si>
  <si>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</si>
  <si>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</si>
  <si>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</si>
  <si>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</si>
  <si>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</si>
  <si>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</si>
  <si>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</si>
  <si>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</si>
  <si>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</si>
  <si>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</si>
  <si>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</si>
  <si>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</si>
  <si>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</si>
  <si>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</si>
  <si>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</si>
  <si>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</si>
  <si>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</si>
  <si>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</si>
  <si>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</si>
  <si>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</si>
  <si>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</si>
  <si>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</si>
  <si>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</si>
  <si>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</si>
  <si>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</si>
  <si>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</si>
  <si>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</si>
  <si>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</si>
  <si>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</si>
  <si>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</si>
  <si>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</si>
  <si>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</si>
  <si>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</si>
  <si>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</si>
  <si>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</si>
  <si>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</si>
  <si>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</si>
  <si>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</si>
  <si>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</si>
  <si>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</si>
  <si>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</si>
  <si>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</si>
  <si>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</si>
  <si>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</si>
  <si>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</si>
  <si>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</si>
  <si>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</si>
  <si>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</si>
  <si>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</si>
  <si>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</si>
  <si>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</si>
  <si>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</si>
  <si>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</si>
  <si>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</si>
  <si>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</si>
  <si>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</si>
  <si>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</si>
  <si>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</si>
  <si>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</si>
  <si>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</si>
  <si>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</si>
  <si>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</si>
  <si>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</si>
  <si>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</si>
  <si>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</si>
  <si>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</si>
  <si>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</si>
  <si>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</si>
  <si>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</si>
  <si>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</si>
  <si>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</si>
  <si>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</si>
  <si>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</si>
  <si>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</si>
  <si>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</si>
  <si>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</si>
  <si>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</si>
  <si>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</si>
  <si>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</si>
  <si>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</si>
  <si>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</si>
  <si>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</si>
  <si>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</si>
  <si>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</si>
  <si>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</si>
  <si>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</si>
  <si>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</si>
  <si>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</si>
  <si>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</si>
  <si>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</si>
  <si>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</si>
  <si>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</si>
  <si>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</si>
  <si>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</si>
  <si>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</si>
  <si>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</si>
  <si>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</si>
  <si>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</si>
  <si>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</si>
  <si>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</si>
  <si>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</si>
  <si>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</si>
  <si>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</si>
  <si>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</si>
  <si>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</si>
  <si>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</si>
  <si>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</si>
  <si>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</si>
  <si>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</si>
  <si>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</si>
  <si>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</si>
  <si>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</si>
  <si>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</si>
  <si>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</si>
  <si>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</si>
  <si>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</si>
  <si>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</si>
  <si>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</si>
  <si>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</si>
  <si>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</si>
  <si>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</si>
  <si>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</si>
  <si>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</si>
  <si>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</si>
  <si>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</si>
  <si>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</si>
  <si>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</si>
  <si>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</si>
  <si>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</si>
  <si>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</si>
  <si>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</si>
  <si>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</si>
  <si>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</si>
  <si>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</si>
  <si>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</si>
  <si>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</si>
  <si>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</si>
  <si>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</si>
  <si>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</si>
  <si>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</si>
  <si>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</si>
  <si>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</si>
  <si>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</si>
  <si>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</si>
  <si>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</si>
  <si>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</si>
  <si>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</si>
  <si>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</si>
  <si>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</si>
  <si>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</si>
  <si>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</si>
  <si>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</si>
  <si>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</si>
  <si>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</si>
  <si>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</si>
  <si>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</si>
  <si>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</si>
  <si>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</si>
  <si>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</si>
  <si>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</si>
  <si>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</si>
  <si>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</si>
  <si>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</si>
  <si>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</si>
  <si>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</si>
  <si>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</si>
  <si>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</si>
  <si>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</si>
  <si>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</si>
  <si>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</si>
  <si>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</si>
  <si>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</si>
  <si>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</si>
  <si>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</si>
  <si>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</si>
  <si>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</si>
  <si>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</si>
  <si>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</si>
  <si>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</si>
  <si>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</si>
  <si>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</si>
  <si>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</si>
  <si>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</si>
  <si>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</si>
  <si>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</si>
  <si>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</si>
  <si>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</si>
  <si>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</si>
  <si>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</si>
  <si>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</si>
  <si>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</si>
  <si>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</si>
  <si>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</si>
  <si>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</si>
  <si>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</si>
  <si>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</si>
  <si>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</si>
  <si>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</si>
  <si>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</si>
  <si>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</si>
  <si>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</si>
  <si>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</si>
  <si>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</si>
  <si>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</si>
  <si>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</si>
  <si>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</si>
  <si>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</si>
  <si>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</si>
  <si>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</si>
  <si>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</si>
  <si>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</si>
  <si>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</si>
  <si>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</si>
  <si>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</si>
  <si>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</si>
  <si>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</si>
  <si>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</si>
  <si>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</si>
  <si>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</si>
  <si>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</si>
  <si>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</si>
  <si>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</si>
  <si>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</si>
  <si>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</si>
  <si>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</si>
  <si>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</si>
  <si>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</si>
  <si>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</si>
  <si>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</si>
  <si>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</si>
  <si>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</si>
  <si>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</si>
  <si>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</si>
  <si>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</si>
  <si>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</si>
  <si>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</si>
  <si>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</si>
  <si>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</si>
  <si>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</si>
  <si>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</si>
  <si>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</si>
  <si>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</si>
  <si>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</si>
  <si>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</si>
  <si>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</si>
  <si>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</si>
  <si>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</si>
  <si>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</si>
  <si>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</si>
  <si>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</si>
  <si>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</si>
  <si>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</si>
  <si>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</si>
  <si>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</si>
  <si>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</si>
  <si>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</si>
  <si>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</si>
  <si>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</si>
  <si>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</si>
  <si>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</si>
  <si>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</si>
  <si>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</si>
  <si>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</si>
  <si>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</si>
  <si>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</si>
  <si>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</si>
  <si>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</si>
  <si>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</si>
  <si>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</si>
  <si>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</si>
  <si>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</si>
  <si>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</si>
  <si>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</si>
  <si>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</si>
  <si>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</si>
  <si>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</si>
  <si>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</si>
  <si>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</si>
  <si>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</si>
  <si>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</si>
  <si>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</si>
  <si>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</si>
  <si>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</si>
  <si>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</si>
  <si>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</si>
  <si>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</si>
  <si>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</si>
  <si>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</si>
  <si>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</si>
  <si>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</si>
  <si>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</si>
  <si>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</si>
  <si>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</si>
  <si>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</si>
  <si>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</si>
  <si>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</si>
  <si>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</si>
  <si>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</si>
  <si>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</si>
  <si>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</si>
  <si>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</si>
  <si>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</si>
  <si>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</si>
  <si>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</si>
  <si>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</si>
  <si>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</si>
  <si>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</si>
  <si>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</si>
  <si>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</si>
  <si>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</si>
  <si>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</si>
  <si>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</si>
  <si>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</si>
  <si>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</si>
  <si>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</si>
  <si>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</si>
  <si>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</si>
  <si>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</si>
  <si>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</si>
  <si>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</si>
  <si>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</si>
  <si>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</si>
  <si>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</si>
  <si>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</si>
  <si>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</si>
  <si>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</si>
  <si>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</si>
  <si>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</si>
  <si>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</si>
  <si>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</si>
  <si>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</si>
  <si>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</si>
  <si>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</si>
  <si>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</si>
  <si>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</si>
  <si>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</si>
  <si>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</si>
  <si>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</si>
  <si>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</si>
  <si>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</si>
  <si>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</si>
  <si>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</si>
  <si>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</si>
  <si>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</si>
  <si>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</si>
  <si>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</si>
  <si>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</si>
  <si>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</si>
  <si>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</si>
  <si>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</si>
  <si>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</si>
  <si>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</si>
  <si>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</si>
  <si>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</si>
  <si>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</si>
  <si>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</si>
  <si>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</si>
  <si>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</si>
  <si>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</si>
  <si>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</si>
  <si>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</si>
  <si>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</si>
  <si>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</si>
  <si>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</si>
  <si>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</si>
  <si>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</si>
  <si>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</si>
  <si>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</si>
  <si>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</si>
  <si>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</si>
  <si>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</si>
  <si>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</si>
  <si>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</si>
  <si>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</si>
  <si>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</si>
  <si>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</si>
  <si>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</si>
  <si>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</si>
  <si>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</si>
  <si>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</si>
  <si>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</si>
  <si>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</si>
  <si>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</si>
  <si>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</si>
  <si>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</si>
  <si>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</si>
  <si>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</si>
  <si>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</si>
  <si>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</si>
  <si>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</si>
  <si>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</si>
  <si>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</si>
  <si>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</si>
  <si>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</si>
  <si>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</si>
  <si>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</si>
  <si>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</si>
  <si>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</si>
  <si>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</si>
  <si>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</si>
  <si>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</si>
  <si>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</si>
  <si>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</si>
  <si>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</si>
  <si>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</si>
  <si>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</si>
  <si>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</si>
  <si>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</si>
  <si>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</si>
  <si>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</si>
  <si>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</si>
  <si>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</si>
  <si>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</si>
  <si>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</si>
  <si>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</si>
  <si>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</si>
  <si>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</si>
  <si>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</si>
  <si>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</si>
  <si>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</si>
  <si>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</si>
  <si>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</si>
  <si>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</si>
  <si>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</si>
  <si>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</si>
  <si>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</si>
  <si>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</si>
  <si>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</si>
  <si>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</si>
  <si>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</si>
  <si>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</si>
  <si>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</si>
  <si>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</si>
  <si>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</si>
  <si>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</si>
  <si>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</si>
  <si>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</si>
  <si>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</si>
  <si>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</si>
  <si>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</si>
  <si>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</si>
  <si>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</si>
  <si>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</si>
  <si>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</si>
  <si>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</si>
  <si>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</si>
  <si>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</si>
  <si>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</si>
  <si>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</si>
  <si>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</si>
  <si>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</si>
  <si>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</si>
  <si>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</si>
  <si>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</si>
  <si>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</si>
  <si>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</si>
  <si>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</si>
  <si>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</si>
  <si>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</si>
  <si>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</si>
  <si>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</si>
  <si>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</si>
  <si>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</si>
  <si>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</si>
  <si>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</si>
  <si>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</si>
  <si>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</si>
  <si>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</si>
  <si>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</si>
  <si>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</si>
  <si>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</si>
  <si>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</si>
  <si>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</si>
  <si>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</si>
  <si>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</si>
  <si>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</si>
  <si>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</si>
  <si>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</si>
  <si>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</si>
  <si>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</si>
  <si>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</si>
  <si>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</si>
  <si>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</si>
  <si>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</si>
  <si>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</si>
  <si>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</si>
  <si>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</si>
  <si>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</si>
  <si>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</si>
  <si>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</si>
  <si>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</si>
  <si>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</si>
  <si>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</si>
  <si>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</si>
  <si>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</si>
  <si>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</si>
  <si>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</si>
  <si>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</si>
  <si>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</si>
  <si>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</si>
  <si>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</si>
  <si>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</si>
  <si>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</si>
  <si>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</si>
  <si>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</si>
  <si>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</si>
  <si>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</si>
  <si>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</si>
  <si>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</si>
  <si>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</si>
  <si>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</si>
  <si>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</si>
  <si>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</si>
  <si>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</si>
  <si>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</si>
  <si>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</si>
  <si>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</si>
  <si>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</si>
  <si>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</si>
  <si>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</si>
  <si>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</si>
  <si>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</si>
  <si>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</si>
  <si>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</si>
  <si>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</si>
  <si>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</si>
  <si>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</si>
  <si>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</si>
  <si>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</si>
  <si>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</si>
  <si>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</si>
  <si>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</si>
  <si>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</si>
  <si>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</si>
  <si>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</si>
  <si>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</si>
  <si>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</si>
  <si>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</si>
  <si>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</si>
  <si>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</si>
  <si>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</si>
  <si>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</si>
  <si>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</si>
  <si>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</si>
  <si>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</si>
  <si>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</si>
  <si>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</si>
  <si>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</si>
  <si>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</si>
  <si>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</si>
  <si>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</si>
  <si>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</si>
  <si>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</si>
  <si>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</si>
  <si>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</si>
  <si>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</si>
  <si>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</si>
  <si>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</si>
  <si>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</si>
  <si>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</si>
  <si>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</si>
  <si>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</si>
  <si>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</si>
  <si>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</si>
  <si>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</si>
  <si>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</si>
  <si>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</si>
  <si>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</si>
  <si>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</si>
  <si>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</si>
  <si>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</si>
  <si>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</si>
  <si>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</si>
  <si>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</si>
  <si>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</si>
  <si>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</si>
  <si>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</si>
  <si>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</si>
  <si>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</si>
  <si>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</si>
  <si>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</si>
  <si>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</si>
  <si>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</si>
  <si>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</si>
  <si>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</si>
  <si>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</si>
  <si>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</si>
  <si>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</si>
  <si>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</si>
  <si>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</si>
  <si>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</si>
  <si>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</si>
  <si>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</si>
  <si>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</si>
  <si>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</si>
  <si>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</si>
  <si>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</si>
  <si>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</si>
  <si>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</si>
  <si>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</si>
  <si>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</si>
  <si>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</si>
  <si>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</si>
  <si>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</si>
  <si>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</si>
  <si>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</si>
  <si>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</si>
  <si>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</si>
  <si>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</si>
  <si>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</si>
  <si>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</si>
  <si>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</si>
  <si>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</si>
  <si>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</si>
  <si>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</si>
  <si>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</si>
  <si>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</si>
  <si>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</si>
  <si>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</si>
  <si>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</si>
  <si>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</si>
  <si>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</si>
  <si>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</si>
  <si>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</si>
  <si>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</si>
  <si>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</si>
  <si>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</si>
  <si>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</si>
  <si>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</si>
  <si>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</si>
  <si>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</si>
  <si>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</si>
  <si>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</si>
  <si>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</si>
  <si>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</si>
  <si>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</si>
  <si>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</si>
  <si>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</si>
  <si>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</si>
  <si>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</si>
  <si>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</si>
  <si>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</si>
  <si>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</si>
  <si>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</si>
  <si>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</si>
  <si>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</si>
  <si>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</si>
  <si>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</si>
  <si>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</si>
  <si>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</si>
  <si>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</si>
  <si>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</si>
  <si>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</si>
  <si>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</si>
  <si>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</si>
  <si>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</si>
  <si>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</si>
  <si>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</si>
  <si>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</si>
  <si>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</si>
  <si>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</si>
  <si>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</si>
  <si>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</si>
  <si>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</si>
  <si>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</si>
  <si>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</si>
  <si>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</si>
  <si>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</si>
  <si>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</si>
  <si>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</si>
  <si>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</si>
  <si>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</si>
  <si>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</si>
  <si>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</si>
  <si>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</si>
  <si>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</si>
  <si>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</si>
  <si>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</si>
  <si>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</si>
  <si>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</si>
  <si>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</si>
  <si>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</si>
  <si>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</si>
  <si>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</si>
  <si>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</si>
  <si>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</si>
  <si>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</si>
  <si>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</si>
  <si>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</si>
  <si>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</si>
  <si>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</si>
  <si>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</si>
  <si>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</si>
  <si>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</si>
  <si>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</si>
  <si>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</si>
  <si>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</si>
  <si>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</si>
  <si>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</si>
  <si>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</si>
  <si>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</si>
  <si>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</si>
  <si>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</si>
  <si>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</si>
  <si>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</si>
  <si>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</si>
  <si>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</si>
  <si>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</si>
  <si>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</si>
  <si>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</si>
  <si>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</si>
  <si>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</si>
  <si>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</si>
  <si>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</si>
  <si>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</si>
  <si>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</si>
  <si>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</si>
  <si>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</si>
  <si>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</si>
  <si>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</si>
  <si>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</si>
  <si>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</si>
  <si>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</si>
  <si>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</si>
  <si>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</si>
  <si>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</si>
  <si>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</si>
  <si>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</si>
  <si>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</si>
  <si>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</si>
  <si>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</si>
  <si>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</si>
  <si>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</si>
  <si>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</si>
  <si>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</si>
  <si>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</si>
  <si>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</si>
  <si>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</si>
  <si>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</si>
  <si>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</si>
  <si>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</si>
  <si>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</si>
  <si>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</si>
  <si>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</si>
  <si>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</si>
  <si>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</si>
  <si>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</si>
  <si>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</si>
  <si>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</si>
  <si>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</si>
  <si>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</si>
  <si>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</si>
  <si>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</si>
  <si>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</si>
  <si>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</si>
  <si>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</si>
  <si>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</si>
  <si>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</si>
  <si>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</si>
  <si>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</si>
  <si>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</si>
  <si>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</si>
  <si>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</si>
  <si>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</si>
  <si>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</si>
  <si>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</si>
  <si>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</si>
  <si>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</si>
  <si>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</si>
  <si>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</si>
  <si>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</si>
  <si>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</si>
  <si>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</si>
  <si>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</si>
  <si>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</si>
  <si>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</si>
  <si>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</si>
  <si>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</si>
  <si>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</si>
  <si>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</si>
  <si>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</si>
  <si>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</si>
  <si>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</si>
  <si>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</si>
  <si>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</si>
  <si>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</si>
  <si>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</si>
  <si>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</si>
  <si>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</si>
  <si>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</si>
  <si>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</si>
  <si>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</si>
  <si>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</si>
  <si>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</si>
  <si>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</si>
  <si>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</si>
  <si>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</si>
  <si>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</si>
  <si>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</si>
  <si>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</si>
  <si>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</si>
  <si>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</si>
  <si>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</si>
  <si>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</si>
  <si>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</si>
  <si>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</si>
  <si>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</si>
  <si>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</si>
  <si>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</si>
  <si>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</si>
  <si>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</si>
  <si>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</si>
  <si>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</si>
  <si>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</si>
  <si>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</si>
  <si>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</si>
  <si>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</si>
  <si>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</si>
  <si>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</si>
  <si>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</si>
  <si>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</si>
  <si>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</si>
  <si>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</si>
  <si>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</si>
  <si>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</si>
  <si>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</si>
  <si>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</si>
  <si>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</si>
  <si>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</si>
  <si>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</si>
  <si>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</si>
  <si>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</si>
  <si>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</si>
  <si>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</si>
  <si>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</si>
  <si>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</si>
  <si>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</si>
  <si>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</si>
  <si>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</si>
  <si>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</si>
  <si>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</si>
  <si>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</si>
  <si>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</si>
  <si>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</si>
  <si>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</si>
  <si>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</si>
  <si>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</si>
  <si>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</si>
  <si>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</si>
  <si>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</si>
  <si>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</si>
  <si>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</si>
  <si>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</si>
  <si>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</si>
  <si>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</si>
  <si>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</si>
  <si>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</si>
  <si>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</si>
  <si>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</si>
  <si>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</si>
  <si>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</si>
  <si>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</si>
  <si>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</si>
  <si>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</si>
  <si>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</si>
  <si>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</si>
  <si>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</si>
  <si>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</si>
  <si>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</si>
  <si>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</si>
  <si>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</si>
  <si>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</si>
  <si>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</si>
  <si>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</si>
  <si>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</si>
  <si>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</si>
  <si>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</si>
  <si>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</si>
  <si>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</si>
  <si>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</si>
  <si>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</si>
  <si>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</si>
  <si>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</si>
  <si>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</si>
  <si>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</si>
  <si>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</si>
  <si>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</si>
  <si>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</si>
  <si>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</si>
  <si>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</si>
  <si>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</si>
  <si>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</si>
  <si>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</si>
  <si>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</si>
  <si>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</si>
  <si>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</si>
  <si>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</si>
  <si>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</si>
  <si>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</si>
  <si>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</si>
  <si>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</si>
  <si>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</si>
  <si>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</si>
  <si>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</si>
  <si>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</si>
  <si>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</si>
  <si>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</si>
  <si>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</si>
  <si>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</si>
  <si>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</si>
  <si>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</si>
  <si>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</si>
  <si>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</si>
  <si>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</si>
  <si>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</si>
  <si>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</si>
  <si>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</si>
  <si>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</si>
  <si>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</si>
  <si>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</si>
  <si>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</si>
  <si>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</si>
  <si>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</si>
  <si>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</si>
  <si>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</si>
  <si>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</si>
  <si>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</si>
  <si>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</si>
  <si>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</si>
  <si>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</si>
  <si>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</si>
  <si>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</si>
  <si>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</si>
  <si>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</si>
  <si>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</si>
  <si>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</si>
  <si>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</si>
  <si>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</si>
  <si>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</si>
  <si>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</si>
  <si>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</si>
  <si>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</si>
  <si>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</si>
  <si>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</si>
  <si>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</si>
  <si>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</si>
  <si>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</si>
  <si>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</si>
  <si>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</si>
  <si>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</si>
  <si>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</si>
  <si>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</si>
  <si>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</si>
  <si>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</si>
  <si>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</si>
  <si>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</si>
  <si>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</si>
  <si>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</si>
  <si>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</si>
  <si>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</si>
  <si>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</si>
  <si>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</si>
  <si>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</si>
  <si>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</si>
  <si>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</si>
  <si>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</si>
  <si>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</si>
  <si>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</si>
  <si>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</si>
  <si>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</si>
  <si>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</si>
  <si>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</si>
  <si>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</si>
  <si>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</si>
  <si>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</si>
  <si>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</si>
  <si>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</si>
  <si>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</si>
  <si>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</si>
  <si>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</si>
  <si>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</si>
  <si>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</si>
  <si>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</si>
  <si>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</si>
  <si>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</si>
  <si>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</si>
  <si>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</si>
  <si>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</si>
  <si>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</si>
  <si>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</si>
  <si>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</si>
  <si>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</si>
  <si>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</si>
  <si>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</si>
  <si>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</si>
  <si>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</si>
  <si>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</si>
  <si>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</si>
  <si>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</si>
  <si>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</si>
  <si>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</si>
  <si>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</si>
  <si>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</si>
  <si>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</si>
  <si>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</si>
  <si>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</si>
  <si>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</si>
  <si>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</si>
  <si>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</si>
  <si>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</si>
  <si>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</si>
  <si>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</si>
  <si>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</si>
  <si>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</si>
  <si>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</si>
  <si>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</si>
  <si>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</si>
  <si>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</si>
  <si>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</si>
  <si>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</si>
  <si>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</si>
  <si>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</si>
  <si>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</si>
  <si>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</si>
  <si>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</si>
  <si>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</si>
  <si>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</si>
  <si>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</si>
  <si>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</si>
  <si>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</si>
  <si>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</si>
  <si>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</si>
  <si>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</si>
  <si>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</si>
  <si>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</si>
  <si>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</si>
  <si>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</si>
  <si>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</si>
  <si>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</si>
  <si>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</si>
  <si>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</si>
  <si>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</si>
  <si>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</si>
  <si>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</si>
  <si>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</si>
  <si>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</si>
  <si>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</si>
  <si>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</si>
  <si>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</si>
  <si>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</si>
  <si>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</si>
  <si>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</si>
  <si>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</si>
  <si>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</si>
  <si>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</si>
  <si>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</si>
  <si>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</si>
  <si>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</si>
  <si>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</si>
  <si>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</si>
  <si>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</si>
  <si>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</si>
  <si>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</si>
  <si>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</si>
  <si>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</si>
  <si>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</si>
  <si>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</si>
  <si>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</si>
  <si>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</si>
  <si>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</si>
  <si>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</si>
  <si>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</si>
  <si>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</si>
  <si>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</si>
  <si>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</si>
  <si>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</si>
  <si>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</si>
  <si>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</si>
  <si>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</si>
  <si>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</si>
  <si>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</si>
  <si>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</si>
  <si>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</si>
  <si>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</si>
  <si>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</si>
  <si>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</si>
  <si>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</si>
  <si>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</si>
  <si>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</si>
  <si>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</si>
  <si>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</si>
  <si>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</si>
  <si>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</si>
  <si>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</si>
  <si>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</si>
  <si>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</si>
  <si>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</si>
  <si>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</si>
  <si>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</si>
  <si>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</si>
  <si>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</si>
  <si>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</si>
  <si>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</si>
  <si>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</si>
  <si>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</si>
  <si>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</si>
  <si>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</si>
  <si>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</si>
  <si>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</si>
  <si>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</si>
  <si>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</si>
  <si>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</si>
  <si>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</si>
  <si>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</si>
  <si>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</si>
  <si>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</si>
  <si>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</si>
  <si>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</si>
  <si>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</si>
  <si>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</si>
  <si>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</si>
  <si>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</si>
  <si>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</si>
  <si>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</si>
  <si>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</si>
  <si>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</si>
  <si>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</si>
  <si>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</si>
  <si>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</si>
  <si>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</si>
  <si>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</si>
  <si>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</si>
  <si>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</si>
  <si>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</si>
  <si>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</si>
  <si>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</si>
  <si>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</si>
  <si>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</si>
  <si>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</si>
  <si>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</si>
  <si>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</si>
  <si>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</si>
  <si>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</si>
  <si>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</si>
  <si>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</si>
  <si>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</si>
  <si>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</si>
  <si>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</si>
  <si>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</si>
  <si>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</si>
  <si>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</si>
  <si>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</si>
  <si>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</si>
  <si>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</si>
  <si>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</si>
  <si>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</si>
  <si>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</si>
  <si>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</si>
  <si>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</si>
  <si>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</si>
  <si>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</si>
  <si>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</si>
  <si>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</si>
  <si>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</si>
  <si>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</si>
  <si>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</si>
  <si>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</si>
  <si>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</si>
  <si>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</si>
  <si>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</si>
  <si>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</si>
  <si>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</si>
  <si>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</si>
  <si>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</si>
  <si>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</si>
  <si>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</si>
  <si>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</si>
  <si>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</si>
  <si>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</si>
  <si>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</si>
  <si>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</si>
  <si>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</si>
  <si>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</si>
  <si>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</si>
  <si>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</si>
  <si>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</si>
  <si>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</si>
  <si>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</si>
  <si>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</si>
  <si>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</si>
  <si>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</si>
  <si>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</si>
  <si>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</si>
  <si>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</si>
  <si>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</si>
  <si>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</si>
  <si>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</si>
  <si>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</si>
  <si>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</si>
  <si>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</si>
  <si>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</si>
  <si>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</si>
  <si>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</si>
  <si>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</si>
  <si>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</si>
  <si>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</si>
  <si>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</si>
  <si>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</si>
  <si>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</si>
  <si>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</si>
  <si>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</si>
  <si>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</si>
  <si>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</si>
  <si>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</si>
  <si>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</si>
  <si>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</si>
  <si>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</si>
  <si>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</si>
  <si>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</si>
  <si>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</si>
  <si>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</si>
  <si>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</si>
  <si>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</si>
  <si>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</si>
  <si>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</si>
  <si>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</si>
  <si>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</si>
  <si>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</si>
  <si>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</si>
  <si>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</si>
  <si>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</si>
  <si>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</si>
  <si>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</si>
  <si>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</si>
  <si>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</si>
  <si>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</si>
  <si>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</si>
  <si>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</si>
  <si>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</si>
  <si>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</si>
  <si>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</si>
  <si>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</si>
  <si>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</si>
  <si>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</si>
  <si>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</si>
  <si>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</si>
  <si>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</si>
  <si>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</si>
  <si>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</si>
  <si>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</si>
  <si>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</si>
  <si>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</si>
  <si>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</si>
  <si>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</si>
  <si>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</si>
  <si>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</si>
  <si>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</si>
  <si>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</si>
  <si>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</si>
  <si>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</si>
  <si>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</si>
  <si>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</si>
  <si>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</si>
  <si>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</si>
  <si>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</si>
  <si>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</si>
  <si>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</si>
  <si>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</si>
  <si>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</si>
  <si>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</si>
  <si>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</si>
  <si>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</si>
  <si>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</si>
  <si>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</si>
  <si>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</si>
  <si>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</si>
  <si>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</si>
  <si>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</si>
  <si>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</si>
  <si>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</si>
  <si>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</si>
  <si>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</si>
  <si>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</si>
  <si>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</si>
  <si>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</si>
  <si>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</si>
  <si>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</si>
  <si>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</si>
  <si>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</si>
  <si>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</si>
  <si>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</si>
  <si>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</si>
  <si>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</si>
  <si>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</si>
  <si>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</si>
  <si>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</si>
  <si>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</si>
  <si>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</si>
  <si>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</si>
  <si>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</si>
  <si>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</si>
  <si>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</si>
  <si>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</si>
  <si>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</si>
  <si>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</si>
  <si>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</si>
  <si>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</si>
  <si>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</si>
  <si>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</si>
  <si>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</si>
  <si>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</si>
  <si>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</si>
  <si>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</si>
  <si>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</si>
  <si>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</si>
  <si>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</si>
  <si>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</si>
  <si>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</si>
  <si>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</si>
  <si>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</si>
  <si>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</si>
  <si>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</si>
  <si>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</si>
  <si>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</si>
  <si>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</si>
  <si>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</si>
  <si>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</si>
  <si>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</si>
  <si>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</si>
  <si>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</si>
  <si>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</si>
  <si>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</si>
  <si>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</si>
  <si>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</si>
  <si>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</si>
  <si>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</si>
  <si>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</si>
  <si>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</si>
  <si>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</si>
  <si>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</si>
  <si>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</si>
  <si>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</si>
  <si>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</si>
  <si>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</si>
  <si>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</si>
  <si>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</si>
  <si>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</si>
  <si>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</si>
  <si>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</si>
  <si>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</si>
  <si>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</si>
  <si>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</si>
  <si>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</si>
  <si>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</si>
  <si>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</si>
  <si>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</si>
  <si>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</si>
  <si>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</si>
  <si>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</si>
  <si>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</si>
  <si>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</si>
  <si>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</si>
  <si>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</si>
  <si>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</si>
  <si>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</si>
  <si>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</si>
  <si>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</si>
  <si>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</si>
  <si>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</si>
  <si>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</si>
  <si>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</si>
  <si>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</si>
  <si>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</si>
  <si>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</si>
  <si>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</si>
  <si>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</si>
  <si>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</si>
  <si>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</si>
  <si>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</si>
  <si>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</si>
  <si>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</si>
  <si>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</si>
  <si>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</si>
  <si>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</si>
  <si>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</si>
  <si>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</si>
  <si>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</si>
  <si>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</si>
  <si>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</si>
  <si>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</si>
  <si>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</si>
  <si>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</si>
  <si>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</si>
  <si>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</si>
  <si>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</si>
  <si>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</si>
  <si>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</si>
  <si>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</si>
  <si>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</si>
  <si>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</si>
  <si>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</si>
  <si>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</si>
  <si>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</si>
  <si>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</si>
  <si>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OBSOLETE ES-SP-23 STANDARD OBJECT AND CREATE ES-SP-23 SPECIFICATION OBJECT.
------
11/2/2011 ST - SENT TO R. BAKHTIARY FOR APPROVAL</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</si>
  <si>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</si>
  <si>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</si>
  <si>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</si>
  <si>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</si>
  <si>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</si>
  <si>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</si>
  <si>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</si>
  <si>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</si>
  <si>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</si>
  <si>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</si>
  <si>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</si>
  <si>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</si>
  <si>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</si>
  <si>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</si>
  <si>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</si>
  <si>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</si>
  <si>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</si>
  <si>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</si>
  <si>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</si>
  <si>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</si>
  <si>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</si>
  <si>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</si>
  <si>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</si>
  <si>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</si>
  <si>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</si>
  <si>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</si>
  <si>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</si>
  <si>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</si>
  <si>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</si>
  <si>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</si>
  <si>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</si>
  <si>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</si>
  <si>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</si>
  <si>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</si>
  <si>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</si>
  <si>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</si>
  <si>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</si>
  <si>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</si>
  <si>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</si>
  <si>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</si>
  <si>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</si>
  <si>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</si>
  <si>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</si>
  <si>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</si>
  <si>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</si>
  <si>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</si>
  <si>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</si>
  <si>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</si>
  <si>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</si>
  <si>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</si>
  <si>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</si>
  <si>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</si>
  <si>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</si>
  <si>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</si>
  <si>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</si>
  <si>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</si>
  <si>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</si>
  <si>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</si>
  <si>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</si>
  <si>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</si>
  <si>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</si>
  <si>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</si>
  <si>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</si>
  <si>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</si>
  <si>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</si>
  <si>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</si>
  <si>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</si>
  <si>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</si>
  <si>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</si>
  <si>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</si>
  <si>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</si>
  <si>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</si>
  <si>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</si>
  <si>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</si>
  <si>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</si>
  <si>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</si>
  <si>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</si>
  <si>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</si>
  <si>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</si>
  <si>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</si>
  <si>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</si>
  <si>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</si>
  <si>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</si>
  <si>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</si>
  <si>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</si>
  <si>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</si>
  <si>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</si>
  <si>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</si>
  <si>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</si>
  <si>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</si>
  <si>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</si>
  <si>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</si>
  <si>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</si>
  <si>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</si>
  <si>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</si>
  <si>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</si>
  <si>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</si>
  <si>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</si>
  <si>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</si>
  <si>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</si>
  <si>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</si>
  <si>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</si>
  <si>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</si>
  <si>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</si>
  <si>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</si>
  <si>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</si>
  <si>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</si>
  <si>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</si>
  <si>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</si>
  <si>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</si>
  <si>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</si>
  <si>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</si>
  <si>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</si>
  <si>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</si>
  <si>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</si>
  <si>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</si>
  <si>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</si>
  <si>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</si>
  <si>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</si>
  <si>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</si>
  <si>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</si>
  <si>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</si>
  <si>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</si>
  <si>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</si>
  <si>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</si>
  <si>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</si>
  <si>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</si>
  <si>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</si>
  <si>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</si>
  <si>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</si>
  <si>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</si>
  <si>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</si>
  <si>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</si>
  <si>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</si>
  <si>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</si>
  <si>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</si>
  <si>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</si>
  <si>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</si>
  <si>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</si>
  <si>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</si>
  <si>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</si>
  <si>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</si>
  <si>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</si>
  <si>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</si>
  <si>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</si>
  <si>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</si>
  <si>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</si>
  <si>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</si>
  <si>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</si>
  <si>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</si>
  <si>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</si>
  <si>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</si>
  <si>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</si>
  <si>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</si>
  <si>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</si>
  <si>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</si>
  <si>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</si>
  <si>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</si>
  <si>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</si>
  <si>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</si>
  <si>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</si>
  <si>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</si>
  <si>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</si>
  <si>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</si>
  <si>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</si>
  <si>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</si>
  <si>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</si>
  <si>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</si>
  <si>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</si>
  <si>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</si>
  <si>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</si>
  <si>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</si>
  <si>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</si>
  <si>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</si>
  <si>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</si>
  <si>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</si>
  <si>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</si>
  <si>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</si>
  <si>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</si>
  <si>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</si>
  <si>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</si>
  <si>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</si>
  <si>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</si>
  <si>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</si>
  <si>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</si>
  <si>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</si>
  <si>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</si>
  <si>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</si>
  <si>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</si>
  <si>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</si>
  <si>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</si>
  <si>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</si>
  <si>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</si>
  <si>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</si>
  <si>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</si>
  <si>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</si>
  <si>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</si>
  <si>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</si>
  <si>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</si>
  <si>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</si>
  <si>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</si>
  <si>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</si>
  <si>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</si>
  <si>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</si>
  <si>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</si>
  <si>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</si>
  <si>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</si>
  <si>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</si>
  <si>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</si>
  <si>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</si>
  <si>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</si>
  <si>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</si>
  <si>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</si>
  <si>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</si>
  <si>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</si>
  <si>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</si>
  <si>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</si>
  <si>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</si>
  <si>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</si>
  <si>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</si>
  <si>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</si>
  <si>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</si>
  <si>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</si>
  <si>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</si>
  <si>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</si>
  <si>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</si>
  <si>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</si>
  <si>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</si>
  <si>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</si>
  <si>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</si>
  <si>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</si>
  <si>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</si>
  <si>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</si>
  <si>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</si>
  <si>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</si>
  <si>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</si>
  <si>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</si>
  <si>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</si>
  <si>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</si>
  <si>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</si>
  <si>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</si>
  <si>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</si>
  <si>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</si>
  <si>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</si>
  <si>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</si>
  <si>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</si>
  <si>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</si>
  <si>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</si>
  <si>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</si>
  <si>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</si>
  <si>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</si>
  <si>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</si>
  <si>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</si>
  <si>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</si>
  <si>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</si>
  <si>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</si>
  <si>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</si>
  <si>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</si>
  <si>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</si>
  <si>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</si>
  <si>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</si>
  <si>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</si>
  <si>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</si>
  <si>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</si>
  <si>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</si>
  <si>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</si>
  <si>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</si>
  <si>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</si>
  <si>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</si>
  <si>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</si>
  <si>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</si>
  <si>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</si>
  <si>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</si>
  <si>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</si>
  <si>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</si>
  <si>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</si>
  <si>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</si>
  <si>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</si>
  <si>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</si>
  <si>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</si>
  <si>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</si>
  <si>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</si>
  <si>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</si>
  <si>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</si>
  <si>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</si>
  <si>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</si>
  <si>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</si>
  <si>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</si>
  <si>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</si>
  <si>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</si>
  <si>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</si>
  <si>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</si>
  <si>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</si>
  <si>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</si>
  <si>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</si>
  <si>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</si>
  <si>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</si>
  <si>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</si>
  <si>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</si>
  <si>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</si>
  <si>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</si>
  <si>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</si>
  <si>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</si>
  <si>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</si>
  <si>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</si>
  <si>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</si>
  <si>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</si>
  <si>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</si>
  <si>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</si>
  <si>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</si>
  <si>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</si>
  <si>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</si>
  <si>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</si>
  <si>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</si>
  <si>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</si>
  <si>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</si>
  <si>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</si>
  <si>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</si>
  <si>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</si>
  <si>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</si>
  <si>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</si>
  <si>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728809</t>
  </si>
  <si>
    <t>28:</t>
  </si>
  <si>
    <t>20:  splt=N/A</t>
  </si>
  <si>
    <t>18:</t>
  </si>
  <si>
    <t>PMT</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</si>
  <si>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</si>
  <si>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</si>
  <si>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</si>
  <si>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</si>
  <si>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</si>
  <si>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</si>
  <si>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</si>
  <si>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</si>
  <si>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</si>
  <si>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</si>
  <si>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</si>
  <si>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</si>
  <si>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</si>
  <si>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</si>
  <si>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</si>
  <si>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</si>
  <si>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</si>
  <si>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</si>
  <si>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</si>
  <si>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</si>
  <si>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</si>
  <si>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</si>
  <si>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</si>
  <si>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</si>
  <si>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</si>
  <si>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</si>
  <si>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</si>
  <si>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</si>
  <si>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</si>
  <si>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</si>
  <si>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</si>
  <si>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</si>
  <si>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</si>
  <si>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</si>
  <si>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</si>
  <si>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</si>
  <si>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</si>
  <si>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</si>
  <si>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</si>
  <si>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</si>
  <si>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</si>
  <si>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</si>
  <si>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</si>
  <si>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</si>
  <si>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</si>
  <si>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</si>
  <si>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</si>
  <si>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</si>
  <si>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</si>
  <si>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</si>
  <si>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</si>
  <si>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</si>
  <si>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</si>
  <si>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</si>
  <si>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</si>
  <si>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</si>
  <si>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</si>
  <si>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</si>
  <si>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</si>
  <si>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</si>
  <si>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</si>
  <si>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</si>
  <si>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</si>
  <si>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</si>
  <si>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</si>
  <si>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</si>
  <si>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</si>
  <si>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</si>
  <si>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</si>
  <si>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</si>
  <si>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</si>
  <si>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</si>
  <si>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</si>
  <si>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</si>
  <si>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</si>
  <si>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</si>
  <si>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</si>
  <si>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</si>
  <si>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</si>
  <si>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</si>
  <si>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</si>
  <si>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</si>
  <si>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</si>
  <si>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</si>
  <si>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</si>
  <si>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</si>
  <si>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740156</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</si>
  <si>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</si>
  <si>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</si>
  <si>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</si>
  <si>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</si>
  <si>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</si>
  <si>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</si>
  <si>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745927</t>
  </si>
  <si>
    <t>Elec  Update component list on BOM for mn 597484- Downhole Cable Simulator
See attached email for details. Three sales orders in place, one already late.</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</si>
  <si>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</si>
  <si>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</si>
  <si>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</si>
  <si>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</si>
  <si>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</si>
  <si>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</si>
  <si>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</si>
  <si>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</si>
  <si>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</si>
  <si>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</si>
  <si>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</si>
  <si>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</si>
  <si>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</si>
  <si>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</si>
  <si>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</si>
  <si>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</si>
  <si>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</si>
  <si>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</si>
  <si>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</si>
  <si>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</si>
  <si>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</si>
  <si>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</si>
  <si>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</si>
  <si>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</si>
  <si>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</si>
  <si>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</si>
  <si>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</si>
  <si>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</si>
  <si>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</si>
  <si>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</si>
  <si>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</si>
  <si>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</si>
  <si>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</si>
  <si>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</si>
  <si>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</si>
  <si>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</si>
  <si>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</si>
  <si>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</si>
  <si>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</si>
  <si>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</si>
  <si>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</si>
  <si>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</si>
  <si>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</si>
  <si>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</si>
  <si>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</si>
  <si>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</si>
  <si>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</si>
  <si>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</si>
  <si>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</si>
  <si>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</si>
  <si>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</si>
  <si>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</si>
  <si>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</si>
  <si>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</si>
  <si>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</si>
  <si>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</si>
  <si>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</si>
  <si>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</si>
  <si>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</si>
  <si>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</si>
  <si>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</si>
  <si>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</si>
  <si>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</si>
  <si>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</si>
  <si>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</si>
  <si>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</si>
  <si>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</si>
  <si>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</si>
  <si>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</si>
  <si>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</si>
  <si>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</si>
  <si>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</si>
  <si>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</si>
  <si>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</si>
  <si>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</si>
  <si>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</si>
  <si>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</si>
  <si>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</si>
  <si>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</si>
  <si>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</si>
  <si>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</si>
  <si>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</si>
  <si>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</si>
  <si>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</si>
  <si>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</si>
  <si>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</si>
  <si>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</si>
  <si>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Review attached Control Panel designs.  create new halliburton designed panels with same or equal inputs and outputs.  Bid Due date has not been advised at this time.
2012-01-03 Still awaiting response from field. Rta needs to be put on DH</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</si>
  <si>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</si>
  <si>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</si>
  <si>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</si>
  <si>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</si>
  <si>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</si>
  <si>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</si>
  <si>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</si>
  <si>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</si>
  <si>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</si>
  <si>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</si>
  <si>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</si>
  <si>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</si>
  <si>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</si>
  <si>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</si>
  <si>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</si>
  <si>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</si>
  <si>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</si>
  <si>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</si>
  <si>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</si>
  <si>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</si>
  <si>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</si>
  <si>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</si>
  <si>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</si>
  <si>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</si>
  <si>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</si>
  <si>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</si>
  <si>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</si>
  <si>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</si>
  <si>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</si>
  <si>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</si>
  <si>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</si>
  <si>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</si>
  <si>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</si>
  <si>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</si>
  <si>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</si>
  <si>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</si>
  <si>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</si>
  <si>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</si>
  <si>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</si>
  <si>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</si>
  <si>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</si>
  <si>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</si>
  <si>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</si>
  <si>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</si>
  <si>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</si>
  <si>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</si>
  <si>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</si>
  <si>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</si>
  <si>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</si>
  <si>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</si>
  <si>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</si>
  <si>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</si>
  <si>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</si>
  <si>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</si>
  <si>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</si>
  <si>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</si>
  <si>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</si>
  <si>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</si>
  <si>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</si>
  <si>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</si>
  <si>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</si>
  <si>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</si>
  <si>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</si>
  <si>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</si>
  <si>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</si>
  <si>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</si>
  <si>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</si>
  <si>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</si>
  <si>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</si>
  <si>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</si>
  <si>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</si>
  <si>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</si>
  <si>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</si>
  <si>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</si>
  <si>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</si>
  <si>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</si>
  <si>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</si>
  <si>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</si>
  <si>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</si>
  <si>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</si>
  <si>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</si>
  <si>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</si>
  <si>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</si>
  <si>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</si>
  <si>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</si>
  <si>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</si>
  <si>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</si>
  <si>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</si>
  <si>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</si>
  <si>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</si>
  <si>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</si>
  <si>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</si>
  <si>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</si>
  <si>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</si>
  <si>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</si>
  <si>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</si>
  <si>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</si>
  <si>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</si>
  <si>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</si>
  <si>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</si>
  <si>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</si>
  <si>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</si>
  <si>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</si>
  <si>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</si>
  <si>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</si>
  <si>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</si>
  <si>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</si>
  <si>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</si>
  <si>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</si>
  <si>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</si>
  <si>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</si>
  <si>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</si>
  <si>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</si>
  <si>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</si>
  <si>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</si>
  <si>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</si>
  <si>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</si>
  <si>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</si>
  <si>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</si>
  <si>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</si>
  <si>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</si>
  <si>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</si>
  <si>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</si>
  <si>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</si>
  <si>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</si>
  <si>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</si>
  <si>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</si>
  <si>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746935</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</si>
  <si>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</si>
  <si>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</si>
  <si>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</si>
  <si>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</si>
  <si>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</si>
  <si>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</si>
  <si>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</si>
  <si>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</si>
  <si>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</si>
  <si>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</si>
  <si>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</si>
  <si>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</si>
  <si>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</si>
  <si>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</si>
  <si>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</si>
  <si>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</si>
  <si>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</si>
  <si>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</si>
  <si>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</si>
  <si>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</si>
  <si>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</si>
  <si>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</si>
  <si>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</si>
  <si>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</si>
  <si>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</si>
  <si>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</si>
  <si>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</si>
  <si>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</si>
  <si>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</si>
  <si>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</si>
  <si>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</si>
  <si>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</si>
  <si>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</si>
  <si>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</si>
  <si>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</si>
  <si>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</si>
  <si>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</si>
  <si>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</si>
  <si>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</si>
  <si>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</si>
  <si>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</si>
  <si>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</si>
  <si>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</si>
  <si>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</si>
  <si>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</si>
  <si>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</si>
  <si>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</si>
  <si>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</si>
  <si>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</si>
  <si>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</si>
  <si>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</si>
  <si>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</si>
  <si>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</si>
  <si>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</si>
  <si>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</si>
  <si>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</si>
  <si>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</si>
  <si>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</si>
  <si>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</si>
  <si>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</si>
  <si>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</si>
  <si>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</si>
  <si>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</si>
  <si>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</si>
  <si>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</si>
  <si>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</si>
  <si>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</si>
  <si>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</si>
  <si>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</si>
  <si>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</si>
  <si>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</si>
  <si>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</si>
  <si>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</si>
  <si>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</si>
  <si>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</si>
  <si>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</si>
  <si>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</si>
  <si>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</si>
  <si>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</si>
  <si>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</si>
  <si>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</si>
  <si>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</si>
  <si>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</si>
  <si>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</si>
  <si>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</si>
  <si>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</si>
  <si>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</si>
  <si>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</si>
  <si>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</si>
  <si>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</si>
  <si>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</si>
  <si>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</si>
  <si>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</si>
  <si>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</si>
  <si>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</si>
  <si>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</si>
  <si>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</si>
  <si>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</si>
  <si>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</si>
  <si>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</si>
  <si>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</si>
  <si>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</si>
  <si>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</si>
  <si>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</si>
  <si>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</si>
  <si>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</si>
  <si>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</si>
  <si>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</si>
  <si>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</si>
  <si>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</si>
  <si>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</si>
  <si>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</si>
  <si>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</si>
  <si>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</si>
  <si>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</si>
  <si>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</si>
  <si>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</si>
  <si>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</si>
  <si>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</si>
  <si>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</si>
  <si>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</si>
  <si>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</si>
  <si>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</si>
  <si>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</si>
  <si>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</si>
  <si>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</si>
  <si>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</si>
  <si>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</si>
  <si>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</si>
  <si>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</si>
  <si>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</si>
  <si>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</si>
  <si>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</si>
  <si>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</si>
  <si>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</si>
  <si>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</si>
  <si>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</si>
  <si>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</si>
  <si>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</si>
  <si>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</si>
  <si>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</si>
  <si>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</si>
  <si>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</si>
  <si>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</si>
  <si>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</si>
  <si>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</si>
  <si>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</si>
  <si>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</si>
  <si>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</si>
  <si>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</si>
  <si>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</si>
  <si>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</si>
  <si>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</si>
  <si>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</si>
  <si>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</si>
  <si>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</si>
  <si>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</si>
  <si>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</si>
  <si>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</si>
  <si>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</si>
  <si>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</si>
  <si>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</si>
  <si>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</si>
  <si>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</si>
  <si>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</si>
  <si>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</si>
  <si>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</si>
  <si>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</si>
  <si>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</si>
  <si>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</si>
  <si>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</si>
  <si>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</si>
  <si>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</si>
  <si>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</si>
  <si>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</si>
  <si>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</si>
  <si>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</si>
  <si>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</si>
  <si>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</si>
  <si>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</si>
  <si>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</si>
  <si>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</si>
  <si>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</si>
  <si>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</si>
  <si>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</si>
  <si>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</si>
  <si>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</si>
  <si>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</si>
  <si>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</si>
  <si>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</si>
  <si>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</si>
  <si>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</si>
  <si>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</si>
  <si>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</si>
  <si>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</si>
  <si>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</si>
  <si>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</si>
  <si>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</si>
  <si>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</si>
  <si>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</si>
  <si>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</si>
  <si>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</si>
  <si>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</si>
  <si>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</si>
  <si>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</si>
  <si>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</si>
  <si>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</si>
  <si>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</si>
  <si>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</si>
  <si>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</si>
  <si>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</si>
  <si>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</si>
  <si>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</si>
  <si>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</si>
  <si>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</si>
  <si>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</si>
  <si>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</si>
  <si>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</si>
  <si>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</si>
  <si>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</si>
  <si>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</si>
  <si>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</si>
  <si>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</si>
  <si>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</si>
  <si>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</si>
  <si>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</si>
  <si>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</si>
  <si>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</si>
  <si>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</si>
  <si>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</si>
  <si>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</si>
  <si>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</si>
  <si>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</si>
  <si>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</si>
  <si>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</si>
  <si>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</si>
  <si>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</si>
  <si>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</si>
  <si>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</si>
  <si>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</si>
  <si>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</si>
  <si>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</si>
  <si>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</si>
  <si>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</si>
  <si>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</si>
  <si>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</si>
  <si>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</si>
  <si>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</si>
  <si>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</si>
  <si>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</si>
  <si>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</si>
  <si>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</si>
  <si>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</si>
  <si>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</si>
  <si>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</si>
  <si>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</si>
  <si>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Release of the 9290-5104 Customization RTA Process Flow Chart
The purpose of this flow chart is to document to process of the RTA Liaison process as it relates to customizations RTAs within Intelligent Completions.
TSG NOTES 011112 RECD FOR PROCESSING; TASK DEMOTED TO REMOVE FILES ATTACHED TO TASK; M.SCOGIN OUT OF TOWN UNTIL 012212; RTA RE-ASSIGNED BACK TO M. SCOGIN (GMC) END</t>
  </si>
  <si>
    <t>Statoil Stjerne M-13</t>
  </si>
  <si>
    <t>747051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</si>
  <si>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</si>
  <si>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</si>
  <si>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</si>
  <si>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</si>
  <si>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</si>
  <si>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</si>
  <si>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</si>
  <si>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</si>
  <si>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</si>
  <si>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</si>
  <si>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</si>
  <si>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</si>
  <si>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</si>
  <si>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</si>
  <si>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</si>
  <si>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</si>
  <si>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</si>
  <si>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</si>
  <si>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</si>
  <si>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</si>
  <si>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</si>
  <si>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</si>
  <si>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</si>
  <si>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</si>
  <si>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</si>
  <si>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</si>
  <si>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</si>
  <si>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</si>
  <si>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</si>
  <si>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</si>
  <si>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</si>
  <si>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</si>
  <si>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</si>
  <si>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</si>
  <si>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</si>
  <si>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</si>
  <si>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</si>
  <si>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New ROC Mdrl: SGL ROC150
Same As: 9293-6711; MDRL ASSY,2 3/8-4.60,SNGL ROC,1.125 OD,F
Except: 2.375 ROC Mandrel, single ROC150, Tenaris Blue Box x Pin, 13Cr material
Project Name: Bowen Deep
Special Quality Plan Required?: No
Material: (7) 13 CR 80 MY 22HRC (ES-MA-58-7)
Mating Infomation:
------
2011-12-13 ST - SENT EMAIL ASKING FOR NEW REQ DOC AND FOR MORE INFO
2012-01-03, WM:  Assign to Sam, class B.
2012-01-09, WM: Dana to correct TRDD
------
2012-01-09 ST - SENT TO J. SEALE FOR CHECKING
2012-01-12 J. SEALE CHECKING COMPLETE, SOME CHANGES ARE NEED SENT BACK TO S. TEHVEN
------
2012-01-12 ST - SENT TO R. BAKHTIARY FOR APPROVAL</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</si>
  <si>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</si>
  <si>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</si>
  <si>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</si>
  <si>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</si>
  <si>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</si>
  <si>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</si>
  <si>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</si>
  <si>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</si>
  <si>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</si>
  <si>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</si>
  <si>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</si>
  <si>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ECR - 3.5 direct HS integration, MN 102085302
The item numbers in the BOM in CWI do not match the item numbers on the drawing, 316916-04-01.
IN ENGINEERING DESIGN_A.BERRET_01/09/2012.
FOLDER RETURNED TO O. EWUMI FOR CHECKING_A. BERRET_01/13/2012.</t>
  </si>
  <si>
    <t>Waiting on customer to approve quality plan.  1/13/12 DM</t>
  </si>
  <si>
    <t>Shell Changbei</t>
  </si>
  <si>
    <t>ELEC</t>
  </si>
  <si>
    <t>1/14/2012 Permanent Monitoring RTA Priorities List</t>
  </si>
  <si>
    <t>627101</t>
  </si>
  <si>
    <t>748209</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</si>
  <si>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</si>
  <si>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</si>
  <si>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</si>
  <si>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</si>
  <si>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</si>
  <si>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</si>
  <si>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</si>
  <si>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</si>
  <si>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</si>
  <si>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</si>
  <si>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</si>
  <si>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748258</t>
  </si>
  <si>
    <t>ECR-D00515022. Missing dimension on sheet 2 grid ref G3 for position and width of radial slot. Taken dimension from solidworks drg as 2.16 and .77 wide.</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</si>
  <si>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</si>
  <si>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</si>
  <si>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Same As: 9290-6829-SB2; GGE MDRL ASSY,3 1/2-9.20 VAMTOP-SB2
Except: 
Mandrel to be made of Inconel 718, 120 KSI
------
2012-01-12 ST - SENT TO J. SEALE FOR CHECKING
------
2012-01-16 ST - SENT TO R. BAKHTIARY FOR APPROVAL</t>
  </si>
  <si>
    <t>13: SPLT=126</t>
  </si>
  <si>
    <t>Same As: 9290-6830-SB2; GGE MDRL ASSY,3 1/2-9.20 VAMTOP-SB2
Except: 
Mandrel to be made of Inconel 718, 120 KSI
------
2012-01-12 ST - SENT TO J. SEALE FOR CHECKING
------
2012-01-16 ST - SENT TO R. BAKHTIARY FOR APPROVAL</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</si>
  <si>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</si>
  <si>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</si>
  <si>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</si>
  <si>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</si>
  <si>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</si>
  <si>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</si>
  <si>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</si>
  <si>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</si>
  <si>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t>
  </si>
  <si>
    <t>749120</t>
  </si>
  <si>
    <t>SPLT=N/A</t>
  </si>
  <si>
    <t>42: SPLT=140 Cancelling per attached email from submitter.  1/18/12 DM</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</si>
  <si>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</si>
  <si>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</si>
  <si>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</si>
  <si>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Samuel Nwankwo</t>
  </si>
  <si>
    <t>Statoil  Visund V4</t>
  </si>
  <si>
    <t>pm</t>
  </si>
  <si>
    <t>749730</t>
  </si>
  <si>
    <t>MAKE CORRECTIONS TO BOMS WHICH CONTAIN INCORRECT QUANTITIES, WHICH SHOULD BE IN METERS, FOR P/N 101805944, 101805975.</t>
  </si>
  <si>
    <t>ted.soules@welldynamics.com</t>
  </si>
  <si>
    <t>Shell Habanero</t>
  </si>
  <si>
    <t>24: SPLT=140  Emailed submitter regarding 9/1/12 delivery date per PMT. Waiting for confirmation from field to change AIS date.  1/19/12 DM</t>
  </si>
  <si>
    <t>749945</t>
  </si>
  <si>
    <t>Require modifications to Splice Assy to be placed above and below MFT Packer 12MFT95408-VBGO. This configuration must fit into 9 5/8¿¿ 53,5 casing. All lines required to be on one side of clamp. see reference 1021115119
Current assembly of Packer 12MFT95408-VBGO and Splice Assy 235SF0965563-SB2 creates total assembly OD larger than max packer OD. Splice Assy needs to be modified to make total assembly OD less than max packer OD. see reference 1021115119</t>
  </si>
  <si>
    <t>Christopher.Tawse@Halliburton.com</t>
  </si>
  <si>
    <t>749836</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</si>
  <si>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</si>
  <si>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</si>
  <si>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</si>
  <si>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</si>
  <si>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</si>
  <si>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</si>
  <si>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</si>
  <si>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</si>
  <si>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Create Drawings for all (4) plastic inserts (2-7/8, 3-1/2, 4-1/2, 5-1/2) Travis Bordman has all the SolidWorks models to be used for the drawings.</t>
  </si>
  <si>
    <t>Part Number 101915960 needs a Technical Document similar to the Design Data Sheet on 101817745.
IN ENGENNERING FOR CHECKING_A. BERRET_01/25/2012--------END
FOLDER RETURNED TO P. JAMES FOR APPROVAL_A. BERRET_01/26/2012---------------------------------------END</t>
  </si>
  <si>
    <t>751401</t>
  </si>
  <si>
    <t>750550</t>
  </si>
  <si>
    <t>Achmigaz</t>
  </si>
  <si>
    <t>update the 71CA118 to include the Autoclave 15MX44K8 adapter fitting</t>
  </si>
  <si>
    <t>Assign to Robert T Class A  1/23/12 DM</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</si>
  <si>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</si>
  <si>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7: SPLT=84 @@</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</si>
  <si>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</si>
  <si>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</si>
  <si>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</si>
  <si>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</si>
  <si>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</si>
  <si>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</si>
  <si>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SPLT=84</t>
  </si>
  <si>
    <t>750022</t>
  </si>
  <si>
    <t>Shell Caisson</t>
  </si>
  <si>
    <t>R Smith contacting submitter.  Duplicate request being handled on another RTA.  Will cancel after contact has been made.  1/23/12 DM</t>
  </si>
  <si>
    <t>24: SPLT=98 Changed to code 2 see attached email from submitter.  12/8/11 DM</t>
  </si>
  <si>
    <t>751704</t>
  </si>
  <si>
    <t>M/N-591124 and 591126, Drawing W.302243-00-00
Please remove the 6.995/7.000 dimension as this is not necessary for manufacturing the part and meeting geometry requirements.</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</si>
  <si>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</si>
  <si>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</si>
  <si>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</si>
  <si>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</si>
  <si>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SPLT=168</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</si>
  <si>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</si>
  <si>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</si>
  <si>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751044</t>
  </si>
  <si>
    <t>RAMEEN.BAKHTIARY@HALLIBURTON.COM</t>
  </si>
  <si>
    <t>1/4 X .049, ALLOY 825 TEC
CREATE NEW PART NUMBER FOR (1 SPOOL 6600M) TEC, 1/4 X .049, ALLOY 825, P-06 FILLER FEP INSULATION, 16 GA SOLID COPPER CONDUCTOR, CP-1, 0.41
Quality plan KZ1</t>
  </si>
  <si>
    <t>752250</t>
  </si>
  <si>
    <t>For drawing 308091-09-01, section (N-N) requires a call out change. Change it from 33/18 to 33/9. This reflects a shorter screw length for item 9 that will avoid protrusion in the assembly.</t>
  </si>
  <si>
    <t>750831</t>
  </si>
  <si>
    <t>ECR 316850-00-01 REV B CAN THE LENGTH OF THE NATIONAL THREAD BE ADDED BACK IN TO DRAWING. LENGTH SHOWS AS BEING 3.95 INCHES IN REV 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</si>
  <si>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</si>
  <si>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</si>
  <si>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</si>
  <si>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Drawing W.304236-00-00 Rev.J
17 associated material numbers.
Please add a note to the drawing that states,
KEEP ALL 6 PIECES TOGETHER AS A MATCHED SET.</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</si>
  <si>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t>
  </si>
  <si>
    <t>750072</t>
  </si>
  <si>
    <t>Chevron Angola Blk 0</t>
  </si>
  <si>
    <t>same as part number 102036908, but with a change in threads from the current T3SB to Tenaris Blue.</t>
  </si>
  <si>
    <t>Cancelled per attached email from C McKay.  1/23/12 DM</t>
  </si>
  <si>
    <t>21: SPLT=84 Assigned to Mark G, Change class to C, changed request design complete date to 2/21/2012- 1/3/2012 RB</t>
  </si>
  <si>
    <t>751185</t>
  </si>
  <si>
    <t>ECR - request a new part number pre-swage tool, new design. Please find the attached red-lined drawing to create new pre-swage tool for shop use in Spring. The handle is longer and thicker to make use easier.</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</si>
  <si>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</si>
  <si>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</si>
  <si>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</si>
  <si>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</si>
  <si>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</si>
  <si>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</si>
  <si>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</si>
  <si>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</si>
  <si>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</si>
  <si>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</si>
  <si>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</si>
  <si>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</si>
  <si>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</si>
  <si>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</si>
  <si>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</si>
  <si>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</si>
  <si>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</si>
  <si>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</si>
  <si>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</si>
  <si>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Upper Level M/N-101840913 Carrier, Inner Carbide Assy.
M/N-101840320, Drawing D00390756 Rev.C
Please change the 7X 2.899/2.901 reference OD at the right side of DETAIL-B to 7X 2.8995/2.9000, leave the triangle 1 associated with this dimension.</t>
  </si>
  <si>
    <t>751317</t>
  </si>
  <si>
    <t>MN 101903675
Create packer envelope for 722HF1965346 and attach in CWI.</t>
  </si>
  <si>
    <t>751764</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</si>
  <si>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t>
  </si>
  <si>
    <t>751278</t>
  </si>
  <si>
    <t>ECR-9290-2786.Gauge Mandrel 9290-2786 there is a missing dimension for the face of the slot to the centre at the left hand side grid C7.E-Mail sent by Mark Guy that the dimension from the pin centre to the slot bottom at grid C7 should be 2.470.</t>
  </si>
  <si>
    <t>315270-00-01 has the bore and outside diameters missing for the 3.625-8 stub acme thread and 4.625-10 stub acme thread.
IN ENGINEERING FOR CHECKING_A. BERRET_01/26/2012--------END
RETURNED TO P. JAMES FOR APPROVAL_A. BERRET_01/26/2012--END</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</si>
  <si>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</si>
  <si>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</si>
  <si>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751963</t>
  </si>
  <si>
    <t>BC Petroleum</t>
  </si>
  <si>
    <t>Dan Taylor</t>
  </si>
  <si>
    <t>751084</t>
  </si>
  <si>
    <t>17: SPLT=N/A</t>
  </si>
  <si>
    <t>ELEC - eSSSV Development</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</si>
  <si>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</si>
  <si>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</si>
  <si>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34: SPLT=154 Well cancelled.  Design far enough along it will be completed for future needs. 4/18/11 DM</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</si>
  <si>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</si>
  <si>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1: SPLT=33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  Sifting through designs from ProServ and loading info.  1/23/12 DM</t>
  </si>
  <si>
    <t>8: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</si>
  <si>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30: SPLT=N/A On design hold waiting for designs by Carrollton FC. RTA 707224-718 Landing Nipple, 707227-718 Lock Mandrel, 707231-718 Equalizing Valve/Prong.  8/22/11 DM Pushed out AIS date and TRDD per P James.  9/20/11 DM Revised AIS and TRDD per P James.  10/5/11 DM</t>
  </si>
  <si>
    <t>31: SPLT=N/A  On design hold waiting for designs by Carrollton FC. RTA 707224-718 Landing Nipple, 707227-718 Lock Mandrel, 707231-718 Equalizing Valve/Prong.  8/22/11 DM Pushed out AIS date and TRDD per P James.  9/20/11 DM Revised AIS and TRDD per P James.  10/5/11 DM</t>
  </si>
  <si>
    <t>32: SPLT=N/A On design hold waiting for designs by Carrollton FC. RTA 707224-718 Landing Nipple, 707227-718 Lock Mandrel, 707231-718 Equalizing Valve/Prong.  8/22/11 DM Pushed out AIS date and TRDD per P James.  9/20/11 DM</t>
  </si>
  <si>
    <t>33: SPLT=N/A On design hold waiting for designs by Carrollton FC. RTA 707224-718 Landing Nipple, 707227-718 Lock Mandrel, 707231-718 Equalizing Valve/Prong.  8/22/11 DM Pushed out AIS date and TRDD per P James.  9/20/11 DM</t>
  </si>
  <si>
    <t>23: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</si>
  <si>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25: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</si>
  <si>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</si>
  <si>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14: SPLT=126 Pushed AIS and TRDD per P James.  9/20/11 DM  Changed AIS date per PMT mtg.  1/13/12 DM  Chgd to Code 1 because once design is released it will be used on the next well.  1/24/12 DM</t>
  </si>
  <si>
    <t>20: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</si>
  <si>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SPLT=168  Emailed submitter and requested a requirements document.  10/27/11 DM  Recd and attached requirements document.  11/2/11 DM  Placing on design hold until field supplies metallurgy confirmation per S Saldanha.  12/9/11 DM</t>
  </si>
  <si>
    <t>35: SPLT=N/A</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</si>
  <si>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</si>
  <si>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SPLT=210  No customer PO until end of year. May need to VSF long lead items once this is received. Design waiting for development of 4.5 multi-function ftg kit which is underway. Email attached.  10/13/11 DM  Changed AIS date per PMT mtg.  1/13/12 DM</t>
  </si>
  <si>
    <t>26: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</si>
  <si>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
-----
1/25/2012 RB - Submitter responded with modified specifications per attached email and RTA re-design has been completed. RTA is ready for approval.</t>
  </si>
  <si>
    <t>4: SPLT=112 Emailed field for AIS date.  11/2/11 DM  Need drawing for customer review and mn for PO. Completion date is 6/2012.  11/23/2011 DM  Assign to James Class B 11/28/11 DM</t>
  </si>
  <si>
    <t>2: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  Sending out for quote. Scheduling design review prior to material number release.  1/23/12 DM</t>
  </si>
  <si>
    <t>SPLT=140  Attached updated requirements document reflecting thread changes to Tenaris Blue.  11/17/11 DM  Placing on design hold until field supplies metallurgy confirmation per S Saldanha.  12/9/11 DM</t>
  </si>
  <si>
    <t>SPLT=154 Emailed field with existing part number to verify new design is still required.  Waiting for response. Email attached.  1/4/12 DM  Customer wants to go to tender so placing RTA on hold per attached email from submitter.  1/10/12 DM</t>
  </si>
  <si>
    <t>2: SPLT=112 1/3/2012 RB - Assigned to sam, changed class to B Changed AIS date per attached email from submitter.  1/18/12 DM Email from submitter indicating PO is in place and demand will be placed once released. Customer would prefer 5/10 but I did not promise this date to field. See attached email. 1/18/12 DM</t>
  </si>
  <si>
    <t>6: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</si>
  <si>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3: SPLT=140 @@ Emailed submitter for AIS date, customer, and project.  11/23/11DM  Recd required info from submitter. Email attached. 12/8/11 DM Pushed AIS date per S Saldanha. Email attached.  1/24/12 DM</t>
  </si>
  <si>
    <t>9: SPLT=140 @@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</si>
  <si>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10: SPLT=140 @@  Emailed submitter regarding 5/12/12 delivery date per PMT. Waiting for confirmation from field to change AIS date.  1/19/12 DM Confirmation from field to push AIS date-email attached. 1/20/12 DM  Emailed submitter re: no bumper bar to anchor flatpack.  1/25/12 DM</t>
  </si>
  <si>
    <t>11: SPLT=140 @@  Emailed submitter regarding 5/12/12 delivery date per PMT. Waiting for confirmation from field to change AIS date.  1/19/12 DM  Confirmation from field to push AIS date-email attached. 1/20/12 DM</t>
  </si>
  <si>
    <t>15: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</si>
  <si>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11: SPLT=126</t>
  </si>
  <si>
    <t>12: SPLT=126</t>
  </si>
  <si>
    <t>14: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</si>
  <si>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18: SPLT=126  Changed AIS date per Shell rig schedule and confirmation of G Breerwood. Confirmation email attched.  1/19/12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</si>
  <si>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</si>
  <si>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</si>
  <si>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8: SPLT=126 Changed AIS date per Shell rig schedule and confirmation of G Breerwood.  Confirmation email attached. 1/19/12 DM</t>
  </si>
  <si>
    <t>15: SPLT=168 Emailed submitter regarding 9/1/12 delivery date per PMT. Waiting for confirmation from field to change AIS date.  1/19/12 DM</t>
  </si>
  <si>
    <t>29: SPLT=140</t>
  </si>
  <si>
    <t>SPLT=168  Cancelling per submitter customer wants HS instead of HVC valves. Completed most of design so will go ahead and complete. 1/27/12 DM</t>
  </si>
  <si>
    <t>18: SPLT=168 Emailed submitter regarding 9/1/12 delivery date per PMT. Waiting for confirmation from field to change AIS date.  1/19/12 DM</t>
  </si>
  <si>
    <t>26: SPLT=168  Called submitter re: attached email from S Saldanha. Left message.  1/16/12 DM</t>
  </si>
  <si>
    <t>17: SPLT=168 Emailed submitter regarding 9/1/12 delivery date per PMT. Waiting for confirmation from field to change AIS date.  1/19/12 DM</t>
  </si>
  <si>
    <t>19: SPLT=168 Emailed submitter regarding 9/1/12 delivery date per PMT. Waiting for confirmation from field to change AIS date.  1/19/12 DM</t>
  </si>
  <si>
    <t>25: SPLT=168  Changed AIS date per PMT.  Need to finish design asap for field design reviews.  1/13/12 DM</t>
  </si>
  <si>
    <t>16: SPLT=168 Emailed submitter regarding 9/1/12 delivery date per PMT. Waiting for confirmation from field to change AIS date.  1/19/12 DM</t>
  </si>
  <si>
    <t>23: SPLT=140  Emailed submitter regarding 9/1/12 delivery date per PMT. Waiting for confirmation from field to change AIS date.  1/19/12 DM</t>
  </si>
  <si>
    <t>12: SPLT=140 @@ Email to field requesting packer info-email attached.  1/20/12 DM  Emailed submitter regarding splice sub requirements.  1/25/12 DM  Submitter splice sub requirements attached.  1/26/12 DM</t>
  </si>
  <si>
    <t>750781</t>
  </si>
  <si>
    <t>750624</t>
  </si>
  <si>
    <t>Modify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
------
2011-12-13 ST - SENT TO J. SEALE FOR CHECKING
------
2011-12-14 ST - SENT TO R. BAKHTIARY FOR APPROVAL
------
1/25/2012 RB - Received response from submitter. RTA is ready for approval.</t>
  </si>
  <si>
    <t>3:  SPLT=112 Assign to James, Class B and review AIS date.  11/21 DM  Review AIS date, submitted inside LT.  12/5/11 DM  Changed AIS date to reflect standard lead after production release per PMT mtg.  1/13/12 DM Emailed submitter re: casing size on req doc.  1/18/12 DM    Attaching confirmation of casing size from submitter.  1/18/12 DM  Emailed submitter to confirm AIS date.  1/18/12 DM  Submitter has no well date yet. Inquired as to whether a 6/1 AIS date would work for him.  1/18/12 DM  Revised AIS date per submitter IM conversation. 1/18/12 DM  Emailed submitter again for requested info. Email attached.  Placing on hold.  1/23/12 DM  Submitter replied with requested info. Design can be pushed out.  1/24/12 DM</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</si>
  <si>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</si>
  <si>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</si>
  <si>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</si>
  <si>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</si>
  <si>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</si>
  <si>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RTA TO CREATE TEMPLATE FOR AMS SOFTWARE SERVERS AND PCS</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</si>
  <si>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</si>
  <si>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</si>
  <si>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</si>
  <si>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</si>
  <si>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</si>
  <si>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</si>
  <si>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</si>
  <si>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</si>
  <si>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</si>
  <si>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</si>
  <si>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</si>
  <si>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</si>
  <si>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</si>
  <si>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ECR - 9 5/8 HF1 packer consumable kit, 101903556, does not have test keys in the BOM. Please add 4 each test keys, MN 595085, to the BOM in CWI.</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</si>
  <si>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</si>
  <si>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t>
  </si>
  <si>
    <t>752838</t>
  </si>
  <si>
    <t>Same As: 235SF0703550; SUB,SPLC,7035,S13CR,3 1/2-9.20 VAMTOP BO
Except: in 13Cr 80k Material
Tech Start Date is in the past
Project Name: Angsi
Special Quality Plan Required?: No
Material: (7) 13 CR 80 MY 22HRC (ES-MA-58-7)
Mating Infomation:</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</si>
  <si>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</si>
  <si>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</si>
  <si>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</si>
  <si>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</si>
  <si>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</si>
  <si>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</si>
  <si>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</si>
  <si>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</si>
  <si>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</si>
  <si>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</si>
  <si>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</si>
  <si>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</si>
  <si>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</si>
  <si>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</si>
  <si>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</si>
  <si>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</si>
  <si>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For drawing D00425903 open up the all (3) .44 inch dia. counter sink holes by .010 inch. The new diameter should be .045 inches to allow the head to drop through.
Anthony Rivera 1/30/2012</t>
  </si>
  <si>
    <t>752454</t>
  </si>
  <si>
    <t>Set up SAP MN in specific length per meter FOR FLATPACK CONTROL LINES 3-LINE.</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</si>
  <si>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</si>
  <si>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</si>
  <si>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</si>
  <si>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</si>
  <si>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</si>
  <si>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</si>
  <si>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</si>
  <si>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</si>
  <si>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</si>
  <si>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</si>
  <si>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</si>
  <si>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</si>
  <si>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</si>
  <si>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</si>
  <si>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</si>
  <si>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</si>
  <si>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</si>
  <si>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</si>
  <si>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</si>
  <si>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328530</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</si>
  <si>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t>
  </si>
  <si>
    <t>Ellen McGuinness</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</si>
  <si>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</si>
  <si>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</si>
  <si>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</si>
  <si>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</si>
  <si>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</si>
  <si>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</si>
  <si>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SPLT=126</t>
  </si>
  <si>
    <t>SPLT= 126 Emailed field re: AIS date and quality requirements.  1/26/12 DM  Email attached regarding AIS date from submitter.  1/26/12 DM</t>
  </si>
  <si>
    <t>753411</t>
  </si>
  <si>
    <t>Design Circle: Check Valve
I need a cross-sectional showing the dimensions of the following: Same As 9290-2790, but remove the bypass slots and change the check valve to 3/8IN. We want to fit this mandrel into 7IN 38PPF casing with 5.92IN ID. Smaller the better.</t>
  </si>
  <si>
    <t>753414</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</si>
  <si>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t>
  </si>
  <si>
    <t>753373</t>
  </si>
  <si>
    <t>ECR-031092-12-01 SHEET 2 GRID REF E9. 3/8-24 UNC HOLES SHOULD BE 3/8-14 UNF.</t>
  </si>
  <si>
    <t>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t>
  </si>
  <si>
    <t>HS On-Off interval Control Valve, this is to be the new low cost design. To suit SmartPlex Clamp.
09/01/2011 - DESIGN HOLD BY: SCOTT HOADLEY.
12/12/2011 - Moved back to WIP by Kirby Schrader. Stacey Joiner will be completing the work on the integration.
02/01/2012 - Attached email from Bruce Gavin to note change of material for pup joints. Was 13Cr. Is now 1Cr.</t>
  </si>
  <si>
    <t>SPLT=168 Changed AIS date to reflect SLT from production release per PMT mtg.  1/13/12 DM Revised AIS date according to Letter of Acceptance per J Rahman.  1/24/12 DM Placing on hold until customer identifies flow trim design.  1/31/12 DM</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</si>
  <si>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</si>
  <si>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SPLT=140 Emailed submitter for clarification.  Email attached.  1/4/12 DM</t>
  </si>
  <si>
    <t>SPLT=154</t>
  </si>
  <si>
    <t>Safety System - Quote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
2012-01-31 WM: Sent out for requote per customer request.
2012-02-01 TS: Drawings are being created, to be sent out for quote today. Requote 02-06-2012.</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</si>
  <si>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</si>
  <si>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t>
  </si>
  <si>
    <t>5: SPLT=126 @@ Emailed submitter re: quality requirements. 1/23/12 DM</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</si>
  <si>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</si>
  <si>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</si>
  <si>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</si>
  <si>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</si>
  <si>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</si>
  <si>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</si>
  <si>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</si>
  <si>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</si>
  <si>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</si>
  <si>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</si>
  <si>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</si>
  <si>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</si>
  <si>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</si>
  <si>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</si>
  <si>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</si>
  <si>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</si>
  <si>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</si>
  <si>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</si>
  <si>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</si>
  <si>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</si>
  <si>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</si>
  <si>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</si>
  <si>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</si>
  <si>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</si>
  <si>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</si>
  <si>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</si>
  <si>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</si>
  <si>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</si>
  <si>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</si>
  <si>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</si>
  <si>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</si>
  <si>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</si>
  <si>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</si>
  <si>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</si>
  <si>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</si>
  <si>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</si>
  <si>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</si>
  <si>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</si>
  <si>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</si>
  <si>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</si>
  <si>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</si>
  <si>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</si>
  <si>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</si>
  <si>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</si>
  <si>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</si>
  <si>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</si>
  <si>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</si>
  <si>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</si>
  <si>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</si>
  <si>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</si>
  <si>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</si>
  <si>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</si>
  <si>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</si>
  <si>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</si>
  <si>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</si>
  <si>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</si>
  <si>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</si>
  <si>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</si>
  <si>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</si>
  <si>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</si>
  <si>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</si>
  <si>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</si>
  <si>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</si>
  <si>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</si>
  <si>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</si>
  <si>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</si>
  <si>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</si>
  <si>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</si>
  <si>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</si>
  <si>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</si>
  <si>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</si>
  <si>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</si>
  <si>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</si>
  <si>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</si>
  <si>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</si>
  <si>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</si>
  <si>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</si>
  <si>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</si>
  <si>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</si>
  <si>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</si>
  <si>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</si>
  <si>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</si>
  <si>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</si>
  <si>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</si>
  <si>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</si>
  <si>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</si>
  <si>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</si>
  <si>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</si>
  <si>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</si>
  <si>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</si>
  <si>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</si>
  <si>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</si>
  <si>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</si>
  <si>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</si>
  <si>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Melissa Allen</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</si>
  <si>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</si>
  <si>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</si>
  <si>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</si>
  <si>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</si>
  <si>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</si>
  <si>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</si>
  <si>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</si>
  <si>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</si>
  <si>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</si>
  <si>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</si>
  <si>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</si>
  <si>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</si>
  <si>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</si>
  <si>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Jay Bissell/Ellen McGuinness</t>
  </si>
  <si>
    <r>
      <rPr>
        <sz val="10"/>
        <color theme="1"/>
        <rFont val="Arial"/>
        <family val="2"/>
      </rPr>
      <t xml:space="preserve">Wildcards * and ? May be used
</t>
    </r>
    <r>
      <rPr>
        <sz val="11"/>
        <color theme="1"/>
        <rFont val="Arial"/>
        <family val="2"/>
      </rPr>
      <t xml:space="preserve">
Type to filter by name:</t>
    </r>
  </si>
  <si>
    <t>753708</t>
  </si>
  <si>
    <t>Need new MN created for SB2 version of MN 102102484. New MN to be a Make item for plant P2032.</t>
  </si>
  <si>
    <t>Design Circle: ROC 175 25K
I need a design circle for the following:
4IN 13.2PPF S13CR110Ksi VAM DRS Mandrel with a single ROC 175 25Ksi Gauge. Need bypass slots to accommodate a bare 3/8IN control line on each side of the mandrel. Must fit into a 7IN 38PPF casing with 5.92IN ID just above a CIM with 3/8IN bare control line.
------
2012-02-01 ST - SENT TO M. GUY FOR CHECKING
------
2012-02-01 ST - SENT TO R. BAKHTIARY FOR APPROVAL</t>
  </si>
  <si>
    <t>Well Head Outlet Assembly (MN 101871425 / Legacy 0191-6011) has been purchased and is in stock for Apache Grand Isle. The current design of the flange (MN 101871466 / Legacy 0191-2010) allows for a 1/8 TEC feed-thru. The flange in stock needs to be modified to allow a 1/4 TEC feed-thru similar to Well Head Outlet Assembly (SAP PN 597602 / Legacy 9895-6004). Ensure that the Housing (SAP PN 597569 / Legacy 9895-2000) will still fit around feed-thru fitting.
Please ensure that the current flange can be modified for the new design. If this cannot be accomplished then please notify RTA submitter ASAP. 
The modified design will need a new assembly number.
Recommended Modification:
Change medium pressure fitting in flange to 1/4 NPT. Install bore-thru Swagelok fitting (1/4 NPT x 1/4 Tube) into flange. Larger NPT may need to be used if current flange cannot be modified to accomplish this.
1/26/2012 - Assigned to Mark for Design.
1/30/2012 - Design complete, forwarded to Sam for checking.
------
2012-01-31 ST - SENT BACK TO M. GUY FOR CORRECTIONS
------
2012-02-02 ST - SENT TO R. BAKHTIARY FOR APPROVAL</t>
  </si>
  <si>
    <t>753829</t>
  </si>
  <si>
    <t>ECR-316167-02-01. CAN PRE-PLATING AND POST PLATING DIMENSIONS BE ADDED TO THE DRG AS DONE ON PREVIOUS DRAWINGS THAT REQUIRE PLATING.</t>
  </si>
  <si>
    <t>753706</t>
  </si>
  <si>
    <t>Need new MN created for SB2 version of MN 102109949.  New MN to be a Buy item for plant P2032 and a make item for plant P2071.</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</si>
  <si>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</si>
  <si>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753688</t>
  </si>
  <si>
    <t>Mod ROC Mdrl: Thread Change
Same As: 9293-6770; MDRL ASSY,4 1/2-11.60,SNGL ROC,0.75 OD,J
Except: TOP THREAD 4 1/213.5 NSCT
BOTTOM THREAD 4 1/213.5 NSCT
Project Name: Balai Cluster
Special Quality Plan Required?: No
Material: (7) 13 CR 80 MY 22HRC (ES-MA-58-7)
Mating Infomation:
1-30-2012 - Mark Guy - Design started
1-1-2012 - Design complete, forward to Sam for checking
------
2012-02-01 ST - SENT BACK TO M. GUY FOR CORRECTIONS
------
2012-02-01 ST - SENT TO R. BAKHTIARY FOR APPROVAL</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</si>
  <si>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</si>
  <si>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</si>
  <si>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</si>
  <si>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</si>
  <si>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753709</t>
  </si>
  <si>
    <t>Need new MN created for SB2 version of MN 102116924. New MN to be a Make item for plant P2032.</t>
  </si>
  <si>
    <t>753989</t>
  </si>
  <si>
    <t>Same As: 71SSS1; SFTY SYS STD RTA DESIGN REQ
Except: Set up legacy P/N 93F592, Bulk head union, 1/2 X 1/2 inch
Project Name: 
Special Quality Plan Required?: No
Material: 
Mating Infomation:</t>
  </si>
  <si>
    <t>753993</t>
  </si>
  <si>
    <t>Same As: 71SSS1; SFTY SYS STD RTA DESIGN REQ
Except: Set up needle valve, 1500 PSI or less for pneumtic 3/8 inch FNPT X 3/8 inch FNPT, Swagelok
Project Name: 
Special Quality Plan Required?: No
Material: 
Mating Infomation:</t>
  </si>
  <si>
    <t>753950</t>
  </si>
  <si>
    <t>FMC Technologies</t>
  </si>
  <si>
    <t>Please creat MN 102033800 with -FT1 quality plan</t>
  </si>
  <si>
    <t>Esmeralda.McLeane@welldynamics.com</t>
  </si>
  <si>
    <t>753953</t>
  </si>
  <si>
    <t>Create MN 102033800 with -FT1 quality plan</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</si>
  <si>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</si>
  <si>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</si>
  <si>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</si>
  <si>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</si>
  <si>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</si>
  <si>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</si>
  <si>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</si>
  <si>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Same as: 235AC2703500-SB2; CLP,TPR LOCK,SZ 7035,13CR,3 1/2-9.2 -SB2
Except for: Sub material to be Inconel 718; Clamp material to be 13Cr
TSG NOTES 2212 RCVD. FILE FOR PROCESSING. SENT BOM TO QUALITY. SENT BACK TO ENGINEER FOR CORRECTIONS. RCVD. BACK FOR CORRECTION CHECK. (KEN) END</t>
  </si>
  <si>
    <t>Change material to 25Cr 80Ksi; Change Top Thread to 7-26.0lb/ft VAMTOP pin. Change Bottom Thread to 7-26.0 lb/ft VAMTOP pin. Replace the Single cable termination (SAP:101854668) by the Dual cable termination (SAP:598392). Lower the mandrel legth to allow just one thread re-cut on the top side. Lower the mandrel legth to allow just one thread re-cut on the Bottom side.
The final assembly need be compatible with the 8.525in casing drift. The new gauge mandrel ID must be bigger or equal to 5.880in 
PROJECT NAME: STATOIL PEREGRINO - BR11193
------
2012-01-26 ST - SENT TO J. SEALE FOR CHECKING
-----
2012-02-01 J. SEALE - CHECKING COMPLETE,CHANGES ARE REQUIRED SENT BACK TO S. TEHVEN FOR CORRECTION
------
2012-02-01 ST - SENT TO R. BAKHTIARY FOR APPROVAL</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</si>
  <si>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</si>
  <si>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</si>
  <si>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</si>
  <si>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</si>
  <si>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754003</t>
  </si>
  <si>
    <t>Same As: 71SSS1; SFTY SYS STD RTA DESIGN REQ
Except: Set up SAP P/N for Check valve 1/2 inch FNPT X 1/2 inch FNPT, 10,000 psi
Project Name: 
Special Quality Plan Required?: No
Material: 
Mating Infomation:</t>
  </si>
  <si>
    <t>754004</t>
  </si>
  <si>
    <t>Same As: 71SSS1; SFTY SYS STD RTA DESIGN REQ
Except: Set up SAP P/N for Check Valve 1/2 inch FNPT X 1/2 inch FNPT, 6,000 PSI 
Project Name: 
Special Quality Plan Required?: No
Material: 
Mating Infomation:</t>
  </si>
  <si>
    <t>754011</t>
  </si>
  <si>
    <t>Same As: 71SSS1; SFTY SYS STD RTA DESIGN REQ
Except: Set up SAP P/N for Check valve 3/8 inch FNPT X 3/8 inch FNPT 6,000 PSI
Project Name: 
Special Quality Plan Required?: No
Material: 
Mating Infomation:</t>
  </si>
  <si>
    <t>754001</t>
  </si>
  <si>
    <t>Same As: 71SSS1; SFTY SYS STD RTA DESIGN REQ
Except: Set up Spring kit for swagelok relief valve, kit p/n 177R3AK1G
Project Name: 
Special Quality Plan Required?: No
Material: 
Mating Infomation:</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</si>
  <si>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</si>
  <si>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</si>
  <si>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</si>
  <si>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</si>
  <si>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Same as: 309347-33-SB2; CRSVR,SPLC SUB,SZ 7035,13CR,3 1/2 -SB2
Except fot: Material to be Inconel 718
IN ENGENNERING FOR CHECKING_A. BERRET_01/25/2012--------END
FOLDER RETURNED TO P. JAMES FOR DISTRIBUTION &amp; APPROVAL_A. BERRET_01/31/2012---------------------------------------END
FOLDER RETURNED TO J. ODLE FOR MINOR UPDATES_A. BERRET_02/01/2012---------------------------------------END
FOLDER RETURNED TO CHETAN LOKESH FOR APPROVAL_A.BERRET_02/02/2012----------------------------END</t>
  </si>
  <si>
    <t>754126</t>
  </si>
  <si>
    <t xml:space="preserve">Husky </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</si>
  <si>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</si>
  <si>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</si>
  <si>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</si>
  <si>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</si>
  <si>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</si>
  <si>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</si>
  <si>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</si>
  <si>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ECR - Request drawing 304097-00-00 to be issued a material number and set up as a part in CWI. Also, see attached marked up drawing 304097-00-00 for suggested changes, by adding QPQ coating to part to reduce corrosion and galling of the ID thread during test.</t>
  </si>
  <si>
    <t>754154</t>
  </si>
  <si>
    <t>M/N-102081455, Drawing 313771-10-01 Rev.A
Please move the triangle NOTE 1 at the diameter dimension 3.5995/3.6000 to the length dimension 2.85.</t>
  </si>
  <si>
    <t>REVISE PCSB MANDREL REF NUM 9290-6824 TO MAKE THE DESIGNS FIT CONCENTRICALLY WITHIN THE DRIFT SPECIFIED IN RTA 729043
------
2012-01-24 ST - SENT TO M. GUY FOR CHECKING
2012-01-24 MG - Checking complete, returned to Sam for small revisions.</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</si>
  <si>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</si>
  <si>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NEED BOM FOR MATERIAL NUMBER 591914 UPDATED TO CALL OUT MN 591916. NEED TO CHANGE MN 591914 FROM A BUY TO A MAKE PART.
020112 UPDATED RTA TYPE FROM CUSTOMIZATION TO ECR PER M ALLEN DSH.
TSG NOTES 020212 RCVD. FILE FOR CREATION. CREATED FILE, PROMOTED RTA TO WIP, ADDED TASK, AND PART. 020312 RCVD. FILE FOR PROCESSING. (KEN) END</t>
  </si>
  <si>
    <t>754160</t>
  </si>
  <si>
    <t>STATOIL</t>
  </si>
  <si>
    <t>RTA TO REVISE SAP MN 101869683 AND ALL VARIENTS TO REMOVE PROCEDURE ES-A-443 REV. B AS THIS IS COMPLETED AT ANOTHER LEVEL.
TSG NOTES 020312 COMPLETED REQUESTED CHANGE TO SAP MN 101869683, BASE HAS ALREADY BEEN UPDATED. (KEN) END</t>
  </si>
  <si>
    <t>Mod ROC Mdrl: Thread Change
Gauge Mandrel Assembly required for Murphy Serenai. Gauge mandrel required is similar to 101954607 except thread change required to JFE Fox BxP
------
2012-02-02 ST - SENT TO M. GUY FOR CHECKING
------
2012-02-03 ST - SENT TO R. BAKHTIARY FOR APPROVAL</t>
  </si>
  <si>
    <t>754378</t>
  </si>
  <si>
    <t>Control System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
2012-01-24, TS:  FAT of production unit is scheduled on 3/9.  Delivery to customer scheduled for 3/26.  Drawing updates still in progress, not holding up production.
2012-01-30, TS: Still reviewing drawings from Proserve. FAT scheduled for March 5. Roxar test scheduled for March 19 Delivery to customer March 26.
2012-02-02, TS:Push through what we have create a new RTA when we get as built drawings.
2012-02-03, TS: to be released by 2-10. Review with Christoffer next week.</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</si>
  <si>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</si>
  <si>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</si>
  <si>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t>
  </si>
  <si>
    <t>6: SPLT=N/A    Dan/Josh to be ready for vendor quote by 12/31.  11/28/11 DM  Documentation to be completed and forwarded to Ted for approval.  1/16/12 DM  Submitter asked for revision of technical report.  Mtg to review 1/24.  1/23/12 DM</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</si>
  <si>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t>
  </si>
  <si>
    <t>4: SPLT=196 @@ Dan working on design and will contact SIRA for ATEX certification once design is complete.  11/28/11 DM  Waiting for Lorimer quote with ATEX certification.  12/9/11 DM  Ted sending info to alternate ATEX approved supplier.  1/16/12 DM  Mtg w/FM 1/24.  1/23/12 DM</t>
  </si>
  <si>
    <t>18: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</si>
  <si>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Safety System - Order - 71ZZ2900
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
2012-01-30, WM: Need to assure that it has been sent out for quote - Hakeem.
2012-02-01, TS: Sent out for quote. Quotes to be recieved by 02-06-2012.
2012-02-03, TS: Requoting, quotes due in by Monday 02-06.</t>
  </si>
  <si>
    <t>7: SPLT=N/A  Extension not verified, proceeding and releasing asap.   Robert T to provide ZZ  for Hakeem 1/17 AM.  Assign to Hakeem.  1/16/12 DM  Sent out for quote.  1/23/12 DM</t>
  </si>
  <si>
    <t>Safety System - Quote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
2012-01-30, WM: Schematic complete - set up design review for Wednesday 2/1
2012-02-03, TS: Sent to Kelley for quote. Should have by next Friday 2-10.</t>
  </si>
  <si>
    <t>15: SPLT=N/A  No bid due date from the region.  1/4/12 DM  Design beginning.  1/16/12 DM  Emailed Tony for due date.  1/18/12 DM Field indicates that the customer wants the quote now. See attached email.  1/19/12 DM</t>
  </si>
  <si>
    <t>5:</t>
  </si>
  <si>
    <t>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t>
  </si>
  <si>
    <t>3:</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</si>
  <si>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t>
  </si>
  <si>
    <t>16:</t>
  </si>
  <si>
    <t>754148</t>
  </si>
  <si>
    <t>ELEC - Request PM Engineering to take possession of 597416 XPIO AC 19inch Rack Mount. Item was sent back on RMA906 and customer is requesting an FAR by 2/10/12.</t>
  </si>
  <si>
    <t>Craig Gillaspie</t>
  </si>
  <si>
    <t>Craig.Gillaspie@Halliburton.com</t>
  </si>
  <si>
    <t>11:</t>
  </si>
  <si>
    <t>13:</t>
  </si>
  <si>
    <t>14:</t>
  </si>
  <si>
    <t>12:</t>
  </si>
  <si>
    <t>9:</t>
  </si>
  <si>
    <t>10:</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</si>
</sst>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15">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40" fillId="10" borderId="48"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left"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0"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14" fontId="40" fillId="0" borderId="0" xfId="0" applyNumberFormat="1" applyFont="1" applyFill="1" applyBorder="1" applyAlignment="1" applyProtection="1">
      <alignment horizontal="center" vertical="center" wrapText="1"/>
      <protection locked="0"/>
    </xf>
    <xf numFmtId="0" fontId="39" fillId="10" borderId="43" xfId="0" applyNumberFormat="1" applyFont="1" applyFill="1" applyBorder="1" applyAlignment="1" applyProtection="1">
      <alignment horizontal="center" vertical="top" wrapText="1"/>
    </xf>
    <xf numFmtId="0" fontId="40" fillId="10" borderId="46"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left" vertical="top" wrapText="1"/>
      <protection locked="0"/>
    </xf>
    <xf numFmtId="0" fontId="22" fillId="0" borderId="0" xfId="0" applyFont="1" applyFill="1" applyBorder="1" applyAlignment="1" applyProtection="1">
      <alignment horizontal="left" vertical="top" wrapText="1"/>
      <protection locked="0"/>
    </xf>
    <xf numFmtId="14" fontId="40" fillId="0" borderId="43" xfId="0" applyNumberFormat="1" applyFont="1" applyFill="1" applyBorder="1" applyAlignment="1" applyProtection="1">
      <alignment horizontal="center" vertical="top" wrapText="1"/>
      <protection locked="0"/>
    </xf>
    <xf numFmtId="14" fontId="22" fillId="0" borderId="0" xfId="0" applyNumberFormat="1" applyFont="1" applyFill="1" applyBorder="1" applyAlignment="1" applyProtection="1">
      <alignment horizontal="center" vertical="top" wrapText="1"/>
      <protection locked="0"/>
    </xf>
    <xf numFmtId="0" fontId="40" fillId="0" borderId="43" xfId="0" applyNumberFormat="1" applyFont="1" applyFill="1" applyBorder="1" applyAlignment="1" applyProtection="1">
      <alignment horizontal="center" vertical="top" wrapText="1"/>
    </xf>
    <xf numFmtId="0" fontId="22" fillId="0" borderId="0" xfId="0" applyNumberFormat="1" applyFont="1" applyFill="1" applyBorder="1" applyAlignment="1" applyProtection="1">
      <alignment horizontal="center" vertical="top" wrapText="1"/>
    </xf>
    <xf numFmtId="1" fontId="40" fillId="0" borderId="43"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protection locked="0"/>
    </xf>
    <xf numFmtId="14" fontId="40" fillId="0" borderId="43" xfId="0" applyNumberFormat="1" applyFont="1" applyFill="1" applyBorder="1" applyAlignment="1" applyProtection="1">
      <alignment horizontal="center" vertical="top" wrapText="1"/>
    </xf>
    <xf numFmtId="14" fontId="22" fillId="0" borderId="0" xfId="0" applyNumberFormat="1" applyFont="1" applyFill="1" applyBorder="1" applyAlignment="1" applyProtection="1">
      <alignment horizontal="center" vertical="top" wrapText="1"/>
    </xf>
    <xf numFmtId="14" fontId="40" fillId="0" borderId="43" xfId="0" applyNumberFormat="1" applyFont="1" applyFill="1" applyBorder="1" applyAlignment="1" applyProtection="1">
      <alignment horizontal="center" vertical="center" wrapText="1"/>
      <protection locked="0"/>
    </xf>
    <xf numFmtId="14" fontId="22" fillId="0" borderId="0" xfId="0" applyNumberFormat="1" applyFont="1" applyFill="1" applyBorder="1" applyAlignment="1" applyProtection="1">
      <alignment horizontal="center" vertical="center" wrapText="1"/>
      <protection locked="0"/>
    </xf>
    <xf numFmtId="49" fontId="40" fillId="0" borderId="43" xfId="0" applyNumberFormat="1" applyFont="1" applyFill="1" applyBorder="1" applyAlignment="1" applyProtection="1">
      <alignment horizontal="center" vertical="top" wrapText="1"/>
      <protection locked="0"/>
    </xf>
    <xf numFmtId="49" fontId="22" fillId="0" borderId="0" xfId="0" applyNumberFormat="1" applyFont="1" applyFill="1" applyBorder="1" applyAlignment="1" applyProtection="1">
      <alignment horizontal="center" vertical="top" wrapText="1"/>
      <protection locked="0"/>
    </xf>
    <xf numFmtId="0" fontId="39" fillId="10" borderId="0" xfId="0" applyNumberFormat="1" applyFont="1" applyFill="1" applyBorder="1" applyAlignment="1" applyProtection="1">
      <alignment horizontal="center" vertical="top" wrapText="1"/>
    </xf>
    <xf numFmtId="0" fontId="39" fillId="10" borderId="0" xfId="0" applyNumberFormat="1" applyFont="1" applyFill="1" applyAlignment="1" applyProtection="1">
      <alignment horizontal="center" vertical="top" wrapText="1"/>
    </xf>
    <xf numFmtId="0" fontId="40" fillId="0" borderId="0" xfId="0" applyFont="1" applyFill="1" applyAlignment="1" applyProtection="1">
      <alignment horizontal="left" vertical="top" wrapText="1"/>
      <protection locked="0"/>
    </xf>
    <xf numFmtId="14" fontId="40" fillId="0" borderId="0" xfId="0" applyNumberFormat="1" applyFont="1" applyFill="1" applyAlignment="1" applyProtection="1">
      <alignment horizontal="center" vertical="top" wrapText="1"/>
      <protection locked="0"/>
    </xf>
    <xf numFmtId="0" fontId="40" fillId="0" borderId="0" xfId="0" applyNumberFormat="1" applyFont="1" applyFill="1" applyAlignment="1" applyProtection="1">
      <alignment horizontal="center" vertical="top" wrapText="1"/>
    </xf>
    <xf numFmtId="1" fontId="40" fillId="0" borderId="0" xfId="0" applyNumberFormat="1" applyFont="1" applyFill="1" applyAlignment="1" applyProtection="1">
      <alignment horizontal="center" vertical="top" wrapText="1"/>
    </xf>
    <xf numFmtId="14" fontId="40" fillId="0" borderId="0" xfId="0" applyNumberFormat="1" applyFont="1" applyFill="1" applyAlignment="1" applyProtection="1">
      <alignment horizontal="center" vertical="top" wrapText="1"/>
    </xf>
    <xf numFmtId="49" fontId="40" fillId="0" borderId="0" xfId="0" applyNumberFormat="1" applyFont="1" applyFill="1" applyAlignment="1" applyProtection="1">
      <alignment horizontal="center" vertical="top" wrapText="1"/>
      <protection locked="0"/>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07">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ill>
        <patternFill>
          <bgColor rgb="FFFFFFAF"/>
        </patternFill>
      </fill>
    </dxf>
    <dxf>
      <fill>
        <patternFill>
          <bgColor rgb="FFCAE8AA"/>
        </patternFill>
      </fill>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6"/>
      <tableStyleElement type="headerRow" dxfId="105"/>
      <tableStyleElement type="totalRow" dxfId="104"/>
      <tableStyleElement type="firstColumn" dxfId="103"/>
      <tableStyleElement type="lastColumn" dxfId="102"/>
      <tableStyleElement type="firstRowStripe" dxfId="101"/>
      <tableStyleElement type="firstColumnStripe" dxfId="100"/>
    </tableStyle>
    <tableStyle name="TableStyleLight1 2" pivot="0" count="4">
      <tableStyleElement type="wholeTable" dxfId="99"/>
      <tableStyleElement type="headerRow" dxfId="98"/>
      <tableStyleElement type="totalRow" dxfId="97"/>
      <tableStyleElement type="firstRowStripe" dxfId="96"/>
    </tableStyle>
    <tableStyle name="TableStyleMedium16 2" pivot="0" count="7">
      <tableStyleElement type="wholeTable" dxfId="95"/>
      <tableStyleElement type="headerRow" dxfId="94"/>
      <tableStyleElement type="totalRow" dxfId="93"/>
      <tableStyleElement type="firstColumn" dxfId="92"/>
      <tableStyleElement type="lastColumn" dxfId="91"/>
      <tableStyleElement type="firstRowStripe" dxfId="90"/>
      <tableStyleElement type="firstColumnStripe" dxfId="89"/>
    </tableStyle>
    <tableStyle name="TableStyleMedium22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3 2" pivot="0" count="8">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Element type="secondColumnStripe" dxfId="74"/>
    </tableStyle>
  </tableStyles>
  <colors>
    <mruColors>
      <color rgb="FFCAE8AA"/>
      <color rgb="FFB8E08C"/>
      <color rgb="FFCCFFCC"/>
      <color rgb="FFAFFF8F"/>
      <color rgb="FFB0FEB9"/>
      <color rgb="FFD26865"/>
      <color rgb="FFFFFFAF"/>
      <color rgb="FFFFFF9B"/>
      <color rgb="FFFD67F2"/>
      <color rgb="FFE4736A"/>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38900" y="868391"/>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14" tableType="queryTable" totalsRowShown="0" headerRowDxfId="64" dataDxfId="62" headerRowBorderDxfId="63">
  <sortState ref="A6:AA1414">
    <sortCondition ref="A5:A1408"/>
  </sortState>
  <tableColumns count="27">
    <tableColumn id="17" uniqueName="17" name=" " queryTableFieldId="17" dataDxfId="33">
      <calculatedColumnFormula>IF(priority(Main[[#This Row],[Comments]])&lt;&gt;0, priority(Main[[#This Row],[Comments]]),"")</calculatedColumnFormula>
    </tableColumn>
    <tableColumn id="1" uniqueName="1" name="RTA" queryTableFieldId="1" dataDxfId="32"/>
    <tableColumn id="2" uniqueName="2" name="Customer" queryTableFieldId="2" dataDxfId="31"/>
    <tableColumn id="3" uniqueName="3" name="Description" queryTableFieldId="3" dataDxfId="30"/>
    <tableColumn id="4" uniqueName="4" name="Submitted" queryTableFieldId="4" dataDxfId="29"/>
    <tableColumn id="5" uniqueName="5" name="In Stock Date" queryTableFieldId="5" dataDxfId="28"/>
    <tableColumn id="19" uniqueName="19" name="Standard Production Lead Time" queryTableFieldId="19" dataDxfId="27">
      <calculatedColumnFormula>IF(stdProdLT(Main[[#This Row],[Comments]])=0.1,"N/A",IF(stdProdLT(Main[[#This Row],[Comments]])=0,"",stdProdLT(Main[[#This Row],[Comments]])))</calculatedColumnFormula>
    </tableColumn>
    <tableColumn id="18" uniqueName="18" name="Remaining Production Lead Time" queryTableFieldId="18" dataDxfId="26">
      <calculatedColumnFormula>IF(AND(Main[[#This Row],[In Stock Date]]&lt;&gt;"",Main[[#This Row],[Revised Due Date]]&lt;&gt;""),Main[[#This Row],[In Stock Date]]-Main[[#This Row],[Revised Due Date]],"")</calculatedColumnFormula>
    </tableColumn>
    <tableColumn id="6" uniqueName="6" name="Assigned To" queryTableFieldId="6" dataDxfId="25"/>
    <tableColumn id="7" uniqueName="7" name="Current Status" queryTableFieldId="7" dataDxfId="24"/>
    <tableColumn id="12" uniqueName="12" name="Class" queryTableFieldId="12" dataDxfId="23"/>
    <tableColumn id="9" uniqueName="9" name="Tech Start Date" queryTableFieldId="9" dataDxfId="22"/>
    <tableColumn id="22" uniqueName="22" name="Design" queryTableFieldId="23" dataDxfId="2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7"/>
    <tableColumn id="11" uniqueName="11" name="Revised Due Date" queryTableFieldId="11" dataDxfId="16"/>
    <tableColumn id="13" uniqueName="13" name="Type" queryTableFieldId="13" dataDxfId="15"/>
    <tableColumn id="14" uniqueName="14" name="Comments" queryTableFieldId="14" dataDxfId="14"/>
    <tableColumn id="15" uniqueName="15" name="State" queryTableFieldId="15" dataDxfId="13"/>
    <tableColumn id="8" uniqueName="8" name="Lab Office" queryTableFieldId="8" dataDxfId="12"/>
    <tableColumn id="16" uniqueName="16" name="Code" queryTableFieldId="16" dataDxfId="11"/>
    <tableColumn id="24" uniqueName="24" name="Submitted By" queryTableFieldId="29" dataDxfId="10"/>
    <tableColumn id="25" uniqueName="25" name="Requestor Email" queryTableFieldId="30" dataDxfId="9"/>
    <tableColumn id="27" uniqueName="27" name="Manager/Lead" queryTableFieldId="32" dataDxfId="8"/>
    <tableColumn id="26" uniqueName="26" name="Requestor Name" queryTableFieldId="33"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4" tableType="queryTable" headerRowCount="0" totalsRowShown="0" headerRowDxfId="61" dataDxfId="60">
  <tableColumns count="1">
    <tableColumn id="1" uniqueName="1" name="Assigned To" queryTableFieldId="1" headerRowDxfId="59"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8" dataDxfId="57">
  <tableColumns count="1">
    <tableColumn id="1" uniqueName="1" name="Assigned To" queryTableFieldId="1" headerRowDxfId="56"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5" dataDxfId="54">
  <tableColumns count="1">
    <tableColumn id="1" uniqueName="1" name="Assigned To" queryTableFieldId="1" headerRowDxfId="53"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2"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0" dataDxfId="49">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8">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7" dataDxfId="46" tableBorderDxfId="45">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4">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3" dataDxfId="42">
  <tableColumns count="8">
    <tableColumn id="1" name="#" dataDxfId="41"/>
    <tableColumn id="2" name="RTA" dataDxfId="40"/>
    <tableColumn id="3" name="Customer" dataDxfId="39"/>
    <tableColumn id="4" name="Description" dataDxfId="38"/>
    <tableColumn id="5" name="Available In Stock" dataDxfId="37"/>
    <tableColumn id="11" name="Assigned To" dataDxfId="36"/>
    <tableColumn id="8" name="Status" dataDxfId="35"/>
    <tableColumn id="9" name="Tech Rev'd Due Date" dataDxfId="3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A32"/>
  <sheetViews>
    <sheetView tabSelected="1" zoomScaleNormal="100" workbookViewId="0"/>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84" t="s">
        <v>2086</v>
      </c>
      <c r="C2" s="184"/>
      <c r="D2" s="184"/>
      <c r="E2" s="184"/>
      <c r="F2" s="184"/>
      <c r="G2" s="184"/>
      <c r="H2" s="184"/>
      <c r="I2" s="184"/>
      <c r="J2" s="184"/>
    </row>
    <row r="3" spans="1:11" ht="14.25">
      <c r="A3" s="61"/>
      <c r="B3" s="184"/>
      <c r="C3" s="184"/>
      <c r="D3" s="184"/>
      <c r="E3" s="184"/>
      <c r="F3" s="184"/>
      <c r="G3" s="184"/>
      <c r="H3" s="184"/>
      <c r="I3" s="184"/>
      <c r="J3" s="184"/>
    </row>
    <row r="4" spans="1:11" ht="15" customHeight="1">
      <c r="A4" s="61"/>
      <c r="B4" s="184"/>
      <c r="C4" s="184"/>
      <c r="D4" s="184"/>
      <c r="E4" s="184"/>
      <c r="F4" s="184"/>
      <c r="G4" s="184"/>
      <c r="H4" s="184"/>
      <c r="I4" s="184"/>
      <c r="J4" s="184"/>
    </row>
    <row r="5" spans="1:11" ht="14.25" customHeight="1">
      <c r="A5" s="61"/>
      <c r="B5" s="184"/>
      <c r="C5" s="184"/>
      <c r="D5" s="184"/>
      <c r="E5" s="184"/>
      <c r="F5" s="184"/>
      <c r="G5" s="184"/>
      <c r="H5" s="184"/>
      <c r="I5" s="184"/>
      <c r="J5" s="184"/>
    </row>
    <row r="6" spans="1:11" ht="14.25" customHeight="1">
      <c r="A6" s="61"/>
      <c r="B6" s="184"/>
      <c r="C6" s="184"/>
      <c r="D6" s="184"/>
      <c r="E6" s="184"/>
      <c r="F6" s="184"/>
      <c r="G6" s="184"/>
      <c r="H6" s="184"/>
      <c r="I6" s="184"/>
      <c r="J6" s="184"/>
    </row>
    <row r="7" spans="1:11" ht="80.25" customHeight="1">
      <c r="A7" s="61"/>
      <c r="B7" s="185" t="s">
        <v>2060</v>
      </c>
      <c r="C7" s="185"/>
      <c r="D7" s="185"/>
      <c r="E7" s="185"/>
      <c r="F7" s="185"/>
      <c r="G7" s="185"/>
      <c r="H7" s="185"/>
      <c r="I7" s="185"/>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83"/>
      <c r="S29" s="183"/>
      <c r="T29" s="183"/>
      <c r="U29" s="183"/>
      <c r="V29" s="183"/>
      <c r="W29" s="183"/>
      <c r="X29" s="183"/>
      <c r="Y29" s="183"/>
      <c r="Z29" s="183"/>
      <c r="AA29" s="183"/>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276225</xdr:colOff>
                <xdr:row>4</xdr:row>
                <xdr:rowOff>123825</xdr:rowOff>
              </from>
              <to>
                <xdr:col>9</xdr:col>
                <xdr:colOff>495300</xdr:colOff>
                <xdr:row>5</xdr:row>
                <xdr:rowOff>152400</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I1414"/>
  <sheetViews>
    <sheetView showGridLines="0" zoomScaleNormal="100" workbookViewId="0">
      <pane xSplit="4" ySplit="5" topLeftCell="E6" activePane="bottomRight" state="frozen"/>
      <selection pane="topRight" activeCell="E1" sqref="E1"/>
      <selection pane="bottomLeft" activeCell="A6" sqref="A6"/>
      <selection pane="bottomRight" activeCell="F1" sqref="F1"/>
    </sheetView>
  </sheetViews>
  <sheetFormatPr defaultColWidth="9" defaultRowHeight="18.600000000000001" customHeight="1"/>
  <cols>
    <col min="1" max="1" width="6.75" style="56" customWidth="1"/>
    <col min="2" max="2" width="10.125" style="54" customWidth="1"/>
    <col min="3" max="3" width="23.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7" width="24.875" style="54" hidden="1" customWidth="1"/>
    <col min="28" max="28" width="24.875" style="54" customWidth="1"/>
    <col min="29" max="29" width="13.875" style="54" customWidth="1"/>
    <col min="30" max="30" width="5.875" style="54" customWidth="1"/>
    <col min="31" max="31" width="7.75" style="54" customWidth="1"/>
    <col min="32" max="32" width="5.75" style="54" customWidth="1"/>
    <col min="33" max="33" width="22.375" style="54" customWidth="1"/>
    <col min="34" max="36" width="9" style="54" customWidth="1"/>
    <col min="37" max="16384" width="9" style="54"/>
  </cols>
  <sheetData>
    <row r="1" spans="1:35" s="47" customFormat="1" ht="18" customHeight="1">
      <c r="A1" s="188" t="s">
        <v>3270</v>
      </c>
      <c r="B1" s="189"/>
      <c r="C1" s="60" t="s">
        <v>2721</v>
      </c>
      <c r="D1" s="52"/>
      <c r="L1" s="48"/>
      <c r="M1" s="48"/>
      <c r="N1" s="48"/>
      <c r="O1" s="48"/>
      <c r="P1" s="48"/>
      <c r="Q1" s="48"/>
    </row>
    <row r="2" spans="1:35" s="47" customFormat="1" ht="64.5" customHeight="1">
      <c r="A2" s="192"/>
      <c r="B2" s="193"/>
      <c r="C2" s="190"/>
      <c r="D2" s="51"/>
      <c r="I2" s="126"/>
      <c r="L2" s="48"/>
      <c r="M2" s="48"/>
      <c r="N2" s="48"/>
      <c r="O2" s="48"/>
      <c r="P2" s="48"/>
      <c r="Q2" s="48"/>
    </row>
    <row r="3" spans="1:35" s="47" customFormat="1" ht="69" customHeight="1">
      <c r="A3" s="194"/>
      <c r="B3" s="195"/>
      <c r="C3" s="191"/>
      <c r="D3" s="51"/>
      <c r="I3" s="127" t="s">
        <v>3722</v>
      </c>
      <c r="L3" s="48"/>
      <c r="M3" s="49"/>
      <c r="N3" s="48"/>
      <c r="O3" s="48"/>
      <c r="P3" s="48"/>
      <c r="Q3" s="48"/>
    </row>
    <row r="4" spans="1:35" s="45" customFormat="1" ht="18" customHeight="1">
      <c r="A4" s="194"/>
      <c r="B4" s="195"/>
      <c r="C4" s="191"/>
      <c r="D4" s="50"/>
      <c r="I4" s="125"/>
      <c r="L4" s="46"/>
      <c r="M4" s="46"/>
      <c r="N4" s="46"/>
      <c r="O4" s="46"/>
      <c r="P4" s="46"/>
      <c r="Q4" s="46"/>
    </row>
    <row r="5" spans="1:35" s="53" customFormat="1" ht="42" customHeight="1">
      <c r="A5" s="138" t="s">
        <v>86</v>
      </c>
      <c r="B5" s="69" t="s">
        <v>975</v>
      </c>
      <c r="C5" s="68" t="s">
        <v>1014</v>
      </c>
      <c r="D5" s="64" t="s">
        <v>0</v>
      </c>
      <c r="E5" s="64" t="s">
        <v>7</v>
      </c>
      <c r="F5" s="64" t="s">
        <v>1015</v>
      </c>
      <c r="G5" s="65" t="s">
        <v>1981</v>
      </c>
      <c r="H5" s="65" t="s">
        <v>1982</v>
      </c>
      <c r="I5" s="64" t="s">
        <v>1931</v>
      </c>
      <c r="J5" s="64" t="s">
        <v>1016</v>
      </c>
      <c r="K5" s="64" t="s">
        <v>978</v>
      </c>
      <c r="L5" s="64" t="s">
        <v>1017</v>
      </c>
      <c r="M5" s="67" t="s">
        <v>976</v>
      </c>
      <c r="N5" s="67" t="s">
        <v>977</v>
      </c>
      <c r="O5" s="67" t="s">
        <v>989</v>
      </c>
      <c r="P5" s="67" t="s">
        <v>990</v>
      </c>
      <c r="Q5" s="65" t="s">
        <v>1018</v>
      </c>
      <c r="R5" s="64" t="s">
        <v>1930</v>
      </c>
      <c r="S5" s="70" t="s">
        <v>979</v>
      </c>
      <c r="T5" s="66" t="s">
        <v>2</v>
      </c>
      <c r="U5" s="66" t="s">
        <v>3</v>
      </c>
      <c r="V5" s="66" t="s">
        <v>1</v>
      </c>
      <c r="W5" s="71" t="s">
        <v>1019</v>
      </c>
      <c r="X5" s="71" t="s">
        <v>2904</v>
      </c>
      <c r="Y5" s="71" t="s">
        <v>3020</v>
      </c>
      <c r="Z5" s="71" t="s">
        <v>3259</v>
      </c>
      <c r="AA5" s="71" t="s">
        <v>3613</v>
      </c>
      <c r="AB5" s="186"/>
      <c r="AC5" s="187"/>
      <c r="AD5" s="187"/>
      <c r="AE5" s="187"/>
      <c r="AF5" s="187"/>
      <c r="AG5" s="187"/>
      <c r="AH5" s="187"/>
      <c r="AI5" s="187"/>
    </row>
    <row r="6" spans="1:35" ht="18.600000000000001" customHeight="1">
      <c r="A6" s="139">
        <f>IF(priority(Main[[#This Row],[Comments]])&lt;&gt;0, priority(Main[[#This Row],[Comments]]),"")</f>
        <v>1</v>
      </c>
      <c r="B6" s="89" t="s">
        <v>1183</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1944</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1933</v>
      </c>
      <c r="W6" s="78" t="s">
        <v>1937</v>
      </c>
      <c r="X6" s="78" t="s">
        <v>2930</v>
      </c>
      <c r="Y6" s="78" t="s">
        <v>3103</v>
      </c>
      <c r="Z6" s="78" t="s">
        <v>129</v>
      </c>
      <c r="AA6" s="147" t="s">
        <v>2930</v>
      </c>
    </row>
    <row r="7" spans="1:35" ht="18.600000000000001" customHeight="1">
      <c r="A7" s="140">
        <f>IF(priority(Main[[#This Row],[Comments]])&lt;&gt;0, priority(Main[[#This Row],[Comments]]),"")</f>
        <v>1</v>
      </c>
      <c r="B7" s="90" t="s">
        <v>3332</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1944</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1935</v>
      </c>
      <c r="W7" s="72" t="s">
        <v>1940</v>
      </c>
      <c r="X7" s="72" t="s">
        <v>2938</v>
      </c>
      <c r="Y7" s="72" t="s">
        <v>3073</v>
      </c>
      <c r="Z7" s="72" t="s">
        <v>420</v>
      </c>
      <c r="AA7" s="147" t="s">
        <v>2938</v>
      </c>
    </row>
    <row r="8" spans="1:35" ht="18.600000000000001" customHeight="1">
      <c r="A8" s="140">
        <f>IF(priority(Main[[#This Row],[Comments]])&lt;&gt;0, priority(Main[[#This Row],[Comments]]),"")</f>
        <v>1</v>
      </c>
      <c r="B8" s="90" t="s">
        <v>1057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1944</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1935</v>
      </c>
      <c r="W8" s="72" t="s">
        <v>1940</v>
      </c>
      <c r="X8" s="72" t="s">
        <v>2938</v>
      </c>
      <c r="Y8" s="72" t="s">
        <v>3073</v>
      </c>
      <c r="Z8" s="72" t="s">
        <v>420</v>
      </c>
      <c r="AA8" s="147" t="s">
        <v>2938</v>
      </c>
    </row>
    <row r="9" spans="1:35" ht="18.600000000000001" customHeight="1">
      <c r="A9" s="140">
        <f>IF(priority(Main[[#This Row],[Comments]])&lt;&gt;0, priority(Main[[#This Row],[Comments]]),"")</f>
        <v>1</v>
      </c>
      <c r="B9" s="90" t="s">
        <v>2733</v>
      </c>
      <c r="C9" s="72" t="s">
        <v>19</v>
      </c>
      <c r="D9" s="73" t="s">
        <v>2649</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2040</v>
      </c>
      <c r="J9" s="72" t="s">
        <v>28</v>
      </c>
      <c r="K9" s="72" t="s">
        <v>1944</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2650</v>
      </c>
      <c r="U9" s="72" t="s">
        <v>29</v>
      </c>
      <c r="V9" s="72" t="s">
        <v>1947</v>
      </c>
      <c r="W9" s="72" t="s">
        <v>1940</v>
      </c>
      <c r="X9" s="72" t="s">
        <v>129</v>
      </c>
      <c r="Y9" s="72" t="s">
        <v>3028</v>
      </c>
      <c r="Z9" s="72" t="s">
        <v>2237</v>
      </c>
      <c r="AA9" s="147" t="s">
        <v>129</v>
      </c>
    </row>
    <row r="10" spans="1:35" ht="18.600000000000001" customHeight="1">
      <c r="A10" s="140">
        <f>IF(priority(Main[[#This Row],[Comments]])&lt;&gt;0, priority(Main[[#This Row],[Comments]]),"")</f>
        <v>1</v>
      </c>
      <c r="B10" s="90" t="s">
        <v>1899</v>
      </c>
      <c r="C10" s="72" t="s">
        <v>943</v>
      </c>
      <c r="D10" s="73" t="s">
        <v>944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494</v>
      </c>
      <c r="J10" s="72" t="s">
        <v>70</v>
      </c>
      <c r="K10" s="72" t="s">
        <v>1941</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945</v>
      </c>
      <c r="U10" s="72" t="s">
        <v>14</v>
      </c>
      <c r="V10" s="72" t="s">
        <v>1935</v>
      </c>
      <c r="W10" s="72" t="s">
        <v>1938</v>
      </c>
      <c r="X10" s="72" t="s">
        <v>2963</v>
      </c>
      <c r="Y10" s="72" t="s">
        <v>3091</v>
      </c>
      <c r="Z10" s="72" t="s">
        <v>2073</v>
      </c>
      <c r="AA10" s="147" t="s">
        <v>2963</v>
      </c>
    </row>
    <row r="11" spans="1:35" ht="18.600000000000001" customHeight="1">
      <c r="A11" s="140">
        <f>IF(priority(Main[[#This Row],[Comments]])&lt;&gt;0, priority(Main[[#This Row],[Comments]]),"")</f>
        <v>1</v>
      </c>
      <c r="B11" s="90" t="s">
        <v>1464</v>
      </c>
      <c r="C11" s="72" t="s">
        <v>303</v>
      </c>
      <c r="D11" s="73" t="s">
        <v>3796</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23</v>
      </c>
      <c r="I11" s="72" t="s">
        <v>952</v>
      </c>
      <c r="J11" s="72" t="s">
        <v>28</v>
      </c>
      <c r="K11" s="72" t="s">
        <v>1945</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40954</v>
      </c>
      <c r="S11" s="72" t="s">
        <v>11</v>
      </c>
      <c r="T11" s="80" t="s">
        <v>3474</v>
      </c>
      <c r="U11" s="72" t="s">
        <v>29</v>
      </c>
      <c r="V11" s="72" t="s">
        <v>1933</v>
      </c>
      <c r="W11" s="72" t="s">
        <v>1938</v>
      </c>
      <c r="X11" s="72" t="s">
        <v>2926</v>
      </c>
      <c r="Y11" s="72" t="s">
        <v>4</v>
      </c>
      <c r="Z11" s="72" t="s">
        <v>2075</v>
      </c>
      <c r="AA11" s="147" t="s">
        <v>2926</v>
      </c>
    </row>
    <row r="12" spans="1:35" ht="18.600000000000001" customHeight="1">
      <c r="A12" s="140">
        <f>IF(priority(Main[[#This Row],[Comments]])&lt;&gt;0, priority(Main[[#This Row],[Comments]]),"")</f>
        <v>1</v>
      </c>
      <c r="B12" s="90" t="s">
        <v>2666</v>
      </c>
      <c r="C12" s="72" t="s">
        <v>2667</v>
      </c>
      <c r="D12" s="73" t="s">
        <v>2883</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949</v>
      </c>
      <c r="J12" s="72" t="s">
        <v>28</v>
      </c>
      <c r="K12" s="72" t="s">
        <v>1941</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2884</v>
      </c>
      <c r="U12" s="72" t="s">
        <v>14</v>
      </c>
      <c r="V12" s="72" t="s">
        <v>1932</v>
      </c>
      <c r="W12" s="72" t="s">
        <v>1934</v>
      </c>
      <c r="X12" s="72" t="s">
        <v>2922</v>
      </c>
      <c r="Y12" s="72" t="s">
        <v>3049</v>
      </c>
      <c r="Z12" s="72" t="s">
        <v>129</v>
      </c>
      <c r="AA12" s="147" t="s">
        <v>2922</v>
      </c>
    </row>
    <row r="13" spans="1:35" ht="18.600000000000001" customHeight="1">
      <c r="A13" s="140">
        <f>IF(priority(Main[[#This Row],[Comments]])&lt;&gt;0, priority(Main[[#This Row],[Comments]]),"")</f>
        <v>1.01</v>
      </c>
      <c r="B13" s="90" t="s">
        <v>1898</v>
      </c>
      <c r="C13" s="72" t="s">
        <v>113</v>
      </c>
      <c r="D13" s="73" t="s">
        <v>2731</v>
      </c>
      <c r="E13" s="74">
        <v>40633.588854166665</v>
      </c>
      <c r="F13" s="74">
        <v>40674</v>
      </c>
      <c r="G13" s="75" t="str">
        <f>IF(stdProdLT(Main[[#This Row],[Comments]])=0.1,"N/A",IF(stdProdLT(Main[[#This Row],[Comments]])=0,"",stdProdLT(Main[[#This Row],[Comments]])))</f>
        <v/>
      </c>
      <c r="H13" s="76">
        <f>IF(AND(Main[[#This Row],[In Stock Date]]&lt;&gt;"",Main[[#This Row],[Revised Due Date]]&lt;&gt;""),Main[[#This Row],[In Stock Date]]-Main[[#This Row],[Revised Due Date]],"")</f>
        <v>-355</v>
      </c>
      <c r="I13" s="72" t="s">
        <v>949</v>
      </c>
      <c r="J13" s="72" t="s">
        <v>28</v>
      </c>
      <c r="K13" s="72" t="s">
        <v>1944</v>
      </c>
      <c r="L13" s="74">
        <v>40666</v>
      </c>
      <c r="M13" s="77" t="str">
        <f>IF(Main[[#This Row],[Tech Start Date]]&lt;1/1/1990,"",IF(Main[[#This Row],[Class]]="C",WORKDAY(Main[[#This Row],[Tech Start Date]],9),IF(Main[[#This Row],[Class]]="B", WORKDAY(Main[[#This Row],[Tech Start Date]],6),IF(Main[[#This Row],[Class]]="A",WORKDAY(Main[[#This Row],[Tech Start Date]],2),""))))</f>
        <v/>
      </c>
      <c r="N13" s="77" t="str">
        <f>IF(Main[[#This Row],[Tech Start Date]]&lt;1/1/1990,"",IF(Main[[#This Row],[Class]]="C",WORKDAY(Main[[#This Row],[Tech Start Date]],19),IF(Main[[#This Row],[Class]]="B", WORKDAY(Main[[#This Row],[Tech Start Date]],12),IF(Main[[#This Row],[Class]]="A",WORKDAY(Main[[#This Row],[Tech Start Date]],4),""))))</f>
        <v/>
      </c>
      <c r="O13" s="77" t="str">
        <f>IF(Main[[#This Row],[Tech Start Date]]&lt;1/1/1990,"",IF(Main[[#This Row],[Class]]="C",WORKDAY(Main[[#This Row],[Tech Start Date]],23),IF(Main[[#This Row],[Class]]="B", WORKDAY(Main[[#This Row],[Tech Start Date]],15),IF(Main[[#This Row],[Class]]="A",WORKDAY(Main[[#This Row],[Tech Start Date]],5),""))))</f>
        <v/>
      </c>
      <c r="P13" s="77" t="str">
        <f>IF(Main[[#This Row],[Tech Start Date]]&lt;1/1/1990,"",IF(Main[[#This Row],[Class]]="C",WORKDAY(Main[[#This Row],[Tech Start Date]],28),IF(Main[[#This Row],[Class]]="B", WORKDAY(Main[[#This Row],[Tech Start Date]],19),IF(Main[[#This Row],[Class]]="A",WORKDAY(Main[[#This Row],[Tech Start Date]],9),""))))</f>
        <v/>
      </c>
      <c r="Q13" s="74">
        <v>40939</v>
      </c>
      <c r="R13" s="74">
        <v>41029</v>
      </c>
      <c r="S13" s="72" t="s">
        <v>17</v>
      </c>
      <c r="T13" s="80" t="s">
        <v>2656</v>
      </c>
      <c r="U13" s="72" t="s">
        <v>29</v>
      </c>
      <c r="V13" s="72" t="s">
        <v>1932</v>
      </c>
      <c r="W13" s="72" t="s">
        <v>1943</v>
      </c>
      <c r="X13" s="72" t="s">
        <v>2924</v>
      </c>
      <c r="Y13" s="72" t="s">
        <v>3034</v>
      </c>
      <c r="Z13" s="72" t="s">
        <v>129</v>
      </c>
      <c r="AA13" s="147" t="s">
        <v>2924</v>
      </c>
    </row>
    <row r="14" spans="1:35" ht="18.600000000000001" customHeight="1">
      <c r="A14" s="140">
        <f>IF(priority(Main[[#This Row],[Comments]])&lt;&gt;0, priority(Main[[#This Row],[Comments]]),"")</f>
        <v>2</v>
      </c>
      <c r="B14" s="90" t="s">
        <v>1169</v>
      </c>
      <c r="C14" s="72" t="s">
        <v>19</v>
      </c>
      <c r="D14" s="73" t="s">
        <v>2464</v>
      </c>
      <c r="E14" s="74">
        <v>40487.363657407404</v>
      </c>
      <c r="F14" s="74"/>
      <c r="G14" s="75" t="str">
        <f>IF(stdProdLT(Main[[#This Row],[Comments]])=0.1,"N/A",IF(stdProdLT(Main[[#This Row],[Comments]])=0,"",stdProdLT(Main[[#This Row],[Comments]])))</f>
        <v/>
      </c>
      <c r="H14" s="76" t="str">
        <f>IF(AND(Main[[#This Row],[In Stock Date]]&lt;&gt;"",Main[[#This Row],[Revised Due Date]]&lt;&gt;""),Main[[#This Row],[In Stock Date]]-Main[[#This Row],[Revised Due Date]],"")</f>
        <v/>
      </c>
      <c r="I14" s="72" t="s">
        <v>2040</v>
      </c>
      <c r="J14" s="72" t="s">
        <v>28</v>
      </c>
      <c r="K14" s="72" t="s">
        <v>4</v>
      </c>
      <c r="L14" s="74"/>
      <c r="M14" s="77" t="str">
        <f>IF(Main[[#This Row],[Tech Start Date]]&lt;1/1/1990,"",IF(Main[[#This Row],[Class]]="C",WORKDAY(Main[[#This Row],[Tech Start Date]],9),IF(Main[[#This Row],[Class]]="B", WORKDAY(Main[[#This Row],[Tech Start Date]],6),IF(Main[[#This Row],[Class]]="A",WORKDAY(Main[[#This Row],[Tech Start Date]],2),""))))</f>
        <v/>
      </c>
      <c r="N14" s="77" t="str">
        <f>IF(Main[[#This Row],[Tech Start Date]]&lt;1/1/1990,"",IF(Main[[#This Row],[Class]]="C",WORKDAY(Main[[#This Row],[Tech Start Date]],19),IF(Main[[#This Row],[Class]]="B", WORKDAY(Main[[#This Row],[Tech Start Date]],12),IF(Main[[#This Row],[Class]]="A",WORKDAY(Main[[#This Row],[Tech Start Date]],4),""))))</f>
        <v/>
      </c>
      <c r="O14" s="77" t="str">
        <f>IF(Main[[#This Row],[Tech Start Date]]&lt;1/1/1990,"",IF(Main[[#This Row],[Class]]="C",WORKDAY(Main[[#This Row],[Tech Start Date]],23),IF(Main[[#This Row],[Class]]="B", WORKDAY(Main[[#This Row],[Tech Start Date]],15),IF(Main[[#This Row],[Class]]="A",WORKDAY(Main[[#This Row],[Tech Start Date]],5),""))))</f>
        <v/>
      </c>
      <c r="P14" s="77" t="str">
        <f>IF(Main[[#This Row],[Tech Start Date]]&lt;1/1/1990,"",IF(Main[[#This Row],[Class]]="C",WORKDAY(Main[[#This Row],[Tech Start Date]],28),IF(Main[[#This Row],[Class]]="B", WORKDAY(Main[[#This Row],[Tech Start Date]],19),IF(Main[[#This Row],[Class]]="A",WORKDAY(Main[[#This Row],[Tech Start Date]],9),""))))</f>
        <v/>
      </c>
      <c r="Q14" s="74">
        <v>40862</v>
      </c>
      <c r="R14" s="74">
        <v>40862</v>
      </c>
      <c r="S14" s="72" t="s">
        <v>17</v>
      </c>
      <c r="T14" s="80" t="s">
        <v>2465</v>
      </c>
      <c r="U14" s="72" t="s">
        <v>29</v>
      </c>
      <c r="V14" s="72" t="s">
        <v>1947</v>
      </c>
      <c r="W14" s="72" t="s">
        <v>1934</v>
      </c>
      <c r="X14" s="72" t="s">
        <v>129</v>
      </c>
      <c r="Y14" s="72" t="s">
        <v>3028</v>
      </c>
      <c r="Z14" s="72" t="s">
        <v>2237</v>
      </c>
      <c r="AA14" s="147" t="s">
        <v>129</v>
      </c>
    </row>
    <row r="15" spans="1:35" ht="18.600000000000001" customHeight="1">
      <c r="A15" s="140">
        <f>IF(priority(Main[[#This Row],[Comments]])&lt;&gt;0, priority(Main[[#This Row],[Comments]]),"")</f>
        <v>2</v>
      </c>
      <c r="B15" s="90" t="s">
        <v>2067</v>
      </c>
      <c r="C15" s="72" t="s">
        <v>303</v>
      </c>
      <c r="D15" s="73" t="s">
        <v>2348</v>
      </c>
      <c r="E15" s="74">
        <v>40682.272986111115</v>
      </c>
      <c r="F15" s="74">
        <v>40909</v>
      </c>
      <c r="G15" s="75">
        <f>IF(stdProdLT(Main[[#This Row],[Comments]])=0.1,"N/A",IF(stdProdLT(Main[[#This Row],[Comments]])=0,"",stdProdLT(Main[[#This Row],[Comments]])))</f>
        <v>182</v>
      </c>
      <c r="H15" s="76">
        <f>IF(AND(Main[[#This Row],[In Stock Date]]&lt;&gt;"",Main[[#This Row],[Revised Due Date]]&lt;&gt;""),Main[[#This Row],[In Stock Date]]-Main[[#This Row],[Revised Due Date]],"")</f>
        <v>78</v>
      </c>
      <c r="I15" s="72" t="s">
        <v>958</v>
      </c>
      <c r="J15" s="72" t="s">
        <v>28</v>
      </c>
      <c r="K15" s="81" t="s">
        <v>1945</v>
      </c>
      <c r="L15" s="74">
        <v>40725</v>
      </c>
      <c r="M15" s="77">
        <f>IF(Main[[#This Row],[Tech Start Date]]&lt;1/1/1990,"",IF(Main[[#This Row],[Class]]="C",WORKDAY(Main[[#This Row],[Tech Start Date]],9),IF(Main[[#This Row],[Class]]="B", WORKDAY(Main[[#This Row],[Tech Start Date]],6),IF(Main[[#This Row],[Class]]="A",WORKDAY(Main[[#This Row],[Tech Start Date]],2),""))))</f>
        <v>40738</v>
      </c>
      <c r="N15" s="77">
        <f>IF(Main[[#This Row],[Tech Start Date]]&lt;1/1/1990,"",IF(Main[[#This Row],[Class]]="C",WORKDAY(Main[[#This Row],[Tech Start Date]],19),IF(Main[[#This Row],[Class]]="B", WORKDAY(Main[[#This Row],[Tech Start Date]],12),IF(Main[[#This Row],[Class]]="A",WORKDAY(Main[[#This Row],[Tech Start Date]],4),""))))</f>
        <v>40752</v>
      </c>
      <c r="O15" s="77">
        <f>IF(Main[[#This Row],[Tech Start Date]]&lt;1/1/1990,"",IF(Main[[#This Row],[Class]]="C",WORKDAY(Main[[#This Row],[Tech Start Date]],23),IF(Main[[#This Row],[Class]]="B", WORKDAY(Main[[#This Row],[Tech Start Date]],15),IF(Main[[#This Row],[Class]]="A",WORKDAY(Main[[#This Row],[Tech Start Date]],5),""))))</f>
        <v>40758</v>
      </c>
      <c r="P15" s="77">
        <f>IF(Main[[#This Row],[Tech Start Date]]&lt;1/1/1990,"",IF(Main[[#This Row],[Class]]="C",WORKDAY(Main[[#This Row],[Tech Start Date]],28),IF(Main[[#This Row],[Class]]="B", WORKDAY(Main[[#This Row],[Tech Start Date]],19),IF(Main[[#This Row],[Class]]="A",WORKDAY(Main[[#This Row],[Tech Start Date]],9),""))))</f>
        <v>40765</v>
      </c>
      <c r="Q15" s="74">
        <v>40724</v>
      </c>
      <c r="R15" s="74">
        <v>40831</v>
      </c>
      <c r="S15" s="72" t="s">
        <v>17</v>
      </c>
      <c r="T15" s="80" t="s">
        <v>2233</v>
      </c>
      <c r="U15" s="72" t="s">
        <v>29</v>
      </c>
      <c r="V15" s="72" t="s">
        <v>1933</v>
      </c>
      <c r="W15" s="72" t="s">
        <v>1937</v>
      </c>
      <c r="X15" s="72" t="s">
        <v>2926</v>
      </c>
      <c r="Y15" s="72" t="s">
        <v>4</v>
      </c>
      <c r="Z15" s="72" t="s">
        <v>2075</v>
      </c>
      <c r="AA15" s="147" t="s">
        <v>2926</v>
      </c>
    </row>
    <row r="16" spans="1:35" ht="18.600000000000001" customHeight="1">
      <c r="A16" s="140">
        <f>IF(priority(Main[[#This Row],[Comments]])&lt;&gt;0, priority(Main[[#This Row],[Comments]]),"")</f>
        <v>2</v>
      </c>
      <c r="B16" s="90" t="s">
        <v>2305</v>
      </c>
      <c r="C16" s="72" t="s">
        <v>523</v>
      </c>
      <c r="D16" s="73" t="s">
        <v>3019</v>
      </c>
      <c r="E16" s="74">
        <v>40812.552488425928</v>
      </c>
      <c r="F16" s="74">
        <v>41030</v>
      </c>
      <c r="G16" s="75">
        <f>IF(stdProdLT(Main[[#This Row],[Comments]])=0.1,"N/A",IF(stdProdLT(Main[[#This Row],[Comments]])=0,"",stdProdLT(Main[[#This Row],[Comments]])))</f>
        <v>84</v>
      </c>
      <c r="H16" s="76">
        <f>IF(AND(Main[[#This Row],[In Stock Date]]&lt;&gt;"",Main[[#This Row],[Revised Due Date]]&lt;&gt;""),Main[[#This Row],[In Stock Date]]-Main[[#This Row],[Revised Due Date]],"")</f>
        <v>74</v>
      </c>
      <c r="I16" s="72" t="s">
        <v>2671</v>
      </c>
      <c r="J16" s="72" t="s">
        <v>21</v>
      </c>
      <c r="K16" s="72" t="s">
        <v>1939</v>
      </c>
      <c r="L16" s="74">
        <v>40835</v>
      </c>
      <c r="M16" s="77">
        <f>IF(Main[[#This Row],[Tech Start Date]]&lt;1/1/1990,"",IF(Main[[#This Row],[Class]]="C",WORKDAY(Main[[#This Row],[Tech Start Date]],9),IF(Main[[#This Row],[Class]]="B", WORKDAY(Main[[#This Row],[Tech Start Date]],6),IF(Main[[#This Row],[Class]]="A",WORKDAY(Main[[#This Row],[Tech Start Date]],2),""))))</f>
        <v>40843</v>
      </c>
      <c r="N16" s="77">
        <f>IF(Main[[#This Row],[Tech Start Date]]&lt;1/1/1990,"",IF(Main[[#This Row],[Class]]="C",WORKDAY(Main[[#This Row],[Tech Start Date]],19),IF(Main[[#This Row],[Class]]="B", WORKDAY(Main[[#This Row],[Tech Start Date]],12),IF(Main[[#This Row],[Class]]="A",WORKDAY(Main[[#This Row],[Tech Start Date]],4),""))))</f>
        <v>40851</v>
      </c>
      <c r="O16" s="77">
        <f>IF(Main[[#This Row],[Tech Start Date]]&lt;1/1/1990,"",IF(Main[[#This Row],[Class]]="C",WORKDAY(Main[[#This Row],[Tech Start Date]],23),IF(Main[[#This Row],[Class]]="B", WORKDAY(Main[[#This Row],[Tech Start Date]],15),IF(Main[[#This Row],[Class]]="A",WORKDAY(Main[[#This Row],[Tech Start Date]],5),""))))</f>
        <v>40856</v>
      </c>
      <c r="P16" s="77">
        <f>IF(Main[[#This Row],[Tech Start Date]]&lt;1/1/1990,"",IF(Main[[#This Row],[Class]]="C",WORKDAY(Main[[#This Row],[Tech Start Date]],28),IF(Main[[#This Row],[Class]]="B", WORKDAY(Main[[#This Row],[Tech Start Date]],19),IF(Main[[#This Row],[Class]]="A",WORKDAY(Main[[#This Row],[Tech Start Date]],9),""))))</f>
        <v>40862</v>
      </c>
      <c r="Q16" s="74">
        <v>40816</v>
      </c>
      <c r="R16" s="74">
        <v>40956</v>
      </c>
      <c r="S16" s="72" t="s">
        <v>17</v>
      </c>
      <c r="T16" s="80" t="s">
        <v>2885</v>
      </c>
      <c r="U16" s="72" t="s">
        <v>29</v>
      </c>
      <c r="V16" s="72" t="s">
        <v>1933</v>
      </c>
      <c r="W16" s="72" t="s">
        <v>1940</v>
      </c>
      <c r="X16" s="72" t="s">
        <v>3001</v>
      </c>
      <c r="Y16" s="72" t="s">
        <v>3214</v>
      </c>
      <c r="Z16" s="72" t="s">
        <v>2075</v>
      </c>
      <c r="AA16" s="147" t="s">
        <v>3691</v>
      </c>
    </row>
    <row r="17" spans="1:34" ht="18.600000000000001" customHeight="1">
      <c r="A17" s="140">
        <f>IF(priority(Main[[#This Row],[Comments]])&lt;&gt;0, priority(Main[[#This Row],[Comments]]),"")</f>
        <v>2</v>
      </c>
      <c r="B17" s="90" t="s">
        <v>2724</v>
      </c>
      <c r="C17" s="72" t="s">
        <v>2725</v>
      </c>
      <c r="D17" s="73" t="s">
        <v>3804</v>
      </c>
      <c r="E17" s="74">
        <v>40882.451157407406</v>
      </c>
      <c r="F17" s="74">
        <v>40913</v>
      </c>
      <c r="G17" s="75" t="str">
        <f>IF(stdProdLT(Main[[#This Row],[Comments]])=0.1,"N/A",IF(stdProdLT(Main[[#This Row],[Comments]])=0,"",stdProdLT(Main[[#This Row],[Comments]])))</f>
        <v/>
      </c>
      <c r="H17" s="76">
        <f>IF(AND(Main[[#This Row],[In Stock Date]]&lt;&gt;"",Main[[#This Row],[Revised Due Date]]&lt;&gt;""),Main[[#This Row],[In Stock Date]]-Main[[#This Row],[Revised Due Date]],"")</f>
        <v>-36</v>
      </c>
      <c r="I17" s="72" t="s">
        <v>2278</v>
      </c>
      <c r="J17" s="72" t="s">
        <v>28</v>
      </c>
      <c r="K17" s="72" t="s">
        <v>1945</v>
      </c>
      <c r="L17" s="74">
        <v>40882</v>
      </c>
      <c r="M17" s="77">
        <f>IF(Main[[#This Row],[Tech Start Date]]&lt;1/1/1990,"",IF(Main[[#This Row],[Class]]="C",WORKDAY(Main[[#This Row],[Tech Start Date]],9),IF(Main[[#This Row],[Class]]="B", WORKDAY(Main[[#This Row],[Tech Start Date]],6),IF(Main[[#This Row],[Class]]="A",WORKDAY(Main[[#This Row],[Tech Start Date]],2),""))))</f>
        <v>40893</v>
      </c>
      <c r="N17" s="77">
        <f>IF(Main[[#This Row],[Tech Start Date]]&lt;1/1/1990,"",IF(Main[[#This Row],[Class]]="C",WORKDAY(Main[[#This Row],[Tech Start Date]],19),IF(Main[[#This Row],[Class]]="B", WORKDAY(Main[[#This Row],[Tech Start Date]],12),IF(Main[[#This Row],[Class]]="A",WORKDAY(Main[[#This Row],[Tech Start Date]],4),""))))</f>
        <v>40907</v>
      </c>
      <c r="O17" s="77">
        <f>IF(Main[[#This Row],[Tech Start Date]]&lt;1/1/1990,"",IF(Main[[#This Row],[Class]]="C",WORKDAY(Main[[#This Row],[Tech Start Date]],23),IF(Main[[#This Row],[Class]]="B", WORKDAY(Main[[#This Row],[Tech Start Date]],15),IF(Main[[#This Row],[Class]]="A",WORKDAY(Main[[#This Row],[Tech Start Date]],5),""))))</f>
        <v>40913</v>
      </c>
      <c r="P17" s="77">
        <f>IF(Main[[#This Row],[Tech Start Date]]&lt;1/1/1990,"",IF(Main[[#This Row],[Class]]="C",WORKDAY(Main[[#This Row],[Tech Start Date]],28),IF(Main[[#This Row],[Class]]="B", WORKDAY(Main[[#This Row],[Tech Start Date]],19),IF(Main[[#This Row],[Class]]="A",WORKDAY(Main[[#This Row],[Tech Start Date]],9),""))))</f>
        <v>40920</v>
      </c>
      <c r="Q17" s="74"/>
      <c r="R17" s="74">
        <v>40949</v>
      </c>
      <c r="S17" s="72" t="s">
        <v>11</v>
      </c>
      <c r="T17" s="80" t="s">
        <v>3492</v>
      </c>
      <c r="U17" s="72" t="s">
        <v>29</v>
      </c>
      <c r="V17" s="72" t="s">
        <v>1933</v>
      </c>
      <c r="W17" s="72" t="s">
        <v>1940</v>
      </c>
      <c r="X17" s="72" t="s">
        <v>2906</v>
      </c>
      <c r="Y17" s="72" t="s">
        <v>3088</v>
      </c>
      <c r="Z17" s="72" t="s">
        <v>2075</v>
      </c>
      <c r="AA17" s="147" t="s">
        <v>3721</v>
      </c>
    </row>
    <row r="18" spans="1:34" ht="18.600000000000001" customHeight="1">
      <c r="A18" s="140">
        <f>IF(priority(Main[[#This Row],[Comments]])&lt;&gt;0, priority(Main[[#This Row],[Comments]]),"")</f>
        <v>2</v>
      </c>
      <c r="B18" s="90" t="s">
        <v>2794</v>
      </c>
      <c r="C18" s="72" t="s">
        <v>2725</v>
      </c>
      <c r="D18" s="73" t="s">
        <v>3315</v>
      </c>
      <c r="E18" s="74">
        <v>40888.896631944444</v>
      </c>
      <c r="F18" s="74">
        <v>41047</v>
      </c>
      <c r="G18" s="75">
        <f>IF(stdProdLT(Main[[#This Row],[Comments]])=0.1,"N/A",IF(stdProdLT(Main[[#This Row],[Comments]])=0,"",stdProdLT(Main[[#This Row],[Comments]])))</f>
        <v>112</v>
      </c>
      <c r="H18" s="76">
        <f>IF(AND(Main[[#This Row],[In Stock Date]]&lt;&gt;"",Main[[#This Row],[Revised Due Date]]&lt;&gt;""),Main[[#This Row],[In Stock Date]]-Main[[#This Row],[Revised Due Date]],"")</f>
        <v>105</v>
      </c>
      <c r="I18" s="72" t="s">
        <v>310</v>
      </c>
      <c r="J18" s="72" t="s">
        <v>75</v>
      </c>
      <c r="K18" s="81" t="s">
        <v>1939</v>
      </c>
      <c r="L18" s="74">
        <v>40911</v>
      </c>
      <c r="M18" s="77">
        <f>IF(Main[[#This Row],[Tech Start Date]]&lt;1/1/1990,"",IF(Main[[#This Row],[Class]]="C",WORKDAY(Main[[#This Row],[Tech Start Date]],9),IF(Main[[#This Row],[Class]]="B", WORKDAY(Main[[#This Row],[Tech Start Date]],6),IF(Main[[#This Row],[Class]]="A",WORKDAY(Main[[#This Row],[Tech Start Date]],2),""))))</f>
        <v>40919</v>
      </c>
      <c r="N18" s="77">
        <f>IF(Main[[#This Row],[Tech Start Date]]&lt;1/1/1990,"",IF(Main[[#This Row],[Class]]="C",WORKDAY(Main[[#This Row],[Tech Start Date]],19),IF(Main[[#This Row],[Class]]="B", WORKDAY(Main[[#This Row],[Tech Start Date]],12),IF(Main[[#This Row],[Class]]="A",WORKDAY(Main[[#This Row],[Tech Start Date]],4),""))))</f>
        <v>40927</v>
      </c>
      <c r="O18" s="77">
        <f>IF(Main[[#This Row],[Tech Start Date]]&lt;1/1/1990,"",IF(Main[[#This Row],[Class]]="C",WORKDAY(Main[[#This Row],[Tech Start Date]],23),IF(Main[[#This Row],[Class]]="B", WORKDAY(Main[[#This Row],[Tech Start Date]],15),IF(Main[[#This Row],[Class]]="A",WORKDAY(Main[[#This Row],[Tech Start Date]],5),""))))</f>
        <v>40932</v>
      </c>
      <c r="P18" s="77">
        <f>IF(Main[[#This Row],[Tech Start Date]]&lt;1/1/1990,"",IF(Main[[#This Row],[Class]]="C",WORKDAY(Main[[#This Row],[Tech Start Date]],28),IF(Main[[#This Row],[Class]]="B", WORKDAY(Main[[#This Row],[Tech Start Date]],19),IF(Main[[#This Row],[Class]]="A",WORKDAY(Main[[#This Row],[Tech Start Date]],9),""))))</f>
        <v>40938</v>
      </c>
      <c r="Q18" s="74">
        <v>41042</v>
      </c>
      <c r="R18" s="74">
        <v>40942</v>
      </c>
      <c r="S18" s="72" t="s">
        <v>11</v>
      </c>
      <c r="T18" s="80" t="s">
        <v>3495</v>
      </c>
      <c r="U18" s="72" t="s">
        <v>29</v>
      </c>
      <c r="V18" s="72" t="s">
        <v>1932</v>
      </c>
      <c r="W18" s="72" t="s">
        <v>1940</v>
      </c>
      <c r="X18" s="72" t="s">
        <v>2995</v>
      </c>
      <c r="Y18" s="72" t="s">
        <v>4</v>
      </c>
      <c r="Z18" s="72" t="s">
        <v>3367</v>
      </c>
      <c r="AA18" s="147" t="s">
        <v>2995</v>
      </c>
    </row>
    <row r="19" spans="1:34" ht="18.600000000000001" customHeight="1">
      <c r="A19" s="140">
        <f>IF(priority(Main[[#This Row],[Comments]])&lt;&gt;0, priority(Main[[#This Row],[Comments]]),"")</f>
        <v>3</v>
      </c>
      <c r="B19" s="90" t="s">
        <v>1908</v>
      </c>
      <c r="C19" s="72" t="s">
        <v>957</v>
      </c>
      <c r="D19" s="73" t="s">
        <v>2677</v>
      </c>
      <c r="E19" s="74">
        <v>40694.711041666669</v>
      </c>
      <c r="F19" s="74"/>
      <c r="G19" s="75" t="str">
        <f>IF(stdProdLT(Main[[#This Row],[Comments]])=0.1,"N/A",IF(stdProdLT(Main[[#This Row],[Comments]])=0,"",stdProdLT(Main[[#This Row],[Comments]])))</f>
        <v/>
      </c>
      <c r="H19" s="76" t="str">
        <f>IF(AND(Main[[#This Row],[In Stock Date]]&lt;&gt;"",Main[[#This Row],[Revised Due Date]]&lt;&gt;""),Main[[#This Row],[In Stock Date]]-Main[[#This Row],[Revised Due Date]],"")</f>
        <v/>
      </c>
      <c r="I19" s="72" t="s">
        <v>958</v>
      </c>
      <c r="J19" s="72" t="s">
        <v>28</v>
      </c>
      <c r="K19" s="81" t="s">
        <v>1944</v>
      </c>
      <c r="L19" s="74">
        <v>40848</v>
      </c>
      <c r="M19" s="77" t="str">
        <f>IF(Main[[#This Row],[Tech Start Date]]&lt;1/1/1990,"",IF(Main[[#This Row],[Class]]="C",WORKDAY(Main[[#This Row],[Tech Start Date]],9),IF(Main[[#This Row],[Class]]="B", WORKDAY(Main[[#This Row],[Tech Start Date]],6),IF(Main[[#This Row],[Class]]="A",WORKDAY(Main[[#This Row],[Tech Start Date]],2),""))))</f>
        <v/>
      </c>
      <c r="N19" s="77" t="str">
        <f>IF(Main[[#This Row],[Tech Start Date]]&lt;1/1/1990,"",IF(Main[[#This Row],[Class]]="C",WORKDAY(Main[[#This Row],[Tech Start Date]],19),IF(Main[[#This Row],[Class]]="B", WORKDAY(Main[[#This Row],[Tech Start Date]],12),IF(Main[[#This Row],[Class]]="A",WORKDAY(Main[[#This Row],[Tech Start Date]],4),""))))</f>
        <v/>
      </c>
      <c r="O19" s="77" t="str">
        <f>IF(Main[[#This Row],[Tech Start Date]]&lt;1/1/1990,"",IF(Main[[#This Row],[Class]]="C",WORKDAY(Main[[#This Row],[Tech Start Date]],23),IF(Main[[#This Row],[Class]]="B", WORKDAY(Main[[#This Row],[Tech Start Date]],15),IF(Main[[#This Row],[Class]]="A",WORKDAY(Main[[#This Row],[Tech Start Date]],5),""))))</f>
        <v/>
      </c>
      <c r="P19" s="77" t="str">
        <f>IF(Main[[#This Row],[Tech Start Date]]&lt;1/1/1990,"",IF(Main[[#This Row],[Class]]="C",WORKDAY(Main[[#This Row],[Tech Start Date]],28),IF(Main[[#This Row],[Class]]="B", WORKDAY(Main[[#This Row],[Tech Start Date]],19),IF(Main[[#This Row],[Class]]="A",WORKDAY(Main[[#This Row],[Tech Start Date]],9),""))))</f>
        <v/>
      </c>
      <c r="Q19" s="74">
        <v>40729</v>
      </c>
      <c r="R19" s="74"/>
      <c r="S19" s="72" t="s">
        <v>17</v>
      </c>
      <c r="T19" s="80" t="s">
        <v>2678</v>
      </c>
      <c r="U19" s="72" t="s">
        <v>29</v>
      </c>
      <c r="V19" s="72" t="s">
        <v>1947</v>
      </c>
      <c r="W19" s="72" t="s">
        <v>1940</v>
      </c>
      <c r="X19" s="72" t="s">
        <v>2953</v>
      </c>
      <c r="Y19" s="72" t="s">
        <v>3101</v>
      </c>
      <c r="Z19" s="72" t="s">
        <v>2237</v>
      </c>
      <c r="AA19" s="147" t="s">
        <v>2953</v>
      </c>
    </row>
    <row r="20" spans="1:34" ht="18.600000000000001" customHeight="1">
      <c r="A20" s="140">
        <f>IF(priority(Main[[#This Row],[Comments]])&lt;&gt;0, priority(Main[[#This Row],[Comments]]),"")</f>
        <v>3</v>
      </c>
      <c r="B20" s="124" t="s">
        <v>2615</v>
      </c>
      <c r="C20" s="117" t="s">
        <v>2840</v>
      </c>
      <c r="D20" s="118" t="s">
        <v>2841</v>
      </c>
      <c r="E20" s="119">
        <v>40867.404594907406</v>
      </c>
      <c r="F20" s="119">
        <v>41059</v>
      </c>
      <c r="G20" s="120">
        <f>IF(stdProdLT(Main[[#This Row],[Comments]])=0.1,"N/A",IF(stdProdLT(Main[[#This Row],[Comments]])=0,"",stdProdLT(Main[[#This Row],[Comments]])))</f>
        <v>140</v>
      </c>
      <c r="H20" s="121">
        <f>IF(AND(Main[[#This Row],[In Stock Date]]&lt;&gt;"",Main[[#This Row],[Revised Due Date]]&lt;&gt;""),Main[[#This Row],[In Stock Date]]-Main[[#This Row],[Revised Due Date]],"")</f>
        <v>113</v>
      </c>
      <c r="I20" s="117" t="s">
        <v>44</v>
      </c>
      <c r="J20" s="117" t="s">
        <v>21</v>
      </c>
      <c r="K20" s="117" t="s">
        <v>1945</v>
      </c>
      <c r="L20" s="119">
        <v>40911</v>
      </c>
      <c r="M20" s="122">
        <f>IF(Main[[#This Row],[Tech Start Date]]&lt;1/1/1990,"",IF(Main[[#This Row],[Class]]="C",WORKDAY(Main[[#This Row],[Tech Start Date]],9),IF(Main[[#This Row],[Class]]="B", WORKDAY(Main[[#This Row],[Tech Start Date]],6),IF(Main[[#This Row],[Class]]="A",WORKDAY(Main[[#This Row],[Tech Start Date]],2),""))))</f>
        <v>40924</v>
      </c>
      <c r="N20" s="122">
        <f>IF(Main[[#This Row],[Tech Start Date]]&lt;1/1/1990,"",IF(Main[[#This Row],[Class]]="C",WORKDAY(Main[[#This Row],[Tech Start Date]],19),IF(Main[[#This Row],[Class]]="B", WORKDAY(Main[[#This Row],[Tech Start Date]],12),IF(Main[[#This Row],[Class]]="A",WORKDAY(Main[[#This Row],[Tech Start Date]],4),""))))</f>
        <v>40938</v>
      </c>
      <c r="O20" s="122">
        <f>IF(Main[[#This Row],[Tech Start Date]]&lt;1/1/1990,"",IF(Main[[#This Row],[Class]]="C",WORKDAY(Main[[#This Row],[Tech Start Date]],23),IF(Main[[#This Row],[Class]]="B", WORKDAY(Main[[#This Row],[Tech Start Date]],15),IF(Main[[#This Row],[Class]]="A",WORKDAY(Main[[#This Row],[Tech Start Date]],5),""))))</f>
        <v>40942</v>
      </c>
      <c r="P20" s="122">
        <f>IF(Main[[#This Row],[Tech Start Date]]&lt;1/1/1990,"",IF(Main[[#This Row],[Class]]="C",WORKDAY(Main[[#This Row],[Tech Start Date]],28),IF(Main[[#This Row],[Class]]="B", WORKDAY(Main[[#This Row],[Tech Start Date]],19),IF(Main[[#This Row],[Class]]="A",WORKDAY(Main[[#This Row],[Tech Start Date]],9),""))))</f>
        <v>40949</v>
      </c>
      <c r="Q20" s="119">
        <v>40918</v>
      </c>
      <c r="R20" s="119">
        <v>40946</v>
      </c>
      <c r="S20" s="117" t="s">
        <v>11</v>
      </c>
      <c r="T20" s="123" t="s">
        <v>3497</v>
      </c>
      <c r="U20" s="117" t="s">
        <v>29</v>
      </c>
      <c r="V20" s="117" t="s">
        <v>1935</v>
      </c>
      <c r="W20" s="117" t="s">
        <v>1940</v>
      </c>
      <c r="X20" s="117" t="s">
        <v>2948</v>
      </c>
      <c r="Y20" s="117" t="s">
        <v>3093</v>
      </c>
      <c r="Z20" s="117" t="s">
        <v>44</v>
      </c>
      <c r="AA20" s="147" t="s">
        <v>2948</v>
      </c>
    </row>
    <row r="21" spans="1:34" ht="18.600000000000001" customHeight="1">
      <c r="A21" s="140">
        <f>IF(priority(Main[[#This Row],[Comments]])&lt;&gt;0, priority(Main[[#This Row],[Comments]]),"")</f>
        <v>3</v>
      </c>
      <c r="B21" s="90" t="s">
        <v>3389</v>
      </c>
      <c r="C21" s="72" t="s">
        <v>583</v>
      </c>
      <c r="D21" s="73" t="s">
        <v>3809</v>
      </c>
      <c r="E21" s="74">
        <v>40933.480763888889</v>
      </c>
      <c r="F21" s="74">
        <v>40975</v>
      </c>
      <c r="G21" s="75" t="str">
        <f>IF(stdProdLT(Main[[#This Row],[Comments]])=0.1,"N/A",IF(stdProdLT(Main[[#This Row],[Comments]])=0,"",stdProdLT(Main[[#This Row],[Comments]])))</f>
        <v/>
      </c>
      <c r="H21" s="76">
        <f>IF(AND(Main[[#This Row],[In Stock Date]]&lt;&gt;"",Main[[#This Row],[Revised Due Date]]&lt;&gt;""),Main[[#This Row],[In Stock Date]]-Main[[#This Row],[Revised Due Date]],"")</f>
        <v>7</v>
      </c>
      <c r="I21" s="72" t="s">
        <v>952</v>
      </c>
      <c r="J21" s="72" t="s">
        <v>28</v>
      </c>
      <c r="K21" s="81" t="s">
        <v>1945</v>
      </c>
      <c r="L21" s="74">
        <v>40938</v>
      </c>
      <c r="M21" s="77">
        <f>IF(Main[[#This Row],[Tech Start Date]]&lt;1/1/1990,"",IF(Main[[#This Row],[Class]]="C",WORKDAY(Main[[#This Row],[Tech Start Date]],9),IF(Main[[#This Row],[Class]]="B", WORKDAY(Main[[#This Row],[Tech Start Date]],6),IF(Main[[#This Row],[Class]]="A",WORKDAY(Main[[#This Row],[Tech Start Date]],2),""))))</f>
        <v>40949</v>
      </c>
      <c r="N21" s="77">
        <f>IF(Main[[#This Row],[Tech Start Date]]&lt;1/1/1990,"",IF(Main[[#This Row],[Class]]="C",WORKDAY(Main[[#This Row],[Tech Start Date]],19),IF(Main[[#This Row],[Class]]="B", WORKDAY(Main[[#This Row],[Tech Start Date]],12),IF(Main[[#This Row],[Class]]="A",WORKDAY(Main[[#This Row],[Tech Start Date]],4),""))))</f>
        <v>40963</v>
      </c>
      <c r="O21" s="77">
        <f>IF(Main[[#This Row],[Tech Start Date]]&lt;1/1/1990,"",IF(Main[[#This Row],[Class]]="C",WORKDAY(Main[[#This Row],[Tech Start Date]],23),IF(Main[[#This Row],[Class]]="B", WORKDAY(Main[[#This Row],[Tech Start Date]],15),IF(Main[[#This Row],[Class]]="A",WORKDAY(Main[[#This Row],[Tech Start Date]],5),""))))</f>
        <v>40969</v>
      </c>
      <c r="P21" s="77">
        <f>IF(Main[[#This Row],[Tech Start Date]]&lt;1/1/1990,"",IF(Main[[#This Row],[Class]]="C",WORKDAY(Main[[#This Row],[Tech Start Date]],28),IF(Main[[#This Row],[Class]]="B", WORKDAY(Main[[#This Row],[Tech Start Date]],19),IF(Main[[#This Row],[Class]]="A",WORKDAY(Main[[#This Row],[Tech Start Date]],9),""))))</f>
        <v>40976</v>
      </c>
      <c r="Q21" s="74">
        <v>40940</v>
      </c>
      <c r="R21" s="74">
        <v>40968</v>
      </c>
      <c r="S21" s="72" t="s">
        <v>11</v>
      </c>
      <c r="T21" s="80" t="s">
        <v>3810</v>
      </c>
      <c r="U21" s="72" t="s">
        <v>29</v>
      </c>
      <c r="V21" s="72" t="s">
        <v>1933</v>
      </c>
      <c r="W21" s="72" t="s">
        <v>1934</v>
      </c>
      <c r="X21" s="72" t="s">
        <v>2906</v>
      </c>
      <c r="Y21" s="72" t="s">
        <v>4</v>
      </c>
      <c r="Z21" s="72" t="s">
        <v>2075</v>
      </c>
      <c r="AA21" s="147" t="s">
        <v>2906</v>
      </c>
    </row>
    <row r="22" spans="1:34" ht="18.600000000000001" customHeight="1">
      <c r="A22" s="140">
        <f>IF(priority(Main[[#This Row],[Comments]])&lt;&gt;0, priority(Main[[#This Row],[Comments]]),"")</f>
        <v>3</v>
      </c>
      <c r="B22" s="90" t="s">
        <v>2703</v>
      </c>
      <c r="C22" s="72" t="s">
        <v>33</v>
      </c>
      <c r="D22" s="73" t="s">
        <v>3522</v>
      </c>
      <c r="E22" s="74">
        <v>40849.421423611115</v>
      </c>
      <c r="F22" s="74">
        <v>41061</v>
      </c>
      <c r="G22" s="75">
        <f>IF(stdProdLT(Main[[#This Row],[Comments]])=0.1,"N/A",IF(stdProdLT(Main[[#This Row],[Comments]])=0,"",stdProdLT(Main[[#This Row],[Comments]])))</f>
        <v>112</v>
      </c>
      <c r="H22" s="76">
        <f>IF(AND(Main[[#This Row],[In Stock Date]]&lt;&gt;"",Main[[#This Row],[Revised Due Date]]&lt;&gt;""),Main[[#This Row],[In Stock Date]]-Main[[#This Row],[Revised Due Date]],"")</f>
        <v>119</v>
      </c>
      <c r="I22" s="72" t="s">
        <v>923</v>
      </c>
      <c r="J22" s="72" t="s">
        <v>52</v>
      </c>
      <c r="K22" s="81" t="s">
        <v>1939</v>
      </c>
      <c r="L22" s="74">
        <v>41235</v>
      </c>
      <c r="M22" s="77">
        <f>IF(Main[[#This Row],[Tech Start Date]]&lt;1/1/1990,"",IF(Main[[#This Row],[Class]]="C",WORKDAY(Main[[#This Row],[Tech Start Date]],9),IF(Main[[#This Row],[Class]]="B", WORKDAY(Main[[#This Row],[Tech Start Date]],6),IF(Main[[#This Row],[Class]]="A",WORKDAY(Main[[#This Row],[Tech Start Date]],2),""))))</f>
        <v>41243</v>
      </c>
      <c r="N22" s="77">
        <f>IF(Main[[#This Row],[Tech Start Date]]&lt;1/1/1990,"",IF(Main[[#This Row],[Class]]="C",WORKDAY(Main[[#This Row],[Tech Start Date]],19),IF(Main[[#This Row],[Class]]="B", WORKDAY(Main[[#This Row],[Tech Start Date]],12),IF(Main[[#This Row],[Class]]="A",WORKDAY(Main[[#This Row],[Tech Start Date]],4),""))))</f>
        <v>41253</v>
      </c>
      <c r="O22" s="77">
        <f>IF(Main[[#This Row],[Tech Start Date]]&lt;1/1/1990,"",IF(Main[[#This Row],[Class]]="C",WORKDAY(Main[[#This Row],[Tech Start Date]],23),IF(Main[[#This Row],[Class]]="B", WORKDAY(Main[[#This Row],[Tech Start Date]],15),IF(Main[[#This Row],[Class]]="A",WORKDAY(Main[[#This Row],[Tech Start Date]],5),""))))</f>
        <v>41256</v>
      </c>
      <c r="P22" s="77">
        <f>IF(Main[[#This Row],[Tech Start Date]]&lt;1/1/1990,"",IF(Main[[#This Row],[Class]]="C",WORKDAY(Main[[#This Row],[Tech Start Date]],28),IF(Main[[#This Row],[Class]]="B", WORKDAY(Main[[#This Row],[Tech Start Date]],19),IF(Main[[#This Row],[Class]]="A",WORKDAY(Main[[#This Row],[Tech Start Date]],9),""))))</f>
        <v>41262</v>
      </c>
      <c r="Q22" s="74">
        <v>40899</v>
      </c>
      <c r="R22" s="74">
        <v>40942</v>
      </c>
      <c r="S22" s="72" t="s">
        <v>11</v>
      </c>
      <c r="T22" s="80" t="s">
        <v>3523</v>
      </c>
      <c r="U22" s="72" t="s">
        <v>29</v>
      </c>
      <c r="V22" s="72" t="s">
        <v>1932</v>
      </c>
      <c r="W22" s="72" t="s">
        <v>1937</v>
      </c>
      <c r="X22" s="72" t="s">
        <v>2966</v>
      </c>
      <c r="Y22" s="72" t="s">
        <v>3116</v>
      </c>
      <c r="Z22" s="72" t="s">
        <v>129</v>
      </c>
      <c r="AA22" s="147" t="s">
        <v>2966</v>
      </c>
    </row>
    <row r="23" spans="1:34" ht="18.600000000000001" customHeight="1">
      <c r="A23" s="140">
        <f>IF(priority(Main[[#This Row],[Comments]])&lt;&gt;0, priority(Main[[#This Row],[Comments]]),"")</f>
        <v>4</v>
      </c>
      <c r="B23" s="90" t="s">
        <v>2687</v>
      </c>
      <c r="C23" s="72" t="s">
        <v>72</v>
      </c>
      <c r="D23" s="73" t="s">
        <v>3801</v>
      </c>
      <c r="E23" s="74">
        <v>40843.078125</v>
      </c>
      <c r="F23" s="74">
        <v>41122</v>
      </c>
      <c r="G23" s="75">
        <f>IF(stdProdLT(Main[[#This Row],[Comments]])=0.1,"N/A",IF(stdProdLT(Main[[#This Row],[Comments]])=0,"",stdProdLT(Main[[#This Row],[Comments]])))</f>
        <v>196</v>
      </c>
      <c r="H23" s="76">
        <f>IF(AND(Main[[#This Row],[In Stock Date]]&lt;&gt;"",Main[[#This Row],[Revised Due Date]]&lt;&gt;""),Main[[#This Row],[In Stock Date]]-Main[[#This Row],[Revised Due Date]],"")</f>
        <v>138</v>
      </c>
      <c r="I23" s="72" t="s">
        <v>2671</v>
      </c>
      <c r="J23" s="72" t="s">
        <v>28</v>
      </c>
      <c r="K23" s="72" t="s">
        <v>1945</v>
      </c>
      <c r="L23" s="74">
        <v>40849</v>
      </c>
      <c r="M23" s="77">
        <f>IF(Main[[#This Row],[Tech Start Date]]&lt;1/1/1990,"",IF(Main[[#This Row],[Class]]="C",WORKDAY(Main[[#This Row],[Tech Start Date]],9),IF(Main[[#This Row],[Class]]="B", WORKDAY(Main[[#This Row],[Tech Start Date]],6),IF(Main[[#This Row],[Class]]="A",WORKDAY(Main[[#This Row],[Tech Start Date]],2),""))))</f>
        <v>40862</v>
      </c>
      <c r="N23" s="77">
        <f>IF(Main[[#This Row],[Tech Start Date]]&lt;1/1/1990,"",IF(Main[[#This Row],[Class]]="C",WORKDAY(Main[[#This Row],[Tech Start Date]],19),IF(Main[[#This Row],[Class]]="B", WORKDAY(Main[[#This Row],[Tech Start Date]],12),IF(Main[[#This Row],[Class]]="A",WORKDAY(Main[[#This Row],[Tech Start Date]],4),""))))</f>
        <v>40876</v>
      </c>
      <c r="O23" s="77">
        <f>IF(Main[[#This Row],[Tech Start Date]]&lt;1/1/1990,"",IF(Main[[#This Row],[Class]]="C",WORKDAY(Main[[#This Row],[Tech Start Date]],23),IF(Main[[#This Row],[Class]]="B", WORKDAY(Main[[#This Row],[Tech Start Date]],15),IF(Main[[#This Row],[Class]]="A",WORKDAY(Main[[#This Row],[Tech Start Date]],5),""))))</f>
        <v>40882</v>
      </c>
      <c r="P23" s="77">
        <f>IF(Main[[#This Row],[Tech Start Date]]&lt;1/1/1990,"",IF(Main[[#This Row],[Class]]="C",WORKDAY(Main[[#This Row],[Tech Start Date]],28),IF(Main[[#This Row],[Class]]="B", WORKDAY(Main[[#This Row],[Tech Start Date]],19),IF(Main[[#This Row],[Class]]="A",WORKDAY(Main[[#This Row],[Tech Start Date]],9),""))))</f>
        <v>40889</v>
      </c>
      <c r="Q23" s="74">
        <v>41122</v>
      </c>
      <c r="R23" s="74">
        <v>40984</v>
      </c>
      <c r="S23" s="72" t="s">
        <v>11</v>
      </c>
      <c r="T23" s="80" t="s">
        <v>3802</v>
      </c>
      <c r="U23" s="72" t="s">
        <v>29</v>
      </c>
      <c r="V23" s="72" t="s">
        <v>1933</v>
      </c>
      <c r="W23" s="72" t="s">
        <v>1940</v>
      </c>
      <c r="X23" s="72" t="s">
        <v>2938</v>
      </c>
      <c r="Y23" s="72" t="s">
        <v>3073</v>
      </c>
      <c r="Z23" s="72" t="s">
        <v>2075</v>
      </c>
      <c r="AA23" s="147" t="s">
        <v>2938</v>
      </c>
    </row>
    <row r="24" spans="1:34" ht="18.600000000000001" customHeight="1">
      <c r="A24" s="140">
        <f>IF(priority(Main[[#This Row],[Comments]])&lt;&gt;0, priority(Main[[#This Row],[Comments]]),"")</f>
        <v>4</v>
      </c>
      <c r="B24" s="90" t="s">
        <v>2433</v>
      </c>
      <c r="C24" s="72" t="s">
        <v>2434</v>
      </c>
      <c r="D24" s="73" t="s">
        <v>3490</v>
      </c>
      <c r="E24" s="74">
        <v>40849.653923611113</v>
      </c>
      <c r="F24" s="74">
        <v>41061</v>
      </c>
      <c r="G24" s="75">
        <f>IF(stdProdLT(Main[[#This Row],[Comments]])=0.1,"N/A",IF(stdProdLT(Main[[#This Row],[Comments]])=0,"",stdProdLT(Main[[#This Row],[Comments]])))</f>
        <v>112</v>
      </c>
      <c r="H24" s="76">
        <f>IF(AND(Main[[#This Row],[In Stock Date]]&lt;&gt;"",Main[[#This Row],[Revised Due Date]]&lt;&gt;""),Main[[#This Row],[In Stock Date]]-Main[[#This Row],[Revised Due Date]],"")</f>
        <v>105</v>
      </c>
      <c r="I24" s="72" t="s">
        <v>923</v>
      </c>
      <c r="J24" s="72" t="s">
        <v>52</v>
      </c>
      <c r="K24" s="72" t="s">
        <v>1939</v>
      </c>
      <c r="L24" s="74">
        <v>40879</v>
      </c>
      <c r="M24" s="77">
        <f>IF(Main[[#This Row],[Tech Start Date]]&lt;1/1/1990,"",IF(Main[[#This Row],[Class]]="C",WORKDAY(Main[[#This Row],[Tech Start Date]],9),IF(Main[[#This Row],[Class]]="B", WORKDAY(Main[[#This Row],[Tech Start Date]],6),IF(Main[[#This Row],[Class]]="A",WORKDAY(Main[[#This Row],[Tech Start Date]],2),""))))</f>
        <v>40889</v>
      </c>
      <c r="N24" s="77">
        <f>IF(Main[[#This Row],[Tech Start Date]]&lt;1/1/1990,"",IF(Main[[#This Row],[Class]]="C",WORKDAY(Main[[#This Row],[Tech Start Date]],19),IF(Main[[#This Row],[Class]]="B", WORKDAY(Main[[#This Row],[Tech Start Date]],12),IF(Main[[#This Row],[Class]]="A",WORKDAY(Main[[#This Row],[Tech Start Date]],4),""))))</f>
        <v>40897</v>
      </c>
      <c r="O24" s="77">
        <f>IF(Main[[#This Row],[Tech Start Date]]&lt;1/1/1990,"",IF(Main[[#This Row],[Class]]="C",WORKDAY(Main[[#This Row],[Tech Start Date]],23),IF(Main[[#This Row],[Class]]="B", WORKDAY(Main[[#This Row],[Tech Start Date]],15),IF(Main[[#This Row],[Class]]="A",WORKDAY(Main[[#This Row],[Tech Start Date]],5),""))))</f>
        <v>40900</v>
      </c>
      <c r="P24" s="77">
        <f>IF(Main[[#This Row],[Tech Start Date]]&lt;1/1/1990,"",IF(Main[[#This Row],[Class]]="C",WORKDAY(Main[[#This Row],[Tech Start Date]],28),IF(Main[[#This Row],[Class]]="B", WORKDAY(Main[[#This Row],[Tech Start Date]],19),IF(Main[[#This Row],[Class]]="A",WORKDAY(Main[[#This Row],[Tech Start Date]],9),""))))</f>
        <v>40906</v>
      </c>
      <c r="Q24" s="74"/>
      <c r="R24" s="74">
        <v>40956</v>
      </c>
      <c r="S24" s="72" t="s">
        <v>11</v>
      </c>
      <c r="T24" s="80" t="s">
        <v>3491</v>
      </c>
      <c r="U24" s="72" t="s">
        <v>29</v>
      </c>
      <c r="V24" s="72" t="s">
        <v>1932</v>
      </c>
      <c r="W24" s="72" t="s">
        <v>1940</v>
      </c>
      <c r="X24" s="72" t="s">
        <v>50</v>
      </c>
      <c r="Y24" s="72" t="s">
        <v>3256</v>
      </c>
      <c r="Z24" s="72" t="s">
        <v>129</v>
      </c>
      <c r="AA24" s="147" t="s">
        <v>3705</v>
      </c>
    </row>
    <row r="25" spans="1:34" ht="18.600000000000001" customHeight="1">
      <c r="A25" s="140">
        <f>IF(priority(Main[[#This Row],[Comments]])&lt;&gt;0, priority(Main[[#This Row],[Comments]]),"")</f>
        <v>5</v>
      </c>
      <c r="B25" s="90" t="s">
        <v>2170</v>
      </c>
      <c r="C25" s="72" t="s">
        <v>2046</v>
      </c>
      <c r="D25" s="73" t="s">
        <v>2171</v>
      </c>
      <c r="E25" s="74"/>
      <c r="F25" s="74">
        <v>40771</v>
      </c>
      <c r="G25" s="75">
        <f>IF(stdProdLT(Main[[#This Row],[Comments]])=0.1,"N/A",IF(stdProdLT(Main[[#This Row],[Comments]])=0,"",stdProdLT(Main[[#This Row],[Comments]])))</f>
        <v>154</v>
      </c>
      <c r="H25" s="76">
        <f>IF(AND(Main[[#This Row],[In Stock Date]]&lt;&gt;"",Main[[#This Row],[Revised Due Date]]&lt;&gt;""),Main[[#This Row],[In Stock Date]]-Main[[#This Row],[Revised Due Date]],"")</f>
        <v>-44</v>
      </c>
      <c r="I25" s="72" t="s">
        <v>953</v>
      </c>
      <c r="J25" s="72" t="s">
        <v>28</v>
      </c>
      <c r="K25" s="72" t="s">
        <v>1945</v>
      </c>
      <c r="L25" s="74">
        <v>40772</v>
      </c>
      <c r="M25" s="77">
        <f>IF(Main[[#This Row],[Tech Start Date]]&lt;1/1/1990,"",IF(Main[[#This Row],[Class]]="C",WORKDAY(Main[[#This Row],[Tech Start Date]],9),IF(Main[[#This Row],[Class]]="B", WORKDAY(Main[[#This Row],[Tech Start Date]],6),IF(Main[[#This Row],[Class]]="A",WORKDAY(Main[[#This Row],[Tech Start Date]],2),""))))</f>
        <v>40785</v>
      </c>
      <c r="N25" s="77">
        <f>IF(Main[[#This Row],[Tech Start Date]]&lt;1/1/1990,"",IF(Main[[#This Row],[Class]]="C",WORKDAY(Main[[#This Row],[Tech Start Date]],19),IF(Main[[#This Row],[Class]]="B", WORKDAY(Main[[#This Row],[Tech Start Date]],12),IF(Main[[#This Row],[Class]]="A",WORKDAY(Main[[#This Row],[Tech Start Date]],4),""))))</f>
        <v>40799</v>
      </c>
      <c r="O25" s="77">
        <f>IF(Main[[#This Row],[Tech Start Date]]&lt;1/1/1990,"",IF(Main[[#This Row],[Class]]="C",WORKDAY(Main[[#This Row],[Tech Start Date]],23),IF(Main[[#This Row],[Class]]="B", WORKDAY(Main[[#This Row],[Tech Start Date]],15),IF(Main[[#This Row],[Class]]="A",WORKDAY(Main[[#This Row],[Tech Start Date]],5),""))))</f>
        <v>40805</v>
      </c>
      <c r="P25" s="77">
        <f>IF(Main[[#This Row],[Tech Start Date]]&lt;1/1/1990,"",IF(Main[[#This Row],[Class]]="C",WORKDAY(Main[[#This Row],[Tech Start Date]],28),IF(Main[[#This Row],[Class]]="B", WORKDAY(Main[[#This Row],[Tech Start Date]],19),IF(Main[[#This Row],[Class]]="A",WORKDAY(Main[[#This Row],[Tech Start Date]],9),""))))</f>
        <v>40812</v>
      </c>
      <c r="Q25" s="74">
        <v>40771</v>
      </c>
      <c r="R25" s="74">
        <v>40815</v>
      </c>
      <c r="S25" s="72" t="s">
        <v>11</v>
      </c>
      <c r="T25" s="80" t="s">
        <v>2172</v>
      </c>
      <c r="U25" s="72" t="s">
        <v>14</v>
      </c>
      <c r="V25" s="72" t="s">
        <v>1933</v>
      </c>
      <c r="W25" s="72" t="s">
        <v>1940</v>
      </c>
      <c r="X25" s="72" t="s">
        <v>2906</v>
      </c>
      <c r="Y25" s="72" t="s">
        <v>4</v>
      </c>
      <c r="Z25" s="72" t="s">
        <v>2075</v>
      </c>
      <c r="AA25" s="147" t="s">
        <v>2906</v>
      </c>
    </row>
    <row r="26" spans="1:34" ht="18.600000000000001" customHeight="1">
      <c r="A26" s="140">
        <f>IF(priority(Main[[#This Row],[Comments]])&lt;&gt;0, priority(Main[[#This Row],[Comments]]),"")</f>
        <v>5</v>
      </c>
      <c r="B26" s="90" t="s">
        <v>3520</v>
      </c>
      <c r="C26" s="72" t="s">
        <v>72</v>
      </c>
      <c r="D26" s="73" t="s">
        <v>3611</v>
      </c>
      <c r="E26" s="74">
        <v>40931.826180555552</v>
      </c>
      <c r="F26" s="74">
        <v>41090</v>
      </c>
      <c r="G26" s="75" t="str">
        <f>IF(stdProdLT(Main[[#This Row],[Comments]])=0.1,"N/A",IF(stdProdLT(Main[[#This Row],[Comments]])=0,"",stdProdLT(Main[[#This Row],[Comments]])))</f>
        <v/>
      </c>
      <c r="H26" s="76">
        <f>IF(AND(Main[[#This Row],[In Stock Date]]&lt;&gt;"",Main[[#This Row],[Revised Due Date]]&lt;&gt;""),Main[[#This Row],[In Stock Date]]-Main[[#This Row],[Revised Due Date]],"")</f>
        <v>115</v>
      </c>
      <c r="I26" s="72" t="s">
        <v>2671</v>
      </c>
      <c r="J26" s="72" t="s">
        <v>28</v>
      </c>
      <c r="K26" s="72" t="s">
        <v>1945</v>
      </c>
      <c r="L26" s="74">
        <v>40932</v>
      </c>
      <c r="M26" s="77">
        <f>IF(Main[[#This Row],[Tech Start Date]]&lt;1/1/1990,"",IF(Main[[#This Row],[Class]]="C",WORKDAY(Main[[#This Row],[Tech Start Date]],9),IF(Main[[#This Row],[Class]]="B", WORKDAY(Main[[#This Row],[Tech Start Date]],6),IF(Main[[#This Row],[Class]]="A",WORKDAY(Main[[#This Row],[Tech Start Date]],2),""))))</f>
        <v>40945</v>
      </c>
      <c r="N26" s="77">
        <f>IF(Main[[#This Row],[Tech Start Date]]&lt;1/1/1990,"",IF(Main[[#This Row],[Class]]="C",WORKDAY(Main[[#This Row],[Tech Start Date]],19),IF(Main[[#This Row],[Class]]="B", WORKDAY(Main[[#This Row],[Tech Start Date]],12),IF(Main[[#This Row],[Class]]="A",WORKDAY(Main[[#This Row],[Tech Start Date]],4),""))))</f>
        <v>40959</v>
      </c>
      <c r="O26" s="77">
        <f>IF(Main[[#This Row],[Tech Start Date]]&lt;1/1/1990,"",IF(Main[[#This Row],[Class]]="C",WORKDAY(Main[[#This Row],[Tech Start Date]],23),IF(Main[[#This Row],[Class]]="B", WORKDAY(Main[[#This Row],[Tech Start Date]],15),IF(Main[[#This Row],[Class]]="A",WORKDAY(Main[[#This Row],[Tech Start Date]],5),""))))</f>
        <v>40963</v>
      </c>
      <c r="P26" s="77">
        <f>IF(Main[[#This Row],[Tech Start Date]]&lt;1/1/1990,"",IF(Main[[#This Row],[Class]]="C",WORKDAY(Main[[#This Row],[Tech Start Date]],28),IF(Main[[#This Row],[Class]]="B", WORKDAY(Main[[#This Row],[Tech Start Date]],19),IF(Main[[#This Row],[Class]]="A",WORKDAY(Main[[#This Row],[Tech Start Date]],9),""))))</f>
        <v>40970</v>
      </c>
      <c r="Q26" s="74">
        <v>40950</v>
      </c>
      <c r="R26" s="74">
        <v>40975</v>
      </c>
      <c r="S26" s="72" t="s">
        <v>11</v>
      </c>
      <c r="T26" s="80" t="s">
        <v>3808</v>
      </c>
      <c r="U26" s="72" t="s">
        <v>29</v>
      </c>
      <c r="V26" s="72" t="s">
        <v>1933</v>
      </c>
      <c r="W26" s="72" t="s">
        <v>1940</v>
      </c>
      <c r="X26" s="72" t="s">
        <v>2938</v>
      </c>
      <c r="Y26" s="72" t="s">
        <v>4</v>
      </c>
      <c r="Z26" s="72" t="s">
        <v>2075</v>
      </c>
      <c r="AA26" s="147" t="s">
        <v>2938</v>
      </c>
    </row>
    <row r="27" spans="1:34" ht="18.600000000000001" customHeight="1">
      <c r="A27" s="140">
        <f>IF(priority(Main[[#This Row],[Comments]])&lt;&gt;0, priority(Main[[#This Row],[Comments]]),"")</f>
        <v>5</v>
      </c>
      <c r="B27" s="90" t="s">
        <v>3521</v>
      </c>
      <c r="C27" s="72" t="s">
        <v>3401</v>
      </c>
      <c r="D27" s="73" t="s">
        <v>3758</v>
      </c>
      <c r="E27" s="74">
        <v>40931.470057870371</v>
      </c>
      <c r="F27" s="74">
        <v>41065</v>
      </c>
      <c r="G27" s="75">
        <f>IF(stdProdLT(Main[[#This Row],[Comments]])=0.1,"N/A",IF(stdProdLT(Main[[#This Row],[Comments]])=0,"",stdProdLT(Main[[#This Row],[Comments]])))</f>
        <v>126</v>
      </c>
      <c r="H27" s="76">
        <f>IF(AND(Main[[#This Row],[In Stock Date]]&lt;&gt;"",Main[[#This Row],[Revised Due Date]]&lt;&gt;""),Main[[#This Row],[In Stock Date]]-Main[[#This Row],[Revised Due Date]],"")</f>
        <v>103</v>
      </c>
      <c r="I27" s="72" t="s">
        <v>923</v>
      </c>
      <c r="J27" s="72" t="s">
        <v>52</v>
      </c>
      <c r="K27" s="72" t="s">
        <v>1939</v>
      </c>
      <c r="L27" s="74">
        <v>40932</v>
      </c>
      <c r="M27" s="77">
        <f>IF(Main[[#This Row],[Tech Start Date]]&lt;1/1/1990,"",IF(Main[[#This Row],[Class]]="C",WORKDAY(Main[[#This Row],[Tech Start Date]],9),IF(Main[[#This Row],[Class]]="B", WORKDAY(Main[[#This Row],[Tech Start Date]],6),IF(Main[[#This Row],[Class]]="A",WORKDAY(Main[[#This Row],[Tech Start Date]],2),""))))</f>
        <v>40940</v>
      </c>
      <c r="N27" s="77">
        <f>IF(Main[[#This Row],[Tech Start Date]]&lt;1/1/1990,"",IF(Main[[#This Row],[Class]]="C",WORKDAY(Main[[#This Row],[Tech Start Date]],19),IF(Main[[#This Row],[Class]]="B", WORKDAY(Main[[#This Row],[Tech Start Date]],12),IF(Main[[#This Row],[Class]]="A",WORKDAY(Main[[#This Row],[Tech Start Date]],4),""))))</f>
        <v>40948</v>
      </c>
      <c r="O27" s="77">
        <f>IF(Main[[#This Row],[Tech Start Date]]&lt;1/1/1990,"",IF(Main[[#This Row],[Class]]="C",WORKDAY(Main[[#This Row],[Tech Start Date]],23),IF(Main[[#This Row],[Class]]="B", WORKDAY(Main[[#This Row],[Tech Start Date]],15),IF(Main[[#This Row],[Class]]="A",WORKDAY(Main[[#This Row],[Tech Start Date]],5),""))))</f>
        <v>40953</v>
      </c>
      <c r="P27" s="77">
        <f>IF(Main[[#This Row],[Tech Start Date]]&lt;1/1/1990,"",IF(Main[[#This Row],[Class]]="C",WORKDAY(Main[[#This Row],[Tech Start Date]],28),IF(Main[[#This Row],[Class]]="B", WORKDAY(Main[[#This Row],[Tech Start Date]],19),IF(Main[[#This Row],[Class]]="A",WORKDAY(Main[[#This Row],[Tech Start Date]],9),""))))</f>
        <v>40959</v>
      </c>
      <c r="Q27" s="74">
        <v>40945</v>
      </c>
      <c r="R27" s="74">
        <v>40962</v>
      </c>
      <c r="S27" s="72" t="s">
        <v>11</v>
      </c>
      <c r="T27" s="80" t="s">
        <v>3612</v>
      </c>
      <c r="U27" s="72" t="s">
        <v>29</v>
      </c>
      <c r="V27" s="72" t="s">
        <v>1932</v>
      </c>
      <c r="W27" s="72" t="s">
        <v>1937</v>
      </c>
      <c r="X27" s="72" t="s">
        <v>2920</v>
      </c>
      <c r="Y27" s="72" t="s">
        <v>3046</v>
      </c>
      <c r="Z27" s="72" t="s">
        <v>129</v>
      </c>
      <c r="AA27" s="147" t="s">
        <v>2920</v>
      </c>
    </row>
    <row r="28" spans="1:34" ht="18.600000000000001" customHeight="1">
      <c r="A28" s="140">
        <f>IF(priority(Main[[#This Row],[Comments]])&lt;&gt;0, priority(Main[[#This Row],[Comments]]),"")</f>
        <v>6</v>
      </c>
      <c r="B28" s="90" t="s">
        <v>2675</v>
      </c>
      <c r="C28" s="72" t="s">
        <v>2676</v>
      </c>
      <c r="D28" s="73" t="s">
        <v>3799</v>
      </c>
      <c r="E28" s="74">
        <v>40835.462650462963</v>
      </c>
      <c r="F28" s="74">
        <v>40928</v>
      </c>
      <c r="G28" s="75" t="str">
        <f>IF(stdProdLT(Main[[#This Row],[Comments]])=0.1,"N/A",IF(stdProdLT(Main[[#This Row],[Comments]])=0,"",stdProdLT(Main[[#This Row],[Comments]])))</f>
        <v>N/A</v>
      </c>
      <c r="H28" s="76">
        <f>IF(AND(Main[[#This Row],[In Stock Date]]&lt;&gt;"",Main[[#This Row],[Revised Due Date]]&lt;&gt;""),Main[[#This Row],[In Stock Date]]-Main[[#This Row],[Revised Due Date]],"")</f>
        <v>-21</v>
      </c>
      <c r="I28" s="72" t="s">
        <v>2671</v>
      </c>
      <c r="J28" s="72" t="s">
        <v>28</v>
      </c>
      <c r="K28" s="72" t="s">
        <v>1945</v>
      </c>
      <c r="L28" s="74">
        <v>40848</v>
      </c>
      <c r="M28" s="77">
        <f>IF(Main[[#This Row],[Tech Start Date]]&lt;1/1/1990,"",IF(Main[[#This Row],[Class]]="C",WORKDAY(Main[[#This Row],[Tech Start Date]],9),IF(Main[[#This Row],[Class]]="B", WORKDAY(Main[[#This Row],[Tech Start Date]],6),IF(Main[[#This Row],[Class]]="A",WORKDAY(Main[[#This Row],[Tech Start Date]],2),""))))</f>
        <v>40861</v>
      </c>
      <c r="N28" s="77">
        <f>IF(Main[[#This Row],[Tech Start Date]]&lt;1/1/1990,"",IF(Main[[#This Row],[Class]]="C",WORKDAY(Main[[#This Row],[Tech Start Date]],19),IF(Main[[#This Row],[Class]]="B", WORKDAY(Main[[#This Row],[Tech Start Date]],12),IF(Main[[#This Row],[Class]]="A",WORKDAY(Main[[#This Row],[Tech Start Date]],4),""))))</f>
        <v>40875</v>
      </c>
      <c r="O28" s="77">
        <f>IF(Main[[#This Row],[Tech Start Date]]&lt;1/1/1990,"",IF(Main[[#This Row],[Class]]="C",WORKDAY(Main[[#This Row],[Tech Start Date]],23),IF(Main[[#This Row],[Class]]="B", WORKDAY(Main[[#This Row],[Tech Start Date]],15),IF(Main[[#This Row],[Class]]="A",WORKDAY(Main[[#This Row],[Tech Start Date]],5),""))))</f>
        <v>40879</v>
      </c>
      <c r="P28" s="77">
        <f>IF(Main[[#This Row],[Tech Start Date]]&lt;1/1/1990,"",IF(Main[[#This Row],[Class]]="C",WORKDAY(Main[[#This Row],[Tech Start Date]],28),IF(Main[[#This Row],[Class]]="B", WORKDAY(Main[[#This Row],[Tech Start Date]],19),IF(Main[[#This Row],[Class]]="A",WORKDAY(Main[[#This Row],[Tech Start Date]],9),""))))</f>
        <v>40886</v>
      </c>
      <c r="Q28" s="74">
        <v>40857</v>
      </c>
      <c r="R28" s="74">
        <v>40949</v>
      </c>
      <c r="S28" s="72" t="s">
        <v>11</v>
      </c>
      <c r="T28" s="80" t="s">
        <v>3800</v>
      </c>
      <c r="U28" s="72" t="s">
        <v>29</v>
      </c>
      <c r="V28" s="72" t="s">
        <v>1933</v>
      </c>
      <c r="W28" s="72" t="s">
        <v>1934</v>
      </c>
      <c r="X28" s="72" t="s">
        <v>2963</v>
      </c>
      <c r="Y28" s="72" t="s">
        <v>3091</v>
      </c>
      <c r="Z28" s="72" t="s">
        <v>2075</v>
      </c>
      <c r="AA28" s="147" t="s">
        <v>2963</v>
      </c>
    </row>
    <row r="29" spans="1:34" ht="18.600000000000001" customHeight="1">
      <c r="A29" s="140">
        <f>IF(priority(Main[[#This Row],[Comments]])&lt;&gt;0, priority(Main[[#This Row],[Comments]]),"")</f>
        <v>6</v>
      </c>
      <c r="B29" s="90" t="s">
        <v>2837</v>
      </c>
      <c r="C29" s="72" t="s">
        <v>113</v>
      </c>
      <c r="D29" s="73" t="s">
        <v>3360</v>
      </c>
      <c r="E29" s="74">
        <v>40893.729259259257</v>
      </c>
      <c r="F29" s="74">
        <v>41054</v>
      </c>
      <c r="G29" s="75">
        <f>IF(stdProdLT(Main[[#This Row],[Comments]])=0.1,"N/A",IF(stdProdLT(Main[[#This Row],[Comments]])=0,"",stdProdLT(Main[[#This Row],[Comments]])))</f>
        <v>126</v>
      </c>
      <c r="H29" s="76">
        <f>IF(AND(Main[[#This Row],[In Stock Date]]&lt;&gt;"",Main[[#This Row],[Revised Due Date]]&lt;&gt;""),Main[[#This Row],[In Stock Date]]-Main[[#This Row],[Revised Due Date]],"")</f>
        <v>112</v>
      </c>
      <c r="I29" s="72" t="s">
        <v>923</v>
      </c>
      <c r="J29" s="72" t="s">
        <v>52</v>
      </c>
      <c r="K29" s="72" t="s">
        <v>1939</v>
      </c>
      <c r="L29" s="74">
        <v>40911</v>
      </c>
      <c r="M29" s="77">
        <f>IF(Main[[#This Row],[Tech Start Date]]&lt;1/1/1990,"",IF(Main[[#This Row],[Class]]="C",WORKDAY(Main[[#This Row],[Tech Start Date]],9),IF(Main[[#This Row],[Class]]="B", WORKDAY(Main[[#This Row],[Tech Start Date]],6),IF(Main[[#This Row],[Class]]="A",WORKDAY(Main[[#This Row],[Tech Start Date]],2),""))))</f>
        <v>40919</v>
      </c>
      <c r="N29" s="77">
        <f>IF(Main[[#This Row],[Tech Start Date]]&lt;1/1/1990,"",IF(Main[[#This Row],[Class]]="C",WORKDAY(Main[[#This Row],[Tech Start Date]],19),IF(Main[[#This Row],[Class]]="B", WORKDAY(Main[[#This Row],[Tech Start Date]],12),IF(Main[[#This Row],[Class]]="A",WORKDAY(Main[[#This Row],[Tech Start Date]],4),""))))</f>
        <v>40927</v>
      </c>
      <c r="O29" s="77">
        <f>IF(Main[[#This Row],[Tech Start Date]]&lt;1/1/1990,"",IF(Main[[#This Row],[Class]]="C",WORKDAY(Main[[#This Row],[Tech Start Date]],23),IF(Main[[#This Row],[Class]]="B", WORKDAY(Main[[#This Row],[Tech Start Date]],15),IF(Main[[#This Row],[Class]]="A",WORKDAY(Main[[#This Row],[Tech Start Date]],5),""))))</f>
        <v>40932</v>
      </c>
      <c r="P29" s="77">
        <f>IF(Main[[#This Row],[Tech Start Date]]&lt;1/1/1990,"",IF(Main[[#This Row],[Class]]="C",WORKDAY(Main[[#This Row],[Tech Start Date]],28),IF(Main[[#This Row],[Class]]="B", WORKDAY(Main[[#This Row],[Tech Start Date]],19),IF(Main[[#This Row],[Class]]="A",WORKDAY(Main[[#This Row],[Tech Start Date]],9),""))))</f>
        <v>40938</v>
      </c>
      <c r="Q29" s="74">
        <v>40946</v>
      </c>
      <c r="R29" s="74">
        <v>40942</v>
      </c>
      <c r="S29" s="72" t="s">
        <v>11</v>
      </c>
      <c r="T29" s="80" t="s">
        <v>3496</v>
      </c>
      <c r="U29" s="72" t="s">
        <v>29</v>
      </c>
      <c r="V29" s="72" t="s">
        <v>1932</v>
      </c>
      <c r="W29" s="72" t="s">
        <v>1938</v>
      </c>
      <c r="X29" s="72" t="s">
        <v>2924</v>
      </c>
      <c r="Y29" s="72" t="s">
        <v>3034</v>
      </c>
      <c r="Z29" s="72" t="s">
        <v>923</v>
      </c>
      <c r="AA29" s="147" t="s">
        <v>2924</v>
      </c>
    </row>
    <row r="30" spans="1:34" ht="18.600000000000001" customHeight="1">
      <c r="A30" s="140">
        <f>IF(priority(Main[[#This Row],[Comments]])&lt;&gt;0, priority(Main[[#This Row],[Comments]]),"")</f>
        <v>7</v>
      </c>
      <c r="B30" s="90" t="s">
        <v>2589</v>
      </c>
      <c r="C30" s="72" t="s">
        <v>2590</v>
      </c>
      <c r="D30" s="73" t="s">
        <v>3394</v>
      </c>
      <c r="E30" s="74">
        <v>40855.339328703703</v>
      </c>
      <c r="F30" s="74">
        <v>40890</v>
      </c>
      <c r="G30" s="75">
        <f>IF(stdProdLT(Main[[#This Row],[Comments]])=0.1,"N/A",IF(stdProdLT(Main[[#This Row],[Comments]])=0,"",stdProdLT(Main[[#This Row],[Comments]])))</f>
        <v>84</v>
      </c>
      <c r="H30" s="76">
        <f>IF(AND(Main[[#This Row],[In Stock Date]]&lt;&gt;"",Main[[#This Row],[Revised Due Date]]&lt;&gt;""),Main[[#This Row],[In Stock Date]]-Main[[#This Row],[Revised Due Date]],"")</f>
        <v>-59</v>
      </c>
      <c r="I30" s="72" t="s">
        <v>126</v>
      </c>
      <c r="J30" s="72" t="s">
        <v>28</v>
      </c>
      <c r="K30" s="72" t="s">
        <v>4</v>
      </c>
      <c r="L30" s="74"/>
      <c r="M30" s="77" t="str">
        <f>IF(Main[[#This Row],[Tech Start Date]]&lt;1/1/1990,"",IF(Main[[#This Row],[Class]]="C",WORKDAY(Main[[#This Row],[Tech Start Date]],9),IF(Main[[#This Row],[Class]]="B", WORKDAY(Main[[#This Row],[Tech Start Date]],6),IF(Main[[#This Row],[Class]]="A",WORKDAY(Main[[#This Row],[Tech Start Date]],2),""))))</f>
        <v/>
      </c>
      <c r="N30" s="77" t="str">
        <f>IF(Main[[#This Row],[Tech Start Date]]&lt;1/1/1990,"",IF(Main[[#This Row],[Class]]="C",WORKDAY(Main[[#This Row],[Tech Start Date]],19),IF(Main[[#This Row],[Class]]="B", WORKDAY(Main[[#This Row],[Tech Start Date]],12),IF(Main[[#This Row],[Class]]="A",WORKDAY(Main[[#This Row],[Tech Start Date]],4),""))))</f>
        <v/>
      </c>
      <c r="O30" s="77" t="str">
        <f>IF(Main[[#This Row],[Tech Start Date]]&lt;1/1/1990,"",IF(Main[[#This Row],[Class]]="C",WORKDAY(Main[[#This Row],[Tech Start Date]],23),IF(Main[[#This Row],[Class]]="B", WORKDAY(Main[[#This Row],[Tech Start Date]],15),IF(Main[[#This Row],[Class]]="A",WORKDAY(Main[[#This Row],[Tech Start Date]],5),""))))</f>
        <v/>
      </c>
      <c r="P30" s="77" t="str">
        <f>IF(Main[[#This Row],[Tech Start Date]]&lt;1/1/1990,"",IF(Main[[#This Row],[Class]]="C",WORKDAY(Main[[#This Row],[Tech Start Date]],28),IF(Main[[#This Row],[Class]]="B", WORKDAY(Main[[#This Row],[Tech Start Date]],19),IF(Main[[#This Row],[Class]]="A",WORKDAY(Main[[#This Row],[Tech Start Date]],9),""))))</f>
        <v/>
      </c>
      <c r="Q30" s="74">
        <v>40877</v>
      </c>
      <c r="R30" s="74">
        <v>40949</v>
      </c>
      <c r="S30" s="72" t="s">
        <v>11</v>
      </c>
      <c r="T30" s="80" t="s">
        <v>3395</v>
      </c>
      <c r="U30" s="72" t="s">
        <v>29</v>
      </c>
      <c r="V30" s="72" t="s">
        <v>1932</v>
      </c>
      <c r="W30" s="72" t="s">
        <v>1946</v>
      </c>
      <c r="X30" s="72" t="s">
        <v>2996</v>
      </c>
      <c r="Y30" s="72" t="s">
        <v>3228</v>
      </c>
      <c r="Z30" s="72" t="s">
        <v>4</v>
      </c>
      <c r="AA30" s="147" t="s">
        <v>3706</v>
      </c>
    </row>
    <row r="31" spans="1:34" ht="18.600000000000001" customHeight="1">
      <c r="A31" s="140">
        <f>IF(priority(Main[[#This Row],[Comments]])&lt;&gt;0, priority(Main[[#This Row],[Comments]]),"")</f>
        <v>7</v>
      </c>
      <c r="B31" s="90" t="s">
        <v>2854</v>
      </c>
      <c r="C31" s="72" t="s">
        <v>2236</v>
      </c>
      <c r="D31" s="73" t="s">
        <v>3609</v>
      </c>
      <c r="E31" s="74">
        <v>40900.384641203702</v>
      </c>
      <c r="F31" s="74">
        <v>40935</v>
      </c>
      <c r="G31" s="75" t="str">
        <f>IF(stdProdLT(Main[[#This Row],[Comments]])=0.1,"N/A",IF(stdProdLT(Main[[#This Row],[Comments]])=0,"",stdProdLT(Main[[#This Row],[Comments]])))</f>
        <v>N/A</v>
      </c>
      <c r="H31" s="76">
        <f>IF(AND(Main[[#This Row],[In Stock Date]]&lt;&gt;"",Main[[#This Row],[Revised Due Date]]&lt;&gt;""),Main[[#This Row],[In Stock Date]]-Main[[#This Row],[Revised Due Date]],"")</f>
        <v>-14</v>
      </c>
      <c r="I31" s="72" t="s">
        <v>953</v>
      </c>
      <c r="J31" s="72" t="s">
        <v>28</v>
      </c>
      <c r="K31" s="72" t="s">
        <v>1945</v>
      </c>
      <c r="L31" s="74">
        <v>40911</v>
      </c>
      <c r="M31" s="77">
        <f>IF(Main[[#This Row],[Tech Start Date]]&lt;1/1/1990,"",IF(Main[[#This Row],[Class]]="C",WORKDAY(Main[[#This Row],[Tech Start Date]],9),IF(Main[[#This Row],[Class]]="B", WORKDAY(Main[[#This Row],[Tech Start Date]],6),IF(Main[[#This Row],[Class]]="A",WORKDAY(Main[[#This Row],[Tech Start Date]],2),""))))</f>
        <v>40924</v>
      </c>
      <c r="N31" s="77">
        <f>IF(Main[[#This Row],[Tech Start Date]]&lt;1/1/1990,"",IF(Main[[#This Row],[Class]]="C",WORKDAY(Main[[#This Row],[Tech Start Date]],19),IF(Main[[#This Row],[Class]]="B", WORKDAY(Main[[#This Row],[Tech Start Date]],12),IF(Main[[#This Row],[Class]]="A",WORKDAY(Main[[#This Row],[Tech Start Date]],4),""))))</f>
        <v>40938</v>
      </c>
      <c r="O31" s="77">
        <f>IF(Main[[#This Row],[Tech Start Date]]&lt;1/1/1990,"",IF(Main[[#This Row],[Class]]="C",WORKDAY(Main[[#This Row],[Tech Start Date]],23),IF(Main[[#This Row],[Class]]="B", WORKDAY(Main[[#This Row],[Tech Start Date]],15),IF(Main[[#This Row],[Class]]="A",WORKDAY(Main[[#This Row],[Tech Start Date]],5),""))))</f>
        <v>40942</v>
      </c>
      <c r="P31" s="77">
        <f>IF(Main[[#This Row],[Tech Start Date]]&lt;1/1/1990,"",IF(Main[[#This Row],[Class]]="C",WORKDAY(Main[[#This Row],[Tech Start Date]],28),IF(Main[[#This Row],[Class]]="B", WORKDAY(Main[[#This Row],[Tech Start Date]],19),IF(Main[[#This Row],[Class]]="A",WORKDAY(Main[[#This Row],[Tech Start Date]],9),""))))</f>
        <v>40949</v>
      </c>
      <c r="Q31" s="74">
        <v>40935</v>
      </c>
      <c r="R31" s="74">
        <v>40949</v>
      </c>
      <c r="S31" s="72" t="s">
        <v>11</v>
      </c>
      <c r="T31" s="80" t="s">
        <v>3805</v>
      </c>
      <c r="U31" s="72" t="s">
        <v>29</v>
      </c>
      <c r="V31" s="72" t="s">
        <v>1933</v>
      </c>
      <c r="W31" s="72" t="s">
        <v>1934</v>
      </c>
      <c r="X31" s="72" t="s">
        <v>2906</v>
      </c>
      <c r="Y31" s="72" t="s">
        <v>4</v>
      </c>
      <c r="Z31" s="72" t="s">
        <v>2075</v>
      </c>
      <c r="AA31" s="147" t="s">
        <v>2906</v>
      </c>
    </row>
    <row r="32" spans="1:34" ht="18.600000000000001" customHeight="1">
      <c r="A32" s="140">
        <f>IF(priority(Main[[#This Row],[Comments]])&lt;&gt;0, priority(Main[[#This Row],[Comments]]),"")</f>
        <v>8</v>
      </c>
      <c r="B32" s="90" t="s">
        <v>3361</v>
      </c>
      <c r="C32" s="72" t="s">
        <v>33</v>
      </c>
      <c r="D32" s="73" t="s">
        <v>3583</v>
      </c>
      <c r="E32" s="74">
        <v>40926.303738425922</v>
      </c>
      <c r="F32" s="74">
        <v>41047</v>
      </c>
      <c r="G32" s="75">
        <f>IF(stdProdLT(Main[[#This Row],[Comments]])=0.1,"N/A",IF(stdProdLT(Main[[#This Row],[Comments]])=0,"",stdProdLT(Main[[#This Row],[Comments]])))</f>
        <v>126</v>
      </c>
      <c r="H32" s="76" t="str">
        <f>IF(AND(Main[[#This Row],[In Stock Date]]&lt;&gt;"",Main[[#This Row],[Revised Due Date]]&lt;&gt;""),Main[[#This Row],[In Stock Date]]-Main[[#This Row],[Revised Due Date]],"")</f>
        <v/>
      </c>
      <c r="I32" s="72" t="s">
        <v>4</v>
      </c>
      <c r="J32" s="72" t="s">
        <v>4</v>
      </c>
      <c r="K32" s="81" t="s">
        <v>4</v>
      </c>
      <c r="L32" s="74"/>
      <c r="M32" s="77" t="str">
        <f>IF(Main[[#This Row],[Tech Start Date]]&lt;1/1/1990,"",IF(Main[[#This Row],[Class]]="C",WORKDAY(Main[[#This Row],[Tech Start Date]],9),IF(Main[[#This Row],[Class]]="B", WORKDAY(Main[[#This Row],[Tech Start Date]],6),IF(Main[[#This Row],[Class]]="A",WORKDAY(Main[[#This Row],[Tech Start Date]],2),""))))</f>
        <v/>
      </c>
      <c r="N32" s="77" t="str">
        <f>IF(Main[[#This Row],[Tech Start Date]]&lt;1/1/1990,"",IF(Main[[#This Row],[Class]]="C",WORKDAY(Main[[#This Row],[Tech Start Date]],19),IF(Main[[#This Row],[Class]]="B", WORKDAY(Main[[#This Row],[Tech Start Date]],12),IF(Main[[#This Row],[Class]]="A",WORKDAY(Main[[#This Row],[Tech Start Date]],4),""))))</f>
        <v/>
      </c>
      <c r="O32" s="77" t="str">
        <f>IF(Main[[#This Row],[Tech Start Date]]&lt;1/1/1990,"",IF(Main[[#This Row],[Class]]="C",WORKDAY(Main[[#This Row],[Tech Start Date]],23),IF(Main[[#This Row],[Class]]="B", WORKDAY(Main[[#This Row],[Tech Start Date]],15),IF(Main[[#This Row],[Class]]="A",WORKDAY(Main[[#This Row],[Tech Start Date]],5),""))))</f>
        <v/>
      </c>
      <c r="P32" s="77" t="str">
        <f>IF(Main[[#This Row],[Tech Start Date]]&lt;1/1/1990,"",IF(Main[[#This Row],[Class]]="C",WORKDAY(Main[[#This Row],[Tech Start Date]],28),IF(Main[[#This Row],[Class]]="B", WORKDAY(Main[[#This Row],[Tech Start Date]],19),IF(Main[[#This Row],[Class]]="A",WORKDAY(Main[[#This Row],[Tech Start Date]],9),""))))</f>
        <v/>
      </c>
      <c r="Q32" s="74"/>
      <c r="R32" s="74"/>
      <c r="S32" s="72" t="s">
        <v>11</v>
      </c>
      <c r="T32" s="80" t="s">
        <v>3781</v>
      </c>
      <c r="U32" s="72" t="s">
        <v>7</v>
      </c>
      <c r="V32" s="72" t="s">
        <v>1933</v>
      </c>
      <c r="W32" s="72" t="s">
        <v>1937</v>
      </c>
      <c r="X32" s="72" t="s">
        <v>2966</v>
      </c>
      <c r="Y32" s="72" t="s">
        <v>3116</v>
      </c>
      <c r="Z32" s="72" t="s">
        <v>4</v>
      </c>
      <c r="AA32" s="147" t="s">
        <v>2966</v>
      </c>
      <c r="AH32" s="55"/>
    </row>
    <row r="33" spans="1:32" ht="18.600000000000001" customHeight="1">
      <c r="A33" s="140">
        <f>IF(priority(Main[[#This Row],[Comments]])&lt;&gt;0, priority(Main[[#This Row],[Comments]]),"")</f>
        <v>8</v>
      </c>
      <c r="B33" s="90" t="s">
        <v>2037</v>
      </c>
      <c r="C33" s="72" t="s">
        <v>2014</v>
      </c>
      <c r="D33" s="73" t="s">
        <v>3604</v>
      </c>
      <c r="E33" s="74">
        <v>40744.420902777776</v>
      </c>
      <c r="F33" s="74">
        <v>41047</v>
      </c>
      <c r="G33" s="75">
        <f>IF(stdProdLT(Main[[#This Row],[Comments]])=0.1,"N/A",IF(stdProdLT(Main[[#This Row],[Comments]])=0,"",stdProdLT(Main[[#This Row],[Comments]])))</f>
        <v>168</v>
      </c>
      <c r="H33" s="76">
        <f>IF(AND(Main[[#This Row],[In Stock Date]]&lt;&gt;"",Main[[#This Row],[Revised Due Date]]&lt;&gt;""),Main[[#This Row],[In Stock Date]]-Main[[#This Row],[Revised Due Date]],"")</f>
        <v>101</v>
      </c>
      <c r="I33" s="72" t="s">
        <v>775</v>
      </c>
      <c r="J33" s="72" t="s">
        <v>52</v>
      </c>
      <c r="K33" s="72" t="s">
        <v>1945</v>
      </c>
      <c r="L33" s="74">
        <v>40758</v>
      </c>
      <c r="M33" s="77">
        <f>IF(Main[[#This Row],[Tech Start Date]]&lt;1/1/1990,"",IF(Main[[#This Row],[Class]]="C",WORKDAY(Main[[#This Row],[Tech Start Date]],9),IF(Main[[#This Row],[Class]]="B", WORKDAY(Main[[#This Row],[Tech Start Date]],6),IF(Main[[#This Row],[Class]]="A",WORKDAY(Main[[#This Row],[Tech Start Date]],2),""))))</f>
        <v>40771</v>
      </c>
      <c r="N33" s="77">
        <f>IF(Main[[#This Row],[Tech Start Date]]&lt;1/1/1990,"",IF(Main[[#This Row],[Class]]="C",WORKDAY(Main[[#This Row],[Tech Start Date]],19),IF(Main[[#This Row],[Class]]="B", WORKDAY(Main[[#This Row],[Tech Start Date]],12),IF(Main[[#This Row],[Class]]="A",WORKDAY(Main[[#This Row],[Tech Start Date]],4),""))))</f>
        <v>40785</v>
      </c>
      <c r="O33" s="77">
        <f>IF(Main[[#This Row],[Tech Start Date]]&lt;1/1/1990,"",IF(Main[[#This Row],[Class]]="C",WORKDAY(Main[[#This Row],[Tech Start Date]],23),IF(Main[[#This Row],[Class]]="B", WORKDAY(Main[[#This Row],[Tech Start Date]],15),IF(Main[[#This Row],[Class]]="A",WORKDAY(Main[[#This Row],[Tech Start Date]],5),""))))</f>
        <v>40791</v>
      </c>
      <c r="P33" s="77">
        <f>IF(Main[[#This Row],[Tech Start Date]]&lt;1/1/1990,"",IF(Main[[#This Row],[Class]]="C",WORKDAY(Main[[#This Row],[Tech Start Date]],28),IF(Main[[#This Row],[Class]]="B", WORKDAY(Main[[#This Row],[Tech Start Date]],19),IF(Main[[#This Row],[Class]]="A",WORKDAY(Main[[#This Row],[Tech Start Date]],9),""))))</f>
        <v>40798</v>
      </c>
      <c r="Q33" s="74">
        <v>40922</v>
      </c>
      <c r="R33" s="74">
        <v>40946</v>
      </c>
      <c r="S33" s="72" t="s">
        <v>11</v>
      </c>
      <c r="T33" s="80" t="s">
        <v>3475</v>
      </c>
      <c r="U33" s="72" t="s">
        <v>29</v>
      </c>
      <c r="V33" s="72" t="s">
        <v>1935</v>
      </c>
      <c r="W33" s="72" t="s">
        <v>1940</v>
      </c>
      <c r="X33" s="72" t="s">
        <v>3013</v>
      </c>
      <c r="Y33" s="72" t="s">
        <v>3251</v>
      </c>
      <c r="Z33" s="72" t="s">
        <v>535</v>
      </c>
      <c r="AA33" s="147" t="s">
        <v>3013</v>
      </c>
    </row>
    <row r="34" spans="1:32" ht="18.600000000000001" customHeight="1">
      <c r="A34" s="140">
        <f>IF(priority(Main[[#This Row],[Comments]])&lt;&gt;0, priority(Main[[#This Row],[Comments]]),"")</f>
        <v>8</v>
      </c>
      <c r="B34" s="90" t="s">
        <v>3302</v>
      </c>
      <c r="C34" s="72" t="s">
        <v>3303</v>
      </c>
      <c r="D34" s="73" t="s">
        <v>3594</v>
      </c>
      <c r="E34" s="74">
        <v>40920.45616898148</v>
      </c>
      <c r="F34" s="74">
        <v>41105</v>
      </c>
      <c r="G34" s="75">
        <f>IF(stdProdLT(Main[[#This Row],[Comments]])=0.1,"N/A",IF(stdProdLT(Main[[#This Row],[Comments]])=0,"",stdProdLT(Main[[#This Row],[Comments]])))</f>
        <v>126</v>
      </c>
      <c r="H34" s="76">
        <f>IF(AND(Main[[#This Row],[In Stock Date]]&lt;&gt;"",Main[[#This Row],[Revised Due Date]]&lt;&gt;""),Main[[#This Row],[In Stock Date]]-Main[[#This Row],[Revised Due Date]],"")</f>
        <v>146</v>
      </c>
      <c r="I34" s="72" t="s">
        <v>923</v>
      </c>
      <c r="J34" s="72" t="s">
        <v>52</v>
      </c>
      <c r="K34" s="81" t="s">
        <v>1939</v>
      </c>
      <c r="L34" s="74">
        <v>40924</v>
      </c>
      <c r="M34" s="77">
        <f>IF(Main[[#This Row],[Tech Start Date]]&lt;1/1/1990,"",IF(Main[[#This Row],[Class]]="C",WORKDAY(Main[[#This Row],[Tech Start Date]],9),IF(Main[[#This Row],[Class]]="B", WORKDAY(Main[[#This Row],[Tech Start Date]],6),IF(Main[[#This Row],[Class]]="A",WORKDAY(Main[[#This Row],[Tech Start Date]],2),""))))</f>
        <v>40932</v>
      </c>
      <c r="N34" s="77">
        <f>IF(Main[[#This Row],[Tech Start Date]]&lt;1/1/1990,"",IF(Main[[#This Row],[Class]]="C",WORKDAY(Main[[#This Row],[Tech Start Date]],19),IF(Main[[#This Row],[Class]]="B", WORKDAY(Main[[#This Row],[Tech Start Date]],12),IF(Main[[#This Row],[Class]]="A",WORKDAY(Main[[#This Row],[Tech Start Date]],4),""))))</f>
        <v>40940</v>
      </c>
      <c r="O34" s="77">
        <f>IF(Main[[#This Row],[Tech Start Date]]&lt;1/1/1990,"",IF(Main[[#This Row],[Class]]="C",WORKDAY(Main[[#This Row],[Tech Start Date]],23),IF(Main[[#This Row],[Class]]="B", WORKDAY(Main[[#This Row],[Tech Start Date]],15),IF(Main[[#This Row],[Class]]="A",WORKDAY(Main[[#This Row],[Tech Start Date]],5),""))))</f>
        <v>40945</v>
      </c>
      <c r="P34" s="77">
        <f>IF(Main[[#This Row],[Tech Start Date]]&lt;1/1/1990,"",IF(Main[[#This Row],[Class]]="C",WORKDAY(Main[[#This Row],[Tech Start Date]],28),IF(Main[[#This Row],[Class]]="B", WORKDAY(Main[[#This Row],[Tech Start Date]],19),IF(Main[[#This Row],[Class]]="A",WORKDAY(Main[[#This Row],[Tech Start Date]],9),""))))</f>
        <v>40949</v>
      </c>
      <c r="Q34" s="74">
        <v>41105</v>
      </c>
      <c r="R34" s="74">
        <v>40959</v>
      </c>
      <c r="S34" s="72" t="s">
        <v>11</v>
      </c>
      <c r="T34" s="80" t="s">
        <v>3508</v>
      </c>
      <c r="U34" s="72" t="s">
        <v>29</v>
      </c>
      <c r="V34" s="72" t="s">
        <v>1932</v>
      </c>
      <c r="W34" s="72" t="s">
        <v>1938</v>
      </c>
      <c r="X34" s="72" t="s">
        <v>2943</v>
      </c>
      <c r="Y34" s="72" t="s">
        <v>3085</v>
      </c>
      <c r="Z34" s="72" t="s">
        <v>129</v>
      </c>
      <c r="AA34" s="147" t="s">
        <v>2943</v>
      </c>
      <c r="AF34" s="59"/>
    </row>
    <row r="35" spans="1:32" ht="18.600000000000001" customHeight="1">
      <c r="A35" s="140">
        <f>IF(priority(Main[[#This Row],[Comments]])&lt;&gt;0, priority(Main[[#This Row],[Comments]]),"")</f>
        <v>9</v>
      </c>
      <c r="B35" s="90" t="s">
        <v>2123</v>
      </c>
      <c r="C35" s="72" t="s">
        <v>53</v>
      </c>
      <c r="D35" s="73" t="s">
        <v>2124</v>
      </c>
      <c r="E35" s="74"/>
      <c r="F35" s="74">
        <v>40789</v>
      </c>
      <c r="G35" s="75">
        <f>IF(stdProdLT(Main[[#This Row],[Comments]])=0.1,"N/A",IF(stdProdLT(Main[[#This Row],[Comments]])=0,"",stdProdLT(Main[[#This Row],[Comments]])))</f>
        <v>42</v>
      </c>
      <c r="H35" s="76">
        <f>IF(AND(Main[[#This Row],[In Stock Date]]&lt;&gt;"",Main[[#This Row],[Revised Due Date]]&lt;&gt;""),Main[[#This Row],[In Stock Date]]-Main[[#This Row],[Revised Due Date]],"")</f>
        <v>1</v>
      </c>
      <c r="I35" s="72" t="s">
        <v>953</v>
      </c>
      <c r="J35" s="72" t="s">
        <v>28</v>
      </c>
      <c r="K35" s="72" t="s">
        <v>4</v>
      </c>
      <c r="L35" s="74"/>
      <c r="M35" s="77" t="str">
        <f>IF(Main[[#This Row],[Tech Start Date]]&lt;1/1/1990,"",IF(Main[[#This Row],[Class]]="C",WORKDAY(Main[[#This Row],[Tech Start Date]],9),IF(Main[[#This Row],[Class]]="B", WORKDAY(Main[[#This Row],[Tech Start Date]],6),IF(Main[[#This Row],[Class]]="A",WORKDAY(Main[[#This Row],[Tech Start Date]],2),""))))</f>
        <v/>
      </c>
      <c r="N35" s="77" t="str">
        <f>IF(Main[[#This Row],[Tech Start Date]]&lt;1/1/1990,"",IF(Main[[#This Row],[Class]]="C",WORKDAY(Main[[#This Row],[Tech Start Date]],19),IF(Main[[#This Row],[Class]]="B", WORKDAY(Main[[#This Row],[Tech Start Date]],12),IF(Main[[#This Row],[Class]]="A",WORKDAY(Main[[#This Row],[Tech Start Date]],4),""))))</f>
        <v/>
      </c>
      <c r="O35" s="77" t="str">
        <f>IF(Main[[#This Row],[Tech Start Date]]&lt;1/1/1990,"",IF(Main[[#This Row],[Class]]="C",WORKDAY(Main[[#This Row],[Tech Start Date]],23),IF(Main[[#This Row],[Class]]="B", WORKDAY(Main[[#This Row],[Tech Start Date]],15),IF(Main[[#This Row],[Class]]="A",WORKDAY(Main[[#This Row],[Tech Start Date]],5),""))))</f>
        <v/>
      </c>
      <c r="P35" s="77" t="str">
        <f>IF(Main[[#This Row],[Tech Start Date]]&lt;1/1/1990,"",IF(Main[[#This Row],[Class]]="C",WORKDAY(Main[[#This Row],[Tech Start Date]],28),IF(Main[[#This Row],[Class]]="B", WORKDAY(Main[[#This Row],[Tech Start Date]],19),IF(Main[[#This Row],[Class]]="A",WORKDAY(Main[[#This Row],[Tech Start Date]],9),""))))</f>
        <v/>
      </c>
      <c r="Q35" s="74"/>
      <c r="R35" s="74">
        <v>40788</v>
      </c>
      <c r="S35" s="72" t="s">
        <v>11</v>
      </c>
      <c r="T35" s="80" t="s">
        <v>2125</v>
      </c>
      <c r="U35" s="72" t="s">
        <v>14</v>
      </c>
      <c r="V35" s="72" t="s">
        <v>1933</v>
      </c>
      <c r="W35" s="72" t="s">
        <v>1934</v>
      </c>
      <c r="X35" s="72" t="s">
        <v>2906</v>
      </c>
      <c r="Y35" s="72" t="s">
        <v>3088</v>
      </c>
      <c r="Z35" s="72" t="s">
        <v>2075</v>
      </c>
      <c r="AA35" s="147" t="s">
        <v>3671</v>
      </c>
    </row>
    <row r="36" spans="1:32" ht="18.600000000000001" customHeight="1">
      <c r="A36" s="140">
        <f>IF(priority(Main[[#This Row],[Comments]])&lt;&gt;0, priority(Main[[#This Row],[Comments]]),"")</f>
        <v>9</v>
      </c>
      <c r="B36" s="90" t="s">
        <v>2826</v>
      </c>
      <c r="C36" s="72" t="s">
        <v>3283</v>
      </c>
      <c r="D36" s="73" t="s">
        <v>2827</v>
      </c>
      <c r="E36" s="74">
        <v>40911.138009259259</v>
      </c>
      <c r="F36" s="74">
        <v>41041</v>
      </c>
      <c r="G36" s="75">
        <f>IF(stdProdLT(Main[[#This Row],[Comments]])=0.1,"N/A",IF(stdProdLT(Main[[#This Row],[Comments]])=0,"",stdProdLT(Main[[#This Row],[Comments]])))</f>
        <v>140</v>
      </c>
      <c r="H36" s="76">
        <f>IF(AND(Main[[#This Row],[In Stock Date]]&lt;&gt;"",Main[[#This Row],[Revised Due Date]]&lt;&gt;""),Main[[#This Row],[In Stock Date]]-Main[[#This Row],[Revised Due Date]],"")</f>
        <v>92</v>
      </c>
      <c r="I36" s="72" t="s">
        <v>434</v>
      </c>
      <c r="J36" s="72" t="s">
        <v>70</v>
      </c>
      <c r="K36" s="72" t="s">
        <v>1939</v>
      </c>
      <c r="L36" s="74">
        <v>40913</v>
      </c>
      <c r="M36" s="77">
        <f>IF(Main[[#This Row],[Tech Start Date]]&lt;1/1/1990,"",IF(Main[[#This Row],[Class]]="C",WORKDAY(Main[[#This Row],[Tech Start Date]],9),IF(Main[[#This Row],[Class]]="B", WORKDAY(Main[[#This Row],[Tech Start Date]],6),IF(Main[[#This Row],[Class]]="A",WORKDAY(Main[[#This Row],[Tech Start Date]],2),""))))</f>
        <v>40921</v>
      </c>
      <c r="N36" s="77">
        <f>IF(Main[[#This Row],[Tech Start Date]]&lt;1/1/1990,"",IF(Main[[#This Row],[Class]]="C",WORKDAY(Main[[#This Row],[Tech Start Date]],19),IF(Main[[#This Row],[Class]]="B", WORKDAY(Main[[#This Row],[Tech Start Date]],12),IF(Main[[#This Row],[Class]]="A",WORKDAY(Main[[#This Row],[Tech Start Date]],4),""))))</f>
        <v>40931</v>
      </c>
      <c r="O36" s="77">
        <f>IF(Main[[#This Row],[Tech Start Date]]&lt;1/1/1990,"",IF(Main[[#This Row],[Class]]="C",WORKDAY(Main[[#This Row],[Tech Start Date]],23),IF(Main[[#This Row],[Class]]="B", WORKDAY(Main[[#This Row],[Tech Start Date]],15),IF(Main[[#This Row],[Class]]="A",WORKDAY(Main[[#This Row],[Tech Start Date]],5),""))))</f>
        <v>40934</v>
      </c>
      <c r="P36" s="77">
        <f>IF(Main[[#This Row],[Tech Start Date]]&lt;1/1/1990,"",IF(Main[[#This Row],[Class]]="C",WORKDAY(Main[[#This Row],[Tech Start Date]],28),IF(Main[[#This Row],[Class]]="B", WORKDAY(Main[[#This Row],[Tech Start Date]],19),IF(Main[[#This Row],[Class]]="A",WORKDAY(Main[[#This Row],[Tech Start Date]],9),""))))</f>
        <v>40940</v>
      </c>
      <c r="Q36" s="74">
        <v>40903</v>
      </c>
      <c r="R36" s="74">
        <v>40949</v>
      </c>
      <c r="S36" s="72" t="s">
        <v>11</v>
      </c>
      <c r="T36" s="80" t="s">
        <v>3498</v>
      </c>
      <c r="U36" s="72" t="s">
        <v>29</v>
      </c>
      <c r="V36" s="72" t="s">
        <v>1942</v>
      </c>
      <c r="W36" s="72" t="s">
        <v>1938</v>
      </c>
      <c r="X36" s="72" t="s">
        <v>2937</v>
      </c>
      <c r="Y36" s="72" t="s">
        <v>4</v>
      </c>
      <c r="Z36" s="72" t="s">
        <v>535</v>
      </c>
      <c r="AA36" s="147" t="s">
        <v>2937</v>
      </c>
    </row>
    <row r="37" spans="1:32" ht="18.600000000000001" customHeight="1">
      <c r="A37" s="140">
        <f>IF(priority(Main[[#This Row],[Comments]])&lt;&gt;0, priority(Main[[#This Row],[Comments]]),"")</f>
        <v>9</v>
      </c>
      <c r="B37" s="90" t="s">
        <v>3769</v>
      </c>
      <c r="C37" s="72" t="s">
        <v>2236</v>
      </c>
      <c r="D37" s="73" t="s">
        <v>3770</v>
      </c>
      <c r="E37" s="74">
        <v>40941.643043981479</v>
      </c>
      <c r="F37" s="74">
        <v>40978</v>
      </c>
      <c r="G37" s="75" t="str">
        <f>IF(stdProdLT(Main[[#This Row],[Comments]])=0.1,"N/A",IF(stdProdLT(Main[[#This Row],[Comments]])=0,"",stdProdLT(Main[[#This Row],[Comments]])))</f>
        <v/>
      </c>
      <c r="H37" s="76">
        <f>IF(AND(Main[[#This Row],[In Stock Date]]&lt;&gt;"",Main[[#This Row],[Revised Due Date]]&lt;&gt;""),Main[[#This Row],[In Stock Date]]-Main[[#This Row],[Revised Due Date]],"")</f>
        <v>24</v>
      </c>
      <c r="I37" s="72" t="s">
        <v>953</v>
      </c>
      <c r="J37" s="72" t="s">
        <v>28</v>
      </c>
      <c r="K37" s="72" t="s">
        <v>1941</v>
      </c>
      <c r="L37" s="74">
        <v>40945</v>
      </c>
      <c r="M37" s="77">
        <f>IF(Main[[#This Row],[Tech Start Date]]&lt;1/1/1990,"",IF(Main[[#This Row],[Class]]="C",WORKDAY(Main[[#This Row],[Tech Start Date]],9),IF(Main[[#This Row],[Class]]="B", WORKDAY(Main[[#This Row],[Tech Start Date]],6),IF(Main[[#This Row],[Class]]="A",WORKDAY(Main[[#This Row],[Tech Start Date]],2),""))))</f>
        <v>40947</v>
      </c>
      <c r="N37" s="77">
        <f>IF(Main[[#This Row],[Tech Start Date]]&lt;1/1/1990,"",IF(Main[[#This Row],[Class]]="C",WORKDAY(Main[[#This Row],[Tech Start Date]],19),IF(Main[[#This Row],[Class]]="B", WORKDAY(Main[[#This Row],[Tech Start Date]],12),IF(Main[[#This Row],[Class]]="A",WORKDAY(Main[[#This Row],[Tech Start Date]],4),""))))</f>
        <v>40949</v>
      </c>
      <c r="O37" s="77">
        <f>IF(Main[[#This Row],[Tech Start Date]]&lt;1/1/1990,"",IF(Main[[#This Row],[Class]]="C",WORKDAY(Main[[#This Row],[Tech Start Date]],23),IF(Main[[#This Row],[Class]]="B", WORKDAY(Main[[#This Row],[Tech Start Date]],15),IF(Main[[#This Row],[Class]]="A",WORKDAY(Main[[#This Row],[Tech Start Date]],5),""))))</f>
        <v>40952</v>
      </c>
      <c r="P37" s="77">
        <f>IF(Main[[#This Row],[Tech Start Date]]&lt;1/1/1990,"",IF(Main[[#This Row],[Class]]="C",WORKDAY(Main[[#This Row],[Tech Start Date]],28),IF(Main[[#This Row],[Class]]="B", WORKDAY(Main[[#This Row],[Tech Start Date]],19),IF(Main[[#This Row],[Class]]="A",WORKDAY(Main[[#This Row],[Tech Start Date]],9),""))))</f>
        <v>40956</v>
      </c>
      <c r="Q37" s="74">
        <v>40978</v>
      </c>
      <c r="R37" s="74">
        <v>40954</v>
      </c>
      <c r="S37" s="72" t="s">
        <v>11</v>
      </c>
      <c r="T37" s="80" t="s">
        <v>3821</v>
      </c>
      <c r="U37" s="72" t="s">
        <v>29</v>
      </c>
      <c r="V37" s="72" t="s">
        <v>1933</v>
      </c>
      <c r="W37" s="72" t="s">
        <v>1937</v>
      </c>
      <c r="X37" s="72" t="s">
        <v>2906</v>
      </c>
      <c r="Y37" s="72" t="s">
        <v>4</v>
      </c>
      <c r="Z37" s="72" t="s">
        <v>2075</v>
      </c>
      <c r="AA37" s="147" t="s">
        <v>2906</v>
      </c>
    </row>
    <row r="38" spans="1:32" ht="18.600000000000001" customHeight="1">
      <c r="A38" s="140">
        <f>IF(priority(Main[[#This Row],[Comments]])&lt;&gt;0, priority(Main[[#This Row],[Comments]]),"")</f>
        <v>9.1</v>
      </c>
      <c r="B38" s="90" t="s">
        <v>2007</v>
      </c>
      <c r="C38" s="72" t="s">
        <v>2008</v>
      </c>
      <c r="D38" s="73" t="s">
        <v>2009</v>
      </c>
      <c r="E38" s="74"/>
      <c r="F38" s="74"/>
      <c r="G38" s="75" t="str">
        <f>IF(stdProdLT(Main[[#This Row],[Comments]])=0.1,"N/A",IF(stdProdLT(Main[[#This Row],[Comments]])=0,"",stdProdLT(Main[[#This Row],[Comments]])))</f>
        <v/>
      </c>
      <c r="H38" s="76" t="str">
        <f>IF(AND(Main[[#This Row],[In Stock Date]]&lt;&gt;"",Main[[#This Row],[Revised Due Date]]&lt;&gt;""),Main[[#This Row],[In Stock Date]]-Main[[#This Row],[Revised Due Date]],"")</f>
        <v/>
      </c>
      <c r="I38" s="72" t="s">
        <v>953</v>
      </c>
      <c r="J38" s="72" t="s">
        <v>28</v>
      </c>
      <c r="K38" s="81" t="s">
        <v>4</v>
      </c>
      <c r="L38" s="74">
        <v>40745</v>
      </c>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c r="R38" s="74"/>
      <c r="S38" s="72" t="s">
        <v>11</v>
      </c>
      <c r="T38" s="80" t="s">
        <v>2010</v>
      </c>
      <c r="U38" s="72" t="s">
        <v>14</v>
      </c>
      <c r="V38" s="72" t="s">
        <v>1933</v>
      </c>
      <c r="W38" s="72" t="s">
        <v>1934</v>
      </c>
      <c r="X38" s="72" t="s">
        <v>2906</v>
      </c>
      <c r="Y38" s="72" t="s">
        <v>3088</v>
      </c>
      <c r="Z38" s="72" t="s">
        <v>3257</v>
      </c>
      <c r="AA38" s="147" t="s">
        <v>3716</v>
      </c>
    </row>
    <row r="39" spans="1:32" ht="18.600000000000001" customHeight="1">
      <c r="A39" s="140">
        <f>IF(priority(Main[[#This Row],[Comments]])&lt;&gt;0, priority(Main[[#This Row],[Comments]]),"")</f>
        <v>10</v>
      </c>
      <c r="B39" s="90" t="s">
        <v>2789</v>
      </c>
      <c r="C39" s="72" t="s">
        <v>3283</v>
      </c>
      <c r="D39" s="73" t="s">
        <v>2790</v>
      </c>
      <c r="E39" s="74">
        <v>40911.202465277776</v>
      </c>
      <c r="F39" s="74">
        <v>41041</v>
      </c>
      <c r="G39" s="75">
        <f>IF(stdProdLT(Main[[#This Row],[Comments]])=0.1,"N/A",IF(stdProdLT(Main[[#This Row],[Comments]])=0,"",stdProdLT(Main[[#This Row],[Comments]])))</f>
        <v>140</v>
      </c>
      <c r="H39" s="76">
        <f>IF(AND(Main[[#This Row],[In Stock Date]]&lt;&gt;"",Main[[#This Row],[Revised Due Date]]&lt;&gt;""),Main[[#This Row],[In Stock Date]]-Main[[#This Row],[Revised Due Date]],"")</f>
        <v>88</v>
      </c>
      <c r="I39" s="72" t="s">
        <v>434</v>
      </c>
      <c r="J39" s="72" t="s">
        <v>70</v>
      </c>
      <c r="K39" s="72" t="s">
        <v>1939</v>
      </c>
      <c r="L39" s="74">
        <v>40913</v>
      </c>
      <c r="M39" s="77">
        <f>IF(Main[[#This Row],[Tech Start Date]]&lt;1/1/1990,"",IF(Main[[#This Row],[Class]]="C",WORKDAY(Main[[#This Row],[Tech Start Date]],9),IF(Main[[#This Row],[Class]]="B", WORKDAY(Main[[#This Row],[Tech Start Date]],6),IF(Main[[#This Row],[Class]]="A",WORKDAY(Main[[#This Row],[Tech Start Date]],2),""))))</f>
        <v>40921</v>
      </c>
      <c r="N39" s="77">
        <f>IF(Main[[#This Row],[Tech Start Date]]&lt;1/1/1990,"",IF(Main[[#This Row],[Class]]="C",WORKDAY(Main[[#This Row],[Tech Start Date]],19),IF(Main[[#This Row],[Class]]="B", WORKDAY(Main[[#This Row],[Tech Start Date]],12),IF(Main[[#This Row],[Class]]="A",WORKDAY(Main[[#This Row],[Tech Start Date]],4),""))))</f>
        <v>40931</v>
      </c>
      <c r="O39" s="77">
        <f>IF(Main[[#This Row],[Tech Start Date]]&lt;1/1/1990,"",IF(Main[[#This Row],[Class]]="C",WORKDAY(Main[[#This Row],[Tech Start Date]],23),IF(Main[[#This Row],[Class]]="B", WORKDAY(Main[[#This Row],[Tech Start Date]],15),IF(Main[[#This Row],[Class]]="A",WORKDAY(Main[[#This Row],[Tech Start Date]],5),""))))</f>
        <v>40934</v>
      </c>
      <c r="P39" s="77">
        <f>IF(Main[[#This Row],[Tech Start Date]]&lt;1/1/1990,"",IF(Main[[#This Row],[Class]]="C",WORKDAY(Main[[#This Row],[Tech Start Date]],28),IF(Main[[#This Row],[Class]]="B", WORKDAY(Main[[#This Row],[Tech Start Date]],19),IF(Main[[#This Row],[Class]]="A",WORKDAY(Main[[#This Row],[Tech Start Date]],9),""))))</f>
        <v>40940</v>
      </c>
      <c r="Q39" s="74">
        <v>40903</v>
      </c>
      <c r="R39" s="74">
        <v>40953</v>
      </c>
      <c r="S39" s="72" t="s">
        <v>11</v>
      </c>
      <c r="T39" s="80" t="s">
        <v>3499</v>
      </c>
      <c r="U39" s="72" t="s">
        <v>29</v>
      </c>
      <c r="V39" s="72" t="s">
        <v>1942</v>
      </c>
      <c r="W39" s="72" t="s">
        <v>1938</v>
      </c>
      <c r="X39" s="72" t="s">
        <v>2937</v>
      </c>
      <c r="Y39" s="72" t="s">
        <v>4</v>
      </c>
      <c r="Z39" s="72" t="s">
        <v>535</v>
      </c>
      <c r="AA39" s="147" t="s">
        <v>2937</v>
      </c>
    </row>
    <row r="40" spans="1:32" ht="18.600000000000001" customHeight="1">
      <c r="A40" s="140">
        <f>IF(priority(Main[[#This Row],[Comments]])&lt;&gt;0, priority(Main[[#This Row],[Comments]]),"")</f>
        <v>10</v>
      </c>
      <c r="B40" s="90" t="s">
        <v>3767</v>
      </c>
      <c r="C40" s="72" t="s">
        <v>2236</v>
      </c>
      <c r="D40" s="73" t="s">
        <v>3768</v>
      </c>
      <c r="E40" s="74">
        <v>40941.650891203702</v>
      </c>
      <c r="F40" s="74">
        <v>40978</v>
      </c>
      <c r="G40" s="75" t="str">
        <f>IF(stdProdLT(Main[[#This Row],[Comments]])=0.1,"N/A",IF(stdProdLT(Main[[#This Row],[Comments]])=0,"",stdProdLT(Main[[#This Row],[Comments]])))</f>
        <v/>
      </c>
      <c r="H40" s="76">
        <f>IF(AND(Main[[#This Row],[In Stock Date]]&lt;&gt;"",Main[[#This Row],[Revised Due Date]]&lt;&gt;""),Main[[#This Row],[In Stock Date]]-Main[[#This Row],[Revised Due Date]],"")</f>
        <v>24</v>
      </c>
      <c r="I40" s="72" t="s">
        <v>953</v>
      </c>
      <c r="J40" s="72" t="s">
        <v>28</v>
      </c>
      <c r="K40" s="72" t="s">
        <v>1941</v>
      </c>
      <c r="L40" s="74">
        <v>40945</v>
      </c>
      <c r="M40" s="77">
        <f>IF(Main[[#This Row],[Tech Start Date]]&lt;1/1/1990,"",IF(Main[[#This Row],[Class]]="C",WORKDAY(Main[[#This Row],[Tech Start Date]],9),IF(Main[[#This Row],[Class]]="B", WORKDAY(Main[[#This Row],[Tech Start Date]],6),IF(Main[[#This Row],[Class]]="A",WORKDAY(Main[[#This Row],[Tech Start Date]],2),""))))</f>
        <v>40947</v>
      </c>
      <c r="N40" s="77">
        <f>IF(Main[[#This Row],[Tech Start Date]]&lt;1/1/1990,"",IF(Main[[#This Row],[Class]]="C",WORKDAY(Main[[#This Row],[Tech Start Date]],19),IF(Main[[#This Row],[Class]]="B", WORKDAY(Main[[#This Row],[Tech Start Date]],12),IF(Main[[#This Row],[Class]]="A",WORKDAY(Main[[#This Row],[Tech Start Date]],4),""))))</f>
        <v>40949</v>
      </c>
      <c r="O40" s="77">
        <f>IF(Main[[#This Row],[Tech Start Date]]&lt;1/1/1990,"",IF(Main[[#This Row],[Class]]="C",WORKDAY(Main[[#This Row],[Tech Start Date]],23),IF(Main[[#This Row],[Class]]="B", WORKDAY(Main[[#This Row],[Tech Start Date]],15),IF(Main[[#This Row],[Class]]="A",WORKDAY(Main[[#This Row],[Tech Start Date]],5),""))))</f>
        <v>40952</v>
      </c>
      <c r="P40" s="77">
        <f>IF(Main[[#This Row],[Tech Start Date]]&lt;1/1/1990,"",IF(Main[[#This Row],[Class]]="C",WORKDAY(Main[[#This Row],[Tech Start Date]],28),IF(Main[[#This Row],[Class]]="B", WORKDAY(Main[[#This Row],[Tech Start Date]],19),IF(Main[[#This Row],[Class]]="A",WORKDAY(Main[[#This Row],[Tech Start Date]],9),""))))</f>
        <v>40956</v>
      </c>
      <c r="Q40" s="74">
        <v>40978</v>
      </c>
      <c r="R40" s="74">
        <v>40954</v>
      </c>
      <c r="S40" s="72" t="s">
        <v>11</v>
      </c>
      <c r="T40" s="80" t="s">
        <v>3822</v>
      </c>
      <c r="U40" s="72" t="s">
        <v>29</v>
      </c>
      <c r="V40" s="72" t="s">
        <v>1933</v>
      </c>
      <c r="W40" s="72" t="s">
        <v>1937</v>
      </c>
      <c r="X40" s="72" t="s">
        <v>2906</v>
      </c>
      <c r="Y40" s="72" t="s">
        <v>4</v>
      </c>
      <c r="Z40" s="72" t="s">
        <v>2075</v>
      </c>
      <c r="AA40" s="147" t="s">
        <v>2906</v>
      </c>
    </row>
    <row r="41" spans="1:32" ht="18.600000000000001" customHeight="1">
      <c r="A41" s="140">
        <f>IF(priority(Main[[#This Row],[Comments]])&lt;&gt;0, priority(Main[[#This Row],[Comments]]),"")</f>
        <v>11</v>
      </c>
      <c r="B41" s="90" t="s">
        <v>2857</v>
      </c>
      <c r="C41" s="72" t="s">
        <v>3283</v>
      </c>
      <c r="D41" s="73" t="s">
        <v>2858</v>
      </c>
      <c r="E41" s="74">
        <v>40911.305891203701</v>
      </c>
      <c r="F41" s="74">
        <v>41041</v>
      </c>
      <c r="G41" s="75">
        <f>IF(stdProdLT(Main[[#This Row],[Comments]])=0.1,"N/A",IF(stdProdLT(Main[[#This Row],[Comments]])=0,"",stdProdLT(Main[[#This Row],[Comments]])))</f>
        <v>140</v>
      </c>
      <c r="H41" s="76">
        <f>IF(AND(Main[[#This Row],[In Stock Date]]&lt;&gt;"",Main[[#This Row],[Revised Due Date]]&lt;&gt;""),Main[[#This Row],[In Stock Date]]-Main[[#This Row],[Revised Due Date]],"")</f>
        <v>99</v>
      </c>
      <c r="I41" s="72" t="s">
        <v>81</v>
      </c>
      <c r="J41" s="72" t="s">
        <v>52</v>
      </c>
      <c r="K41" s="81" t="s">
        <v>1939</v>
      </c>
      <c r="L41" s="74">
        <v>40913</v>
      </c>
      <c r="M41" s="77">
        <f>IF(Main[[#This Row],[Tech Start Date]]&lt;1/1/1990,"",IF(Main[[#This Row],[Class]]="C",WORKDAY(Main[[#This Row],[Tech Start Date]],9),IF(Main[[#This Row],[Class]]="B", WORKDAY(Main[[#This Row],[Tech Start Date]],6),IF(Main[[#This Row],[Class]]="A",WORKDAY(Main[[#This Row],[Tech Start Date]],2),""))))</f>
        <v>40921</v>
      </c>
      <c r="N41" s="77">
        <f>IF(Main[[#This Row],[Tech Start Date]]&lt;1/1/1990,"",IF(Main[[#This Row],[Class]]="C",WORKDAY(Main[[#This Row],[Tech Start Date]],19),IF(Main[[#This Row],[Class]]="B", WORKDAY(Main[[#This Row],[Tech Start Date]],12),IF(Main[[#This Row],[Class]]="A",WORKDAY(Main[[#This Row],[Tech Start Date]],4),""))))</f>
        <v>40931</v>
      </c>
      <c r="O41" s="77">
        <f>IF(Main[[#This Row],[Tech Start Date]]&lt;1/1/1990,"",IF(Main[[#This Row],[Class]]="C",WORKDAY(Main[[#This Row],[Tech Start Date]],23),IF(Main[[#This Row],[Class]]="B", WORKDAY(Main[[#This Row],[Tech Start Date]],15),IF(Main[[#This Row],[Class]]="A",WORKDAY(Main[[#This Row],[Tech Start Date]],5),""))))</f>
        <v>40934</v>
      </c>
      <c r="P41" s="77">
        <f>IF(Main[[#This Row],[Tech Start Date]]&lt;1/1/1990,"",IF(Main[[#This Row],[Class]]="C",WORKDAY(Main[[#This Row],[Tech Start Date]],28),IF(Main[[#This Row],[Class]]="B", WORKDAY(Main[[#This Row],[Tech Start Date]],19),IF(Main[[#This Row],[Class]]="A",WORKDAY(Main[[#This Row],[Tech Start Date]],9),""))))</f>
        <v>40940</v>
      </c>
      <c r="Q41" s="74">
        <v>40903</v>
      </c>
      <c r="R41" s="74">
        <v>40942</v>
      </c>
      <c r="S41" s="72" t="s">
        <v>11</v>
      </c>
      <c r="T41" s="80" t="s">
        <v>3500</v>
      </c>
      <c r="U41" s="72" t="s">
        <v>29</v>
      </c>
      <c r="V41" s="72" t="s">
        <v>1942</v>
      </c>
      <c r="W41" s="72" t="s">
        <v>1938</v>
      </c>
      <c r="X41" s="72" t="s">
        <v>2937</v>
      </c>
      <c r="Y41" s="72" t="s">
        <v>4</v>
      </c>
      <c r="Z41" s="72" t="s">
        <v>775</v>
      </c>
      <c r="AA41" s="147" t="s">
        <v>2937</v>
      </c>
    </row>
    <row r="42" spans="1:32" ht="18.600000000000001" customHeight="1">
      <c r="A42" s="140">
        <f>IF(priority(Main[[#This Row],[Comments]])&lt;&gt;0, priority(Main[[#This Row],[Comments]]),"")</f>
        <v>11</v>
      </c>
      <c r="B42" s="90" t="s">
        <v>3271</v>
      </c>
      <c r="C42" s="72" t="s">
        <v>3368</v>
      </c>
      <c r="D42" s="73" t="s">
        <v>3349</v>
      </c>
      <c r="E42" s="74">
        <v>40919.092164351852</v>
      </c>
      <c r="F42" s="74">
        <v>41122</v>
      </c>
      <c r="G42" s="75">
        <f>IF(stdProdLT(Main[[#This Row],[Comments]])=0.1,"N/A",IF(stdProdLT(Main[[#This Row],[Comments]])=0,"",stdProdLT(Main[[#This Row],[Comments]])))</f>
        <v>126</v>
      </c>
      <c r="H42" s="76">
        <f>IF(AND(Main[[#This Row],[In Stock Date]]&lt;&gt;"",Main[[#This Row],[Revised Due Date]]&lt;&gt;""),Main[[#This Row],[In Stock Date]]-Main[[#This Row],[Revised Due Date]],"")</f>
        <v>169</v>
      </c>
      <c r="I42" s="72" t="s">
        <v>923</v>
      </c>
      <c r="J42" s="72" t="s">
        <v>52</v>
      </c>
      <c r="K42" s="72" t="s">
        <v>1939</v>
      </c>
      <c r="L42" s="74">
        <v>40918</v>
      </c>
      <c r="M42" s="77">
        <f>IF(Main[[#This Row],[Tech Start Date]]&lt;1/1/1990,"",IF(Main[[#This Row],[Class]]="C",WORKDAY(Main[[#This Row],[Tech Start Date]],9),IF(Main[[#This Row],[Class]]="B", WORKDAY(Main[[#This Row],[Tech Start Date]],6),IF(Main[[#This Row],[Class]]="A",WORKDAY(Main[[#This Row],[Tech Start Date]],2),""))))</f>
        <v>40926</v>
      </c>
      <c r="N42" s="77">
        <f>IF(Main[[#This Row],[Tech Start Date]]&lt;1/1/1990,"",IF(Main[[#This Row],[Class]]="C",WORKDAY(Main[[#This Row],[Tech Start Date]],19),IF(Main[[#This Row],[Class]]="B", WORKDAY(Main[[#This Row],[Tech Start Date]],12),IF(Main[[#This Row],[Class]]="A",WORKDAY(Main[[#This Row],[Tech Start Date]],4),""))))</f>
        <v>40934</v>
      </c>
      <c r="O42" s="77">
        <f>IF(Main[[#This Row],[Tech Start Date]]&lt;1/1/1990,"",IF(Main[[#This Row],[Class]]="C",WORKDAY(Main[[#This Row],[Tech Start Date]],23),IF(Main[[#This Row],[Class]]="B", WORKDAY(Main[[#This Row],[Tech Start Date]],15),IF(Main[[#This Row],[Class]]="A",WORKDAY(Main[[#This Row],[Tech Start Date]],5),""))))</f>
        <v>40939</v>
      </c>
      <c r="P42" s="77">
        <f>IF(Main[[#This Row],[Tech Start Date]]&lt;1/1/1990,"",IF(Main[[#This Row],[Class]]="C",WORKDAY(Main[[#This Row],[Tech Start Date]],28),IF(Main[[#This Row],[Class]]="B", WORKDAY(Main[[#This Row],[Tech Start Date]],19),IF(Main[[#This Row],[Class]]="A",WORKDAY(Main[[#This Row],[Tech Start Date]],9),""))))</f>
        <v>40945</v>
      </c>
      <c r="Q42" s="74">
        <v>40954</v>
      </c>
      <c r="R42" s="74">
        <v>40953</v>
      </c>
      <c r="S42" s="72" t="s">
        <v>11</v>
      </c>
      <c r="T42" s="80" t="s">
        <v>3502</v>
      </c>
      <c r="U42" s="72" t="s">
        <v>29</v>
      </c>
      <c r="V42" s="72" t="s">
        <v>1932</v>
      </c>
      <c r="W42" s="72" t="s">
        <v>1938</v>
      </c>
      <c r="X42" s="72" t="s">
        <v>2939</v>
      </c>
      <c r="Y42" s="72" t="s">
        <v>3074</v>
      </c>
      <c r="Z42" s="72" t="s">
        <v>129</v>
      </c>
      <c r="AA42" s="147" t="s">
        <v>2939</v>
      </c>
    </row>
    <row r="43" spans="1:32" ht="18.600000000000001" customHeight="1">
      <c r="A43" s="140">
        <f>IF(priority(Main[[#This Row],[Comments]])&lt;&gt;0, priority(Main[[#This Row],[Comments]]),"")</f>
        <v>11</v>
      </c>
      <c r="B43" s="90" t="s">
        <v>3763</v>
      </c>
      <c r="C43" s="72" t="s">
        <v>2236</v>
      </c>
      <c r="D43" s="73" t="s">
        <v>3764</v>
      </c>
      <c r="E43" s="74">
        <v>40941.646319444444</v>
      </c>
      <c r="F43" s="74">
        <v>40978</v>
      </c>
      <c r="G43" s="75" t="str">
        <f>IF(stdProdLT(Main[[#This Row],[Comments]])=0.1,"N/A",IF(stdProdLT(Main[[#This Row],[Comments]])=0,"",stdProdLT(Main[[#This Row],[Comments]])))</f>
        <v/>
      </c>
      <c r="H43" s="76">
        <f>IF(AND(Main[[#This Row],[In Stock Date]]&lt;&gt;"",Main[[#This Row],[Revised Due Date]]&lt;&gt;""),Main[[#This Row],[In Stock Date]]-Main[[#This Row],[Revised Due Date]],"")</f>
        <v>24</v>
      </c>
      <c r="I43" s="72" t="s">
        <v>953</v>
      </c>
      <c r="J43" s="72" t="s">
        <v>28</v>
      </c>
      <c r="K43" s="72" t="s">
        <v>1941</v>
      </c>
      <c r="L43" s="74">
        <v>40945</v>
      </c>
      <c r="M43" s="77">
        <f>IF(Main[[#This Row],[Tech Start Date]]&lt;1/1/1990,"",IF(Main[[#This Row],[Class]]="C",WORKDAY(Main[[#This Row],[Tech Start Date]],9),IF(Main[[#This Row],[Class]]="B", WORKDAY(Main[[#This Row],[Tech Start Date]],6),IF(Main[[#This Row],[Class]]="A",WORKDAY(Main[[#This Row],[Tech Start Date]],2),""))))</f>
        <v>40947</v>
      </c>
      <c r="N43" s="77">
        <f>IF(Main[[#This Row],[Tech Start Date]]&lt;1/1/1990,"",IF(Main[[#This Row],[Class]]="C",WORKDAY(Main[[#This Row],[Tech Start Date]],19),IF(Main[[#This Row],[Class]]="B", WORKDAY(Main[[#This Row],[Tech Start Date]],12),IF(Main[[#This Row],[Class]]="A",WORKDAY(Main[[#This Row],[Tech Start Date]],4),""))))</f>
        <v>40949</v>
      </c>
      <c r="O43" s="77">
        <f>IF(Main[[#This Row],[Tech Start Date]]&lt;1/1/1990,"",IF(Main[[#This Row],[Class]]="C",WORKDAY(Main[[#This Row],[Tech Start Date]],23),IF(Main[[#This Row],[Class]]="B", WORKDAY(Main[[#This Row],[Tech Start Date]],15),IF(Main[[#This Row],[Class]]="A",WORKDAY(Main[[#This Row],[Tech Start Date]],5),""))))</f>
        <v>40952</v>
      </c>
      <c r="P43" s="77">
        <f>IF(Main[[#This Row],[Tech Start Date]]&lt;1/1/1990,"",IF(Main[[#This Row],[Class]]="C",WORKDAY(Main[[#This Row],[Tech Start Date]],28),IF(Main[[#This Row],[Class]]="B", WORKDAY(Main[[#This Row],[Tech Start Date]],19),IF(Main[[#This Row],[Class]]="A",WORKDAY(Main[[#This Row],[Tech Start Date]],9),""))))</f>
        <v>40956</v>
      </c>
      <c r="Q43" s="74">
        <v>40978</v>
      </c>
      <c r="R43" s="74">
        <v>40954</v>
      </c>
      <c r="S43" s="72" t="s">
        <v>11</v>
      </c>
      <c r="T43" s="80" t="s">
        <v>3817</v>
      </c>
      <c r="U43" s="72" t="s">
        <v>29</v>
      </c>
      <c r="V43" s="72" t="s">
        <v>1933</v>
      </c>
      <c r="W43" s="72" t="s">
        <v>1937</v>
      </c>
      <c r="X43" s="72" t="s">
        <v>2906</v>
      </c>
      <c r="Y43" s="72" t="s">
        <v>4</v>
      </c>
      <c r="Z43" s="72" t="s">
        <v>2075</v>
      </c>
      <c r="AA43" s="147" t="s">
        <v>2906</v>
      </c>
    </row>
    <row r="44" spans="1:32" ht="18.600000000000001" customHeight="1">
      <c r="A44" s="140">
        <f>IF(priority(Main[[#This Row],[Comments]])&lt;&gt;0, priority(Main[[#This Row],[Comments]]),"")</f>
        <v>12</v>
      </c>
      <c r="B44" s="90" t="s">
        <v>2852</v>
      </c>
      <c r="C44" s="72" t="s">
        <v>2853</v>
      </c>
      <c r="D44" s="73" t="s">
        <v>3441</v>
      </c>
      <c r="E44" s="74"/>
      <c r="F44" s="74"/>
      <c r="G44" s="75" t="str">
        <f>IF(stdProdLT(Main[[#This Row],[Comments]])=0.1,"N/A",IF(stdProdLT(Main[[#This Row],[Comments]])=0,"",stdProdLT(Main[[#This Row],[Comments]])))</f>
        <v>N/A</v>
      </c>
      <c r="H44" s="76" t="str">
        <f>IF(AND(Main[[#This Row],[In Stock Date]]&lt;&gt;"",Main[[#This Row],[Revised Due Date]]&lt;&gt;""),Main[[#This Row],[In Stock Date]]-Main[[#This Row],[Revised Due Date]],"")</f>
        <v/>
      </c>
      <c r="I44" s="72" t="s">
        <v>4</v>
      </c>
      <c r="J44" s="72" t="s">
        <v>4</v>
      </c>
      <c r="K44" s="72" t="s">
        <v>4</v>
      </c>
      <c r="L44" s="74"/>
      <c r="M44" s="77" t="str">
        <f>IF(Main[[#This Row],[Tech Start Date]]&lt;1/1/1990,"",IF(Main[[#This Row],[Class]]="C",WORKDAY(Main[[#This Row],[Tech Start Date]],9),IF(Main[[#This Row],[Class]]="B", WORKDAY(Main[[#This Row],[Tech Start Date]],6),IF(Main[[#This Row],[Class]]="A",WORKDAY(Main[[#This Row],[Tech Start Date]],2),""))))</f>
        <v/>
      </c>
      <c r="N44" s="77" t="str">
        <f>IF(Main[[#This Row],[Tech Start Date]]&lt;1/1/1990,"",IF(Main[[#This Row],[Class]]="C",WORKDAY(Main[[#This Row],[Tech Start Date]],19),IF(Main[[#This Row],[Class]]="B", WORKDAY(Main[[#This Row],[Tech Start Date]],12),IF(Main[[#This Row],[Class]]="A",WORKDAY(Main[[#This Row],[Tech Start Date]],4),""))))</f>
        <v/>
      </c>
      <c r="O44" s="77" t="str">
        <f>IF(Main[[#This Row],[Tech Start Date]]&lt;1/1/1990,"",IF(Main[[#This Row],[Class]]="C",WORKDAY(Main[[#This Row],[Tech Start Date]],23),IF(Main[[#This Row],[Class]]="B", WORKDAY(Main[[#This Row],[Tech Start Date]],15),IF(Main[[#This Row],[Class]]="A",WORKDAY(Main[[#This Row],[Tech Start Date]],5),""))))</f>
        <v/>
      </c>
      <c r="P44" s="77" t="str">
        <f>IF(Main[[#This Row],[Tech Start Date]]&lt;1/1/1990,"",IF(Main[[#This Row],[Class]]="C",WORKDAY(Main[[#This Row],[Tech Start Date]],28),IF(Main[[#This Row],[Class]]="B", WORKDAY(Main[[#This Row],[Tech Start Date]],19),IF(Main[[#This Row],[Class]]="A",WORKDAY(Main[[#This Row],[Tech Start Date]],9),""))))</f>
        <v/>
      </c>
      <c r="Q44" s="74">
        <v>40903</v>
      </c>
      <c r="R44" s="74"/>
      <c r="S44" s="72" t="s">
        <v>11</v>
      </c>
      <c r="T44" s="80" t="s">
        <v>3442</v>
      </c>
      <c r="U44" s="72" t="s">
        <v>14</v>
      </c>
      <c r="V44" s="72" t="s">
        <v>1933</v>
      </c>
      <c r="W44" s="72" t="s">
        <v>1934</v>
      </c>
      <c r="X44" s="72" t="s">
        <v>2906</v>
      </c>
      <c r="Y44" s="72" t="s">
        <v>4</v>
      </c>
      <c r="Z44" s="72" t="s">
        <v>4</v>
      </c>
      <c r="AA44" s="147" t="s">
        <v>2906</v>
      </c>
    </row>
    <row r="45" spans="1:32" ht="18.600000000000001" customHeight="1">
      <c r="A45" s="140">
        <f>IF(priority(Main[[#This Row],[Comments]])&lt;&gt;0, priority(Main[[#This Row],[Comments]]),"")</f>
        <v>12</v>
      </c>
      <c r="B45" s="90" t="s">
        <v>3269</v>
      </c>
      <c r="C45" s="72" t="s">
        <v>3379</v>
      </c>
      <c r="D45" s="73" t="s">
        <v>3351</v>
      </c>
      <c r="E45" s="74">
        <v>40919.068414351852</v>
      </c>
      <c r="F45" s="74">
        <v>41122</v>
      </c>
      <c r="G45" s="75">
        <f>IF(stdProdLT(Main[[#This Row],[Comments]])=0.1,"N/A",IF(stdProdLT(Main[[#This Row],[Comments]])=0,"",stdProdLT(Main[[#This Row],[Comments]])))</f>
        <v>126</v>
      </c>
      <c r="H45" s="76">
        <f>IF(AND(Main[[#This Row],[In Stock Date]]&lt;&gt;"",Main[[#This Row],[Revised Due Date]]&lt;&gt;""),Main[[#This Row],[In Stock Date]]-Main[[#This Row],[Revised Due Date]],"")</f>
        <v>169</v>
      </c>
      <c r="I45" s="72" t="s">
        <v>923</v>
      </c>
      <c r="J45" s="72" t="s">
        <v>52</v>
      </c>
      <c r="K45" s="72" t="s">
        <v>1939</v>
      </c>
      <c r="L45" s="74">
        <v>40918</v>
      </c>
      <c r="M45" s="77">
        <f>IF(Main[[#This Row],[Tech Start Date]]&lt;1/1/1990,"",IF(Main[[#This Row],[Class]]="C",WORKDAY(Main[[#This Row],[Tech Start Date]],9),IF(Main[[#This Row],[Class]]="B", WORKDAY(Main[[#This Row],[Tech Start Date]],6),IF(Main[[#This Row],[Class]]="A",WORKDAY(Main[[#This Row],[Tech Start Date]],2),""))))</f>
        <v>40926</v>
      </c>
      <c r="N45" s="77">
        <f>IF(Main[[#This Row],[Tech Start Date]]&lt;1/1/1990,"",IF(Main[[#This Row],[Class]]="C",WORKDAY(Main[[#This Row],[Tech Start Date]],19),IF(Main[[#This Row],[Class]]="B", WORKDAY(Main[[#This Row],[Tech Start Date]],12),IF(Main[[#This Row],[Class]]="A",WORKDAY(Main[[#This Row],[Tech Start Date]],4),""))))</f>
        <v>40934</v>
      </c>
      <c r="O45" s="77">
        <f>IF(Main[[#This Row],[Tech Start Date]]&lt;1/1/1990,"",IF(Main[[#This Row],[Class]]="C",WORKDAY(Main[[#This Row],[Tech Start Date]],23),IF(Main[[#This Row],[Class]]="B", WORKDAY(Main[[#This Row],[Tech Start Date]],15),IF(Main[[#This Row],[Class]]="A",WORKDAY(Main[[#This Row],[Tech Start Date]],5),""))))</f>
        <v>40939</v>
      </c>
      <c r="P45" s="77">
        <f>IF(Main[[#This Row],[Tech Start Date]]&lt;1/1/1990,"",IF(Main[[#This Row],[Class]]="C",WORKDAY(Main[[#This Row],[Tech Start Date]],28),IF(Main[[#This Row],[Class]]="B", WORKDAY(Main[[#This Row],[Tech Start Date]],19),IF(Main[[#This Row],[Class]]="A",WORKDAY(Main[[#This Row],[Tech Start Date]],9),""))))</f>
        <v>40945</v>
      </c>
      <c r="Q45" s="74">
        <v>40954</v>
      </c>
      <c r="R45" s="74">
        <v>40953</v>
      </c>
      <c r="S45" s="72" t="s">
        <v>11</v>
      </c>
      <c r="T45" s="80" t="s">
        <v>3503</v>
      </c>
      <c r="U45" s="72" t="s">
        <v>29</v>
      </c>
      <c r="V45" s="72" t="s">
        <v>1932</v>
      </c>
      <c r="W45" s="72" t="s">
        <v>1938</v>
      </c>
      <c r="X45" s="72" t="s">
        <v>2939</v>
      </c>
      <c r="Y45" s="72" t="s">
        <v>3074</v>
      </c>
      <c r="Z45" s="72" t="s">
        <v>129</v>
      </c>
      <c r="AA45" s="147" t="s">
        <v>2939</v>
      </c>
    </row>
    <row r="46" spans="1:32" ht="18.600000000000001" customHeight="1">
      <c r="A46" s="140">
        <f>IF(priority(Main[[#This Row],[Comments]])&lt;&gt;0, priority(Main[[#This Row],[Comments]]),"")</f>
        <v>12</v>
      </c>
      <c r="B46" s="90" t="s">
        <v>3375</v>
      </c>
      <c r="C46" s="72" t="s">
        <v>31</v>
      </c>
      <c r="D46" s="73" t="s">
        <v>3376</v>
      </c>
      <c r="E46" s="74">
        <v>40928.305879629632</v>
      </c>
      <c r="F46" s="74">
        <v>41061</v>
      </c>
      <c r="G46" s="75">
        <f>IF(stdProdLT(Main[[#This Row],[Comments]])=0.1,"N/A",IF(stdProdLT(Main[[#This Row],[Comments]])=0,"",stdProdLT(Main[[#This Row],[Comments]])))</f>
        <v>140</v>
      </c>
      <c r="H46" s="76">
        <f>IF(AND(Main[[#This Row],[In Stock Date]]&lt;&gt;"",Main[[#This Row],[Revised Due Date]]&lt;&gt;""),Main[[#This Row],[In Stock Date]]-Main[[#This Row],[Revised Due Date]],"")</f>
        <v>94</v>
      </c>
      <c r="I46" s="72" t="s">
        <v>775</v>
      </c>
      <c r="J46" s="72" t="s">
        <v>21</v>
      </c>
      <c r="K46" s="72" t="s">
        <v>1939</v>
      </c>
      <c r="L46" s="74">
        <v>40932</v>
      </c>
      <c r="M46" s="77">
        <f>IF(Main[[#This Row],[Tech Start Date]]&lt;1/1/1990,"",IF(Main[[#This Row],[Class]]="C",WORKDAY(Main[[#This Row],[Tech Start Date]],9),IF(Main[[#This Row],[Class]]="B", WORKDAY(Main[[#This Row],[Tech Start Date]],6),IF(Main[[#This Row],[Class]]="A",WORKDAY(Main[[#This Row],[Tech Start Date]],2),""))))</f>
        <v>40940</v>
      </c>
      <c r="N46" s="77">
        <f>IF(Main[[#This Row],[Tech Start Date]]&lt;1/1/1990,"",IF(Main[[#This Row],[Class]]="C",WORKDAY(Main[[#This Row],[Tech Start Date]],19),IF(Main[[#This Row],[Class]]="B", WORKDAY(Main[[#This Row],[Tech Start Date]],12),IF(Main[[#This Row],[Class]]="A",WORKDAY(Main[[#This Row],[Tech Start Date]],4),""))))</f>
        <v>40948</v>
      </c>
      <c r="O46" s="77">
        <f>IF(Main[[#This Row],[Tech Start Date]]&lt;1/1/1990,"",IF(Main[[#This Row],[Class]]="C",WORKDAY(Main[[#This Row],[Tech Start Date]],23),IF(Main[[#This Row],[Class]]="B", WORKDAY(Main[[#This Row],[Tech Start Date]],15),IF(Main[[#This Row],[Class]]="A",WORKDAY(Main[[#This Row],[Tech Start Date]],5),""))))</f>
        <v>40953</v>
      </c>
      <c r="P46" s="77">
        <f>IF(Main[[#This Row],[Tech Start Date]]&lt;1/1/1990,"",IF(Main[[#This Row],[Class]]="C",WORKDAY(Main[[#This Row],[Tech Start Date]],28),IF(Main[[#This Row],[Class]]="B", WORKDAY(Main[[#This Row],[Tech Start Date]],19),IF(Main[[#This Row],[Class]]="A",WORKDAY(Main[[#This Row],[Tech Start Date]],9),""))))</f>
        <v>40959</v>
      </c>
      <c r="Q46" s="74">
        <v>40922</v>
      </c>
      <c r="R46" s="74">
        <v>40967</v>
      </c>
      <c r="S46" s="72" t="s">
        <v>11</v>
      </c>
      <c r="T46" s="80" t="s">
        <v>3519</v>
      </c>
      <c r="U46" s="72" t="s">
        <v>29</v>
      </c>
      <c r="V46" s="72" t="s">
        <v>1942</v>
      </c>
      <c r="W46" s="72" t="s">
        <v>1938</v>
      </c>
      <c r="X46" s="72" t="s">
        <v>2937</v>
      </c>
      <c r="Y46" s="72" t="s">
        <v>3377</v>
      </c>
      <c r="Z46" s="72" t="s">
        <v>535</v>
      </c>
      <c r="AA46" s="147" t="s">
        <v>2937</v>
      </c>
    </row>
    <row r="47" spans="1:32" ht="18.600000000000001" customHeight="1">
      <c r="A47" s="140">
        <f>IF(priority(Main[[#This Row],[Comments]])&lt;&gt;0, priority(Main[[#This Row],[Comments]]),"")</f>
        <v>12</v>
      </c>
      <c r="B47" s="90" t="s">
        <v>3742</v>
      </c>
      <c r="C47" s="72" t="s">
        <v>2236</v>
      </c>
      <c r="D47" s="73" t="s">
        <v>3743</v>
      </c>
      <c r="E47" s="74">
        <v>40941.634687500002</v>
      </c>
      <c r="F47" s="74">
        <v>40978</v>
      </c>
      <c r="G47" s="75" t="str">
        <f>IF(stdProdLT(Main[[#This Row],[Comments]])=0.1,"N/A",IF(stdProdLT(Main[[#This Row],[Comments]])=0,"",stdProdLT(Main[[#This Row],[Comments]])))</f>
        <v/>
      </c>
      <c r="H47" s="76">
        <f>IF(AND(Main[[#This Row],[In Stock Date]]&lt;&gt;"",Main[[#This Row],[Revised Due Date]]&lt;&gt;""),Main[[#This Row],[In Stock Date]]-Main[[#This Row],[Revised Due Date]],"")</f>
        <v>24</v>
      </c>
      <c r="I47" s="72" t="s">
        <v>953</v>
      </c>
      <c r="J47" s="72" t="s">
        <v>28</v>
      </c>
      <c r="K47" s="72" t="s">
        <v>1941</v>
      </c>
      <c r="L47" s="74">
        <v>40945</v>
      </c>
      <c r="M47" s="77">
        <f>IF(Main[[#This Row],[Tech Start Date]]&lt;1/1/1990,"",IF(Main[[#This Row],[Class]]="C",WORKDAY(Main[[#This Row],[Tech Start Date]],9),IF(Main[[#This Row],[Class]]="B", WORKDAY(Main[[#This Row],[Tech Start Date]],6),IF(Main[[#This Row],[Class]]="A",WORKDAY(Main[[#This Row],[Tech Start Date]],2),""))))</f>
        <v>40947</v>
      </c>
      <c r="N47" s="77">
        <f>IF(Main[[#This Row],[Tech Start Date]]&lt;1/1/1990,"",IF(Main[[#This Row],[Class]]="C",WORKDAY(Main[[#This Row],[Tech Start Date]],19),IF(Main[[#This Row],[Class]]="B", WORKDAY(Main[[#This Row],[Tech Start Date]],12),IF(Main[[#This Row],[Class]]="A",WORKDAY(Main[[#This Row],[Tech Start Date]],4),""))))</f>
        <v>40949</v>
      </c>
      <c r="O47" s="77">
        <f>IF(Main[[#This Row],[Tech Start Date]]&lt;1/1/1990,"",IF(Main[[#This Row],[Class]]="C",WORKDAY(Main[[#This Row],[Tech Start Date]],23),IF(Main[[#This Row],[Class]]="B", WORKDAY(Main[[#This Row],[Tech Start Date]],15),IF(Main[[#This Row],[Class]]="A",WORKDAY(Main[[#This Row],[Tech Start Date]],5),""))))</f>
        <v>40952</v>
      </c>
      <c r="P47" s="77">
        <f>IF(Main[[#This Row],[Tech Start Date]]&lt;1/1/1990,"",IF(Main[[#This Row],[Class]]="C",WORKDAY(Main[[#This Row],[Tech Start Date]],28),IF(Main[[#This Row],[Class]]="B", WORKDAY(Main[[#This Row],[Tech Start Date]],19),IF(Main[[#This Row],[Class]]="A",WORKDAY(Main[[#This Row],[Tech Start Date]],9),""))))</f>
        <v>40956</v>
      </c>
      <c r="Q47" s="74">
        <v>40978</v>
      </c>
      <c r="R47" s="74">
        <v>40954</v>
      </c>
      <c r="S47" s="72" t="s">
        <v>11</v>
      </c>
      <c r="T47" s="80" t="s">
        <v>3820</v>
      </c>
      <c r="U47" s="72" t="s">
        <v>29</v>
      </c>
      <c r="V47" s="72" t="s">
        <v>1933</v>
      </c>
      <c r="W47" s="72" t="s">
        <v>1937</v>
      </c>
      <c r="X47" s="72" t="s">
        <v>2906</v>
      </c>
      <c r="Y47" s="72" t="s">
        <v>4</v>
      </c>
      <c r="Z47" s="72" t="s">
        <v>2075</v>
      </c>
      <c r="AA47" s="147" t="s">
        <v>2906</v>
      </c>
    </row>
    <row r="48" spans="1:32" ht="18.600000000000001" customHeight="1">
      <c r="A48" s="140">
        <f>IF(priority(Main[[#This Row],[Comments]])&lt;&gt;0, priority(Main[[#This Row],[Comments]]),"")</f>
        <v>12.1</v>
      </c>
      <c r="B48" s="90" t="s">
        <v>3443</v>
      </c>
      <c r="C48" s="72" t="s">
        <v>3401</v>
      </c>
      <c r="D48" s="73" t="s">
        <v>3444</v>
      </c>
      <c r="E48" s="74">
        <v>40932.830694444441</v>
      </c>
      <c r="F48" s="74">
        <v>41091</v>
      </c>
      <c r="G48" s="75" t="str">
        <f>IF(stdProdLT(Main[[#This Row],[Comments]])=0.1,"N/A",IF(stdProdLT(Main[[#This Row],[Comments]])=0,"",stdProdLT(Main[[#This Row],[Comments]])))</f>
        <v>N/A</v>
      </c>
      <c r="H48" s="76" t="str">
        <f>IF(AND(Main[[#This Row],[In Stock Date]]&lt;&gt;"",Main[[#This Row],[Revised Due Date]]&lt;&gt;""),Main[[#This Row],[In Stock Date]]-Main[[#This Row],[Revised Due Date]],"")</f>
        <v/>
      </c>
      <c r="I48" s="72" t="s">
        <v>4</v>
      </c>
      <c r="J48" s="72" t="s">
        <v>4</v>
      </c>
      <c r="K48" s="72" t="s">
        <v>4</v>
      </c>
      <c r="L48" s="74"/>
      <c r="M48" s="77" t="str">
        <f>IF(Main[[#This Row],[Tech Start Date]]&lt;1/1/1990,"",IF(Main[[#This Row],[Class]]="C",WORKDAY(Main[[#This Row],[Tech Start Date]],9),IF(Main[[#This Row],[Class]]="B", WORKDAY(Main[[#This Row],[Tech Start Date]],6),IF(Main[[#This Row],[Class]]="A",WORKDAY(Main[[#This Row],[Tech Start Date]],2),""))))</f>
        <v/>
      </c>
      <c r="N48" s="77" t="str">
        <f>IF(Main[[#This Row],[Tech Start Date]]&lt;1/1/1990,"",IF(Main[[#This Row],[Class]]="C",WORKDAY(Main[[#This Row],[Tech Start Date]],19),IF(Main[[#This Row],[Class]]="B", WORKDAY(Main[[#This Row],[Tech Start Date]],12),IF(Main[[#This Row],[Class]]="A",WORKDAY(Main[[#This Row],[Tech Start Date]],4),""))))</f>
        <v/>
      </c>
      <c r="O48" s="77" t="str">
        <f>IF(Main[[#This Row],[Tech Start Date]]&lt;1/1/1990,"",IF(Main[[#This Row],[Class]]="C",WORKDAY(Main[[#This Row],[Tech Start Date]],23),IF(Main[[#This Row],[Class]]="B", WORKDAY(Main[[#This Row],[Tech Start Date]],15),IF(Main[[#This Row],[Class]]="A",WORKDAY(Main[[#This Row],[Tech Start Date]],5),""))))</f>
        <v/>
      </c>
      <c r="P48" s="77" t="str">
        <f>IF(Main[[#This Row],[Tech Start Date]]&lt;1/1/1990,"",IF(Main[[#This Row],[Class]]="C",WORKDAY(Main[[#This Row],[Tech Start Date]],28),IF(Main[[#This Row],[Class]]="B", WORKDAY(Main[[#This Row],[Tech Start Date]],19),IF(Main[[#This Row],[Class]]="A",WORKDAY(Main[[#This Row],[Tech Start Date]],9),""))))</f>
        <v/>
      </c>
      <c r="Q48" s="74">
        <v>40945</v>
      </c>
      <c r="R48" s="74"/>
      <c r="S48" s="72" t="s">
        <v>11</v>
      </c>
      <c r="T48" s="80" t="s">
        <v>3445</v>
      </c>
      <c r="U48" s="72" t="s">
        <v>7</v>
      </c>
      <c r="V48" s="72" t="s">
        <v>1942</v>
      </c>
      <c r="W48" s="72" t="s">
        <v>1940</v>
      </c>
      <c r="X48" s="72" t="s">
        <v>2920</v>
      </c>
      <c r="Y48" s="72" t="s">
        <v>3046</v>
      </c>
      <c r="Z48" s="72" t="s">
        <v>4</v>
      </c>
      <c r="AA48" s="147" t="s">
        <v>2920</v>
      </c>
    </row>
    <row r="49" spans="1:27" ht="18.600000000000001" customHeight="1">
      <c r="A49" s="140">
        <f>IF(priority(Main[[#This Row],[Comments]])&lt;&gt;0, priority(Main[[#This Row],[Comments]]),"")</f>
        <v>13</v>
      </c>
      <c r="B49" s="90" t="s">
        <v>2806</v>
      </c>
      <c r="C49" s="72" t="s">
        <v>2807</v>
      </c>
      <c r="D49" s="73" t="s">
        <v>2808</v>
      </c>
      <c r="E49" s="74">
        <v>40883.251331018517</v>
      </c>
      <c r="F49" s="74">
        <v>41000</v>
      </c>
      <c r="G49" s="75">
        <f>IF(stdProdLT(Main[[#This Row],[Comments]])=0.1,"N/A",IF(stdProdLT(Main[[#This Row],[Comments]])=0,"",stdProdLT(Main[[#This Row],[Comments]])))</f>
        <v>140</v>
      </c>
      <c r="H49" s="76" t="str">
        <f>IF(AND(Main[[#This Row],[In Stock Date]]&lt;&gt;"",Main[[#This Row],[Revised Due Date]]&lt;&gt;""),Main[[#This Row],[In Stock Date]]-Main[[#This Row],[Revised Due Date]],"")</f>
        <v/>
      </c>
      <c r="I49" s="72" t="s">
        <v>567</v>
      </c>
      <c r="J49" s="72" t="s">
        <v>21</v>
      </c>
      <c r="K49" s="72" t="s">
        <v>4</v>
      </c>
      <c r="L49" s="74"/>
      <c r="M49" s="77" t="str">
        <f>IF(Main[[#This Row],[Tech Start Date]]&lt;1/1/1990,"",IF(Main[[#This Row],[Class]]="C",WORKDAY(Main[[#This Row],[Tech Start Date]],9),IF(Main[[#This Row],[Class]]="B", WORKDAY(Main[[#This Row],[Tech Start Date]],6),IF(Main[[#This Row],[Class]]="A",WORKDAY(Main[[#This Row],[Tech Start Date]],2),""))))</f>
        <v/>
      </c>
      <c r="N49" s="77" t="str">
        <f>IF(Main[[#This Row],[Tech Start Date]]&lt;1/1/1990,"",IF(Main[[#This Row],[Class]]="C",WORKDAY(Main[[#This Row],[Tech Start Date]],19),IF(Main[[#This Row],[Class]]="B", WORKDAY(Main[[#This Row],[Tech Start Date]],12),IF(Main[[#This Row],[Class]]="A",WORKDAY(Main[[#This Row],[Tech Start Date]],4),""))))</f>
        <v/>
      </c>
      <c r="O49" s="77" t="str">
        <f>IF(Main[[#This Row],[Tech Start Date]]&lt;1/1/1990,"",IF(Main[[#This Row],[Class]]="C",WORKDAY(Main[[#This Row],[Tech Start Date]],23),IF(Main[[#This Row],[Class]]="B", WORKDAY(Main[[#This Row],[Tech Start Date]],15),IF(Main[[#This Row],[Class]]="A",WORKDAY(Main[[#This Row],[Tech Start Date]],5),""))))</f>
        <v/>
      </c>
      <c r="P49" s="77" t="str">
        <f>IF(Main[[#This Row],[Tech Start Date]]&lt;1/1/1990,"",IF(Main[[#This Row],[Class]]="C",WORKDAY(Main[[#This Row],[Tech Start Date]],28),IF(Main[[#This Row],[Class]]="B", WORKDAY(Main[[#This Row],[Tech Start Date]],19),IF(Main[[#This Row],[Class]]="A",WORKDAY(Main[[#This Row],[Tech Start Date]],9),""))))</f>
        <v/>
      </c>
      <c r="Q49" s="74">
        <v>40964</v>
      </c>
      <c r="R49" s="74"/>
      <c r="S49" s="72" t="s">
        <v>11</v>
      </c>
      <c r="T49" s="80" t="s">
        <v>2809</v>
      </c>
      <c r="U49" s="72" t="s">
        <v>703</v>
      </c>
      <c r="V49" s="72" t="s">
        <v>1932</v>
      </c>
      <c r="W49" s="72" t="s">
        <v>1940</v>
      </c>
      <c r="X49" s="72" t="s">
        <v>2966</v>
      </c>
      <c r="Y49" s="72" t="s">
        <v>3116</v>
      </c>
      <c r="Z49" s="72" t="s">
        <v>4</v>
      </c>
      <c r="AA49" s="147" t="s">
        <v>2966</v>
      </c>
    </row>
    <row r="50" spans="1:27" ht="18.600000000000001" customHeight="1">
      <c r="A50" s="140">
        <f>IF(priority(Main[[#This Row],[Comments]])&lt;&gt;0, priority(Main[[#This Row],[Comments]]),"")</f>
        <v>13</v>
      </c>
      <c r="B50" s="90" t="s">
        <v>1913</v>
      </c>
      <c r="C50" s="72" t="s">
        <v>826</v>
      </c>
      <c r="D50" s="73" t="s">
        <v>1983</v>
      </c>
      <c r="E50" s="74"/>
      <c r="F50" s="74">
        <v>40767</v>
      </c>
      <c r="G50" s="75" t="str">
        <f>IF(stdProdLT(Main[[#This Row],[Comments]])=0.1,"N/A",IF(stdProdLT(Main[[#This Row],[Comments]])=0,"",stdProdLT(Main[[#This Row],[Comments]])))</f>
        <v/>
      </c>
      <c r="H50" s="76">
        <f>IF(AND(Main[[#This Row],[In Stock Date]]&lt;&gt;"",Main[[#This Row],[Revised Due Date]]&lt;&gt;""),Main[[#This Row],[In Stock Date]]-Main[[#This Row],[Revised Due Date]],"")</f>
        <v>21</v>
      </c>
      <c r="I50" s="72" t="s">
        <v>953</v>
      </c>
      <c r="J50" s="72" t="s">
        <v>28</v>
      </c>
      <c r="K50" s="72" t="s">
        <v>1941</v>
      </c>
      <c r="L50" s="74">
        <v>40704</v>
      </c>
      <c r="M50" s="77">
        <f>IF(Main[[#This Row],[Tech Start Date]]&lt;1/1/1990,"",IF(Main[[#This Row],[Class]]="C",WORKDAY(Main[[#This Row],[Tech Start Date]],9),IF(Main[[#This Row],[Class]]="B", WORKDAY(Main[[#This Row],[Tech Start Date]],6),IF(Main[[#This Row],[Class]]="A",WORKDAY(Main[[#This Row],[Tech Start Date]],2),""))))</f>
        <v>40708</v>
      </c>
      <c r="N50" s="77">
        <f>IF(Main[[#This Row],[Tech Start Date]]&lt;1/1/1990,"",IF(Main[[#This Row],[Class]]="C",WORKDAY(Main[[#This Row],[Tech Start Date]],19),IF(Main[[#This Row],[Class]]="B", WORKDAY(Main[[#This Row],[Tech Start Date]],12),IF(Main[[#This Row],[Class]]="A",WORKDAY(Main[[#This Row],[Tech Start Date]],4),""))))</f>
        <v>40710</v>
      </c>
      <c r="O50" s="77">
        <f>IF(Main[[#This Row],[Tech Start Date]]&lt;1/1/1990,"",IF(Main[[#This Row],[Class]]="C",WORKDAY(Main[[#This Row],[Tech Start Date]],23),IF(Main[[#This Row],[Class]]="B", WORKDAY(Main[[#This Row],[Tech Start Date]],15),IF(Main[[#This Row],[Class]]="A",WORKDAY(Main[[#This Row],[Tech Start Date]],5),""))))</f>
        <v>40711</v>
      </c>
      <c r="P50" s="77">
        <f>IF(Main[[#This Row],[Tech Start Date]]&lt;1/1/1990,"",IF(Main[[#This Row],[Class]]="C",WORKDAY(Main[[#This Row],[Tech Start Date]],28),IF(Main[[#This Row],[Class]]="B", WORKDAY(Main[[#This Row],[Tech Start Date]],19),IF(Main[[#This Row],[Class]]="A",WORKDAY(Main[[#This Row],[Tech Start Date]],9),""))))</f>
        <v>40717</v>
      </c>
      <c r="Q50" s="74"/>
      <c r="R50" s="74">
        <v>40746</v>
      </c>
      <c r="S50" s="72" t="s">
        <v>11</v>
      </c>
      <c r="T50" s="80" t="s">
        <v>2025</v>
      </c>
      <c r="U50" s="72" t="s">
        <v>14</v>
      </c>
      <c r="V50" s="72" t="s">
        <v>1933</v>
      </c>
      <c r="W50" s="72" t="s">
        <v>1940</v>
      </c>
      <c r="X50" s="72" t="s">
        <v>2075</v>
      </c>
      <c r="Y50" s="72" t="s">
        <v>3250</v>
      </c>
      <c r="Z50" s="72" t="s">
        <v>3257</v>
      </c>
      <c r="AA50" s="147" t="s">
        <v>2075</v>
      </c>
    </row>
    <row r="51" spans="1:27" ht="18.600000000000001" customHeight="1">
      <c r="A51" s="140">
        <f>IF(priority(Main[[#This Row],[Comments]])&lt;&gt;0, priority(Main[[#This Row],[Comments]]),"")</f>
        <v>13</v>
      </c>
      <c r="B51" s="90" t="s">
        <v>3272</v>
      </c>
      <c r="C51" s="72" t="s">
        <v>3276</v>
      </c>
      <c r="D51" s="73" t="s">
        <v>3756</v>
      </c>
      <c r="E51" s="74">
        <v>40919.073576388888</v>
      </c>
      <c r="F51" s="74">
        <v>41153</v>
      </c>
      <c r="G51" s="75">
        <f>IF(stdProdLT(Main[[#This Row],[Comments]])=0.1,"N/A",IF(stdProdLT(Main[[#This Row],[Comments]])=0,"",stdProdLT(Main[[#This Row],[Comments]])))</f>
        <v>126</v>
      </c>
      <c r="H51" s="76">
        <f>IF(AND(Main[[#This Row],[In Stock Date]]&lt;&gt;"",Main[[#This Row],[Revised Due Date]]&lt;&gt;""),Main[[#This Row],[In Stock Date]]-Main[[#This Row],[Revised Due Date]],"")</f>
        <v>198</v>
      </c>
      <c r="I51" s="72" t="s">
        <v>923</v>
      </c>
      <c r="J51" s="72" t="s">
        <v>52</v>
      </c>
      <c r="K51" s="72" t="s">
        <v>1939</v>
      </c>
      <c r="L51" s="74">
        <v>40920</v>
      </c>
      <c r="M51" s="77">
        <f>IF(Main[[#This Row],[Tech Start Date]]&lt;1/1/1990,"",IF(Main[[#This Row],[Class]]="C",WORKDAY(Main[[#This Row],[Tech Start Date]],9),IF(Main[[#This Row],[Class]]="B", WORKDAY(Main[[#This Row],[Tech Start Date]],6),IF(Main[[#This Row],[Class]]="A",WORKDAY(Main[[#This Row],[Tech Start Date]],2),""))))</f>
        <v>40928</v>
      </c>
      <c r="N51" s="77">
        <f>IF(Main[[#This Row],[Tech Start Date]]&lt;1/1/1990,"",IF(Main[[#This Row],[Class]]="C",WORKDAY(Main[[#This Row],[Tech Start Date]],19),IF(Main[[#This Row],[Class]]="B", WORKDAY(Main[[#This Row],[Tech Start Date]],12),IF(Main[[#This Row],[Class]]="A",WORKDAY(Main[[#This Row],[Tech Start Date]],4),""))))</f>
        <v>40938</v>
      </c>
      <c r="O51" s="77">
        <f>IF(Main[[#This Row],[Tech Start Date]]&lt;1/1/1990,"",IF(Main[[#This Row],[Class]]="C",WORKDAY(Main[[#This Row],[Tech Start Date]],23),IF(Main[[#This Row],[Class]]="B", WORKDAY(Main[[#This Row],[Tech Start Date]],15),IF(Main[[#This Row],[Class]]="A",WORKDAY(Main[[#This Row],[Tech Start Date]],5),""))))</f>
        <v>40941</v>
      </c>
      <c r="P51" s="77">
        <f>IF(Main[[#This Row],[Tech Start Date]]&lt;1/1/1990,"",IF(Main[[#This Row],[Class]]="C",WORKDAY(Main[[#This Row],[Tech Start Date]],28),IF(Main[[#This Row],[Class]]="B", WORKDAY(Main[[#This Row],[Tech Start Date]],19),IF(Main[[#This Row],[Class]]="A",WORKDAY(Main[[#This Row],[Tech Start Date]],9),""))))</f>
        <v>40947</v>
      </c>
      <c r="Q51" s="74">
        <v>40926</v>
      </c>
      <c r="R51" s="74">
        <v>40955</v>
      </c>
      <c r="S51" s="72" t="s">
        <v>11</v>
      </c>
      <c r="T51" s="80" t="s">
        <v>3350</v>
      </c>
      <c r="U51" s="72" t="s">
        <v>29</v>
      </c>
      <c r="V51" s="72" t="s">
        <v>1932</v>
      </c>
      <c r="W51" s="72" t="s">
        <v>1943</v>
      </c>
      <c r="X51" s="72" t="s">
        <v>2937</v>
      </c>
      <c r="Y51" s="72" t="s">
        <v>4</v>
      </c>
      <c r="Z51" s="72" t="s">
        <v>129</v>
      </c>
      <c r="AA51" s="147" t="s">
        <v>2937</v>
      </c>
    </row>
    <row r="52" spans="1:27" ht="18.600000000000001" customHeight="1">
      <c r="A52" s="140">
        <f>IF(priority(Main[[#This Row],[Comments]])&lt;&gt;0, priority(Main[[#This Row],[Comments]]),"")</f>
        <v>13</v>
      </c>
      <c r="B52" s="90" t="s">
        <v>3765</v>
      </c>
      <c r="C52" s="72" t="s">
        <v>2236</v>
      </c>
      <c r="D52" s="73" t="s">
        <v>3766</v>
      </c>
      <c r="E52" s="74">
        <v>40941.648611111108</v>
      </c>
      <c r="F52" s="74">
        <v>40978</v>
      </c>
      <c r="G52" s="75" t="str">
        <f>IF(stdProdLT(Main[[#This Row],[Comments]])=0.1,"N/A",IF(stdProdLT(Main[[#This Row],[Comments]])=0,"",stdProdLT(Main[[#This Row],[Comments]])))</f>
        <v/>
      </c>
      <c r="H52" s="76">
        <f>IF(AND(Main[[#This Row],[In Stock Date]]&lt;&gt;"",Main[[#This Row],[Revised Due Date]]&lt;&gt;""),Main[[#This Row],[In Stock Date]]-Main[[#This Row],[Revised Due Date]],"")</f>
        <v>24</v>
      </c>
      <c r="I52" s="72" t="s">
        <v>953</v>
      </c>
      <c r="J52" s="72" t="s">
        <v>28</v>
      </c>
      <c r="K52" s="72" t="s">
        <v>1941</v>
      </c>
      <c r="L52" s="74">
        <v>40945</v>
      </c>
      <c r="M52" s="77">
        <f>IF(Main[[#This Row],[Tech Start Date]]&lt;1/1/1990,"",IF(Main[[#This Row],[Class]]="C",WORKDAY(Main[[#This Row],[Tech Start Date]],9),IF(Main[[#This Row],[Class]]="B", WORKDAY(Main[[#This Row],[Tech Start Date]],6),IF(Main[[#This Row],[Class]]="A",WORKDAY(Main[[#This Row],[Tech Start Date]],2),""))))</f>
        <v>40947</v>
      </c>
      <c r="N52" s="77">
        <f>IF(Main[[#This Row],[Tech Start Date]]&lt;1/1/1990,"",IF(Main[[#This Row],[Class]]="C",WORKDAY(Main[[#This Row],[Tech Start Date]],19),IF(Main[[#This Row],[Class]]="B", WORKDAY(Main[[#This Row],[Tech Start Date]],12),IF(Main[[#This Row],[Class]]="A",WORKDAY(Main[[#This Row],[Tech Start Date]],4),""))))</f>
        <v>40949</v>
      </c>
      <c r="O52" s="77">
        <f>IF(Main[[#This Row],[Tech Start Date]]&lt;1/1/1990,"",IF(Main[[#This Row],[Class]]="C",WORKDAY(Main[[#This Row],[Tech Start Date]],23),IF(Main[[#This Row],[Class]]="B", WORKDAY(Main[[#This Row],[Tech Start Date]],15),IF(Main[[#This Row],[Class]]="A",WORKDAY(Main[[#This Row],[Tech Start Date]],5),""))))</f>
        <v>40952</v>
      </c>
      <c r="P52" s="77">
        <f>IF(Main[[#This Row],[Tech Start Date]]&lt;1/1/1990,"",IF(Main[[#This Row],[Class]]="C",WORKDAY(Main[[#This Row],[Tech Start Date]],28),IF(Main[[#This Row],[Class]]="B", WORKDAY(Main[[#This Row],[Tech Start Date]],19),IF(Main[[#This Row],[Class]]="A",WORKDAY(Main[[#This Row],[Tech Start Date]],9),""))))</f>
        <v>40956</v>
      </c>
      <c r="Q52" s="74">
        <v>40978</v>
      </c>
      <c r="R52" s="74">
        <v>40954</v>
      </c>
      <c r="S52" s="72" t="s">
        <v>11</v>
      </c>
      <c r="T52" s="80" t="s">
        <v>3818</v>
      </c>
      <c r="U52" s="72" t="s">
        <v>29</v>
      </c>
      <c r="V52" s="72" t="s">
        <v>1933</v>
      </c>
      <c r="W52" s="72" t="s">
        <v>1937</v>
      </c>
      <c r="X52" s="72" t="s">
        <v>2906</v>
      </c>
      <c r="Y52" s="72" t="s">
        <v>4</v>
      </c>
      <c r="Z52" s="72" t="s">
        <v>2075</v>
      </c>
      <c r="AA52" s="147" t="s">
        <v>2906</v>
      </c>
    </row>
    <row r="53" spans="1:27" ht="18.600000000000001" customHeight="1">
      <c r="A53" s="140">
        <f>IF(priority(Main[[#This Row],[Comments]])&lt;&gt;0, priority(Main[[#This Row],[Comments]]),"")</f>
        <v>14</v>
      </c>
      <c r="B53" s="90" t="s">
        <v>2817</v>
      </c>
      <c r="C53" s="72" t="s">
        <v>2818</v>
      </c>
      <c r="D53" s="73" t="s">
        <v>2819</v>
      </c>
      <c r="E53" s="74"/>
      <c r="F53" s="74">
        <v>41005</v>
      </c>
      <c r="G53" s="75">
        <f>IF(stdProdLT(Main[[#This Row],[Comments]])=0.1,"N/A",IF(stdProdLT(Main[[#This Row],[Comments]])=0,"",stdProdLT(Main[[#This Row],[Comments]])))</f>
        <v>112</v>
      </c>
      <c r="H53" s="76" t="str">
        <f>IF(AND(Main[[#This Row],[In Stock Date]]&lt;&gt;"",Main[[#This Row],[Revised Due Date]]&lt;&gt;""),Main[[#This Row],[In Stock Date]]-Main[[#This Row],[Revised Due Date]],"")</f>
        <v/>
      </c>
      <c r="I53" s="72" t="s">
        <v>126</v>
      </c>
      <c r="J53" s="72" t="s">
        <v>28</v>
      </c>
      <c r="K53" s="72" t="s">
        <v>1939</v>
      </c>
      <c r="L53" s="74"/>
      <c r="M53" s="77" t="str">
        <f>IF(Main[[#This Row],[Tech Start Date]]&lt;1/1/1990,"",IF(Main[[#This Row],[Class]]="C",WORKDAY(Main[[#This Row],[Tech Start Date]],9),IF(Main[[#This Row],[Class]]="B", WORKDAY(Main[[#This Row],[Tech Start Date]],6),IF(Main[[#This Row],[Class]]="A",WORKDAY(Main[[#This Row],[Tech Start Date]],2),""))))</f>
        <v/>
      </c>
      <c r="N53" s="77" t="str">
        <f>IF(Main[[#This Row],[Tech Start Date]]&lt;1/1/1990,"",IF(Main[[#This Row],[Class]]="C",WORKDAY(Main[[#This Row],[Tech Start Date]],19),IF(Main[[#This Row],[Class]]="B", WORKDAY(Main[[#This Row],[Tech Start Date]],12),IF(Main[[#This Row],[Class]]="A",WORKDAY(Main[[#This Row],[Tech Start Date]],4),""))))</f>
        <v/>
      </c>
      <c r="O53" s="77" t="str">
        <f>IF(Main[[#This Row],[Tech Start Date]]&lt;1/1/1990,"",IF(Main[[#This Row],[Class]]="C",WORKDAY(Main[[#This Row],[Tech Start Date]],23),IF(Main[[#This Row],[Class]]="B", WORKDAY(Main[[#This Row],[Tech Start Date]],15),IF(Main[[#This Row],[Class]]="A",WORKDAY(Main[[#This Row],[Tech Start Date]],5),""))))</f>
        <v/>
      </c>
      <c r="P53" s="77" t="str">
        <f>IF(Main[[#This Row],[Tech Start Date]]&lt;1/1/1990,"",IF(Main[[#This Row],[Class]]="C",WORKDAY(Main[[#This Row],[Tech Start Date]],28),IF(Main[[#This Row],[Class]]="B", WORKDAY(Main[[#This Row],[Tech Start Date]],19),IF(Main[[#This Row],[Class]]="A",WORKDAY(Main[[#This Row],[Tech Start Date]],9),""))))</f>
        <v/>
      </c>
      <c r="Q53" s="74">
        <v>40946</v>
      </c>
      <c r="R53" s="74"/>
      <c r="S53" s="72" t="s">
        <v>11</v>
      </c>
      <c r="T53" s="80" t="s">
        <v>2820</v>
      </c>
      <c r="U53" s="72" t="s">
        <v>14</v>
      </c>
      <c r="V53" s="72" t="s">
        <v>1932</v>
      </c>
      <c r="W53" s="72" t="s">
        <v>1940</v>
      </c>
      <c r="X53" s="72" t="s">
        <v>2948</v>
      </c>
      <c r="Y53" s="72" t="s">
        <v>3093</v>
      </c>
      <c r="Z53" s="72" t="s">
        <v>923</v>
      </c>
      <c r="AA53" s="147" t="s">
        <v>2948</v>
      </c>
    </row>
    <row r="54" spans="1:27" ht="18.600000000000001" customHeight="1">
      <c r="A54" s="140">
        <f>IF(priority(Main[[#This Row],[Comments]])&lt;&gt;0, priority(Main[[#This Row],[Comments]]),"")</f>
        <v>14</v>
      </c>
      <c r="B54" s="90" t="s">
        <v>2244</v>
      </c>
      <c r="C54" s="72" t="s">
        <v>33</v>
      </c>
      <c r="D54" s="73" t="s">
        <v>2245</v>
      </c>
      <c r="E54" s="74">
        <v>40799.635092592594</v>
      </c>
      <c r="F54" s="74">
        <v>41091</v>
      </c>
      <c r="G54" s="75">
        <f>IF(stdProdLT(Main[[#This Row],[Comments]])=0.1,"N/A",IF(stdProdLT(Main[[#This Row],[Comments]])=0,"",stdProdLT(Main[[#This Row],[Comments]])))</f>
        <v>126</v>
      </c>
      <c r="H54" s="76">
        <f>IF(AND(Main[[#This Row],[In Stock Date]]&lt;&gt;"",Main[[#This Row],[Revised Due Date]]&lt;&gt;""),Main[[#This Row],[In Stock Date]]-Main[[#This Row],[Revised Due Date]],"")</f>
        <v>137</v>
      </c>
      <c r="I54" s="72" t="s">
        <v>81</v>
      </c>
      <c r="J54" s="72" t="s">
        <v>21</v>
      </c>
      <c r="K54" s="72" t="s">
        <v>1945</v>
      </c>
      <c r="L54" s="74">
        <v>40813</v>
      </c>
      <c r="M54" s="77">
        <f>IF(Main[[#This Row],[Tech Start Date]]&lt;1/1/1990,"",IF(Main[[#This Row],[Class]]="C",WORKDAY(Main[[#This Row],[Tech Start Date]],9),IF(Main[[#This Row],[Class]]="B", WORKDAY(Main[[#This Row],[Tech Start Date]],6),IF(Main[[#This Row],[Class]]="A",WORKDAY(Main[[#This Row],[Tech Start Date]],2),""))))</f>
        <v>40826</v>
      </c>
      <c r="N54" s="77">
        <f>IF(Main[[#This Row],[Tech Start Date]]&lt;1/1/1990,"",IF(Main[[#This Row],[Class]]="C",WORKDAY(Main[[#This Row],[Tech Start Date]],19),IF(Main[[#This Row],[Class]]="B", WORKDAY(Main[[#This Row],[Tech Start Date]],12),IF(Main[[#This Row],[Class]]="A",WORKDAY(Main[[#This Row],[Tech Start Date]],4),""))))</f>
        <v>40840</v>
      </c>
      <c r="O54" s="77">
        <f>IF(Main[[#This Row],[Tech Start Date]]&lt;1/1/1990,"",IF(Main[[#This Row],[Class]]="C",WORKDAY(Main[[#This Row],[Tech Start Date]],23),IF(Main[[#This Row],[Class]]="B", WORKDAY(Main[[#This Row],[Tech Start Date]],15),IF(Main[[#This Row],[Class]]="A",WORKDAY(Main[[#This Row],[Tech Start Date]],5),""))))</f>
        <v>40844</v>
      </c>
      <c r="P54" s="77">
        <f>IF(Main[[#This Row],[Tech Start Date]]&lt;1/1/1990,"",IF(Main[[#This Row],[Class]]="C",WORKDAY(Main[[#This Row],[Tech Start Date]],28),IF(Main[[#This Row],[Class]]="B", WORKDAY(Main[[#This Row],[Tech Start Date]],19),IF(Main[[#This Row],[Class]]="A",WORKDAY(Main[[#This Row],[Tech Start Date]],9),""))))</f>
        <v>40851</v>
      </c>
      <c r="Q54" s="74">
        <v>40965</v>
      </c>
      <c r="R54" s="74">
        <v>40954</v>
      </c>
      <c r="S54" s="72" t="s">
        <v>11</v>
      </c>
      <c r="T54" s="80" t="s">
        <v>3483</v>
      </c>
      <c r="U54" s="72" t="s">
        <v>29</v>
      </c>
      <c r="V54" s="72" t="s">
        <v>1935</v>
      </c>
      <c r="W54" s="72" t="s">
        <v>1940</v>
      </c>
      <c r="X54" s="72" t="s">
        <v>2982</v>
      </c>
      <c r="Y54" s="72" t="s">
        <v>3198</v>
      </c>
      <c r="Z54" s="72" t="s">
        <v>81</v>
      </c>
      <c r="AA54" s="147" t="s">
        <v>2982</v>
      </c>
    </row>
    <row r="55" spans="1:27" ht="18.600000000000001" customHeight="1">
      <c r="A55" s="140">
        <f>IF(priority(Main[[#This Row],[Comments]])&lt;&gt;0, priority(Main[[#This Row],[Comments]]),"")</f>
        <v>14</v>
      </c>
      <c r="B55" s="90" t="s">
        <v>2629</v>
      </c>
      <c r="C55" s="72" t="s">
        <v>3373</v>
      </c>
      <c r="D55" s="73" t="s">
        <v>3610</v>
      </c>
      <c r="E55" s="74">
        <v>40848.443101851852</v>
      </c>
      <c r="F55" s="74">
        <v>41153</v>
      </c>
      <c r="G55" s="75">
        <f>IF(stdProdLT(Main[[#This Row],[Comments]])=0.1,"N/A",IF(stdProdLT(Main[[#This Row],[Comments]])=0,"",stdProdLT(Main[[#This Row],[Comments]])))</f>
        <v>126</v>
      </c>
      <c r="H55" s="76">
        <f>IF(AND(Main[[#This Row],[In Stock Date]]&lt;&gt;"",Main[[#This Row],[Revised Due Date]]&lt;&gt;""),Main[[#This Row],[In Stock Date]]-Main[[#This Row],[Revised Due Date]],"")</f>
        <v>211</v>
      </c>
      <c r="I55" s="72" t="s">
        <v>923</v>
      </c>
      <c r="J55" s="72" t="s">
        <v>52</v>
      </c>
      <c r="K55" s="72" t="s">
        <v>1939</v>
      </c>
      <c r="L55" s="74">
        <v>40918</v>
      </c>
      <c r="M55" s="77">
        <f>IF(Main[[#This Row],[Tech Start Date]]&lt;1/1/1990,"",IF(Main[[#This Row],[Class]]="C",WORKDAY(Main[[#This Row],[Tech Start Date]],9),IF(Main[[#This Row],[Class]]="B", WORKDAY(Main[[#This Row],[Tech Start Date]],6),IF(Main[[#This Row],[Class]]="A",WORKDAY(Main[[#This Row],[Tech Start Date]],2),""))))</f>
        <v>40926</v>
      </c>
      <c r="N55" s="77">
        <f>IF(Main[[#This Row],[Tech Start Date]]&lt;1/1/1990,"",IF(Main[[#This Row],[Class]]="C",WORKDAY(Main[[#This Row],[Tech Start Date]],19),IF(Main[[#This Row],[Class]]="B", WORKDAY(Main[[#This Row],[Tech Start Date]],12),IF(Main[[#This Row],[Class]]="A",WORKDAY(Main[[#This Row],[Tech Start Date]],4),""))))</f>
        <v>40934</v>
      </c>
      <c r="O55" s="77">
        <f>IF(Main[[#This Row],[Tech Start Date]]&lt;1/1/1990,"",IF(Main[[#This Row],[Class]]="C",WORKDAY(Main[[#This Row],[Tech Start Date]],23),IF(Main[[#This Row],[Class]]="B", WORKDAY(Main[[#This Row],[Tech Start Date]],15),IF(Main[[#This Row],[Class]]="A",WORKDAY(Main[[#This Row],[Tech Start Date]],5),""))))</f>
        <v>40939</v>
      </c>
      <c r="P55" s="77">
        <f>IF(Main[[#This Row],[Tech Start Date]]&lt;1/1/1990,"",IF(Main[[#This Row],[Class]]="C",WORKDAY(Main[[#This Row],[Tech Start Date]],28),IF(Main[[#This Row],[Class]]="B", WORKDAY(Main[[#This Row],[Tech Start Date]],19),IF(Main[[#This Row],[Class]]="A",WORKDAY(Main[[#This Row],[Tech Start Date]],9),""))))</f>
        <v>40945</v>
      </c>
      <c r="Q55" s="74">
        <v>41153</v>
      </c>
      <c r="R55" s="74">
        <v>40942</v>
      </c>
      <c r="S55" s="72" t="s">
        <v>11</v>
      </c>
      <c r="T55" s="80" t="s">
        <v>3504</v>
      </c>
      <c r="U55" s="72" t="s">
        <v>29</v>
      </c>
      <c r="V55" s="72" t="s">
        <v>1932</v>
      </c>
      <c r="W55" s="72" t="s">
        <v>1938</v>
      </c>
      <c r="X55" s="72" t="s">
        <v>3000</v>
      </c>
      <c r="Y55" s="72" t="s">
        <v>3025</v>
      </c>
      <c r="Z55" s="72" t="s">
        <v>129</v>
      </c>
      <c r="AA55" s="147" t="s">
        <v>3000</v>
      </c>
    </row>
    <row r="56" spans="1:27" ht="18.600000000000001" customHeight="1">
      <c r="A56" s="140">
        <f>IF(priority(Main[[#This Row],[Comments]])&lt;&gt;0, priority(Main[[#This Row],[Comments]]),"")</f>
        <v>14</v>
      </c>
      <c r="B56" s="90" t="s">
        <v>3740</v>
      </c>
      <c r="C56" s="72" t="s">
        <v>2236</v>
      </c>
      <c r="D56" s="73" t="s">
        <v>3741</v>
      </c>
      <c r="E56" s="74">
        <v>40941.630740740744</v>
      </c>
      <c r="F56" s="74">
        <v>40978</v>
      </c>
      <c r="G56" s="75" t="str">
        <f>IF(stdProdLT(Main[[#This Row],[Comments]])=0.1,"N/A",IF(stdProdLT(Main[[#This Row],[Comments]])=0,"",stdProdLT(Main[[#This Row],[Comments]])))</f>
        <v/>
      </c>
      <c r="H56" s="76">
        <f>IF(AND(Main[[#This Row],[In Stock Date]]&lt;&gt;"",Main[[#This Row],[Revised Due Date]]&lt;&gt;""),Main[[#This Row],[In Stock Date]]-Main[[#This Row],[Revised Due Date]],"")</f>
        <v>24</v>
      </c>
      <c r="I56" s="72" t="s">
        <v>953</v>
      </c>
      <c r="J56" s="72" t="s">
        <v>28</v>
      </c>
      <c r="K56" s="72" t="s">
        <v>1941</v>
      </c>
      <c r="L56" s="74">
        <v>40945</v>
      </c>
      <c r="M56" s="77">
        <f>IF(Main[[#This Row],[Tech Start Date]]&lt;1/1/1990,"",IF(Main[[#This Row],[Class]]="C",WORKDAY(Main[[#This Row],[Tech Start Date]],9),IF(Main[[#This Row],[Class]]="B", WORKDAY(Main[[#This Row],[Tech Start Date]],6),IF(Main[[#This Row],[Class]]="A",WORKDAY(Main[[#This Row],[Tech Start Date]],2),""))))</f>
        <v>40947</v>
      </c>
      <c r="N56" s="77">
        <f>IF(Main[[#This Row],[Tech Start Date]]&lt;1/1/1990,"",IF(Main[[#This Row],[Class]]="C",WORKDAY(Main[[#This Row],[Tech Start Date]],19),IF(Main[[#This Row],[Class]]="B", WORKDAY(Main[[#This Row],[Tech Start Date]],12),IF(Main[[#This Row],[Class]]="A",WORKDAY(Main[[#This Row],[Tech Start Date]],4),""))))</f>
        <v>40949</v>
      </c>
      <c r="O56" s="77">
        <f>IF(Main[[#This Row],[Tech Start Date]]&lt;1/1/1990,"",IF(Main[[#This Row],[Class]]="C",WORKDAY(Main[[#This Row],[Tech Start Date]],23),IF(Main[[#This Row],[Class]]="B", WORKDAY(Main[[#This Row],[Tech Start Date]],15),IF(Main[[#This Row],[Class]]="A",WORKDAY(Main[[#This Row],[Tech Start Date]],5),""))))</f>
        <v>40952</v>
      </c>
      <c r="P56" s="77">
        <f>IF(Main[[#This Row],[Tech Start Date]]&lt;1/1/1990,"",IF(Main[[#This Row],[Class]]="C",WORKDAY(Main[[#This Row],[Tech Start Date]],28),IF(Main[[#This Row],[Class]]="B", WORKDAY(Main[[#This Row],[Tech Start Date]],19),IF(Main[[#This Row],[Class]]="A",WORKDAY(Main[[#This Row],[Tech Start Date]],9),""))))</f>
        <v>40956</v>
      </c>
      <c r="Q56" s="74">
        <v>40978</v>
      </c>
      <c r="R56" s="74">
        <v>40954</v>
      </c>
      <c r="S56" s="72" t="s">
        <v>11</v>
      </c>
      <c r="T56" s="80" t="s">
        <v>3819</v>
      </c>
      <c r="U56" s="72" t="s">
        <v>29</v>
      </c>
      <c r="V56" s="72" t="s">
        <v>1933</v>
      </c>
      <c r="W56" s="72" t="s">
        <v>1937</v>
      </c>
      <c r="X56" s="72" t="s">
        <v>2906</v>
      </c>
      <c r="Y56" s="72" t="s">
        <v>4</v>
      </c>
      <c r="Z56" s="72" t="s">
        <v>2075</v>
      </c>
      <c r="AA56" s="147" t="s">
        <v>2906</v>
      </c>
    </row>
    <row r="57" spans="1:27" ht="18.600000000000001" customHeight="1">
      <c r="A57" s="140">
        <f>IF(priority(Main[[#This Row],[Comments]])&lt;&gt;0, priority(Main[[#This Row],[Comments]]),"")</f>
        <v>15</v>
      </c>
      <c r="B57" s="90" t="s">
        <v>2573</v>
      </c>
      <c r="C57" s="72" t="s">
        <v>3373</v>
      </c>
      <c r="D57" s="73" t="s">
        <v>3592</v>
      </c>
      <c r="E57" s="74">
        <v>40848.481932870367</v>
      </c>
      <c r="F57" s="74">
        <v>41153</v>
      </c>
      <c r="G57" s="75">
        <f>IF(stdProdLT(Main[[#This Row],[Comments]])=0.1,"N/A",IF(stdProdLT(Main[[#This Row],[Comments]])=0,"",stdProdLT(Main[[#This Row],[Comments]])))</f>
        <v>126</v>
      </c>
      <c r="H57" s="76">
        <f>IF(AND(Main[[#This Row],[In Stock Date]]&lt;&gt;"",Main[[#This Row],[Revised Due Date]]&lt;&gt;""),Main[[#This Row],[In Stock Date]]-Main[[#This Row],[Revised Due Date]],"")</f>
        <v>211</v>
      </c>
      <c r="I57" s="72" t="s">
        <v>923</v>
      </c>
      <c r="J57" s="72" t="s">
        <v>52</v>
      </c>
      <c r="K57" s="72" t="s">
        <v>1939</v>
      </c>
      <c r="L57" s="74">
        <v>40918</v>
      </c>
      <c r="M57" s="77">
        <f>IF(Main[[#This Row],[Tech Start Date]]&lt;1/1/1990,"",IF(Main[[#This Row],[Class]]="C",WORKDAY(Main[[#This Row],[Tech Start Date]],9),IF(Main[[#This Row],[Class]]="B", WORKDAY(Main[[#This Row],[Tech Start Date]],6),IF(Main[[#This Row],[Class]]="A",WORKDAY(Main[[#This Row],[Tech Start Date]],2),""))))</f>
        <v>40926</v>
      </c>
      <c r="N57" s="77">
        <f>IF(Main[[#This Row],[Tech Start Date]]&lt;1/1/1990,"",IF(Main[[#This Row],[Class]]="C",WORKDAY(Main[[#This Row],[Tech Start Date]],19),IF(Main[[#This Row],[Class]]="B", WORKDAY(Main[[#This Row],[Tech Start Date]],12),IF(Main[[#This Row],[Class]]="A",WORKDAY(Main[[#This Row],[Tech Start Date]],4),""))))</f>
        <v>40934</v>
      </c>
      <c r="O57" s="77">
        <f>IF(Main[[#This Row],[Tech Start Date]]&lt;1/1/1990,"",IF(Main[[#This Row],[Class]]="C",WORKDAY(Main[[#This Row],[Tech Start Date]],23),IF(Main[[#This Row],[Class]]="B", WORKDAY(Main[[#This Row],[Tech Start Date]],15),IF(Main[[#This Row],[Class]]="A",WORKDAY(Main[[#This Row],[Tech Start Date]],5),""))))</f>
        <v>40939</v>
      </c>
      <c r="P57" s="77">
        <f>IF(Main[[#This Row],[Tech Start Date]]&lt;1/1/1990,"",IF(Main[[#This Row],[Class]]="C",WORKDAY(Main[[#This Row],[Tech Start Date]],28),IF(Main[[#This Row],[Class]]="B", WORKDAY(Main[[#This Row],[Tech Start Date]],19),IF(Main[[#This Row],[Class]]="A",WORKDAY(Main[[#This Row],[Tech Start Date]],9),""))))</f>
        <v>40945</v>
      </c>
      <c r="Q57" s="74">
        <v>41153</v>
      </c>
      <c r="R57" s="74">
        <v>40942</v>
      </c>
      <c r="S57" s="72" t="s">
        <v>11</v>
      </c>
      <c r="T57" s="80" t="s">
        <v>3501</v>
      </c>
      <c r="U57" s="72" t="s">
        <v>29</v>
      </c>
      <c r="V57" s="72" t="s">
        <v>1932</v>
      </c>
      <c r="W57" s="72" t="s">
        <v>1938</v>
      </c>
      <c r="X57" s="72" t="s">
        <v>3000</v>
      </c>
      <c r="Y57" s="72" t="s">
        <v>3025</v>
      </c>
      <c r="Z57" s="72" t="s">
        <v>129</v>
      </c>
      <c r="AA57" s="147" t="s">
        <v>3000</v>
      </c>
    </row>
    <row r="58" spans="1:27" ht="18.600000000000001" customHeight="1">
      <c r="A58" s="140">
        <f>IF(priority(Main[[#This Row],[Comments]])&lt;&gt;0, priority(Main[[#This Row],[Comments]]),"")</f>
        <v>15</v>
      </c>
      <c r="B58" s="90" t="s">
        <v>3313</v>
      </c>
      <c r="C58" s="72" t="s">
        <v>3323</v>
      </c>
      <c r="D58" s="73" t="s">
        <v>3314</v>
      </c>
      <c r="E58" s="74">
        <v>40921.041666666664</v>
      </c>
      <c r="F58" s="74">
        <v>41122</v>
      </c>
      <c r="G58" s="75">
        <f>IF(stdProdLT(Main[[#This Row],[Comments]])=0.1,"N/A",IF(stdProdLT(Main[[#This Row],[Comments]])=0,"",stdProdLT(Main[[#This Row],[Comments]])))</f>
        <v>168</v>
      </c>
      <c r="H58" s="76">
        <f>IF(AND(Main[[#This Row],[In Stock Date]]&lt;&gt;"",Main[[#This Row],[Revised Due Date]]&lt;&gt;""),Main[[#This Row],[In Stock Date]]-Main[[#This Row],[Revised Due Date]],"")</f>
        <v>166</v>
      </c>
      <c r="I58" s="72" t="s">
        <v>434</v>
      </c>
      <c r="J58" s="72" t="s">
        <v>1998</v>
      </c>
      <c r="K58" s="72" t="s">
        <v>1945</v>
      </c>
      <c r="L58" s="74">
        <v>40924</v>
      </c>
      <c r="M58" s="77">
        <f>IF(Main[[#This Row],[Tech Start Date]]&lt;1/1/1990,"",IF(Main[[#This Row],[Class]]="C",WORKDAY(Main[[#This Row],[Tech Start Date]],9),IF(Main[[#This Row],[Class]]="B", WORKDAY(Main[[#This Row],[Tech Start Date]],6),IF(Main[[#This Row],[Class]]="A",WORKDAY(Main[[#This Row],[Tech Start Date]],2),""))))</f>
        <v>40935</v>
      </c>
      <c r="N58" s="77">
        <f>IF(Main[[#This Row],[Tech Start Date]]&lt;1/1/1990,"",IF(Main[[#This Row],[Class]]="C",WORKDAY(Main[[#This Row],[Tech Start Date]],19),IF(Main[[#This Row],[Class]]="B", WORKDAY(Main[[#This Row],[Tech Start Date]],12),IF(Main[[#This Row],[Class]]="A",WORKDAY(Main[[#This Row],[Tech Start Date]],4),""))))</f>
        <v>40949</v>
      </c>
      <c r="O58" s="77">
        <f>IF(Main[[#This Row],[Tech Start Date]]&lt;1/1/1990,"",IF(Main[[#This Row],[Class]]="C",WORKDAY(Main[[#This Row],[Tech Start Date]],23),IF(Main[[#This Row],[Class]]="B", WORKDAY(Main[[#This Row],[Tech Start Date]],15),IF(Main[[#This Row],[Class]]="A",WORKDAY(Main[[#This Row],[Tech Start Date]],5),""))))</f>
        <v>40955</v>
      </c>
      <c r="P58" s="77">
        <f>IF(Main[[#This Row],[Tech Start Date]]&lt;1/1/1990,"",IF(Main[[#This Row],[Class]]="C",WORKDAY(Main[[#This Row],[Tech Start Date]],28),IF(Main[[#This Row],[Class]]="B", WORKDAY(Main[[#This Row],[Tech Start Date]],19),IF(Main[[#This Row],[Class]]="A",WORKDAY(Main[[#This Row],[Tech Start Date]],9),""))))</f>
        <v>40962</v>
      </c>
      <c r="Q58" s="74">
        <v>40953</v>
      </c>
      <c r="R58" s="74">
        <v>40956</v>
      </c>
      <c r="S58" s="72" t="s">
        <v>11</v>
      </c>
      <c r="T58" s="80" t="s">
        <v>3509</v>
      </c>
      <c r="U58" s="72" t="s">
        <v>29</v>
      </c>
      <c r="V58" s="72" t="s">
        <v>1935</v>
      </c>
      <c r="W58" s="72" t="s">
        <v>1938</v>
      </c>
      <c r="X58" s="72" t="s">
        <v>2939</v>
      </c>
      <c r="Y58" s="72" t="s">
        <v>3074</v>
      </c>
      <c r="Z58" s="72" t="s">
        <v>535</v>
      </c>
      <c r="AA58" s="147" t="s">
        <v>2939</v>
      </c>
    </row>
    <row r="59" spans="1:27" ht="18.600000000000001" customHeight="1">
      <c r="A59" s="140">
        <f>IF(priority(Main[[#This Row],[Comments]])&lt;&gt;0, priority(Main[[#This Row],[Comments]]),"")</f>
        <v>15</v>
      </c>
      <c r="B59" s="90" t="s">
        <v>2842</v>
      </c>
      <c r="C59" s="72" t="s">
        <v>2843</v>
      </c>
      <c r="D59" s="73" t="s">
        <v>3806</v>
      </c>
      <c r="E59" s="74">
        <v>40912.61923611111</v>
      </c>
      <c r="F59" s="74">
        <v>40590</v>
      </c>
      <c r="G59" s="75" t="str">
        <f>IF(stdProdLT(Main[[#This Row],[Comments]])=0.1,"N/A",IF(stdProdLT(Main[[#This Row],[Comments]])=0,"",stdProdLT(Main[[#This Row],[Comments]])))</f>
        <v>N/A</v>
      </c>
      <c r="H59" s="76">
        <f>IF(AND(Main[[#This Row],[In Stock Date]]&lt;&gt;"",Main[[#This Row],[Revised Due Date]]&lt;&gt;""),Main[[#This Row],[In Stock Date]]-Main[[#This Row],[Revised Due Date]],"")</f>
        <v>-365</v>
      </c>
      <c r="I59" s="72" t="s">
        <v>952</v>
      </c>
      <c r="J59" s="72" t="s">
        <v>28</v>
      </c>
      <c r="K59" s="72" t="s">
        <v>1939</v>
      </c>
      <c r="L59" s="74">
        <v>40925</v>
      </c>
      <c r="M59" s="77">
        <f>IF(Main[[#This Row],[Tech Start Date]]&lt;1/1/1990,"",IF(Main[[#This Row],[Class]]="C",WORKDAY(Main[[#This Row],[Tech Start Date]],9),IF(Main[[#This Row],[Class]]="B", WORKDAY(Main[[#This Row],[Tech Start Date]],6),IF(Main[[#This Row],[Class]]="A",WORKDAY(Main[[#This Row],[Tech Start Date]],2),""))))</f>
        <v>40933</v>
      </c>
      <c r="N59" s="77">
        <f>IF(Main[[#This Row],[Tech Start Date]]&lt;1/1/1990,"",IF(Main[[#This Row],[Class]]="C",WORKDAY(Main[[#This Row],[Tech Start Date]],19),IF(Main[[#This Row],[Class]]="B", WORKDAY(Main[[#This Row],[Tech Start Date]],12),IF(Main[[#This Row],[Class]]="A",WORKDAY(Main[[#This Row],[Tech Start Date]],4),""))))</f>
        <v>40941</v>
      </c>
      <c r="O59" s="77">
        <f>IF(Main[[#This Row],[Tech Start Date]]&lt;1/1/1990,"",IF(Main[[#This Row],[Class]]="C",WORKDAY(Main[[#This Row],[Tech Start Date]],23),IF(Main[[#This Row],[Class]]="B", WORKDAY(Main[[#This Row],[Tech Start Date]],15),IF(Main[[#This Row],[Class]]="A",WORKDAY(Main[[#This Row],[Tech Start Date]],5),""))))</f>
        <v>40946</v>
      </c>
      <c r="P59" s="77">
        <f>IF(Main[[#This Row],[Tech Start Date]]&lt;1/1/1990,"",IF(Main[[#This Row],[Class]]="C",WORKDAY(Main[[#This Row],[Tech Start Date]],28),IF(Main[[#This Row],[Class]]="B", WORKDAY(Main[[#This Row],[Tech Start Date]],19),IF(Main[[#This Row],[Class]]="A",WORKDAY(Main[[#This Row],[Tech Start Date]],9),""))))</f>
        <v>40952</v>
      </c>
      <c r="Q59" s="74"/>
      <c r="R59" s="74">
        <v>40955</v>
      </c>
      <c r="S59" s="72" t="s">
        <v>11</v>
      </c>
      <c r="T59" s="80" t="s">
        <v>3807</v>
      </c>
      <c r="U59" s="72" t="s">
        <v>29</v>
      </c>
      <c r="V59" s="72" t="s">
        <v>1933</v>
      </c>
      <c r="W59" s="72" t="s">
        <v>1934</v>
      </c>
      <c r="X59" s="72" t="s">
        <v>2906</v>
      </c>
      <c r="Y59" s="72" t="s">
        <v>4</v>
      </c>
      <c r="Z59" s="72" t="s">
        <v>2075</v>
      </c>
      <c r="AA59" s="147" t="s">
        <v>2906</v>
      </c>
    </row>
    <row r="60" spans="1:27" ht="18.600000000000001" customHeight="1">
      <c r="A60" s="140">
        <f>IF(priority(Main[[#This Row],[Comments]])&lt;&gt;0, priority(Main[[#This Row],[Comments]]),"")</f>
        <v>16</v>
      </c>
      <c r="B60" s="90" t="s">
        <v>3311</v>
      </c>
      <c r="C60" s="72" t="s">
        <v>3323</v>
      </c>
      <c r="D60" s="73" t="s">
        <v>3312</v>
      </c>
      <c r="E60" s="74">
        <v>40921.060983796298</v>
      </c>
      <c r="F60" s="74">
        <v>41122</v>
      </c>
      <c r="G60" s="75">
        <f>IF(stdProdLT(Main[[#This Row],[Comments]])=0.1,"N/A",IF(stdProdLT(Main[[#This Row],[Comments]])=0,"",stdProdLT(Main[[#This Row],[Comments]])))</f>
        <v>168</v>
      </c>
      <c r="H60" s="76">
        <f>IF(AND(Main[[#This Row],[In Stock Date]]&lt;&gt;"",Main[[#This Row],[Revised Due Date]]&lt;&gt;""),Main[[#This Row],[In Stock Date]]-Main[[#This Row],[Revised Due Date]],"")</f>
        <v>174</v>
      </c>
      <c r="I60" s="72" t="s">
        <v>494</v>
      </c>
      <c r="J60" s="72" t="s">
        <v>70</v>
      </c>
      <c r="K60" s="81" t="s">
        <v>1945</v>
      </c>
      <c r="L60" s="74">
        <v>40925</v>
      </c>
      <c r="M60" s="77">
        <f>IF(Main[[#This Row],[Tech Start Date]]&lt;1/1/1990,"",IF(Main[[#This Row],[Class]]="C",WORKDAY(Main[[#This Row],[Tech Start Date]],9),IF(Main[[#This Row],[Class]]="B", WORKDAY(Main[[#This Row],[Tech Start Date]],6),IF(Main[[#This Row],[Class]]="A",WORKDAY(Main[[#This Row],[Tech Start Date]],2),""))))</f>
        <v>40938</v>
      </c>
      <c r="N60" s="77">
        <f>IF(Main[[#This Row],[Tech Start Date]]&lt;1/1/1990,"",IF(Main[[#This Row],[Class]]="C",WORKDAY(Main[[#This Row],[Tech Start Date]],19),IF(Main[[#This Row],[Class]]="B", WORKDAY(Main[[#This Row],[Tech Start Date]],12),IF(Main[[#This Row],[Class]]="A",WORKDAY(Main[[#This Row],[Tech Start Date]],4),""))))</f>
        <v>40952</v>
      </c>
      <c r="O60" s="77">
        <f>IF(Main[[#This Row],[Tech Start Date]]&lt;1/1/1990,"",IF(Main[[#This Row],[Class]]="C",WORKDAY(Main[[#This Row],[Tech Start Date]],23),IF(Main[[#This Row],[Class]]="B", WORKDAY(Main[[#This Row],[Tech Start Date]],15),IF(Main[[#This Row],[Class]]="A",WORKDAY(Main[[#This Row],[Tech Start Date]],5),""))))</f>
        <v>40956</v>
      </c>
      <c r="P60" s="77">
        <f>IF(Main[[#This Row],[Tech Start Date]]&lt;1/1/1990,"",IF(Main[[#This Row],[Class]]="C",WORKDAY(Main[[#This Row],[Tech Start Date]],28),IF(Main[[#This Row],[Class]]="B", WORKDAY(Main[[#This Row],[Tech Start Date]],19),IF(Main[[#This Row],[Class]]="A",WORKDAY(Main[[#This Row],[Tech Start Date]],9),""))))</f>
        <v>40963</v>
      </c>
      <c r="Q60" s="74">
        <v>40953</v>
      </c>
      <c r="R60" s="74">
        <v>40948</v>
      </c>
      <c r="S60" s="72" t="s">
        <v>11</v>
      </c>
      <c r="T60" s="80" t="s">
        <v>3517</v>
      </c>
      <c r="U60" s="72" t="s">
        <v>29</v>
      </c>
      <c r="V60" s="72" t="s">
        <v>1935</v>
      </c>
      <c r="W60" s="72" t="s">
        <v>1938</v>
      </c>
      <c r="X60" s="72" t="s">
        <v>2939</v>
      </c>
      <c r="Y60" s="72" t="s">
        <v>3074</v>
      </c>
      <c r="Z60" s="72" t="s">
        <v>535</v>
      </c>
      <c r="AA60" s="147" t="s">
        <v>2939</v>
      </c>
    </row>
    <row r="61" spans="1:27" ht="18.600000000000001" customHeight="1">
      <c r="A61" s="140">
        <f>IF(priority(Main[[#This Row],[Comments]])&lt;&gt;0, priority(Main[[#This Row],[Comments]]),"")</f>
        <v>16</v>
      </c>
      <c r="B61" s="90" t="s">
        <v>3578</v>
      </c>
      <c r="C61" s="72" t="s">
        <v>53</v>
      </c>
      <c r="D61" s="73" t="s">
        <v>3600</v>
      </c>
      <c r="E61" s="74">
        <v>40939.469178240739</v>
      </c>
      <c r="F61" s="74">
        <v>40963</v>
      </c>
      <c r="G61" s="75" t="str">
        <f>IF(stdProdLT(Main[[#This Row],[Comments]])=0.1,"N/A",IF(stdProdLT(Main[[#This Row],[Comments]])=0,"",stdProdLT(Main[[#This Row],[Comments]])))</f>
        <v/>
      </c>
      <c r="H61" s="76">
        <f>IF(AND(Main[[#This Row],[In Stock Date]]&lt;&gt;"",Main[[#This Row],[Revised Due Date]]&lt;&gt;""),Main[[#This Row],[In Stock Date]]-Main[[#This Row],[Revised Due Date]],"")</f>
        <v>7</v>
      </c>
      <c r="I61" s="72" t="s">
        <v>953</v>
      </c>
      <c r="J61" s="72" t="s">
        <v>28</v>
      </c>
      <c r="K61" s="81" t="s">
        <v>1945</v>
      </c>
      <c r="L61" s="74">
        <v>40942</v>
      </c>
      <c r="M61" s="77">
        <f>IF(Main[[#This Row],[Tech Start Date]]&lt;1/1/1990,"",IF(Main[[#This Row],[Class]]="C",WORKDAY(Main[[#This Row],[Tech Start Date]],9),IF(Main[[#This Row],[Class]]="B", WORKDAY(Main[[#This Row],[Tech Start Date]],6),IF(Main[[#This Row],[Class]]="A",WORKDAY(Main[[#This Row],[Tech Start Date]],2),""))))</f>
        <v>40955</v>
      </c>
      <c r="N61" s="77">
        <f>IF(Main[[#This Row],[Tech Start Date]]&lt;1/1/1990,"",IF(Main[[#This Row],[Class]]="C",WORKDAY(Main[[#This Row],[Tech Start Date]],19),IF(Main[[#This Row],[Class]]="B", WORKDAY(Main[[#This Row],[Tech Start Date]],12),IF(Main[[#This Row],[Class]]="A",WORKDAY(Main[[#This Row],[Tech Start Date]],4),""))))</f>
        <v>40969</v>
      </c>
      <c r="O61" s="77">
        <f>IF(Main[[#This Row],[Tech Start Date]]&lt;1/1/1990,"",IF(Main[[#This Row],[Class]]="C",WORKDAY(Main[[#This Row],[Tech Start Date]],23),IF(Main[[#This Row],[Class]]="B", WORKDAY(Main[[#This Row],[Tech Start Date]],15),IF(Main[[#This Row],[Class]]="A",WORKDAY(Main[[#This Row],[Tech Start Date]],5),""))))</f>
        <v>40975</v>
      </c>
      <c r="P61" s="77">
        <f>IF(Main[[#This Row],[Tech Start Date]]&lt;1/1/1990,"",IF(Main[[#This Row],[Class]]="C",WORKDAY(Main[[#This Row],[Tech Start Date]],28),IF(Main[[#This Row],[Class]]="B", WORKDAY(Main[[#This Row],[Tech Start Date]],19),IF(Main[[#This Row],[Class]]="A",WORKDAY(Main[[#This Row],[Tech Start Date]],9),""))))</f>
        <v>40982</v>
      </c>
      <c r="Q61" s="74"/>
      <c r="R61" s="74">
        <v>40956</v>
      </c>
      <c r="S61" s="72" t="s">
        <v>11</v>
      </c>
      <c r="T61" s="80" t="s">
        <v>3812</v>
      </c>
      <c r="U61" s="72" t="s">
        <v>29</v>
      </c>
      <c r="V61" s="72" t="s">
        <v>1933</v>
      </c>
      <c r="W61" s="72" t="s">
        <v>1934</v>
      </c>
      <c r="X61" s="72" t="s">
        <v>2906</v>
      </c>
      <c r="Y61" s="72" t="s">
        <v>4</v>
      </c>
      <c r="Z61" s="72" t="s">
        <v>2075</v>
      </c>
      <c r="AA61" s="147" t="s">
        <v>2906</v>
      </c>
    </row>
    <row r="62" spans="1:27" ht="18.600000000000001" customHeight="1">
      <c r="A62" s="140">
        <f>IF(priority(Main[[#This Row],[Comments]])&lt;&gt;0, priority(Main[[#This Row],[Comments]]),"")</f>
        <v>16.2</v>
      </c>
      <c r="B62" s="90" t="s">
        <v>2435</v>
      </c>
      <c r="C62" s="72" t="s">
        <v>31</v>
      </c>
      <c r="D62" s="73" t="s">
        <v>2436</v>
      </c>
      <c r="E62" s="74"/>
      <c r="F62" s="74">
        <v>41000</v>
      </c>
      <c r="G62" s="75">
        <f>IF(stdProdLT(Main[[#This Row],[Comments]])=0.1,"N/A",IF(stdProdLT(Main[[#This Row],[Comments]])=0,"",stdProdLT(Main[[#This Row],[Comments]])))</f>
        <v>140</v>
      </c>
      <c r="H62" s="76" t="str">
        <f>IF(AND(Main[[#This Row],[In Stock Date]]&lt;&gt;"",Main[[#This Row],[Revised Due Date]]&lt;&gt;""),Main[[#This Row],[In Stock Date]]-Main[[#This Row],[Revised Due Date]],"")</f>
        <v/>
      </c>
      <c r="I62" s="72" t="s">
        <v>4</v>
      </c>
      <c r="J62" s="72" t="s">
        <v>4</v>
      </c>
      <c r="K62" s="72" t="s">
        <v>4</v>
      </c>
      <c r="L62" s="74"/>
      <c r="M62" s="77" t="str">
        <f>IF(Main[[#This Row],[Tech Start Date]]&lt;1/1/1990,"",IF(Main[[#This Row],[Class]]="C",WORKDAY(Main[[#This Row],[Tech Start Date]],9),IF(Main[[#This Row],[Class]]="B", WORKDAY(Main[[#This Row],[Tech Start Date]],6),IF(Main[[#This Row],[Class]]="A",WORKDAY(Main[[#This Row],[Tech Start Date]],2),""))))</f>
        <v/>
      </c>
      <c r="N62" s="77" t="str">
        <f>IF(Main[[#This Row],[Tech Start Date]]&lt;1/1/1990,"",IF(Main[[#This Row],[Class]]="C",WORKDAY(Main[[#This Row],[Tech Start Date]],19),IF(Main[[#This Row],[Class]]="B", WORKDAY(Main[[#This Row],[Tech Start Date]],12),IF(Main[[#This Row],[Class]]="A",WORKDAY(Main[[#This Row],[Tech Start Date]],4),""))))</f>
        <v/>
      </c>
      <c r="O62" s="77" t="str">
        <f>IF(Main[[#This Row],[Tech Start Date]]&lt;1/1/1990,"",IF(Main[[#This Row],[Class]]="C",WORKDAY(Main[[#This Row],[Tech Start Date]],23),IF(Main[[#This Row],[Class]]="B", WORKDAY(Main[[#This Row],[Tech Start Date]],15),IF(Main[[#This Row],[Class]]="A",WORKDAY(Main[[#This Row],[Tech Start Date]],5),""))))</f>
        <v/>
      </c>
      <c r="P62" s="77" t="str">
        <f>IF(Main[[#This Row],[Tech Start Date]]&lt;1/1/1990,"",IF(Main[[#This Row],[Class]]="C",WORKDAY(Main[[#This Row],[Tech Start Date]],28),IF(Main[[#This Row],[Class]]="B", WORKDAY(Main[[#This Row],[Tech Start Date]],19),IF(Main[[#This Row],[Class]]="A",WORKDAY(Main[[#This Row],[Tech Start Date]],9),""))))</f>
        <v/>
      </c>
      <c r="Q62" s="74">
        <v>40916</v>
      </c>
      <c r="R62" s="74"/>
      <c r="S62" s="72" t="s">
        <v>11</v>
      </c>
      <c r="T62" s="80" t="s">
        <v>2437</v>
      </c>
      <c r="U62" s="72" t="s">
        <v>14</v>
      </c>
      <c r="V62" s="72" t="s">
        <v>1942</v>
      </c>
      <c r="W62" s="72" t="s">
        <v>1938</v>
      </c>
      <c r="X62" s="72" t="s">
        <v>2931</v>
      </c>
      <c r="Y62" s="72" t="s">
        <v>3184</v>
      </c>
      <c r="Z62" s="72" t="s">
        <v>4</v>
      </c>
      <c r="AA62" s="147" t="s">
        <v>2931</v>
      </c>
    </row>
    <row r="63" spans="1:27" ht="18.600000000000001" customHeight="1">
      <c r="A63" s="140">
        <f>IF(priority(Main[[#This Row],[Comments]])&lt;&gt;0, priority(Main[[#This Row],[Comments]]),"")</f>
        <v>17</v>
      </c>
      <c r="B63" s="90" t="s">
        <v>1236</v>
      </c>
      <c r="C63" s="72" t="s">
        <v>33</v>
      </c>
      <c r="D63" s="73" t="s">
        <v>330</v>
      </c>
      <c r="E63" s="74"/>
      <c r="F63" s="74">
        <v>40695</v>
      </c>
      <c r="G63" s="75" t="str">
        <f>IF(stdProdLT(Main[[#This Row],[Comments]])=0.1,"N/A",IF(stdProdLT(Main[[#This Row],[Comments]])=0,"",stdProdLT(Main[[#This Row],[Comments]])))</f>
        <v/>
      </c>
      <c r="H63" s="76" t="str">
        <f>IF(AND(Main[[#This Row],[In Stock Date]]&lt;&gt;"",Main[[#This Row],[Revised Due Date]]&lt;&gt;""),Main[[#This Row],[In Stock Date]]-Main[[#This Row],[Revised Due Date]],"")</f>
        <v/>
      </c>
      <c r="I63" s="72" t="s">
        <v>108</v>
      </c>
      <c r="J63" s="72" t="s">
        <v>28</v>
      </c>
      <c r="K63" s="72" t="s">
        <v>4</v>
      </c>
      <c r="L63" s="74"/>
      <c r="M63" s="77" t="str">
        <f>IF(Main[[#This Row],[Tech Start Date]]&lt;1/1/1990,"",IF(Main[[#This Row],[Class]]="C",WORKDAY(Main[[#This Row],[Tech Start Date]],9),IF(Main[[#This Row],[Class]]="B", WORKDAY(Main[[#This Row],[Tech Start Date]],6),IF(Main[[#This Row],[Class]]="A",WORKDAY(Main[[#This Row],[Tech Start Date]],2),""))))</f>
        <v/>
      </c>
      <c r="N63" s="77" t="str">
        <f>IF(Main[[#This Row],[Tech Start Date]]&lt;1/1/1990,"",IF(Main[[#This Row],[Class]]="C",WORKDAY(Main[[#This Row],[Tech Start Date]],19),IF(Main[[#This Row],[Class]]="B", WORKDAY(Main[[#This Row],[Tech Start Date]],12),IF(Main[[#This Row],[Class]]="A",WORKDAY(Main[[#This Row],[Tech Start Date]],4),""))))</f>
        <v/>
      </c>
      <c r="O63" s="77" t="str">
        <f>IF(Main[[#This Row],[Tech Start Date]]&lt;1/1/1990,"",IF(Main[[#This Row],[Class]]="C",WORKDAY(Main[[#This Row],[Tech Start Date]],23),IF(Main[[#This Row],[Class]]="B", WORKDAY(Main[[#This Row],[Tech Start Date]],15),IF(Main[[#This Row],[Class]]="A",WORKDAY(Main[[#This Row],[Tech Start Date]],5),""))))</f>
        <v/>
      </c>
      <c r="P63" s="77" t="str">
        <f>IF(Main[[#This Row],[Tech Start Date]]&lt;1/1/1990,"",IF(Main[[#This Row],[Class]]="C",WORKDAY(Main[[#This Row],[Tech Start Date]],28),IF(Main[[#This Row],[Class]]="B", WORKDAY(Main[[#This Row],[Tech Start Date]],19),IF(Main[[#This Row],[Class]]="A",WORKDAY(Main[[#This Row],[Tech Start Date]],9),""))))</f>
        <v/>
      </c>
      <c r="Q63" s="74">
        <v>40695</v>
      </c>
      <c r="R63" s="74"/>
      <c r="S63" s="72" t="s">
        <v>11</v>
      </c>
      <c r="T63" s="80" t="s">
        <v>331</v>
      </c>
      <c r="U63" s="72" t="s">
        <v>14</v>
      </c>
      <c r="V63" s="72" t="s">
        <v>1933</v>
      </c>
      <c r="W63" s="72" t="s">
        <v>1937</v>
      </c>
      <c r="X63" s="72" t="s">
        <v>2966</v>
      </c>
      <c r="Y63" s="72" t="s">
        <v>3116</v>
      </c>
      <c r="Z63" s="72" t="s">
        <v>3257</v>
      </c>
      <c r="AA63" s="147" t="s">
        <v>2966</v>
      </c>
    </row>
    <row r="64" spans="1:27" ht="18.600000000000001" customHeight="1">
      <c r="A64" s="140">
        <f>IF(priority(Main[[#This Row],[Comments]])&lt;&gt;0, priority(Main[[#This Row],[Comments]]),"")</f>
        <v>17</v>
      </c>
      <c r="B64" s="90" t="s">
        <v>3467</v>
      </c>
      <c r="C64" s="72" t="s">
        <v>2845</v>
      </c>
      <c r="D64" s="73" t="s">
        <v>3726</v>
      </c>
      <c r="E64" s="74">
        <v>40932.540138888886</v>
      </c>
      <c r="F64" s="74">
        <v>40939</v>
      </c>
      <c r="G64" s="75" t="str">
        <f>IF(stdProdLT(Main[[#This Row],[Comments]])=0.1,"N/A",IF(stdProdLT(Main[[#This Row],[Comments]])=0,"",stdProdLT(Main[[#This Row],[Comments]])))</f>
        <v>N/A</v>
      </c>
      <c r="H64" s="76">
        <f>IF(AND(Main[[#This Row],[In Stock Date]]&lt;&gt;"",Main[[#This Row],[Revised Due Date]]&lt;&gt;""),Main[[#This Row],[In Stock Date]]-Main[[#This Row],[Revised Due Date]],"")</f>
        <v>-10</v>
      </c>
      <c r="I64" s="72" t="s">
        <v>923</v>
      </c>
      <c r="J64" s="72" t="s">
        <v>52</v>
      </c>
      <c r="K64" s="72" t="s">
        <v>4</v>
      </c>
      <c r="L64" s="74"/>
      <c r="M64" s="77" t="str">
        <f>IF(Main[[#This Row],[Tech Start Date]]&lt;1/1/1990,"",IF(Main[[#This Row],[Class]]="C",WORKDAY(Main[[#This Row],[Tech Start Date]],9),IF(Main[[#This Row],[Class]]="B", WORKDAY(Main[[#This Row],[Tech Start Date]],6),IF(Main[[#This Row],[Class]]="A",WORKDAY(Main[[#This Row],[Tech Start Date]],2),""))))</f>
        <v/>
      </c>
      <c r="N64" s="77" t="str">
        <f>IF(Main[[#This Row],[Tech Start Date]]&lt;1/1/1990,"",IF(Main[[#This Row],[Class]]="C",WORKDAY(Main[[#This Row],[Tech Start Date]],19),IF(Main[[#This Row],[Class]]="B", WORKDAY(Main[[#This Row],[Tech Start Date]],12),IF(Main[[#This Row],[Class]]="A",WORKDAY(Main[[#This Row],[Tech Start Date]],4),""))))</f>
        <v/>
      </c>
      <c r="O64" s="77" t="str">
        <f>IF(Main[[#This Row],[Tech Start Date]]&lt;1/1/1990,"",IF(Main[[#This Row],[Class]]="C",WORKDAY(Main[[#This Row],[Tech Start Date]],23),IF(Main[[#This Row],[Class]]="B", WORKDAY(Main[[#This Row],[Tech Start Date]],15),IF(Main[[#This Row],[Class]]="A",WORKDAY(Main[[#This Row],[Tech Start Date]],5),""))))</f>
        <v/>
      </c>
      <c r="P64" s="77" t="str">
        <f>IF(Main[[#This Row],[Tech Start Date]]&lt;1/1/1990,"",IF(Main[[#This Row],[Class]]="C",WORKDAY(Main[[#This Row],[Tech Start Date]],28),IF(Main[[#This Row],[Class]]="B", WORKDAY(Main[[#This Row],[Tech Start Date]],19),IF(Main[[#This Row],[Class]]="A",WORKDAY(Main[[#This Row],[Tech Start Date]],9),""))))</f>
        <v/>
      </c>
      <c r="Q64" s="74"/>
      <c r="R64" s="74">
        <v>40949</v>
      </c>
      <c r="S64" s="72" t="s">
        <v>11</v>
      </c>
      <c r="T64" s="80" t="s">
        <v>3468</v>
      </c>
      <c r="U64" s="72" t="s">
        <v>29</v>
      </c>
      <c r="V64" s="72" t="s">
        <v>1932</v>
      </c>
      <c r="W64" s="72" t="s">
        <v>1946</v>
      </c>
      <c r="X64" s="72" t="s">
        <v>2907</v>
      </c>
      <c r="Y64" s="72" t="s">
        <v>3023</v>
      </c>
      <c r="Z64" s="72" t="s">
        <v>4</v>
      </c>
      <c r="AA64" s="147" t="s">
        <v>2907</v>
      </c>
    </row>
    <row r="65" spans="1:27" ht="18.600000000000001" customHeight="1">
      <c r="A65" s="140">
        <f>IF(priority(Main[[#This Row],[Comments]])&lt;&gt;0, priority(Main[[#This Row],[Comments]]),"")</f>
        <v>17</v>
      </c>
      <c r="B65" s="90" t="s">
        <v>2045</v>
      </c>
      <c r="C65" s="72" t="s">
        <v>2046</v>
      </c>
      <c r="D65" s="73" t="s">
        <v>2161</v>
      </c>
      <c r="E65" s="74"/>
      <c r="F65" s="74">
        <v>40752</v>
      </c>
      <c r="G65" s="75">
        <f>IF(stdProdLT(Main[[#This Row],[Comments]])=0.1,"N/A",IF(stdProdLT(Main[[#This Row],[Comments]])=0,"",stdProdLT(Main[[#This Row],[Comments]])))</f>
        <v>42</v>
      </c>
      <c r="H65" s="76">
        <f>IF(AND(Main[[#This Row],[In Stock Date]]&lt;&gt;"",Main[[#This Row],[Revised Due Date]]&lt;&gt;""),Main[[#This Row],[In Stock Date]]-Main[[#This Row],[Revised Due Date]],"")</f>
        <v>-32</v>
      </c>
      <c r="I65" s="72" t="s">
        <v>968</v>
      </c>
      <c r="J65" s="72" t="s">
        <v>28</v>
      </c>
      <c r="K65" s="72" t="s">
        <v>1939</v>
      </c>
      <c r="L65" s="74">
        <v>40745</v>
      </c>
      <c r="M65" s="77">
        <f>IF(Main[[#This Row],[Tech Start Date]]&lt;1/1/1990,"",IF(Main[[#This Row],[Class]]="C",WORKDAY(Main[[#This Row],[Tech Start Date]],9),IF(Main[[#This Row],[Class]]="B", WORKDAY(Main[[#This Row],[Tech Start Date]],6),IF(Main[[#This Row],[Class]]="A",WORKDAY(Main[[#This Row],[Tech Start Date]],2),""))))</f>
        <v>40753</v>
      </c>
      <c r="N65" s="77">
        <f>IF(Main[[#This Row],[Tech Start Date]]&lt;1/1/1990,"",IF(Main[[#This Row],[Class]]="C",WORKDAY(Main[[#This Row],[Tech Start Date]],19),IF(Main[[#This Row],[Class]]="B", WORKDAY(Main[[#This Row],[Tech Start Date]],12),IF(Main[[#This Row],[Class]]="A",WORKDAY(Main[[#This Row],[Tech Start Date]],4),""))))</f>
        <v>40763</v>
      </c>
      <c r="O65" s="77">
        <f>IF(Main[[#This Row],[Tech Start Date]]&lt;1/1/1990,"",IF(Main[[#This Row],[Class]]="C",WORKDAY(Main[[#This Row],[Tech Start Date]],23),IF(Main[[#This Row],[Class]]="B", WORKDAY(Main[[#This Row],[Tech Start Date]],15),IF(Main[[#This Row],[Class]]="A",WORKDAY(Main[[#This Row],[Tech Start Date]],5),""))))</f>
        <v>40766</v>
      </c>
      <c r="P65" s="77">
        <f>IF(Main[[#This Row],[Tech Start Date]]&lt;1/1/1990,"",IF(Main[[#This Row],[Class]]="C",WORKDAY(Main[[#This Row],[Tech Start Date]],28),IF(Main[[#This Row],[Class]]="B", WORKDAY(Main[[#This Row],[Tech Start Date]],19),IF(Main[[#This Row],[Class]]="A",WORKDAY(Main[[#This Row],[Tech Start Date]],9),""))))</f>
        <v>40772</v>
      </c>
      <c r="Q65" s="74">
        <v>40752</v>
      </c>
      <c r="R65" s="74">
        <v>40784</v>
      </c>
      <c r="S65" s="72" t="s">
        <v>11</v>
      </c>
      <c r="T65" s="80" t="s">
        <v>2162</v>
      </c>
      <c r="U65" s="72" t="s">
        <v>14</v>
      </c>
      <c r="V65" s="72" t="s">
        <v>1933</v>
      </c>
      <c r="W65" s="72" t="s">
        <v>1934</v>
      </c>
      <c r="X65" s="72" t="s">
        <v>2906</v>
      </c>
      <c r="Y65" s="72" t="s">
        <v>3022</v>
      </c>
      <c r="Z65" s="72" t="s">
        <v>2075</v>
      </c>
      <c r="AA65" s="147" t="s">
        <v>2906</v>
      </c>
    </row>
    <row r="66" spans="1:27" ht="18.600000000000001" customHeight="1">
      <c r="A66" s="140">
        <f>IF(priority(Main[[#This Row],[Comments]])&lt;&gt;0, priority(Main[[#This Row],[Comments]]),"")</f>
        <v>17</v>
      </c>
      <c r="B66" s="90" t="s">
        <v>1176</v>
      </c>
      <c r="C66" s="72" t="s">
        <v>1986</v>
      </c>
      <c r="D66" s="73" t="s">
        <v>220</v>
      </c>
      <c r="E66" s="74"/>
      <c r="F66" s="74">
        <v>40724</v>
      </c>
      <c r="G66" s="75" t="str">
        <f>IF(stdProdLT(Main[[#This Row],[Comments]])=0.1,"N/A",IF(stdProdLT(Main[[#This Row],[Comments]])=0,"",stdProdLT(Main[[#This Row],[Comments]])))</f>
        <v/>
      </c>
      <c r="H66" s="76">
        <f>IF(AND(Main[[#This Row],[In Stock Date]]&lt;&gt;"",Main[[#This Row],[Revised Due Date]]&lt;&gt;""),Main[[#This Row],[In Stock Date]]-Main[[#This Row],[Revised Due Date]],"")</f>
        <v>-176</v>
      </c>
      <c r="I66" s="72" t="s">
        <v>954</v>
      </c>
      <c r="J66" s="72" t="s">
        <v>28</v>
      </c>
      <c r="K66" s="81" t="s">
        <v>1939</v>
      </c>
      <c r="L66" s="74">
        <v>40835</v>
      </c>
      <c r="M66" s="77">
        <f>IF(Main[[#This Row],[Tech Start Date]]&lt;1/1/1990,"",IF(Main[[#This Row],[Class]]="C",WORKDAY(Main[[#This Row],[Tech Start Date]],9),IF(Main[[#This Row],[Class]]="B", WORKDAY(Main[[#This Row],[Tech Start Date]],6),IF(Main[[#This Row],[Class]]="A",WORKDAY(Main[[#This Row],[Tech Start Date]],2),""))))</f>
        <v>40843</v>
      </c>
      <c r="N66" s="77">
        <f>IF(Main[[#This Row],[Tech Start Date]]&lt;1/1/1990,"",IF(Main[[#This Row],[Class]]="C",WORKDAY(Main[[#This Row],[Tech Start Date]],19),IF(Main[[#This Row],[Class]]="B", WORKDAY(Main[[#This Row],[Tech Start Date]],12),IF(Main[[#This Row],[Class]]="A",WORKDAY(Main[[#This Row],[Tech Start Date]],4),""))))</f>
        <v>40851</v>
      </c>
      <c r="O66" s="77">
        <f>IF(Main[[#This Row],[Tech Start Date]]&lt;1/1/1990,"",IF(Main[[#This Row],[Class]]="C",WORKDAY(Main[[#This Row],[Tech Start Date]],23),IF(Main[[#This Row],[Class]]="B", WORKDAY(Main[[#This Row],[Tech Start Date]],15),IF(Main[[#This Row],[Class]]="A",WORKDAY(Main[[#This Row],[Tech Start Date]],5),""))))</f>
        <v>40856</v>
      </c>
      <c r="P66" s="77">
        <f>IF(Main[[#This Row],[Tech Start Date]]&lt;1/1/1990,"",IF(Main[[#This Row],[Class]]="C",WORKDAY(Main[[#This Row],[Tech Start Date]],28),IF(Main[[#This Row],[Class]]="B", WORKDAY(Main[[#This Row],[Tech Start Date]],19),IF(Main[[#This Row],[Class]]="A",WORKDAY(Main[[#This Row],[Tech Start Date]],9),""))))</f>
        <v>40862</v>
      </c>
      <c r="Q66" s="74">
        <v>40724</v>
      </c>
      <c r="R66" s="74">
        <v>40900</v>
      </c>
      <c r="S66" s="72" t="s">
        <v>11</v>
      </c>
      <c r="T66" s="80" t="s">
        <v>2886</v>
      </c>
      <c r="U66" s="72" t="s">
        <v>14</v>
      </c>
      <c r="V66" s="72" t="s">
        <v>1933</v>
      </c>
      <c r="W66" s="72" t="s">
        <v>1940</v>
      </c>
      <c r="X66" s="72" t="s">
        <v>2948</v>
      </c>
      <c r="Y66" s="72" t="s">
        <v>3093</v>
      </c>
      <c r="Z66" s="72" t="s">
        <v>2075</v>
      </c>
      <c r="AA66" s="147" t="s">
        <v>2948</v>
      </c>
    </row>
    <row r="67" spans="1:27" ht="18.600000000000001" customHeight="1">
      <c r="A67" s="140">
        <f>IF(priority(Main[[#This Row],[Comments]])&lt;&gt;0, priority(Main[[#This Row],[Comments]]),"")</f>
        <v>17</v>
      </c>
      <c r="B67" s="90" t="s">
        <v>3309</v>
      </c>
      <c r="C67" s="72" t="s">
        <v>3323</v>
      </c>
      <c r="D67" s="73" t="s">
        <v>3310</v>
      </c>
      <c r="E67" s="74">
        <v>40921.084976851853</v>
      </c>
      <c r="F67" s="74">
        <v>41122</v>
      </c>
      <c r="G67" s="75">
        <f>IF(stdProdLT(Main[[#This Row],[Comments]])=0.1,"N/A",IF(stdProdLT(Main[[#This Row],[Comments]])=0,"",stdProdLT(Main[[#This Row],[Comments]])))</f>
        <v>168</v>
      </c>
      <c r="H67" s="76">
        <f>IF(AND(Main[[#This Row],[In Stock Date]]&lt;&gt;"",Main[[#This Row],[Revised Due Date]]&lt;&gt;""),Main[[#This Row],[In Stock Date]]-Main[[#This Row],[Revised Due Date]],"")</f>
        <v>173</v>
      </c>
      <c r="I67" s="72" t="s">
        <v>44</v>
      </c>
      <c r="J67" s="72" t="s">
        <v>28</v>
      </c>
      <c r="K67" s="72" t="s">
        <v>1945</v>
      </c>
      <c r="L67" s="74">
        <v>40925</v>
      </c>
      <c r="M67" s="77">
        <f>IF(Main[[#This Row],[Tech Start Date]]&lt;1/1/1990,"",IF(Main[[#This Row],[Class]]="C",WORKDAY(Main[[#This Row],[Tech Start Date]],9),IF(Main[[#This Row],[Class]]="B", WORKDAY(Main[[#This Row],[Tech Start Date]],6),IF(Main[[#This Row],[Class]]="A",WORKDAY(Main[[#This Row],[Tech Start Date]],2),""))))</f>
        <v>40938</v>
      </c>
      <c r="N67" s="77">
        <f>IF(Main[[#This Row],[Tech Start Date]]&lt;1/1/1990,"",IF(Main[[#This Row],[Class]]="C",WORKDAY(Main[[#This Row],[Tech Start Date]],19),IF(Main[[#This Row],[Class]]="B", WORKDAY(Main[[#This Row],[Tech Start Date]],12),IF(Main[[#This Row],[Class]]="A",WORKDAY(Main[[#This Row],[Tech Start Date]],4),""))))</f>
        <v>40952</v>
      </c>
      <c r="O67" s="77">
        <f>IF(Main[[#This Row],[Tech Start Date]]&lt;1/1/1990,"",IF(Main[[#This Row],[Class]]="C",WORKDAY(Main[[#This Row],[Tech Start Date]],23),IF(Main[[#This Row],[Class]]="B", WORKDAY(Main[[#This Row],[Tech Start Date]],15),IF(Main[[#This Row],[Class]]="A",WORKDAY(Main[[#This Row],[Tech Start Date]],5),""))))</f>
        <v>40956</v>
      </c>
      <c r="P67" s="77">
        <f>IF(Main[[#This Row],[Tech Start Date]]&lt;1/1/1990,"",IF(Main[[#This Row],[Class]]="C",WORKDAY(Main[[#This Row],[Tech Start Date]],28),IF(Main[[#This Row],[Class]]="B", WORKDAY(Main[[#This Row],[Tech Start Date]],19),IF(Main[[#This Row],[Class]]="A",WORKDAY(Main[[#This Row],[Tech Start Date]],9),""))))</f>
        <v>40963</v>
      </c>
      <c r="Q67" s="74">
        <v>40973</v>
      </c>
      <c r="R67" s="74">
        <v>40949</v>
      </c>
      <c r="S67" s="72" t="s">
        <v>11</v>
      </c>
      <c r="T67" s="80" t="s">
        <v>3514</v>
      </c>
      <c r="U67" s="72" t="s">
        <v>29</v>
      </c>
      <c r="V67" s="72" t="s">
        <v>1935</v>
      </c>
      <c r="W67" s="72" t="s">
        <v>1938</v>
      </c>
      <c r="X67" s="72" t="s">
        <v>2939</v>
      </c>
      <c r="Y67" s="72" t="s">
        <v>3074</v>
      </c>
      <c r="Z67" s="72" t="s">
        <v>535</v>
      </c>
      <c r="AA67" s="147" t="s">
        <v>2939</v>
      </c>
    </row>
    <row r="68" spans="1:27" ht="18.600000000000001" customHeight="1">
      <c r="A68" s="140">
        <f>IF(priority(Main[[#This Row],[Comments]])&lt;&gt;0, priority(Main[[#This Row],[Comments]]),"")</f>
        <v>17</v>
      </c>
      <c r="B68" s="90" t="s">
        <v>3752</v>
      </c>
      <c r="C68" s="72" t="s">
        <v>3753</v>
      </c>
      <c r="D68" s="73" t="s">
        <v>3811</v>
      </c>
      <c r="E68" s="74">
        <v>40941.352685185186</v>
      </c>
      <c r="F68" s="74">
        <v>40960</v>
      </c>
      <c r="G68" s="75" t="str">
        <f>IF(stdProdLT(Main[[#This Row],[Comments]])=0.1,"N/A",IF(stdProdLT(Main[[#This Row],[Comments]])=0,"",stdProdLT(Main[[#This Row],[Comments]])))</f>
        <v/>
      </c>
      <c r="H68" s="76">
        <f>IF(AND(Main[[#This Row],[In Stock Date]]&lt;&gt;"",Main[[#This Row],[Revised Due Date]]&lt;&gt;""),Main[[#This Row],[In Stock Date]]-Main[[#This Row],[Revised Due Date]],"")</f>
        <v>5</v>
      </c>
      <c r="I68" s="72" t="s">
        <v>2278</v>
      </c>
      <c r="J68" s="72" t="s">
        <v>28</v>
      </c>
      <c r="K68" s="72" t="s">
        <v>1945</v>
      </c>
      <c r="L68" s="74">
        <v>40942</v>
      </c>
      <c r="M68" s="77">
        <f>IF(Main[[#This Row],[Tech Start Date]]&lt;1/1/1990,"",IF(Main[[#This Row],[Class]]="C",WORKDAY(Main[[#This Row],[Tech Start Date]],9),IF(Main[[#This Row],[Class]]="B", WORKDAY(Main[[#This Row],[Tech Start Date]],6),IF(Main[[#This Row],[Class]]="A",WORKDAY(Main[[#This Row],[Tech Start Date]],2),""))))</f>
        <v>40955</v>
      </c>
      <c r="N68" s="77">
        <f>IF(Main[[#This Row],[Tech Start Date]]&lt;1/1/1990,"",IF(Main[[#This Row],[Class]]="C",WORKDAY(Main[[#This Row],[Tech Start Date]],19),IF(Main[[#This Row],[Class]]="B", WORKDAY(Main[[#This Row],[Tech Start Date]],12),IF(Main[[#This Row],[Class]]="A",WORKDAY(Main[[#This Row],[Tech Start Date]],4),""))))</f>
        <v>40969</v>
      </c>
      <c r="O68" s="77">
        <f>IF(Main[[#This Row],[Tech Start Date]]&lt;1/1/1990,"",IF(Main[[#This Row],[Class]]="C",WORKDAY(Main[[#This Row],[Tech Start Date]],23),IF(Main[[#This Row],[Class]]="B", WORKDAY(Main[[#This Row],[Tech Start Date]],15),IF(Main[[#This Row],[Class]]="A",WORKDAY(Main[[#This Row],[Tech Start Date]],5),""))))</f>
        <v>40975</v>
      </c>
      <c r="P68" s="77">
        <f>IF(Main[[#This Row],[Tech Start Date]]&lt;1/1/1990,"",IF(Main[[#This Row],[Class]]="C",WORKDAY(Main[[#This Row],[Tech Start Date]],28),IF(Main[[#This Row],[Class]]="B", WORKDAY(Main[[#This Row],[Tech Start Date]],19),IF(Main[[#This Row],[Class]]="A",WORKDAY(Main[[#This Row],[Tech Start Date]],9),""))))</f>
        <v>40982</v>
      </c>
      <c r="Q68" s="74">
        <v>40948</v>
      </c>
      <c r="R68" s="74">
        <v>40955</v>
      </c>
      <c r="S68" s="72" t="s">
        <v>11</v>
      </c>
      <c r="T68" s="80" t="s">
        <v>331</v>
      </c>
      <c r="U68" s="72" t="s">
        <v>29</v>
      </c>
      <c r="V68" s="72" t="s">
        <v>1933</v>
      </c>
      <c r="W68" s="72" t="s">
        <v>1934</v>
      </c>
      <c r="X68" s="72" t="s">
        <v>2906</v>
      </c>
      <c r="Y68" s="72" t="s">
        <v>4</v>
      </c>
      <c r="Z68" s="72" t="s">
        <v>2075</v>
      </c>
      <c r="AA68" s="147" t="s">
        <v>2906</v>
      </c>
    </row>
    <row r="69" spans="1:27" ht="18.600000000000001" customHeight="1">
      <c r="A69" s="140">
        <f>IF(priority(Main[[#This Row],[Comments]])&lt;&gt;0, priority(Main[[#This Row],[Comments]]),"")</f>
        <v>18</v>
      </c>
      <c r="B69" s="90" t="s">
        <v>1247</v>
      </c>
      <c r="C69" s="72" t="s">
        <v>298</v>
      </c>
      <c r="D69" s="73" t="s">
        <v>2339</v>
      </c>
      <c r="E69" s="74">
        <v>40466.671342592592</v>
      </c>
      <c r="F69" s="74"/>
      <c r="G69" s="75" t="str">
        <f>IF(stdProdLT(Main[[#This Row],[Comments]])=0.1,"N/A",IF(stdProdLT(Main[[#This Row],[Comments]])=0,"",stdProdLT(Main[[#This Row],[Comments]])))</f>
        <v/>
      </c>
      <c r="H69" s="76" t="str">
        <f>IF(AND(Main[[#This Row],[In Stock Date]]&lt;&gt;"",Main[[#This Row],[Revised Due Date]]&lt;&gt;""),Main[[#This Row],[In Stock Date]]-Main[[#This Row],[Revised Due Date]],"")</f>
        <v/>
      </c>
      <c r="I69" s="72" t="s">
        <v>4</v>
      </c>
      <c r="J69" s="72" t="s">
        <v>28</v>
      </c>
      <c r="K69" s="72" t="s">
        <v>4</v>
      </c>
      <c r="L69" s="74"/>
      <c r="M69" s="77" t="str">
        <f>IF(Main[[#This Row],[Tech Start Date]]&lt;1/1/1990,"",IF(Main[[#This Row],[Class]]="C",WORKDAY(Main[[#This Row],[Tech Start Date]],9),IF(Main[[#This Row],[Class]]="B", WORKDAY(Main[[#This Row],[Tech Start Date]],6),IF(Main[[#This Row],[Class]]="A",WORKDAY(Main[[#This Row],[Tech Start Date]],2),""))))</f>
        <v/>
      </c>
      <c r="N69" s="77" t="str">
        <f>IF(Main[[#This Row],[Tech Start Date]]&lt;1/1/1990,"",IF(Main[[#This Row],[Class]]="C",WORKDAY(Main[[#This Row],[Tech Start Date]],19),IF(Main[[#This Row],[Class]]="B", WORKDAY(Main[[#This Row],[Tech Start Date]],12),IF(Main[[#This Row],[Class]]="A",WORKDAY(Main[[#This Row],[Tech Start Date]],4),""))))</f>
        <v/>
      </c>
      <c r="O69" s="77" t="str">
        <f>IF(Main[[#This Row],[Tech Start Date]]&lt;1/1/1990,"",IF(Main[[#This Row],[Class]]="C",WORKDAY(Main[[#This Row],[Tech Start Date]],23),IF(Main[[#This Row],[Class]]="B", WORKDAY(Main[[#This Row],[Tech Start Date]],15),IF(Main[[#This Row],[Class]]="A",WORKDAY(Main[[#This Row],[Tech Start Date]],5),""))))</f>
        <v/>
      </c>
      <c r="P69" s="77" t="str">
        <f>IF(Main[[#This Row],[Tech Start Date]]&lt;1/1/1990,"",IF(Main[[#This Row],[Class]]="C",WORKDAY(Main[[#This Row],[Tech Start Date]],28),IF(Main[[#This Row],[Class]]="B", WORKDAY(Main[[#This Row],[Tech Start Date]],19),IF(Main[[#This Row],[Class]]="A",WORKDAY(Main[[#This Row],[Tech Start Date]],9),""))))</f>
        <v/>
      </c>
      <c r="Q69" s="74"/>
      <c r="R69" s="74"/>
      <c r="S69" s="72" t="s">
        <v>6</v>
      </c>
      <c r="T69" s="80" t="s">
        <v>2706</v>
      </c>
      <c r="U69" s="72" t="s">
        <v>7</v>
      </c>
      <c r="V69" s="72" t="s">
        <v>1932</v>
      </c>
      <c r="W69" s="72" t="s">
        <v>1940</v>
      </c>
      <c r="X69" s="72" t="s">
        <v>894</v>
      </c>
      <c r="Y69" s="72" t="s">
        <v>3058</v>
      </c>
      <c r="Z69" s="72" t="s">
        <v>129</v>
      </c>
      <c r="AA69" s="147" t="s">
        <v>894</v>
      </c>
    </row>
    <row r="70" spans="1:27" ht="18.600000000000001" customHeight="1">
      <c r="A70" s="140">
        <f>IF(priority(Main[[#This Row],[Comments]])&lt;&gt;0, priority(Main[[#This Row],[Comments]]),"")</f>
        <v>18</v>
      </c>
      <c r="B70" s="90" t="s">
        <v>2431</v>
      </c>
      <c r="C70" s="72" t="s">
        <v>2432</v>
      </c>
      <c r="D70" s="73" t="s">
        <v>2890</v>
      </c>
      <c r="E70" s="74">
        <v>40864.56318287037</v>
      </c>
      <c r="F70" s="74"/>
      <c r="G70" s="75" t="str">
        <f>IF(stdProdLT(Main[[#This Row],[Comments]])=0.1,"N/A",IF(stdProdLT(Main[[#This Row],[Comments]])=0,"",stdProdLT(Main[[#This Row],[Comments]])))</f>
        <v>N/A</v>
      </c>
      <c r="H70" s="76" t="str">
        <f>IF(AND(Main[[#This Row],[In Stock Date]]&lt;&gt;"",Main[[#This Row],[Revised Due Date]]&lt;&gt;""),Main[[#This Row],[In Stock Date]]-Main[[#This Row],[Revised Due Date]],"")</f>
        <v/>
      </c>
      <c r="I70" s="72" t="s">
        <v>2278</v>
      </c>
      <c r="J70" s="72" t="s">
        <v>28</v>
      </c>
      <c r="K70" s="72" t="s">
        <v>1939</v>
      </c>
      <c r="L70" s="74">
        <v>40878</v>
      </c>
      <c r="M70" s="77">
        <f>IF(Main[[#This Row],[Tech Start Date]]&lt;1/1/1990,"",IF(Main[[#This Row],[Class]]="C",WORKDAY(Main[[#This Row],[Tech Start Date]],9),IF(Main[[#This Row],[Class]]="B", WORKDAY(Main[[#This Row],[Tech Start Date]],6),IF(Main[[#This Row],[Class]]="A",WORKDAY(Main[[#This Row],[Tech Start Date]],2),""))))</f>
        <v>40886</v>
      </c>
      <c r="N70" s="77">
        <f>IF(Main[[#This Row],[Tech Start Date]]&lt;1/1/1990,"",IF(Main[[#This Row],[Class]]="C",WORKDAY(Main[[#This Row],[Tech Start Date]],19),IF(Main[[#This Row],[Class]]="B", WORKDAY(Main[[#This Row],[Tech Start Date]],12),IF(Main[[#This Row],[Class]]="A",WORKDAY(Main[[#This Row],[Tech Start Date]],4),""))))</f>
        <v>40896</v>
      </c>
      <c r="O70" s="77">
        <f>IF(Main[[#This Row],[Tech Start Date]]&lt;1/1/1990,"",IF(Main[[#This Row],[Class]]="C",WORKDAY(Main[[#This Row],[Tech Start Date]],23),IF(Main[[#This Row],[Class]]="B", WORKDAY(Main[[#This Row],[Tech Start Date]],15),IF(Main[[#This Row],[Class]]="A",WORKDAY(Main[[#This Row],[Tech Start Date]],5),""))))</f>
        <v>40899</v>
      </c>
      <c r="P70" s="77">
        <f>IF(Main[[#This Row],[Tech Start Date]]&lt;1/1/1990,"",IF(Main[[#This Row],[Class]]="C",WORKDAY(Main[[#This Row],[Tech Start Date]],28),IF(Main[[#This Row],[Class]]="B", WORKDAY(Main[[#This Row],[Tech Start Date]],19),IF(Main[[#This Row],[Class]]="A",WORKDAY(Main[[#This Row],[Tech Start Date]],9),""))))</f>
        <v>40905</v>
      </c>
      <c r="Q70" s="74"/>
      <c r="R70" s="74"/>
      <c r="S70" s="72" t="s">
        <v>11</v>
      </c>
      <c r="T70" s="80" t="s">
        <v>3803</v>
      </c>
      <c r="U70" s="72" t="s">
        <v>29</v>
      </c>
      <c r="V70" s="72" t="s">
        <v>1933</v>
      </c>
      <c r="W70" s="72" t="s">
        <v>1934</v>
      </c>
      <c r="X70" s="72" t="s">
        <v>2906</v>
      </c>
      <c r="Y70" s="72" t="s">
        <v>3088</v>
      </c>
      <c r="Z70" s="72" t="s">
        <v>2075</v>
      </c>
      <c r="AA70" s="147" t="s">
        <v>2906</v>
      </c>
    </row>
    <row r="71" spans="1:27" ht="18.600000000000001" customHeight="1">
      <c r="A71" s="140">
        <f>IF(priority(Main[[#This Row],[Comments]])&lt;&gt;0, priority(Main[[#This Row],[Comments]]),"")</f>
        <v>18</v>
      </c>
      <c r="B71" s="90" t="s">
        <v>3316</v>
      </c>
      <c r="C71" s="72" t="s">
        <v>3317</v>
      </c>
      <c r="D71" s="73" t="s">
        <v>3593</v>
      </c>
      <c r="E71" s="74">
        <v>40920.494050925925</v>
      </c>
      <c r="F71" s="74">
        <v>41197</v>
      </c>
      <c r="G71" s="75">
        <f>IF(stdProdLT(Main[[#This Row],[Comments]])=0.1,"N/A",IF(stdProdLT(Main[[#This Row],[Comments]])=0,"",stdProdLT(Main[[#This Row],[Comments]])))</f>
        <v>126</v>
      </c>
      <c r="H71" s="76">
        <f>IF(AND(Main[[#This Row],[In Stock Date]]&lt;&gt;"",Main[[#This Row],[Revised Due Date]]&lt;&gt;""),Main[[#This Row],[In Stock Date]]-Main[[#This Row],[Revised Due Date]],"")</f>
        <v>241</v>
      </c>
      <c r="I71" s="72" t="s">
        <v>923</v>
      </c>
      <c r="J71" s="72" t="s">
        <v>52</v>
      </c>
      <c r="K71" s="81" t="s">
        <v>1939</v>
      </c>
      <c r="L71" s="74">
        <v>40921</v>
      </c>
      <c r="M71" s="77">
        <f>IF(Main[[#This Row],[Tech Start Date]]&lt;1/1/1990,"",IF(Main[[#This Row],[Class]]="C",WORKDAY(Main[[#This Row],[Tech Start Date]],9),IF(Main[[#This Row],[Class]]="B", WORKDAY(Main[[#This Row],[Tech Start Date]],6),IF(Main[[#This Row],[Class]]="A",WORKDAY(Main[[#This Row],[Tech Start Date]],2),""))))</f>
        <v>40931</v>
      </c>
      <c r="N71" s="77">
        <f>IF(Main[[#This Row],[Tech Start Date]]&lt;1/1/1990,"",IF(Main[[#This Row],[Class]]="C",WORKDAY(Main[[#This Row],[Tech Start Date]],19),IF(Main[[#This Row],[Class]]="B", WORKDAY(Main[[#This Row],[Tech Start Date]],12),IF(Main[[#This Row],[Class]]="A",WORKDAY(Main[[#This Row],[Tech Start Date]],4),""))))</f>
        <v>40939</v>
      </c>
      <c r="O71" s="77">
        <f>IF(Main[[#This Row],[Tech Start Date]]&lt;1/1/1990,"",IF(Main[[#This Row],[Class]]="C",WORKDAY(Main[[#This Row],[Tech Start Date]],23),IF(Main[[#This Row],[Class]]="B", WORKDAY(Main[[#This Row],[Tech Start Date]],15),IF(Main[[#This Row],[Class]]="A",WORKDAY(Main[[#This Row],[Tech Start Date]],5),""))))</f>
        <v>40942</v>
      </c>
      <c r="P71" s="77">
        <f>IF(Main[[#This Row],[Tech Start Date]]&lt;1/1/1990,"",IF(Main[[#This Row],[Class]]="C",WORKDAY(Main[[#This Row],[Tech Start Date]],28),IF(Main[[#This Row],[Class]]="B", WORKDAY(Main[[#This Row],[Tech Start Date]],19),IF(Main[[#This Row],[Class]]="A",WORKDAY(Main[[#This Row],[Tech Start Date]],9),""))))</f>
        <v>40948</v>
      </c>
      <c r="Q71" s="74">
        <v>41197</v>
      </c>
      <c r="R71" s="74">
        <v>40956</v>
      </c>
      <c r="S71" s="72" t="s">
        <v>11</v>
      </c>
      <c r="T71" s="80" t="s">
        <v>3505</v>
      </c>
      <c r="U71" s="72" t="s">
        <v>29</v>
      </c>
      <c r="V71" s="72" t="s">
        <v>1932</v>
      </c>
      <c r="W71" s="72" t="s">
        <v>1938</v>
      </c>
      <c r="X71" s="72" t="s">
        <v>2943</v>
      </c>
      <c r="Y71" s="72" t="s">
        <v>3085</v>
      </c>
      <c r="Z71" s="72" t="s">
        <v>129</v>
      </c>
      <c r="AA71" s="147" t="s">
        <v>2943</v>
      </c>
    </row>
    <row r="72" spans="1:27" ht="18.600000000000001" customHeight="1">
      <c r="A72" s="140">
        <f>IF(priority(Main[[#This Row],[Comments]])&lt;&gt;0, priority(Main[[#This Row],[Comments]]),"")</f>
        <v>18</v>
      </c>
      <c r="B72" s="90" t="s">
        <v>3289</v>
      </c>
      <c r="C72" s="72" t="s">
        <v>3323</v>
      </c>
      <c r="D72" s="73" t="s">
        <v>3290</v>
      </c>
      <c r="E72" s="74">
        <v>40920.17900462963</v>
      </c>
      <c r="F72" s="74">
        <v>41122</v>
      </c>
      <c r="G72" s="75">
        <f>IF(stdProdLT(Main[[#This Row],[Comments]])=0.1,"N/A",IF(stdProdLT(Main[[#This Row],[Comments]])=0,"",stdProdLT(Main[[#This Row],[Comments]])))</f>
        <v>168</v>
      </c>
      <c r="H72" s="76">
        <f>IF(AND(Main[[#This Row],[In Stock Date]]&lt;&gt;"",Main[[#This Row],[Revised Due Date]]&lt;&gt;""),Main[[#This Row],[In Stock Date]]-Main[[#This Row],[Revised Due Date]],"")</f>
        <v>177</v>
      </c>
      <c r="I72" s="72" t="s">
        <v>81</v>
      </c>
      <c r="J72" s="72" t="s">
        <v>52</v>
      </c>
      <c r="K72" s="72" t="s">
        <v>1945</v>
      </c>
      <c r="L72" s="74">
        <v>40925</v>
      </c>
      <c r="M72" s="77">
        <f>IF(Main[[#This Row],[Tech Start Date]]&lt;1/1/1990,"",IF(Main[[#This Row],[Class]]="C",WORKDAY(Main[[#This Row],[Tech Start Date]],9),IF(Main[[#This Row],[Class]]="B", WORKDAY(Main[[#This Row],[Tech Start Date]],6),IF(Main[[#This Row],[Class]]="A",WORKDAY(Main[[#This Row],[Tech Start Date]],2),""))))</f>
        <v>40938</v>
      </c>
      <c r="N72" s="77">
        <f>IF(Main[[#This Row],[Tech Start Date]]&lt;1/1/1990,"",IF(Main[[#This Row],[Class]]="C",WORKDAY(Main[[#This Row],[Tech Start Date]],19),IF(Main[[#This Row],[Class]]="B", WORKDAY(Main[[#This Row],[Tech Start Date]],12),IF(Main[[#This Row],[Class]]="A",WORKDAY(Main[[#This Row],[Tech Start Date]],4),""))))</f>
        <v>40952</v>
      </c>
      <c r="O72" s="77">
        <f>IF(Main[[#This Row],[Tech Start Date]]&lt;1/1/1990,"",IF(Main[[#This Row],[Class]]="C",WORKDAY(Main[[#This Row],[Tech Start Date]],23),IF(Main[[#This Row],[Class]]="B", WORKDAY(Main[[#This Row],[Tech Start Date]],15),IF(Main[[#This Row],[Class]]="A",WORKDAY(Main[[#This Row],[Tech Start Date]],5),""))))</f>
        <v>40956</v>
      </c>
      <c r="P72" s="77">
        <f>IF(Main[[#This Row],[Tech Start Date]]&lt;1/1/1990,"",IF(Main[[#This Row],[Class]]="C",WORKDAY(Main[[#This Row],[Tech Start Date]],28),IF(Main[[#This Row],[Class]]="B", WORKDAY(Main[[#This Row],[Tech Start Date]],19),IF(Main[[#This Row],[Class]]="A",WORKDAY(Main[[#This Row],[Tech Start Date]],9),""))))</f>
        <v>40963</v>
      </c>
      <c r="Q72" s="74">
        <v>40953</v>
      </c>
      <c r="R72" s="74">
        <v>40945</v>
      </c>
      <c r="S72" s="72" t="s">
        <v>11</v>
      </c>
      <c r="T72" s="80" t="s">
        <v>3512</v>
      </c>
      <c r="U72" s="72" t="s">
        <v>29</v>
      </c>
      <c r="V72" s="72" t="s">
        <v>1935</v>
      </c>
      <c r="W72" s="72" t="s">
        <v>1938</v>
      </c>
      <c r="X72" s="72" t="s">
        <v>2939</v>
      </c>
      <c r="Y72" s="72" t="s">
        <v>3074</v>
      </c>
      <c r="Z72" s="72" t="s">
        <v>535</v>
      </c>
      <c r="AA72" s="147" t="s">
        <v>2939</v>
      </c>
    </row>
    <row r="73" spans="1:27" ht="18.600000000000001" customHeight="1">
      <c r="A73" s="140">
        <f>IF(priority(Main[[#This Row],[Comments]])&lt;&gt;0, priority(Main[[#This Row],[Comments]]),"")</f>
        <v>19</v>
      </c>
      <c r="B73" s="90" t="s">
        <v>1598</v>
      </c>
      <c r="C73" s="72" t="s">
        <v>122</v>
      </c>
      <c r="D73" s="73" t="s">
        <v>669</v>
      </c>
      <c r="E73" s="74"/>
      <c r="F73" s="74">
        <v>40704</v>
      </c>
      <c r="G73" s="75" t="str">
        <f>IF(stdProdLT(Main[[#This Row],[Comments]])=0.1,"N/A",IF(stdProdLT(Main[[#This Row],[Comments]])=0,"",stdProdLT(Main[[#This Row],[Comments]])))</f>
        <v/>
      </c>
      <c r="H73" s="76" t="str">
        <f>IF(AND(Main[[#This Row],[In Stock Date]]&lt;&gt;"",Main[[#This Row],[Revised Due Date]]&lt;&gt;""),Main[[#This Row],[In Stock Date]]-Main[[#This Row],[Revised Due Date]],"")</f>
        <v/>
      </c>
      <c r="I73" s="72" t="s">
        <v>4</v>
      </c>
      <c r="J73" s="72" t="s">
        <v>28</v>
      </c>
      <c r="K73" s="72" t="s">
        <v>1941</v>
      </c>
      <c r="L73" s="74"/>
      <c r="M73" s="77" t="str">
        <f>IF(Main[[#This Row],[Tech Start Date]]&lt;1/1/1990,"",IF(Main[[#This Row],[Class]]="C",WORKDAY(Main[[#This Row],[Tech Start Date]],9),IF(Main[[#This Row],[Class]]="B", WORKDAY(Main[[#This Row],[Tech Start Date]],6),IF(Main[[#This Row],[Class]]="A",WORKDAY(Main[[#This Row],[Tech Start Date]],2),""))))</f>
        <v/>
      </c>
      <c r="N73" s="77" t="str">
        <f>IF(Main[[#This Row],[Tech Start Date]]&lt;1/1/1990,"",IF(Main[[#This Row],[Class]]="C",WORKDAY(Main[[#This Row],[Tech Start Date]],19),IF(Main[[#This Row],[Class]]="B", WORKDAY(Main[[#This Row],[Tech Start Date]],12),IF(Main[[#This Row],[Class]]="A",WORKDAY(Main[[#This Row],[Tech Start Date]],4),""))))</f>
        <v/>
      </c>
      <c r="O73" s="77" t="str">
        <f>IF(Main[[#This Row],[Tech Start Date]]&lt;1/1/1990,"",IF(Main[[#This Row],[Class]]="C",WORKDAY(Main[[#This Row],[Tech Start Date]],23),IF(Main[[#This Row],[Class]]="B", WORKDAY(Main[[#This Row],[Tech Start Date]],15),IF(Main[[#This Row],[Class]]="A",WORKDAY(Main[[#This Row],[Tech Start Date]],5),""))))</f>
        <v/>
      </c>
      <c r="P73" s="77" t="str">
        <f>IF(Main[[#This Row],[Tech Start Date]]&lt;1/1/1990,"",IF(Main[[#This Row],[Class]]="C",WORKDAY(Main[[#This Row],[Tech Start Date]],28),IF(Main[[#This Row],[Class]]="B", WORKDAY(Main[[#This Row],[Tech Start Date]],19),IF(Main[[#This Row],[Class]]="A",WORKDAY(Main[[#This Row],[Tech Start Date]],9),""))))</f>
        <v/>
      </c>
      <c r="Q73" s="74">
        <v>40704</v>
      </c>
      <c r="R73" s="74"/>
      <c r="S73" s="72" t="s">
        <v>11</v>
      </c>
      <c r="T73" s="80" t="s">
        <v>1999</v>
      </c>
      <c r="U73" s="72" t="s">
        <v>14</v>
      </c>
      <c r="V73" s="72" t="s">
        <v>1932</v>
      </c>
      <c r="W73" s="72" t="s">
        <v>1934</v>
      </c>
      <c r="X73" s="72" t="s">
        <v>2943</v>
      </c>
      <c r="Y73" s="72" t="s">
        <v>3085</v>
      </c>
      <c r="Z73" s="72" t="s">
        <v>129</v>
      </c>
      <c r="AA73" s="147" t="s">
        <v>2943</v>
      </c>
    </row>
    <row r="74" spans="1:27" ht="18.600000000000001" customHeight="1">
      <c r="A74" s="140">
        <f>IF(priority(Main[[#This Row],[Comments]])&lt;&gt;0, priority(Main[[#This Row],[Comments]]),"")</f>
        <v>19</v>
      </c>
      <c r="B74" s="90" t="s">
        <v>2015</v>
      </c>
      <c r="C74" s="72" t="s">
        <v>53</v>
      </c>
      <c r="D74" s="73" t="s">
        <v>3797</v>
      </c>
      <c r="E74" s="74">
        <v>40735.69803240741</v>
      </c>
      <c r="F74" s="74">
        <v>40836</v>
      </c>
      <c r="G74" s="75" t="str">
        <f>IF(stdProdLT(Main[[#This Row],[Comments]])=0.1,"N/A",IF(stdProdLT(Main[[#This Row],[Comments]])=0,"",stdProdLT(Main[[#This Row],[Comments]])))</f>
        <v>N/A</v>
      </c>
      <c r="H74" s="76">
        <f>IF(AND(Main[[#This Row],[In Stock Date]]&lt;&gt;"",Main[[#This Row],[Revised Due Date]]&lt;&gt;""),Main[[#This Row],[In Stock Date]]-Main[[#This Row],[Revised Due Date]],"")</f>
        <v>-116</v>
      </c>
      <c r="I74" s="72" t="s">
        <v>953</v>
      </c>
      <c r="J74" s="72" t="s">
        <v>28</v>
      </c>
      <c r="K74" s="81" t="s">
        <v>1939</v>
      </c>
      <c r="L74" s="74">
        <v>40756</v>
      </c>
      <c r="M74" s="77">
        <f>IF(Main[[#This Row],[Tech Start Date]]&lt;1/1/1990,"",IF(Main[[#This Row],[Class]]="C",WORKDAY(Main[[#This Row],[Tech Start Date]],9),IF(Main[[#This Row],[Class]]="B", WORKDAY(Main[[#This Row],[Tech Start Date]],6),IF(Main[[#This Row],[Class]]="A",WORKDAY(Main[[#This Row],[Tech Start Date]],2),""))))</f>
        <v>40764</v>
      </c>
      <c r="N74" s="77">
        <f>IF(Main[[#This Row],[Tech Start Date]]&lt;1/1/1990,"",IF(Main[[#This Row],[Class]]="C",WORKDAY(Main[[#This Row],[Tech Start Date]],19),IF(Main[[#This Row],[Class]]="B", WORKDAY(Main[[#This Row],[Tech Start Date]],12),IF(Main[[#This Row],[Class]]="A",WORKDAY(Main[[#This Row],[Tech Start Date]],4),""))))</f>
        <v>40772</v>
      </c>
      <c r="O74" s="77">
        <f>IF(Main[[#This Row],[Tech Start Date]]&lt;1/1/1990,"",IF(Main[[#This Row],[Class]]="C",WORKDAY(Main[[#This Row],[Tech Start Date]],23),IF(Main[[#This Row],[Class]]="B", WORKDAY(Main[[#This Row],[Tech Start Date]],15),IF(Main[[#This Row],[Class]]="A",WORKDAY(Main[[#This Row],[Tech Start Date]],5),""))))</f>
        <v>40777</v>
      </c>
      <c r="P74" s="77">
        <f>IF(Main[[#This Row],[Tech Start Date]]&lt;1/1/1990,"",IF(Main[[#This Row],[Class]]="C",WORKDAY(Main[[#This Row],[Tech Start Date]],28),IF(Main[[#This Row],[Class]]="B", WORKDAY(Main[[#This Row],[Tech Start Date]],19),IF(Main[[#This Row],[Class]]="A",WORKDAY(Main[[#This Row],[Tech Start Date]],9),""))))</f>
        <v>40781</v>
      </c>
      <c r="Q74" s="74"/>
      <c r="R74" s="74">
        <v>40952</v>
      </c>
      <c r="S74" s="72" t="s">
        <v>11</v>
      </c>
      <c r="T74" s="80" t="s">
        <v>3798</v>
      </c>
      <c r="U74" s="72" t="s">
        <v>7</v>
      </c>
      <c r="V74" s="72" t="s">
        <v>1933</v>
      </c>
      <c r="W74" s="72" t="s">
        <v>1934</v>
      </c>
      <c r="X74" s="72" t="s">
        <v>2906</v>
      </c>
      <c r="Y74" s="72" t="s">
        <v>3088</v>
      </c>
      <c r="Z74" s="72" t="s">
        <v>2075</v>
      </c>
      <c r="AA74" s="147" t="s">
        <v>3717</v>
      </c>
    </row>
    <row r="75" spans="1:27" ht="18.600000000000001" customHeight="1">
      <c r="A75" s="140">
        <f>IF(priority(Main[[#This Row],[Comments]])&lt;&gt;0, priority(Main[[#This Row],[Comments]]),"")</f>
        <v>19</v>
      </c>
      <c r="B75" s="90" t="s">
        <v>3307</v>
      </c>
      <c r="C75" s="72" t="s">
        <v>3323</v>
      </c>
      <c r="D75" s="73" t="s">
        <v>3308</v>
      </c>
      <c r="E75" s="74">
        <v>40921.094768518517</v>
      </c>
      <c r="F75" s="74">
        <v>41122</v>
      </c>
      <c r="G75" s="75">
        <f>IF(stdProdLT(Main[[#This Row],[Comments]])=0.1,"N/A",IF(stdProdLT(Main[[#This Row],[Comments]])=0,"",stdProdLT(Main[[#This Row],[Comments]])))</f>
        <v>168</v>
      </c>
      <c r="H75" s="76">
        <f>IF(AND(Main[[#This Row],[In Stock Date]]&lt;&gt;"",Main[[#This Row],[Revised Due Date]]&lt;&gt;""),Main[[#This Row],[In Stock Date]]-Main[[#This Row],[Revised Due Date]],"")</f>
        <v>173</v>
      </c>
      <c r="I75" s="72" t="s">
        <v>131</v>
      </c>
      <c r="J75" s="72" t="s">
        <v>1998</v>
      </c>
      <c r="K75" s="72" t="s">
        <v>1945</v>
      </c>
      <c r="L75" s="74">
        <v>40925</v>
      </c>
      <c r="M75" s="77">
        <f>IF(Main[[#This Row],[Tech Start Date]]&lt;1/1/1990,"",IF(Main[[#This Row],[Class]]="C",WORKDAY(Main[[#This Row],[Tech Start Date]],9),IF(Main[[#This Row],[Class]]="B", WORKDAY(Main[[#This Row],[Tech Start Date]],6),IF(Main[[#This Row],[Class]]="A",WORKDAY(Main[[#This Row],[Tech Start Date]],2),""))))</f>
        <v>40938</v>
      </c>
      <c r="N75" s="77">
        <f>IF(Main[[#This Row],[Tech Start Date]]&lt;1/1/1990,"",IF(Main[[#This Row],[Class]]="C",WORKDAY(Main[[#This Row],[Tech Start Date]],19),IF(Main[[#This Row],[Class]]="B", WORKDAY(Main[[#This Row],[Tech Start Date]],12),IF(Main[[#This Row],[Class]]="A",WORKDAY(Main[[#This Row],[Tech Start Date]],4),""))))</f>
        <v>40952</v>
      </c>
      <c r="O75" s="77">
        <f>IF(Main[[#This Row],[Tech Start Date]]&lt;1/1/1990,"",IF(Main[[#This Row],[Class]]="C",WORKDAY(Main[[#This Row],[Tech Start Date]],23),IF(Main[[#This Row],[Class]]="B", WORKDAY(Main[[#This Row],[Tech Start Date]],15),IF(Main[[#This Row],[Class]]="A",WORKDAY(Main[[#This Row],[Tech Start Date]],5),""))))</f>
        <v>40956</v>
      </c>
      <c r="P75" s="77">
        <f>IF(Main[[#This Row],[Tech Start Date]]&lt;1/1/1990,"",IF(Main[[#This Row],[Class]]="C",WORKDAY(Main[[#This Row],[Tech Start Date]],28),IF(Main[[#This Row],[Class]]="B", WORKDAY(Main[[#This Row],[Tech Start Date]],19),IF(Main[[#This Row],[Class]]="A",WORKDAY(Main[[#This Row],[Tech Start Date]],9),""))))</f>
        <v>40963</v>
      </c>
      <c r="Q75" s="74">
        <v>40953</v>
      </c>
      <c r="R75" s="74">
        <v>40949</v>
      </c>
      <c r="S75" s="72" t="s">
        <v>11</v>
      </c>
      <c r="T75" s="80" t="s">
        <v>3515</v>
      </c>
      <c r="U75" s="72" t="s">
        <v>29</v>
      </c>
      <c r="V75" s="72" t="s">
        <v>1935</v>
      </c>
      <c r="W75" s="72" t="s">
        <v>1938</v>
      </c>
      <c r="X75" s="72" t="s">
        <v>2939</v>
      </c>
      <c r="Y75" s="72" t="s">
        <v>3074</v>
      </c>
      <c r="Z75" s="72" t="s">
        <v>535</v>
      </c>
      <c r="AA75" s="147" t="s">
        <v>2939</v>
      </c>
    </row>
    <row r="76" spans="1:27" ht="18.600000000000001" customHeight="1">
      <c r="A76" s="140">
        <f>IF(priority(Main[[#This Row],[Comments]])&lt;&gt;0, priority(Main[[#This Row],[Comments]]),"")</f>
        <v>20</v>
      </c>
      <c r="B76" s="90" t="s">
        <v>1919</v>
      </c>
      <c r="C76" s="72" t="s">
        <v>964</v>
      </c>
      <c r="D76" s="73" t="s">
        <v>2059</v>
      </c>
      <c r="E76" s="74"/>
      <c r="F76" s="74"/>
      <c r="G76" s="75">
        <f>IF(stdProdLT(Main[[#This Row],[Comments]])=0.1,"N/A",IF(stdProdLT(Main[[#This Row],[Comments]])=0,"",stdProdLT(Main[[#This Row],[Comments]])))</f>
        <v>112</v>
      </c>
      <c r="H76" s="76" t="str">
        <f>IF(AND(Main[[#This Row],[In Stock Date]]&lt;&gt;"",Main[[#This Row],[Revised Due Date]]&lt;&gt;""),Main[[#This Row],[In Stock Date]]-Main[[#This Row],[Revised Due Date]],"")</f>
        <v/>
      </c>
      <c r="I76" s="72" t="s">
        <v>50</v>
      </c>
      <c r="J76" s="72" t="s">
        <v>52</v>
      </c>
      <c r="K76" s="72" t="s">
        <v>1945</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v>40598</v>
      </c>
      <c r="R76" s="74">
        <v>40786</v>
      </c>
      <c r="S76" s="72" t="s">
        <v>11</v>
      </c>
      <c r="T76" s="80" t="s">
        <v>2148</v>
      </c>
      <c r="U76" s="72" t="s">
        <v>14</v>
      </c>
      <c r="V76" s="72" t="s">
        <v>1933</v>
      </c>
      <c r="W76" s="72" t="s">
        <v>1934</v>
      </c>
      <c r="X76" s="72" t="s">
        <v>2906</v>
      </c>
      <c r="Y76" s="72" t="s">
        <v>3022</v>
      </c>
      <c r="Z76" s="72" t="s">
        <v>2075</v>
      </c>
      <c r="AA76" s="147" t="s">
        <v>2906</v>
      </c>
    </row>
    <row r="77" spans="1:27" ht="18.600000000000001" customHeight="1">
      <c r="A77" s="140">
        <f>IF(priority(Main[[#This Row],[Comments]])&lt;&gt;0, priority(Main[[#This Row],[Comments]]),"")</f>
        <v>20</v>
      </c>
      <c r="B77" s="90" t="s">
        <v>1973</v>
      </c>
      <c r="C77" s="72" t="s">
        <v>4</v>
      </c>
      <c r="D77" s="73" t="s">
        <v>2298</v>
      </c>
      <c r="E77" s="74">
        <v>40722.471516203703</v>
      </c>
      <c r="F77" s="74"/>
      <c r="G77" s="75" t="str">
        <f>IF(stdProdLT(Main[[#This Row],[Comments]])=0.1,"N/A",IF(stdProdLT(Main[[#This Row],[Comments]])=0,"",stdProdLT(Main[[#This Row],[Comments]])))</f>
        <v>N/A</v>
      </c>
      <c r="H77" s="76" t="str">
        <f>IF(AND(Main[[#This Row],[In Stock Date]]&lt;&gt;"",Main[[#This Row],[Revised Due Date]]&lt;&gt;""),Main[[#This Row],[In Stock Date]]-Main[[#This Row],[Revised Due Date]],"")</f>
        <v/>
      </c>
      <c r="I77" s="72" t="s">
        <v>923</v>
      </c>
      <c r="J77" s="72" t="s">
        <v>21</v>
      </c>
      <c r="K77" s="72" t="s">
        <v>1941</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40753</v>
      </c>
      <c r="R77" s="74">
        <v>40756</v>
      </c>
      <c r="S77" s="72" t="s">
        <v>6</v>
      </c>
      <c r="T77" s="80" t="s">
        <v>2705</v>
      </c>
      <c r="U77" s="72" t="s">
        <v>29</v>
      </c>
      <c r="V77" s="72" t="s">
        <v>1932</v>
      </c>
      <c r="W77" s="72" t="s">
        <v>1936</v>
      </c>
      <c r="X77" s="72" t="s">
        <v>2909</v>
      </c>
      <c r="Y77" s="72" t="s">
        <v>3024</v>
      </c>
      <c r="Z77" s="72" t="s">
        <v>129</v>
      </c>
      <c r="AA77" s="147" t="s">
        <v>2909</v>
      </c>
    </row>
    <row r="78" spans="1:27" ht="18.600000000000001" customHeight="1">
      <c r="A78" s="140">
        <f>IF(priority(Main[[#This Row],[Comments]])&lt;&gt;0, priority(Main[[#This Row],[Comments]]),"")</f>
        <v>20</v>
      </c>
      <c r="B78" s="90" t="s">
        <v>2319</v>
      </c>
      <c r="C78" s="72" t="s">
        <v>2320</v>
      </c>
      <c r="D78" s="73" t="s">
        <v>2882</v>
      </c>
      <c r="E78" s="74">
        <v>40814.583657407406</v>
      </c>
      <c r="F78" s="74">
        <v>41150</v>
      </c>
      <c r="G78" s="75">
        <f>IF(stdProdLT(Main[[#This Row],[Comments]])=0.1,"N/A",IF(stdProdLT(Main[[#This Row],[Comments]])=0,"",stdProdLT(Main[[#This Row],[Comments]])))</f>
        <v>112</v>
      </c>
      <c r="H78" s="76">
        <f>IF(AND(Main[[#This Row],[In Stock Date]]&lt;&gt;"",Main[[#This Row],[Revised Due Date]]&lt;&gt;""),Main[[#This Row],[In Stock Date]]-Main[[#This Row],[Revised Due Date]],"")</f>
        <v>201</v>
      </c>
      <c r="I78" s="72" t="s">
        <v>567</v>
      </c>
      <c r="J78" s="72" t="s">
        <v>28</v>
      </c>
      <c r="K78" s="72" t="s">
        <v>1945</v>
      </c>
      <c r="L78" s="74">
        <v>40828</v>
      </c>
      <c r="M78" s="77">
        <f>IF(Main[[#This Row],[Tech Start Date]]&lt;1/1/1990,"",IF(Main[[#This Row],[Class]]="C",WORKDAY(Main[[#This Row],[Tech Start Date]],9),IF(Main[[#This Row],[Class]]="B", WORKDAY(Main[[#This Row],[Tech Start Date]],6),IF(Main[[#This Row],[Class]]="A",WORKDAY(Main[[#This Row],[Tech Start Date]],2),""))))</f>
        <v>40841</v>
      </c>
      <c r="N78" s="77">
        <f>IF(Main[[#This Row],[Tech Start Date]]&lt;1/1/1990,"",IF(Main[[#This Row],[Class]]="C",WORKDAY(Main[[#This Row],[Tech Start Date]],19),IF(Main[[#This Row],[Class]]="B", WORKDAY(Main[[#This Row],[Tech Start Date]],12),IF(Main[[#This Row],[Class]]="A",WORKDAY(Main[[#This Row],[Tech Start Date]],4),""))))</f>
        <v>40855</v>
      </c>
      <c r="O78" s="77">
        <f>IF(Main[[#This Row],[Tech Start Date]]&lt;1/1/1990,"",IF(Main[[#This Row],[Class]]="C",WORKDAY(Main[[#This Row],[Tech Start Date]],23),IF(Main[[#This Row],[Class]]="B", WORKDAY(Main[[#This Row],[Tech Start Date]],15),IF(Main[[#This Row],[Class]]="A",WORKDAY(Main[[#This Row],[Tech Start Date]],5),""))))</f>
        <v>40861</v>
      </c>
      <c r="P78" s="77">
        <f>IF(Main[[#This Row],[Tech Start Date]]&lt;1/1/1990,"",IF(Main[[#This Row],[Class]]="C",WORKDAY(Main[[#This Row],[Tech Start Date]],28),IF(Main[[#This Row],[Class]]="B", WORKDAY(Main[[#This Row],[Tech Start Date]],19),IF(Main[[#This Row],[Class]]="A",WORKDAY(Main[[#This Row],[Tech Start Date]],9),""))))</f>
        <v>40868</v>
      </c>
      <c r="Q78" s="74">
        <v>40876</v>
      </c>
      <c r="R78" s="74">
        <v>40949</v>
      </c>
      <c r="S78" s="72" t="s">
        <v>11</v>
      </c>
      <c r="T78" s="80" t="s">
        <v>3484</v>
      </c>
      <c r="U78" s="72" t="s">
        <v>29</v>
      </c>
      <c r="V78" s="72" t="s">
        <v>1932</v>
      </c>
      <c r="W78" s="72" t="s">
        <v>1938</v>
      </c>
      <c r="X78" s="72" t="s">
        <v>3015</v>
      </c>
      <c r="Y78" s="72" t="s">
        <v>4</v>
      </c>
      <c r="Z78" s="72" t="s">
        <v>129</v>
      </c>
      <c r="AA78" s="147" t="s">
        <v>3720</v>
      </c>
    </row>
    <row r="79" spans="1:27" ht="18.600000000000001" customHeight="1">
      <c r="A79" s="140">
        <f>IF(priority(Main[[#This Row],[Comments]])&lt;&gt;0, priority(Main[[#This Row],[Comments]]),"")</f>
        <v>20</v>
      </c>
      <c r="B79" s="90" t="s">
        <v>2690</v>
      </c>
      <c r="C79" s="72" t="s">
        <v>53</v>
      </c>
      <c r="D79" s="73" t="s">
        <v>2691</v>
      </c>
      <c r="E79" s="74"/>
      <c r="F79" s="74"/>
      <c r="G79" s="75" t="str">
        <f>IF(stdProdLT(Main[[#This Row],[Comments]])=0.1,"N/A",IF(stdProdLT(Main[[#This Row],[Comments]])=0,"",stdProdLT(Main[[#This Row],[Comments]])))</f>
        <v>N/A</v>
      </c>
      <c r="H79" s="76" t="str">
        <f>IF(AND(Main[[#This Row],[In Stock Date]]&lt;&gt;"",Main[[#This Row],[Revised Due Date]]&lt;&gt;""),Main[[#This Row],[In Stock Date]]-Main[[#This Row],[Revised Due Date]],"")</f>
        <v/>
      </c>
      <c r="I79" s="72" t="s">
        <v>953</v>
      </c>
      <c r="J79" s="72" t="s">
        <v>28</v>
      </c>
      <c r="K79" s="72" t="s">
        <v>1939</v>
      </c>
      <c r="L79" s="74">
        <v>40854</v>
      </c>
      <c r="M79" s="77">
        <f>IF(Main[[#This Row],[Tech Start Date]]&lt;1/1/1990,"",IF(Main[[#This Row],[Class]]="C",WORKDAY(Main[[#This Row],[Tech Start Date]],9),IF(Main[[#This Row],[Class]]="B", WORKDAY(Main[[#This Row],[Tech Start Date]],6),IF(Main[[#This Row],[Class]]="A",WORKDAY(Main[[#This Row],[Tech Start Date]],2),""))))</f>
        <v>40862</v>
      </c>
      <c r="N79" s="77">
        <f>IF(Main[[#This Row],[Tech Start Date]]&lt;1/1/1990,"",IF(Main[[#This Row],[Class]]="C",WORKDAY(Main[[#This Row],[Tech Start Date]],19),IF(Main[[#This Row],[Class]]="B", WORKDAY(Main[[#This Row],[Tech Start Date]],12),IF(Main[[#This Row],[Class]]="A",WORKDAY(Main[[#This Row],[Tech Start Date]],4),""))))</f>
        <v>40870</v>
      </c>
      <c r="O79" s="77">
        <f>IF(Main[[#This Row],[Tech Start Date]]&lt;1/1/1990,"",IF(Main[[#This Row],[Class]]="C",WORKDAY(Main[[#This Row],[Tech Start Date]],23),IF(Main[[#This Row],[Class]]="B", WORKDAY(Main[[#This Row],[Tech Start Date]],15),IF(Main[[#This Row],[Class]]="A",WORKDAY(Main[[#This Row],[Tech Start Date]],5),""))))</f>
        <v>40875</v>
      </c>
      <c r="P79" s="77">
        <f>IF(Main[[#This Row],[Tech Start Date]]&lt;1/1/1990,"",IF(Main[[#This Row],[Class]]="C",WORKDAY(Main[[#This Row],[Tech Start Date]],28),IF(Main[[#This Row],[Class]]="B", WORKDAY(Main[[#This Row],[Tech Start Date]],19),IF(Main[[#This Row],[Class]]="A",WORKDAY(Main[[#This Row],[Tech Start Date]],9),""))))</f>
        <v>40879</v>
      </c>
      <c r="Q79" s="74">
        <v>40883</v>
      </c>
      <c r="R79" s="74">
        <v>40877</v>
      </c>
      <c r="S79" s="72" t="s">
        <v>11</v>
      </c>
      <c r="T79" s="80" t="s">
        <v>2692</v>
      </c>
      <c r="U79" s="72" t="s">
        <v>14</v>
      </c>
      <c r="V79" s="72" t="s">
        <v>1933</v>
      </c>
      <c r="W79" s="72" t="s">
        <v>1934</v>
      </c>
      <c r="X79" s="72" t="s">
        <v>2906</v>
      </c>
      <c r="Y79" s="72" t="s">
        <v>3088</v>
      </c>
      <c r="Z79" s="72" t="s">
        <v>2075</v>
      </c>
      <c r="AA79" s="147" t="s">
        <v>2906</v>
      </c>
    </row>
    <row r="80" spans="1:27" ht="18.600000000000001" customHeight="1">
      <c r="A80" s="140">
        <f>IF(priority(Main[[#This Row],[Comments]])&lt;&gt;0, priority(Main[[#This Row],[Comments]]),"")</f>
        <v>21</v>
      </c>
      <c r="B80" s="90" t="s">
        <v>2747</v>
      </c>
      <c r="C80" s="72" t="s">
        <v>2748</v>
      </c>
      <c r="D80" s="73" t="s">
        <v>3357</v>
      </c>
      <c r="E80" s="74">
        <v>40899.118032407408</v>
      </c>
      <c r="F80" s="74">
        <v>41030</v>
      </c>
      <c r="G80" s="75">
        <f>IF(stdProdLT(Main[[#This Row],[Comments]])=0.1,"N/A",IF(stdProdLT(Main[[#This Row],[Comments]])=0,"",stdProdLT(Main[[#This Row],[Comments]])))</f>
        <v>84</v>
      </c>
      <c r="H80" s="76">
        <f>IF(AND(Main[[#This Row],[In Stock Date]]&lt;&gt;"",Main[[#This Row],[Revised Due Date]]&lt;&gt;""),Main[[#This Row],[In Stock Date]]-Main[[#This Row],[Revised Due Date]],"")</f>
        <v>85</v>
      </c>
      <c r="I80" s="72" t="s">
        <v>923</v>
      </c>
      <c r="J80" s="72" t="s">
        <v>52</v>
      </c>
      <c r="K80" s="72" t="s">
        <v>1945</v>
      </c>
      <c r="L80" s="74"/>
      <c r="M80" s="77" t="str">
        <f>IF(Main[[#This Row],[Tech Start Date]]&lt;1/1/1990,"",IF(Main[[#This Row],[Class]]="C",WORKDAY(Main[[#This Row],[Tech Start Date]],9),IF(Main[[#This Row],[Class]]="B", WORKDAY(Main[[#This Row],[Tech Start Date]],6),IF(Main[[#This Row],[Class]]="A",WORKDAY(Main[[#This Row],[Tech Start Date]],2),""))))</f>
        <v/>
      </c>
      <c r="N80" s="77" t="str">
        <f>IF(Main[[#This Row],[Tech Start Date]]&lt;1/1/1990,"",IF(Main[[#This Row],[Class]]="C",WORKDAY(Main[[#This Row],[Tech Start Date]],19),IF(Main[[#This Row],[Class]]="B", WORKDAY(Main[[#This Row],[Tech Start Date]],12),IF(Main[[#This Row],[Class]]="A",WORKDAY(Main[[#This Row],[Tech Start Date]],4),""))))</f>
        <v/>
      </c>
      <c r="O80" s="77" t="str">
        <f>IF(Main[[#This Row],[Tech Start Date]]&lt;1/1/1990,"",IF(Main[[#This Row],[Class]]="C",WORKDAY(Main[[#This Row],[Tech Start Date]],23),IF(Main[[#This Row],[Class]]="B", WORKDAY(Main[[#This Row],[Tech Start Date]],15),IF(Main[[#This Row],[Class]]="A",WORKDAY(Main[[#This Row],[Tech Start Date]],5),""))))</f>
        <v/>
      </c>
      <c r="P80" s="77" t="str">
        <f>IF(Main[[#This Row],[Tech Start Date]]&lt;1/1/1990,"",IF(Main[[#This Row],[Class]]="C",WORKDAY(Main[[#This Row],[Tech Start Date]],28),IF(Main[[#This Row],[Class]]="B", WORKDAY(Main[[#This Row],[Tech Start Date]],19),IF(Main[[#This Row],[Class]]="A",WORKDAY(Main[[#This Row],[Tech Start Date]],9),""))))</f>
        <v/>
      </c>
      <c r="Q80" s="74">
        <v>40960</v>
      </c>
      <c r="R80" s="74">
        <v>40945</v>
      </c>
      <c r="S80" s="72" t="s">
        <v>11</v>
      </c>
      <c r="T80" s="80" t="s">
        <v>3432</v>
      </c>
      <c r="U80" s="72" t="s">
        <v>29</v>
      </c>
      <c r="V80" s="72" t="s">
        <v>1932</v>
      </c>
      <c r="W80" s="72" t="s">
        <v>1938</v>
      </c>
      <c r="X80" s="72" t="s">
        <v>2926</v>
      </c>
      <c r="Y80" s="72" t="s">
        <v>4</v>
      </c>
      <c r="Z80" s="72" t="s">
        <v>923</v>
      </c>
      <c r="AA80" s="147" t="s">
        <v>2926</v>
      </c>
    </row>
    <row r="81" spans="1:27" ht="18.600000000000001" customHeight="1">
      <c r="A81" s="140">
        <f>IF(priority(Main[[#This Row],[Comments]])&lt;&gt;0, priority(Main[[#This Row],[Comments]]),"")</f>
        <v>21</v>
      </c>
      <c r="B81" s="90" t="s">
        <v>1675</v>
      </c>
      <c r="C81" s="72" t="s">
        <v>122</v>
      </c>
      <c r="D81" s="73" t="s">
        <v>2868</v>
      </c>
      <c r="E81" s="74">
        <v>40828.408333333333</v>
      </c>
      <c r="F81" s="74">
        <v>41061</v>
      </c>
      <c r="G81" s="75">
        <f>IF(stdProdLT(Main[[#This Row],[Comments]])=0.1,"N/A",IF(stdProdLT(Main[[#This Row],[Comments]])=0,"",stdProdLT(Main[[#This Row],[Comments]])))</f>
        <v>126</v>
      </c>
      <c r="H81" s="76" t="str">
        <f>IF(AND(Main[[#This Row],[In Stock Date]]&lt;&gt;"",Main[[#This Row],[Revised Due Date]]&lt;&gt;""),Main[[#This Row],[In Stock Date]]-Main[[#This Row],[Revised Due Date]],"")</f>
        <v/>
      </c>
      <c r="I81" s="72" t="s">
        <v>4</v>
      </c>
      <c r="J81" s="72" t="s">
        <v>28</v>
      </c>
      <c r="K81" s="72" t="s">
        <v>1945</v>
      </c>
      <c r="L81" s="74"/>
      <c r="M81" s="77" t="str">
        <f>IF(Main[[#This Row],[Tech Start Date]]&lt;1/1/1990,"",IF(Main[[#This Row],[Class]]="C",WORKDAY(Main[[#This Row],[Tech Start Date]],9),IF(Main[[#This Row],[Class]]="B", WORKDAY(Main[[#This Row],[Tech Start Date]],6),IF(Main[[#This Row],[Class]]="A",WORKDAY(Main[[#This Row],[Tech Start Date]],2),""))))</f>
        <v/>
      </c>
      <c r="N81" s="77" t="str">
        <f>IF(Main[[#This Row],[Tech Start Date]]&lt;1/1/1990,"",IF(Main[[#This Row],[Class]]="C",WORKDAY(Main[[#This Row],[Tech Start Date]],19),IF(Main[[#This Row],[Class]]="B", WORKDAY(Main[[#This Row],[Tech Start Date]],12),IF(Main[[#This Row],[Class]]="A",WORKDAY(Main[[#This Row],[Tech Start Date]],4),""))))</f>
        <v/>
      </c>
      <c r="O81" s="77" t="str">
        <f>IF(Main[[#This Row],[Tech Start Date]]&lt;1/1/1990,"",IF(Main[[#This Row],[Class]]="C",WORKDAY(Main[[#This Row],[Tech Start Date]],23),IF(Main[[#This Row],[Class]]="B", WORKDAY(Main[[#This Row],[Tech Start Date]],15),IF(Main[[#This Row],[Class]]="A",WORKDAY(Main[[#This Row],[Tech Start Date]],5),""))))</f>
        <v/>
      </c>
      <c r="P81" s="77" t="str">
        <f>IF(Main[[#This Row],[Tech Start Date]]&lt;1/1/1990,"",IF(Main[[#This Row],[Class]]="C",WORKDAY(Main[[#This Row],[Tech Start Date]],28),IF(Main[[#This Row],[Class]]="B", WORKDAY(Main[[#This Row],[Tech Start Date]],19),IF(Main[[#This Row],[Class]]="A",WORKDAY(Main[[#This Row],[Tech Start Date]],9),""))))</f>
        <v/>
      </c>
      <c r="Q81" s="74">
        <v>40711</v>
      </c>
      <c r="R81" s="74"/>
      <c r="S81" s="72" t="s">
        <v>11</v>
      </c>
      <c r="T81" s="80" t="s">
        <v>3337</v>
      </c>
      <c r="U81" s="72" t="s">
        <v>703</v>
      </c>
      <c r="V81" s="72" t="s">
        <v>1932</v>
      </c>
      <c r="W81" s="72" t="s">
        <v>1934</v>
      </c>
      <c r="X81" s="72" t="s">
        <v>2943</v>
      </c>
      <c r="Y81" s="72" t="s">
        <v>3231</v>
      </c>
      <c r="Z81" s="72" t="s">
        <v>129</v>
      </c>
      <c r="AA81" s="147" t="s">
        <v>2943</v>
      </c>
    </row>
    <row r="82" spans="1:27" ht="18.600000000000001" customHeight="1">
      <c r="A82" s="140">
        <f>IF(priority(Main[[#This Row],[Comments]])&lt;&gt;0, priority(Main[[#This Row],[Comments]]),"")</f>
        <v>22</v>
      </c>
      <c r="B82" s="90" t="s">
        <v>1697</v>
      </c>
      <c r="C82" s="72" t="s">
        <v>4</v>
      </c>
      <c r="D82" s="73" t="s">
        <v>2337</v>
      </c>
      <c r="E82" s="74">
        <v>40715.570891203701</v>
      </c>
      <c r="F82" s="74"/>
      <c r="G82" s="75" t="str">
        <f>IF(stdProdLT(Main[[#This Row],[Comments]])=0.1,"N/A",IF(stdProdLT(Main[[#This Row],[Comments]])=0,"",stdProdLT(Main[[#This Row],[Comments]])))</f>
        <v>N/A</v>
      </c>
      <c r="H82" s="76" t="str">
        <f>IF(AND(Main[[#This Row],[In Stock Date]]&lt;&gt;"",Main[[#This Row],[Revised Due Date]]&lt;&gt;""),Main[[#This Row],[In Stock Date]]-Main[[#This Row],[Revised Due Date]],"")</f>
        <v/>
      </c>
      <c r="I82" s="72" t="s">
        <v>923</v>
      </c>
      <c r="J82" s="72" t="s">
        <v>52</v>
      </c>
      <c r="K82" s="81" t="s">
        <v>4</v>
      </c>
      <c r="L82" s="74"/>
      <c r="M82" s="77" t="str">
        <f>IF(Main[[#This Row],[Tech Start Date]]&lt;1/1/1990,"",IF(Main[[#This Row],[Class]]="C",WORKDAY(Main[[#This Row],[Tech Start Date]],9),IF(Main[[#This Row],[Class]]="B", WORKDAY(Main[[#This Row],[Tech Start Date]],6),IF(Main[[#This Row],[Class]]="A",WORKDAY(Main[[#This Row],[Tech Start Date]],2),""))))</f>
        <v/>
      </c>
      <c r="N82" s="77" t="str">
        <f>IF(Main[[#This Row],[Tech Start Date]]&lt;1/1/1990,"",IF(Main[[#This Row],[Class]]="C",WORKDAY(Main[[#This Row],[Tech Start Date]],19),IF(Main[[#This Row],[Class]]="B", WORKDAY(Main[[#This Row],[Tech Start Date]],12),IF(Main[[#This Row],[Class]]="A",WORKDAY(Main[[#This Row],[Tech Start Date]],4),""))))</f>
        <v/>
      </c>
      <c r="O82" s="77" t="str">
        <f>IF(Main[[#This Row],[Tech Start Date]]&lt;1/1/1990,"",IF(Main[[#This Row],[Class]]="C",WORKDAY(Main[[#This Row],[Tech Start Date]],23),IF(Main[[#This Row],[Class]]="B", WORKDAY(Main[[#This Row],[Tech Start Date]],15),IF(Main[[#This Row],[Class]]="A",WORKDAY(Main[[#This Row],[Tech Start Date]],5),""))))</f>
        <v/>
      </c>
      <c r="P82" s="77" t="str">
        <f>IF(Main[[#This Row],[Tech Start Date]]&lt;1/1/1990,"",IF(Main[[#This Row],[Class]]="C",WORKDAY(Main[[#This Row],[Tech Start Date]],28),IF(Main[[#This Row],[Class]]="B", WORKDAY(Main[[#This Row],[Tech Start Date]],19),IF(Main[[#This Row],[Class]]="A",WORKDAY(Main[[#This Row],[Tech Start Date]],9),""))))</f>
        <v/>
      </c>
      <c r="Q82" s="74">
        <v>40733</v>
      </c>
      <c r="R82" s="74">
        <v>40756</v>
      </c>
      <c r="S82" s="72" t="s">
        <v>6</v>
      </c>
      <c r="T82" s="80" t="s">
        <v>2605</v>
      </c>
      <c r="U82" s="72" t="s">
        <v>29</v>
      </c>
      <c r="V82" s="72" t="s">
        <v>1932</v>
      </c>
      <c r="W82" s="72" t="s">
        <v>1936</v>
      </c>
      <c r="X82" s="72" t="s">
        <v>2927</v>
      </c>
      <c r="Y82" s="72" t="s">
        <v>3060</v>
      </c>
      <c r="Z82" s="72" t="s">
        <v>4</v>
      </c>
      <c r="AA82" s="147" t="s">
        <v>2927</v>
      </c>
    </row>
    <row r="83" spans="1:27" ht="18.600000000000001" customHeight="1">
      <c r="A83" s="140">
        <f>IF(priority(Main[[#This Row],[Comments]])&lt;&gt;0, priority(Main[[#This Row],[Comments]]),"")</f>
        <v>23</v>
      </c>
      <c r="B83" s="90" t="s">
        <v>2732</v>
      </c>
      <c r="C83" s="72" t="s">
        <v>116</v>
      </c>
      <c r="D83" s="73" t="s">
        <v>2903</v>
      </c>
      <c r="E83" s="74">
        <v>40763.500717592593</v>
      </c>
      <c r="F83" s="74">
        <v>41090</v>
      </c>
      <c r="G83" s="75" t="str">
        <f>IF(stdProdLT(Main[[#This Row],[Comments]])=0.1,"N/A",IF(stdProdLT(Main[[#This Row],[Comments]])=0,"",stdProdLT(Main[[#This Row],[Comments]])))</f>
        <v>N/A</v>
      </c>
      <c r="H83" s="76">
        <f>IF(AND(Main[[#This Row],[In Stock Date]]&lt;&gt;"",Main[[#This Row],[Revised Due Date]]&lt;&gt;""),Main[[#This Row],[In Stock Date]]-Main[[#This Row],[Revised Due Date]],"")</f>
        <v>135</v>
      </c>
      <c r="I83" s="72" t="s">
        <v>900</v>
      </c>
      <c r="J83" s="72" t="s">
        <v>28</v>
      </c>
      <c r="K83" s="72" t="s">
        <v>1945</v>
      </c>
      <c r="L83" s="74">
        <v>40772</v>
      </c>
      <c r="M83" s="77">
        <f>IF(Main[[#This Row],[Tech Start Date]]&lt;1/1/1990,"",IF(Main[[#This Row],[Class]]="C",WORKDAY(Main[[#This Row],[Tech Start Date]],9),IF(Main[[#This Row],[Class]]="B", WORKDAY(Main[[#This Row],[Tech Start Date]],6),IF(Main[[#This Row],[Class]]="A",WORKDAY(Main[[#This Row],[Tech Start Date]],2),""))))</f>
        <v>40785</v>
      </c>
      <c r="N83" s="77">
        <f>IF(Main[[#This Row],[Tech Start Date]]&lt;1/1/1990,"",IF(Main[[#This Row],[Class]]="C",WORKDAY(Main[[#This Row],[Tech Start Date]],19),IF(Main[[#This Row],[Class]]="B", WORKDAY(Main[[#This Row],[Tech Start Date]],12),IF(Main[[#This Row],[Class]]="A",WORKDAY(Main[[#This Row],[Tech Start Date]],4),""))))</f>
        <v>40799</v>
      </c>
      <c r="O83" s="77">
        <f>IF(Main[[#This Row],[Tech Start Date]]&lt;1/1/1990,"",IF(Main[[#This Row],[Class]]="C",WORKDAY(Main[[#This Row],[Tech Start Date]],23),IF(Main[[#This Row],[Class]]="B", WORKDAY(Main[[#This Row],[Tech Start Date]],15),IF(Main[[#This Row],[Class]]="A",WORKDAY(Main[[#This Row],[Tech Start Date]],5),""))))</f>
        <v>40805</v>
      </c>
      <c r="P83" s="77">
        <f>IF(Main[[#This Row],[Tech Start Date]]&lt;1/1/1990,"",IF(Main[[#This Row],[Class]]="C",WORKDAY(Main[[#This Row],[Tech Start Date]],28),IF(Main[[#This Row],[Class]]="B", WORKDAY(Main[[#This Row],[Tech Start Date]],19),IF(Main[[#This Row],[Class]]="A",WORKDAY(Main[[#This Row],[Tech Start Date]],9),""))))</f>
        <v>40812</v>
      </c>
      <c r="Q83" s="74">
        <v>40687</v>
      </c>
      <c r="R83" s="74">
        <v>40955</v>
      </c>
      <c r="S83" s="72" t="s">
        <v>11</v>
      </c>
      <c r="T83" s="80" t="s">
        <v>3480</v>
      </c>
      <c r="U83" s="72" t="s">
        <v>29</v>
      </c>
      <c r="V83" s="72" t="s">
        <v>1932</v>
      </c>
      <c r="W83" s="72" t="s">
        <v>1937</v>
      </c>
      <c r="X83" s="72" t="s">
        <v>2934</v>
      </c>
      <c r="Y83" s="72" t="s">
        <v>3252</v>
      </c>
      <c r="Z83" s="72" t="s">
        <v>888</v>
      </c>
      <c r="AA83" s="147" t="s">
        <v>2934</v>
      </c>
    </row>
    <row r="84" spans="1:27" ht="18.600000000000001" customHeight="1">
      <c r="A84" s="140">
        <f>IF(priority(Main[[#This Row],[Comments]])&lt;&gt;0, priority(Main[[#This Row],[Comments]]),"")</f>
        <v>23</v>
      </c>
      <c r="B84" s="90" t="s">
        <v>3333</v>
      </c>
      <c r="C84" s="72" t="s">
        <v>3324</v>
      </c>
      <c r="D84" s="73" t="s">
        <v>3775</v>
      </c>
      <c r="E84" s="74">
        <v>40924.158333333333</v>
      </c>
      <c r="F84" s="74">
        <v>41122</v>
      </c>
      <c r="G84" s="75">
        <f>IF(stdProdLT(Main[[#This Row],[Comments]])=0.1,"N/A",IF(stdProdLT(Main[[#This Row],[Comments]])=0,"",stdProdLT(Main[[#This Row],[Comments]])))</f>
        <v>140</v>
      </c>
      <c r="H84" s="76">
        <f>IF(AND(Main[[#This Row],[In Stock Date]]&lt;&gt;"",Main[[#This Row],[Revised Due Date]]&lt;&gt;""),Main[[#This Row],[In Stock Date]]-Main[[#This Row],[Revised Due Date]],"")</f>
        <v>163</v>
      </c>
      <c r="I84" s="72" t="s">
        <v>242</v>
      </c>
      <c r="J84" s="72" t="s">
        <v>52</v>
      </c>
      <c r="K84" s="81" t="s">
        <v>1939</v>
      </c>
      <c r="L84" s="74">
        <v>40925</v>
      </c>
      <c r="M84" s="77">
        <f>IF(Main[[#This Row],[Tech Start Date]]&lt;1/1/1990,"",IF(Main[[#This Row],[Class]]="C",WORKDAY(Main[[#This Row],[Tech Start Date]],9),IF(Main[[#This Row],[Class]]="B", WORKDAY(Main[[#This Row],[Tech Start Date]],6),IF(Main[[#This Row],[Class]]="A",WORKDAY(Main[[#This Row],[Tech Start Date]],2),""))))</f>
        <v>40933</v>
      </c>
      <c r="N84" s="77">
        <f>IF(Main[[#This Row],[Tech Start Date]]&lt;1/1/1990,"",IF(Main[[#This Row],[Class]]="C",WORKDAY(Main[[#This Row],[Tech Start Date]],19),IF(Main[[#This Row],[Class]]="B", WORKDAY(Main[[#This Row],[Tech Start Date]],12),IF(Main[[#This Row],[Class]]="A",WORKDAY(Main[[#This Row],[Tech Start Date]],4),""))))</f>
        <v>40941</v>
      </c>
      <c r="O84" s="77">
        <f>IF(Main[[#This Row],[Tech Start Date]]&lt;1/1/1990,"",IF(Main[[#This Row],[Class]]="C",WORKDAY(Main[[#This Row],[Tech Start Date]],23),IF(Main[[#This Row],[Class]]="B", WORKDAY(Main[[#This Row],[Tech Start Date]],15),IF(Main[[#This Row],[Class]]="A",WORKDAY(Main[[#This Row],[Tech Start Date]],5),""))))</f>
        <v>40946</v>
      </c>
      <c r="P84" s="77">
        <f>IF(Main[[#This Row],[Tech Start Date]]&lt;1/1/1990,"",IF(Main[[#This Row],[Class]]="C",WORKDAY(Main[[#This Row],[Tech Start Date]],28),IF(Main[[#This Row],[Class]]="B", WORKDAY(Main[[#This Row],[Tech Start Date]],19),IF(Main[[#This Row],[Class]]="A",WORKDAY(Main[[#This Row],[Tech Start Date]],9),""))))</f>
        <v>40952</v>
      </c>
      <c r="Q84" s="74">
        <v>40959</v>
      </c>
      <c r="R84" s="74">
        <v>40959</v>
      </c>
      <c r="S84" s="72" t="s">
        <v>11</v>
      </c>
      <c r="T84" s="80" t="s">
        <v>3518</v>
      </c>
      <c r="U84" s="72" t="s">
        <v>29</v>
      </c>
      <c r="V84" s="72" t="s">
        <v>1942</v>
      </c>
      <c r="W84" s="72" t="s">
        <v>1938</v>
      </c>
      <c r="X84" s="72" t="s">
        <v>2939</v>
      </c>
      <c r="Y84" s="72" t="s">
        <v>3074</v>
      </c>
      <c r="Z84" s="72" t="s">
        <v>535</v>
      </c>
      <c r="AA84" s="147" t="s">
        <v>2939</v>
      </c>
    </row>
    <row r="85" spans="1:27" ht="18.600000000000001" customHeight="1">
      <c r="A85" s="140">
        <f>IF(priority(Main[[#This Row],[Comments]])&lt;&gt;0, priority(Main[[#This Row],[Comments]]),"")</f>
        <v>24</v>
      </c>
      <c r="B85" s="90" t="s">
        <v>1573</v>
      </c>
      <c r="C85" s="72" t="s">
        <v>4</v>
      </c>
      <c r="D85" s="73" t="s">
        <v>2328</v>
      </c>
      <c r="E85" s="74">
        <v>40710.712175925924</v>
      </c>
      <c r="F85" s="74"/>
      <c r="G85" s="75" t="str">
        <f>IF(stdProdLT(Main[[#This Row],[Comments]])=0.1,"N/A",IF(stdProdLT(Main[[#This Row],[Comments]])=0,"",stdProdLT(Main[[#This Row],[Comments]])))</f>
        <v>N/A</v>
      </c>
      <c r="H85" s="76" t="str">
        <f>IF(AND(Main[[#This Row],[In Stock Date]]&lt;&gt;"",Main[[#This Row],[Revised Due Date]]&lt;&gt;""),Main[[#This Row],[In Stock Date]]-Main[[#This Row],[Revised Due Date]],"")</f>
        <v/>
      </c>
      <c r="I85" s="72" t="s">
        <v>923</v>
      </c>
      <c r="J85" s="72" t="s">
        <v>4</v>
      </c>
      <c r="K85" s="72" t="s">
        <v>4</v>
      </c>
      <c r="L85" s="74"/>
      <c r="M85" s="77" t="str">
        <f>IF(Main[[#This Row],[Tech Start Date]]&lt;1/1/1990,"",IF(Main[[#This Row],[Class]]="C",WORKDAY(Main[[#This Row],[Tech Start Date]],9),IF(Main[[#This Row],[Class]]="B", WORKDAY(Main[[#This Row],[Tech Start Date]],6),IF(Main[[#This Row],[Class]]="A",WORKDAY(Main[[#This Row],[Tech Start Date]],2),""))))</f>
        <v/>
      </c>
      <c r="N85" s="77" t="str">
        <f>IF(Main[[#This Row],[Tech Start Date]]&lt;1/1/1990,"",IF(Main[[#This Row],[Class]]="C",WORKDAY(Main[[#This Row],[Tech Start Date]],19),IF(Main[[#This Row],[Class]]="B", WORKDAY(Main[[#This Row],[Tech Start Date]],12),IF(Main[[#This Row],[Class]]="A",WORKDAY(Main[[#This Row],[Tech Start Date]],4),""))))</f>
        <v/>
      </c>
      <c r="O85" s="77" t="str">
        <f>IF(Main[[#This Row],[Tech Start Date]]&lt;1/1/1990,"",IF(Main[[#This Row],[Class]]="C",WORKDAY(Main[[#This Row],[Tech Start Date]],23),IF(Main[[#This Row],[Class]]="B", WORKDAY(Main[[#This Row],[Tech Start Date]],15),IF(Main[[#This Row],[Class]]="A",WORKDAY(Main[[#This Row],[Tech Start Date]],5),""))))</f>
        <v/>
      </c>
      <c r="P85" s="77" t="str">
        <f>IF(Main[[#This Row],[Tech Start Date]]&lt;1/1/1990,"",IF(Main[[#This Row],[Class]]="C",WORKDAY(Main[[#This Row],[Tech Start Date]],28),IF(Main[[#This Row],[Class]]="B", WORKDAY(Main[[#This Row],[Tech Start Date]],19),IF(Main[[#This Row],[Class]]="A",WORKDAY(Main[[#This Row],[Tech Start Date]],9),""))))</f>
        <v/>
      </c>
      <c r="Q85" s="74"/>
      <c r="R85" s="74">
        <v>40756</v>
      </c>
      <c r="S85" s="72" t="s">
        <v>6</v>
      </c>
      <c r="T85" s="80" t="s">
        <v>2290</v>
      </c>
      <c r="U85" s="72" t="s">
        <v>29</v>
      </c>
      <c r="V85" s="72" t="s">
        <v>1932</v>
      </c>
      <c r="W85" s="72" t="s">
        <v>1936</v>
      </c>
      <c r="X85" s="72" t="s">
        <v>2957</v>
      </c>
      <c r="Y85" s="72" t="s">
        <v>3095</v>
      </c>
      <c r="Z85" s="72" t="s">
        <v>4</v>
      </c>
      <c r="AA85" s="147" t="s">
        <v>2957</v>
      </c>
    </row>
    <row r="86" spans="1:27" ht="18.600000000000001" customHeight="1">
      <c r="A86" s="140">
        <f>IF(priority(Main[[#This Row],[Comments]])&lt;&gt;0, priority(Main[[#This Row],[Comments]]),"")</f>
        <v>24</v>
      </c>
      <c r="B86" s="90" t="s">
        <v>2844</v>
      </c>
      <c r="C86" s="72" t="s">
        <v>2845</v>
      </c>
      <c r="D86" s="73" t="s">
        <v>3548</v>
      </c>
      <c r="E86" s="74">
        <v>40885.00640046296</v>
      </c>
      <c r="F86" s="74"/>
      <c r="G86" s="75">
        <f>IF(stdProdLT(Main[[#This Row],[Comments]])=0.1,"N/A",IF(stdProdLT(Main[[#This Row],[Comments]])=0,"",stdProdLT(Main[[#This Row],[Comments]])))</f>
        <v>98</v>
      </c>
      <c r="H86" s="76" t="str">
        <f>IF(AND(Main[[#This Row],[In Stock Date]]&lt;&gt;"",Main[[#This Row],[Revised Due Date]]&lt;&gt;""),Main[[#This Row],[In Stock Date]]-Main[[#This Row],[Revised Due Date]],"")</f>
        <v/>
      </c>
      <c r="I86" s="72" t="s">
        <v>4</v>
      </c>
      <c r="J86" s="72" t="s">
        <v>4</v>
      </c>
      <c r="K86" s="72" t="s">
        <v>4</v>
      </c>
      <c r="L86" s="74"/>
      <c r="M86" s="77" t="str">
        <f>IF(Main[[#This Row],[Tech Start Date]]&lt;1/1/1990,"",IF(Main[[#This Row],[Class]]="C",WORKDAY(Main[[#This Row],[Tech Start Date]],9),IF(Main[[#This Row],[Class]]="B", WORKDAY(Main[[#This Row],[Tech Start Date]],6),IF(Main[[#This Row],[Class]]="A",WORKDAY(Main[[#This Row],[Tech Start Date]],2),""))))</f>
        <v/>
      </c>
      <c r="N86" s="77" t="str">
        <f>IF(Main[[#This Row],[Tech Start Date]]&lt;1/1/1990,"",IF(Main[[#This Row],[Class]]="C",WORKDAY(Main[[#This Row],[Tech Start Date]],19),IF(Main[[#This Row],[Class]]="B", WORKDAY(Main[[#This Row],[Tech Start Date]],12),IF(Main[[#This Row],[Class]]="A",WORKDAY(Main[[#This Row],[Tech Start Date]],4),""))))</f>
        <v/>
      </c>
      <c r="O86" s="77" t="str">
        <f>IF(Main[[#This Row],[Tech Start Date]]&lt;1/1/1990,"",IF(Main[[#This Row],[Class]]="C",WORKDAY(Main[[#This Row],[Tech Start Date]],23),IF(Main[[#This Row],[Class]]="B", WORKDAY(Main[[#This Row],[Tech Start Date]],15),IF(Main[[#This Row],[Class]]="A",WORKDAY(Main[[#This Row],[Tech Start Date]],5),""))))</f>
        <v/>
      </c>
      <c r="P86" s="77" t="str">
        <f>IF(Main[[#This Row],[Tech Start Date]]&lt;1/1/1990,"",IF(Main[[#This Row],[Class]]="C",WORKDAY(Main[[#This Row],[Tech Start Date]],28),IF(Main[[#This Row],[Class]]="B", WORKDAY(Main[[#This Row],[Tech Start Date]],19),IF(Main[[#This Row],[Class]]="A",WORKDAY(Main[[#This Row],[Tech Start Date]],9),""))))</f>
        <v/>
      </c>
      <c r="Q86" s="74">
        <v>40889</v>
      </c>
      <c r="R86" s="74"/>
      <c r="S86" s="72" t="s">
        <v>11</v>
      </c>
      <c r="T86" s="80" t="s">
        <v>3406</v>
      </c>
      <c r="U86" s="72" t="s">
        <v>7</v>
      </c>
      <c r="V86" s="72" t="s">
        <v>1932</v>
      </c>
      <c r="W86" s="72" t="s">
        <v>1938</v>
      </c>
      <c r="X86" s="72" t="s">
        <v>2945</v>
      </c>
      <c r="Y86" s="72" t="s">
        <v>4</v>
      </c>
      <c r="Z86" s="72" t="s">
        <v>4</v>
      </c>
      <c r="AA86" s="147" t="s">
        <v>2945</v>
      </c>
    </row>
    <row r="87" spans="1:27" ht="18.600000000000001" customHeight="1">
      <c r="A87" s="140">
        <f>IF(priority(Main[[#This Row],[Comments]])&lt;&gt;0, priority(Main[[#This Row],[Comments]]),"")</f>
        <v>24</v>
      </c>
      <c r="B87" s="90" t="s">
        <v>3277</v>
      </c>
      <c r="C87" s="72" t="s">
        <v>3323</v>
      </c>
      <c r="D87" s="73" t="s">
        <v>3757</v>
      </c>
      <c r="E87" s="74">
        <v>40919.294537037036</v>
      </c>
      <c r="F87" s="74">
        <v>41122</v>
      </c>
      <c r="G87" s="75">
        <f>IF(stdProdLT(Main[[#This Row],[Comments]])=0.1,"N/A",IF(stdProdLT(Main[[#This Row],[Comments]])=0,"",stdProdLT(Main[[#This Row],[Comments]])))</f>
        <v>140</v>
      </c>
      <c r="H87" s="76">
        <f>IF(AND(Main[[#This Row],[In Stock Date]]&lt;&gt;"",Main[[#This Row],[Revised Due Date]]&lt;&gt;""),Main[[#This Row],[In Stock Date]]-Main[[#This Row],[Revised Due Date]],"")</f>
        <v>163</v>
      </c>
      <c r="I87" s="72" t="s">
        <v>2234</v>
      </c>
      <c r="J87" s="72" t="s">
        <v>75</v>
      </c>
      <c r="K87" s="72" t="s">
        <v>1939</v>
      </c>
      <c r="L87" s="74">
        <v>40925</v>
      </c>
      <c r="M87" s="77">
        <f>IF(Main[[#This Row],[Tech Start Date]]&lt;1/1/1990,"",IF(Main[[#This Row],[Class]]="C",WORKDAY(Main[[#This Row],[Tech Start Date]],9),IF(Main[[#This Row],[Class]]="B", WORKDAY(Main[[#This Row],[Tech Start Date]],6),IF(Main[[#This Row],[Class]]="A",WORKDAY(Main[[#This Row],[Tech Start Date]],2),""))))</f>
        <v>40933</v>
      </c>
      <c r="N87" s="77">
        <f>IF(Main[[#This Row],[Tech Start Date]]&lt;1/1/1990,"",IF(Main[[#This Row],[Class]]="C",WORKDAY(Main[[#This Row],[Tech Start Date]],19),IF(Main[[#This Row],[Class]]="B", WORKDAY(Main[[#This Row],[Tech Start Date]],12),IF(Main[[#This Row],[Class]]="A",WORKDAY(Main[[#This Row],[Tech Start Date]],4),""))))</f>
        <v>40941</v>
      </c>
      <c r="O87" s="77">
        <f>IF(Main[[#This Row],[Tech Start Date]]&lt;1/1/1990,"",IF(Main[[#This Row],[Class]]="C",WORKDAY(Main[[#This Row],[Tech Start Date]],23),IF(Main[[#This Row],[Class]]="B", WORKDAY(Main[[#This Row],[Tech Start Date]],15),IF(Main[[#This Row],[Class]]="A",WORKDAY(Main[[#This Row],[Tech Start Date]],5),""))))</f>
        <v>40946</v>
      </c>
      <c r="P87" s="77">
        <f>IF(Main[[#This Row],[Tech Start Date]]&lt;1/1/1990,"",IF(Main[[#This Row],[Class]]="C",WORKDAY(Main[[#This Row],[Tech Start Date]],28),IF(Main[[#This Row],[Class]]="B", WORKDAY(Main[[#This Row],[Tech Start Date]],19),IF(Main[[#This Row],[Class]]="A",WORKDAY(Main[[#This Row],[Tech Start Date]],9),""))))</f>
        <v>40952</v>
      </c>
      <c r="Q87" s="74">
        <v>40959</v>
      </c>
      <c r="R87" s="74">
        <v>40959</v>
      </c>
      <c r="S87" s="72" t="s">
        <v>11</v>
      </c>
      <c r="T87" s="80" t="s">
        <v>3374</v>
      </c>
      <c r="U87" s="72" t="s">
        <v>29</v>
      </c>
      <c r="V87" s="72" t="s">
        <v>1942</v>
      </c>
      <c r="W87" s="72" t="s">
        <v>1938</v>
      </c>
      <c r="X87" s="72" t="s">
        <v>2939</v>
      </c>
      <c r="Y87" s="72" t="s">
        <v>3074</v>
      </c>
      <c r="Z87" s="72" t="s">
        <v>535</v>
      </c>
      <c r="AA87" s="147" t="s">
        <v>2939</v>
      </c>
    </row>
    <row r="88" spans="1:27" ht="18.600000000000001" customHeight="1">
      <c r="A88" s="140">
        <f>IF(priority(Main[[#This Row],[Comments]])&lt;&gt;0, priority(Main[[#This Row],[Comments]]),"")</f>
        <v>25</v>
      </c>
      <c r="B88" s="90" t="s">
        <v>3358</v>
      </c>
      <c r="C88" s="72" t="s">
        <v>2845</v>
      </c>
      <c r="D88" s="73" t="s">
        <v>2900</v>
      </c>
      <c r="E88" s="74"/>
      <c r="F88" s="74"/>
      <c r="G88" s="75">
        <f>IF(stdProdLT(Main[[#This Row],[Comments]])=0.1,"N/A",IF(stdProdLT(Main[[#This Row],[Comments]])=0,"",stdProdLT(Main[[#This Row],[Comments]])))</f>
        <v>98</v>
      </c>
      <c r="H88" s="76" t="str">
        <f>IF(AND(Main[[#This Row],[In Stock Date]]&lt;&gt;"",Main[[#This Row],[Revised Due Date]]&lt;&gt;""),Main[[#This Row],[In Stock Date]]-Main[[#This Row],[Revised Due Date]],"")</f>
        <v/>
      </c>
      <c r="I88" s="72" t="s">
        <v>4</v>
      </c>
      <c r="J88" s="72" t="s">
        <v>4</v>
      </c>
      <c r="K88" s="72" t="s">
        <v>4</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40889</v>
      </c>
      <c r="R88" s="74"/>
      <c r="S88" s="72" t="s">
        <v>11</v>
      </c>
      <c r="T88" s="80" t="s">
        <v>3347</v>
      </c>
      <c r="U88" s="72" t="s">
        <v>12</v>
      </c>
      <c r="V88" s="72" t="s">
        <v>1932</v>
      </c>
      <c r="W88" s="72" t="s">
        <v>1938</v>
      </c>
      <c r="X88" s="72" t="s">
        <v>3359</v>
      </c>
      <c r="Y88" s="72" t="s">
        <v>4</v>
      </c>
      <c r="Z88" s="72" t="s">
        <v>4</v>
      </c>
      <c r="AA88" s="147" t="s">
        <v>2945</v>
      </c>
    </row>
    <row r="89" spans="1:27" ht="18.600000000000001" customHeight="1">
      <c r="A89" s="140">
        <f>IF(priority(Main[[#This Row],[Comments]])&lt;&gt;0, priority(Main[[#This Row],[Comments]]),"")</f>
        <v>25</v>
      </c>
      <c r="B89" s="90" t="s">
        <v>2178</v>
      </c>
      <c r="C89" s="72" t="s">
        <v>116</v>
      </c>
      <c r="D89" s="73" t="s">
        <v>2878</v>
      </c>
      <c r="E89" s="74">
        <v>40770.33797453704</v>
      </c>
      <c r="F89" s="74">
        <v>41044</v>
      </c>
      <c r="G89" s="75" t="str">
        <f>IF(stdProdLT(Main[[#This Row],[Comments]])=0.1,"N/A",IF(stdProdLT(Main[[#This Row],[Comments]])=0,"",stdProdLT(Main[[#This Row],[Comments]])))</f>
        <v>N/A</v>
      </c>
      <c r="H89" s="76">
        <f>IF(AND(Main[[#This Row],[In Stock Date]]&lt;&gt;"",Main[[#This Row],[Revised Due Date]]&lt;&gt;""),Main[[#This Row],[In Stock Date]]-Main[[#This Row],[Revised Due Date]],"")</f>
        <v>88</v>
      </c>
      <c r="I89" s="72" t="s">
        <v>949</v>
      </c>
      <c r="J89" s="72" t="s">
        <v>21</v>
      </c>
      <c r="K89" s="72" t="s">
        <v>1945</v>
      </c>
      <c r="L89" s="74">
        <v>40778</v>
      </c>
      <c r="M89" s="77">
        <f>IF(Main[[#This Row],[Tech Start Date]]&lt;1/1/1990,"",IF(Main[[#This Row],[Class]]="C",WORKDAY(Main[[#This Row],[Tech Start Date]],9),IF(Main[[#This Row],[Class]]="B", WORKDAY(Main[[#This Row],[Tech Start Date]],6),IF(Main[[#This Row],[Class]]="A",WORKDAY(Main[[#This Row],[Tech Start Date]],2),""))))</f>
        <v>40791</v>
      </c>
      <c r="N89" s="77">
        <f>IF(Main[[#This Row],[Tech Start Date]]&lt;1/1/1990,"",IF(Main[[#This Row],[Class]]="C",WORKDAY(Main[[#This Row],[Tech Start Date]],19),IF(Main[[#This Row],[Class]]="B", WORKDAY(Main[[#This Row],[Tech Start Date]],12),IF(Main[[#This Row],[Class]]="A",WORKDAY(Main[[#This Row],[Tech Start Date]],4),""))))</f>
        <v>40805</v>
      </c>
      <c r="O89" s="77">
        <f>IF(Main[[#This Row],[Tech Start Date]]&lt;1/1/1990,"",IF(Main[[#This Row],[Class]]="C",WORKDAY(Main[[#This Row],[Tech Start Date]],23),IF(Main[[#This Row],[Class]]="B", WORKDAY(Main[[#This Row],[Tech Start Date]],15),IF(Main[[#This Row],[Class]]="A",WORKDAY(Main[[#This Row],[Tech Start Date]],5),""))))</f>
        <v>40809</v>
      </c>
      <c r="P89" s="77">
        <f>IF(Main[[#This Row],[Tech Start Date]]&lt;1/1/1990,"",IF(Main[[#This Row],[Class]]="C",WORKDAY(Main[[#This Row],[Tech Start Date]],28),IF(Main[[#This Row],[Class]]="B", WORKDAY(Main[[#This Row],[Tech Start Date]],19),IF(Main[[#This Row],[Class]]="A",WORKDAY(Main[[#This Row],[Tech Start Date]],9),""))))</f>
        <v>40816</v>
      </c>
      <c r="Q89" s="74">
        <v>40802</v>
      </c>
      <c r="R89" s="74">
        <v>40956</v>
      </c>
      <c r="S89" s="72" t="s">
        <v>11</v>
      </c>
      <c r="T89" s="80" t="s">
        <v>3481</v>
      </c>
      <c r="U89" s="72" t="s">
        <v>29</v>
      </c>
      <c r="V89" s="72" t="s">
        <v>1932</v>
      </c>
      <c r="W89" s="72" t="s">
        <v>1940</v>
      </c>
      <c r="X89" s="72" t="s">
        <v>2943</v>
      </c>
      <c r="Y89" s="72" t="s">
        <v>3231</v>
      </c>
      <c r="Z89" s="72" t="s">
        <v>129</v>
      </c>
      <c r="AA89" s="147" t="s">
        <v>2943</v>
      </c>
    </row>
    <row r="90" spans="1:27" ht="18.600000000000001" customHeight="1">
      <c r="A90" s="140">
        <f>IF(priority(Main[[#This Row],[Comments]])&lt;&gt;0, priority(Main[[#This Row],[Comments]]),"")</f>
        <v>25</v>
      </c>
      <c r="B90" s="90" t="s">
        <v>2835</v>
      </c>
      <c r="C90" s="72" t="s">
        <v>2029</v>
      </c>
      <c r="D90" s="73" t="s">
        <v>2836</v>
      </c>
      <c r="E90" s="74">
        <v>40914.055902777778</v>
      </c>
      <c r="F90" s="74">
        <v>41153</v>
      </c>
      <c r="G90" s="75">
        <f>IF(stdProdLT(Main[[#This Row],[Comments]])=0.1,"N/A",IF(stdProdLT(Main[[#This Row],[Comments]])=0,"",stdProdLT(Main[[#This Row],[Comments]])))</f>
        <v>168</v>
      </c>
      <c r="H90" s="76">
        <f>IF(AND(Main[[#This Row],[In Stock Date]]&lt;&gt;"",Main[[#This Row],[Revised Due Date]]&lt;&gt;""),Main[[#This Row],[In Stock Date]]-Main[[#This Row],[Revised Due Date]],"")</f>
        <v>192</v>
      </c>
      <c r="I90" s="72" t="s">
        <v>30</v>
      </c>
      <c r="J90" s="72" t="s">
        <v>28</v>
      </c>
      <c r="K90" s="72" t="s">
        <v>1945</v>
      </c>
      <c r="L90" s="74">
        <v>40925</v>
      </c>
      <c r="M90" s="77">
        <f>IF(Main[[#This Row],[Tech Start Date]]&lt;1/1/1990,"",IF(Main[[#This Row],[Class]]="C",WORKDAY(Main[[#This Row],[Tech Start Date]],9),IF(Main[[#This Row],[Class]]="B", WORKDAY(Main[[#This Row],[Tech Start Date]],6),IF(Main[[#This Row],[Class]]="A",WORKDAY(Main[[#This Row],[Tech Start Date]],2),""))))</f>
        <v>40938</v>
      </c>
      <c r="N90" s="77">
        <f>IF(Main[[#This Row],[Tech Start Date]]&lt;1/1/1990,"",IF(Main[[#This Row],[Class]]="C",WORKDAY(Main[[#This Row],[Tech Start Date]],19),IF(Main[[#This Row],[Class]]="B", WORKDAY(Main[[#This Row],[Tech Start Date]],12),IF(Main[[#This Row],[Class]]="A",WORKDAY(Main[[#This Row],[Tech Start Date]],4),""))))</f>
        <v>40952</v>
      </c>
      <c r="O90" s="77">
        <f>IF(Main[[#This Row],[Tech Start Date]]&lt;1/1/1990,"",IF(Main[[#This Row],[Class]]="C",WORKDAY(Main[[#This Row],[Tech Start Date]],23),IF(Main[[#This Row],[Class]]="B", WORKDAY(Main[[#This Row],[Tech Start Date]],15),IF(Main[[#This Row],[Class]]="A",WORKDAY(Main[[#This Row],[Tech Start Date]],5),""))))</f>
        <v>40956</v>
      </c>
      <c r="P90" s="77">
        <f>IF(Main[[#This Row],[Tech Start Date]]&lt;1/1/1990,"",IF(Main[[#This Row],[Class]]="C",WORKDAY(Main[[#This Row],[Tech Start Date]],28),IF(Main[[#This Row],[Class]]="B", WORKDAY(Main[[#This Row],[Tech Start Date]],19),IF(Main[[#This Row],[Class]]="A",WORKDAY(Main[[#This Row],[Tech Start Date]],9),""))))</f>
        <v>40963</v>
      </c>
      <c r="Q90" s="74">
        <v>40984</v>
      </c>
      <c r="R90" s="74">
        <v>40961</v>
      </c>
      <c r="S90" s="72" t="s">
        <v>11</v>
      </c>
      <c r="T90" s="80" t="s">
        <v>3516</v>
      </c>
      <c r="U90" s="72" t="s">
        <v>29</v>
      </c>
      <c r="V90" s="72" t="s">
        <v>1935</v>
      </c>
      <c r="W90" s="72" t="s">
        <v>1938</v>
      </c>
      <c r="X90" s="72" t="s">
        <v>2945</v>
      </c>
      <c r="Y90" s="72" t="s">
        <v>4</v>
      </c>
      <c r="Z90" s="72" t="s">
        <v>535</v>
      </c>
      <c r="AA90" s="147" t="s">
        <v>2945</v>
      </c>
    </row>
    <row r="91" spans="1:27" ht="18.600000000000001" customHeight="1">
      <c r="A91" s="140">
        <f>IF(priority(Main[[#This Row],[Comments]])&lt;&gt;0, priority(Main[[#This Row],[Comments]]),"")</f>
        <v>26</v>
      </c>
      <c r="B91" s="90" t="s">
        <v>1476</v>
      </c>
      <c r="C91" s="72" t="s">
        <v>4</v>
      </c>
      <c r="D91" s="73" t="s">
        <v>2341</v>
      </c>
      <c r="E91" s="74">
        <v>40702.622164351851</v>
      </c>
      <c r="F91" s="74"/>
      <c r="G91" s="75" t="str">
        <f>IF(stdProdLT(Main[[#This Row],[Comments]])=0.1,"N/A",IF(stdProdLT(Main[[#This Row],[Comments]])=0,"",stdProdLT(Main[[#This Row],[Comments]])))</f>
        <v>N/A</v>
      </c>
      <c r="H91" s="76" t="str">
        <f>IF(AND(Main[[#This Row],[In Stock Date]]&lt;&gt;"",Main[[#This Row],[Revised Due Date]]&lt;&gt;""),Main[[#This Row],[In Stock Date]]-Main[[#This Row],[Revised Due Date]],"")</f>
        <v/>
      </c>
      <c r="I91" s="72" t="s">
        <v>923</v>
      </c>
      <c r="J91" s="72" t="s">
        <v>52</v>
      </c>
      <c r="K91" s="72"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c r="R91" s="74">
        <v>40756</v>
      </c>
      <c r="S91" s="72" t="s">
        <v>6</v>
      </c>
      <c r="T91" s="80" t="s">
        <v>2289</v>
      </c>
      <c r="U91" s="72" t="s">
        <v>29</v>
      </c>
      <c r="V91" s="72" t="s">
        <v>1932</v>
      </c>
      <c r="W91" s="72" t="s">
        <v>1936</v>
      </c>
      <c r="X91" s="72" t="s">
        <v>923</v>
      </c>
      <c r="Y91" s="72" t="s">
        <v>3152</v>
      </c>
      <c r="Z91" s="72" t="s">
        <v>4</v>
      </c>
      <c r="AA91" s="147" t="s">
        <v>923</v>
      </c>
    </row>
    <row r="92" spans="1:27" ht="18.600000000000001" customHeight="1">
      <c r="A92" s="140">
        <f>IF(priority(Main[[#This Row],[Comments]])&lt;&gt;0, priority(Main[[#This Row],[Comments]]),"")</f>
        <v>26</v>
      </c>
      <c r="B92" s="90" t="s">
        <v>1922</v>
      </c>
      <c r="C92" s="72" t="s">
        <v>966</v>
      </c>
      <c r="D92" s="73" t="s">
        <v>2043</v>
      </c>
      <c r="E92" s="74"/>
      <c r="F92" s="74"/>
      <c r="G92" s="75">
        <f>IF(stdProdLT(Main[[#This Row],[Comments]])=0.1,"N/A",IF(stdProdLT(Main[[#This Row],[Comments]])=0,"",stdProdLT(Main[[#This Row],[Comments]])))</f>
        <v>112</v>
      </c>
      <c r="H92" s="76" t="str">
        <f>IF(AND(Main[[#This Row],[In Stock Date]]&lt;&gt;"",Main[[#This Row],[Revised Due Date]]&lt;&gt;""),Main[[#This Row],[In Stock Date]]-Main[[#This Row],[Revised Due Date]],"")</f>
        <v/>
      </c>
      <c r="I92" s="72" t="s">
        <v>4</v>
      </c>
      <c r="J92" s="72" t="s">
        <v>52</v>
      </c>
      <c r="K92" s="81" t="s">
        <v>1945</v>
      </c>
      <c r="L92" s="74">
        <v>40694</v>
      </c>
      <c r="M92" s="77">
        <f>IF(Main[[#This Row],[Tech Start Date]]&lt;1/1/1990,"",IF(Main[[#This Row],[Class]]="C",WORKDAY(Main[[#This Row],[Tech Start Date]],9),IF(Main[[#This Row],[Class]]="B", WORKDAY(Main[[#This Row],[Tech Start Date]],6),IF(Main[[#This Row],[Class]]="A",WORKDAY(Main[[#This Row],[Tech Start Date]],2),""))))</f>
        <v>40707</v>
      </c>
      <c r="N92" s="77">
        <f>IF(Main[[#This Row],[Tech Start Date]]&lt;1/1/1990,"",IF(Main[[#This Row],[Class]]="C",WORKDAY(Main[[#This Row],[Tech Start Date]],19),IF(Main[[#This Row],[Class]]="B", WORKDAY(Main[[#This Row],[Tech Start Date]],12),IF(Main[[#This Row],[Class]]="A",WORKDAY(Main[[#This Row],[Tech Start Date]],4),""))))</f>
        <v>40721</v>
      </c>
      <c r="O92" s="77">
        <f>IF(Main[[#This Row],[Tech Start Date]]&lt;1/1/1990,"",IF(Main[[#This Row],[Class]]="C",WORKDAY(Main[[#This Row],[Tech Start Date]],23),IF(Main[[#This Row],[Class]]="B", WORKDAY(Main[[#This Row],[Tech Start Date]],15),IF(Main[[#This Row],[Class]]="A",WORKDAY(Main[[#This Row],[Tech Start Date]],5),""))))</f>
        <v>40725</v>
      </c>
      <c r="P92" s="77">
        <f>IF(Main[[#This Row],[Tech Start Date]]&lt;1/1/1990,"",IF(Main[[#This Row],[Class]]="C",WORKDAY(Main[[#This Row],[Tech Start Date]],28),IF(Main[[#This Row],[Class]]="B", WORKDAY(Main[[#This Row],[Tech Start Date]],19),IF(Main[[#This Row],[Class]]="A",WORKDAY(Main[[#This Row],[Tech Start Date]],9),""))))</f>
        <v>40732</v>
      </c>
      <c r="Q92" s="74">
        <v>40723</v>
      </c>
      <c r="R92" s="74">
        <v>40753</v>
      </c>
      <c r="S92" s="72" t="s">
        <v>11</v>
      </c>
      <c r="T92" s="80" t="s">
        <v>2024</v>
      </c>
      <c r="U92" s="72" t="s">
        <v>14</v>
      </c>
      <c r="V92" s="72" t="s">
        <v>1932</v>
      </c>
      <c r="W92" s="72" t="s">
        <v>1934</v>
      </c>
      <c r="X92" s="72" t="s">
        <v>2974</v>
      </c>
      <c r="Y92" s="72" t="s">
        <v>3249</v>
      </c>
      <c r="Z92" s="72" t="s">
        <v>3258</v>
      </c>
      <c r="AA92" s="147" t="s">
        <v>2974</v>
      </c>
    </row>
    <row r="93" spans="1:27" ht="18.600000000000001" customHeight="1">
      <c r="A93" s="140">
        <f>IF(priority(Main[[#This Row],[Comments]])&lt;&gt;0, priority(Main[[#This Row],[Comments]]),"")</f>
        <v>26</v>
      </c>
      <c r="B93" s="90" t="s">
        <v>1450</v>
      </c>
      <c r="C93" s="72" t="s">
        <v>132</v>
      </c>
      <c r="D93" s="73" t="s">
        <v>2026</v>
      </c>
      <c r="E93" s="74"/>
      <c r="F93" s="74">
        <v>40939</v>
      </c>
      <c r="G93" s="75">
        <f>IF(stdProdLT(Main[[#This Row],[Comments]])=0.1,"N/A",IF(stdProdLT(Main[[#This Row],[Comments]])=0,"",stdProdLT(Main[[#This Row],[Comments]])))</f>
        <v>126</v>
      </c>
      <c r="H93" s="76">
        <f>IF(AND(Main[[#This Row],[In Stock Date]]&lt;&gt;"",Main[[#This Row],[Revised Due Date]]&lt;&gt;""),Main[[#This Row],[In Stock Date]]-Main[[#This Row],[Revised Due Date]],"")</f>
        <v>154</v>
      </c>
      <c r="I93" s="72" t="s">
        <v>126</v>
      </c>
      <c r="J93" s="72" t="s">
        <v>28</v>
      </c>
      <c r="K93" s="72" t="s">
        <v>1945</v>
      </c>
      <c r="L93" s="74">
        <v>40736</v>
      </c>
      <c r="M93" s="77">
        <f>IF(Main[[#This Row],[Tech Start Date]]&lt;1/1/1990,"",IF(Main[[#This Row],[Class]]="C",WORKDAY(Main[[#This Row],[Tech Start Date]],9),IF(Main[[#This Row],[Class]]="B", WORKDAY(Main[[#This Row],[Tech Start Date]],6),IF(Main[[#This Row],[Class]]="A",WORKDAY(Main[[#This Row],[Tech Start Date]],2),""))))</f>
        <v>40749</v>
      </c>
      <c r="N93" s="77">
        <f>IF(Main[[#This Row],[Tech Start Date]]&lt;1/1/1990,"",IF(Main[[#This Row],[Class]]="C",WORKDAY(Main[[#This Row],[Tech Start Date]],19),IF(Main[[#This Row],[Class]]="B", WORKDAY(Main[[#This Row],[Tech Start Date]],12),IF(Main[[#This Row],[Class]]="A",WORKDAY(Main[[#This Row],[Tech Start Date]],4),""))))</f>
        <v>40763</v>
      </c>
      <c r="O93" s="77">
        <f>IF(Main[[#This Row],[Tech Start Date]]&lt;1/1/1990,"",IF(Main[[#This Row],[Class]]="C",WORKDAY(Main[[#This Row],[Tech Start Date]],23),IF(Main[[#This Row],[Class]]="B", WORKDAY(Main[[#This Row],[Tech Start Date]],15),IF(Main[[#This Row],[Class]]="A",WORKDAY(Main[[#This Row],[Tech Start Date]],5),""))))</f>
        <v>40767</v>
      </c>
      <c r="P93" s="77">
        <f>IF(Main[[#This Row],[Tech Start Date]]&lt;1/1/1990,"",IF(Main[[#This Row],[Class]]="C",WORKDAY(Main[[#This Row],[Tech Start Date]],28),IF(Main[[#This Row],[Class]]="B", WORKDAY(Main[[#This Row],[Tech Start Date]],19),IF(Main[[#This Row],[Class]]="A",WORKDAY(Main[[#This Row],[Tech Start Date]],9),""))))</f>
        <v>40774</v>
      </c>
      <c r="Q93" s="74">
        <v>40799</v>
      </c>
      <c r="R93" s="74">
        <v>40785</v>
      </c>
      <c r="S93" s="72" t="s">
        <v>11</v>
      </c>
      <c r="T93" s="80" t="s">
        <v>2027</v>
      </c>
      <c r="U93" s="72" t="s">
        <v>14</v>
      </c>
      <c r="V93" s="72" t="s">
        <v>1932</v>
      </c>
      <c r="W93" s="72" t="s">
        <v>1943</v>
      </c>
      <c r="X93" s="72" t="s">
        <v>2943</v>
      </c>
      <c r="Y93" s="72" t="s">
        <v>3231</v>
      </c>
      <c r="Z93" s="72" t="s">
        <v>129</v>
      </c>
      <c r="AA93" s="147" t="s">
        <v>2943</v>
      </c>
    </row>
    <row r="94" spans="1:27" ht="18.600000000000001" customHeight="1">
      <c r="A94" s="140">
        <f>IF(priority(Main[[#This Row],[Comments]])&lt;&gt;0, priority(Main[[#This Row],[Comments]]),"")</f>
        <v>26</v>
      </c>
      <c r="B94" s="90" t="s">
        <v>2699</v>
      </c>
      <c r="C94" s="72" t="s">
        <v>116</v>
      </c>
      <c r="D94" s="73" t="s">
        <v>2889</v>
      </c>
      <c r="E94" s="74">
        <v>40864.570104166669</v>
      </c>
      <c r="F94" s="74">
        <v>41044</v>
      </c>
      <c r="G94" s="75" t="str">
        <f>IF(stdProdLT(Main[[#This Row],[Comments]])=0.1,"N/A",IF(stdProdLT(Main[[#This Row],[Comments]])=0,"",stdProdLT(Main[[#This Row],[Comments]])))</f>
        <v>N/A</v>
      </c>
      <c r="H94" s="76">
        <f>IF(AND(Main[[#This Row],[In Stock Date]]&lt;&gt;"",Main[[#This Row],[Revised Due Date]]&lt;&gt;""),Main[[#This Row],[In Stock Date]]-Main[[#This Row],[Revised Due Date]],"")</f>
        <v>88</v>
      </c>
      <c r="I94" s="72" t="s">
        <v>949</v>
      </c>
      <c r="J94" s="72" t="s">
        <v>21</v>
      </c>
      <c r="K94" s="81" t="s">
        <v>1939</v>
      </c>
      <c r="L94" s="74">
        <v>40869</v>
      </c>
      <c r="M94" s="77">
        <f>IF(Main[[#This Row],[Tech Start Date]]&lt;1/1/1990,"",IF(Main[[#This Row],[Class]]="C",WORKDAY(Main[[#This Row],[Tech Start Date]],9),IF(Main[[#This Row],[Class]]="B", WORKDAY(Main[[#This Row],[Tech Start Date]],6),IF(Main[[#This Row],[Class]]="A",WORKDAY(Main[[#This Row],[Tech Start Date]],2),""))))</f>
        <v>40877</v>
      </c>
      <c r="N94" s="77">
        <f>IF(Main[[#This Row],[Tech Start Date]]&lt;1/1/1990,"",IF(Main[[#This Row],[Class]]="C",WORKDAY(Main[[#This Row],[Tech Start Date]],19),IF(Main[[#This Row],[Class]]="B", WORKDAY(Main[[#This Row],[Tech Start Date]],12),IF(Main[[#This Row],[Class]]="A",WORKDAY(Main[[#This Row],[Tech Start Date]],4),""))))</f>
        <v>40885</v>
      </c>
      <c r="O94" s="77">
        <f>IF(Main[[#This Row],[Tech Start Date]]&lt;1/1/1990,"",IF(Main[[#This Row],[Class]]="C",WORKDAY(Main[[#This Row],[Tech Start Date]],23),IF(Main[[#This Row],[Class]]="B", WORKDAY(Main[[#This Row],[Tech Start Date]],15),IF(Main[[#This Row],[Class]]="A",WORKDAY(Main[[#This Row],[Tech Start Date]],5),""))))</f>
        <v>40890</v>
      </c>
      <c r="P94" s="77">
        <f>IF(Main[[#This Row],[Tech Start Date]]&lt;1/1/1990,"",IF(Main[[#This Row],[Class]]="C",WORKDAY(Main[[#This Row],[Tech Start Date]],28),IF(Main[[#This Row],[Class]]="B", WORKDAY(Main[[#This Row],[Tech Start Date]],19),IF(Main[[#This Row],[Class]]="A",WORKDAY(Main[[#This Row],[Tech Start Date]],9),""))))</f>
        <v>40896</v>
      </c>
      <c r="Q94" s="74">
        <v>40904</v>
      </c>
      <c r="R94" s="74">
        <v>40956</v>
      </c>
      <c r="S94" s="72" t="s">
        <v>11</v>
      </c>
      <c r="T94" s="80" t="s">
        <v>3489</v>
      </c>
      <c r="U94" s="72" t="s">
        <v>29</v>
      </c>
      <c r="V94" s="72" t="s">
        <v>1932</v>
      </c>
      <c r="W94" s="72" t="s">
        <v>1940</v>
      </c>
      <c r="X94" s="72" t="s">
        <v>2943</v>
      </c>
      <c r="Y94" s="72" t="s">
        <v>3231</v>
      </c>
      <c r="Z94" s="72" t="s">
        <v>129</v>
      </c>
      <c r="AA94" s="147" t="s">
        <v>2943</v>
      </c>
    </row>
    <row r="95" spans="1:27" ht="18.600000000000001" customHeight="1">
      <c r="A95" s="140">
        <f>IF(priority(Main[[#This Row],[Comments]])&lt;&gt;0, priority(Main[[#This Row],[Comments]]),"")</f>
        <v>26</v>
      </c>
      <c r="B95" s="90" t="s">
        <v>3285</v>
      </c>
      <c r="C95" s="72" t="s">
        <v>3318</v>
      </c>
      <c r="D95" s="73" t="s">
        <v>3286</v>
      </c>
      <c r="E95" s="74">
        <v>40920.243854166663</v>
      </c>
      <c r="F95" s="74">
        <v>41153</v>
      </c>
      <c r="G95" s="75">
        <f>IF(stdProdLT(Main[[#This Row],[Comments]])=0.1,"N/A",IF(stdProdLT(Main[[#This Row],[Comments]])=0,"",stdProdLT(Main[[#This Row],[Comments]])))</f>
        <v>168</v>
      </c>
      <c r="H95" s="76">
        <f>IF(AND(Main[[#This Row],[In Stock Date]]&lt;&gt;"",Main[[#This Row],[Revised Due Date]]&lt;&gt;""),Main[[#This Row],[In Stock Date]]-Main[[#This Row],[Revised Due Date]],"")</f>
        <v>197</v>
      </c>
      <c r="I95" s="72" t="s">
        <v>44</v>
      </c>
      <c r="J95" s="72" t="s">
        <v>28</v>
      </c>
      <c r="K95" s="72" t="s">
        <v>1945</v>
      </c>
      <c r="L95" s="74">
        <v>40925</v>
      </c>
      <c r="M95" s="77">
        <f>IF(Main[[#This Row],[Tech Start Date]]&lt;1/1/1990,"",IF(Main[[#This Row],[Class]]="C",WORKDAY(Main[[#This Row],[Tech Start Date]],9),IF(Main[[#This Row],[Class]]="B", WORKDAY(Main[[#This Row],[Tech Start Date]],6),IF(Main[[#This Row],[Class]]="A",WORKDAY(Main[[#This Row],[Tech Start Date]],2),""))))</f>
        <v>40938</v>
      </c>
      <c r="N95" s="77">
        <f>IF(Main[[#This Row],[Tech Start Date]]&lt;1/1/1990,"",IF(Main[[#This Row],[Class]]="C",WORKDAY(Main[[#This Row],[Tech Start Date]],19),IF(Main[[#This Row],[Class]]="B", WORKDAY(Main[[#This Row],[Tech Start Date]],12),IF(Main[[#This Row],[Class]]="A",WORKDAY(Main[[#This Row],[Tech Start Date]],4),""))))</f>
        <v>40952</v>
      </c>
      <c r="O95" s="77">
        <f>IF(Main[[#This Row],[Tech Start Date]]&lt;1/1/1990,"",IF(Main[[#This Row],[Class]]="C",WORKDAY(Main[[#This Row],[Tech Start Date]],23),IF(Main[[#This Row],[Class]]="B", WORKDAY(Main[[#This Row],[Tech Start Date]],15),IF(Main[[#This Row],[Class]]="A",WORKDAY(Main[[#This Row],[Tech Start Date]],5),""))))</f>
        <v>40956</v>
      </c>
      <c r="P95" s="77">
        <f>IF(Main[[#This Row],[Tech Start Date]]&lt;1/1/1990,"",IF(Main[[#This Row],[Class]]="C",WORKDAY(Main[[#This Row],[Tech Start Date]],28),IF(Main[[#This Row],[Class]]="B", WORKDAY(Main[[#This Row],[Tech Start Date]],19),IF(Main[[#This Row],[Class]]="A",WORKDAY(Main[[#This Row],[Tech Start Date]],9),""))))</f>
        <v>40963</v>
      </c>
      <c r="Q95" s="74">
        <v>40984</v>
      </c>
      <c r="R95" s="74">
        <v>40956</v>
      </c>
      <c r="S95" s="72" t="s">
        <v>11</v>
      </c>
      <c r="T95" s="80" t="s">
        <v>3513</v>
      </c>
      <c r="U95" s="72" t="s">
        <v>29</v>
      </c>
      <c r="V95" s="72" t="s">
        <v>1935</v>
      </c>
      <c r="W95" s="72" t="s">
        <v>1943</v>
      </c>
      <c r="X95" s="72" t="s">
        <v>2937</v>
      </c>
      <c r="Y95" s="72" t="s">
        <v>4</v>
      </c>
      <c r="Z95" s="72" t="s">
        <v>535</v>
      </c>
      <c r="AA95" s="147" t="s">
        <v>2937</v>
      </c>
    </row>
    <row r="96" spans="1:27" ht="18.600000000000001" customHeight="1">
      <c r="A96" s="140">
        <f>IF(priority(Main[[#This Row],[Comments]])&lt;&gt;0, priority(Main[[#This Row],[Comments]]),"")</f>
        <v>28</v>
      </c>
      <c r="B96" s="90" t="s">
        <v>1029</v>
      </c>
      <c r="C96" s="72" t="s">
        <v>4</v>
      </c>
      <c r="D96" s="73" t="s">
        <v>2336</v>
      </c>
      <c r="E96" s="74">
        <v>40603.481041666666</v>
      </c>
      <c r="F96" s="74"/>
      <c r="G96" s="75" t="str">
        <f>IF(stdProdLT(Main[[#This Row],[Comments]])=0.1,"N/A",IF(stdProdLT(Main[[#This Row],[Comments]])=0,"",stdProdLT(Main[[#This Row],[Comments]])))</f>
        <v/>
      </c>
      <c r="H96" s="76" t="str">
        <f>IF(AND(Main[[#This Row],[In Stock Date]]&lt;&gt;"",Main[[#This Row],[Revised Due Date]]&lt;&gt;""),Main[[#This Row],[In Stock Date]]-Main[[#This Row],[Revised Due Date]],"")</f>
        <v/>
      </c>
      <c r="I96" s="72" t="s">
        <v>923</v>
      </c>
      <c r="J96" s="72" t="s">
        <v>52</v>
      </c>
      <c r="K96" s="72" t="s">
        <v>1941</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40637</v>
      </c>
      <c r="R96" s="74"/>
      <c r="S96" s="72" t="s">
        <v>6</v>
      </c>
      <c r="T96" s="80" t="s">
        <v>2704</v>
      </c>
      <c r="U96" s="72" t="s">
        <v>29</v>
      </c>
      <c r="V96" s="72" t="s">
        <v>1932</v>
      </c>
      <c r="W96" s="72" t="s">
        <v>1934</v>
      </c>
      <c r="X96" s="72" t="s">
        <v>2913</v>
      </c>
      <c r="Y96" s="72" t="s">
        <v>3033</v>
      </c>
      <c r="Z96" s="72" t="s">
        <v>129</v>
      </c>
      <c r="AA96" s="147" t="s">
        <v>2913</v>
      </c>
    </row>
    <row r="97" spans="1:27" ht="18.600000000000001" customHeight="1">
      <c r="A97" s="140">
        <f>IF(priority(Main[[#This Row],[Comments]])&lt;&gt;0, priority(Main[[#This Row],[Comments]]),"")</f>
        <v>29</v>
      </c>
      <c r="B97" s="90" t="s">
        <v>3352</v>
      </c>
      <c r="C97" s="72" t="s">
        <v>3319</v>
      </c>
      <c r="D97" s="73" t="s">
        <v>3353</v>
      </c>
      <c r="E97" s="74">
        <v>40925.100439814814</v>
      </c>
      <c r="F97" s="74">
        <v>41153</v>
      </c>
      <c r="G97" s="75">
        <f>IF(stdProdLT(Main[[#This Row],[Comments]])=0.1,"N/A",IF(stdProdLT(Main[[#This Row],[Comments]])=0,"",stdProdLT(Main[[#This Row],[Comments]])))</f>
        <v>140</v>
      </c>
      <c r="H97" s="76">
        <f>IF(AND(Main[[#This Row],[In Stock Date]]&lt;&gt;"",Main[[#This Row],[Revised Due Date]]&lt;&gt;""),Main[[#This Row],[In Stock Date]]-Main[[#This Row],[Revised Due Date]],"")</f>
        <v>194</v>
      </c>
      <c r="I97" s="72" t="s">
        <v>242</v>
      </c>
      <c r="J97" s="72" t="s">
        <v>21</v>
      </c>
      <c r="K97" s="72" t="s">
        <v>1939</v>
      </c>
      <c r="L97" s="74">
        <v>40925</v>
      </c>
      <c r="M97" s="77">
        <f>IF(Main[[#This Row],[Tech Start Date]]&lt;1/1/1990,"",IF(Main[[#This Row],[Class]]="C",WORKDAY(Main[[#This Row],[Tech Start Date]],9),IF(Main[[#This Row],[Class]]="B", WORKDAY(Main[[#This Row],[Tech Start Date]],6),IF(Main[[#This Row],[Class]]="A",WORKDAY(Main[[#This Row],[Tech Start Date]],2),""))))</f>
        <v>40933</v>
      </c>
      <c r="N97" s="77">
        <f>IF(Main[[#This Row],[Tech Start Date]]&lt;1/1/1990,"",IF(Main[[#This Row],[Class]]="C",WORKDAY(Main[[#This Row],[Tech Start Date]],19),IF(Main[[#This Row],[Class]]="B", WORKDAY(Main[[#This Row],[Tech Start Date]],12),IF(Main[[#This Row],[Class]]="A",WORKDAY(Main[[#This Row],[Tech Start Date]],4),""))))</f>
        <v>40941</v>
      </c>
      <c r="O97" s="77">
        <f>IF(Main[[#This Row],[Tech Start Date]]&lt;1/1/1990,"",IF(Main[[#This Row],[Class]]="C",WORKDAY(Main[[#This Row],[Tech Start Date]],23),IF(Main[[#This Row],[Class]]="B", WORKDAY(Main[[#This Row],[Tech Start Date]],15),IF(Main[[#This Row],[Class]]="A",WORKDAY(Main[[#This Row],[Tech Start Date]],5),""))))</f>
        <v>40946</v>
      </c>
      <c r="P97" s="77">
        <f>IF(Main[[#This Row],[Tech Start Date]]&lt;1/1/1990,"",IF(Main[[#This Row],[Class]]="C",WORKDAY(Main[[#This Row],[Tech Start Date]],28),IF(Main[[#This Row],[Class]]="B", WORKDAY(Main[[#This Row],[Tech Start Date]],19),IF(Main[[#This Row],[Class]]="A",WORKDAY(Main[[#This Row],[Tech Start Date]],9),""))))</f>
        <v>40952</v>
      </c>
      <c r="Q97" s="74">
        <v>41011</v>
      </c>
      <c r="R97" s="74">
        <v>40959</v>
      </c>
      <c r="S97" s="72" t="s">
        <v>11</v>
      </c>
      <c r="T97" s="80" t="s">
        <v>3510</v>
      </c>
      <c r="U97" s="72" t="s">
        <v>29</v>
      </c>
      <c r="V97" s="72" t="s">
        <v>1942</v>
      </c>
      <c r="W97" s="72" t="s">
        <v>1938</v>
      </c>
      <c r="X97" s="72" t="s">
        <v>2939</v>
      </c>
      <c r="Y97" s="72" t="s">
        <v>3074</v>
      </c>
      <c r="Z97" s="72" t="s">
        <v>535</v>
      </c>
      <c r="AA97" s="147" t="s">
        <v>2939</v>
      </c>
    </row>
    <row r="98" spans="1:27" ht="18.600000000000001" customHeight="1">
      <c r="A98" s="140">
        <f>IF(priority(Main[[#This Row],[Comments]])&lt;&gt;0, priority(Main[[#This Row],[Comments]]),"")</f>
        <v>30</v>
      </c>
      <c r="B98" s="90" t="s">
        <v>1589</v>
      </c>
      <c r="C98" s="72" t="s">
        <v>1986</v>
      </c>
      <c r="D98" s="73" t="s">
        <v>661</v>
      </c>
      <c r="E98" s="74"/>
      <c r="F98" s="74"/>
      <c r="G98" s="75">
        <f>IF(stdProdLT(Main[[#This Row],[Comments]])=0.1,"N/A",IF(stdProdLT(Main[[#This Row],[Comments]])=0,"",stdProdLT(Main[[#This Row],[Comments]])))</f>
        <v>126</v>
      </c>
      <c r="H98" s="76" t="str">
        <f>IF(AND(Main[[#This Row],[In Stock Date]]&lt;&gt;"",Main[[#This Row],[Revised Due Date]]&lt;&gt;""),Main[[#This Row],[In Stock Date]]-Main[[#This Row],[Revised Due Date]],"")</f>
        <v/>
      </c>
      <c r="I98" s="72" t="s">
        <v>4</v>
      </c>
      <c r="J98" s="72" t="s">
        <v>4</v>
      </c>
      <c r="K98" s="72" t="s">
        <v>4</v>
      </c>
      <c r="L98" s="74"/>
      <c r="M98" s="77" t="str">
        <f>IF(Main[[#This Row],[Tech Start Date]]&lt;1/1/1990,"",IF(Main[[#This Row],[Class]]="C",WORKDAY(Main[[#This Row],[Tech Start Date]],9),IF(Main[[#This Row],[Class]]="B", WORKDAY(Main[[#This Row],[Tech Start Date]],6),IF(Main[[#This Row],[Class]]="A",WORKDAY(Main[[#This Row],[Tech Start Date]],2),""))))</f>
        <v/>
      </c>
      <c r="N98" s="77" t="str">
        <f>IF(Main[[#This Row],[Tech Start Date]]&lt;1/1/1990,"",IF(Main[[#This Row],[Class]]="C",WORKDAY(Main[[#This Row],[Tech Start Date]],19),IF(Main[[#This Row],[Class]]="B", WORKDAY(Main[[#This Row],[Tech Start Date]],12),IF(Main[[#This Row],[Class]]="A",WORKDAY(Main[[#This Row],[Tech Start Date]],4),""))))</f>
        <v/>
      </c>
      <c r="O98" s="77" t="str">
        <f>IF(Main[[#This Row],[Tech Start Date]]&lt;1/1/1990,"",IF(Main[[#This Row],[Class]]="C",WORKDAY(Main[[#This Row],[Tech Start Date]],23),IF(Main[[#This Row],[Class]]="B", WORKDAY(Main[[#This Row],[Tech Start Date]],15),IF(Main[[#This Row],[Class]]="A",WORKDAY(Main[[#This Row],[Tech Start Date]],5),""))))</f>
        <v/>
      </c>
      <c r="P98" s="77" t="str">
        <f>IF(Main[[#This Row],[Tech Start Date]]&lt;1/1/1990,"",IF(Main[[#This Row],[Class]]="C",WORKDAY(Main[[#This Row],[Tech Start Date]],28),IF(Main[[#This Row],[Class]]="B", WORKDAY(Main[[#This Row],[Tech Start Date]],19),IF(Main[[#This Row],[Class]]="A",WORKDAY(Main[[#This Row],[Tech Start Date]],9),""))))</f>
        <v/>
      </c>
      <c r="Q98" s="74">
        <v>40710</v>
      </c>
      <c r="R98" s="74">
        <v>40778</v>
      </c>
      <c r="S98" s="72" t="s">
        <v>11</v>
      </c>
      <c r="T98" s="80" t="s">
        <v>1987</v>
      </c>
      <c r="U98" s="72" t="s">
        <v>14</v>
      </c>
      <c r="V98" s="72" t="s">
        <v>1932</v>
      </c>
      <c r="W98" s="72" t="s">
        <v>1934</v>
      </c>
      <c r="X98" s="72" t="s">
        <v>2948</v>
      </c>
      <c r="Y98" s="72" t="s">
        <v>3093</v>
      </c>
      <c r="Z98" s="72" t="s">
        <v>4</v>
      </c>
      <c r="AA98" s="147" t="s">
        <v>2948</v>
      </c>
    </row>
    <row r="99" spans="1:27" ht="18.600000000000001" customHeight="1">
      <c r="A99" s="140">
        <f>IF(priority(Main[[#This Row],[Comments]])&lt;&gt;0, priority(Main[[#This Row],[Comments]]),"")</f>
        <v>30</v>
      </c>
      <c r="B99" s="90" t="s">
        <v>1042</v>
      </c>
      <c r="C99" s="72" t="s">
        <v>37</v>
      </c>
      <c r="D99" s="73" t="s">
        <v>2335</v>
      </c>
      <c r="E99" s="74">
        <v>40578.593101851853</v>
      </c>
      <c r="F99" s="74">
        <v>40603</v>
      </c>
      <c r="G99" s="75" t="str">
        <f>IF(stdProdLT(Main[[#This Row],[Comments]])=0.1,"N/A",IF(stdProdLT(Main[[#This Row],[Comments]])=0,"",stdProdLT(Main[[#This Row],[Comments]])))</f>
        <v/>
      </c>
      <c r="H99" s="76" t="str">
        <f>IF(AND(Main[[#This Row],[In Stock Date]]&lt;&gt;"",Main[[#This Row],[Revised Due Date]]&lt;&gt;""),Main[[#This Row],[In Stock Date]]-Main[[#This Row],[Revised Due Date]],"")</f>
        <v/>
      </c>
      <c r="I99" s="72" t="s">
        <v>50</v>
      </c>
      <c r="J99" s="72" t="s">
        <v>51</v>
      </c>
      <c r="K99" s="72" t="s">
        <v>1941</v>
      </c>
      <c r="L99" s="74"/>
      <c r="M99" s="77" t="str">
        <f>IF(Main[[#This Row],[Tech Start Date]]&lt;1/1/1990,"",IF(Main[[#This Row],[Class]]="C",WORKDAY(Main[[#This Row],[Tech Start Date]],9),IF(Main[[#This Row],[Class]]="B", WORKDAY(Main[[#This Row],[Tech Start Date]],6),IF(Main[[#This Row],[Class]]="A",WORKDAY(Main[[#This Row],[Tech Start Date]],2),""))))</f>
        <v/>
      </c>
      <c r="N99" s="77" t="str">
        <f>IF(Main[[#This Row],[Tech Start Date]]&lt;1/1/1990,"",IF(Main[[#This Row],[Class]]="C",WORKDAY(Main[[#This Row],[Tech Start Date]],19),IF(Main[[#This Row],[Class]]="B", WORKDAY(Main[[#This Row],[Tech Start Date]],12),IF(Main[[#This Row],[Class]]="A",WORKDAY(Main[[#This Row],[Tech Start Date]],4),""))))</f>
        <v/>
      </c>
      <c r="O99" s="77" t="str">
        <f>IF(Main[[#This Row],[Tech Start Date]]&lt;1/1/1990,"",IF(Main[[#This Row],[Class]]="C",WORKDAY(Main[[#This Row],[Tech Start Date]],23),IF(Main[[#This Row],[Class]]="B", WORKDAY(Main[[#This Row],[Tech Start Date]],15),IF(Main[[#This Row],[Class]]="A",WORKDAY(Main[[#This Row],[Tech Start Date]],5),""))))</f>
        <v/>
      </c>
      <c r="P99" s="77" t="str">
        <f>IF(Main[[#This Row],[Tech Start Date]]&lt;1/1/1990,"",IF(Main[[#This Row],[Class]]="C",WORKDAY(Main[[#This Row],[Tech Start Date]],28),IF(Main[[#This Row],[Class]]="B", WORKDAY(Main[[#This Row],[Tech Start Date]],19),IF(Main[[#This Row],[Class]]="A",WORKDAY(Main[[#This Row],[Tech Start Date]],9),""))))</f>
        <v/>
      </c>
      <c r="Q99" s="74">
        <v>40603</v>
      </c>
      <c r="R99" s="74"/>
      <c r="S99" s="72" t="s">
        <v>6</v>
      </c>
      <c r="T99" s="80" t="s">
        <v>2297</v>
      </c>
      <c r="U99" s="72" t="s">
        <v>29</v>
      </c>
      <c r="V99" s="72" t="s">
        <v>1932</v>
      </c>
      <c r="W99" s="72" t="s">
        <v>1943</v>
      </c>
      <c r="X99" s="72" t="s">
        <v>894</v>
      </c>
      <c r="Y99" s="72" t="s">
        <v>3058</v>
      </c>
      <c r="Z99" s="72" t="s">
        <v>129</v>
      </c>
      <c r="AA99" s="147" t="s">
        <v>894</v>
      </c>
    </row>
    <row r="100" spans="1:27" ht="18.600000000000001" customHeight="1">
      <c r="A100" s="140">
        <f>IF(priority(Main[[#This Row],[Comments]])&lt;&gt;0, priority(Main[[#This Row],[Comments]]),"")</f>
        <v>30</v>
      </c>
      <c r="B100" s="90" t="s">
        <v>1976</v>
      </c>
      <c r="C100" s="72" t="s">
        <v>116</v>
      </c>
      <c r="D100" s="73" t="s">
        <v>2658</v>
      </c>
      <c r="E100" s="74">
        <v>40722.573900462965</v>
      </c>
      <c r="F100" s="74">
        <v>41379</v>
      </c>
      <c r="G100" s="75" t="str">
        <f>IF(stdProdLT(Main[[#This Row],[Comments]])=0.1,"N/A",IF(stdProdLT(Main[[#This Row],[Comments]])=0,"",stdProdLT(Main[[#This Row],[Comments]])))</f>
        <v>N/A</v>
      </c>
      <c r="H100" s="76">
        <f>IF(AND(Main[[#This Row],[In Stock Date]]&lt;&gt;"",Main[[#This Row],[Revised Due Date]]&lt;&gt;""),Main[[#This Row],[In Stock Date]]-Main[[#This Row],[Revised Due Date]],"")</f>
        <v>410</v>
      </c>
      <c r="I100" s="72" t="s">
        <v>81</v>
      </c>
      <c r="J100" s="72" t="s">
        <v>21</v>
      </c>
      <c r="K100" s="72" t="s">
        <v>1945</v>
      </c>
      <c r="L100" s="74">
        <v>40767</v>
      </c>
      <c r="M100" s="77">
        <f>IF(Main[[#This Row],[Tech Start Date]]&lt;1/1/1990,"",IF(Main[[#This Row],[Class]]="C",WORKDAY(Main[[#This Row],[Tech Start Date]],9),IF(Main[[#This Row],[Class]]="B", WORKDAY(Main[[#This Row],[Tech Start Date]],6),IF(Main[[#This Row],[Class]]="A",WORKDAY(Main[[#This Row],[Tech Start Date]],2),""))))</f>
        <v>40780</v>
      </c>
      <c r="N100" s="77">
        <f>IF(Main[[#This Row],[Tech Start Date]]&lt;1/1/1990,"",IF(Main[[#This Row],[Class]]="C",WORKDAY(Main[[#This Row],[Tech Start Date]],19),IF(Main[[#This Row],[Class]]="B", WORKDAY(Main[[#This Row],[Tech Start Date]],12),IF(Main[[#This Row],[Class]]="A",WORKDAY(Main[[#This Row],[Tech Start Date]],4),""))))</f>
        <v>40794</v>
      </c>
      <c r="O100" s="77">
        <f>IF(Main[[#This Row],[Tech Start Date]]&lt;1/1/1990,"",IF(Main[[#This Row],[Class]]="C",WORKDAY(Main[[#This Row],[Tech Start Date]],23),IF(Main[[#This Row],[Class]]="B", WORKDAY(Main[[#This Row],[Tech Start Date]],15),IF(Main[[#This Row],[Class]]="A",WORKDAY(Main[[#This Row],[Tech Start Date]],5),""))))</f>
        <v>40800</v>
      </c>
      <c r="P100" s="77">
        <f>IF(Main[[#This Row],[Tech Start Date]]&lt;1/1/1990,"",IF(Main[[#This Row],[Class]]="C",WORKDAY(Main[[#This Row],[Tech Start Date]],28),IF(Main[[#This Row],[Class]]="B", WORKDAY(Main[[#This Row],[Tech Start Date]],19),IF(Main[[#This Row],[Class]]="A",WORKDAY(Main[[#This Row],[Tech Start Date]],9),""))))</f>
        <v>40807</v>
      </c>
      <c r="Q100" s="74">
        <v>41061</v>
      </c>
      <c r="R100" s="74">
        <v>40969</v>
      </c>
      <c r="S100" s="72" t="s">
        <v>11</v>
      </c>
      <c r="T100" s="80" t="s">
        <v>3476</v>
      </c>
      <c r="U100" s="72" t="s">
        <v>29</v>
      </c>
      <c r="V100" s="72" t="s">
        <v>1935</v>
      </c>
      <c r="W100" s="72" t="s">
        <v>1937</v>
      </c>
      <c r="X100" s="72" t="s">
        <v>2982</v>
      </c>
      <c r="Y100" s="72" t="s">
        <v>3198</v>
      </c>
      <c r="Z100" s="72" t="s">
        <v>81</v>
      </c>
      <c r="AA100" s="147" t="s">
        <v>2982</v>
      </c>
    </row>
    <row r="101" spans="1:27" ht="18.600000000000001" customHeight="1">
      <c r="A101" s="140">
        <f>IF(priority(Main[[#This Row],[Comments]])&lt;&gt;0, priority(Main[[#This Row],[Comments]]),"")</f>
        <v>31</v>
      </c>
      <c r="B101" s="90" t="s">
        <v>1978</v>
      </c>
      <c r="C101" s="72" t="s">
        <v>116</v>
      </c>
      <c r="D101" s="73" t="s">
        <v>2166</v>
      </c>
      <c r="E101" s="74">
        <v>40722.571018518516</v>
      </c>
      <c r="F101" s="74">
        <v>41379</v>
      </c>
      <c r="G101" s="75" t="str">
        <f>IF(stdProdLT(Main[[#This Row],[Comments]])=0.1,"N/A",IF(stdProdLT(Main[[#This Row],[Comments]])=0,"",stdProdLT(Main[[#This Row],[Comments]])))</f>
        <v>N/A</v>
      </c>
      <c r="H101" s="76">
        <f>IF(AND(Main[[#This Row],[In Stock Date]]&lt;&gt;"",Main[[#This Row],[Revised Due Date]]&lt;&gt;""),Main[[#This Row],[In Stock Date]]-Main[[#This Row],[Revised Due Date]],"")</f>
        <v>410</v>
      </c>
      <c r="I101" s="72" t="s">
        <v>81</v>
      </c>
      <c r="J101" s="72" t="s">
        <v>21</v>
      </c>
      <c r="K101" s="72" t="s">
        <v>1945</v>
      </c>
      <c r="L101" s="74">
        <v>40767</v>
      </c>
      <c r="M101" s="77">
        <f>IF(Main[[#This Row],[Tech Start Date]]&lt;1/1/1990,"",IF(Main[[#This Row],[Class]]="C",WORKDAY(Main[[#This Row],[Tech Start Date]],9),IF(Main[[#This Row],[Class]]="B", WORKDAY(Main[[#This Row],[Tech Start Date]],6),IF(Main[[#This Row],[Class]]="A",WORKDAY(Main[[#This Row],[Tech Start Date]],2),""))))</f>
        <v>40780</v>
      </c>
      <c r="N101" s="77">
        <f>IF(Main[[#This Row],[Tech Start Date]]&lt;1/1/1990,"",IF(Main[[#This Row],[Class]]="C",WORKDAY(Main[[#This Row],[Tech Start Date]],19),IF(Main[[#This Row],[Class]]="B", WORKDAY(Main[[#This Row],[Tech Start Date]],12),IF(Main[[#This Row],[Class]]="A",WORKDAY(Main[[#This Row],[Tech Start Date]],4),""))))</f>
        <v>40794</v>
      </c>
      <c r="O101" s="77">
        <f>IF(Main[[#This Row],[Tech Start Date]]&lt;1/1/1990,"",IF(Main[[#This Row],[Class]]="C",WORKDAY(Main[[#This Row],[Tech Start Date]],23),IF(Main[[#This Row],[Class]]="B", WORKDAY(Main[[#This Row],[Tech Start Date]],15),IF(Main[[#This Row],[Class]]="A",WORKDAY(Main[[#This Row],[Tech Start Date]],5),""))))</f>
        <v>40800</v>
      </c>
      <c r="P101" s="77">
        <f>IF(Main[[#This Row],[Tech Start Date]]&lt;1/1/1990,"",IF(Main[[#This Row],[Class]]="C",WORKDAY(Main[[#This Row],[Tech Start Date]],28),IF(Main[[#This Row],[Class]]="B", WORKDAY(Main[[#This Row],[Tech Start Date]],19),IF(Main[[#This Row],[Class]]="A",WORKDAY(Main[[#This Row],[Tech Start Date]],9),""))))</f>
        <v>40807</v>
      </c>
      <c r="Q101" s="74">
        <v>41061</v>
      </c>
      <c r="R101" s="74">
        <v>40969</v>
      </c>
      <c r="S101" s="72" t="s">
        <v>11</v>
      </c>
      <c r="T101" s="80" t="s">
        <v>3477</v>
      </c>
      <c r="U101" s="72" t="s">
        <v>29</v>
      </c>
      <c r="V101" s="72" t="s">
        <v>1935</v>
      </c>
      <c r="W101" s="72" t="s">
        <v>1937</v>
      </c>
      <c r="X101" s="72" t="s">
        <v>2982</v>
      </c>
      <c r="Y101" s="72" t="s">
        <v>3198</v>
      </c>
      <c r="Z101" s="72" t="s">
        <v>81</v>
      </c>
      <c r="AA101" s="147" t="s">
        <v>2982</v>
      </c>
    </row>
    <row r="102" spans="1:27" ht="18.600000000000001" customHeight="1">
      <c r="A102" s="140">
        <f>IF(priority(Main[[#This Row],[Comments]])&lt;&gt;0, priority(Main[[#This Row],[Comments]]),"")</f>
        <v>32</v>
      </c>
      <c r="B102" s="90" t="s">
        <v>1086</v>
      </c>
      <c r="C102" s="72" t="s">
        <v>116</v>
      </c>
      <c r="D102" s="73" t="s">
        <v>117</v>
      </c>
      <c r="E102" s="74"/>
      <c r="F102" s="74"/>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4</v>
      </c>
      <c r="J102" s="72" t="s">
        <v>4</v>
      </c>
      <c r="K102" s="72" t="s">
        <v>4</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40786</v>
      </c>
      <c r="R102" s="74"/>
      <c r="S102" s="72" t="s">
        <v>11</v>
      </c>
      <c r="T102" s="80" t="s">
        <v>118</v>
      </c>
      <c r="U102" s="72" t="s">
        <v>14</v>
      </c>
      <c r="V102" s="72" t="s">
        <v>1932</v>
      </c>
      <c r="W102" s="72" t="s">
        <v>1937</v>
      </c>
      <c r="X102" s="72" t="s">
        <v>2930</v>
      </c>
      <c r="Y102" s="72" t="s">
        <v>3065</v>
      </c>
      <c r="Z102" s="72" t="s">
        <v>4</v>
      </c>
      <c r="AA102" s="147" t="s">
        <v>2930</v>
      </c>
    </row>
    <row r="103" spans="1:27" ht="18.600000000000001" customHeight="1">
      <c r="A103" s="140">
        <f>IF(priority(Main[[#This Row],[Comments]])&lt;&gt;0, priority(Main[[#This Row],[Comments]]),"")</f>
        <v>32</v>
      </c>
      <c r="B103" s="90" t="s">
        <v>1078</v>
      </c>
      <c r="C103" s="72" t="s">
        <v>4</v>
      </c>
      <c r="D103" s="73" t="s">
        <v>2338</v>
      </c>
      <c r="E103" s="74">
        <v>40591.506215277775</v>
      </c>
      <c r="F103" s="74"/>
      <c r="G103" s="75" t="str">
        <f>IF(stdProdLT(Main[[#This Row],[Comments]])=0.1,"N/A",IF(stdProdLT(Main[[#This Row],[Comments]])=0,"",stdProdLT(Main[[#This Row],[Comments]])))</f>
        <v/>
      </c>
      <c r="H103" s="76" t="str">
        <f>IF(AND(Main[[#This Row],[In Stock Date]]&lt;&gt;"",Main[[#This Row],[Revised Due Date]]&lt;&gt;""),Main[[#This Row],[In Stock Date]]-Main[[#This Row],[Revised Due Date]],"")</f>
        <v/>
      </c>
      <c r="I103" s="72" t="s">
        <v>923</v>
      </c>
      <c r="J103" s="72" t="s">
        <v>52</v>
      </c>
      <c r="K103" s="72" t="s">
        <v>1941</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40605</v>
      </c>
      <c r="R103" s="74"/>
      <c r="S103" s="72" t="s">
        <v>6</v>
      </c>
      <c r="T103" s="80" t="s">
        <v>118</v>
      </c>
      <c r="U103" s="72" t="s">
        <v>29</v>
      </c>
      <c r="V103" s="72" t="s">
        <v>1932</v>
      </c>
      <c r="W103" s="72" t="s">
        <v>1934</v>
      </c>
      <c r="X103" s="72" t="s">
        <v>2991</v>
      </c>
      <c r="Y103" s="72" t="s">
        <v>3169</v>
      </c>
      <c r="Z103" s="72" t="s">
        <v>129</v>
      </c>
      <c r="AA103" s="147" t="s">
        <v>2991</v>
      </c>
    </row>
    <row r="104" spans="1:27" ht="18.600000000000001" customHeight="1">
      <c r="A104" s="140">
        <f>IF(priority(Main[[#This Row],[Comments]])&lt;&gt;0, priority(Main[[#This Row],[Comments]]),"")</f>
        <v>32</v>
      </c>
      <c r="B104" s="90" t="s">
        <v>1979</v>
      </c>
      <c r="C104" s="72" t="s">
        <v>116</v>
      </c>
      <c r="D104" s="73" t="s">
        <v>2167</v>
      </c>
      <c r="E104" s="74">
        <v>40722.572418981479</v>
      </c>
      <c r="F104" s="74">
        <v>41379</v>
      </c>
      <c r="G104" s="75" t="str">
        <f>IF(stdProdLT(Main[[#This Row],[Comments]])=0.1,"N/A",IF(stdProdLT(Main[[#This Row],[Comments]])=0,"",stdProdLT(Main[[#This Row],[Comments]])))</f>
        <v>N/A</v>
      </c>
      <c r="H104" s="76">
        <f>IF(AND(Main[[#This Row],[In Stock Date]]&lt;&gt;"",Main[[#This Row],[Revised Due Date]]&lt;&gt;""),Main[[#This Row],[In Stock Date]]-Main[[#This Row],[Revised Due Date]],"")</f>
        <v>410</v>
      </c>
      <c r="I104" s="72" t="s">
        <v>81</v>
      </c>
      <c r="J104" s="72" t="s">
        <v>21</v>
      </c>
      <c r="K104" s="72" t="s">
        <v>1945</v>
      </c>
      <c r="L104" s="74">
        <v>40767</v>
      </c>
      <c r="M104" s="77">
        <f>IF(Main[[#This Row],[Tech Start Date]]&lt;1/1/1990,"",IF(Main[[#This Row],[Class]]="C",WORKDAY(Main[[#This Row],[Tech Start Date]],9),IF(Main[[#This Row],[Class]]="B", WORKDAY(Main[[#This Row],[Tech Start Date]],6),IF(Main[[#This Row],[Class]]="A",WORKDAY(Main[[#This Row],[Tech Start Date]],2),""))))</f>
        <v>40780</v>
      </c>
      <c r="N104" s="77">
        <f>IF(Main[[#This Row],[Tech Start Date]]&lt;1/1/1990,"",IF(Main[[#This Row],[Class]]="C",WORKDAY(Main[[#This Row],[Tech Start Date]],19),IF(Main[[#This Row],[Class]]="B", WORKDAY(Main[[#This Row],[Tech Start Date]],12),IF(Main[[#This Row],[Class]]="A",WORKDAY(Main[[#This Row],[Tech Start Date]],4),""))))</f>
        <v>40794</v>
      </c>
      <c r="O104" s="77">
        <f>IF(Main[[#This Row],[Tech Start Date]]&lt;1/1/1990,"",IF(Main[[#This Row],[Class]]="C",WORKDAY(Main[[#This Row],[Tech Start Date]],23),IF(Main[[#This Row],[Class]]="B", WORKDAY(Main[[#This Row],[Tech Start Date]],15),IF(Main[[#This Row],[Class]]="A",WORKDAY(Main[[#This Row],[Tech Start Date]],5),""))))</f>
        <v>40800</v>
      </c>
      <c r="P104" s="77">
        <f>IF(Main[[#This Row],[Tech Start Date]]&lt;1/1/1990,"",IF(Main[[#This Row],[Class]]="C",WORKDAY(Main[[#This Row],[Tech Start Date]],28),IF(Main[[#This Row],[Class]]="B", WORKDAY(Main[[#This Row],[Tech Start Date]],19),IF(Main[[#This Row],[Class]]="A",WORKDAY(Main[[#This Row],[Tech Start Date]],9),""))))</f>
        <v>40807</v>
      </c>
      <c r="Q104" s="74">
        <v>41061</v>
      </c>
      <c r="R104" s="74">
        <v>40969</v>
      </c>
      <c r="S104" s="72" t="s">
        <v>11</v>
      </c>
      <c r="T104" s="80" t="s">
        <v>3478</v>
      </c>
      <c r="U104" s="72" t="s">
        <v>29</v>
      </c>
      <c r="V104" s="72" t="s">
        <v>1935</v>
      </c>
      <c r="W104" s="72" t="s">
        <v>1937</v>
      </c>
      <c r="X104" s="72" t="s">
        <v>2982</v>
      </c>
      <c r="Y104" s="72" t="s">
        <v>3198</v>
      </c>
      <c r="Z104" s="72" t="s">
        <v>81</v>
      </c>
      <c r="AA104" s="147" t="s">
        <v>2982</v>
      </c>
    </row>
    <row r="105" spans="1:27" ht="18.600000000000001" customHeight="1">
      <c r="A105" s="140">
        <f>IF(priority(Main[[#This Row],[Comments]])&lt;&gt;0, priority(Main[[#This Row],[Comments]]),"")</f>
        <v>32.1</v>
      </c>
      <c r="B105" s="90" t="s">
        <v>2197</v>
      </c>
      <c r="C105" s="72" t="s">
        <v>2198</v>
      </c>
      <c r="D105" s="73" t="s">
        <v>2199</v>
      </c>
      <c r="E105" s="74"/>
      <c r="F105" s="74">
        <v>40795</v>
      </c>
      <c r="G105" s="75">
        <f>IF(stdProdLT(Main[[#This Row],[Comments]])=0.1,"N/A",IF(stdProdLT(Main[[#This Row],[Comments]])=0,"",stdProdLT(Main[[#This Row],[Comments]])))</f>
        <v>21</v>
      </c>
      <c r="H105" s="76" t="str">
        <f>IF(AND(Main[[#This Row],[In Stock Date]]&lt;&gt;"",Main[[#This Row],[Revised Due Date]]&lt;&gt;""),Main[[#This Row],[In Stock Date]]-Main[[#This Row],[Revised Due Date]],"")</f>
        <v/>
      </c>
      <c r="I105" s="72" t="s">
        <v>4</v>
      </c>
      <c r="J105" s="72" t="s">
        <v>4</v>
      </c>
      <c r="K105" s="81" t="s">
        <v>4</v>
      </c>
      <c r="L105" s="74"/>
      <c r="M105" s="77" t="str">
        <f>IF(Main[[#This Row],[Tech Start Date]]&lt;1/1/1990,"",IF(Main[[#This Row],[Class]]="C",WORKDAY(Main[[#This Row],[Tech Start Date]],9),IF(Main[[#This Row],[Class]]="B", WORKDAY(Main[[#This Row],[Tech Start Date]],6),IF(Main[[#This Row],[Class]]="A",WORKDAY(Main[[#This Row],[Tech Start Date]],2),""))))</f>
        <v/>
      </c>
      <c r="N105" s="77" t="str">
        <f>IF(Main[[#This Row],[Tech Start Date]]&lt;1/1/1990,"",IF(Main[[#This Row],[Class]]="C",WORKDAY(Main[[#This Row],[Tech Start Date]],19),IF(Main[[#This Row],[Class]]="B", WORKDAY(Main[[#This Row],[Tech Start Date]],12),IF(Main[[#This Row],[Class]]="A",WORKDAY(Main[[#This Row],[Tech Start Date]],4),""))))</f>
        <v/>
      </c>
      <c r="O105" s="77" t="str">
        <f>IF(Main[[#This Row],[Tech Start Date]]&lt;1/1/1990,"",IF(Main[[#This Row],[Class]]="C",WORKDAY(Main[[#This Row],[Tech Start Date]],23),IF(Main[[#This Row],[Class]]="B", WORKDAY(Main[[#This Row],[Tech Start Date]],15),IF(Main[[#This Row],[Class]]="A",WORKDAY(Main[[#This Row],[Tech Start Date]],5),""))))</f>
        <v/>
      </c>
      <c r="P105" s="77" t="str">
        <f>IF(Main[[#This Row],[Tech Start Date]]&lt;1/1/1990,"",IF(Main[[#This Row],[Class]]="C",WORKDAY(Main[[#This Row],[Tech Start Date]],28),IF(Main[[#This Row],[Class]]="B", WORKDAY(Main[[#This Row],[Tech Start Date]],19),IF(Main[[#This Row],[Class]]="A",WORKDAY(Main[[#This Row],[Tech Start Date]],9),""))))</f>
        <v/>
      </c>
      <c r="Q105" s="74">
        <v>40795</v>
      </c>
      <c r="R105" s="74"/>
      <c r="S105" s="72" t="s">
        <v>11</v>
      </c>
      <c r="T105" s="80" t="s">
        <v>2251</v>
      </c>
      <c r="U105" s="72" t="s">
        <v>14</v>
      </c>
      <c r="V105" s="72" t="s">
        <v>1932</v>
      </c>
      <c r="W105" s="72" t="s">
        <v>1937</v>
      </c>
      <c r="X105" s="72" t="s">
        <v>2920</v>
      </c>
      <c r="Y105" s="72" t="s">
        <v>3046</v>
      </c>
      <c r="Z105" s="72" t="s">
        <v>4</v>
      </c>
      <c r="AA105" s="147" t="s">
        <v>2920</v>
      </c>
    </row>
    <row r="106" spans="1:27" ht="18.600000000000001" customHeight="1">
      <c r="A106" s="140">
        <f>IF(priority(Main[[#This Row],[Comments]])&lt;&gt;0, priority(Main[[#This Row],[Comments]]),"")</f>
        <v>33</v>
      </c>
      <c r="B106" s="90" t="s">
        <v>1235</v>
      </c>
      <c r="C106" s="72" t="s">
        <v>116</v>
      </c>
      <c r="D106" s="73" t="s">
        <v>328</v>
      </c>
      <c r="E106" s="74"/>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4</v>
      </c>
      <c r="J106" s="72" t="s">
        <v>4</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c r="R106" s="74"/>
      <c r="S106" s="72" t="s">
        <v>11</v>
      </c>
      <c r="T106" s="80" t="s">
        <v>329</v>
      </c>
      <c r="U106" s="72" t="s">
        <v>14</v>
      </c>
      <c r="V106" s="72" t="s">
        <v>1932</v>
      </c>
      <c r="W106" s="72" t="s">
        <v>1937</v>
      </c>
      <c r="X106" s="72" t="s">
        <v>2930</v>
      </c>
      <c r="Y106" s="72" t="s">
        <v>3065</v>
      </c>
      <c r="Z106" s="72" t="s">
        <v>4</v>
      </c>
      <c r="AA106" s="147" t="s">
        <v>2930</v>
      </c>
    </row>
    <row r="107" spans="1:27" ht="18.600000000000001" customHeight="1">
      <c r="A107" s="140">
        <f>IF(priority(Main[[#This Row],[Comments]])&lt;&gt;0, priority(Main[[#This Row],[Comments]]),"")</f>
        <v>33</v>
      </c>
      <c r="B107" s="90" t="s">
        <v>1092</v>
      </c>
      <c r="C107" s="72" t="s">
        <v>122</v>
      </c>
      <c r="D107" s="73" t="s">
        <v>123</v>
      </c>
      <c r="E107" s="74">
        <v>40534.411678240744</v>
      </c>
      <c r="F107" s="74">
        <v>40541</v>
      </c>
      <c r="G107" s="75" t="str">
        <f>IF(stdProdLT(Main[[#This Row],[Comments]])=0.1,"N/A",IF(stdProdLT(Main[[#This Row],[Comments]])=0,"",stdProdLT(Main[[#This Row],[Comments]])))</f>
        <v/>
      </c>
      <c r="H107" s="76" t="str">
        <f>IF(AND(Main[[#This Row],[In Stock Date]]&lt;&gt;"",Main[[#This Row],[Revised Due Date]]&lt;&gt;""),Main[[#This Row],[In Stock Date]]-Main[[#This Row],[Revised Due Date]],"")</f>
        <v/>
      </c>
      <c r="I107" s="72" t="s">
        <v>4</v>
      </c>
      <c r="J107" s="72" t="s">
        <v>28</v>
      </c>
      <c r="K107" s="72" t="s">
        <v>1941</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40541</v>
      </c>
      <c r="R107" s="74"/>
      <c r="S107" s="72" t="s">
        <v>6</v>
      </c>
      <c r="T107" s="80" t="s">
        <v>329</v>
      </c>
      <c r="U107" s="72" t="s">
        <v>7</v>
      </c>
      <c r="V107" s="72" t="s">
        <v>1932</v>
      </c>
      <c r="W107" s="72" t="s">
        <v>1936</v>
      </c>
      <c r="X107" s="72" t="s">
        <v>2908</v>
      </c>
      <c r="Y107" s="72" t="s">
        <v>3227</v>
      </c>
      <c r="Z107" s="72" t="s">
        <v>129</v>
      </c>
      <c r="AA107" s="147" t="s">
        <v>2908</v>
      </c>
    </row>
    <row r="108" spans="1:27" ht="18.600000000000001" customHeight="1">
      <c r="A108" s="140">
        <f>IF(priority(Main[[#This Row],[Comments]])&lt;&gt;0, priority(Main[[#This Row],[Comments]]),"")</f>
        <v>33</v>
      </c>
      <c r="B108" s="90" t="s">
        <v>1977</v>
      </c>
      <c r="C108" s="72" t="s">
        <v>116</v>
      </c>
      <c r="D108" s="73" t="s">
        <v>2659</v>
      </c>
      <c r="E108" s="74">
        <v>40722.573182870372</v>
      </c>
      <c r="F108" s="74">
        <v>41379</v>
      </c>
      <c r="G108" s="75" t="str">
        <f>IF(stdProdLT(Main[[#This Row],[Comments]])=0.1,"N/A",IF(stdProdLT(Main[[#This Row],[Comments]])=0,"",stdProdLT(Main[[#This Row],[Comments]])))</f>
        <v>N/A</v>
      </c>
      <c r="H108" s="76">
        <f>IF(AND(Main[[#This Row],[In Stock Date]]&lt;&gt;"",Main[[#This Row],[Revised Due Date]]&lt;&gt;""),Main[[#This Row],[In Stock Date]]-Main[[#This Row],[Revised Due Date]],"")</f>
        <v>410</v>
      </c>
      <c r="I108" s="72" t="s">
        <v>81</v>
      </c>
      <c r="J108" s="72" t="s">
        <v>21</v>
      </c>
      <c r="K108" s="72" t="s">
        <v>1945</v>
      </c>
      <c r="L108" s="74">
        <v>40767</v>
      </c>
      <c r="M108" s="77">
        <f>IF(Main[[#This Row],[Tech Start Date]]&lt;1/1/1990,"",IF(Main[[#This Row],[Class]]="C",WORKDAY(Main[[#This Row],[Tech Start Date]],9),IF(Main[[#This Row],[Class]]="B", WORKDAY(Main[[#This Row],[Tech Start Date]],6),IF(Main[[#This Row],[Class]]="A",WORKDAY(Main[[#This Row],[Tech Start Date]],2),""))))</f>
        <v>40780</v>
      </c>
      <c r="N108" s="77">
        <f>IF(Main[[#This Row],[Tech Start Date]]&lt;1/1/1990,"",IF(Main[[#This Row],[Class]]="C",WORKDAY(Main[[#This Row],[Tech Start Date]],19),IF(Main[[#This Row],[Class]]="B", WORKDAY(Main[[#This Row],[Tech Start Date]],12),IF(Main[[#This Row],[Class]]="A",WORKDAY(Main[[#This Row],[Tech Start Date]],4),""))))</f>
        <v>40794</v>
      </c>
      <c r="O108" s="77">
        <f>IF(Main[[#This Row],[Tech Start Date]]&lt;1/1/1990,"",IF(Main[[#This Row],[Class]]="C",WORKDAY(Main[[#This Row],[Tech Start Date]],23),IF(Main[[#This Row],[Class]]="B", WORKDAY(Main[[#This Row],[Tech Start Date]],15),IF(Main[[#This Row],[Class]]="A",WORKDAY(Main[[#This Row],[Tech Start Date]],5),""))))</f>
        <v>40800</v>
      </c>
      <c r="P108" s="77">
        <f>IF(Main[[#This Row],[Tech Start Date]]&lt;1/1/1990,"",IF(Main[[#This Row],[Class]]="C",WORKDAY(Main[[#This Row],[Tech Start Date]],28),IF(Main[[#This Row],[Class]]="B", WORKDAY(Main[[#This Row],[Tech Start Date]],19),IF(Main[[#This Row],[Class]]="A",WORKDAY(Main[[#This Row],[Tech Start Date]],9),""))))</f>
        <v>40807</v>
      </c>
      <c r="Q108" s="74">
        <v>41061</v>
      </c>
      <c r="R108" s="74">
        <v>40969</v>
      </c>
      <c r="S108" s="72" t="s">
        <v>11</v>
      </c>
      <c r="T108" s="80" t="s">
        <v>3479</v>
      </c>
      <c r="U108" s="72" t="s">
        <v>29</v>
      </c>
      <c r="V108" s="72" t="s">
        <v>1935</v>
      </c>
      <c r="W108" s="72" t="s">
        <v>1937</v>
      </c>
      <c r="X108" s="72" t="s">
        <v>2982</v>
      </c>
      <c r="Y108" s="72" t="s">
        <v>3198</v>
      </c>
      <c r="Z108" s="72" t="s">
        <v>81</v>
      </c>
      <c r="AA108" s="147" t="s">
        <v>2982</v>
      </c>
    </row>
    <row r="109" spans="1:27" ht="18.600000000000001" customHeight="1">
      <c r="A109" s="140">
        <f>IF(priority(Main[[#This Row],[Comments]])&lt;&gt;0, priority(Main[[#This Row],[Comments]]),"")</f>
        <v>34</v>
      </c>
      <c r="B109" s="90" t="s">
        <v>1114</v>
      </c>
      <c r="C109" s="72" t="s">
        <v>4</v>
      </c>
      <c r="D109" s="73" t="s">
        <v>2326</v>
      </c>
      <c r="E109" s="74">
        <v>40561.117199074077</v>
      </c>
      <c r="F109" s="74">
        <v>40592</v>
      </c>
      <c r="G109" s="75" t="str">
        <f>IF(stdProdLT(Main[[#This Row],[Comments]])=0.1,"N/A",IF(stdProdLT(Main[[#This Row],[Comments]])=0,"",stdProdLT(Main[[#This Row],[Comments]])))</f>
        <v/>
      </c>
      <c r="H109" s="76" t="str">
        <f>IF(AND(Main[[#This Row],[In Stock Date]]&lt;&gt;"",Main[[#This Row],[Revised Due Date]]&lt;&gt;""),Main[[#This Row],[In Stock Date]]-Main[[#This Row],[Revised Due Date]],"")</f>
        <v/>
      </c>
      <c r="I109" s="72" t="s">
        <v>923</v>
      </c>
      <c r="J109" s="72" t="s">
        <v>21</v>
      </c>
      <c r="K109" s="81" t="s">
        <v>1939</v>
      </c>
      <c r="L109" s="74"/>
      <c r="M109" s="77" t="str">
        <f>IF(Main[[#This Row],[Tech Start Date]]&lt;1/1/1990,"",IF(Main[[#This Row],[Class]]="C",WORKDAY(Main[[#This Row],[Tech Start Date]],9),IF(Main[[#This Row],[Class]]="B", WORKDAY(Main[[#This Row],[Tech Start Date]],6),IF(Main[[#This Row],[Class]]="A",WORKDAY(Main[[#This Row],[Tech Start Date]],2),""))))</f>
        <v/>
      </c>
      <c r="N109" s="77" t="str">
        <f>IF(Main[[#This Row],[Tech Start Date]]&lt;1/1/1990,"",IF(Main[[#This Row],[Class]]="C",WORKDAY(Main[[#This Row],[Tech Start Date]],19),IF(Main[[#This Row],[Class]]="B", WORKDAY(Main[[#This Row],[Tech Start Date]],12),IF(Main[[#This Row],[Class]]="A",WORKDAY(Main[[#This Row],[Tech Start Date]],4),""))))</f>
        <v/>
      </c>
      <c r="O109" s="77" t="str">
        <f>IF(Main[[#This Row],[Tech Start Date]]&lt;1/1/1990,"",IF(Main[[#This Row],[Class]]="C",WORKDAY(Main[[#This Row],[Tech Start Date]],23),IF(Main[[#This Row],[Class]]="B", WORKDAY(Main[[#This Row],[Tech Start Date]],15),IF(Main[[#This Row],[Class]]="A",WORKDAY(Main[[#This Row],[Tech Start Date]],5),""))))</f>
        <v/>
      </c>
      <c r="P109" s="77" t="str">
        <f>IF(Main[[#This Row],[Tech Start Date]]&lt;1/1/1990,"",IF(Main[[#This Row],[Class]]="C",WORKDAY(Main[[#This Row],[Tech Start Date]],28),IF(Main[[#This Row],[Class]]="B", WORKDAY(Main[[#This Row],[Tech Start Date]],19),IF(Main[[#This Row],[Class]]="A",WORKDAY(Main[[#This Row],[Tech Start Date]],9),""))))</f>
        <v/>
      </c>
      <c r="Q109" s="74">
        <v>40592</v>
      </c>
      <c r="R109" s="74"/>
      <c r="S109" s="72" t="s">
        <v>6</v>
      </c>
      <c r="T109" s="80" t="s">
        <v>2051</v>
      </c>
      <c r="U109" s="72" t="s">
        <v>29</v>
      </c>
      <c r="V109" s="72" t="s">
        <v>1932</v>
      </c>
      <c r="W109" s="72" t="s">
        <v>1934</v>
      </c>
      <c r="X109" s="72" t="s">
        <v>2994</v>
      </c>
      <c r="Y109" s="72" t="s">
        <v>3178</v>
      </c>
      <c r="Z109" s="72" t="s">
        <v>129</v>
      </c>
      <c r="AA109" s="147" t="s">
        <v>2994</v>
      </c>
    </row>
    <row r="110" spans="1:27" ht="18.600000000000001" customHeight="1">
      <c r="A110" s="140">
        <f>IF(priority(Main[[#This Row],[Comments]])&lt;&gt;0, priority(Main[[#This Row],[Comments]]),"")</f>
        <v>34</v>
      </c>
      <c r="B110" s="90" t="s">
        <v>1907</v>
      </c>
      <c r="C110" s="72" t="s">
        <v>116</v>
      </c>
      <c r="D110" s="73" t="s">
        <v>2159</v>
      </c>
      <c r="E110" s="74">
        <v>40606.548784722225</v>
      </c>
      <c r="F110" s="74">
        <v>41258</v>
      </c>
      <c r="G110" s="75">
        <f>IF(stdProdLT(Main[[#This Row],[Comments]])=0.1,"N/A",IF(stdProdLT(Main[[#This Row],[Comments]])=0,"",stdProdLT(Main[[#This Row],[Comments]])))</f>
        <v>154</v>
      </c>
      <c r="H110" s="76">
        <f>IF(AND(Main[[#This Row],[In Stock Date]]&lt;&gt;"",Main[[#This Row],[Revised Due Date]]&lt;&gt;""),Main[[#This Row],[In Stock Date]]-Main[[#This Row],[Revised Due Date]],"")</f>
        <v>289</v>
      </c>
      <c r="I110" s="72" t="s">
        <v>420</v>
      </c>
      <c r="J110" s="72" t="s">
        <v>2652</v>
      </c>
      <c r="K110" s="72" t="s">
        <v>1945</v>
      </c>
      <c r="L110" s="74">
        <v>40623</v>
      </c>
      <c r="M110" s="77">
        <f>IF(Main[[#This Row],[Tech Start Date]]&lt;1/1/1990,"",IF(Main[[#This Row],[Class]]="C",WORKDAY(Main[[#This Row],[Tech Start Date]],9),IF(Main[[#This Row],[Class]]="B", WORKDAY(Main[[#This Row],[Tech Start Date]],6),IF(Main[[#This Row],[Class]]="A",WORKDAY(Main[[#This Row],[Tech Start Date]],2),""))))</f>
        <v>40634</v>
      </c>
      <c r="N110" s="77">
        <f>IF(Main[[#This Row],[Tech Start Date]]&lt;1/1/1990,"",IF(Main[[#This Row],[Class]]="C",WORKDAY(Main[[#This Row],[Tech Start Date]],19),IF(Main[[#This Row],[Class]]="B", WORKDAY(Main[[#This Row],[Tech Start Date]],12),IF(Main[[#This Row],[Class]]="A",WORKDAY(Main[[#This Row],[Tech Start Date]],4),""))))</f>
        <v>40648</v>
      </c>
      <c r="O110" s="77">
        <f>IF(Main[[#This Row],[Tech Start Date]]&lt;1/1/1990,"",IF(Main[[#This Row],[Class]]="C",WORKDAY(Main[[#This Row],[Tech Start Date]],23),IF(Main[[#This Row],[Class]]="B", WORKDAY(Main[[#This Row],[Tech Start Date]],15),IF(Main[[#This Row],[Class]]="A",WORKDAY(Main[[#This Row],[Tech Start Date]],5),""))))</f>
        <v>40654</v>
      </c>
      <c r="P110" s="77">
        <f>IF(Main[[#This Row],[Tech Start Date]]&lt;1/1/1990,"",IF(Main[[#This Row],[Class]]="C",WORKDAY(Main[[#This Row],[Tech Start Date]],28),IF(Main[[#This Row],[Class]]="B", WORKDAY(Main[[#This Row],[Tech Start Date]],19),IF(Main[[#This Row],[Class]]="A",WORKDAY(Main[[#This Row],[Tech Start Date]],9),""))))</f>
        <v>40661</v>
      </c>
      <c r="Q110" s="74">
        <v>41082</v>
      </c>
      <c r="R110" s="74">
        <v>40969</v>
      </c>
      <c r="S110" s="72" t="s">
        <v>11</v>
      </c>
      <c r="T110" s="80" t="s">
        <v>3472</v>
      </c>
      <c r="U110" s="72" t="s">
        <v>29</v>
      </c>
      <c r="V110" s="72" t="s">
        <v>1935</v>
      </c>
      <c r="W110" s="72" t="s">
        <v>1937</v>
      </c>
      <c r="X110" s="72" t="s">
        <v>2935</v>
      </c>
      <c r="Y110" s="72" t="s">
        <v>3072</v>
      </c>
      <c r="Z110" s="72" t="s">
        <v>905</v>
      </c>
      <c r="AA110" s="147" t="s">
        <v>2935</v>
      </c>
    </row>
    <row r="111" spans="1:27" ht="18.600000000000001" customHeight="1">
      <c r="A111" s="140">
        <f>IF(priority(Main[[#This Row],[Comments]])&lt;&gt;0, priority(Main[[#This Row],[Comments]]),"")</f>
        <v>35</v>
      </c>
      <c r="B111" s="90" t="s">
        <v>2683</v>
      </c>
      <c r="C111" s="72" t="s">
        <v>2684</v>
      </c>
      <c r="D111" s="73" t="s">
        <v>2685</v>
      </c>
      <c r="E111" s="74">
        <v>40848.70516203704</v>
      </c>
      <c r="F111" s="74">
        <v>40969</v>
      </c>
      <c r="G111" s="75" t="str">
        <f>IF(stdProdLT(Main[[#This Row],[Comments]])=0.1,"N/A",IF(stdProdLT(Main[[#This Row],[Comments]])=0,"",stdProdLT(Main[[#This Row],[Comments]])))</f>
        <v>N/A</v>
      </c>
      <c r="H111" s="76">
        <f>IF(AND(Main[[#This Row],[In Stock Date]]&lt;&gt;"",Main[[#This Row],[Revised Due Date]]&lt;&gt;""),Main[[#This Row],[In Stock Date]]-Main[[#This Row],[Revised Due Date]],"")</f>
        <v>13</v>
      </c>
      <c r="I111" s="72" t="s">
        <v>69</v>
      </c>
      <c r="J111" s="72" t="s">
        <v>28</v>
      </c>
      <c r="K111" s="72" t="s">
        <v>1941</v>
      </c>
      <c r="L111" s="74">
        <v>40849</v>
      </c>
      <c r="M111" s="77">
        <f>IF(Main[[#This Row],[Tech Start Date]]&lt;1/1/1990,"",IF(Main[[#This Row],[Class]]="C",WORKDAY(Main[[#This Row],[Tech Start Date]],9),IF(Main[[#This Row],[Class]]="B", WORKDAY(Main[[#This Row],[Tech Start Date]],6),IF(Main[[#This Row],[Class]]="A",WORKDAY(Main[[#This Row],[Tech Start Date]],2),""))))</f>
        <v>40851</v>
      </c>
      <c r="N111" s="77">
        <f>IF(Main[[#This Row],[Tech Start Date]]&lt;1/1/1990,"",IF(Main[[#This Row],[Class]]="C",WORKDAY(Main[[#This Row],[Tech Start Date]],19),IF(Main[[#This Row],[Class]]="B", WORKDAY(Main[[#This Row],[Tech Start Date]],12),IF(Main[[#This Row],[Class]]="A",WORKDAY(Main[[#This Row],[Tech Start Date]],4),""))))</f>
        <v>40855</v>
      </c>
      <c r="O111" s="77">
        <f>IF(Main[[#This Row],[Tech Start Date]]&lt;1/1/1990,"",IF(Main[[#This Row],[Class]]="C",WORKDAY(Main[[#This Row],[Tech Start Date]],23),IF(Main[[#This Row],[Class]]="B", WORKDAY(Main[[#This Row],[Tech Start Date]],15),IF(Main[[#This Row],[Class]]="A",WORKDAY(Main[[#This Row],[Tech Start Date]],5),""))))</f>
        <v>40856</v>
      </c>
      <c r="P111" s="77">
        <f>IF(Main[[#This Row],[Tech Start Date]]&lt;1/1/1990,"",IF(Main[[#This Row],[Class]]="C",WORKDAY(Main[[#This Row],[Tech Start Date]],28),IF(Main[[#This Row],[Class]]="B", WORKDAY(Main[[#This Row],[Tech Start Date]],19),IF(Main[[#This Row],[Class]]="A",WORKDAY(Main[[#This Row],[Tech Start Date]],9),""))))</f>
        <v>40862</v>
      </c>
      <c r="Q111" s="74"/>
      <c r="R111" s="74">
        <v>40956</v>
      </c>
      <c r="S111" s="72" t="s">
        <v>11</v>
      </c>
      <c r="T111" s="80" t="s">
        <v>3486</v>
      </c>
      <c r="U111" s="72" t="s">
        <v>29</v>
      </c>
      <c r="V111" s="72" t="s">
        <v>1942</v>
      </c>
      <c r="W111" s="72" t="s">
        <v>1936</v>
      </c>
      <c r="X111" s="72" t="s">
        <v>2932</v>
      </c>
      <c r="Y111" s="72" t="s">
        <v>3066</v>
      </c>
      <c r="Z111" s="72" t="s">
        <v>2956</v>
      </c>
      <c r="AA111" s="147" t="s">
        <v>2932</v>
      </c>
    </row>
    <row r="112" spans="1:27" ht="18.600000000000001" customHeight="1">
      <c r="A112" s="140">
        <f>IF(priority(Main[[#This Row],[Comments]])&lt;&gt;0, priority(Main[[#This Row],[Comments]]),"")</f>
        <v>36</v>
      </c>
      <c r="B112" s="90" t="s">
        <v>1222</v>
      </c>
      <c r="C112" s="72" t="s">
        <v>4</v>
      </c>
      <c r="D112" s="73" t="s">
        <v>271</v>
      </c>
      <c r="E112" s="74">
        <v>40681.617800925924</v>
      </c>
      <c r="F112" s="74"/>
      <c r="G112" s="75" t="str">
        <f>IF(stdProdLT(Main[[#This Row],[Comments]])=0.1,"N/A",IF(stdProdLT(Main[[#This Row],[Comments]])=0,"",stdProdLT(Main[[#This Row],[Comments]])))</f>
        <v/>
      </c>
      <c r="H112" s="76" t="str">
        <f>IF(AND(Main[[#This Row],[In Stock Date]]&lt;&gt;"",Main[[#This Row],[Revised Due Date]]&lt;&gt;""),Main[[#This Row],[In Stock Date]]-Main[[#This Row],[Revised Due Date]],"")</f>
        <v/>
      </c>
      <c r="I112" s="72" t="s">
        <v>4</v>
      </c>
      <c r="J112" s="72" t="s">
        <v>21</v>
      </c>
      <c r="K112" s="72" t="s">
        <v>4</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40710</v>
      </c>
      <c r="R112" s="74"/>
      <c r="S112" s="72" t="s">
        <v>6</v>
      </c>
      <c r="T112" s="80" t="s">
        <v>2299</v>
      </c>
      <c r="U112" s="72" t="s">
        <v>539</v>
      </c>
      <c r="V112" s="72" t="s">
        <v>1932</v>
      </c>
      <c r="W112" s="72" t="s">
        <v>1943</v>
      </c>
      <c r="X112" s="72" t="s">
        <v>982</v>
      </c>
      <c r="Y112" s="72" t="s">
        <v>3192</v>
      </c>
      <c r="Z112" s="72" t="s">
        <v>4</v>
      </c>
      <c r="AA112" s="147" t="s">
        <v>982</v>
      </c>
    </row>
    <row r="113" spans="1:27" ht="18.600000000000001" customHeight="1">
      <c r="A113" s="140">
        <f>IF(priority(Main[[#This Row],[Comments]])&lt;&gt;0, priority(Main[[#This Row],[Comments]]),"")</f>
        <v>37</v>
      </c>
      <c r="B113" s="90" t="s">
        <v>1186</v>
      </c>
      <c r="C113" s="72" t="s">
        <v>4</v>
      </c>
      <c r="D113" s="73" t="s">
        <v>230</v>
      </c>
      <c r="E113" s="74">
        <v>40567.332951388889</v>
      </c>
      <c r="F113" s="74">
        <v>40602</v>
      </c>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923</v>
      </c>
      <c r="J113" s="72" t="s">
        <v>52</v>
      </c>
      <c r="K113" s="72" t="s">
        <v>1941</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40602</v>
      </c>
      <c r="R113" s="74"/>
      <c r="S113" s="72" t="s">
        <v>6</v>
      </c>
      <c r="T113" s="80" t="s">
        <v>2052</v>
      </c>
      <c r="U113" s="72" t="s">
        <v>29</v>
      </c>
      <c r="V113" s="72" t="s">
        <v>1932</v>
      </c>
      <c r="W113" s="72" t="s">
        <v>1934</v>
      </c>
      <c r="X113" s="72" t="s">
        <v>126</v>
      </c>
      <c r="Y113" s="72" t="s">
        <v>3147</v>
      </c>
      <c r="Z113" s="72" t="s">
        <v>129</v>
      </c>
      <c r="AA113" s="147" t="s">
        <v>126</v>
      </c>
    </row>
    <row r="114" spans="1:27" ht="18.600000000000001" customHeight="1">
      <c r="A114" s="140">
        <f>IF(priority(Main[[#This Row],[Comments]])&lt;&gt;0, priority(Main[[#This Row],[Comments]]),"")</f>
        <v>38</v>
      </c>
      <c r="B114" s="90" t="s">
        <v>1240</v>
      </c>
      <c r="C114" s="72" t="s">
        <v>4</v>
      </c>
      <c r="D114" s="73" t="s">
        <v>2397</v>
      </c>
      <c r="E114" s="74">
        <v>40337.30976851852</v>
      </c>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923</v>
      </c>
      <c r="J114" s="72" t="s">
        <v>52</v>
      </c>
      <c r="K114" s="72"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v>40344</v>
      </c>
      <c r="R114" s="74"/>
      <c r="S114" s="72" t="s">
        <v>6</v>
      </c>
      <c r="T114" s="80" t="s">
        <v>2053</v>
      </c>
      <c r="U114" s="72" t="s">
        <v>29</v>
      </c>
      <c r="V114" s="72" t="s">
        <v>1932</v>
      </c>
      <c r="W114" s="72" t="s">
        <v>1936</v>
      </c>
      <c r="X114" s="72" t="s">
        <v>2957</v>
      </c>
      <c r="Y114" s="72" t="s">
        <v>3095</v>
      </c>
      <c r="Z114" s="72" t="s">
        <v>129</v>
      </c>
      <c r="AA114" s="147" t="s">
        <v>2957</v>
      </c>
    </row>
    <row r="115" spans="1:27" ht="18.600000000000001" customHeight="1">
      <c r="A115" s="140">
        <f>IF(priority(Main[[#This Row],[Comments]])&lt;&gt;0, priority(Main[[#This Row],[Comments]]),"")</f>
        <v>39</v>
      </c>
      <c r="B115" s="90" t="s">
        <v>1417</v>
      </c>
      <c r="C115" s="72" t="s">
        <v>37</v>
      </c>
      <c r="D115" s="73" t="s">
        <v>490</v>
      </c>
      <c r="E115" s="74">
        <v>40682.478391203702</v>
      </c>
      <c r="F115" s="74"/>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4</v>
      </c>
      <c r="J115" s="72" t="s">
        <v>21</v>
      </c>
      <c r="K115" s="72" t="s">
        <v>4</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40696</v>
      </c>
      <c r="R115" s="74"/>
      <c r="S115" s="72" t="s">
        <v>6</v>
      </c>
      <c r="T115" s="80" t="s">
        <v>2054</v>
      </c>
      <c r="U115" s="72" t="s">
        <v>539</v>
      </c>
      <c r="V115" s="72" t="s">
        <v>1932</v>
      </c>
      <c r="W115" s="72" t="s">
        <v>1943</v>
      </c>
      <c r="X115" s="72" t="s">
        <v>982</v>
      </c>
      <c r="Y115" s="72" t="s">
        <v>3192</v>
      </c>
      <c r="Z115" s="72" t="s">
        <v>4</v>
      </c>
      <c r="AA115" s="147" t="s">
        <v>982</v>
      </c>
    </row>
    <row r="116" spans="1:27" ht="18.600000000000001" customHeight="1">
      <c r="A116" s="140">
        <f>IF(priority(Main[[#This Row],[Comments]])&lt;&gt;0, priority(Main[[#This Row],[Comments]]),"")</f>
        <v>40</v>
      </c>
      <c r="B116" s="90" t="s">
        <v>1456</v>
      </c>
      <c r="C116" s="72" t="s">
        <v>4</v>
      </c>
      <c r="D116" s="73" t="s">
        <v>536</v>
      </c>
      <c r="E116" s="74">
        <v>40358.575729166667</v>
      </c>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21</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v>40389</v>
      </c>
      <c r="R116" s="74"/>
      <c r="S116" s="72" t="s">
        <v>6</v>
      </c>
      <c r="T116" s="80" t="s">
        <v>2055</v>
      </c>
      <c r="U116" s="72" t="s">
        <v>7</v>
      </c>
      <c r="V116" s="72" t="s">
        <v>1932</v>
      </c>
      <c r="W116" s="72" t="s">
        <v>1936</v>
      </c>
      <c r="X116" s="72" t="s">
        <v>2910</v>
      </c>
      <c r="Y116" s="72" t="s">
        <v>3027</v>
      </c>
      <c r="Z116" s="72" t="s">
        <v>129</v>
      </c>
      <c r="AA116" s="147" t="s">
        <v>2910</v>
      </c>
    </row>
    <row r="117" spans="1:27" ht="18.600000000000001" customHeight="1">
      <c r="A117" s="140">
        <f>IF(priority(Main[[#This Row],[Comments]])&lt;&gt;0, priority(Main[[#This Row],[Comments]]),"")</f>
        <v>41</v>
      </c>
      <c r="B117" s="90" t="s">
        <v>2019</v>
      </c>
      <c r="C117" s="72" t="s">
        <v>4</v>
      </c>
      <c r="D117" s="73" t="s">
        <v>2020</v>
      </c>
      <c r="E117" s="74">
        <v>40738.567210648151</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923</v>
      </c>
      <c r="J117" s="72" t="s">
        <v>52</v>
      </c>
      <c r="K117" s="72"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40749</v>
      </c>
      <c r="R117" s="74"/>
      <c r="S117" s="72" t="s">
        <v>6</v>
      </c>
      <c r="T117" s="80" t="s">
        <v>2057</v>
      </c>
      <c r="U117" s="72" t="s">
        <v>29</v>
      </c>
      <c r="V117" s="72" t="s">
        <v>1932</v>
      </c>
      <c r="W117" s="72" t="s">
        <v>1938</v>
      </c>
      <c r="X117" s="72" t="s">
        <v>923</v>
      </c>
      <c r="Y117" s="72" t="s">
        <v>3144</v>
      </c>
      <c r="Z117" s="72" t="s">
        <v>129</v>
      </c>
      <c r="AA117" s="147" t="s">
        <v>2943</v>
      </c>
    </row>
    <row r="118" spans="1:27" ht="18.600000000000001" customHeight="1">
      <c r="A118" s="140">
        <f>IF(priority(Main[[#This Row],[Comments]])&lt;&gt;0, priority(Main[[#This Row],[Comments]]),"")</f>
        <v>42</v>
      </c>
      <c r="B118" s="90" t="s">
        <v>3354</v>
      </c>
      <c r="C118" s="72" t="s">
        <v>3319</v>
      </c>
      <c r="D118" s="73" t="s">
        <v>3306</v>
      </c>
      <c r="E118" s="74"/>
      <c r="F118" s="74">
        <v>41153</v>
      </c>
      <c r="G118" s="75">
        <f>IF(stdProdLT(Main[[#This Row],[Comments]])=0.1,"N/A",IF(stdProdLT(Main[[#This Row],[Comments]])=0,"",stdProdLT(Main[[#This Row],[Comments]])))</f>
        <v>140</v>
      </c>
      <c r="H118" s="76" t="str">
        <f>IF(AND(Main[[#This Row],[In Stock Date]]&lt;&gt;"",Main[[#This Row],[Revised Due Date]]&lt;&gt;""),Main[[#This Row],[In Stock Date]]-Main[[#This Row],[Revised Due Date]],"")</f>
        <v/>
      </c>
      <c r="I118" s="72" t="s">
        <v>4</v>
      </c>
      <c r="J118" s="72" t="s">
        <v>4</v>
      </c>
      <c r="K118" s="72" t="s">
        <v>4</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v>40982</v>
      </c>
      <c r="R118" s="74"/>
      <c r="S118" s="72" t="s">
        <v>11</v>
      </c>
      <c r="T118" s="80" t="s">
        <v>3320</v>
      </c>
      <c r="U118" s="72" t="s">
        <v>12</v>
      </c>
      <c r="V118" s="72" t="s">
        <v>1942</v>
      </c>
      <c r="W118" s="72" t="s">
        <v>1938</v>
      </c>
      <c r="X118" s="72" t="s">
        <v>2939</v>
      </c>
      <c r="Y118" s="72" t="s">
        <v>4</v>
      </c>
      <c r="Z118" s="72" t="s">
        <v>4</v>
      </c>
      <c r="AA118" s="147" t="s">
        <v>2937</v>
      </c>
    </row>
    <row r="119" spans="1:27" ht="18.600000000000001" customHeight="1">
      <c r="A119" s="140">
        <f>IF(priority(Main[[#This Row],[Comments]])&lt;&gt;0, priority(Main[[#This Row],[Comments]]),"")</f>
        <v>42</v>
      </c>
      <c r="B119" s="90" t="s">
        <v>1904</v>
      </c>
      <c r="C119" s="72" t="s">
        <v>116</v>
      </c>
      <c r="D119" s="73" t="s">
        <v>2346</v>
      </c>
      <c r="E119" s="74">
        <v>40641.274907407409</v>
      </c>
      <c r="F119" s="74">
        <v>40714</v>
      </c>
      <c r="G119" s="75" t="str">
        <f>IF(stdProdLT(Main[[#This Row],[Comments]])=0.1,"N/A",IF(stdProdLT(Main[[#This Row],[Comments]])=0,"",stdProdLT(Main[[#This Row],[Comments]])))</f>
        <v/>
      </c>
      <c r="H119" s="76">
        <f>IF(AND(Main[[#This Row],[In Stock Date]]&lt;&gt;"",Main[[#This Row],[Revised Due Date]]&lt;&gt;""),Main[[#This Row],[In Stock Date]]-Main[[#This Row],[Revised Due Date]],"")</f>
        <v>0</v>
      </c>
      <c r="I119" s="72" t="s">
        <v>923</v>
      </c>
      <c r="J119" s="72" t="s">
        <v>21</v>
      </c>
      <c r="K119" s="72" t="s">
        <v>1945</v>
      </c>
      <c r="L119" s="74">
        <v>40679</v>
      </c>
      <c r="M119" s="77">
        <f>IF(Main[[#This Row],[Tech Start Date]]&lt;1/1/1990,"",IF(Main[[#This Row],[Class]]="C",WORKDAY(Main[[#This Row],[Tech Start Date]],9),IF(Main[[#This Row],[Class]]="B", WORKDAY(Main[[#This Row],[Tech Start Date]],6),IF(Main[[#This Row],[Class]]="A",WORKDAY(Main[[#This Row],[Tech Start Date]],2),""))))</f>
        <v>40690</v>
      </c>
      <c r="N119" s="77">
        <f>IF(Main[[#This Row],[Tech Start Date]]&lt;1/1/1990,"",IF(Main[[#This Row],[Class]]="C",WORKDAY(Main[[#This Row],[Tech Start Date]],19),IF(Main[[#This Row],[Class]]="B", WORKDAY(Main[[#This Row],[Tech Start Date]],12),IF(Main[[#This Row],[Class]]="A",WORKDAY(Main[[#This Row],[Tech Start Date]],4),""))))</f>
        <v>40704</v>
      </c>
      <c r="O119" s="77">
        <f>IF(Main[[#This Row],[Tech Start Date]]&lt;1/1/1990,"",IF(Main[[#This Row],[Class]]="C",WORKDAY(Main[[#This Row],[Tech Start Date]],23),IF(Main[[#This Row],[Class]]="B", WORKDAY(Main[[#This Row],[Tech Start Date]],15),IF(Main[[#This Row],[Class]]="A",WORKDAY(Main[[#This Row],[Tech Start Date]],5),""))))</f>
        <v>40710</v>
      </c>
      <c r="P119" s="77">
        <f>IF(Main[[#This Row],[Tech Start Date]]&lt;1/1/1990,"",IF(Main[[#This Row],[Class]]="C",WORKDAY(Main[[#This Row],[Tech Start Date]],28),IF(Main[[#This Row],[Class]]="B", WORKDAY(Main[[#This Row],[Tech Start Date]],19),IF(Main[[#This Row],[Class]]="A",WORKDAY(Main[[#This Row],[Tech Start Date]],9),""))))</f>
        <v>40717</v>
      </c>
      <c r="Q119" s="74">
        <v>40714</v>
      </c>
      <c r="R119" s="74">
        <v>40714</v>
      </c>
      <c r="S119" s="72" t="s">
        <v>6</v>
      </c>
      <c r="T119" s="80" t="s">
        <v>2058</v>
      </c>
      <c r="U119" s="72" t="s">
        <v>29</v>
      </c>
      <c r="V119" s="72" t="s">
        <v>1932</v>
      </c>
      <c r="W119" s="72" t="s">
        <v>1934</v>
      </c>
      <c r="X119" s="72" t="s">
        <v>126</v>
      </c>
      <c r="Y119" s="72" t="s">
        <v>3128</v>
      </c>
      <c r="Z119" s="72" t="s">
        <v>129</v>
      </c>
      <c r="AA119" s="147" t="s">
        <v>126</v>
      </c>
    </row>
    <row r="120" spans="1:27" ht="18.600000000000001" customHeight="1">
      <c r="A120" s="140">
        <f>IF(priority(Main[[#This Row],[Comments]])&lt;&gt;0, priority(Main[[#This Row],[Comments]]),"")</f>
        <v>42</v>
      </c>
      <c r="B120" s="90" t="s">
        <v>3305</v>
      </c>
      <c r="C120" s="72" t="s">
        <v>3319</v>
      </c>
      <c r="D120" s="73" t="s">
        <v>3306</v>
      </c>
      <c r="E120" s="74"/>
      <c r="F120" s="74">
        <v>41153</v>
      </c>
      <c r="G120" s="75">
        <f>IF(stdProdLT(Main[[#This Row],[Comments]])=0.1,"N/A",IF(stdProdLT(Main[[#This Row],[Comments]])=0,"",stdProdLT(Main[[#This Row],[Comments]])))</f>
        <v>140</v>
      </c>
      <c r="H120" s="76">
        <f>IF(AND(Main[[#This Row],[In Stock Date]]&lt;&gt;"",Main[[#This Row],[Revised Due Date]]&lt;&gt;""),Main[[#This Row],[In Stock Date]]-Main[[#This Row],[Revised Due Date]],"")</f>
        <v>194</v>
      </c>
      <c r="I120" s="72" t="s">
        <v>69</v>
      </c>
      <c r="J120" s="72" t="s">
        <v>70</v>
      </c>
      <c r="K120" s="72" t="s">
        <v>1939</v>
      </c>
      <c r="L120" s="74">
        <v>40925</v>
      </c>
      <c r="M120" s="77">
        <f>IF(Main[[#This Row],[Tech Start Date]]&lt;1/1/1990,"",IF(Main[[#This Row],[Class]]="C",WORKDAY(Main[[#This Row],[Tech Start Date]],9),IF(Main[[#This Row],[Class]]="B", WORKDAY(Main[[#This Row],[Tech Start Date]],6),IF(Main[[#This Row],[Class]]="A",WORKDAY(Main[[#This Row],[Tech Start Date]],2),""))))</f>
        <v>40933</v>
      </c>
      <c r="N120" s="77">
        <f>IF(Main[[#This Row],[Tech Start Date]]&lt;1/1/1990,"",IF(Main[[#This Row],[Class]]="C",WORKDAY(Main[[#This Row],[Tech Start Date]],19),IF(Main[[#This Row],[Class]]="B", WORKDAY(Main[[#This Row],[Tech Start Date]],12),IF(Main[[#This Row],[Class]]="A",WORKDAY(Main[[#This Row],[Tech Start Date]],4),""))))</f>
        <v>40941</v>
      </c>
      <c r="O120" s="77">
        <f>IF(Main[[#This Row],[Tech Start Date]]&lt;1/1/1990,"",IF(Main[[#This Row],[Class]]="C",WORKDAY(Main[[#This Row],[Tech Start Date]],23),IF(Main[[#This Row],[Class]]="B", WORKDAY(Main[[#This Row],[Tech Start Date]],15),IF(Main[[#This Row],[Class]]="A",WORKDAY(Main[[#This Row],[Tech Start Date]],5),""))))</f>
        <v>40946</v>
      </c>
      <c r="P120" s="77">
        <f>IF(Main[[#This Row],[Tech Start Date]]&lt;1/1/1990,"",IF(Main[[#This Row],[Class]]="C",WORKDAY(Main[[#This Row],[Tech Start Date]],28),IF(Main[[#This Row],[Class]]="B", WORKDAY(Main[[#This Row],[Tech Start Date]],19),IF(Main[[#This Row],[Class]]="A",WORKDAY(Main[[#This Row],[Tech Start Date]],9),""))))</f>
        <v>40952</v>
      </c>
      <c r="Q120" s="74">
        <v>40959</v>
      </c>
      <c r="R120" s="74">
        <v>40959</v>
      </c>
      <c r="S120" s="72" t="s">
        <v>11</v>
      </c>
      <c r="T120" s="80" t="s">
        <v>3363</v>
      </c>
      <c r="U120" s="72" t="s">
        <v>14</v>
      </c>
      <c r="V120" s="72" t="s">
        <v>1942</v>
      </c>
      <c r="W120" s="72" t="s">
        <v>1938</v>
      </c>
      <c r="X120" s="72" t="s">
        <v>2937</v>
      </c>
      <c r="Y120" s="72" t="s">
        <v>4</v>
      </c>
      <c r="Z120" s="72" t="s">
        <v>535</v>
      </c>
      <c r="AA120" s="147" t="s">
        <v>2937</v>
      </c>
    </row>
    <row r="121" spans="1:27" ht="18.600000000000001" customHeight="1">
      <c r="A121" s="140">
        <f>IF(priority(Main[[#This Row],[Comments]])&lt;&gt;0, priority(Main[[#This Row],[Comments]]),"")</f>
        <v>43</v>
      </c>
      <c r="B121" s="90" t="s">
        <v>1905</v>
      </c>
      <c r="C121" s="72" t="s">
        <v>116</v>
      </c>
      <c r="D121" s="73" t="s">
        <v>2347</v>
      </c>
      <c r="E121" s="74">
        <v>40668.56144675926</v>
      </c>
      <c r="F121" s="74">
        <v>40714</v>
      </c>
      <c r="G121" s="75" t="str">
        <f>IF(stdProdLT(Main[[#This Row],[Comments]])=0.1,"N/A",IF(stdProdLT(Main[[#This Row],[Comments]])=0,"",stdProdLT(Main[[#This Row],[Comments]])))</f>
        <v/>
      </c>
      <c r="H121" s="76">
        <f>IF(AND(Main[[#This Row],[In Stock Date]]&lt;&gt;"",Main[[#This Row],[Revised Due Date]]&lt;&gt;""),Main[[#This Row],[In Stock Date]]-Main[[#This Row],[Revised Due Date]],"")</f>
        <v>0</v>
      </c>
      <c r="I121" s="72" t="s">
        <v>923</v>
      </c>
      <c r="J121" s="72" t="s">
        <v>21</v>
      </c>
      <c r="K121" s="81" t="s">
        <v>1945</v>
      </c>
      <c r="L121" s="74">
        <v>40679</v>
      </c>
      <c r="M121" s="77">
        <f>IF(Main[[#This Row],[Tech Start Date]]&lt;1/1/1990,"",IF(Main[[#This Row],[Class]]="C",WORKDAY(Main[[#This Row],[Tech Start Date]],9),IF(Main[[#This Row],[Class]]="B", WORKDAY(Main[[#This Row],[Tech Start Date]],6),IF(Main[[#This Row],[Class]]="A",WORKDAY(Main[[#This Row],[Tech Start Date]],2),""))))</f>
        <v>40690</v>
      </c>
      <c r="N121" s="77">
        <f>IF(Main[[#This Row],[Tech Start Date]]&lt;1/1/1990,"",IF(Main[[#This Row],[Class]]="C",WORKDAY(Main[[#This Row],[Tech Start Date]],19),IF(Main[[#This Row],[Class]]="B", WORKDAY(Main[[#This Row],[Tech Start Date]],12),IF(Main[[#This Row],[Class]]="A",WORKDAY(Main[[#This Row],[Tech Start Date]],4),""))))</f>
        <v>40704</v>
      </c>
      <c r="O121" s="77">
        <f>IF(Main[[#This Row],[Tech Start Date]]&lt;1/1/1990,"",IF(Main[[#This Row],[Class]]="C",WORKDAY(Main[[#This Row],[Tech Start Date]],23),IF(Main[[#This Row],[Class]]="B", WORKDAY(Main[[#This Row],[Tech Start Date]],15),IF(Main[[#This Row],[Class]]="A",WORKDAY(Main[[#This Row],[Tech Start Date]],5),""))))</f>
        <v>40710</v>
      </c>
      <c r="P121" s="77">
        <f>IF(Main[[#This Row],[Tech Start Date]]&lt;1/1/1990,"",IF(Main[[#This Row],[Class]]="C",WORKDAY(Main[[#This Row],[Tech Start Date]],28),IF(Main[[#This Row],[Class]]="B", WORKDAY(Main[[#This Row],[Tech Start Date]],19),IF(Main[[#This Row],[Class]]="A",WORKDAY(Main[[#This Row],[Tech Start Date]],9),""))))</f>
        <v>40717</v>
      </c>
      <c r="Q121" s="74">
        <v>40714</v>
      </c>
      <c r="R121" s="74">
        <v>40714</v>
      </c>
      <c r="S121" s="72" t="s">
        <v>6</v>
      </c>
      <c r="T121" s="80" t="s">
        <v>2540</v>
      </c>
      <c r="U121" s="72" t="s">
        <v>29</v>
      </c>
      <c r="V121" s="72" t="s">
        <v>1932</v>
      </c>
      <c r="W121" s="72" t="s">
        <v>1934</v>
      </c>
      <c r="X121" s="72" t="s">
        <v>126</v>
      </c>
      <c r="Y121" s="72" t="s">
        <v>3128</v>
      </c>
      <c r="Z121" s="72" t="s">
        <v>129</v>
      </c>
      <c r="AA121" s="147" t="s">
        <v>126</v>
      </c>
    </row>
    <row r="122" spans="1:27" ht="18.600000000000001" customHeight="1">
      <c r="A122" s="140">
        <f>IF(priority(Main[[#This Row],[Comments]])&lt;&gt;0, priority(Main[[#This Row],[Comments]]),"")</f>
        <v>46</v>
      </c>
      <c r="B122" s="90" t="s">
        <v>2567</v>
      </c>
      <c r="C122" s="72" t="s">
        <v>2029</v>
      </c>
      <c r="D122" s="73" t="s">
        <v>2568</v>
      </c>
      <c r="E122" s="74"/>
      <c r="F122" s="74"/>
      <c r="G122" s="75">
        <f>IF(stdProdLT(Main[[#This Row],[Comments]])=0.1,"N/A",IF(stdProdLT(Main[[#This Row],[Comments]])=0,"",stdProdLT(Main[[#This Row],[Comments]])))</f>
        <v>168</v>
      </c>
      <c r="H122" s="76" t="str">
        <f>IF(AND(Main[[#This Row],[In Stock Date]]&lt;&gt;"",Main[[#This Row],[Revised Due Date]]&lt;&gt;""),Main[[#This Row],[In Stock Date]]-Main[[#This Row],[Revised Due Date]],"")</f>
        <v/>
      </c>
      <c r="I122" s="72" t="s">
        <v>4</v>
      </c>
      <c r="J122" s="72" t="s">
        <v>4</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v>40874</v>
      </c>
      <c r="R122" s="74"/>
      <c r="S122" s="72" t="s">
        <v>11</v>
      </c>
      <c r="T122" s="80" t="s">
        <v>2569</v>
      </c>
      <c r="U122" s="72" t="s">
        <v>14</v>
      </c>
      <c r="V122" s="72" t="s">
        <v>1935</v>
      </c>
      <c r="W122" s="72" t="s">
        <v>1934</v>
      </c>
      <c r="X122" s="72" t="s">
        <v>2945</v>
      </c>
      <c r="Y122" s="72" t="s">
        <v>4</v>
      </c>
      <c r="Z122" s="72" t="s">
        <v>4</v>
      </c>
      <c r="AA122" s="147" t="s">
        <v>2945</v>
      </c>
    </row>
    <row r="123" spans="1:27" ht="18.600000000000001" customHeight="1">
      <c r="A123" s="140" t="str">
        <f>IF(priority(Main[[#This Row],[Comments]])&lt;&gt;0, priority(Main[[#This Row],[Comments]]),"")</f>
        <v/>
      </c>
      <c r="B123" s="90" t="s">
        <v>1024</v>
      </c>
      <c r="C123" s="72" t="s">
        <v>4</v>
      </c>
      <c r="D123" s="73" t="s">
        <v>18</v>
      </c>
      <c r="E123" s="74"/>
      <c r="F123" s="74"/>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4</v>
      </c>
      <c r="K123" s="72" t="s">
        <v>4</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40585</v>
      </c>
      <c r="R123" s="74"/>
      <c r="S123" s="72" t="s">
        <v>11</v>
      </c>
      <c r="T123" s="80" t="s">
        <v>4</v>
      </c>
      <c r="U123" s="72" t="s">
        <v>14</v>
      </c>
      <c r="V123" s="72" t="s">
        <v>1932</v>
      </c>
      <c r="W123" s="72" t="s">
        <v>1937</v>
      </c>
      <c r="X123" s="72" t="s">
        <v>2912</v>
      </c>
      <c r="Y123" s="72" t="s">
        <v>3031</v>
      </c>
      <c r="Z123" s="72" t="s">
        <v>4</v>
      </c>
      <c r="AA123" s="147" t="s">
        <v>2912</v>
      </c>
    </row>
    <row r="124" spans="1:27" ht="18.600000000000001" customHeight="1">
      <c r="A124" s="140" t="str">
        <f>IF(priority(Main[[#This Row],[Comments]])&lt;&gt;0, priority(Main[[#This Row],[Comments]]),"")</f>
        <v/>
      </c>
      <c r="B124" s="90" t="s">
        <v>1951</v>
      </c>
      <c r="C124" s="72" t="s">
        <v>19</v>
      </c>
      <c r="D124" s="73" t="s">
        <v>20</v>
      </c>
      <c r="E124" s="74"/>
      <c r="F124" s="74">
        <v>40548</v>
      </c>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21</v>
      </c>
      <c r="K124" s="72"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v>40441</v>
      </c>
      <c r="R124" s="74"/>
      <c r="S124" s="72" t="s">
        <v>11</v>
      </c>
      <c r="T124" s="80" t="s">
        <v>4</v>
      </c>
      <c r="U124" s="72" t="s">
        <v>12</v>
      </c>
      <c r="V124" s="72" t="s">
        <v>1935</v>
      </c>
      <c r="W124" s="72" t="s">
        <v>1938</v>
      </c>
      <c r="X124" s="72" t="s">
        <v>81</v>
      </c>
      <c r="Y124" s="72" t="s">
        <v>3034</v>
      </c>
      <c r="Z124" s="72" t="s">
        <v>436</v>
      </c>
      <c r="AA124" s="147" t="s">
        <v>2924</v>
      </c>
    </row>
    <row r="125" spans="1:27" ht="18.600000000000001" customHeight="1">
      <c r="A125" s="140" t="str">
        <f>IF(priority(Main[[#This Row],[Comments]])&lt;&gt;0, priority(Main[[#This Row],[Comments]]),"")</f>
        <v/>
      </c>
      <c r="B125" s="90" t="s">
        <v>1025</v>
      </c>
      <c r="C125" s="72" t="s">
        <v>4</v>
      </c>
      <c r="D125" s="73" t="s">
        <v>22</v>
      </c>
      <c r="E125" s="74"/>
      <c r="F125" s="74"/>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4</v>
      </c>
      <c r="K125" s="72" t="s">
        <v>4</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c r="R125" s="74"/>
      <c r="S125" s="72" t="s">
        <v>23</v>
      </c>
      <c r="T125" s="80" t="s">
        <v>4</v>
      </c>
      <c r="U125" s="72" t="s">
        <v>14</v>
      </c>
      <c r="V125" s="72" t="s">
        <v>1932</v>
      </c>
      <c r="W125" s="72" t="s">
        <v>1934</v>
      </c>
      <c r="X125" s="72" t="s">
        <v>310</v>
      </c>
      <c r="Y125" s="72" t="s">
        <v>4</v>
      </c>
      <c r="Z125" s="72" t="s">
        <v>4</v>
      </c>
      <c r="AA125" s="147" t="s">
        <v>3614</v>
      </c>
    </row>
    <row r="126" spans="1:27" ht="18.600000000000001" customHeight="1">
      <c r="A126" s="140" t="str">
        <f>IF(priority(Main[[#This Row],[Comments]])&lt;&gt;0, priority(Main[[#This Row],[Comments]]),"")</f>
        <v/>
      </c>
      <c r="B126" s="90" t="s">
        <v>2734</v>
      </c>
      <c r="C126" s="72" t="s">
        <v>4</v>
      </c>
      <c r="D126" s="73" t="s">
        <v>2735</v>
      </c>
      <c r="E126" s="74">
        <v>40905.637326388889</v>
      </c>
      <c r="F126" s="74"/>
      <c r="G126" s="75" t="str">
        <f>IF(stdProdLT(Main[[#This Row],[Comments]])=0.1,"N/A",IF(stdProdLT(Main[[#This Row],[Comments]])=0,"",stdProdLT(Main[[#This Row],[Comments]])))</f>
        <v/>
      </c>
      <c r="H126" s="76" t="str">
        <f>IF(AND(Main[[#This Row],[In Stock Date]]&lt;&gt;"",Main[[#This Row],[Revised Due Date]]&lt;&gt;""),Main[[#This Row],[In Stock Date]]-Main[[#This Row],[Revised Due Date]],"")</f>
        <v/>
      </c>
      <c r="I126" s="72" t="s">
        <v>535</v>
      </c>
      <c r="J126" s="72" t="s">
        <v>52</v>
      </c>
      <c r="K126" s="72" t="s">
        <v>1941</v>
      </c>
      <c r="L126" s="74"/>
      <c r="M126" s="77" t="str">
        <f>IF(Main[[#This Row],[Tech Start Date]]&lt;1/1/1990,"",IF(Main[[#This Row],[Class]]="C",WORKDAY(Main[[#This Row],[Tech Start Date]],9),IF(Main[[#This Row],[Class]]="B", WORKDAY(Main[[#This Row],[Tech Start Date]],6),IF(Main[[#This Row],[Class]]="A",WORKDAY(Main[[#This Row],[Tech Start Date]],2),""))))</f>
        <v/>
      </c>
      <c r="N126" s="77" t="str">
        <f>IF(Main[[#This Row],[Tech Start Date]]&lt;1/1/1990,"",IF(Main[[#This Row],[Class]]="C",WORKDAY(Main[[#This Row],[Tech Start Date]],19),IF(Main[[#This Row],[Class]]="B", WORKDAY(Main[[#This Row],[Tech Start Date]],12),IF(Main[[#This Row],[Class]]="A",WORKDAY(Main[[#This Row],[Tech Start Date]],4),""))))</f>
        <v/>
      </c>
      <c r="O126" s="77" t="str">
        <f>IF(Main[[#This Row],[Tech Start Date]]&lt;1/1/1990,"",IF(Main[[#This Row],[Class]]="C",WORKDAY(Main[[#This Row],[Tech Start Date]],23),IF(Main[[#This Row],[Class]]="B", WORKDAY(Main[[#This Row],[Tech Start Date]],15),IF(Main[[#This Row],[Class]]="A",WORKDAY(Main[[#This Row],[Tech Start Date]],5),""))))</f>
        <v/>
      </c>
      <c r="P126" s="77" t="str">
        <f>IF(Main[[#This Row],[Tech Start Date]]&lt;1/1/1990,"",IF(Main[[#This Row],[Class]]="C",WORKDAY(Main[[#This Row],[Tech Start Date]],28),IF(Main[[#This Row],[Class]]="B", WORKDAY(Main[[#This Row],[Tech Start Date]],19),IF(Main[[#This Row],[Class]]="A",WORKDAY(Main[[#This Row],[Tech Start Date]],9),""))))</f>
        <v/>
      </c>
      <c r="Q126" s="74">
        <v>41027</v>
      </c>
      <c r="R126" s="74"/>
      <c r="S126" s="72" t="s">
        <v>6</v>
      </c>
      <c r="T126" s="80" t="s">
        <v>4</v>
      </c>
      <c r="U126" s="72" t="s">
        <v>29</v>
      </c>
      <c r="V126" s="72" t="s">
        <v>1935</v>
      </c>
      <c r="W126" s="72" t="s">
        <v>1936</v>
      </c>
      <c r="X126" s="72" t="s">
        <v>30</v>
      </c>
      <c r="Y126" s="72" t="s">
        <v>3035</v>
      </c>
      <c r="Z126" s="72" t="s">
        <v>30</v>
      </c>
      <c r="AA126" s="147" t="s">
        <v>30</v>
      </c>
    </row>
    <row r="127" spans="1:27" ht="18.600000000000001" customHeight="1">
      <c r="A127" s="140" t="str">
        <f>IF(priority(Main[[#This Row],[Comments]])&lt;&gt;0, priority(Main[[#This Row],[Comments]]),"")</f>
        <v/>
      </c>
      <c r="B127" s="90" t="s">
        <v>1026</v>
      </c>
      <c r="C127" s="72" t="s">
        <v>24</v>
      </c>
      <c r="D127" s="73" t="s">
        <v>25</v>
      </c>
      <c r="E127" s="74"/>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4</v>
      </c>
      <c r="K127" s="72"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c r="R127" s="74"/>
      <c r="S127" s="72" t="s">
        <v>11</v>
      </c>
      <c r="T127" s="80" t="s">
        <v>4</v>
      </c>
      <c r="U127" s="72" t="s">
        <v>14</v>
      </c>
      <c r="V127" s="72" t="s">
        <v>1933</v>
      </c>
      <c r="W127" s="72" t="s">
        <v>1937</v>
      </c>
      <c r="X127" s="72" t="s">
        <v>310</v>
      </c>
      <c r="Y127" s="72" t="s">
        <v>3036</v>
      </c>
      <c r="Z127" s="72" t="s">
        <v>4</v>
      </c>
      <c r="AA127" s="147" t="s">
        <v>310</v>
      </c>
    </row>
    <row r="128" spans="1:27" ht="18.600000000000001" customHeight="1">
      <c r="A128" s="140" t="str">
        <f>IF(priority(Main[[#This Row],[Comments]])&lt;&gt;0, priority(Main[[#This Row],[Comments]]),"")</f>
        <v/>
      </c>
      <c r="B128" s="90" t="s">
        <v>1484</v>
      </c>
      <c r="C128" s="72" t="s">
        <v>4</v>
      </c>
      <c r="D128" s="73" t="s">
        <v>2361</v>
      </c>
      <c r="E128" s="74">
        <v>40431.641157407408</v>
      </c>
      <c r="F128" s="74"/>
      <c r="G128" s="75" t="str">
        <f>IF(stdProdLT(Main[[#This Row],[Comments]])=0.1,"N/A",IF(stdProdLT(Main[[#This Row],[Comments]])=0,"",stdProdLT(Main[[#This Row],[Comments]])))</f>
        <v/>
      </c>
      <c r="H128" s="76" t="str">
        <f>IF(AND(Main[[#This Row],[In Stock Date]]&lt;&gt;"",Main[[#This Row],[Revised Due Date]]&lt;&gt;""),Main[[#This Row],[In Stock Date]]-Main[[#This Row],[Revised Due Date]],"")</f>
        <v/>
      </c>
      <c r="I128" s="72" t="s">
        <v>923</v>
      </c>
      <c r="J128" s="72" t="s">
        <v>52</v>
      </c>
      <c r="K128" s="81"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40466</v>
      </c>
      <c r="R128" s="74"/>
      <c r="S128" s="72" t="s">
        <v>6</v>
      </c>
      <c r="T128" s="80" t="s">
        <v>4</v>
      </c>
      <c r="U128" s="72" t="s">
        <v>29</v>
      </c>
      <c r="V128" s="72" t="s">
        <v>1932</v>
      </c>
      <c r="W128" s="72" t="s">
        <v>1934</v>
      </c>
      <c r="X128" s="72" t="s">
        <v>2909</v>
      </c>
      <c r="Y128" s="72" t="s">
        <v>3024</v>
      </c>
      <c r="Z128" s="72" t="s">
        <v>129</v>
      </c>
      <c r="AA128" s="147" t="s">
        <v>2909</v>
      </c>
    </row>
    <row r="129" spans="1:27" ht="18.600000000000001" customHeight="1">
      <c r="A129" s="140" t="str">
        <f>IF(priority(Main[[#This Row],[Comments]])&lt;&gt;0, priority(Main[[#This Row],[Comments]]),"")</f>
        <v/>
      </c>
      <c r="B129" s="90" t="s">
        <v>2353</v>
      </c>
      <c r="C129" s="72" t="s">
        <v>4</v>
      </c>
      <c r="D129" s="73" t="s">
        <v>2354</v>
      </c>
      <c r="E129" s="74">
        <v>40828.669305555559</v>
      </c>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4</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c r="R129" s="74"/>
      <c r="S129" s="72" t="s">
        <v>6</v>
      </c>
      <c r="T129" s="80" t="s">
        <v>4</v>
      </c>
      <c r="U129" s="72" t="s">
        <v>29</v>
      </c>
      <c r="V129" s="72" t="s">
        <v>1932</v>
      </c>
      <c r="W129" s="72" t="s">
        <v>1936</v>
      </c>
      <c r="X129" s="72" t="s">
        <v>102</v>
      </c>
      <c r="Y129" s="72" t="s">
        <v>3037</v>
      </c>
      <c r="Z129" s="72" t="s">
        <v>4</v>
      </c>
      <c r="AA129" s="147" t="s">
        <v>3615</v>
      </c>
    </row>
    <row r="130" spans="1:27" ht="18.600000000000001" customHeight="1">
      <c r="A130" s="140" t="str">
        <f>IF(priority(Main[[#This Row],[Comments]])&lt;&gt;0, priority(Main[[#This Row],[Comments]]),"")</f>
        <v/>
      </c>
      <c r="B130" s="90" t="s">
        <v>1027</v>
      </c>
      <c r="C130" s="72" t="s">
        <v>26</v>
      </c>
      <c r="D130" s="73" t="s">
        <v>27</v>
      </c>
      <c r="E130" s="74"/>
      <c r="F130" s="74">
        <v>40563</v>
      </c>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4</v>
      </c>
      <c r="J130" s="72" t="s">
        <v>28</v>
      </c>
      <c r="K130" s="72" t="s">
        <v>1939</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40563</v>
      </c>
      <c r="R130" s="74"/>
      <c r="S130" s="72" t="s">
        <v>11</v>
      </c>
      <c r="T130" s="80" t="s">
        <v>4</v>
      </c>
      <c r="U130" s="72" t="s">
        <v>14</v>
      </c>
      <c r="V130" s="72" t="s">
        <v>1933</v>
      </c>
      <c r="W130" s="72" t="s">
        <v>1934</v>
      </c>
      <c r="X130" s="72" t="s">
        <v>2906</v>
      </c>
      <c r="Y130" s="72" t="s">
        <v>3022</v>
      </c>
      <c r="Z130" s="72" t="s">
        <v>3257</v>
      </c>
      <c r="AA130" s="147" t="s">
        <v>2906</v>
      </c>
    </row>
    <row r="131" spans="1:27" ht="18.600000000000001" customHeight="1">
      <c r="A131" s="140" t="str">
        <f>IF(priority(Main[[#This Row],[Comments]])&lt;&gt;0, priority(Main[[#This Row],[Comments]]),"")</f>
        <v/>
      </c>
      <c r="B131" s="90" t="s">
        <v>1952</v>
      </c>
      <c r="C131" s="72" t="s">
        <v>4</v>
      </c>
      <c r="D131" s="73" t="s">
        <v>1953</v>
      </c>
      <c r="E131" s="74"/>
      <c r="F131" s="74">
        <v>40309</v>
      </c>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40305</v>
      </c>
      <c r="R131" s="74"/>
      <c r="S131" s="72" t="s">
        <v>6</v>
      </c>
      <c r="T131" s="80" t="s">
        <v>4</v>
      </c>
      <c r="U131" s="72" t="s">
        <v>14</v>
      </c>
      <c r="V131" s="72" t="s">
        <v>1932</v>
      </c>
      <c r="W131" s="72" t="s">
        <v>1940</v>
      </c>
      <c r="X131" s="72" t="s">
        <v>2915</v>
      </c>
      <c r="Y131" s="72" t="s">
        <v>3038</v>
      </c>
      <c r="Z131" s="72" t="s">
        <v>4</v>
      </c>
      <c r="AA131" s="147" t="s">
        <v>2915</v>
      </c>
    </row>
    <row r="132" spans="1:27" ht="18.600000000000001" customHeight="1">
      <c r="A132" s="140" t="str">
        <f>IF(priority(Main[[#This Row],[Comments]])&lt;&gt;0, priority(Main[[#This Row],[Comments]]),"")</f>
        <v/>
      </c>
      <c r="B132" s="90" t="s">
        <v>1028</v>
      </c>
      <c r="C132" s="72" t="s">
        <v>4</v>
      </c>
      <c r="D132" s="73" t="s">
        <v>1966</v>
      </c>
      <c r="E132" s="74">
        <v>40130.654374999998</v>
      </c>
      <c r="F132" s="74"/>
      <c r="G132" s="75" t="str">
        <f>IF(stdProdLT(Main[[#This Row],[Comments]])=0.1,"N/A",IF(stdProdLT(Main[[#This Row],[Comments]])=0,"",stdProdLT(Main[[#This Row],[Comments]])))</f>
        <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c r="R132" s="74"/>
      <c r="S132" s="72" t="s">
        <v>6</v>
      </c>
      <c r="T132" s="80" t="s">
        <v>4</v>
      </c>
      <c r="U132" s="72" t="s">
        <v>29</v>
      </c>
      <c r="V132" s="72" t="s">
        <v>1932</v>
      </c>
      <c r="W132" s="72" t="s">
        <v>1940</v>
      </c>
      <c r="X132" s="72" t="s">
        <v>2911</v>
      </c>
      <c r="Y132" s="72" t="s">
        <v>3039</v>
      </c>
      <c r="Z132" s="72" t="s">
        <v>4</v>
      </c>
      <c r="AA132" s="147" t="s">
        <v>2964</v>
      </c>
    </row>
    <row r="133" spans="1:27" ht="18.600000000000001" customHeight="1">
      <c r="A133" s="140" t="str">
        <f>IF(priority(Main[[#This Row],[Comments]])&lt;&gt;0, priority(Main[[#This Row],[Comments]]),"")</f>
        <v/>
      </c>
      <c r="B133" s="90" t="s">
        <v>1030</v>
      </c>
      <c r="C133" s="72" t="s">
        <v>31</v>
      </c>
      <c r="D133" s="73" t="s">
        <v>32</v>
      </c>
      <c r="E133" s="74"/>
      <c r="F133" s="74">
        <v>40634</v>
      </c>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c r="R133" s="74"/>
      <c r="S133" s="72" t="s">
        <v>11</v>
      </c>
      <c r="T133" s="80" t="s">
        <v>4</v>
      </c>
      <c r="U133" s="72" t="s">
        <v>14</v>
      </c>
      <c r="V133" s="72" t="s">
        <v>1935</v>
      </c>
      <c r="W133" s="72" t="s">
        <v>1937</v>
      </c>
      <c r="X133" s="72" t="s">
        <v>2916</v>
      </c>
      <c r="Y133" s="72" t="s">
        <v>3040</v>
      </c>
      <c r="Z133" s="72" t="s">
        <v>4</v>
      </c>
      <c r="AA133" s="147" t="s">
        <v>2936</v>
      </c>
    </row>
    <row r="134" spans="1:27" ht="18.600000000000001" customHeight="1">
      <c r="A134" s="140" t="str">
        <f>IF(priority(Main[[#This Row],[Comments]])&lt;&gt;0, priority(Main[[#This Row],[Comments]]),"")</f>
        <v/>
      </c>
      <c r="B134" s="90" t="s">
        <v>1031</v>
      </c>
      <c r="C134" s="72" t="s">
        <v>33</v>
      </c>
      <c r="D134" s="73" t="s">
        <v>34</v>
      </c>
      <c r="E134" s="74"/>
      <c r="F134" s="74">
        <v>40764</v>
      </c>
      <c r="G134" s="75" t="str">
        <f>IF(stdProdLT(Main[[#This Row],[Comments]])=0.1,"N/A",IF(stdProdLT(Main[[#This Row],[Comments]])=0,"",stdProdLT(Main[[#This Row],[Comments]])))</f>
        <v/>
      </c>
      <c r="H134" s="76" t="str">
        <f>IF(AND(Main[[#This Row],[In Stock Date]]&lt;&gt;"",Main[[#This Row],[Revised Due Date]]&lt;&gt;""),Main[[#This Row],[In Stock Date]]-Main[[#This Row],[Revised Due Date]],"")</f>
        <v/>
      </c>
      <c r="I134" s="72" t="s">
        <v>4</v>
      </c>
      <c r="J134" s="72" t="s">
        <v>28</v>
      </c>
      <c r="K134" s="72" t="s">
        <v>1939</v>
      </c>
      <c r="L134" s="74"/>
      <c r="M134" s="77" t="str">
        <f>IF(Main[[#This Row],[Tech Start Date]]&lt;1/1/1990,"",IF(Main[[#This Row],[Class]]="C",WORKDAY(Main[[#This Row],[Tech Start Date]],9),IF(Main[[#This Row],[Class]]="B", WORKDAY(Main[[#This Row],[Tech Start Date]],6),IF(Main[[#This Row],[Class]]="A",WORKDAY(Main[[#This Row],[Tech Start Date]],2),""))))</f>
        <v/>
      </c>
      <c r="N134" s="77" t="str">
        <f>IF(Main[[#This Row],[Tech Start Date]]&lt;1/1/1990,"",IF(Main[[#This Row],[Class]]="C",WORKDAY(Main[[#This Row],[Tech Start Date]],19),IF(Main[[#This Row],[Class]]="B", WORKDAY(Main[[#This Row],[Tech Start Date]],12),IF(Main[[#This Row],[Class]]="A",WORKDAY(Main[[#This Row],[Tech Start Date]],4),""))))</f>
        <v/>
      </c>
      <c r="O134" s="77" t="str">
        <f>IF(Main[[#This Row],[Tech Start Date]]&lt;1/1/1990,"",IF(Main[[#This Row],[Class]]="C",WORKDAY(Main[[#This Row],[Tech Start Date]],23),IF(Main[[#This Row],[Class]]="B", WORKDAY(Main[[#This Row],[Tech Start Date]],15),IF(Main[[#This Row],[Class]]="A",WORKDAY(Main[[#This Row],[Tech Start Date]],5),""))))</f>
        <v/>
      </c>
      <c r="P134" s="77" t="str">
        <f>IF(Main[[#This Row],[Tech Start Date]]&lt;1/1/1990,"",IF(Main[[#This Row],[Class]]="C",WORKDAY(Main[[#This Row],[Tech Start Date]],28),IF(Main[[#This Row],[Class]]="B", WORKDAY(Main[[#This Row],[Tech Start Date]],19),IF(Main[[#This Row],[Class]]="A",WORKDAY(Main[[#This Row],[Tech Start Date]],9),""))))</f>
        <v/>
      </c>
      <c r="Q134" s="74">
        <v>40568</v>
      </c>
      <c r="R134" s="74"/>
      <c r="S134" s="72" t="s">
        <v>11</v>
      </c>
      <c r="T134" s="80" t="s">
        <v>4</v>
      </c>
      <c r="U134" s="72" t="s">
        <v>14</v>
      </c>
      <c r="V134" s="72" t="s">
        <v>1932</v>
      </c>
      <c r="W134" s="72" t="s">
        <v>1940</v>
      </c>
      <c r="X134" s="72" t="s">
        <v>2917</v>
      </c>
      <c r="Y134" s="72" t="s">
        <v>3041</v>
      </c>
      <c r="Z134" s="72" t="s">
        <v>129</v>
      </c>
      <c r="AA134" s="147" t="s">
        <v>2917</v>
      </c>
    </row>
    <row r="135" spans="1:27" ht="18.600000000000001" customHeight="1">
      <c r="A135" s="140" t="str">
        <f>IF(priority(Main[[#This Row],[Comments]])&lt;&gt;0, priority(Main[[#This Row],[Comments]]),"")</f>
        <v/>
      </c>
      <c r="B135" s="90" t="s">
        <v>1954</v>
      </c>
      <c r="C135" s="72" t="s">
        <v>4</v>
      </c>
      <c r="D135" s="73" t="s">
        <v>35</v>
      </c>
      <c r="E135" s="74"/>
      <c r="F135" s="74"/>
      <c r="G135" s="75" t="str">
        <f>IF(stdProdLT(Main[[#This Row],[Comments]])=0.1,"N/A",IF(stdProdLT(Main[[#This Row],[Comments]])=0,"",stdProdLT(Main[[#This Row],[Comments]])))</f>
        <v/>
      </c>
      <c r="H135" s="76" t="str">
        <f>IF(AND(Main[[#This Row],[In Stock Date]]&lt;&gt;"",Main[[#This Row],[Revised Due Date]]&lt;&gt;""),Main[[#This Row],[In Stock Date]]-Main[[#This Row],[Revised Due Date]],"")</f>
        <v/>
      </c>
      <c r="I135" s="72" t="s">
        <v>4</v>
      </c>
      <c r="J135" s="72" t="s">
        <v>4</v>
      </c>
      <c r="K135" s="72" t="s">
        <v>4</v>
      </c>
      <c r="L135" s="74"/>
      <c r="M135" s="77" t="str">
        <f>IF(Main[[#This Row],[Tech Start Date]]&lt;1/1/1990,"",IF(Main[[#This Row],[Class]]="C",WORKDAY(Main[[#This Row],[Tech Start Date]],9),IF(Main[[#This Row],[Class]]="B", WORKDAY(Main[[#This Row],[Tech Start Date]],6),IF(Main[[#This Row],[Class]]="A",WORKDAY(Main[[#This Row],[Tech Start Date]],2),""))))</f>
        <v/>
      </c>
      <c r="N135" s="77" t="str">
        <f>IF(Main[[#This Row],[Tech Start Date]]&lt;1/1/1990,"",IF(Main[[#This Row],[Class]]="C",WORKDAY(Main[[#This Row],[Tech Start Date]],19),IF(Main[[#This Row],[Class]]="B", WORKDAY(Main[[#This Row],[Tech Start Date]],12),IF(Main[[#This Row],[Class]]="A",WORKDAY(Main[[#This Row],[Tech Start Date]],4),""))))</f>
        <v/>
      </c>
      <c r="O135" s="77" t="str">
        <f>IF(Main[[#This Row],[Tech Start Date]]&lt;1/1/1990,"",IF(Main[[#This Row],[Class]]="C",WORKDAY(Main[[#This Row],[Tech Start Date]],23),IF(Main[[#This Row],[Class]]="B", WORKDAY(Main[[#This Row],[Tech Start Date]],15),IF(Main[[#This Row],[Class]]="A",WORKDAY(Main[[#This Row],[Tech Start Date]],5),""))))</f>
        <v/>
      </c>
      <c r="P135" s="77" t="str">
        <f>IF(Main[[#This Row],[Tech Start Date]]&lt;1/1/1990,"",IF(Main[[#This Row],[Class]]="C",WORKDAY(Main[[#This Row],[Tech Start Date]],28),IF(Main[[#This Row],[Class]]="B", WORKDAY(Main[[#This Row],[Tech Start Date]],19),IF(Main[[#This Row],[Class]]="A",WORKDAY(Main[[#This Row],[Tech Start Date]],9),""))))</f>
        <v/>
      </c>
      <c r="Q135" s="74"/>
      <c r="R135" s="74"/>
      <c r="S135" s="72" t="s">
        <v>23</v>
      </c>
      <c r="T135" s="80" t="s">
        <v>4</v>
      </c>
      <c r="U135" s="72" t="s">
        <v>14</v>
      </c>
      <c r="V135" s="72" t="s">
        <v>1942</v>
      </c>
      <c r="W135" s="72" t="s">
        <v>1936</v>
      </c>
      <c r="X135" s="72" t="s">
        <v>403</v>
      </c>
      <c r="Y135" s="72" t="s">
        <v>4</v>
      </c>
      <c r="Z135" s="72" t="s">
        <v>4</v>
      </c>
      <c r="AA135" s="147" t="s">
        <v>3616</v>
      </c>
    </row>
    <row r="136" spans="1:27" ht="18.600000000000001" customHeight="1">
      <c r="A136" s="140" t="str">
        <f>IF(priority(Main[[#This Row],[Comments]])&lt;&gt;0, priority(Main[[#This Row],[Comments]]),"")</f>
        <v/>
      </c>
      <c r="B136" s="90" t="s">
        <v>1032</v>
      </c>
      <c r="C136" s="72" t="s">
        <v>4</v>
      </c>
      <c r="D136" s="73" t="s">
        <v>36</v>
      </c>
      <c r="E136" s="74"/>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4</v>
      </c>
      <c r="J136" s="72" t="s">
        <v>4</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40781</v>
      </c>
      <c r="R136" s="74"/>
      <c r="S136" s="72" t="s">
        <v>11</v>
      </c>
      <c r="T136" s="80" t="s">
        <v>4</v>
      </c>
      <c r="U136" s="72" t="s">
        <v>14</v>
      </c>
      <c r="V136" s="72" t="s">
        <v>1932</v>
      </c>
      <c r="W136" s="72" t="s">
        <v>1936</v>
      </c>
      <c r="X136" s="72" t="s">
        <v>2912</v>
      </c>
      <c r="Y136" s="72" t="s">
        <v>3031</v>
      </c>
      <c r="Z136" s="72" t="s">
        <v>4</v>
      </c>
      <c r="AA136" s="147" t="s">
        <v>2912</v>
      </c>
    </row>
    <row r="137" spans="1:27" ht="18.600000000000001" customHeight="1">
      <c r="A137" s="140" t="str">
        <f>IF(priority(Main[[#This Row],[Comments]])&lt;&gt;0, priority(Main[[#This Row],[Comments]]),"")</f>
        <v/>
      </c>
      <c r="B137" s="90" t="s">
        <v>1033</v>
      </c>
      <c r="C137" s="72" t="s">
        <v>26</v>
      </c>
      <c r="D137" s="73" t="s">
        <v>38</v>
      </c>
      <c r="E137" s="74"/>
      <c r="F137" s="74">
        <v>40743</v>
      </c>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v>
      </c>
      <c r="J137" s="72" t="s">
        <v>28</v>
      </c>
      <c r="K137" s="72" t="s">
        <v>4</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v>40638</v>
      </c>
      <c r="R137" s="74"/>
      <c r="S137" s="72" t="s">
        <v>11</v>
      </c>
      <c r="T137" s="80" t="s">
        <v>4</v>
      </c>
      <c r="U137" s="72" t="s">
        <v>12</v>
      </c>
      <c r="V137" s="72" t="s">
        <v>1932</v>
      </c>
      <c r="W137" s="72" t="s">
        <v>1940</v>
      </c>
      <c r="X137" s="72" t="s">
        <v>129</v>
      </c>
      <c r="Y137" s="72" t="s">
        <v>4</v>
      </c>
      <c r="Z137" s="72" t="s">
        <v>129</v>
      </c>
      <c r="AA137" s="147" t="s">
        <v>3617</v>
      </c>
    </row>
    <row r="138" spans="1:27" ht="18.600000000000001" customHeight="1">
      <c r="A138" s="140" t="str">
        <f>IF(priority(Main[[#This Row],[Comments]])&lt;&gt;0, priority(Main[[#This Row],[Comments]]),"")</f>
        <v/>
      </c>
      <c r="B138" s="90" t="s">
        <v>1034</v>
      </c>
      <c r="C138" s="72" t="s">
        <v>4</v>
      </c>
      <c r="D138" s="73" t="s">
        <v>39</v>
      </c>
      <c r="E138" s="74"/>
      <c r="F138" s="74"/>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72"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v>40669</v>
      </c>
      <c r="R138" s="74"/>
      <c r="S138" s="72" t="s">
        <v>6</v>
      </c>
      <c r="T138" s="80" t="s">
        <v>4</v>
      </c>
      <c r="U138" s="72" t="s">
        <v>14</v>
      </c>
      <c r="V138" s="72" t="s">
        <v>1935</v>
      </c>
      <c r="W138" s="72" t="s">
        <v>4</v>
      </c>
      <c r="X138" s="72" t="s">
        <v>2909</v>
      </c>
      <c r="Y138" s="72" t="s">
        <v>3024</v>
      </c>
      <c r="Z138" s="72" t="s">
        <v>4</v>
      </c>
      <c r="AA138" s="147" t="s">
        <v>2909</v>
      </c>
    </row>
    <row r="139" spans="1:27" ht="18.600000000000001" customHeight="1">
      <c r="A139" s="140" t="str">
        <f>IF(priority(Main[[#This Row],[Comments]])&lt;&gt;0, priority(Main[[#This Row],[Comments]]),"")</f>
        <v/>
      </c>
      <c r="B139" s="90" t="s">
        <v>1035</v>
      </c>
      <c r="C139" s="72" t="s">
        <v>4</v>
      </c>
      <c r="D139" s="73" t="s">
        <v>40</v>
      </c>
      <c r="E139" s="74"/>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v>40368</v>
      </c>
      <c r="R139" s="74"/>
      <c r="S139" s="72" t="s">
        <v>6</v>
      </c>
      <c r="T139" s="80" t="s">
        <v>4</v>
      </c>
      <c r="U139" s="72" t="s">
        <v>14</v>
      </c>
      <c r="V139" s="72" t="s">
        <v>1942</v>
      </c>
      <c r="W139" s="72" t="s">
        <v>1934</v>
      </c>
      <c r="X139" s="72" t="s">
        <v>50</v>
      </c>
      <c r="Y139" s="72" t="s">
        <v>3042</v>
      </c>
      <c r="Z139" s="72" t="s">
        <v>4</v>
      </c>
      <c r="AA139" s="147" t="s">
        <v>983</v>
      </c>
    </row>
    <row r="140" spans="1:27" ht="18.600000000000001" customHeight="1">
      <c r="A140" s="140" t="str">
        <f>IF(priority(Main[[#This Row],[Comments]])&lt;&gt;0, priority(Main[[#This Row],[Comments]]),"")</f>
        <v/>
      </c>
      <c r="B140" s="90" t="s">
        <v>1036</v>
      </c>
      <c r="C140" s="72" t="s">
        <v>33</v>
      </c>
      <c r="D140" s="73" t="s">
        <v>41</v>
      </c>
      <c r="E140" s="74"/>
      <c r="F140" s="74"/>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81"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c r="R140" s="74"/>
      <c r="S140" s="72" t="s">
        <v>11</v>
      </c>
      <c r="T140" s="80" t="s">
        <v>4</v>
      </c>
      <c r="U140" s="72" t="s">
        <v>14</v>
      </c>
      <c r="V140" s="72" t="s">
        <v>1933</v>
      </c>
      <c r="W140" s="72" t="s">
        <v>1940</v>
      </c>
      <c r="X140" s="72" t="s">
        <v>2918</v>
      </c>
      <c r="Y140" s="72" t="s">
        <v>3043</v>
      </c>
      <c r="Z140" s="72" t="s">
        <v>4</v>
      </c>
      <c r="AA140" s="147" t="s">
        <v>2918</v>
      </c>
    </row>
    <row r="141" spans="1:27" ht="18.600000000000001" customHeight="1">
      <c r="A141" s="140" t="str">
        <f>IF(priority(Main[[#This Row],[Comments]])&lt;&gt;0, priority(Main[[#This Row],[Comments]]),"")</f>
        <v/>
      </c>
      <c r="B141" s="90" t="s">
        <v>1037</v>
      </c>
      <c r="C141" s="72" t="s">
        <v>4</v>
      </c>
      <c r="D141" s="73" t="s">
        <v>43</v>
      </c>
      <c r="E141" s="74">
        <v>40500.605023148149</v>
      </c>
      <c r="F141" s="74"/>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v>40519</v>
      </c>
      <c r="R141" s="74"/>
      <c r="S141" s="72" t="s">
        <v>4</v>
      </c>
      <c r="T141" s="80" t="s">
        <v>4</v>
      </c>
      <c r="U141" s="72" t="s">
        <v>7</v>
      </c>
      <c r="V141" s="72" t="s">
        <v>1932</v>
      </c>
      <c r="W141" s="72" t="s">
        <v>4</v>
      </c>
      <c r="X141" s="72" t="s">
        <v>2912</v>
      </c>
      <c r="Y141" s="72" t="s">
        <v>3031</v>
      </c>
      <c r="Z141" s="72" t="s">
        <v>4</v>
      </c>
      <c r="AA141" s="147" t="s">
        <v>2912</v>
      </c>
    </row>
    <row r="142" spans="1:27" ht="18.600000000000001" customHeight="1">
      <c r="A142" s="140" t="str">
        <f>IF(priority(Main[[#This Row],[Comments]])&lt;&gt;0, priority(Main[[#This Row],[Comments]]),"")</f>
        <v/>
      </c>
      <c r="B142" s="90" t="s">
        <v>1039</v>
      </c>
      <c r="C142" s="72" t="s">
        <v>4</v>
      </c>
      <c r="D142" s="73" t="s">
        <v>45</v>
      </c>
      <c r="E142" s="74">
        <v>40486.407523148147</v>
      </c>
      <c r="F142" s="74"/>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4</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40522</v>
      </c>
      <c r="R142" s="74"/>
      <c r="S142" s="72" t="s">
        <v>6</v>
      </c>
      <c r="T142" s="80" t="s">
        <v>4</v>
      </c>
      <c r="U142" s="72" t="s">
        <v>7</v>
      </c>
      <c r="V142" s="72" t="s">
        <v>1932</v>
      </c>
      <c r="W142" s="72" t="s">
        <v>4</v>
      </c>
      <c r="X142" s="72" t="s">
        <v>2909</v>
      </c>
      <c r="Y142" s="72" t="s">
        <v>3024</v>
      </c>
      <c r="Z142" s="72" t="s">
        <v>4</v>
      </c>
      <c r="AA142" s="147" t="s">
        <v>2909</v>
      </c>
    </row>
    <row r="143" spans="1:27" ht="18.600000000000001" customHeight="1">
      <c r="A143" s="140" t="str">
        <f>IF(priority(Main[[#This Row],[Comments]])&lt;&gt;0, priority(Main[[#This Row],[Comments]]),"")</f>
        <v/>
      </c>
      <c r="B143" s="90" t="s">
        <v>1041</v>
      </c>
      <c r="C143" s="72" t="s">
        <v>47</v>
      </c>
      <c r="D143" s="73" t="s">
        <v>48</v>
      </c>
      <c r="E143" s="74"/>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c r="R143" s="74"/>
      <c r="S143" s="72" t="s">
        <v>49</v>
      </c>
      <c r="T143" s="80" t="s">
        <v>4</v>
      </c>
      <c r="U143" s="72" t="s">
        <v>14</v>
      </c>
      <c r="V143" s="72" t="s">
        <v>1935</v>
      </c>
      <c r="W143" s="72" t="s">
        <v>1936</v>
      </c>
      <c r="X143" s="72" t="s">
        <v>310</v>
      </c>
      <c r="Y143" s="72" t="s">
        <v>3036</v>
      </c>
      <c r="Z143" s="72" t="s">
        <v>4</v>
      </c>
      <c r="AA143" s="147" t="s">
        <v>3618</v>
      </c>
    </row>
    <row r="144" spans="1:27" ht="18.600000000000001" customHeight="1">
      <c r="A144" s="140" t="str">
        <f>IF(priority(Main[[#This Row],[Comments]])&lt;&gt;0, priority(Main[[#This Row],[Comments]]),"")</f>
        <v/>
      </c>
      <c r="B144" s="90" t="s">
        <v>1055</v>
      </c>
      <c r="C144" s="72" t="s">
        <v>67</v>
      </c>
      <c r="D144" s="73" t="s">
        <v>68</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4</v>
      </c>
      <c r="K144" s="81"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v>40298</v>
      </c>
      <c r="R144" s="74"/>
      <c r="S144" s="72" t="s">
        <v>17</v>
      </c>
      <c r="T144" s="80" t="s">
        <v>4</v>
      </c>
      <c r="U144" s="72" t="s">
        <v>14</v>
      </c>
      <c r="V144" s="72" t="s">
        <v>1935</v>
      </c>
      <c r="W144" s="72" t="s">
        <v>1940</v>
      </c>
      <c r="X144" s="72" t="s">
        <v>310</v>
      </c>
      <c r="Y144" s="72" t="s">
        <v>3044</v>
      </c>
      <c r="Z144" s="72" t="s">
        <v>4</v>
      </c>
      <c r="AA144" s="147" t="s">
        <v>420</v>
      </c>
    </row>
    <row r="145" spans="1:27" ht="18.600000000000001" customHeight="1">
      <c r="A145" s="140" t="str">
        <f>IF(priority(Main[[#This Row],[Comments]])&lt;&gt;0, priority(Main[[#This Row],[Comments]]),"")</f>
        <v/>
      </c>
      <c r="B145" s="90" t="s">
        <v>1290</v>
      </c>
      <c r="C145" s="72" t="s">
        <v>4</v>
      </c>
      <c r="D145" s="73" t="s">
        <v>2355</v>
      </c>
      <c r="E145" s="74">
        <v>40578.5078587963</v>
      </c>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923</v>
      </c>
      <c r="J145" s="72" t="s">
        <v>52</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40592</v>
      </c>
      <c r="R145" s="74"/>
      <c r="S145" s="72" t="s">
        <v>6</v>
      </c>
      <c r="T145" s="80" t="s">
        <v>4</v>
      </c>
      <c r="U145" s="72" t="s">
        <v>29</v>
      </c>
      <c r="V145" s="72" t="s">
        <v>1932</v>
      </c>
      <c r="W145" s="72" t="s">
        <v>1936</v>
      </c>
      <c r="X145" s="72" t="s">
        <v>2919</v>
      </c>
      <c r="Y145" s="72" t="s">
        <v>3045</v>
      </c>
      <c r="Z145" s="72" t="s">
        <v>4</v>
      </c>
      <c r="AA145" s="147" t="s">
        <v>2919</v>
      </c>
    </row>
    <row r="146" spans="1:27" ht="18.600000000000001" customHeight="1">
      <c r="A146" s="140" t="str">
        <f>IF(priority(Main[[#This Row],[Comments]])&lt;&gt;0, priority(Main[[#This Row],[Comments]]),"")</f>
        <v/>
      </c>
      <c r="B146" s="90" t="s">
        <v>1056</v>
      </c>
      <c r="C146" s="72" t="s">
        <v>4</v>
      </c>
      <c r="D146" s="73" t="s">
        <v>71</v>
      </c>
      <c r="E146" s="74"/>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72"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c r="R146" s="74"/>
      <c r="S146" s="72" t="s">
        <v>23</v>
      </c>
      <c r="T146" s="80" t="s">
        <v>4</v>
      </c>
      <c r="U146" s="72" t="s">
        <v>14</v>
      </c>
      <c r="V146" s="72" t="s">
        <v>1932</v>
      </c>
      <c r="W146" s="72" t="s">
        <v>1936</v>
      </c>
      <c r="X146" s="72" t="s">
        <v>403</v>
      </c>
      <c r="Y146" s="72" t="s">
        <v>4</v>
      </c>
      <c r="Z146" s="72" t="s">
        <v>4</v>
      </c>
      <c r="AA146" s="147" t="s">
        <v>3616</v>
      </c>
    </row>
    <row r="147" spans="1:27" ht="18.600000000000001" customHeight="1">
      <c r="A147" s="140" t="str">
        <f>IF(priority(Main[[#This Row],[Comments]])&lt;&gt;0, priority(Main[[#This Row],[Comments]]),"")</f>
        <v/>
      </c>
      <c r="B147" s="90" t="s">
        <v>1023</v>
      </c>
      <c r="C147" s="72" t="s">
        <v>15</v>
      </c>
      <c r="D147" s="73" t="s">
        <v>16</v>
      </c>
      <c r="E147" s="74">
        <v>40611.379872685182</v>
      </c>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4</v>
      </c>
      <c r="J147" s="72" t="s">
        <v>4</v>
      </c>
      <c r="K147" s="72" t="s">
        <v>4</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40695</v>
      </c>
      <c r="R147" s="74"/>
      <c r="S147" s="72" t="s">
        <v>17</v>
      </c>
      <c r="T147" s="80" t="s">
        <v>4</v>
      </c>
      <c r="U147" s="72" t="s">
        <v>7</v>
      </c>
      <c r="V147" s="72" t="s">
        <v>1935</v>
      </c>
      <c r="W147" s="72" t="s">
        <v>1937</v>
      </c>
      <c r="X147" s="72" t="s">
        <v>559</v>
      </c>
      <c r="Y147" s="72" t="s">
        <v>3047</v>
      </c>
      <c r="Z147" s="72" t="s">
        <v>4</v>
      </c>
      <c r="AA147" s="147" t="s">
        <v>559</v>
      </c>
    </row>
    <row r="148" spans="1:27" ht="18.600000000000001" customHeight="1">
      <c r="A148" s="140" t="str">
        <f>IF(priority(Main[[#This Row],[Comments]])&lt;&gt;0, priority(Main[[#This Row],[Comments]]),"")</f>
        <v/>
      </c>
      <c r="B148" s="90" t="s">
        <v>2194</v>
      </c>
      <c r="C148" s="72" t="s">
        <v>2186</v>
      </c>
      <c r="D148" s="73" t="s">
        <v>3381</v>
      </c>
      <c r="E148" s="74">
        <v>40781.402488425927</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434</v>
      </c>
      <c r="J148" s="72" t="s">
        <v>70</v>
      </c>
      <c r="K148" s="72" t="s">
        <v>1941</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40836</v>
      </c>
      <c r="R148" s="74"/>
      <c r="S148" s="72" t="s">
        <v>6</v>
      </c>
      <c r="T148" s="80" t="s">
        <v>4</v>
      </c>
      <c r="U148" s="72" t="s">
        <v>29</v>
      </c>
      <c r="V148" s="72" t="s">
        <v>1935</v>
      </c>
      <c r="W148" s="72" t="s">
        <v>1936</v>
      </c>
      <c r="X148" s="72" t="s">
        <v>2927</v>
      </c>
      <c r="Y148" s="72" t="s">
        <v>3060</v>
      </c>
      <c r="Z148" s="72" t="s">
        <v>30</v>
      </c>
      <c r="AA148" s="147" t="s">
        <v>2927</v>
      </c>
    </row>
    <row r="149" spans="1:27" ht="18.600000000000001" customHeight="1">
      <c r="A149" s="140" t="str">
        <f>IF(priority(Main[[#This Row],[Comments]])&lt;&gt;0, priority(Main[[#This Row],[Comments]]),"")</f>
        <v/>
      </c>
      <c r="B149" s="90" t="s">
        <v>1058</v>
      </c>
      <c r="C149" s="72" t="s">
        <v>31</v>
      </c>
      <c r="D149" s="73" t="s">
        <v>77</v>
      </c>
      <c r="E149" s="74"/>
      <c r="F149" s="74">
        <v>40512</v>
      </c>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v>
      </c>
      <c r="J149" s="72" t="s">
        <v>4</v>
      </c>
      <c r="K149" s="81" t="s">
        <v>4</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v>40415</v>
      </c>
      <c r="R149" s="74"/>
      <c r="S149" s="72" t="s">
        <v>11</v>
      </c>
      <c r="T149" s="80" t="s">
        <v>4</v>
      </c>
      <c r="U149" s="72" t="s">
        <v>14</v>
      </c>
      <c r="V149" s="72" t="s">
        <v>1935</v>
      </c>
      <c r="W149" s="72" t="s">
        <v>1938</v>
      </c>
      <c r="X149" s="72" t="s">
        <v>2921</v>
      </c>
      <c r="Y149" s="72" t="s">
        <v>3048</v>
      </c>
      <c r="Z149" s="72" t="s">
        <v>4</v>
      </c>
      <c r="AA149" s="147" t="s">
        <v>2921</v>
      </c>
    </row>
    <row r="150" spans="1:27" ht="18.600000000000001" customHeight="1">
      <c r="A150" s="140" t="str">
        <f>IF(priority(Main[[#This Row],[Comments]])&lt;&gt;0, priority(Main[[#This Row],[Comments]]),"")</f>
        <v/>
      </c>
      <c r="B150" s="90" t="s">
        <v>1059</v>
      </c>
      <c r="C150" s="72" t="s">
        <v>4</v>
      </c>
      <c r="D150" s="73" t="s">
        <v>78</v>
      </c>
      <c r="E150" s="74"/>
      <c r="F150" s="74"/>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4</v>
      </c>
      <c r="J150" s="72" t="s">
        <v>4</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c r="R150" s="74"/>
      <c r="S150" s="72" t="s">
        <v>49</v>
      </c>
      <c r="T150" s="80" t="s">
        <v>4</v>
      </c>
      <c r="U150" s="72" t="s">
        <v>14</v>
      </c>
      <c r="V150" s="72" t="s">
        <v>1932</v>
      </c>
      <c r="W150" s="72" t="s">
        <v>1936</v>
      </c>
      <c r="X150" s="72" t="s">
        <v>310</v>
      </c>
      <c r="Y150" s="72" t="s">
        <v>4</v>
      </c>
      <c r="Z150" s="72" t="s">
        <v>4</v>
      </c>
      <c r="AA150" s="147" t="s">
        <v>4</v>
      </c>
    </row>
    <row r="151" spans="1:27" ht="18.600000000000001" customHeight="1">
      <c r="A151" s="140" t="str">
        <f>IF(priority(Main[[#This Row],[Comments]])&lt;&gt;0, priority(Main[[#This Row],[Comments]]),"")</f>
        <v/>
      </c>
      <c r="B151" s="90" t="s">
        <v>2110</v>
      </c>
      <c r="C151" s="72" t="s">
        <v>2111</v>
      </c>
      <c r="D151" s="73" t="s">
        <v>2112</v>
      </c>
      <c r="E151" s="74"/>
      <c r="F151" s="74">
        <v>40831</v>
      </c>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72"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40786</v>
      </c>
      <c r="R151" s="74"/>
      <c r="S151" s="72" t="s">
        <v>11</v>
      </c>
      <c r="T151" s="80" t="s">
        <v>4</v>
      </c>
      <c r="U151" s="72" t="s">
        <v>12</v>
      </c>
      <c r="V151" s="72" t="s">
        <v>1935</v>
      </c>
      <c r="W151" s="72" t="s">
        <v>1940</v>
      </c>
      <c r="X151" s="72" t="s">
        <v>2922</v>
      </c>
      <c r="Y151" s="72" t="s">
        <v>3049</v>
      </c>
      <c r="Z151" s="72" t="s">
        <v>4</v>
      </c>
      <c r="AA151" s="147" t="s">
        <v>2922</v>
      </c>
    </row>
    <row r="152" spans="1:27" ht="18.600000000000001" customHeight="1">
      <c r="A152" s="140" t="str">
        <f>IF(priority(Main[[#This Row],[Comments]])&lt;&gt;0, priority(Main[[#This Row],[Comments]]),"")</f>
        <v/>
      </c>
      <c r="B152" s="90" t="s">
        <v>2239</v>
      </c>
      <c r="C152" s="72" t="s">
        <v>2240</v>
      </c>
      <c r="D152" s="73" t="s">
        <v>2241</v>
      </c>
      <c r="E152" s="74">
        <v>40798.585381944446</v>
      </c>
      <c r="F152" s="74">
        <v>40848</v>
      </c>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4</v>
      </c>
      <c r="K152" s="72" t="s">
        <v>4</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c r="R152" s="74"/>
      <c r="S152" s="72" t="s">
        <v>49</v>
      </c>
      <c r="T152" s="80" t="s">
        <v>4</v>
      </c>
      <c r="U152" s="72" t="s">
        <v>7</v>
      </c>
      <c r="V152" s="72" t="s">
        <v>1932</v>
      </c>
      <c r="W152" s="72" t="s">
        <v>1937</v>
      </c>
      <c r="X152" s="72" t="s">
        <v>2923</v>
      </c>
      <c r="Y152" s="72" t="s">
        <v>3050</v>
      </c>
      <c r="Z152" s="72" t="s">
        <v>4</v>
      </c>
      <c r="AA152" s="147" t="s">
        <v>2923</v>
      </c>
    </row>
    <row r="153" spans="1:27" ht="18.600000000000001" customHeight="1">
      <c r="A153" s="140" t="str">
        <f>IF(priority(Main[[#This Row],[Comments]])&lt;&gt;0, priority(Main[[#This Row],[Comments]]),"")</f>
        <v/>
      </c>
      <c r="B153" s="90" t="s">
        <v>1060</v>
      </c>
      <c r="C153" s="72" t="s">
        <v>79</v>
      </c>
      <c r="D153" s="73" t="s">
        <v>80</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81</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v>39986</v>
      </c>
      <c r="R153" s="74"/>
      <c r="S153" s="72" t="s">
        <v>11</v>
      </c>
      <c r="T153" s="80" t="s">
        <v>4</v>
      </c>
      <c r="U153" s="72" t="s">
        <v>14</v>
      </c>
      <c r="V153" s="72" t="s">
        <v>1935</v>
      </c>
      <c r="W153" s="72" t="s">
        <v>1943</v>
      </c>
      <c r="X153" s="72" t="s">
        <v>2911</v>
      </c>
      <c r="Y153" s="72" t="s">
        <v>3051</v>
      </c>
      <c r="Z153" s="72" t="s">
        <v>4</v>
      </c>
      <c r="AA153" s="147" t="s">
        <v>2952</v>
      </c>
    </row>
    <row r="154" spans="1:27" ht="18.600000000000001" customHeight="1">
      <c r="A154" s="140" t="str">
        <f>IF(priority(Main[[#This Row],[Comments]])&lt;&gt;0, priority(Main[[#This Row],[Comments]]),"")</f>
        <v/>
      </c>
      <c r="B154" s="90" t="s">
        <v>1061</v>
      </c>
      <c r="C154" s="72" t="s">
        <v>4</v>
      </c>
      <c r="D154" s="73" t="s">
        <v>82</v>
      </c>
      <c r="E154" s="74"/>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4</v>
      </c>
      <c r="K154" s="72"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v>40602</v>
      </c>
      <c r="R154" s="74"/>
      <c r="S154" s="72" t="s">
        <v>6</v>
      </c>
      <c r="T154" s="80" t="s">
        <v>4</v>
      </c>
      <c r="U154" s="72" t="s">
        <v>14</v>
      </c>
      <c r="V154" s="72" t="s">
        <v>1942</v>
      </c>
      <c r="W154" s="72" t="s">
        <v>1936</v>
      </c>
      <c r="X154" s="72" t="s">
        <v>30</v>
      </c>
      <c r="Y154" s="72" t="s">
        <v>3052</v>
      </c>
      <c r="Z154" s="72" t="s">
        <v>4</v>
      </c>
      <c r="AA154" s="147" t="s">
        <v>30</v>
      </c>
    </row>
    <row r="155" spans="1:27" ht="18.600000000000001" customHeight="1">
      <c r="A155" s="140" t="str">
        <f>IF(priority(Main[[#This Row],[Comments]])&lt;&gt;0, priority(Main[[#This Row],[Comments]]),"")</f>
        <v/>
      </c>
      <c r="B155" s="90" t="s">
        <v>2738</v>
      </c>
      <c r="C155" s="72" t="s">
        <v>2739</v>
      </c>
      <c r="D155" s="73" t="s">
        <v>2740</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6</v>
      </c>
      <c r="T155" s="80" t="s">
        <v>4</v>
      </c>
      <c r="U155" s="72" t="s">
        <v>14</v>
      </c>
      <c r="V155" s="72" t="s">
        <v>1935</v>
      </c>
      <c r="W155" s="72" t="s">
        <v>1940</v>
      </c>
      <c r="X155" s="72" t="s">
        <v>894</v>
      </c>
      <c r="Y155" s="72" t="s">
        <v>3053</v>
      </c>
      <c r="Z155" s="72" t="s">
        <v>4</v>
      </c>
      <c r="AA155" s="147" t="s">
        <v>3619</v>
      </c>
    </row>
    <row r="156" spans="1:27" ht="18.600000000000001" customHeight="1">
      <c r="A156" s="140" t="str">
        <f>IF(priority(Main[[#This Row],[Comments]])&lt;&gt;0, priority(Main[[#This Row],[Comments]]),"")</f>
        <v/>
      </c>
      <c r="B156" s="90" t="s">
        <v>1053</v>
      </c>
      <c r="C156" s="72" t="s">
        <v>83</v>
      </c>
      <c r="D156" s="73" t="s">
        <v>84</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81"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v>40259</v>
      </c>
      <c r="R156" s="74"/>
      <c r="S156" s="72" t="s">
        <v>11</v>
      </c>
      <c r="T156" s="80" t="s">
        <v>4</v>
      </c>
      <c r="U156" s="72" t="s">
        <v>14</v>
      </c>
      <c r="V156" s="72" t="s">
        <v>1932</v>
      </c>
      <c r="W156" s="72" t="s">
        <v>1943</v>
      </c>
      <c r="X156" s="72" t="s">
        <v>2908</v>
      </c>
      <c r="Y156" s="72" t="s">
        <v>4</v>
      </c>
      <c r="Z156" s="72" t="s">
        <v>4</v>
      </c>
      <c r="AA156" s="147" t="s">
        <v>2908</v>
      </c>
    </row>
    <row r="157" spans="1:27" ht="18.600000000000001" customHeight="1">
      <c r="A157" s="140" t="str">
        <f>IF(priority(Main[[#This Row],[Comments]])&lt;&gt;0, priority(Main[[#This Row],[Comments]]),"")</f>
        <v/>
      </c>
      <c r="B157" s="90" t="s">
        <v>3423</v>
      </c>
      <c r="C157" s="72" t="s">
        <v>47</v>
      </c>
      <c r="D157" s="73" t="s">
        <v>3524</v>
      </c>
      <c r="E157" s="74">
        <v>40933.456712962965</v>
      </c>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v>40939</v>
      </c>
      <c r="R157" s="74"/>
      <c r="S157" s="72" t="s">
        <v>6</v>
      </c>
      <c r="T157" s="80" t="s">
        <v>4</v>
      </c>
      <c r="U157" s="72" t="s">
        <v>29</v>
      </c>
      <c r="V157" s="72" t="s">
        <v>2312</v>
      </c>
      <c r="W157" s="72" t="s">
        <v>4</v>
      </c>
      <c r="X157" s="72" t="s">
        <v>2956</v>
      </c>
      <c r="Y157" s="72" t="s">
        <v>3105</v>
      </c>
      <c r="Z157" s="72" t="s">
        <v>4</v>
      </c>
      <c r="AA157" s="147" t="s">
        <v>2956</v>
      </c>
    </row>
    <row r="158" spans="1:27" ht="18.600000000000001" customHeight="1">
      <c r="A158" s="140" t="str">
        <f>IF(priority(Main[[#This Row],[Comments]])&lt;&gt;0, priority(Main[[#This Row],[Comments]]),"")</f>
        <v/>
      </c>
      <c r="B158" s="90" t="s">
        <v>1765</v>
      </c>
      <c r="C158" s="72" t="s">
        <v>4</v>
      </c>
      <c r="D158" s="73" t="s">
        <v>2360</v>
      </c>
      <c r="E158" s="74"/>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131</v>
      </c>
      <c r="J158" s="72" t="s">
        <v>70</v>
      </c>
      <c r="K158" s="72" t="s">
        <v>1941</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40786</v>
      </c>
      <c r="R158" s="74"/>
      <c r="S158" s="72" t="s">
        <v>6</v>
      </c>
      <c r="T158" s="80" t="s">
        <v>4</v>
      </c>
      <c r="U158" s="72" t="s">
        <v>14</v>
      </c>
      <c r="V158" s="72" t="s">
        <v>1935</v>
      </c>
      <c r="W158" s="72" t="s">
        <v>1936</v>
      </c>
      <c r="X158" s="72" t="s">
        <v>403</v>
      </c>
      <c r="Y158" s="72" t="s">
        <v>4</v>
      </c>
      <c r="Z158" s="72" t="s">
        <v>44</v>
      </c>
      <c r="AA158" s="147" t="s">
        <v>3620</v>
      </c>
    </row>
    <row r="159" spans="1:27" ht="18.600000000000001" customHeight="1">
      <c r="A159" s="140" t="str">
        <f>IF(priority(Main[[#This Row],[Comments]])&lt;&gt;0, priority(Main[[#This Row],[Comments]]),"")</f>
        <v/>
      </c>
      <c r="B159" s="90" t="s">
        <v>1964</v>
      </c>
      <c r="C159" s="72" t="s">
        <v>4</v>
      </c>
      <c r="D159" s="73" t="s">
        <v>3525</v>
      </c>
      <c r="E159" s="74">
        <v>40721.395208333335</v>
      </c>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2073</v>
      </c>
      <c r="J159" s="72" t="s">
        <v>21</v>
      </c>
      <c r="K159" s="81" t="s">
        <v>1941</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40753</v>
      </c>
      <c r="R159" s="74"/>
      <c r="S159" s="72" t="s">
        <v>6</v>
      </c>
      <c r="T159" s="80" t="s">
        <v>4</v>
      </c>
      <c r="U159" s="72" t="s">
        <v>29</v>
      </c>
      <c r="V159" s="72" t="s">
        <v>1935</v>
      </c>
      <c r="W159" s="72" t="s">
        <v>1936</v>
      </c>
      <c r="X159" s="72" t="s">
        <v>2909</v>
      </c>
      <c r="Y159" s="72" t="s">
        <v>3024</v>
      </c>
      <c r="Z159" s="72" t="s">
        <v>44</v>
      </c>
      <c r="AA159" s="147" t="s">
        <v>2909</v>
      </c>
    </row>
    <row r="160" spans="1:27" ht="18.600000000000001" customHeight="1">
      <c r="A160" s="140" t="str">
        <f>IF(priority(Main[[#This Row],[Comments]])&lt;&gt;0, priority(Main[[#This Row],[Comments]]),"")</f>
        <v/>
      </c>
      <c r="B160" s="90" t="s">
        <v>1051</v>
      </c>
      <c r="C160" s="72" t="s">
        <v>4</v>
      </c>
      <c r="D160" s="73" t="s">
        <v>62</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44</v>
      </c>
      <c r="J160" s="72" t="s">
        <v>28</v>
      </c>
      <c r="K160" s="81" t="s">
        <v>1941</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c r="R160" s="74"/>
      <c r="S160" s="72" t="s">
        <v>23</v>
      </c>
      <c r="T160" s="80" t="s">
        <v>4</v>
      </c>
      <c r="U160" s="72" t="s">
        <v>14</v>
      </c>
      <c r="V160" s="72" t="s">
        <v>1935</v>
      </c>
      <c r="W160" s="72" t="s">
        <v>1934</v>
      </c>
      <c r="X160" s="72" t="s">
        <v>102</v>
      </c>
      <c r="Y160" s="72" t="s">
        <v>4</v>
      </c>
      <c r="Z160" s="72" t="s">
        <v>44</v>
      </c>
      <c r="AA160" s="147" t="s">
        <v>3621</v>
      </c>
    </row>
    <row r="161" spans="1:27" ht="18.600000000000001" customHeight="1">
      <c r="A161" s="140" t="str">
        <f>IF(priority(Main[[#This Row],[Comments]])&lt;&gt;0, priority(Main[[#This Row],[Comments]]),"")</f>
        <v/>
      </c>
      <c r="B161" s="90" t="s">
        <v>1052</v>
      </c>
      <c r="C161" s="72" t="s">
        <v>63</v>
      </c>
      <c r="D161" s="73" t="s">
        <v>64</v>
      </c>
      <c r="E161" s="74"/>
      <c r="F161" s="74">
        <v>40513</v>
      </c>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65</v>
      </c>
      <c r="J161" s="72" t="s">
        <v>28</v>
      </c>
      <c r="K161" s="81" t="s">
        <v>4</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40513</v>
      </c>
      <c r="R161" s="74"/>
      <c r="S161" s="72" t="s">
        <v>11</v>
      </c>
      <c r="T161" s="80" t="s">
        <v>4</v>
      </c>
      <c r="U161" s="72" t="s">
        <v>14</v>
      </c>
      <c r="V161" s="72" t="s">
        <v>1935</v>
      </c>
      <c r="W161" s="72" t="s">
        <v>1937</v>
      </c>
      <c r="X161" s="72" t="s">
        <v>2905</v>
      </c>
      <c r="Y161" s="72" t="s">
        <v>3021</v>
      </c>
      <c r="Z161" s="72" t="s">
        <v>535</v>
      </c>
      <c r="AA161" s="147" t="s">
        <v>2905</v>
      </c>
    </row>
    <row r="162" spans="1:27" ht="18.600000000000001" customHeight="1">
      <c r="A162" s="140" t="str">
        <f>IF(priority(Main[[#This Row],[Comments]])&lt;&gt;0, priority(Main[[#This Row],[Comments]]),"")</f>
        <v/>
      </c>
      <c r="B162" s="90" t="s">
        <v>2071</v>
      </c>
      <c r="C162" s="72" t="s">
        <v>701</v>
      </c>
      <c r="D162" s="73" t="s">
        <v>2072</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40760</v>
      </c>
      <c r="R162" s="74"/>
      <c r="S162" s="72" t="s">
        <v>11</v>
      </c>
      <c r="T162" s="80" t="s">
        <v>4</v>
      </c>
      <c r="U162" s="72" t="s">
        <v>14</v>
      </c>
      <c r="V162" s="72" t="s">
        <v>1933</v>
      </c>
      <c r="W162" s="72" t="s">
        <v>1934</v>
      </c>
      <c r="X162" s="72" t="s">
        <v>2906</v>
      </c>
      <c r="Y162" s="72" t="s">
        <v>4</v>
      </c>
      <c r="Z162" s="72" t="s">
        <v>4</v>
      </c>
      <c r="AA162" s="147" t="s">
        <v>2906</v>
      </c>
    </row>
    <row r="163" spans="1:27" ht="18.600000000000001" customHeight="1">
      <c r="A163" s="140" t="str">
        <f>IF(priority(Main[[#This Row],[Comments]])&lt;&gt;0, priority(Main[[#This Row],[Comments]]),"")</f>
        <v/>
      </c>
      <c r="B163" s="90" t="s">
        <v>1043</v>
      </c>
      <c r="C163" s="72" t="s">
        <v>53</v>
      </c>
      <c r="D163" s="73" t="s">
        <v>54</v>
      </c>
      <c r="E163" s="74"/>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28</v>
      </c>
      <c r="K163" s="72" t="s">
        <v>1945</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v>40626</v>
      </c>
      <c r="R163" s="74"/>
      <c r="S163" s="72" t="s">
        <v>11</v>
      </c>
      <c r="T163" s="80" t="s">
        <v>4</v>
      </c>
      <c r="U163" s="72" t="s">
        <v>14</v>
      </c>
      <c r="V163" s="72" t="s">
        <v>1933</v>
      </c>
      <c r="W163" s="72" t="s">
        <v>1934</v>
      </c>
      <c r="X163" s="72" t="s">
        <v>2906</v>
      </c>
      <c r="Y163" s="72" t="s">
        <v>3022</v>
      </c>
      <c r="Z163" s="72" t="s">
        <v>3257</v>
      </c>
      <c r="AA163" s="147" t="s">
        <v>2906</v>
      </c>
    </row>
    <row r="164" spans="1:27" ht="18.600000000000001" customHeight="1">
      <c r="A164" s="140" t="str">
        <f>IF(priority(Main[[#This Row],[Comments]])&lt;&gt;0, priority(Main[[#This Row],[Comments]]),"")</f>
        <v/>
      </c>
      <c r="B164" s="90" t="s">
        <v>1044</v>
      </c>
      <c r="C164" s="72" t="s">
        <v>4</v>
      </c>
      <c r="D164" s="73" t="s">
        <v>55</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c r="R164" s="74"/>
      <c r="S164" s="72" t="s">
        <v>6</v>
      </c>
      <c r="T164" s="80" t="s">
        <v>4</v>
      </c>
      <c r="U164" s="72" t="s">
        <v>14</v>
      </c>
      <c r="V164" s="72" t="s">
        <v>1935</v>
      </c>
      <c r="W164" s="72" t="s">
        <v>1936</v>
      </c>
      <c r="X164" s="72" t="s">
        <v>310</v>
      </c>
      <c r="Y164" s="72" t="s">
        <v>4</v>
      </c>
      <c r="Z164" s="72" t="s">
        <v>4</v>
      </c>
      <c r="AA164" s="147" t="s">
        <v>4</v>
      </c>
    </row>
    <row r="165" spans="1:27" ht="18.600000000000001" customHeight="1">
      <c r="A165" s="140" t="str">
        <f>IF(priority(Main[[#This Row],[Comments]])&lt;&gt;0, priority(Main[[#This Row],[Comments]]),"")</f>
        <v/>
      </c>
      <c r="B165" s="90" t="s">
        <v>1045</v>
      </c>
      <c r="C165" s="72" t="s">
        <v>4</v>
      </c>
      <c r="D165" s="73" t="s">
        <v>56</v>
      </c>
      <c r="E165" s="74"/>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4</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c r="R165" s="74"/>
      <c r="S165" s="72" t="s">
        <v>49</v>
      </c>
      <c r="T165" s="80" t="s">
        <v>4</v>
      </c>
      <c r="U165" s="72" t="s">
        <v>14</v>
      </c>
      <c r="V165" s="72" t="s">
        <v>1935</v>
      </c>
      <c r="W165" s="72" t="s">
        <v>1936</v>
      </c>
      <c r="X165" s="72" t="s">
        <v>310</v>
      </c>
      <c r="Y165" s="72" t="s">
        <v>4</v>
      </c>
      <c r="Z165" s="72" t="s">
        <v>4</v>
      </c>
      <c r="AA165" s="147" t="s">
        <v>4</v>
      </c>
    </row>
    <row r="166" spans="1:27" ht="18.600000000000001" customHeight="1">
      <c r="A166" s="140" t="str">
        <f>IF(priority(Main[[#This Row],[Comments]])&lt;&gt;0, priority(Main[[#This Row],[Comments]]),"")</f>
        <v/>
      </c>
      <c r="B166" s="90" t="s">
        <v>1046</v>
      </c>
      <c r="C166" s="72" t="s">
        <v>4</v>
      </c>
      <c r="D166" s="73" t="s">
        <v>57</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c r="R166" s="74"/>
      <c r="S166" s="72" t="s">
        <v>49</v>
      </c>
      <c r="T166" s="80" t="s">
        <v>4</v>
      </c>
      <c r="U166" s="72" t="s">
        <v>14</v>
      </c>
      <c r="V166" s="72" t="s">
        <v>1942</v>
      </c>
      <c r="W166" s="72" t="s">
        <v>1936</v>
      </c>
      <c r="X166" s="72" t="s">
        <v>310</v>
      </c>
      <c r="Y166" s="72" t="s">
        <v>4</v>
      </c>
      <c r="Z166" s="72" t="s">
        <v>4</v>
      </c>
      <c r="AA166" s="147" t="s">
        <v>4</v>
      </c>
    </row>
    <row r="167" spans="1:27" ht="18.600000000000001" customHeight="1">
      <c r="A167" s="140" t="str">
        <f>IF(priority(Main[[#This Row],[Comments]])&lt;&gt;0, priority(Main[[#This Row],[Comments]]),"")</f>
        <v/>
      </c>
      <c r="B167" s="90" t="s">
        <v>1047</v>
      </c>
      <c r="C167" s="72" t="s">
        <v>58</v>
      </c>
      <c r="D167" s="73" t="s">
        <v>59</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4</v>
      </c>
      <c r="J167" s="72" t="s">
        <v>4</v>
      </c>
      <c r="K167" s="72" t="s">
        <v>4</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c r="R167" s="74"/>
      <c r="S167" s="72" t="s">
        <v>11</v>
      </c>
      <c r="T167" s="80" t="s">
        <v>4</v>
      </c>
      <c r="U167" s="72" t="s">
        <v>14</v>
      </c>
      <c r="V167" s="72" t="s">
        <v>1933</v>
      </c>
      <c r="W167" s="72" t="s">
        <v>1937</v>
      </c>
      <c r="X167" s="72" t="s">
        <v>2911</v>
      </c>
      <c r="Y167" s="72" t="s">
        <v>3029</v>
      </c>
      <c r="Z167" s="72" t="s">
        <v>4</v>
      </c>
      <c r="AA167" s="147" t="s">
        <v>3622</v>
      </c>
    </row>
    <row r="168" spans="1:27" ht="18.600000000000001" customHeight="1">
      <c r="A168" s="140" t="str">
        <f>IF(priority(Main[[#This Row],[Comments]])&lt;&gt;0, priority(Main[[#This Row],[Comments]]),"")</f>
        <v/>
      </c>
      <c r="B168" s="90" t="s">
        <v>1048</v>
      </c>
      <c r="C168" s="72" t="s">
        <v>4</v>
      </c>
      <c r="D168" s="73" t="s">
        <v>60</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72"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c r="R168" s="74"/>
      <c r="S168" s="72" t="s">
        <v>49</v>
      </c>
      <c r="T168" s="80" t="s">
        <v>4</v>
      </c>
      <c r="U168" s="72" t="s">
        <v>14</v>
      </c>
      <c r="V168" s="72" t="s">
        <v>1933</v>
      </c>
      <c r="W168" s="72" t="s">
        <v>1936</v>
      </c>
      <c r="X168" s="72" t="s">
        <v>310</v>
      </c>
      <c r="Y168" s="72" t="s">
        <v>4</v>
      </c>
      <c r="Z168" s="72" t="s">
        <v>4</v>
      </c>
      <c r="AA168" s="147" t="s">
        <v>4</v>
      </c>
    </row>
    <row r="169" spans="1:27" ht="18.600000000000001" customHeight="1">
      <c r="A169" s="140" t="str">
        <f>IF(priority(Main[[#This Row],[Comments]])&lt;&gt;0, priority(Main[[#This Row],[Comments]]),"")</f>
        <v/>
      </c>
      <c r="B169" s="90" t="s">
        <v>2351</v>
      </c>
      <c r="C169" s="72" t="s">
        <v>4</v>
      </c>
      <c r="D169" s="73" t="s">
        <v>2352</v>
      </c>
      <c r="E169" s="74">
        <v>40841.712557870371</v>
      </c>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923</v>
      </c>
      <c r="J169" s="72" t="s">
        <v>52</v>
      </c>
      <c r="K169" s="81"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40856</v>
      </c>
      <c r="R169" s="74"/>
      <c r="S169" s="72" t="s">
        <v>6</v>
      </c>
      <c r="T169" s="80" t="s">
        <v>4</v>
      </c>
      <c r="U169" s="72" t="s">
        <v>29</v>
      </c>
      <c r="V169" s="72" t="s">
        <v>1932</v>
      </c>
      <c r="W169" s="72" t="s">
        <v>1940</v>
      </c>
      <c r="X169" s="72" t="s">
        <v>2912</v>
      </c>
      <c r="Y169" s="72" t="s">
        <v>3031</v>
      </c>
      <c r="Z169" s="72" t="s">
        <v>129</v>
      </c>
      <c r="AA169" s="147" t="s">
        <v>2912</v>
      </c>
    </row>
    <row r="170" spans="1:27" ht="18.600000000000001" customHeight="1">
      <c r="A170" s="140" t="str">
        <f>IF(priority(Main[[#This Row],[Comments]])&lt;&gt;0, priority(Main[[#This Row],[Comments]]),"")</f>
        <v/>
      </c>
      <c r="B170" s="90" t="s">
        <v>1050</v>
      </c>
      <c r="C170" s="72" t="s">
        <v>4</v>
      </c>
      <c r="D170" s="73" t="s">
        <v>61</v>
      </c>
      <c r="E170" s="74"/>
      <c r="F170" s="74"/>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40564</v>
      </c>
      <c r="R170" s="74"/>
      <c r="S170" s="72" t="s">
        <v>23</v>
      </c>
      <c r="T170" s="80" t="s">
        <v>4</v>
      </c>
      <c r="U170" s="72" t="s">
        <v>12</v>
      </c>
      <c r="V170" s="72" t="s">
        <v>1935</v>
      </c>
      <c r="W170" s="72" t="s">
        <v>1936</v>
      </c>
      <c r="X170" s="72" t="s">
        <v>422</v>
      </c>
      <c r="Y170" s="72" t="s">
        <v>3032</v>
      </c>
      <c r="Z170" s="72" t="s">
        <v>4</v>
      </c>
      <c r="AA170" s="147" t="s">
        <v>3623</v>
      </c>
    </row>
    <row r="171" spans="1:27" ht="18.600000000000001" customHeight="1">
      <c r="A171" s="140" t="str">
        <f>IF(priority(Main[[#This Row],[Comments]])&lt;&gt;0, priority(Main[[#This Row],[Comments]]),"")</f>
        <v/>
      </c>
      <c r="B171" s="90" t="s">
        <v>1054</v>
      </c>
      <c r="C171" s="72" t="s">
        <v>53</v>
      </c>
      <c r="D171" s="73" t="s">
        <v>66</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v>40667</v>
      </c>
      <c r="R171" s="74"/>
      <c r="S171" s="72" t="s">
        <v>11</v>
      </c>
      <c r="T171" s="80" t="s">
        <v>4</v>
      </c>
      <c r="U171" s="72" t="s">
        <v>14</v>
      </c>
      <c r="V171" s="72" t="s">
        <v>1933</v>
      </c>
      <c r="W171" s="72" t="s">
        <v>1934</v>
      </c>
      <c r="X171" s="72" t="s">
        <v>2906</v>
      </c>
      <c r="Y171" s="72" t="s">
        <v>4</v>
      </c>
      <c r="Z171" s="72" t="s">
        <v>4</v>
      </c>
      <c r="AA171" s="147" t="s">
        <v>2906</v>
      </c>
    </row>
    <row r="172" spans="1:27" ht="18.600000000000001" customHeight="1">
      <c r="A172" s="140" t="str">
        <f>IF(priority(Main[[#This Row],[Comments]])&lt;&gt;0, priority(Main[[#This Row],[Comments]]),"")</f>
        <v/>
      </c>
      <c r="B172" s="90" t="s">
        <v>2049</v>
      </c>
      <c r="C172" s="72" t="s">
        <v>4</v>
      </c>
      <c r="D172" s="73" t="s">
        <v>2050</v>
      </c>
      <c r="E172" s="74">
        <v>40749.684224537035</v>
      </c>
      <c r="F172" s="74"/>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72"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40781</v>
      </c>
      <c r="R172" s="74"/>
      <c r="S172" s="72" t="s">
        <v>6</v>
      </c>
      <c r="T172" s="80" t="s">
        <v>4</v>
      </c>
      <c r="U172" s="72" t="s">
        <v>7</v>
      </c>
      <c r="V172" s="72" t="s">
        <v>1932</v>
      </c>
      <c r="W172" s="72" t="s">
        <v>4</v>
      </c>
      <c r="X172" s="72" t="s">
        <v>2910</v>
      </c>
      <c r="Y172" s="72" t="s">
        <v>3027</v>
      </c>
      <c r="Z172" s="72" t="s">
        <v>4</v>
      </c>
      <c r="AA172" s="147" t="s">
        <v>2910</v>
      </c>
    </row>
    <row r="173" spans="1:27" ht="18.600000000000001" customHeight="1">
      <c r="A173" s="140" t="str">
        <f>IF(priority(Main[[#This Row],[Comments]])&lt;&gt;0, priority(Main[[#This Row],[Comments]]),"")</f>
        <v/>
      </c>
      <c r="B173" s="90" t="s">
        <v>1065</v>
      </c>
      <c r="C173" s="72" t="s">
        <v>4</v>
      </c>
      <c r="D173" s="73" t="s">
        <v>85</v>
      </c>
      <c r="E173" s="74"/>
      <c r="F173" s="74"/>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c r="R173" s="74"/>
      <c r="S173" s="72" t="s">
        <v>6</v>
      </c>
      <c r="T173" s="80" t="s">
        <v>4</v>
      </c>
      <c r="U173" s="72" t="s">
        <v>14</v>
      </c>
      <c r="V173" s="72" t="s">
        <v>1933</v>
      </c>
      <c r="W173" s="72" t="s">
        <v>1936</v>
      </c>
      <c r="X173" s="72" t="s">
        <v>403</v>
      </c>
      <c r="Y173" s="72" t="s">
        <v>4</v>
      </c>
      <c r="Z173" s="72" t="s">
        <v>4</v>
      </c>
      <c r="AA173" s="147" t="s">
        <v>3624</v>
      </c>
    </row>
    <row r="174" spans="1:27" ht="18.600000000000001" customHeight="1">
      <c r="A174" s="140" t="str">
        <f>IF(priority(Main[[#This Row],[Comments]])&lt;&gt;0, priority(Main[[#This Row],[Comments]]),"")</f>
        <v/>
      </c>
      <c r="B174" s="90" t="s">
        <v>1564</v>
      </c>
      <c r="C174" s="72" t="s">
        <v>4</v>
      </c>
      <c r="D174" s="73" t="s">
        <v>2744</v>
      </c>
      <c r="E174" s="74">
        <v>40718.447500000002</v>
      </c>
      <c r="F174" s="74"/>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535</v>
      </c>
      <c r="J174" s="72" t="s">
        <v>52</v>
      </c>
      <c r="K174" s="72" t="s">
        <v>1941</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40786</v>
      </c>
      <c r="R174" s="74"/>
      <c r="S174" s="72" t="s">
        <v>6</v>
      </c>
      <c r="T174" s="80" t="s">
        <v>4</v>
      </c>
      <c r="U174" s="72" t="s">
        <v>29</v>
      </c>
      <c r="V174" s="72" t="s">
        <v>1935</v>
      </c>
      <c r="W174" s="72" t="s">
        <v>1936</v>
      </c>
      <c r="X174" s="72" t="s">
        <v>310</v>
      </c>
      <c r="Y174" s="72" t="s">
        <v>3036</v>
      </c>
      <c r="Z174" s="72" t="s">
        <v>30</v>
      </c>
      <c r="AA174" s="147" t="s">
        <v>310</v>
      </c>
    </row>
    <row r="175" spans="1:27" ht="18.600000000000001" customHeight="1">
      <c r="A175" s="140" t="str">
        <f>IF(priority(Main[[#This Row],[Comments]])&lt;&gt;0, priority(Main[[#This Row],[Comments]]),"")</f>
        <v/>
      </c>
      <c r="B175" s="90" t="s">
        <v>1068</v>
      </c>
      <c r="C175" s="72" t="s">
        <v>4</v>
      </c>
      <c r="D175" s="73" t="s">
        <v>39</v>
      </c>
      <c r="E175" s="74"/>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v>40669</v>
      </c>
      <c r="R175" s="74"/>
      <c r="S175" s="72" t="s">
        <v>6</v>
      </c>
      <c r="T175" s="80" t="s">
        <v>4</v>
      </c>
      <c r="U175" s="72" t="s">
        <v>14</v>
      </c>
      <c r="V175" s="72" t="s">
        <v>1935</v>
      </c>
      <c r="W175" s="72" t="s">
        <v>4</v>
      </c>
      <c r="X175" s="72" t="s">
        <v>2909</v>
      </c>
      <c r="Y175" s="72" t="s">
        <v>3024</v>
      </c>
      <c r="Z175" s="72" t="s">
        <v>4</v>
      </c>
      <c r="AA175" s="147" t="s">
        <v>2909</v>
      </c>
    </row>
    <row r="176" spans="1:27" ht="18.600000000000001" customHeight="1">
      <c r="A176" s="140" t="str">
        <f>IF(priority(Main[[#This Row],[Comments]])&lt;&gt;0, priority(Main[[#This Row],[Comments]]),"")</f>
        <v/>
      </c>
      <c r="B176" s="90" t="s">
        <v>1069</v>
      </c>
      <c r="C176" s="72" t="s">
        <v>47</v>
      </c>
      <c r="D176" s="73" t="s">
        <v>91</v>
      </c>
      <c r="E176" s="74"/>
      <c r="F176" s="74"/>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4</v>
      </c>
      <c r="J176" s="72" t="s">
        <v>4</v>
      </c>
      <c r="K176" s="72" t="s">
        <v>4</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c r="R176" s="74"/>
      <c r="S176" s="72" t="s">
        <v>49</v>
      </c>
      <c r="T176" s="80" t="s">
        <v>4</v>
      </c>
      <c r="U176" s="72" t="s">
        <v>14</v>
      </c>
      <c r="V176" s="72" t="s">
        <v>1935</v>
      </c>
      <c r="W176" s="72" t="s">
        <v>1936</v>
      </c>
      <c r="X176" s="72" t="s">
        <v>310</v>
      </c>
      <c r="Y176" s="72" t="s">
        <v>3036</v>
      </c>
      <c r="Z176" s="72" t="s">
        <v>4</v>
      </c>
      <c r="AA176" s="147" t="s">
        <v>3618</v>
      </c>
    </row>
    <row r="177" spans="1:27" ht="18.600000000000001" customHeight="1">
      <c r="A177" s="140" t="str">
        <f>IF(priority(Main[[#This Row],[Comments]])&lt;&gt;0, priority(Main[[#This Row],[Comments]]),"")</f>
        <v/>
      </c>
      <c r="B177" s="90" t="s">
        <v>1070</v>
      </c>
      <c r="C177" s="72" t="s">
        <v>4</v>
      </c>
      <c r="D177" s="73" t="s">
        <v>92</v>
      </c>
      <c r="E177" s="74"/>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72"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v>40289</v>
      </c>
      <c r="R177" s="74"/>
      <c r="S177" s="72" t="s">
        <v>11</v>
      </c>
      <c r="T177" s="80" t="s">
        <v>4</v>
      </c>
      <c r="U177" s="72" t="s">
        <v>14</v>
      </c>
      <c r="V177" s="72" t="s">
        <v>1932</v>
      </c>
      <c r="W177" s="72" t="s">
        <v>1934</v>
      </c>
      <c r="X177" s="72" t="s">
        <v>2912</v>
      </c>
      <c r="Y177" s="72" t="s">
        <v>3031</v>
      </c>
      <c r="Z177" s="72" t="s">
        <v>4</v>
      </c>
      <c r="AA177" s="147" t="s">
        <v>2912</v>
      </c>
    </row>
    <row r="178" spans="1:27" ht="18.600000000000001" customHeight="1">
      <c r="A178" s="140" t="str">
        <f>IF(priority(Main[[#This Row],[Comments]])&lt;&gt;0, priority(Main[[#This Row],[Comments]]),"")</f>
        <v/>
      </c>
      <c r="B178" s="90" t="s">
        <v>1071</v>
      </c>
      <c r="C178" s="72" t="s">
        <v>95</v>
      </c>
      <c r="D178" s="73" t="s">
        <v>96</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4</v>
      </c>
      <c r="J178" s="72" t="s">
        <v>4</v>
      </c>
      <c r="K178" s="72" t="s">
        <v>4</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v>40302</v>
      </c>
      <c r="R178" s="74"/>
      <c r="S178" s="72" t="s">
        <v>6</v>
      </c>
      <c r="T178" s="80" t="s">
        <v>4</v>
      </c>
      <c r="U178" s="72" t="s">
        <v>14</v>
      </c>
      <c r="V178" s="72" t="s">
        <v>1932</v>
      </c>
      <c r="W178" s="72" t="s">
        <v>1938</v>
      </c>
      <c r="X178" s="72" t="s">
        <v>129</v>
      </c>
      <c r="Y178" s="72" t="s">
        <v>4</v>
      </c>
      <c r="Z178" s="72" t="s">
        <v>4</v>
      </c>
      <c r="AA178" s="147" t="s">
        <v>894</v>
      </c>
    </row>
    <row r="179" spans="1:27" ht="18.600000000000001" customHeight="1">
      <c r="A179" s="140" t="str">
        <f>IF(priority(Main[[#This Row],[Comments]])&lt;&gt;0, priority(Main[[#This Row],[Comments]]),"")</f>
        <v/>
      </c>
      <c r="B179" s="90" t="s">
        <v>1072</v>
      </c>
      <c r="C179" s="72" t="s">
        <v>4</v>
      </c>
      <c r="D179" s="73" t="s">
        <v>105</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44</v>
      </c>
      <c r="J179" s="72" t="s">
        <v>28</v>
      </c>
      <c r="K179" s="81" t="s">
        <v>1941</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40725</v>
      </c>
      <c r="R179" s="74"/>
      <c r="S179" s="72" t="s">
        <v>6</v>
      </c>
      <c r="T179" s="80" t="s">
        <v>4</v>
      </c>
      <c r="U179" s="72" t="s">
        <v>14</v>
      </c>
      <c r="V179" s="72" t="s">
        <v>1935</v>
      </c>
      <c r="W179" s="72" t="s">
        <v>1936</v>
      </c>
      <c r="X179" s="72" t="s">
        <v>2910</v>
      </c>
      <c r="Y179" s="72" t="s">
        <v>3027</v>
      </c>
      <c r="Z179" s="72" t="s">
        <v>44</v>
      </c>
      <c r="AA179" s="147" t="s">
        <v>2910</v>
      </c>
    </row>
    <row r="180" spans="1:27" ht="18.600000000000001" customHeight="1">
      <c r="A180" s="140" t="str">
        <f>IF(priority(Main[[#This Row],[Comments]])&lt;&gt;0, priority(Main[[#This Row],[Comments]]),"")</f>
        <v/>
      </c>
      <c r="B180" s="90" t="s">
        <v>1073</v>
      </c>
      <c r="C180" s="72" t="s">
        <v>106</v>
      </c>
      <c r="D180" s="73" t="s">
        <v>107</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108</v>
      </c>
      <c r="J180" s="72" t="s">
        <v>28</v>
      </c>
      <c r="K180" s="72" t="s">
        <v>1945</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v>40626</v>
      </c>
      <c r="R180" s="74"/>
      <c r="S180" s="72" t="s">
        <v>11</v>
      </c>
      <c r="T180" s="80" t="s">
        <v>4</v>
      </c>
      <c r="U180" s="72" t="s">
        <v>14</v>
      </c>
      <c r="V180" s="72" t="s">
        <v>1933</v>
      </c>
      <c r="W180" s="72" t="s">
        <v>1934</v>
      </c>
      <c r="X180" s="72" t="s">
        <v>2906</v>
      </c>
      <c r="Y180" s="72" t="s">
        <v>3022</v>
      </c>
      <c r="Z180" s="72" t="s">
        <v>108</v>
      </c>
      <c r="AA180" s="147" t="s">
        <v>2906</v>
      </c>
    </row>
    <row r="181" spans="1:27" ht="18.600000000000001" customHeight="1">
      <c r="A181" s="140" t="str">
        <f>IF(priority(Main[[#This Row],[Comments]])&lt;&gt;0, priority(Main[[#This Row],[Comments]]),"")</f>
        <v/>
      </c>
      <c r="B181" s="90" t="s">
        <v>1080</v>
      </c>
      <c r="C181" s="72" t="s">
        <v>31</v>
      </c>
      <c r="D181" s="73" t="s">
        <v>109</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4</v>
      </c>
      <c r="J181" s="72" t="s">
        <v>4</v>
      </c>
      <c r="K181" s="81" t="s">
        <v>4</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v>40318</v>
      </c>
      <c r="R181" s="74"/>
      <c r="S181" s="72" t="s">
        <v>11</v>
      </c>
      <c r="T181" s="80" t="s">
        <v>4</v>
      </c>
      <c r="U181" s="72" t="s">
        <v>14</v>
      </c>
      <c r="V181" s="72" t="s">
        <v>1935</v>
      </c>
      <c r="W181" s="72" t="s">
        <v>1934</v>
      </c>
      <c r="X181" s="72" t="s">
        <v>2921</v>
      </c>
      <c r="Y181" s="72" t="s">
        <v>4</v>
      </c>
      <c r="Z181" s="72" t="s">
        <v>4</v>
      </c>
      <c r="AA181" s="147" t="s">
        <v>2921</v>
      </c>
    </row>
    <row r="182" spans="1:27" ht="18.600000000000001" customHeight="1">
      <c r="A182" s="140" t="str">
        <f>IF(priority(Main[[#This Row],[Comments]])&lt;&gt;0, priority(Main[[#This Row],[Comments]]),"")</f>
        <v/>
      </c>
      <c r="B182" s="90" t="s">
        <v>2064</v>
      </c>
      <c r="C182" s="72" t="s">
        <v>4</v>
      </c>
      <c r="D182" s="73" t="s">
        <v>2063</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4</v>
      </c>
      <c r="K182" s="72" t="s">
        <v>4</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6</v>
      </c>
      <c r="T182" s="80" t="s">
        <v>4</v>
      </c>
      <c r="U182" s="72" t="s">
        <v>14</v>
      </c>
      <c r="V182" s="72" t="s">
        <v>1933</v>
      </c>
      <c r="W182" s="72" t="s">
        <v>1936</v>
      </c>
      <c r="X182" s="72" t="s">
        <v>310</v>
      </c>
      <c r="Y182" s="72" t="s">
        <v>4</v>
      </c>
      <c r="Z182" s="72" t="s">
        <v>4</v>
      </c>
      <c r="AA182" s="147" t="s">
        <v>4</v>
      </c>
    </row>
    <row r="183" spans="1:27" ht="18.600000000000001" customHeight="1">
      <c r="A183" s="140" t="str">
        <f>IF(priority(Main[[#This Row],[Comments]])&lt;&gt;0, priority(Main[[#This Row],[Comments]]),"")</f>
        <v/>
      </c>
      <c r="B183" s="90" t="s">
        <v>1081</v>
      </c>
      <c r="C183" s="72" t="s">
        <v>19</v>
      </c>
      <c r="D183" s="73" t="s">
        <v>110</v>
      </c>
      <c r="E183" s="74"/>
      <c r="F183" s="74">
        <v>40548</v>
      </c>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v>
      </c>
      <c r="J183" s="72" t="s">
        <v>4</v>
      </c>
      <c r="K183" s="81" t="s">
        <v>4</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40415</v>
      </c>
      <c r="R183" s="74"/>
      <c r="S183" s="72" t="s">
        <v>17</v>
      </c>
      <c r="T183" s="80" t="s">
        <v>4</v>
      </c>
      <c r="U183" s="72" t="s">
        <v>12</v>
      </c>
      <c r="V183" s="72" t="s">
        <v>1935</v>
      </c>
      <c r="W183" s="72" t="s">
        <v>1940</v>
      </c>
      <c r="X183" s="72" t="s">
        <v>2924</v>
      </c>
      <c r="Y183" s="72" t="s">
        <v>3034</v>
      </c>
      <c r="Z183" s="72" t="s">
        <v>4</v>
      </c>
      <c r="AA183" s="147" t="s">
        <v>2924</v>
      </c>
    </row>
    <row r="184" spans="1:27" ht="18.600000000000001" customHeight="1">
      <c r="A184" s="140" t="str">
        <f>IF(priority(Main[[#This Row],[Comments]])&lt;&gt;0, priority(Main[[#This Row],[Comments]]),"")</f>
        <v/>
      </c>
      <c r="B184" s="90" t="s">
        <v>1074</v>
      </c>
      <c r="C184" s="72" t="s">
        <v>4</v>
      </c>
      <c r="D184" s="73" t="s">
        <v>97</v>
      </c>
      <c r="E184" s="74"/>
      <c r="F184" s="74"/>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v>
      </c>
      <c r="J184" s="72" t="s">
        <v>4</v>
      </c>
      <c r="K184" s="72" t="s">
        <v>4</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v>40858</v>
      </c>
      <c r="R184" s="74"/>
      <c r="S184" s="72" t="s">
        <v>17</v>
      </c>
      <c r="T184" s="80" t="s">
        <v>4</v>
      </c>
      <c r="U184" s="72" t="s">
        <v>14</v>
      </c>
      <c r="V184" s="72" t="s">
        <v>1932</v>
      </c>
      <c r="W184" s="72" t="s">
        <v>1937</v>
      </c>
      <c r="X184" s="72" t="s">
        <v>50</v>
      </c>
      <c r="Y184" s="72" t="s">
        <v>3054</v>
      </c>
      <c r="Z184" s="72" t="s">
        <v>4</v>
      </c>
      <c r="AA184" s="147" t="s">
        <v>2919</v>
      </c>
    </row>
    <row r="185" spans="1:27" ht="18.600000000000001" customHeight="1">
      <c r="A185" s="140" t="str">
        <f>IF(priority(Main[[#This Row],[Comments]])&lt;&gt;0, priority(Main[[#This Row],[Comments]]),"")</f>
        <v/>
      </c>
      <c r="B185" s="90" t="s">
        <v>1075</v>
      </c>
      <c r="C185" s="72" t="s">
        <v>4</v>
      </c>
      <c r="D185" s="73" t="s">
        <v>98</v>
      </c>
      <c r="E185" s="74">
        <v>40373.607708333337</v>
      </c>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4</v>
      </c>
      <c r="J185" s="72" t="s">
        <v>4</v>
      </c>
      <c r="K185" s="72" t="s">
        <v>4</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v>40382</v>
      </c>
      <c r="R185" s="74"/>
      <c r="S185" s="72" t="s">
        <v>6</v>
      </c>
      <c r="T185" s="80" t="s">
        <v>4</v>
      </c>
      <c r="U185" s="72" t="s">
        <v>7</v>
      </c>
      <c r="V185" s="72" t="s">
        <v>1932</v>
      </c>
      <c r="W185" s="72" t="s">
        <v>1936</v>
      </c>
      <c r="X185" s="72" t="s">
        <v>403</v>
      </c>
      <c r="Y185" s="72" t="s">
        <v>4</v>
      </c>
      <c r="Z185" s="72" t="s">
        <v>4</v>
      </c>
      <c r="AA185" s="147" t="s">
        <v>3625</v>
      </c>
    </row>
    <row r="186" spans="1:27" ht="18.600000000000001" customHeight="1">
      <c r="A186" s="140" t="str">
        <f>IF(priority(Main[[#This Row],[Comments]])&lt;&gt;0, priority(Main[[#This Row],[Comments]]),"")</f>
        <v/>
      </c>
      <c r="B186" s="90" t="s">
        <v>1076</v>
      </c>
      <c r="C186" s="72" t="s">
        <v>99</v>
      </c>
      <c r="D186" s="73" t="s">
        <v>100</v>
      </c>
      <c r="E186" s="74"/>
      <c r="F186" s="74"/>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4</v>
      </c>
      <c r="J186" s="72" t="s">
        <v>4</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c r="R186" s="74"/>
      <c r="S186" s="72" t="s">
        <v>49</v>
      </c>
      <c r="T186" s="80" t="s">
        <v>4</v>
      </c>
      <c r="U186" s="72" t="s">
        <v>12</v>
      </c>
      <c r="V186" s="72" t="s">
        <v>1933</v>
      </c>
      <c r="W186" s="72" t="s">
        <v>1934</v>
      </c>
      <c r="X186" s="72" t="s">
        <v>2925</v>
      </c>
      <c r="Y186" s="72" t="s">
        <v>3055</v>
      </c>
      <c r="Z186" s="72" t="s">
        <v>4</v>
      </c>
      <c r="AA186" s="147" t="s">
        <v>3626</v>
      </c>
    </row>
    <row r="187" spans="1:27" ht="18.600000000000001" customHeight="1">
      <c r="A187" s="140" t="str">
        <f>IF(priority(Main[[#This Row],[Comments]])&lt;&gt;0, priority(Main[[#This Row],[Comments]]),"")</f>
        <v/>
      </c>
      <c r="B187" s="90" t="s">
        <v>1077</v>
      </c>
      <c r="C187" s="72" t="s">
        <v>67</v>
      </c>
      <c r="D187" s="73" t="s">
        <v>101</v>
      </c>
      <c r="E187" s="74"/>
      <c r="F187" s="74">
        <v>40664</v>
      </c>
      <c r="G187" s="75" t="str">
        <f>IF(stdProdLT(Main[[#This Row],[Comments]])=0.1,"N/A",IF(stdProdLT(Main[[#This Row],[Comments]])=0,"",stdProdLT(Main[[#This Row],[Comments]])))</f>
        <v/>
      </c>
      <c r="H187" s="76" t="str">
        <f>IF(AND(Main[[#This Row],[In Stock Date]]&lt;&gt;"",Main[[#This Row],[Revised Due Date]]&lt;&gt;""),Main[[#This Row],[In Stock Date]]-Main[[#This Row],[Revised Due Date]],"")</f>
        <v/>
      </c>
      <c r="I187" s="72" t="s">
        <v>102</v>
      </c>
      <c r="J187" s="72" t="s">
        <v>51</v>
      </c>
      <c r="K187" s="72" t="s">
        <v>1941</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v>40585</v>
      </c>
      <c r="R187" s="74"/>
      <c r="S187" s="72" t="s">
        <v>11</v>
      </c>
      <c r="T187" s="80" t="s">
        <v>4</v>
      </c>
      <c r="U187" s="72" t="s">
        <v>14</v>
      </c>
      <c r="V187" s="72" t="s">
        <v>1932</v>
      </c>
      <c r="W187" s="72" t="s">
        <v>1938</v>
      </c>
      <c r="X187" s="72" t="s">
        <v>50</v>
      </c>
      <c r="Y187" s="72" t="s">
        <v>3056</v>
      </c>
      <c r="Z187" s="72" t="s">
        <v>129</v>
      </c>
      <c r="AA187" s="147" t="s">
        <v>50</v>
      </c>
    </row>
    <row r="188" spans="1:27" ht="18.600000000000001" customHeight="1">
      <c r="A188" s="140" t="str">
        <f>IF(priority(Main[[#This Row],[Comments]])&lt;&gt;0, priority(Main[[#This Row],[Comments]]),"")</f>
        <v/>
      </c>
      <c r="B188" s="90" t="s">
        <v>2484</v>
      </c>
      <c r="C188" s="72" t="s">
        <v>4</v>
      </c>
      <c r="D188" s="73" t="s">
        <v>2745</v>
      </c>
      <c r="E188" s="74">
        <v>40869.337650462963</v>
      </c>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c r="R188" s="74"/>
      <c r="S188" s="72" t="s">
        <v>6</v>
      </c>
      <c r="T188" s="80" t="s">
        <v>2746</v>
      </c>
      <c r="U188" s="72" t="s">
        <v>29</v>
      </c>
      <c r="V188" s="72" t="s">
        <v>1932</v>
      </c>
      <c r="W188" s="72" t="s">
        <v>1936</v>
      </c>
      <c r="X188" s="72" t="s">
        <v>102</v>
      </c>
      <c r="Y188" s="72" t="s">
        <v>3057</v>
      </c>
      <c r="Z188" s="72" t="s">
        <v>4</v>
      </c>
      <c r="AA188" s="147" t="s">
        <v>3627</v>
      </c>
    </row>
    <row r="189" spans="1:27" ht="18.600000000000001" customHeight="1">
      <c r="A189" s="140" t="str">
        <f>IF(priority(Main[[#This Row],[Comments]])&lt;&gt;0, priority(Main[[#This Row],[Comments]]),"")</f>
        <v/>
      </c>
      <c r="B189" s="90" t="s">
        <v>1079</v>
      </c>
      <c r="C189" s="72" t="s">
        <v>31</v>
      </c>
      <c r="D189" s="73" t="s">
        <v>104</v>
      </c>
      <c r="E189" s="74"/>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40318</v>
      </c>
      <c r="R189" s="74"/>
      <c r="S189" s="72" t="s">
        <v>11</v>
      </c>
      <c r="T189" s="80" t="s">
        <v>4</v>
      </c>
      <c r="U189" s="72" t="s">
        <v>14</v>
      </c>
      <c r="V189" s="72" t="s">
        <v>1942</v>
      </c>
      <c r="W189" s="72" t="s">
        <v>1934</v>
      </c>
      <c r="X189" s="72" t="s">
        <v>2921</v>
      </c>
      <c r="Y189" s="72" t="s">
        <v>4</v>
      </c>
      <c r="Z189" s="72" t="s">
        <v>4</v>
      </c>
      <c r="AA189" s="147" t="s">
        <v>2921</v>
      </c>
    </row>
    <row r="190" spans="1:27" ht="18.600000000000001" customHeight="1">
      <c r="A190" s="140" t="str">
        <f>IF(priority(Main[[#This Row],[Comments]])&lt;&gt;0, priority(Main[[#This Row],[Comments]]),"")</f>
        <v/>
      </c>
      <c r="B190" s="90" t="s">
        <v>2749</v>
      </c>
      <c r="C190" s="72" t="s">
        <v>2750</v>
      </c>
      <c r="D190" s="73" t="s">
        <v>2751</v>
      </c>
      <c r="E190" s="74"/>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4</v>
      </c>
      <c r="J190" s="72" t="s">
        <v>4</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40921</v>
      </c>
      <c r="R190" s="74"/>
      <c r="S190" s="72" t="s">
        <v>11</v>
      </c>
      <c r="T190" s="80" t="s">
        <v>4</v>
      </c>
      <c r="U190" s="72" t="s">
        <v>12</v>
      </c>
      <c r="V190" s="72" t="s">
        <v>1933</v>
      </c>
      <c r="W190" s="72" t="s">
        <v>1934</v>
      </c>
      <c r="X190" s="72" t="s">
        <v>2906</v>
      </c>
      <c r="Y190" s="72" t="s">
        <v>4</v>
      </c>
      <c r="Z190" s="72" t="s">
        <v>4</v>
      </c>
      <c r="AA190" s="147" t="s">
        <v>2906</v>
      </c>
    </row>
    <row r="191" spans="1:27" ht="18.600000000000001" customHeight="1">
      <c r="A191" s="140" t="str">
        <f>IF(priority(Main[[#This Row],[Comments]])&lt;&gt;0, priority(Main[[#This Row],[Comments]]),"")</f>
        <v/>
      </c>
      <c r="B191" s="90" t="s">
        <v>2598</v>
      </c>
      <c r="C191" s="72" t="s">
        <v>4</v>
      </c>
      <c r="D191" s="73" t="s">
        <v>2599</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30</v>
      </c>
      <c r="J191" s="72" t="s">
        <v>21</v>
      </c>
      <c r="K191" s="81"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c r="R191" s="74"/>
      <c r="S191" s="72" t="s">
        <v>6</v>
      </c>
      <c r="T191" s="80" t="s">
        <v>4</v>
      </c>
      <c r="U191" s="72" t="s">
        <v>14</v>
      </c>
      <c r="V191" s="72" t="s">
        <v>1935</v>
      </c>
      <c r="W191" s="72" t="s">
        <v>1934</v>
      </c>
      <c r="X191" s="72" t="s">
        <v>310</v>
      </c>
      <c r="Y191" s="72" t="s">
        <v>4</v>
      </c>
      <c r="Z191" s="72" t="s">
        <v>30</v>
      </c>
      <c r="AA191" s="147" t="s">
        <v>3628</v>
      </c>
    </row>
    <row r="192" spans="1:27" ht="18.600000000000001" customHeight="1">
      <c r="A192" s="140" t="str">
        <f>IF(priority(Main[[#This Row],[Comments]])&lt;&gt;0, priority(Main[[#This Row],[Comments]]),"")</f>
        <v/>
      </c>
      <c r="B192" s="90" t="s">
        <v>1082</v>
      </c>
      <c r="C192" s="72" t="s">
        <v>4</v>
      </c>
      <c r="D192" s="73" t="s">
        <v>111</v>
      </c>
      <c r="E192" s="74"/>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310</v>
      </c>
      <c r="J192" s="72" t="s">
        <v>75</v>
      </c>
      <c r="K192" s="72" t="s">
        <v>1941</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v>40336</v>
      </c>
      <c r="R192" s="74"/>
      <c r="S192" s="72" t="s">
        <v>6</v>
      </c>
      <c r="T192" s="80" t="s">
        <v>4</v>
      </c>
      <c r="U192" s="72" t="s">
        <v>14</v>
      </c>
      <c r="V192" s="72" t="s">
        <v>1935</v>
      </c>
      <c r="W192" s="72" t="s">
        <v>1934</v>
      </c>
      <c r="X192" s="72" t="s">
        <v>894</v>
      </c>
      <c r="Y192" s="72" t="s">
        <v>3058</v>
      </c>
      <c r="Z192" s="72" t="s">
        <v>30</v>
      </c>
      <c r="AA192" s="147" t="s">
        <v>894</v>
      </c>
    </row>
    <row r="193" spans="1:27" ht="18.600000000000001" customHeight="1">
      <c r="A193" s="140" t="str">
        <f>IF(priority(Main[[#This Row],[Comments]])&lt;&gt;0, priority(Main[[#This Row],[Comments]]),"")</f>
        <v/>
      </c>
      <c r="B193" s="90" t="s">
        <v>2182</v>
      </c>
      <c r="C193" s="72" t="s">
        <v>2183</v>
      </c>
      <c r="D193" s="73" t="s">
        <v>2184</v>
      </c>
      <c r="E193" s="74"/>
      <c r="F193" s="74">
        <v>40920</v>
      </c>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28</v>
      </c>
      <c r="K193" s="81" t="s">
        <v>1941</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c r="S193" s="72" t="s">
        <v>11</v>
      </c>
      <c r="T193" s="80" t="s">
        <v>4</v>
      </c>
      <c r="U193" s="72" t="s">
        <v>14</v>
      </c>
      <c r="V193" s="72" t="s">
        <v>1935</v>
      </c>
      <c r="W193" s="72" t="s">
        <v>1940</v>
      </c>
      <c r="X193" s="72" t="s">
        <v>50</v>
      </c>
      <c r="Y193" s="72" t="s">
        <v>3059</v>
      </c>
      <c r="Z193" s="72" t="s">
        <v>535</v>
      </c>
      <c r="AA193" s="147" t="s">
        <v>3629</v>
      </c>
    </row>
    <row r="194" spans="1:27" ht="18.600000000000001" customHeight="1">
      <c r="A194" s="140" t="str">
        <f>IF(priority(Main[[#This Row],[Comments]])&lt;&gt;0, priority(Main[[#This Row],[Comments]]),"")</f>
        <v/>
      </c>
      <c r="B194" s="90" t="s">
        <v>1865</v>
      </c>
      <c r="C194" s="72" t="s">
        <v>95</v>
      </c>
      <c r="D194" s="73" t="s">
        <v>914</v>
      </c>
      <c r="E194" s="74">
        <v>40428.41710648148</v>
      </c>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420</v>
      </c>
      <c r="J194" s="72" t="s">
        <v>28</v>
      </c>
      <c r="K194" s="81" t="s">
        <v>1944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v>40512</v>
      </c>
      <c r="R194" s="74">
        <v>40918</v>
      </c>
      <c r="S194" s="72" t="s">
        <v>17</v>
      </c>
      <c r="T194" s="80" t="s">
        <v>4</v>
      </c>
      <c r="U194" s="72" t="s">
        <v>29</v>
      </c>
      <c r="V194" s="72" t="s">
        <v>1935</v>
      </c>
      <c r="W194" s="72" t="s">
        <v>1938</v>
      </c>
      <c r="X194" s="72" t="s">
        <v>420</v>
      </c>
      <c r="Y194" s="72" t="s">
        <v>3070</v>
      </c>
      <c r="Z194" s="72" t="s">
        <v>980</v>
      </c>
      <c r="AA194" s="147" t="s">
        <v>420</v>
      </c>
    </row>
    <row r="195" spans="1:27" ht="18.600000000000001" customHeight="1">
      <c r="A195" s="140" t="str">
        <f>IF(priority(Main[[#This Row],[Comments]])&lt;&gt;0, priority(Main[[#This Row],[Comments]]),"")</f>
        <v/>
      </c>
      <c r="B195" s="90" t="s">
        <v>3409</v>
      </c>
      <c r="C195" s="72" t="s">
        <v>3410</v>
      </c>
      <c r="D195" s="73" t="s">
        <v>3544</v>
      </c>
      <c r="E195" s="74">
        <v>40934.412314814814</v>
      </c>
      <c r="F195" s="74">
        <v>41091</v>
      </c>
      <c r="G195" s="75">
        <f>IF(stdProdLT(Main[[#This Row],[Comments]])=0.1,"N/A",IF(stdProdLT(Main[[#This Row],[Comments]])=0,"",stdProdLT(Main[[#This Row],[Comments]])))</f>
        <v>126</v>
      </c>
      <c r="H195" s="76" t="str">
        <f>IF(AND(Main[[#This Row],[In Stock Date]]&lt;&gt;"",Main[[#This Row],[Revised Due Date]]&lt;&gt;""),Main[[#This Row],[In Stock Date]]-Main[[#This Row],[Revised Due Date]],"")</f>
        <v/>
      </c>
      <c r="I195" s="72" t="s">
        <v>126</v>
      </c>
      <c r="J195" s="72" t="s">
        <v>28</v>
      </c>
      <c r="K195" s="72"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c r="R195" s="74"/>
      <c r="S195" s="72" t="s">
        <v>11</v>
      </c>
      <c r="T195" s="80" t="s">
        <v>3596</v>
      </c>
      <c r="U195" s="72" t="s">
        <v>7</v>
      </c>
      <c r="V195" s="72" t="s">
        <v>1932</v>
      </c>
      <c r="W195" s="72" t="s">
        <v>1940</v>
      </c>
      <c r="X195" s="72" t="s">
        <v>50</v>
      </c>
      <c r="Y195" s="72" t="s">
        <v>3256</v>
      </c>
      <c r="Z195" s="72" t="s">
        <v>129</v>
      </c>
      <c r="AA195" s="147" t="s">
        <v>3705</v>
      </c>
    </row>
    <row r="196" spans="1:27" ht="18.600000000000001" customHeight="1">
      <c r="A196" s="140" t="str">
        <f>IF(priority(Main[[#This Row],[Comments]])&lt;&gt;0, priority(Main[[#This Row],[Comments]]),"")</f>
        <v/>
      </c>
      <c r="B196" s="90" t="s">
        <v>1083</v>
      </c>
      <c r="C196" s="72" t="s">
        <v>4</v>
      </c>
      <c r="D196" s="73" t="s">
        <v>112</v>
      </c>
      <c r="E196" s="74"/>
      <c r="F196" s="74"/>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4</v>
      </c>
      <c r="J196" s="72" t="s">
        <v>4</v>
      </c>
      <c r="K196" s="72" t="s">
        <v>4</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c r="R196" s="74"/>
      <c r="S196" s="72" t="s">
        <v>23</v>
      </c>
      <c r="T196" s="80" t="s">
        <v>4</v>
      </c>
      <c r="U196" s="72" t="s">
        <v>14</v>
      </c>
      <c r="V196" s="72" t="s">
        <v>1932</v>
      </c>
      <c r="W196" s="72" t="s">
        <v>1940</v>
      </c>
      <c r="X196" s="72" t="s">
        <v>310</v>
      </c>
      <c r="Y196" s="72" t="s">
        <v>4</v>
      </c>
      <c r="Z196" s="72" t="s">
        <v>4</v>
      </c>
      <c r="AA196" s="147" t="s">
        <v>3625</v>
      </c>
    </row>
    <row r="197" spans="1:27" ht="18.600000000000001" customHeight="1">
      <c r="A197" s="140" t="str">
        <f>IF(priority(Main[[#This Row],[Comments]])&lt;&gt;0, priority(Main[[#This Row],[Comments]]),"")</f>
        <v/>
      </c>
      <c r="B197" s="90" t="s">
        <v>1084</v>
      </c>
      <c r="C197" s="72" t="s">
        <v>113</v>
      </c>
      <c r="D197" s="73" t="s">
        <v>114</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28</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40634</v>
      </c>
      <c r="R197" s="74"/>
      <c r="S197" s="72" t="s">
        <v>11</v>
      </c>
      <c r="T197" s="80" t="s">
        <v>4</v>
      </c>
      <c r="U197" s="72" t="s">
        <v>12</v>
      </c>
      <c r="V197" s="72" t="s">
        <v>1932</v>
      </c>
      <c r="W197" s="72" t="s">
        <v>1934</v>
      </c>
      <c r="X197" s="72" t="s">
        <v>2924</v>
      </c>
      <c r="Y197" s="72" t="s">
        <v>3034</v>
      </c>
      <c r="Z197" s="72" t="s">
        <v>129</v>
      </c>
      <c r="AA197" s="147" t="s">
        <v>2924</v>
      </c>
    </row>
    <row r="198" spans="1:27" ht="18.600000000000001" customHeight="1">
      <c r="A198" s="140" t="str">
        <f>IF(priority(Main[[#This Row],[Comments]])&lt;&gt;0, priority(Main[[#This Row],[Comments]]),"")</f>
        <v/>
      </c>
      <c r="B198" s="90" t="s">
        <v>1972</v>
      </c>
      <c r="C198" s="72" t="s">
        <v>4</v>
      </c>
      <c r="D198" s="73" t="s">
        <v>1997</v>
      </c>
      <c r="E198" s="74"/>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40737</v>
      </c>
      <c r="R198" s="74"/>
      <c r="S198" s="72" t="s">
        <v>6</v>
      </c>
      <c r="T198" s="80" t="s">
        <v>4</v>
      </c>
      <c r="U198" s="72" t="s">
        <v>14</v>
      </c>
      <c r="V198" s="72" t="s">
        <v>1935</v>
      </c>
      <c r="W198" s="72" t="s">
        <v>1936</v>
      </c>
      <c r="X198" s="72" t="s">
        <v>2927</v>
      </c>
      <c r="Y198" s="72" t="s">
        <v>3060</v>
      </c>
      <c r="Z198" s="72" t="s">
        <v>4</v>
      </c>
      <c r="AA198" s="147" t="s">
        <v>2927</v>
      </c>
    </row>
    <row r="199" spans="1:27" ht="18.600000000000001" customHeight="1">
      <c r="A199" s="140" t="str">
        <f>IF(priority(Main[[#This Row],[Comments]])&lt;&gt;0, priority(Main[[#This Row],[Comments]]),"")</f>
        <v/>
      </c>
      <c r="B199" s="90" t="s">
        <v>2832</v>
      </c>
      <c r="C199" s="72" t="s">
        <v>4</v>
      </c>
      <c r="D199" s="73" t="s">
        <v>2833</v>
      </c>
      <c r="E199" s="74">
        <v>40905.638495370367</v>
      </c>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2066</v>
      </c>
      <c r="J199" s="72" t="s">
        <v>52</v>
      </c>
      <c r="K199" s="72" t="s">
        <v>1941</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v>41027</v>
      </c>
      <c r="R199" s="74"/>
      <c r="S199" s="72" t="s">
        <v>6</v>
      </c>
      <c r="T199" s="80" t="s">
        <v>4</v>
      </c>
      <c r="U199" s="72" t="s">
        <v>29</v>
      </c>
      <c r="V199" s="72" t="s">
        <v>1935</v>
      </c>
      <c r="W199" s="72" t="s">
        <v>1936</v>
      </c>
      <c r="X199" s="72" t="s">
        <v>30</v>
      </c>
      <c r="Y199" s="72" t="s">
        <v>3035</v>
      </c>
      <c r="Z199" s="72" t="s">
        <v>30</v>
      </c>
      <c r="AA199" s="147" t="s">
        <v>30</v>
      </c>
    </row>
    <row r="200" spans="1:27" ht="18.600000000000001" customHeight="1">
      <c r="A200" s="140" t="str">
        <f>IF(priority(Main[[#This Row],[Comments]])&lt;&gt;0, priority(Main[[#This Row],[Comments]]),"")</f>
        <v/>
      </c>
      <c r="B200" s="90" t="s">
        <v>3723</v>
      </c>
      <c r="C200" s="72" t="s">
        <v>31</v>
      </c>
      <c r="D200" s="73" t="s">
        <v>3724</v>
      </c>
      <c r="E200" s="74">
        <v>40940.67633101852</v>
      </c>
      <c r="F200" s="74">
        <v>40947</v>
      </c>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40942</v>
      </c>
      <c r="R200" s="74"/>
      <c r="S200" s="72" t="s">
        <v>11</v>
      </c>
      <c r="T200" s="80" t="s">
        <v>4</v>
      </c>
      <c r="U200" s="72" t="s">
        <v>7</v>
      </c>
      <c r="V200" s="72" t="s">
        <v>1942</v>
      </c>
      <c r="W200" s="72" t="s">
        <v>1938</v>
      </c>
      <c r="X200" s="72" t="s">
        <v>2961</v>
      </c>
      <c r="Y200" s="72" t="s">
        <v>3111</v>
      </c>
      <c r="Z200" s="72" t="s">
        <v>4</v>
      </c>
      <c r="AA200" s="147" t="s">
        <v>2961</v>
      </c>
    </row>
    <row r="201" spans="1:27" ht="18.600000000000001" customHeight="1">
      <c r="A201" s="140" t="str">
        <f>IF(priority(Main[[#This Row],[Comments]])&lt;&gt;0, priority(Main[[#This Row],[Comments]]),"")</f>
        <v/>
      </c>
      <c r="B201" s="90" t="s">
        <v>1873</v>
      </c>
      <c r="C201" s="72" t="s">
        <v>99</v>
      </c>
      <c r="D201" s="73" t="s">
        <v>922</v>
      </c>
      <c r="E201" s="74"/>
      <c r="F201" s="74">
        <v>40525</v>
      </c>
      <c r="G201" s="75" t="str">
        <f>IF(stdProdLT(Main[[#This Row],[Comments]])=0.1,"N/A",IF(stdProdLT(Main[[#This Row],[Comments]])=0,"",stdProdLT(Main[[#This Row],[Comments]])))</f>
        <v/>
      </c>
      <c r="H201" s="76">
        <f>IF(AND(Main[[#This Row],[In Stock Date]]&lt;&gt;"",Main[[#This Row],[Revised Due Date]]&lt;&gt;""),Main[[#This Row],[In Stock Date]]-Main[[#This Row],[Revised Due Date]],"")</f>
        <v>-46</v>
      </c>
      <c r="I201" s="72" t="s">
        <v>923</v>
      </c>
      <c r="J201" s="72" t="s">
        <v>21</v>
      </c>
      <c r="K201" s="72" t="s">
        <v>1945</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v>40525</v>
      </c>
      <c r="R201" s="74">
        <v>40571</v>
      </c>
      <c r="S201" s="72" t="s">
        <v>11</v>
      </c>
      <c r="T201" s="80" t="s">
        <v>4</v>
      </c>
      <c r="U201" s="72" t="s">
        <v>14</v>
      </c>
      <c r="V201" s="72" t="s">
        <v>1932</v>
      </c>
      <c r="W201" s="72" t="s">
        <v>1937</v>
      </c>
      <c r="X201" s="72" t="s">
        <v>2928</v>
      </c>
      <c r="Y201" s="72" t="s">
        <v>3061</v>
      </c>
      <c r="Z201" s="72" t="s">
        <v>129</v>
      </c>
      <c r="AA201" s="147" t="s">
        <v>2925</v>
      </c>
    </row>
    <row r="202" spans="1:27" ht="18.600000000000001" customHeight="1">
      <c r="A202" s="140" t="str">
        <f>IF(priority(Main[[#This Row],[Comments]])&lt;&gt;0, priority(Main[[#This Row],[Comments]]),"")</f>
        <v/>
      </c>
      <c r="B202" s="90" t="s">
        <v>1876</v>
      </c>
      <c r="C202" s="72" t="s">
        <v>31</v>
      </c>
      <c r="D202" s="73" t="s">
        <v>926</v>
      </c>
      <c r="E202" s="74"/>
      <c r="F202" s="74">
        <v>40664</v>
      </c>
      <c r="G202" s="75" t="str">
        <f>IF(stdProdLT(Main[[#This Row],[Comments]])=0.1,"N/A",IF(stdProdLT(Main[[#This Row],[Comments]])=0,"",stdProdLT(Main[[#This Row],[Comments]])))</f>
        <v/>
      </c>
      <c r="H202" s="76">
        <f>IF(AND(Main[[#This Row],[In Stock Date]]&lt;&gt;"",Main[[#This Row],[Revised Due Date]]&lt;&gt;""),Main[[#This Row],[In Stock Date]]-Main[[#This Row],[Revised Due Date]],"")</f>
        <v>87</v>
      </c>
      <c r="I202" s="72" t="s">
        <v>403</v>
      </c>
      <c r="J202" s="72" t="s">
        <v>75</v>
      </c>
      <c r="K202" s="72" t="s">
        <v>1941</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c r="R202" s="74">
        <v>40577</v>
      </c>
      <c r="S202" s="72" t="s">
        <v>11</v>
      </c>
      <c r="T202" s="80" t="s">
        <v>4</v>
      </c>
      <c r="U202" s="72" t="s">
        <v>14</v>
      </c>
      <c r="V202" s="72" t="s">
        <v>1935</v>
      </c>
      <c r="W202" s="72" t="s">
        <v>1938</v>
      </c>
      <c r="X202" s="72" t="s">
        <v>2916</v>
      </c>
      <c r="Y202" s="72" t="s">
        <v>3062</v>
      </c>
      <c r="Z202" s="72" t="s">
        <v>535</v>
      </c>
      <c r="AA202" s="147" t="s">
        <v>2916</v>
      </c>
    </row>
    <row r="203" spans="1:27" ht="18.600000000000001" customHeight="1">
      <c r="A203" s="140" t="str">
        <f>IF(priority(Main[[#This Row],[Comments]])&lt;&gt;0, priority(Main[[#This Row],[Comments]]),"")</f>
        <v/>
      </c>
      <c r="B203" s="90" t="s">
        <v>1093</v>
      </c>
      <c r="C203" s="72" t="s">
        <v>4</v>
      </c>
      <c r="D203" s="73" t="s">
        <v>124</v>
      </c>
      <c r="E203" s="74"/>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4</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40613</v>
      </c>
      <c r="R203" s="74"/>
      <c r="S203" s="72" t="s">
        <v>6</v>
      </c>
      <c r="T203" s="80" t="s">
        <v>4</v>
      </c>
      <c r="U203" s="72" t="s">
        <v>12</v>
      </c>
      <c r="V203" s="72" t="s">
        <v>1932</v>
      </c>
      <c r="W203" s="72" t="s">
        <v>1946</v>
      </c>
      <c r="X203" s="72" t="s">
        <v>126</v>
      </c>
      <c r="Y203" s="72" t="s">
        <v>4</v>
      </c>
      <c r="Z203" s="72" t="s">
        <v>4</v>
      </c>
      <c r="AA203" s="147" t="s">
        <v>3630</v>
      </c>
    </row>
    <row r="204" spans="1:27" ht="18.600000000000001" customHeight="1">
      <c r="A204" s="140" t="str">
        <f>IF(priority(Main[[#This Row],[Comments]])&lt;&gt;0, priority(Main[[#This Row],[Comments]]),"")</f>
        <v/>
      </c>
      <c r="B204" s="90" t="s">
        <v>2201</v>
      </c>
      <c r="C204" s="72" t="s">
        <v>2202</v>
      </c>
      <c r="D204" s="73" t="s">
        <v>2203</v>
      </c>
      <c r="E204" s="74"/>
      <c r="F204" s="74">
        <v>40829</v>
      </c>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72"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v>40801</v>
      </c>
      <c r="R204" s="74"/>
      <c r="S204" s="72" t="s">
        <v>11</v>
      </c>
      <c r="T204" s="80" t="s">
        <v>4</v>
      </c>
      <c r="U204" s="72" t="s">
        <v>14</v>
      </c>
      <c r="V204" s="72" t="s">
        <v>1933</v>
      </c>
      <c r="W204" s="72" t="s">
        <v>1940</v>
      </c>
      <c r="X204" s="72" t="s">
        <v>2929</v>
      </c>
      <c r="Y204" s="72" t="s">
        <v>3063</v>
      </c>
      <c r="Z204" s="72" t="s">
        <v>4</v>
      </c>
      <c r="AA204" s="147" t="s">
        <v>2929</v>
      </c>
    </row>
    <row r="205" spans="1:27" ht="18.600000000000001" customHeight="1">
      <c r="A205" s="140" t="str">
        <f>IF(priority(Main[[#This Row],[Comments]])&lt;&gt;0, priority(Main[[#This Row],[Comments]]),"")</f>
        <v/>
      </c>
      <c r="B205" s="90" t="s">
        <v>2571</v>
      </c>
      <c r="C205" s="72" t="s">
        <v>4</v>
      </c>
      <c r="D205" s="73" t="s">
        <v>2572</v>
      </c>
      <c r="E205" s="74">
        <v>40855.624421296299</v>
      </c>
      <c r="F205" s="74"/>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81</v>
      </c>
      <c r="J205" s="72" t="s">
        <v>21</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40908</v>
      </c>
      <c r="R205" s="74"/>
      <c r="S205" s="72" t="s">
        <v>6</v>
      </c>
      <c r="T205" s="80" t="s">
        <v>4</v>
      </c>
      <c r="U205" s="72" t="s">
        <v>29</v>
      </c>
      <c r="V205" s="72" t="s">
        <v>1942</v>
      </c>
      <c r="W205" s="72" t="s">
        <v>1937</v>
      </c>
      <c r="X205" s="72" t="s">
        <v>81</v>
      </c>
      <c r="Y205" s="72" t="s">
        <v>3064</v>
      </c>
      <c r="Z205" s="72" t="s">
        <v>81</v>
      </c>
      <c r="AA205" s="147" t="s">
        <v>81</v>
      </c>
    </row>
    <row r="206" spans="1:27" ht="18.600000000000001" customHeight="1">
      <c r="A206" s="140" t="str">
        <f>IF(priority(Main[[#This Row],[Comments]])&lt;&gt;0, priority(Main[[#This Row],[Comments]]),"")</f>
        <v/>
      </c>
      <c r="B206" s="90" t="s">
        <v>1085</v>
      </c>
      <c r="C206" s="72" t="s">
        <v>31</v>
      </c>
      <c r="D206" s="73" t="s">
        <v>115</v>
      </c>
      <c r="E206" s="74"/>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40318</v>
      </c>
      <c r="R206" s="74"/>
      <c r="S206" s="72" t="s">
        <v>11</v>
      </c>
      <c r="T206" s="80" t="s">
        <v>4</v>
      </c>
      <c r="U206" s="72" t="s">
        <v>14</v>
      </c>
      <c r="V206" s="72" t="s">
        <v>1935</v>
      </c>
      <c r="W206" s="72" t="s">
        <v>1934</v>
      </c>
      <c r="X206" s="72" t="s">
        <v>2921</v>
      </c>
      <c r="Y206" s="72" t="s">
        <v>4</v>
      </c>
      <c r="Z206" s="72" t="s">
        <v>4</v>
      </c>
      <c r="AA206" s="147" t="s">
        <v>2921</v>
      </c>
    </row>
    <row r="207" spans="1:27" ht="18.600000000000001" customHeight="1">
      <c r="A207" s="140" t="str">
        <f>IF(priority(Main[[#This Row],[Comments]])&lt;&gt;0, priority(Main[[#This Row],[Comments]]),"")</f>
        <v/>
      </c>
      <c r="B207" s="90" t="s">
        <v>2357</v>
      </c>
      <c r="C207" s="72" t="s">
        <v>31</v>
      </c>
      <c r="D207" s="73" t="s">
        <v>2358</v>
      </c>
      <c r="E207" s="74"/>
      <c r="F207" s="74">
        <v>41000</v>
      </c>
      <c r="G207" s="75">
        <f>IF(stdProdLT(Main[[#This Row],[Comments]])=0.1,"N/A",IF(stdProdLT(Main[[#This Row],[Comments]])=0,"",stdProdLT(Main[[#This Row],[Comments]])))</f>
        <v>140</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40916</v>
      </c>
      <c r="R207" s="74"/>
      <c r="S207" s="72" t="s">
        <v>11</v>
      </c>
      <c r="T207" s="80" t="s">
        <v>2359</v>
      </c>
      <c r="U207" s="72" t="s">
        <v>14</v>
      </c>
      <c r="V207" s="72" t="s">
        <v>1942</v>
      </c>
      <c r="W207" s="72" t="s">
        <v>1938</v>
      </c>
      <c r="X207" s="72" t="s">
        <v>2931</v>
      </c>
      <c r="Y207" s="72" t="s">
        <v>4</v>
      </c>
      <c r="Z207" s="72" t="s">
        <v>4</v>
      </c>
      <c r="AA207" s="147" t="s">
        <v>2931</v>
      </c>
    </row>
    <row r="208" spans="1:27" ht="18.600000000000001" customHeight="1">
      <c r="A208" s="140" t="str">
        <f>IF(priority(Main[[#This Row],[Comments]])&lt;&gt;0, priority(Main[[#This Row],[Comments]]),"")</f>
        <v/>
      </c>
      <c r="B208" s="90" t="s">
        <v>2030</v>
      </c>
      <c r="C208" s="72" t="s">
        <v>4</v>
      </c>
      <c r="D208" s="73" t="s">
        <v>2031</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c r="R208" s="74"/>
      <c r="S208" s="72" t="s">
        <v>4</v>
      </c>
      <c r="T208" s="80" t="s">
        <v>4</v>
      </c>
      <c r="U208" s="72" t="s">
        <v>14</v>
      </c>
      <c r="V208" s="72" t="s">
        <v>1935</v>
      </c>
      <c r="W208" s="72" t="s">
        <v>1934</v>
      </c>
      <c r="X208" s="72" t="s">
        <v>2932</v>
      </c>
      <c r="Y208" s="72" t="s">
        <v>3066</v>
      </c>
      <c r="Z208" s="72" t="s">
        <v>4</v>
      </c>
      <c r="AA208" s="147" t="s">
        <v>2932</v>
      </c>
    </row>
    <row r="209" spans="1:27" ht="18.600000000000001" customHeight="1">
      <c r="A209" s="140" t="str">
        <f>IF(priority(Main[[#This Row],[Comments]])&lt;&gt;0, priority(Main[[#This Row],[Comments]]),"")</f>
        <v/>
      </c>
      <c r="B209" s="90" t="s">
        <v>1087</v>
      </c>
      <c r="C209" s="72" t="s">
        <v>42</v>
      </c>
      <c r="D209" s="73" t="s">
        <v>119</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4</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c r="R209" s="74"/>
      <c r="S209" s="72" t="s">
        <v>11</v>
      </c>
      <c r="T209" s="80" t="s">
        <v>4</v>
      </c>
      <c r="U209" s="72" t="s">
        <v>14</v>
      </c>
      <c r="V209" s="72" t="s">
        <v>1933</v>
      </c>
      <c r="W209" s="72" t="s">
        <v>1940</v>
      </c>
      <c r="X209" s="72" t="s">
        <v>403</v>
      </c>
      <c r="Y209" s="72" t="s">
        <v>3043</v>
      </c>
      <c r="Z209" s="72" t="s">
        <v>4</v>
      </c>
      <c r="AA209" s="147" t="s">
        <v>403</v>
      </c>
    </row>
    <row r="210" spans="1:27" ht="18.600000000000001" customHeight="1">
      <c r="A210" s="140" t="str">
        <f>IF(priority(Main[[#This Row],[Comments]])&lt;&gt;0, priority(Main[[#This Row],[Comments]]),"")</f>
        <v/>
      </c>
      <c r="B210" s="90" t="s">
        <v>1503</v>
      </c>
      <c r="C210" s="72" t="s">
        <v>4</v>
      </c>
      <c r="D210" s="73" t="s">
        <v>577</v>
      </c>
      <c r="E210" s="74">
        <v>40422.460902777777</v>
      </c>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28</v>
      </c>
      <c r="K210" s="72"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c r="R210" s="74"/>
      <c r="S210" s="72" t="s">
        <v>6</v>
      </c>
      <c r="T210" s="80" t="s">
        <v>4</v>
      </c>
      <c r="U210" s="72" t="s">
        <v>29</v>
      </c>
      <c r="V210" s="72" t="s">
        <v>1932</v>
      </c>
      <c r="W210" s="72" t="s">
        <v>1940</v>
      </c>
      <c r="X210" s="72" t="s">
        <v>2074</v>
      </c>
      <c r="Y210" s="72" t="s">
        <v>3067</v>
      </c>
      <c r="Z210" s="72" t="s">
        <v>129</v>
      </c>
      <c r="AA210" s="147" t="s">
        <v>2074</v>
      </c>
    </row>
    <row r="211" spans="1:27" ht="18.600000000000001" customHeight="1">
      <c r="A211" s="140" t="str">
        <f>IF(priority(Main[[#This Row],[Comments]])&lt;&gt;0, priority(Main[[#This Row],[Comments]]),"")</f>
        <v/>
      </c>
      <c r="B211" s="90" t="s">
        <v>2079</v>
      </c>
      <c r="C211" s="72" t="s">
        <v>4</v>
      </c>
      <c r="D211" s="73" t="s">
        <v>2080</v>
      </c>
      <c r="E211" s="74"/>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434</v>
      </c>
      <c r="J211" s="72" t="s">
        <v>70</v>
      </c>
      <c r="K211" s="72" t="s">
        <v>1941</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40786</v>
      </c>
      <c r="R211" s="74"/>
      <c r="S211" s="72" t="s">
        <v>6</v>
      </c>
      <c r="T211" s="80" t="s">
        <v>4</v>
      </c>
      <c r="U211" s="72" t="s">
        <v>14</v>
      </c>
      <c r="V211" s="72" t="s">
        <v>1935</v>
      </c>
      <c r="W211" s="72" t="s">
        <v>1936</v>
      </c>
      <c r="X211" s="72" t="s">
        <v>30</v>
      </c>
      <c r="Y211" s="72" t="s">
        <v>3068</v>
      </c>
      <c r="Z211" s="72" t="s">
        <v>44</v>
      </c>
      <c r="AA211" s="147" t="s">
        <v>3631</v>
      </c>
    </row>
    <row r="212" spans="1:27" ht="18.600000000000001" customHeight="1">
      <c r="A212" s="140" t="str">
        <f>IF(priority(Main[[#This Row],[Comments]])&lt;&gt;0, priority(Main[[#This Row],[Comments]]),"")</f>
        <v/>
      </c>
      <c r="B212" s="90" t="s">
        <v>1461</v>
      </c>
      <c r="C212" s="72" t="s">
        <v>4</v>
      </c>
      <c r="D212" s="73" t="s">
        <v>2327</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30</v>
      </c>
      <c r="J212" s="72" t="s">
        <v>28</v>
      </c>
      <c r="K212" s="81" t="s">
        <v>1941</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40606</v>
      </c>
      <c r="R212" s="74"/>
      <c r="S212" s="72" t="s">
        <v>6</v>
      </c>
      <c r="T212" s="80" t="s">
        <v>4</v>
      </c>
      <c r="U212" s="72" t="s">
        <v>14</v>
      </c>
      <c r="V212" s="72" t="s">
        <v>1935</v>
      </c>
      <c r="W212" s="72" t="s">
        <v>1936</v>
      </c>
      <c r="X212" s="72" t="s">
        <v>2927</v>
      </c>
      <c r="Y212" s="72" t="s">
        <v>3060</v>
      </c>
      <c r="Z212" s="72" t="s">
        <v>30</v>
      </c>
      <c r="AA212" s="147" t="s">
        <v>2927</v>
      </c>
    </row>
    <row r="213" spans="1:27" ht="18.600000000000001" customHeight="1">
      <c r="A213" s="140" t="str">
        <f>IF(priority(Main[[#This Row],[Comments]])&lt;&gt;0, priority(Main[[#This Row],[Comments]]),"")</f>
        <v/>
      </c>
      <c r="B213" s="90" t="s">
        <v>1091</v>
      </c>
      <c r="C213" s="72" t="s">
        <v>67</v>
      </c>
      <c r="D213" s="73" t="s">
        <v>121</v>
      </c>
      <c r="E213" s="74">
        <v>40707.647118055553</v>
      </c>
      <c r="F213" s="74"/>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4</v>
      </c>
      <c r="K213" s="81"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40755</v>
      </c>
      <c r="R213" s="74"/>
      <c r="S213" s="72" t="s">
        <v>17</v>
      </c>
      <c r="T213" s="80" t="s">
        <v>4</v>
      </c>
      <c r="U213" s="72" t="s">
        <v>7</v>
      </c>
      <c r="V213" s="72" t="s">
        <v>1935</v>
      </c>
      <c r="W213" s="72" t="s">
        <v>1937</v>
      </c>
      <c r="X213" s="72" t="s">
        <v>559</v>
      </c>
      <c r="Y213" s="72" t="s">
        <v>3047</v>
      </c>
      <c r="Z213" s="72" t="s">
        <v>4</v>
      </c>
      <c r="AA213" s="147" t="s">
        <v>559</v>
      </c>
    </row>
    <row r="214" spans="1:27" ht="18.600000000000001" customHeight="1">
      <c r="A214" s="140" t="str">
        <f>IF(priority(Main[[#This Row],[Comments]])&lt;&gt;0, priority(Main[[#This Row],[Comments]]),"")</f>
        <v/>
      </c>
      <c r="B214" s="90" t="s">
        <v>1089</v>
      </c>
      <c r="C214" s="72" t="s">
        <v>4</v>
      </c>
      <c r="D214" s="73" t="s">
        <v>120</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81"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c r="R214" s="74"/>
      <c r="S214" s="72" t="s">
        <v>11</v>
      </c>
      <c r="T214" s="80" t="s">
        <v>4</v>
      </c>
      <c r="U214" s="72" t="s">
        <v>14</v>
      </c>
      <c r="V214" s="72" t="s">
        <v>1935</v>
      </c>
      <c r="W214" s="72" t="s">
        <v>1946</v>
      </c>
      <c r="X214" s="72" t="s">
        <v>2933</v>
      </c>
      <c r="Y214" s="72" t="s">
        <v>3069</v>
      </c>
      <c r="Z214" s="72" t="s">
        <v>4</v>
      </c>
      <c r="AA214" s="147" t="s">
        <v>2933</v>
      </c>
    </row>
    <row r="215" spans="1:27" ht="18.600000000000001" customHeight="1">
      <c r="A215" s="140" t="str">
        <f>IF(priority(Main[[#This Row],[Comments]])&lt;&gt;0, priority(Main[[#This Row],[Comments]]),"")</f>
        <v/>
      </c>
      <c r="B215" s="90" t="s">
        <v>1949</v>
      </c>
      <c r="C215" s="72" t="s">
        <v>4</v>
      </c>
      <c r="D215" s="73" t="s">
        <v>5</v>
      </c>
      <c r="E215" s="74">
        <v>40485.386250000003</v>
      </c>
      <c r="F215" s="74"/>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4</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40508</v>
      </c>
      <c r="R215" s="74"/>
      <c r="S215" s="72" t="s">
        <v>6</v>
      </c>
      <c r="T215" s="80" t="s">
        <v>4</v>
      </c>
      <c r="U215" s="72" t="s">
        <v>7</v>
      </c>
      <c r="V215" s="72" t="s">
        <v>1932</v>
      </c>
      <c r="W215" s="72" t="s">
        <v>4</v>
      </c>
      <c r="X215" s="72" t="s">
        <v>2910</v>
      </c>
      <c r="Y215" s="72" t="s">
        <v>3027</v>
      </c>
      <c r="Z215" s="72" t="s">
        <v>4</v>
      </c>
      <c r="AA215" s="147" t="s">
        <v>2910</v>
      </c>
    </row>
    <row r="216" spans="1:27" ht="18.600000000000001" customHeight="1">
      <c r="A216" s="140" t="str">
        <f>IF(priority(Main[[#This Row],[Comments]])&lt;&gt;0, priority(Main[[#This Row],[Comments]]),"")</f>
        <v/>
      </c>
      <c r="B216" s="90" t="s">
        <v>1020</v>
      </c>
      <c r="C216" s="72" t="s">
        <v>4</v>
      </c>
      <c r="D216" s="73" t="s">
        <v>8</v>
      </c>
      <c r="E216" s="74">
        <v>40679.251782407409</v>
      </c>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c r="R216" s="74"/>
      <c r="S216" s="72" t="s">
        <v>6</v>
      </c>
      <c r="T216" s="80" t="s">
        <v>4</v>
      </c>
      <c r="U216" s="72" t="s">
        <v>7</v>
      </c>
      <c r="V216" s="72" t="s">
        <v>1932</v>
      </c>
      <c r="W216" s="72" t="s">
        <v>4</v>
      </c>
      <c r="X216" s="72" t="s">
        <v>2913</v>
      </c>
      <c r="Y216" s="72" t="s">
        <v>3033</v>
      </c>
      <c r="Z216" s="72" t="s">
        <v>4</v>
      </c>
      <c r="AA216" s="147" t="s">
        <v>2913</v>
      </c>
    </row>
    <row r="217" spans="1:27" ht="18.600000000000001" customHeight="1">
      <c r="A217" s="140" t="str">
        <f>IF(priority(Main[[#This Row],[Comments]])&lt;&gt;0, priority(Main[[#This Row],[Comments]]),"")</f>
        <v/>
      </c>
      <c r="B217" s="90" t="s">
        <v>1021</v>
      </c>
      <c r="C217" s="72" t="s">
        <v>9</v>
      </c>
      <c r="D217" s="73" t="s">
        <v>10</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v>40504</v>
      </c>
      <c r="R217" s="74"/>
      <c r="S217" s="72" t="s">
        <v>11</v>
      </c>
      <c r="T217" s="80" t="s">
        <v>4</v>
      </c>
      <c r="U217" s="72" t="s">
        <v>12</v>
      </c>
      <c r="V217" s="72" t="s">
        <v>1933</v>
      </c>
      <c r="W217" s="72" t="s">
        <v>1934</v>
      </c>
      <c r="X217" s="72" t="s">
        <v>2914</v>
      </c>
      <c r="Y217" s="72" t="s">
        <v>4</v>
      </c>
      <c r="Z217" s="72" t="s">
        <v>4</v>
      </c>
      <c r="AA217" s="147" t="s">
        <v>2914</v>
      </c>
    </row>
    <row r="218" spans="1:27" ht="18.600000000000001" customHeight="1">
      <c r="A218" s="140" t="str">
        <f>IF(priority(Main[[#This Row],[Comments]])&lt;&gt;0, priority(Main[[#This Row],[Comments]]),"")</f>
        <v/>
      </c>
      <c r="B218" s="90" t="s">
        <v>1022</v>
      </c>
      <c r="C218" s="72" t="s">
        <v>4</v>
      </c>
      <c r="D218" s="73" t="s">
        <v>13</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c r="R218" s="155"/>
      <c r="S218" s="72" t="s">
        <v>6</v>
      </c>
      <c r="T218" s="80" t="s">
        <v>4</v>
      </c>
      <c r="U218" s="72" t="s">
        <v>14</v>
      </c>
      <c r="V218" s="72" t="s">
        <v>1935</v>
      </c>
      <c r="W218" s="72" t="s">
        <v>1936</v>
      </c>
      <c r="X218" s="72" t="s">
        <v>310</v>
      </c>
      <c r="Y218" s="72" t="s">
        <v>4</v>
      </c>
      <c r="Z218" s="72" t="s">
        <v>4</v>
      </c>
      <c r="AA218" s="147" t="s">
        <v>659</v>
      </c>
    </row>
    <row r="219" spans="1:27" ht="18.600000000000001" customHeight="1">
      <c r="A219" s="140" t="str">
        <f>IF(priority(Main[[#This Row],[Comments]])&lt;&gt;0, priority(Main[[#This Row],[Comments]]),"")</f>
        <v/>
      </c>
      <c r="B219" s="90" t="s">
        <v>1872</v>
      </c>
      <c r="C219" s="72" t="s">
        <v>47</v>
      </c>
      <c r="D219" s="73" t="s">
        <v>921</v>
      </c>
      <c r="E219" s="74">
        <v>39937.598483796297</v>
      </c>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909</v>
      </c>
      <c r="J219" s="72" t="s">
        <v>4</v>
      </c>
      <c r="K219" s="72" t="s">
        <v>1944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c r="R219" s="74">
        <v>40945</v>
      </c>
      <c r="S219" s="72" t="s">
        <v>17</v>
      </c>
      <c r="T219" s="80" t="s">
        <v>4</v>
      </c>
      <c r="U219" s="72" t="s">
        <v>29</v>
      </c>
      <c r="V219" s="72" t="s">
        <v>1935</v>
      </c>
      <c r="W219" s="72" t="s">
        <v>1937</v>
      </c>
      <c r="X219" s="72" t="s">
        <v>2918</v>
      </c>
      <c r="Y219" s="72" t="s">
        <v>3043</v>
      </c>
      <c r="Z219" s="72" t="s">
        <v>420</v>
      </c>
      <c r="AA219" s="147" t="s">
        <v>2918</v>
      </c>
    </row>
    <row r="220" spans="1:27" ht="18.600000000000001" customHeight="1">
      <c r="A220" s="157" t="str">
        <f>IF(priority(Main[[#This Row],[Comments]])&lt;&gt;0, priority(Main[[#This Row],[Comments]]),"")</f>
        <v/>
      </c>
      <c r="B220" s="158" t="s">
        <v>1062</v>
      </c>
      <c r="C220" s="159" t="s">
        <v>86</v>
      </c>
      <c r="D220" s="160" t="s">
        <v>87</v>
      </c>
      <c r="E220" s="162"/>
      <c r="F220" s="162">
        <v>40555</v>
      </c>
      <c r="G220" s="164" t="str">
        <f>IF(stdProdLT(Main[[#This Row],[Comments]])=0.1,"N/A",IF(stdProdLT(Main[[#This Row],[Comments]])=0,"",stdProdLT(Main[[#This Row],[Comments]])))</f>
        <v/>
      </c>
      <c r="H220" s="166" t="str">
        <f>IF(AND(Main[[#This Row],[In Stock Date]]&lt;&gt;"",Main[[#This Row],[Revised Due Date]]&lt;&gt;""),Main[[#This Row],[In Stock Date]]-Main[[#This Row],[Revised Due Date]],"")</f>
        <v/>
      </c>
      <c r="I220" s="159" t="s">
        <v>4</v>
      </c>
      <c r="J220" s="159" t="s">
        <v>75</v>
      </c>
      <c r="K220" s="159" t="s">
        <v>4</v>
      </c>
      <c r="L220" s="162"/>
      <c r="M220" s="169" t="str">
        <f>IF(Main[[#This Row],[Tech Start Date]]&lt;1/1/1990,"",IF(Main[[#This Row],[Class]]="C",WORKDAY(Main[[#This Row],[Tech Start Date]],9),IF(Main[[#This Row],[Class]]="B", WORKDAY(Main[[#This Row],[Tech Start Date]],6),IF(Main[[#This Row],[Class]]="A",WORKDAY(Main[[#This Row],[Tech Start Date]],2),""))))</f>
        <v/>
      </c>
      <c r="N220" s="169" t="str">
        <f>IF(Main[[#This Row],[Tech Start Date]]&lt;1/1/1990,"",IF(Main[[#This Row],[Class]]="C",WORKDAY(Main[[#This Row],[Tech Start Date]],19),IF(Main[[#This Row],[Class]]="B", WORKDAY(Main[[#This Row],[Tech Start Date]],12),IF(Main[[#This Row],[Class]]="A",WORKDAY(Main[[#This Row],[Tech Start Date]],4),""))))</f>
        <v/>
      </c>
      <c r="O220" s="169" t="str">
        <f>IF(Main[[#This Row],[Tech Start Date]]&lt;1/1/1990,"",IF(Main[[#This Row],[Class]]="C",WORKDAY(Main[[#This Row],[Tech Start Date]],23),IF(Main[[#This Row],[Class]]="B", WORKDAY(Main[[#This Row],[Tech Start Date]],15),IF(Main[[#This Row],[Class]]="A",WORKDAY(Main[[#This Row],[Tech Start Date]],5),""))))</f>
        <v/>
      </c>
      <c r="P220" s="169" t="str">
        <f>IF(Main[[#This Row],[Tech Start Date]]&lt;1/1/1990,"",IF(Main[[#This Row],[Class]]="C",WORKDAY(Main[[#This Row],[Tech Start Date]],28),IF(Main[[#This Row],[Class]]="B", WORKDAY(Main[[#This Row],[Tech Start Date]],19),IF(Main[[#This Row],[Class]]="A",WORKDAY(Main[[#This Row],[Tech Start Date]],9),""))))</f>
        <v/>
      </c>
      <c r="Q220" s="162">
        <v>40446</v>
      </c>
      <c r="R220" s="162"/>
      <c r="S220" s="159" t="s">
        <v>49</v>
      </c>
      <c r="T220" s="173" t="s">
        <v>4</v>
      </c>
      <c r="U220" s="159" t="s">
        <v>14</v>
      </c>
      <c r="V220" s="159" t="s">
        <v>1935</v>
      </c>
      <c r="W220" s="159" t="s">
        <v>1934</v>
      </c>
      <c r="X220" s="159" t="s">
        <v>310</v>
      </c>
      <c r="Y220" s="159" t="s">
        <v>3071</v>
      </c>
      <c r="Z220" s="159" t="s">
        <v>310</v>
      </c>
      <c r="AA220" s="154" t="s">
        <v>310</v>
      </c>
    </row>
    <row r="221" spans="1:27" ht="18.600000000000001" customHeight="1">
      <c r="A221" s="157" t="str">
        <f>IF(priority(Main[[#This Row],[Comments]])&lt;&gt;0, priority(Main[[#This Row],[Comments]]),"")</f>
        <v/>
      </c>
      <c r="B221" s="158" t="s">
        <v>2581</v>
      </c>
      <c r="C221" s="159" t="s">
        <v>2387</v>
      </c>
      <c r="D221" s="160" t="s">
        <v>2582</v>
      </c>
      <c r="E221" s="162"/>
      <c r="F221" s="162">
        <v>41008</v>
      </c>
      <c r="G221" s="164" t="str">
        <f>IF(stdProdLT(Main[[#This Row],[Comments]])=0.1,"N/A",IF(stdProdLT(Main[[#This Row],[Comments]])=0,"",stdProdLT(Main[[#This Row],[Comments]])))</f>
        <v/>
      </c>
      <c r="H221" s="166" t="str">
        <f>IF(AND(Main[[#This Row],[In Stock Date]]&lt;&gt;"",Main[[#This Row],[Revised Due Date]]&lt;&gt;""),Main[[#This Row],[In Stock Date]]-Main[[#This Row],[Revised Due Date]],"")</f>
        <v/>
      </c>
      <c r="I221" s="159" t="s">
        <v>4</v>
      </c>
      <c r="J221" s="159" t="s">
        <v>4</v>
      </c>
      <c r="K221" s="159" t="s">
        <v>4</v>
      </c>
      <c r="L221" s="162"/>
      <c r="M221" s="169" t="str">
        <f>IF(Main[[#This Row],[Tech Start Date]]&lt;1/1/1990,"",IF(Main[[#This Row],[Class]]="C",WORKDAY(Main[[#This Row],[Tech Start Date]],9),IF(Main[[#This Row],[Class]]="B", WORKDAY(Main[[#This Row],[Tech Start Date]],6),IF(Main[[#This Row],[Class]]="A",WORKDAY(Main[[#This Row],[Tech Start Date]],2),""))))</f>
        <v/>
      </c>
      <c r="N221" s="169" t="str">
        <f>IF(Main[[#This Row],[Tech Start Date]]&lt;1/1/1990,"",IF(Main[[#This Row],[Class]]="C",WORKDAY(Main[[#This Row],[Tech Start Date]],19),IF(Main[[#This Row],[Class]]="B", WORKDAY(Main[[#This Row],[Tech Start Date]],12),IF(Main[[#This Row],[Class]]="A",WORKDAY(Main[[#This Row],[Tech Start Date]],4),""))))</f>
        <v/>
      </c>
      <c r="O221" s="169" t="str">
        <f>IF(Main[[#This Row],[Tech Start Date]]&lt;1/1/1990,"",IF(Main[[#This Row],[Class]]="C",WORKDAY(Main[[#This Row],[Tech Start Date]],23),IF(Main[[#This Row],[Class]]="B", WORKDAY(Main[[#This Row],[Tech Start Date]],15),IF(Main[[#This Row],[Class]]="A",WORKDAY(Main[[#This Row],[Tech Start Date]],5),""))))</f>
        <v/>
      </c>
      <c r="P221" s="169" t="str">
        <f>IF(Main[[#This Row],[Tech Start Date]]&lt;1/1/1990,"",IF(Main[[#This Row],[Class]]="C",WORKDAY(Main[[#This Row],[Tech Start Date]],28),IF(Main[[#This Row],[Class]]="B", WORKDAY(Main[[#This Row],[Tech Start Date]],19),IF(Main[[#This Row],[Class]]="A",WORKDAY(Main[[#This Row],[Tech Start Date]],9),""))))</f>
        <v/>
      </c>
      <c r="Q221" s="162">
        <v>40826</v>
      </c>
      <c r="R221" s="162"/>
      <c r="S221" s="159" t="s">
        <v>11</v>
      </c>
      <c r="T221" s="173" t="s">
        <v>4</v>
      </c>
      <c r="U221" s="159" t="s">
        <v>12</v>
      </c>
      <c r="V221" s="159" t="s">
        <v>1935</v>
      </c>
      <c r="W221" s="159" t="s">
        <v>1938</v>
      </c>
      <c r="X221" s="159" t="s">
        <v>2934</v>
      </c>
      <c r="Y221" s="159" t="s">
        <v>4</v>
      </c>
      <c r="Z221" s="159" t="s">
        <v>4</v>
      </c>
      <c r="AA221" s="154" t="s">
        <v>2934</v>
      </c>
    </row>
    <row r="222" spans="1:27" ht="18.600000000000001" customHeight="1">
      <c r="A222" s="157" t="str">
        <f>IF(priority(Main[[#This Row],[Comments]])&lt;&gt;0, priority(Main[[#This Row],[Comments]]),"")</f>
        <v/>
      </c>
      <c r="B222" s="158" t="s">
        <v>1063</v>
      </c>
      <c r="C222" s="159" t="s">
        <v>88</v>
      </c>
      <c r="D222" s="160" t="s">
        <v>89</v>
      </c>
      <c r="E222" s="162"/>
      <c r="F222" s="162">
        <v>40709</v>
      </c>
      <c r="G222" s="164" t="str">
        <f>IF(stdProdLT(Main[[#This Row],[Comments]])=0.1,"N/A",IF(stdProdLT(Main[[#This Row],[Comments]])=0,"",stdProdLT(Main[[#This Row],[Comments]])))</f>
        <v/>
      </c>
      <c r="H222" s="166" t="str">
        <f>IF(AND(Main[[#This Row],[In Stock Date]]&lt;&gt;"",Main[[#This Row],[Revised Due Date]]&lt;&gt;""),Main[[#This Row],[In Stock Date]]-Main[[#This Row],[Revised Due Date]],"")</f>
        <v/>
      </c>
      <c r="I222" s="159" t="s">
        <v>4</v>
      </c>
      <c r="J222" s="159" t="s">
        <v>28</v>
      </c>
      <c r="K222" s="159" t="s">
        <v>1945</v>
      </c>
      <c r="L222" s="162"/>
      <c r="M222" s="169" t="str">
        <f>IF(Main[[#This Row],[Tech Start Date]]&lt;1/1/1990,"",IF(Main[[#This Row],[Class]]="C",WORKDAY(Main[[#This Row],[Tech Start Date]],9),IF(Main[[#This Row],[Class]]="B", WORKDAY(Main[[#This Row],[Tech Start Date]],6),IF(Main[[#This Row],[Class]]="A",WORKDAY(Main[[#This Row],[Tech Start Date]],2),""))))</f>
        <v/>
      </c>
      <c r="N222" s="169" t="str">
        <f>IF(Main[[#This Row],[Tech Start Date]]&lt;1/1/1990,"",IF(Main[[#This Row],[Class]]="C",WORKDAY(Main[[#This Row],[Tech Start Date]],19),IF(Main[[#This Row],[Class]]="B", WORKDAY(Main[[#This Row],[Tech Start Date]],12),IF(Main[[#This Row],[Class]]="A",WORKDAY(Main[[#This Row],[Tech Start Date]],4),""))))</f>
        <v/>
      </c>
      <c r="O222" s="169" t="str">
        <f>IF(Main[[#This Row],[Tech Start Date]]&lt;1/1/1990,"",IF(Main[[#This Row],[Class]]="C",WORKDAY(Main[[#This Row],[Tech Start Date]],23),IF(Main[[#This Row],[Class]]="B", WORKDAY(Main[[#This Row],[Tech Start Date]],15),IF(Main[[#This Row],[Class]]="A",WORKDAY(Main[[#This Row],[Tech Start Date]],5),""))))</f>
        <v/>
      </c>
      <c r="P222" s="169" t="str">
        <f>IF(Main[[#This Row],[Tech Start Date]]&lt;1/1/1990,"",IF(Main[[#This Row],[Class]]="C",WORKDAY(Main[[#This Row],[Tech Start Date]],28),IF(Main[[#This Row],[Class]]="B", WORKDAY(Main[[#This Row],[Tech Start Date]],19),IF(Main[[#This Row],[Class]]="A",WORKDAY(Main[[#This Row],[Tech Start Date]],9),""))))</f>
        <v/>
      </c>
      <c r="Q222" s="162">
        <v>40612</v>
      </c>
      <c r="R222" s="162"/>
      <c r="S222" s="159" t="s">
        <v>11</v>
      </c>
      <c r="T222" s="173" t="s">
        <v>4</v>
      </c>
      <c r="U222" s="159" t="s">
        <v>14</v>
      </c>
      <c r="V222" s="159" t="s">
        <v>1932</v>
      </c>
      <c r="W222" s="159" t="s">
        <v>1937</v>
      </c>
      <c r="X222" s="159" t="s">
        <v>2935</v>
      </c>
      <c r="Y222" s="159" t="s">
        <v>3072</v>
      </c>
      <c r="Z222" s="159" t="s">
        <v>129</v>
      </c>
      <c r="AA222" s="154" t="s">
        <v>2935</v>
      </c>
    </row>
    <row r="223" spans="1:27" ht="18.600000000000001" customHeight="1">
      <c r="A223" s="157" t="str">
        <f>IF(priority(Main[[#This Row],[Comments]])&lt;&gt;0, priority(Main[[#This Row],[Comments]]),"")</f>
        <v/>
      </c>
      <c r="B223" s="158" t="s">
        <v>1064</v>
      </c>
      <c r="C223" s="159" t="s">
        <v>4</v>
      </c>
      <c r="D223" s="160" t="s">
        <v>90</v>
      </c>
      <c r="E223" s="162"/>
      <c r="F223" s="162"/>
      <c r="G223" s="164" t="str">
        <f>IF(stdProdLT(Main[[#This Row],[Comments]])=0.1,"N/A",IF(stdProdLT(Main[[#This Row],[Comments]])=0,"",stdProdLT(Main[[#This Row],[Comments]])))</f>
        <v/>
      </c>
      <c r="H223" s="166" t="str">
        <f>IF(AND(Main[[#This Row],[In Stock Date]]&lt;&gt;"",Main[[#This Row],[Revised Due Date]]&lt;&gt;""),Main[[#This Row],[In Stock Date]]-Main[[#This Row],[Revised Due Date]],"")</f>
        <v/>
      </c>
      <c r="I223" s="159" t="s">
        <v>4</v>
      </c>
      <c r="J223" s="159" t="s">
        <v>4</v>
      </c>
      <c r="K223" s="159" t="s">
        <v>4</v>
      </c>
      <c r="L223" s="162"/>
      <c r="M223" s="169" t="str">
        <f>IF(Main[[#This Row],[Tech Start Date]]&lt;1/1/1990,"",IF(Main[[#This Row],[Class]]="C",WORKDAY(Main[[#This Row],[Tech Start Date]],9),IF(Main[[#This Row],[Class]]="B", WORKDAY(Main[[#This Row],[Tech Start Date]],6),IF(Main[[#This Row],[Class]]="A",WORKDAY(Main[[#This Row],[Tech Start Date]],2),""))))</f>
        <v/>
      </c>
      <c r="N223" s="169" t="str">
        <f>IF(Main[[#This Row],[Tech Start Date]]&lt;1/1/1990,"",IF(Main[[#This Row],[Class]]="C",WORKDAY(Main[[#This Row],[Tech Start Date]],19),IF(Main[[#This Row],[Class]]="B", WORKDAY(Main[[#This Row],[Tech Start Date]],12),IF(Main[[#This Row],[Class]]="A",WORKDAY(Main[[#This Row],[Tech Start Date]],4),""))))</f>
        <v/>
      </c>
      <c r="O223" s="169" t="str">
        <f>IF(Main[[#This Row],[Tech Start Date]]&lt;1/1/1990,"",IF(Main[[#This Row],[Class]]="C",WORKDAY(Main[[#This Row],[Tech Start Date]],23),IF(Main[[#This Row],[Class]]="B", WORKDAY(Main[[#This Row],[Tech Start Date]],15),IF(Main[[#This Row],[Class]]="A",WORKDAY(Main[[#This Row],[Tech Start Date]],5),""))))</f>
        <v/>
      </c>
      <c r="P223" s="169" t="str">
        <f>IF(Main[[#This Row],[Tech Start Date]]&lt;1/1/1990,"",IF(Main[[#This Row],[Class]]="C",WORKDAY(Main[[#This Row],[Tech Start Date]],28),IF(Main[[#This Row],[Class]]="B", WORKDAY(Main[[#This Row],[Tech Start Date]],19),IF(Main[[#This Row],[Class]]="A",WORKDAY(Main[[#This Row],[Tech Start Date]],9),""))))</f>
        <v/>
      </c>
      <c r="Q223" s="162"/>
      <c r="R223" s="162"/>
      <c r="S223" s="159" t="s">
        <v>23</v>
      </c>
      <c r="T223" s="173" t="s">
        <v>4</v>
      </c>
      <c r="U223" s="159" t="s">
        <v>14</v>
      </c>
      <c r="V223" s="159" t="s">
        <v>1932</v>
      </c>
      <c r="W223" s="159" t="s">
        <v>1936</v>
      </c>
      <c r="X223" s="159" t="s">
        <v>403</v>
      </c>
      <c r="Y223" s="159" t="s">
        <v>3053</v>
      </c>
      <c r="Z223" s="159" t="s">
        <v>4</v>
      </c>
      <c r="AA223" s="154" t="s">
        <v>3619</v>
      </c>
    </row>
    <row r="224" spans="1:27" ht="18.600000000000001" customHeight="1">
      <c r="A224" s="157" t="str">
        <f>IF(priority(Main[[#This Row],[Comments]])&lt;&gt;0, priority(Main[[#This Row],[Comments]]),"")</f>
        <v/>
      </c>
      <c r="B224" s="158" t="s">
        <v>1066</v>
      </c>
      <c r="C224" s="159" t="s">
        <v>93</v>
      </c>
      <c r="D224" s="160" t="s">
        <v>94</v>
      </c>
      <c r="E224" s="162"/>
      <c r="F224" s="162">
        <v>40299</v>
      </c>
      <c r="G224" s="164" t="str">
        <f>IF(stdProdLT(Main[[#This Row],[Comments]])=0.1,"N/A",IF(stdProdLT(Main[[#This Row],[Comments]])=0,"",stdProdLT(Main[[#This Row],[Comments]])))</f>
        <v/>
      </c>
      <c r="H224" s="166" t="str">
        <f>IF(AND(Main[[#This Row],[In Stock Date]]&lt;&gt;"",Main[[#This Row],[Revised Due Date]]&lt;&gt;""),Main[[#This Row],[In Stock Date]]-Main[[#This Row],[Revised Due Date]],"")</f>
        <v/>
      </c>
      <c r="I224" s="159" t="s">
        <v>4</v>
      </c>
      <c r="J224" s="159" t="s">
        <v>4</v>
      </c>
      <c r="K224" s="159" t="s">
        <v>4</v>
      </c>
      <c r="L224" s="162"/>
      <c r="M224" s="169" t="str">
        <f>IF(Main[[#This Row],[Tech Start Date]]&lt;1/1/1990,"",IF(Main[[#This Row],[Class]]="C",WORKDAY(Main[[#This Row],[Tech Start Date]],9),IF(Main[[#This Row],[Class]]="B", WORKDAY(Main[[#This Row],[Tech Start Date]],6),IF(Main[[#This Row],[Class]]="A",WORKDAY(Main[[#This Row],[Tech Start Date]],2),""))))</f>
        <v/>
      </c>
      <c r="N224" s="169" t="str">
        <f>IF(Main[[#This Row],[Tech Start Date]]&lt;1/1/1990,"",IF(Main[[#This Row],[Class]]="C",WORKDAY(Main[[#This Row],[Tech Start Date]],19),IF(Main[[#This Row],[Class]]="B", WORKDAY(Main[[#This Row],[Tech Start Date]],12),IF(Main[[#This Row],[Class]]="A",WORKDAY(Main[[#This Row],[Tech Start Date]],4),""))))</f>
        <v/>
      </c>
      <c r="O224" s="169" t="str">
        <f>IF(Main[[#This Row],[Tech Start Date]]&lt;1/1/1990,"",IF(Main[[#This Row],[Class]]="C",WORKDAY(Main[[#This Row],[Tech Start Date]],23),IF(Main[[#This Row],[Class]]="B", WORKDAY(Main[[#This Row],[Tech Start Date]],15),IF(Main[[#This Row],[Class]]="A",WORKDAY(Main[[#This Row],[Tech Start Date]],5),""))))</f>
        <v/>
      </c>
      <c r="P224" s="169" t="str">
        <f>IF(Main[[#This Row],[Tech Start Date]]&lt;1/1/1990,"",IF(Main[[#This Row],[Class]]="C",WORKDAY(Main[[#This Row],[Tech Start Date]],28),IF(Main[[#This Row],[Class]]="B", WORKDAY(Main[[#This Row],[Tech Start Date]],19),IF(Main[[#This Row],[Class]]="A",WORKDAY(Main[[#This Row],[Tech Start Date]],9),""))))</f>
        <v/>
      </c>
      <c r="Q224" s="162">
        <v>40209</v>
      </c>
      <c r="R224" s="162"/>
      <c r="S224" s="159" t="s">
        <v>11</v>
      </c>
      <c r="T224" s="173" t="s">
        <v>4</v>
      </c>
      <c r="U224" s="159" t="s">
        <v>14</v>
      </c>
      <c r="V224" s="159" t="s">
        <v>1932</v>
      </c>
      <c r="W224" s="159" t="s">
        <v>1943</v>
      </c>
      <c r="X224" s="159" t="s">
        <v>2936</v>
      </c>
      <c r="Y224" s="159" t="s">
        <v>4</v>
      </c>
      <c r="Z224" s="159" t="s">
        <v>4</v>
      </c>
      <c r="AA224" s="154" t="s">
        <v>2936</v>
      </c>
    </row>
    <row r="225" spans="1:27" ht="18.600000000000001" customHeight="1">
      <c r="A225" s="157" t="str">
        <f>IF(priority(Main[[#This Row],[Comments]])&lt;&gt;0, priority(Main[[#This Row],[Comments]]),"")</f>
        <v/>
      </c>
      <c r="B225" s="158" t="s">
        <v>1115</v>
      </c>
      <c r="C225" s="159" t="s">
        <v>4</v>
      </c>
      <c r="D225" s="160" t="s">
        <v>125</v>
      </c>
      <c r="E225" s="162"/>
      <c r="F225" s="162"/>
      <c r="G225" s="164" t="str">
        <f>IF(stdProdLT(Main[[#This Row],[Comments]])=0.1,"N/A",IF(stdProdLT(Main[[#This Row],[Comments]])=0,"",stdProdLT(Main[[#This Row],[Comments]])))</f>
        <v/>
      </c>
      <c r="H225" s="166" t="str">
        <f>IF(AND(Main[[#This Row],[In Stock Date]]&lt;&gt;"",Main[[#This Row],[Revised Due Date]]&lt;&gt;""),Main[[#This Row],[In Stock Date]]-Main[[#This Row],[Revised Due Date]],"")</f>
        <v/>
      </c>
      <c r="I225" s="159" t="s">
        <v>126</v>
      </c>
      <c r="J225" s="159" t="s">
        <v>4</v>
      </c>
      <c r="K225" s="159" t="s">
        <v>4</v>
      </c>
      <c r="L225" s="162"/>
      <c r="M225" s="169" t="str">
        <f>IF(Main[[#This Row],[Tech Start Date]]&lt;1/1/1990,"",IF(Main[[#This Row],[Class]]="C",WORKDAY(Main[[#This Row],[Tech Start Date]],9),IF(Main[[#This Row],[Class]]="B", WORKDAY(Main[[#This Row],[Tech Start Date]],6),IF(Main[[#This Row],[Class]]="A",WORKDAY(Main[[#This Row],[Tech Start Date]],2),""))))</f>
        <v/>
      </c>
      <c r="N225" s="169" t="str">
        <f>IF(Main[[#This Row],[Tech Start Date]]&lt;1/1/1990,"",IF(Main[[#This Row],[Class]]="C",WORKDAY(Main[[#This Row],[Tech Start Date]],19),IF(Main[[#This Row],[Class]]="B", WORKDAY(Main[[#This Row],[Tech Start Date]],12),IF(Main[[#This Row],[Class]]="A",WORKDAY(Main[[#This Row],[Tech Start Date]],4),""))))</f>
        <v/>
      </c>
      <c r="O225" s="169" t="str">
        <f>IF(Main[[#This Row],[Tech Start Date]]&lt;1/1/1990,"",IF(Main[[#This Row],[Class]]="C",WORKDAY(Main[[#This Row],[Tech Start Date]],23),IF(Main[[#This Row],[Class]]="B", WORKDAY(Main[[#This Row],[Tech Start Date]],15),IF(Main[[#This Row],[Class]]="A",WORKDAY(Main[[#This Row],[Tech Start Date]],5),""))))</f>
        <v/>
      </c>
      <c r="P225" s="169" t="str">
        <f>IF(Main[[#This Row],[Tech Start Date]]&lt;1/1/1990,"",IF(Main[[#This Row],[Class]]="C",WORKDAY(Main[[#This Row],[Tech Start Date]],28),IF(Main[[#This Row],[Class]]="B", WORKDAY(Main[[#This Row],[Tech Start Date]],19),IF(Main[[#This Row],[Class]]="A",WORKDAY(Main[[#This Row],[Tech Start Date]],9),""))))</f>
        <v/>
      </c>
      <c r="Q225" s="162">
        <v>40025</v>
      </c>
      <c r="R225" s="162"/>
      <c r="S225" s="159" t="s">
        <v>11</v>
      </c>
      <c r="T225" s="173" t="s">
        <v>4</v>
      </c>
      <c r="U225" s="159" t="s">
        <v>14</v>
      </c>
      <c r="V225" s="159" t="s">
        <v>1932</v>
      </c>
      <c r="W225" s="159" t="s">
        <v>1940</v>
      </c>
      <c r="X225" s="159" t="s">
        <v>2944</v>
      </c>
      <c r="Y225" s="159" t="s">
        <v>3086</v>
      </c>
      <c r="Z225" s="159" t="s">
        <v>81</v>
      </c>
      <c r="AA225" s="154" t="s">
        <v>2944</v>
      </c>
    </row>
    <row r="226" spans="1:27" ht="18.600000000000001" customHeight="1">
      <c r="A226" s="157" t="str">
        <f>IF(priority(Main[[#This Row],[Comments]])&lt;&gt;0, priority(Main[[#This Row],[Comments]]),"")</f>
        <v/>
      </c>
      <c r="B226" s="158" t="s">
        <v>1116</v>
      </c>
      <c r="C226" s="159" t="s">
        <v>4</v>
      </c>
      <c r="D226" s="160" t="s">
        <v>127</v>
      </c>
      <c r="E226" s="162"/>
      <c r="F226" s="162"/>
      <c r="G226" s="164" t="str">
        <f>IF(stdProdLT(Main[[#This Row],[Comments]])=0.1,"N/A",IF(stdProdLT(Main[[#This Row],[Comments]])=0,"",stdProdLT(Main[[#This Row],[Comments]])))</f>
        <v/>
      </c>
      <c r="H226" s="166" t="str">
        <f>IF(AND(Main[[#This Row],[In Stock Date]]&lt;&gt;"",Main[[#This Row],[Revised Due Date]]&lt;&gt;""),Main[[#This Row],[In Stock Date]]-Main[[#This Row],[Revised Due Date]],"")</f>
        <v/>
      </c>
      <c r="I226" s="159" t="s">
        <v>30</v>
      </c>
      <c r="J226" s="159" t="s">
        <v>21</v>
      </c>
      <c r="K226" s="159" t="s">
        <v>4</v>
      </c>
      <c r="L226" s="162"/>
      <c r="M226" s="169" t="str">
        <f>IF(Main[[#This Row],[Tech Start Date]]&lt;1/1/1990,"",IF(Main[[#This Row],[Class]]="C",WORKDAY(Main[[#This Row],[Tech Start Date]],9),IF(Main[[#This Row],[Class]]="B", WORKDAY(Main[[#This Row],[Tech Start Date]],6),IF(Main[[#This Row],[Class]]="A",WORKDAY(Main[[#This Row],[Tech Start Date]],2),""))))</f>
        <v/>
      </c>
      <c r="N226" s="169" t="str">
        <f>IF(Main[[#This Row],[Tech Start Date]]&lt;1/1/1990,"",IF(Main[[#This Row],[Class]]="C",WORKDAY(Main[[#This Row],[Tech Start Date]],19),IF(Main[[#This Row],[Class]]="B", WORKDAY(Main[[#This Row],[Tech Start Date]],12),IF(Main[[#This Row],[Class]]="A",WORKDAY(Main[[#This Row],[Tech Start Date]],4),""))))</f>
        <v/>
      </c>
      <c r="O226" s="169" t="str">
        <f>IF(Main[[#This Row],[Tech Start Date]]&lt;1/1/1990,"",IF(Main[[#This Row],[Class]]="C",WORKDAY(Main[[#This Row],[Tech Start Date]],23),IF(Main[[#This Row],[Class]]="B", WORKDAY(Main[[#This Row],[Tech Start Date]],15),IF(Main[[#This Row],[Class]]="A",WORKDAY(Main[[#This Row],[Tech Start Date]],5),""))))</f>
        <v/>
      </c>
      <c r="P226" s="169" t="str">
        <f>IF(Main[[#This Row],[Tech Start Date]]&lt;1/1/1990,"",IF(Main[[#This Row],[Class]]="C",WORKDAY(Main[[#This Row],[Tech Start Date]],28),IF(Main[[#This Row],[Class]]="B", WORKDAY(Main[[#This Row],[Tech Start Date]],19),IF(Main[[#This Row],[Class]]="A",WORKDAY(Main[[#This Row],[Tech Start Date]],9),""))))</f>
        <v/>
      </c>
      <c r="Q226" s="162">
        <v>40508</v>
      </c>
      <c r="R226" s="162"/>
      <c r="S226" s="159" t="s">
        <v>6</v>
      </c>
      <c r="T226" s="173" t="s">
        <v>4</v>
      </c>
      <c r="U226" s="159" t="s">
        <v>14</v>
      </c>
      <c r="V226" s="159" t="s">
        <v>1935</v>
      </c>
      <c r="W226" s="159" t="s">
        <v>1934</v>
      </c>
      <c r="X226" s="159" t="s">
        <v>2909</v>
      </c>
      <c r="Y226" s="159" t="s">
        <v>3024</v>
      </c>
      <c r="Z226" s="159" t="s">
        <v>535</v>
      </c>
      <c r="AA226" s="154" t="s">
        <v>2909</v>
      </c>
    </row>
    <row r="227" spans="1:27" ht="18.600000000000001" customHeight="1">
      <c r="A227" s="157" t="str">
        <f>IF(priority(Main[[#This Row],[Comments]])&lt;&gt;0, priority(Main[[#This Row],[Comments]]),"")</f>
        <v/>
      </c>
      <c r="B227" s="158" t="s">
        <v>3382</v>
      </c>
      <c r="C227" s="159" t="s">
        <v>72</v>
      </c>
      <c r="D227" s="160" t="s">
        <v>3383</v>
      </c>
      <c r="E227" s="162"/>
      <c r="F227" s="162"/>
      <c r="G227" s="164" t="str">
        <f>IF(stdProdLT(Main[[#This Row],[Comments]])=0.1,"N/A",IF(stdProdLT(Main[[#This Row],[Comments]])=0,"",stdProdLT(Main[[#This Row],[Comments]])))</f>
        <v/>
      </c>
      <c r="H227" s="166" t="str">
        <f>IF(AND(Main[[#This Row],[In Stock Date]]&lt;&gt;"",Main[[#This Row],[Revised Due Date]]&lt;&gt;""),Main[[#This Row],[In Stock Date]]-Main[[#This Row],[Revised Due Date]],"")</f>
        <v/>
      </c>
      <c r="I227" s="159" t="s">
        <v>4</v>
      </c>
      <c r="J227" s="159" t="s">
        <v>4</v>
      </c>
      <c r="K227" s="159" t="s">
        <v>4</v>
      </c>
      <c r="L227" s="162"/>
      <c r="M227" s="169" t="str">
        <f>IF(Main[[#This Row],[Tech Start Date]]&lt;1/1/1990,"",IF(Main[[#This Row],[Class]]="C",WORKDAY(Main[[#This Row],[Tech Start Date]],9),IF(Main[[#This Row],[Class]]="B", WORKDAY(Main[[#This Row],[Tech Start Date]],6),IF(Main[[#This Row],[Class]]="A",WORKDAY(Main[[#This Row],[Tech Start Date]],2),""))))</f>
        <v/>
      </c>
      <c r="N227" s="169" t="str">
        <f>IF(Main[[#This Row],[Tech Start Date]]&lt;1/1/1990,"",IF(Main[[#This Row],[Class]]="C",WORKDAY(Main[[#This Row],[Tech Start Date]],19),IF(Main[[#This Row],[Class]]="B", WORKDAY(Main[[#This Row],[Tech Start Date]],12),IF(Main[[#This Row],[Class]]="A",WORKDAY(Main[[#This Row],[Tech Start Date]],4),""))))</f>
        <v/>
      </c>
      <c r="O227" s="169" t="str">
        <f>IF(Main[[#This Row],[Tech Start Date]]&lt;1/1/1990,"",IF(Main[[#This Row],[Class]]="C",WORKDAY(Main[[#This Row],[Tech Start Date]],23),IF(Main[[#This Row],[Class]]="B", WORKDAY(Main[[#This Row],[Tech Start Date]],15),IF(Main[[#This Row],[Class]]="A",WORKDAY(Main[[#This Row],[Tech Start Date]],5),""))))</f>
        <v/>
      </c>
      <c r="P227" s="169" t="str">
        <f>IF(Main[[#This Row],[Tech Start Date]]&lt;1/1/1990,"",IF(Main[[#This Row],[Class]]="C",WORKDAY(Main[[#This Row],[Tech Start Date]],28),IF(Main[[#This Row],[Class]]="B", WORKDAY(Main[[#This Row],[Tech Start Date]],19),IF(Main[[#This Row],[Class]]="A",WORKDAY(Main[[#This Row],[Tech Start Date]],9),""))))</f>
        <v/>
      </c>
      <c r="Q227" s="162"/>
      <c r="R227" s="162"/>
      <c r="S227" s="159" t="s">
        <v>11</v>
      </c>
      <c r="T227" s="173" t="s">
        <v>4</v>
      </c>
      <c r="U227" s="159" t="s">
        <v>14</v>
      </c>
      <c r="V227" s="159" t="s">
        <v>1933</v>
      </c>
      <c r="W227" s="159" t="s">
        <v>1940</v>
      </c>
      <c r="X227" s="159" t="s">
        <v>2938</v>
      </c>
      <c r="Y227" s="159" t="s">
        <v>3073</v>
      </c>
      <c r="Z227" s="159" t="s">
        <v>4</v>
      </c>
      <c r="AA227" s="154" t="s">
        <v>2938</v>
      </c>
    </row>
    <row r="228" spans="1:27" ht="18.600000000000001" customHeight="1">
      <c r="A228" s="157" t="str">
        <f>IF(priority(Main[[#This Row],[Comments]])&lt;&gt;0, priority(Main[[#This Row],[Comments]]),"")</f>
        <v/>
      </c>
      <c r="B228" s="158" t="s">
        <v>1117</v>
      </c>
      <c r="C228" s="159" t="s">
        <v>4</v>
      </c>
      <c r="D228" s="160" t="s">
        <v>128</v>
      </c>
      <c r="E228" s="162"/>
      <c r="F228" s="162"/>
      <c r="G228" s="164" t="str">
        <f>IF(stdProdLT(Main[[#This Row],[Comments]])=0.1,"N/A",IF(stdProdLT(Main[[#This Row],[Comments]])=0,"",stdProdLT(Main[[#This Row],[Comments]])))</f>
        <v/>
      </c>
      <c r="H228" s="166" t="str">
        <f>IF(AND(Main[[#This Row],[In Stock Date]]&lt;&gt;"",Main[[#This Row],[Revised Due Date]]&lt;&gt;""),Main[[#This Row],[In Stock Date]]-Main[[#This Row],[Revised Due Date]],"")</f>
        <v/>
      </c>
      <c r="I228" s="159" t="s">
        <v>129</v>
      </c>
      <c r="J228" s="159" t="s">
        <v>4</v>
      </c>
      <c r="K228" s="159" t="s">
        <v>4</v>
      </c>
      <c r="L228" s="162"/>
      <c r="M228" s="169" t="str">
        <f>IF(Main[[#This Row],[Tech Start Date]]&lt;1/1/1990,"",IF(Main[[#This Row],[Class]]="C",WORKDAY(Main[[#This Row],[Tech Start Date]],9),IF(Main[[#This Row],[Class]]="B", WORKDAY(Main[[#This Row],[Tech Start Date]],6),IF(Main[[#This Row],[Class]]="A",WORKDAY(Main[[#This Row],[Tech Start Date]],2),""))))</f>
        <v/>
      </c>
      <c r="N228" s="169" t="str">
        <f>IF(Main[[#This Row],[Tech Start Date]]&lt;1/1/1990,"",IF(Main[[#This Row],[Class]]="C",WORKDAY(Main[[#This Row],[Tech Start Date]],19),IF(Main[[#This Row],[Class]]="B", WORKDAY(Main[[#This Row],[Tech Start Date]],12),IF(Main[[#This Row],[Class]]="A",WORKDAY(Main[[#This Row],[Tech Start Date]],4),""))))</f>
        <v/>
      </c>
      <c r="O228" s="169" t="str">
        <f>IF(Main[[#This Row],[Tech Start Date]]&lt;1/1/1990,"",IF(Main[[#This Row],[Class]]="C",WORKDAY(Main[[#This Row],[Tech Start Date]],23),IF(Main[[#This Row],[Class]]="B", WORKDAY(Main[[#This Row],[Tech Start Date]],15),IF(Main[[#This Row],[Class]]="A",WORKDAY(Main[[#This Row],[Tech Start Date]],5),""))))</f>
        <v/>
      </c>
      <c r="P228" s="169" t="str">
        <f>IF(Main[[#This Row],[Tech Start Date]]&lt;1/1/1990,"",IF(Main[[#This Row],[Class]]="C",WORKDAY(Main[[#This Row],[Tech Start Date]],28),IF(Main[[#This Row],[Class]]="B", WORKDAY(Main[[#This Row],[Tech Start Date]],19),IF(Main[[#This Row],[Class]]="A",WORKDAY(Main[[#This Row],[Tech Start Date]],9),""))))</f>
        <v/>
      </c>
      <c r="Q228" s="162"/>
      <c r="R228" s="162"/>
      <c r="S228" s="159" t="s">
        <v>17</v>
      </c>
      <c r="T228" s="173" t="s">
        <v>4</v>
      </c>
      <c r="U228" s="159" t="s">
        <v>14</v>
      </c>
      <c r="V228" s="159" t="s">
        <v>1932</v>
      </c>
      <c r="W228" s="159" t="s">
        <v>1936</v>
      </c>
      <c r="X228" s="159" t="s">
        <v>933</v>
      </c>
      <c r="Y228" s="159" t="s">
        <v>3087</v>
      </c>
      <c r="Z228" s="159" t="s">
        <v>4</v>
      </c>
      <c r="AA228" s="154" t="s">
        <v>129</v>
      </c>
    </row>
    <row r="229" spans="1:27" ht="18.600000000000001" customHeight="1">
      <c r="A229" s="157" t="str">
        <f>IF(priority(Main[[#This Row],[Comments]])&lt;&gt;0, priority(Main[[#This Row],[Comments]]),"")</f>
        <v/>
      </c>
      <c r="B229" s="158" t="s">
        <v>1105</v>
      </c>
      <c r="C229" s="159" t="s">
        <v>31</v>
      </c>
      <c r="D229" s="160" t="s">
        <v>143</v>
      </c>
      <c r="E229" s="162"/>
      <c r="F229" s="162"/>
      <c r="G229" s="164" t="str">
        <f>IF(stdProdLT(Main[[#This Row],[Comments]])=0.1,"N/A",IF(stdProdLT(Main[[#This Row],[Comments]])=0,"",stdProdLT(Main[[#This Row],[Comments]])))</f>
        <v/>
      </c>
      <c r="H229" s="166" t="str">
        <f>IF(AND(Main[[#This Row],[In Stock Date]]&lt;&gt;"",Main[[#This Row],[Revised Due Date]]&lt;&gt;""),Main[[#This Row],[In Stock Date]]-Main[[#This Row],[Revised Due Date]],"")</f>
        <v/>
      </c>
      <c r="I229" s="159" t="s">
        <v>4</v>
      </c>
      <c r="J229" s="159" t="s">
        <v>4</v>
      </c>
      <c r="K229" s="159" t="s">
        <v>4</v>
      </c>
      <c r="L229" s="162"/>
      <c r="M229" s="169" t="str">
        <f>IF(Main[[#This Row],[Tech Start Date]]&lt;1/1/1990,"",IF(Main[[#This Row],[Class]]="C",WORKDAY(Main[[#This Row],[Tech Start Date]],9),IF(Main[[#This Row],[Class]]="B", WORKDAY(Main[[#This Row],[Tech Start Date]],6),IF(Main[[#This Row],[Class]]="A",WORKDAY(Main[[#This Row],[Tech Start Date]],2),""))))</f>
        <v/>
      </c>
      <c r="N229" s="169" t="str">
        <f>IF(Main[[#This Row],[Tech Start Date]]&lt;1/1/1990,"",IF(Main[[#This Row],[Class]]="C",WORKDAY(Main[[#This Row],[Tech Start Date]],19),IF(Main[[#This Row],[Class]]="B", WORKDAY(Main[[#This Row],[Tech Start Date]],12),IF(Main[[#This Row],[Class]]="A",WORKDAY(Main[[#This Row],[Tech Start Date]],4),""))))</f>
        <v/>
      </c>
      <c r="O229" s="169" t="str">
        <f>IF(Main[[#This Row],[Tech Start Date]]&lt;1/1/1990,"",IF(Main[[#This Row],[Class]]="C",WORKDAY(Main[[#This Row],[Tech Start Date]],23),IF(Main[[#This Row],[Class]]="B", WORKDAY(Main[[#This Row],[Tech Start Date]],15),IF(Main[[#This Row],[Class]]="A",WORKDAY(Main[[#This Row],[Tech Start Date]],5),""))))</f>
        <v/>
      </c>
      <c r="P229" s="169" t="str">
        <f>IF(Main[[#This Row],[Tech Start Date]]&lt;1/1/1990,"",IF(Main[[#This Row],[Class]]="C",WORKDAY(Main[[#This Row],[Tech Start Date]],28),IF(Main[[#This Row],[Class]]="B", WORKDAY(Main[[#This Row],[Tech Start Date]],19),IF(Main[[#This Row],[Class]]="A",WORKDAY(Main[[#This Row],[Tech Start Date]],9),""))))</f>
        <v/>
      </c>
      <c r="Q229" s="162">
        <v>40318</v>
      </c>
      <c r="R229" s="162"/>
      <c r="S229" s="159" t="s">
        <v>11</v>
      </c>
      <c r="T229" s="173" t="s">
        <v>4</v>
      </c>
      <c r="U229" s="159" t="s">
        <v>14</v>
      </c>
      <c r="V229" s="159" t="s">
        <v>1935</v>
      </c>
      <c r="W229" s="159" t="s">
        <v>1934</v>
      </c>
      <c r="X229" s="159" t="s">
        <v>2921</v>
      </c>
      <c r="Y229" s="159" t="s">
        <v>4</v>
      </c>
      <c r="Z229" s="159" t="s">
        <v>4</v>
      </c>
      <c r="AA229" s="154" t="s">
        <v>2921</v>
      </c>
    </row>
    <row r="230" spans="1:27" ht="18.600000000000001" customHeight="1">
      <c r="A230" s="157" t="str">
        <f>IF(priority(Main[[#This Row],[Comments]])&lt;&gt;0, priority(Main[[#This Row],[Comments]]),"")</f>
        <v/>
      </c>
      <c r="B230" s="158" t="s">
        <v>2365</v>
      </c>
      <c r="C230" s="159" t="s">
        <v>351</v>
      </c>
      <c r="D230" s="160" t="s">
        <v>2366</v>
      </c>
      <c r="E230" s="162"/>
      <c r="F230" s="162"/>
      <c r="G230" s="164" t="str">
        <f>IF(stdProdLT(Main[[#This Row],[Comments]])=0.1,"N/A",IF(stdProdLT(Main[[#This Row],[Comments]])=0,"",stdProdLT(Main[[#This Row],[Comments]])))</f>
        <v/>
      </c>
      <c r="H230" s="166" t="str">
        <f>IF(AND(Main[[#This Row],[In Stock Date]]&lt;&gt;"",Main[[#This Row],[Revised Due Date]]&lt;&gt;""),Main[[#This Row],[In Stock Date]]-Main[[#This Row],[Revised Due Date]],"")</f>
        <v/>
      </c>
      <c r="I230" s="159" t="s">
        <v>4</v>
      </c>
      <c r="J230" s="159" t="s">
        <v>4</v>
      </c>
      <c r="K230" s="159" t="s">
        <v>4</v>
      </c>
      <c r="L230" s="162"/>
      <c r="M230" s="169" t="str">
        <f>IF(Main[[#This Row],[Tech Start Date]]&lt;1/1/1990,"",IF(Main[[#This Row],[Class]]="C",WORKDAY(Main[[#This Row],[Tech Start Date]],9),IF(Main[[#This Row],[Class]]="B", WORKDAY(Main[[#This Row],[Tech Start Date]],6),IF(Main[[#This Row],[Class]]="A",WORKDAY(Main[[#This Row],[Tech Start Date]],2),""))))</f>
        <v/>
      </c>
      <c r="N230" s="169" t="str">
        <f>IF(Main[[#This Row],[Tech Start Date]]&lt;1/1/1990,"",IF(Main[[#This Row],[Class]]="C",WORKDAY(Main[[#This Row],[Tech Start Date]],19),IF(Main[[#This Row],[Class]]="B", WORKDAY(Main[[#This Row],[Tech Start Date]],12),IF(Main[[#This Row],[Class]]="A",WORKDAY(Main[[#This Row],[Tech Start Date]],4),""))))</f>
        <v/>
      </c>
      <c r="O230" s="169" t="str">
        <f>IF(Main[[#This Row],[Tech Start Date]]&lt;1/1/1990,"",IF(Main[[#This Row],[Class]]="C",WORKDAY(Main[[#This Row],[Tech Start Date]],23),IF(Main[[#This Row],[Class]]="B", WORKDAY(Main[[#This Row],[Tech Start Date]],15),IF(Main[[#This Row],[Class]]="A",WORKDAY(Main[[#This Row],[Tech Start Date]],5),""))))</f>
        <v/>
      </c>
      <c r="P230" s="169" t="str">
        <f>IF(Main[[#This Row],[Tech Start Date]]&lt;1/1/1990,"",IF(Main[[#This Row],[Class]]="C",WORKDAY(Main[[#This Row],[Tech Start Date]],28),IF(Main[[#This Row],[Class]]="B", WORKDAY(Main[[#This Row],[Tech Start Date]],19),IF(Main[[#This Row],[Class]]="A",WORKDAY(Main[[#This Row],[Tech Start Date]],9),""))))</f>
        <v/>
      </c>
      <c r="Q230" s="162">
        <v>40847</v>
      </c>
      <c r="R230" s="162"/>
      <c r="S230" s="159" t="s">
        <v>4</v>
      </c>
      <c r="T230" s="173" t="s">
        <v>4</v>
      </c>
      <c r="U230" s="159" t="s">
        <v>12</v>
      </c>
      <c r="V230" s="159" t="s">
        <v>1932</v>
      </c>
      <c r="W230" s="159" t="s">
        <v>4</v>
      </c>
      <c r="X230" s="159" t="s">
        <v>2940</v>
      </c>
      <c r="Y230" s="159" t="s">
        <v>3078</v>
      </c>
      <c r="Z230" s="159" t="s">
        <v>4</v>
      </c>
      <c r="AA230" s="154" t="s">
        <v>2940</v>
      </c>
    </row>
    <row r="231" spans="1:27" ht="18.600000000000001" customHeight="1">
      <c r="A231" s="157" t="str">
        <f>IF(priority(Main[[#This Row],[Comments]])&lt;&gt;0, priority(Main[[#This Row],[Comments]]),"")</f>
        <v/>
      </c>
      <c r="B231" s="158" t="s">
        <v>2090</v>
      </c>
      <c r="C231" s="159" t="s">
        <v>4</v>
      </c>
      <c r="D231" s="160" t="s">
        <v>2091</v>
      </c>
      <c r="E231" s="162"/>
      <c r="F231" s="162"/>
      <c r="G231" s="164" t="str">
        <f>IF(stdProdLT(Main[[#This Row],[Comments]])=0.1,"N/A",IF(stdProdLT(Main[[#This Row],[Comments]])=0,"",stdProdLT(Main[[#This Row],[Comments]])))</f>
        <v/>
      </c>
      <c r="H231" s="166" t="str">
        <f>IF(AND(Main[[#This Row],[In Stock Date]]&lt;&gt;"",Main[[#This Row],[Revised Due Date]]&lt;&gt;""),Main[[#This Row],[In Stock Date]]-Main[[#This Row],[Revised Due Date]],"")</f>
        <v/>
      </c>
      <c r="I231" s="159" t="s">
        <v>4</v>
      </c>
      <c r="J231" s="159" t="s">
        <v>4</v>
      </c>
      <c r="K231" s="159" t="s">
        <v>4</v>
      </c>
      <c r="L231" s="162"/>
      <c r="M231" s="169" t="str">
        <f>IF(Main[[#This Row],[Tech Start Date]]&lt;1/1/1990,"",IF(Main[[#This Row],[Class]]="C",WORKDAY(Main[[#This Row],[Tech Start Date]],9),IF(Main[[#This Row],[Class]]="B", WORKDAY(Main[[#This Row],[Tech Start Date]],6),IF(Main[[#This Row],[Class]]="A",WORKDAY(Main[[#This Row],[Tech Start Date]],2),""))))</f>
        <v/>
      </c>
      <c r="N231" s="169" t="str">
        <f>IF(Main[[#This Row],[Tech Start Date]]&lt;1/1/1990,"",IF(Main[[#This Row],[Class]]="C",WORKDAY(Main[[#This Row],[Tech Start Date]],19),IF(Main[[#This Row],[Class]]="B", WORKDAY(Main[[#This Row],[Tech Start Date]],12),IF(Main[[#This Row],[Class]]="A",WORKDAY(Main[[#This Row],[Tech Start Date]],4),""))))</f>
        <v/>
      </c>
      <c r="O231" s="169" t="str">
        <f>IF(Main[[#This Row],[Tech Start Date]]&lt;1/1/1990,"",IF(Main[[#This Row],[Class]]="C",WORKDAY(Main[[#This Row],[Tech Start Date]],23),IF(Main[[#This Row],[Class]]="B", WORKDAY(Main[[#This Row],[Tech Start Date]],15),IF(Main[[#This Row],[Class]]="A",WORKDAY(Main[[#This Row],[Tech Start Date]],5),""))))</f>
        <v/>
      </c>
      <c r="P231" s="169" t="str">
        <f>IF(Main[[#This Row],[Tech Start Date]]&lt;1/1/1990,"",IF(Main[[#This Row],[Class]]="C",WORKDAY(Main[[#This Row],[Tech Start Date]],28),IF(Main[[#This Row],[Class]]="B", WORKDAY(Main[[#This Row],[Tech Start Date]],19),IF(Main[[#This Row],[Class]]="A",WORKDAY(Main[[#This Row],[Tech Start Date]],9),""))))</f>
        <v/>
      </c>
      <c r="Q231" s="162"/>
      <c r="R231" s="162"/>
      <c r="S231" s="159" t="s">
        <v>6</v>
      </c>
      <c r="T231" s="173" t="s">
        <v>4</v>
      </c>
      <c r="U231" s="159" t="s">
        <v>14</v>
      </c>
      <c r="V231" s="159" t="s">
        <v>1942</v>
      </c>
      <c r="W231" s="159" t="s">
        <v>1936</v>
      </c>
      <c r="X231" s="159" t="s">
        <v>310</v>
      </c>
      <c r="Y231" s="159" t="s">
        <v>4</v>
      </c>
      <c r="Z231" s="159" t="s">
        <v>4</v>
      </c>
      <c r="AA231" s="154" t="s">
        <v>4</v>
      </c>
    </row>
    <row r="232" spans="1:27" ht="18.600000000000001" customHeight="1">
      <c r="A232" s="157" t="str">
        <f>IF(priority(Main[[#This Row],[Comments]])&lt;&gt;0, priority(Main[[#This Row],[Comments]]),"")</f>
        <v/>
      </c>
      <c r="B232" s="158" t="s">
        <v>2367</v>
      </c>
      <c r="C232" s="159" t="s">
        <v>4</v>
      </c>
      <c r="D232" s="160" t="s">
        <v>2368</v>
      </c>
      <c r="E232" s="162">
        <v>40841.293483796297</v>
      </c>
      <c r="F232" s="162"/>
      <c r="G232" s="164" t="str">
        <f>IF(stdProdLT(Main[[#This Row],[Comments]])=0.1,"N/A",IF(stdProdLT(Main[[#This Row],[Comments]])=0,"",stdProdLT(Main[[#This Row],[Comments]])))</f>
        <v/>
      </c>
      <c r="H232" s="166" t="str">
        <f>IF(AND(Main[[#This Row],[In Stock Date]]&lt;&gt;"",Main[[#This Row],[Revised Due Date]]&lt;&gt;""),Main[[#This Row],[In Stock Date]]-Main[[#This Row],[Revised Due Date]],"")</f>
        <v/>
      </c>
      <c r="I232" s="159" t="s">
        <v>923</v>
      </c>
      <c r="J232" s="159" t="s">
        <v>52</v>
      </c>
      <c r="K232" s="159" t="s">
        <v>4</v>
      </c>
      <c r="L232" s="162"/>
      <c r="M232" s="169" t="str">
        <f>IF(Main[[#This Row],[Tech Start Date]]&lt;1/1/1990,"",IF(Main[[#This Row],[Class]]="C",WORKDAY(Main[[#This Row],[Tech Start Date]],9),IF(Main[[#This Row],[Class]]="B", WORKDAY(Main[[#This Row],[Tech Start Date]],6),IF(Main[[#This Row],[Class]]="A",WORKDAY(Main[[#This Row],[Tech Start Date]],2),""))))</f>
        <v/>
      </c>
      <c r="N232" s="169" t="str">
        <f>IF(Main[[#This Row],[Tech Start Date]]&lt;1/1/1990,"",IF(Main[[#This Row],[Class]]="C",WORKDAY(Main[[#This Row],[Tech Start Date]],19),IF(Main[[#This Row],[Class]]="B", WORKDAY(Main[[#This Row],[Tech Start Date]],12),IF(Main[[#This Row],[Class]]="A",WORKDAY(Main[[#This Row],[Tech Start Date]],4),""))))</f>
        <v/>
      </c>
      <c r="O232" s="169" t="str">
        <f>IF(Main[[#This Row],[Tech Start Date]]&lt;1/1/1990,"",IF(Main[[#This Row],[Class]]="C",WORKDAY(Main[[#This Row],[Tech Start Date]],23),IF(Main[[#This Row],[Class]]="B", WORKDAY(Main[[#This Row],[Tech Start Date]],15),IF(Main[[#This Row],[Class]]="A",WORKDAY(Main[[#This Row],[Tech Start Date]],5),""))))</f>
        <v/>
      </c>
      <c r="P232" s="169" t="str">
        <f>IF(Main[[#This Row],[Tech Start Date]]&lt;1/1/1990,"",IF(Main[[#This Row],[Class]]="C",WORKDAY(Main[[#This Row],[Tech Start Date]],28),IF(Main[[#This Row],[Class]]="B", WORKDAY(Main[[#This Row],[Tech Start Date]],19),IF(Main[[#This Row],[Class]]="A",WORKDAY(Main[[#This Row],[Tech Start Date]],9),""))))</f>
        <v/>
      </c>
      <c r="Q232" s="162"/>
      <c r="R232" s="162"/>
      <c r="S232" s="159" t="s">
        <v>6</v>
      </c>
      <c r="T232" s="173" t="s">
        <v>4</v>
      </c>
      <c r="U232" s="159" t="s">
        <v>29</v>
      </c>
      <c r="V232" s="159" t="s">
        <v>1932</v>
      </c>
      <c r="W232" s="159" t="s">
        <v>1936</v>
      </c>
      <c r="X232" s="159" t="s">
        <v>949</v>
      </c>
      <c r="Y232" s="159" t="s">
        <v>3079</v>
      </c>
      <c r="Z232" s="159" t="s">
        <v>4</v>
      </c>
      <c r="AA232" s="154" t="s">
        <v>949</v>
      </c>
    </row>
    <row r="233" spans="1:27" ht="18.600000000000001" customHeight="1">
      <c r="A233" s="157" t="str">
        <f>IF(priority(Main[[#This Row],[Comments]])&lt;&gt;0, priority(Main[[#This Row],[Comments]]),"")</f>
        <v/>
      </c>
      <c r="B233" s="158" t="s">
        <v>1106</v>
      </c>
      <c r="C233" s="159" t="s">
        <v>33</v>
      </c>
      <c r="D233" s="160" t="s">
        <v>144</v>
      </c>
      <c r="E233" s="162"/>
      <c r="F233" s="162">
        <v>40422</v>
      </c>
      <c r="G233" s="164" t="str">
        <f>IF(stdProdLT(Main[[#This Row],[Comments]])=0.1,"N/A",IF(stdProdLT(Main[[#This Row],[Comments]])=0,"",stdProdLT(Main[[#This Row],[Comments]])))</f>
        <v/>
      </c>
      <c r="H233" s="166" t="str">
        <f>IF(AND(Main[[#This Row],[In Stock Date]]&lt;&gt;"",Main[[#This Row],[Revised Due Date]]&lt;&gt;""),Main[[#This Row],[In Stock Date]]-Main[[#This Row],[Revised Due Date]],"")</f>
        <v/>
      </c>
      <c r="I233" s="159" t="s">
        <v>4</v>
      </c>
      <c r="J233" s="159" t="s">
        <v>4</v>
      </c>
      <c r="K233" s="159" t="s">
        <v>4</v>
      </c>
      <c r="L233" s="162"/>
      <c r="M233" s="169" t="str">
        <f>IF(Main[[#This Row],[Tech Start Date]]&lt;1/1/1990,"",IF(Main[[#This Row],[Class]]="C",WORKDAY(Main[[#This Row],[Tech Start Date]],9),IF(Main[[#This Row],[Class]]="B", WORKDAY(Main[[#This Row],[Tech Start Date]],6),IF(Main[[#This Row],[Class]]="A",WORKDAY(Main[[#This Row],[Tech Start Date]],2),""))))</f>
        <v/>
      </c>
      <c r="N233" s="169" t="str">
        <f>IF(Main[[#This Row],[Tech Start Date]]&lt;1/1/1990,"",IF(Main[[#This Row],[Class]]="C",WORKDAY(Main[[#This Row],[Tech Start Date]],19),IF(Main[[#This Row],[Class]]="B", WORKDAY(Main[[#This Row],[Tech Start Date]],12),IF(Main[[#This Row],[Class]]="A",WORKDAY(Main[[#This Row],[Tech Start Date]],4),""))))</f>
        <v/>
      </c>
      <c r="O233" s="169" t="str">
        <f>IF(Main[[#This Row],[Tech Start Date]]&lt;1/1/1990,"",IF(Main[[#This Row],[Class]]="C",WORKDAY(Main[[#This Row],[Tech Start Date]],23),IF(Main[[#This Row],[Class]]="B", WORKDAY(Main[[#This Row],[Tech Start Date]],15),IF(Main[[#This Row],[Class]]="A",WORKDAY(Main[[#This Row],[Tech Start Date]],5),""))))</f>
        <v/>
      </c>
      <c r="P233" s="169" t="str">
        <f>IF(Main[[#This Row],[Tech Start Date]]&lt;1/1/1990,"",IF(Main[[#This Row],[Class]]="C",WORKDAY(Main[[#This Row],[Tech Start Date]],28),IF(Main[[#This Row],[Class]]="B", WORKDAY(Main[[#This Row],[Tech Start Date]],19),IF(Main[[#This Row],[Class]]="A",WORKDAY(Main[[#This Row],[Tech Start Date]],9),""))))</f>
        <v/>
      </c>
      <c r="Q233" s="162">
        <v>40282</v>
      </c>
      <c r="R233" s="171"/>
      <c r="S233" s="159" t="s">
        <v>11</v>
      </c>
      <c r="T233" s="173" t="s">
        <v>4</v>
      </c>
      <c r="U233" s="159" t="s">
        <v>14</v>
      </c>
      <c r="V233" s="159" t="s">
        <v>1935</v>
      </c>
      <c r="W233" s="159" t="s">
        <v>1937</v>
      </c>
      <c r="X233" s="159" t="s">
        <v>2941</v>
      </c>
      <c r="Y233" s="159" t="s">
        <v>4</v>
      </c>
      <c r="Z233" s="159" t="s">
        <v>4</v>
      </c>
      <c r="AA233" s="154" t="s">
        <v>2941</v>
      </c>
    </row>
    <row r="234" spans="1:27" ht="18.600000000000001" customHeight="1">
      <c r="A234" s="157" t="str">
        <f>IF(priority(Main[[#This Row],[Comments]])&lt;&gt;0, priority(Main[[#This Row],[Comments]]),"")</f>
        <v/>
      </c>
      <c r="B234" s="158" t="s">
        <v>1107</v>
      </c>
      <c r="C234" s="159" t="s">
        <v>4</v>
      </c>
      <c r="D234" s="160" t="s">
        <v>145</v>
      </c>
      <c r="E234" s="162">
        <v>40395.405358796299</v>
      </c>
      <c r="F234" s="162">
        <v>40574</v>
      </c>
      <c r="G234" s="164" t="str">
        <f>IF(stdProdLT(Main[[#This Row],[Comments]])=0.1,"N/A",IF(stdProdLT(Main[[#This Row],[Comments]])=0,"",stdProdLT(Main[[#This Row],[Comments]])))</f>
        <v/>
      </c>
      <c r="H234" s="166" t="str">
        <f>IF(AND(Main[[#This Row],[In Stock Date]]&lt;&gt;"",Main[[#This Row],[Revised Due Date]]&lt;&gt;""),Main[[#This Row],[In Stock Date]]-Main[[#This Row],[Revised Due Date]],"")</f>
        <v/>
      </c>
      <c r="I234" s="159" t="s">
        <v>4</v>
      </c>
      <c r="J234" s="159" t="s">
        <v>28</v>
      </c>
      <c r="K234" s="159" t="s">
        <v>4</v>
      </c>
      <c r="L234" s="162"/>
      <c r="M234" s="169" t="str">
        <f>IF(Main[[#This Row],[Tech Start Date]]&lt;1/1/1990,"",IF(Main[[#This Row],[Class]]="C",WORKDAY(Main[[#This Row],[Tech Start Date]],9),IF(Main[[#This Row],[Class]]="B", WORKDAY(Main[[#This Row],[Tech Start Date]],6),IF(Main[[#This Row],[Class]]="A",WORKDAY(Main[[#This Row],[Tech Start Date]],2),""))))</f>
        <v/>
      </c>
      <c r="N234" s="169" t="str">
        <f>IF(Main[[#This Row],[Tech Start Date]]&lt;1/1/1990,"",IF(Main[[#This Row],[Class]]="C",WORKDAY(Main[[#This Row],[Tech Start Date]],19),IF(Main[[#This Row],[Class]]="B", WORKDAY(Main[[#This Row],[Tech Start Date]],12),IF(Main[[#This Row],[Class]]="A",WORKDAY(Main[[#This Row],[Tech Start Date]],4),""))))</f>
        <v/>
      </c>
      <c r="O234" s="169" t="str">
        <f>IF(Main[[#This Row],[Tech Start Date]]&lt;1/1/1990,"",IF(Main[[#This Row],[Class]]="C",WORKDAY(Main[[#This Row],[Tech Start Date]],23),IF(Main[[#This Row],[Class]]="B", WORKDAY(Main[[#This Row],[Tech Start Date]],15),IF(Main[[#This Row],[Class]]="A",WORKDAY(Main[[#This Row],[Tech Start Date]],5),""))))</f>
        <v/>
      </c>
      <c r="P234" s="169" t="str">
        <f>IF(Main[[#This Row],[Tech Start Date]]&lt;1/1/1990,"",IF(Main[[#This Row],[Class]]="C",WORKDAY(Main[[#This Row],[Tech Start Date]],28),IF(Main[[#This Row],[Class]]="B", WORKDAY(Main[[#This Row],[Tech Start Date]],19),IF(Main[[#This Row],[Class]]="A",WORKDAY(Main[[#This Row],[Tech Start Date]],9),""))))</f>
        <v/>
      </c>
      <c r="Q234" s="162"/>
      <c r="R234" s="162"/>
      <c r="S234" s="159" t="s">
        <v>17</v>
      </c>
      <c r="T234" s="173" t="s">
        <v>4</v>
      </c>
      <c r="U234" s="159" t="s">
        <v>7</v>
      </c>
      <c r="V234" s="159" t="s">
        <v>1933</v>
      </c>
      <c r="W234" s="159" t="s">
        <v>1937</v>
      </c>
      <c r="X234" s="159" t="s">
        <v>50</v>
      </c>
      <c r="Y234" s="159" t="s">
        <v>3080</v>
      </c>
      <c r="Z234" s="159" t="s">
        <v>2953</v>
      </c>
      <c r="AA234" s="154" t="s">
        <v>65</v>
      </c>
    </row>
    <row r="235" spans="1:27" ht="18.600000000000001" customHeight="1">
      <c r="A235" s="157" t="str">
        <f>IF(priority(Main[[#This Row],[Comments]])&lt;&gt;0, priority(Main[[#This Row],[Comments]]),"")</f>
        <v/>
      </c>
      <c r="B235" s="158" t="s">
        <v>1095</v>
      </c>
      <c r="C235" s="159" t="s">
        <v>4</v>
      </c>
      <c r="D235" s="160" t="s">
        <v>134</v>
      </c>
      <c r="E235" s="162"/>
      <c r="F235" s="162"/>
      <c r="G235" s="164" t="str">
        <f>IF(stdProdLT(Main[[#This Row],[Comments]])=0.1,"N/A",IF(stdProdLT(Main[[#This Row],[Comments]])=0,"",stdProdLT(Main[[#This Row],[Comments]])))</f>
        <v/>
      </c>
      <c r="H235" s="166" t="str">
        <f>IF(AND(Main[[#This Row],[In Stock Date]]&lt;&gt;"",Main[[#This Row],[Revised Due Date]]&lt;&gt;""),Main[[#This Row],[In Stock Date]]-Main[[#This Row],[Revised Due Date]],"")</f>
        <v/>
      </c>
      <c r="I235" s="159" t="s">
        <v>69</v>
      </c>
      <c r="J235" s="159" t="s">
        <v>70</v>
      </c>
      <c r="K235" s="159" t="s">
        <v>1941</v>
      </c>
      <c r="L235" s="162"/>
      <c r="M235" s="169" t="str">
        <f>IF(Main[[#This Row],[Tech Start Date]]&lt;1/1/1990,"",IF(Main[[#This Row],[Class]]="C",WORKDAY(Main[[#This Row],[Tech Start Date]],9),IF(Main[[#This Row],[Class]]="B", WORKDAY(Main[[#This Row],[Tech Start Date]],6),IF(Main[[#This Row],[Class]]="A",WORKDAY(Main[[#This Row],[Tech Start Date]],2),""))))</f>
        <v/>
      </c>
      <c r="N235" s="169" t="str">
        <f>IF(Main[[#This Row],[Tech Start Date]]&lt;1/1/1990,"",IF(Main[[#This Row],[Class]]="C",WORKDAY(Main[[#This Row],[Tech Start Date]],19),IF(Main[[#This Row],[Class]]="B", WORKDAY(Main[[#This Row],[Tech Start Date]],12),IF(Main[[#This Row],[Class]]="A",WORKDAY(Main[[#This Row],[Tech Start Date]],4),""))))</f>
        <v/>
      </c>
      <c r="O235" s="169" t="str">
        <f>IF(Main[[#This Row],[Tech Start Date]]&lt;1/1/1990,"",IF(Main[[#This Row],[Class]]="C",WORKDAY(Main[[#This Row],[Tech Start Date]],23),IF(Main[[#This Row],[Class]]="B", WORKDAY(Main[[#This Row],[Tech Start Date]],15),IF(Main[[#This Row],[Class]]="A",WORKDAY(Main[[#This Row],[Tech Start Date]],5),""))))</f>
        <v/>
      </c>
      <c r="P235" s="169" t="str">
        <f>IF(Main[[#This Row],[Tech Start Date]]&lt;1/1/1990,"",IF(Main[[#This Row],[Class]]="C",WORKDAY(Main[[#This Row],[Tech Start Date]],28),IF(Main[[#This Row],[Class]]="B", WORKDAY(Main[[#This Row],[Tech Start Date]],19),IF(Main[[#This Row],[Class]]="A",WORKDAY(Main[[#This Row],[Tech Start Date]],9),""))))</f>
        <v/>
      </c>
      <c r="Q235" s="162">
        <v>40633</v>
      </c>
      <c r="R235" s="162"/>
      <c r="S235" s="159" t="s">
        <v>6</v>
      </c>
      <c r="T235" s="173" t="s">
        <v>4</v>
      </c>
      <c r="U235" s="159" t="s">
        <v>14</v>
      </c>
      <c r="V235" s="159" t="s">
        <v>1935</v>
      </c>
      <c r="W235" s="159" t="s">
        <v>1936</v>
      </c>
      <c r="X235" s="159" t="s">
        <v>2910</v>
      </c>
      <c r="Y235" s="159" t="s">
        <v>3027</v>
      </c>
      <c r="Z235" s="159" t="s">
        <v>44</v>
      </c>
      <c r="AA235" s="154" t="s">
        <v>2910</v>
      </c>
    </row>
    <row r="236" spans="1:27" ht="18.600000000000001" customHeight="1">
      <c r="A236" s="157" t="str">
        <f>IF(priority(Main[[#This Row],[Comments]])&lt;&gt;0, priority(Main[[#This Row],[Comments]]),"")</f>
        <v/>
      </c>
      <c r="B236" s="158" t="s">
        <v>1109</v>
      </c>
      <c r="C236" s="159" t="s">
        <v>47</v>
      </c>
      <c r="D236" s="160" t="s">
        <v>147</v>
      </c>
      <c r="E236" s="162"/>
      <c r="F236" s="162"/>
      <c r="G236" s="164" t="str">
        <f>IF(stdProdLT(Main[[#This Row],[Comments]])=0.1,"N/A",IF(stdProdLT(Main[[#This Row],[Comments]])=0,"",stdProdLT(Main[[#This Row],[Comments]])))</f>
        <v/>
      </c>
      <c r="H236" s="166" t="str">
        <f>IF(AND(Main[[#This Row],[In Stock Date]]&lt;&gt;"",Main[[#This Row],[Revised Due Date]]&lt;&gt;""),Main[[#This Row],[In Stock Date]]-Main[[#This Row],[Revised Due Date]],"")</f>
        <v/>
      </c>
      <c r="I236" s="159" t="s">
        <v>4</v>
      </c>
      <c r="J236" s="159" t="s">
        <v>4</v>
      </c>
      <c r="K236" s="159" t="s">
        <v>4</v>
      </c>
      <c r="L236" s="162"/>
      <c r="M236" s="169" t="str">
        <f>IF(Main[[#This Row],[Tech Start Date]]&lt;1/1/1990,"",IF(Main[[#This Row],[Class]]="C",WORKDAY(Main[[#This Row],[Tech Start Date]],9),IF(Main[[#This Row],[Class]]="B", WORKDAY(Main[[#This Row],[Tech Start Date]],6),IF(Main[[#This Row],[Class]]="A",WORKDAY(Main[[#This Row],[Tech Start Date]],2),""))))</f>
        <v/>
      </c>
      <c r="N236" s="169" t="str">
        <f>IF(Main[[#This Row],[Tech Start Date]]&lt;1/1/1990,"",IF(Main[[#This Row],[Class]]="C",WORKDAY(Main[[#This Row],[Tech Start Date]],19),IF(Main[[#This Row],[Class]]="B", WORKDAY(Main[[#This Row],[Tech Start Date]],12),IF(Main[[#This Row],[Class]]="A",WORKDAY(Main[[#This Row],[Tech Start Date]],4),""))))</f>
        <v/>
      </c>
      <c r="O236" s="169" t="str">
        <f>IF(Main[[#This Row],[Tech Start Date]]&lt;1/1/1990,"",IF(Main[[#This Row],[Class]]="C",WORKDAY(Main[[#This Row],[Tech Start Date]],23),IF(Main[[#This Row],[Class]]="B", WORKDAY(Main[[#This Row],[Tech Start Date]],15),IF(Main[[#This Row],[Class]]="A",WORKDAY(Main[[#This Row],[Tech Start Date]],5),""))))</f>
        <v/>
      </c>
      <c r="P236" s="169" t="str">
        <f>IF(Main[[#This Row],[Tech Start Date]]&lt;1/1/1990,"",IF(Main[[#This Row],[Class]]="C",WORKDAY(Main[[#This Row],[Tech Start Date]],28),IF(Main[[#This Row],[Class]]="B", WORKDAY(Main[[#This Row],[Tech Start Date]],19),IF(Main[[#This Row],[Class]]="A",WORKDAY(Main[[#This Row],[Tech Start Date]],9),""))))</f>
        <v/>
      </c>
      <c r="Q236" s="162"/>
      <c r="R236" s="162"/>
      <c r="S236" s="159" t="s">
        <v>11</v>
      </c>
      <c r="T236" s="173" t="s">
        <v>4</v>
      </c>
      <c r="U236" s="159" t="s">
        <v>14</v>
      </c>
      <c r="V236" s="159" t="s">
        <v>1933</v>
      </c>
      <c r="W236" s="159" t="s">
        <v>1936</v>
      </c>
      <c r="X236" s="159" t="s">
        <v>403</v>
      </c>
      <c r="Y236" s="159" t="s">
        <v>4</v>
      </c>
      <c r="Z236" s="159" t="s">
        <v>4</v>
      </c>
      <c r="AA236" s="154" t="s">
        <v>403</v>
      </c>
    </row>
    <row r="237" spans="1:27" ht="18.600000000000001" customHeight="1">
      <c r="A237" s="157" t="str">
        <f>IF(priority(Main[[#This Row],[Comments]])&lt;&gt;0, priority(Main[[#This Row],[Comments]]),"")</f>
        <v/>
      </c>
      <c r="B237" s="158" t="s">
        <v>3384</v>
      </c>
      <c r="C237" s="159" t="s">
        <v>4</v>
      </c>
      <c r="D237" s="160" t="s">
        <v>3385</v>
      </c>
      <c r="E237" s="162">
        <v>40928.503738425927</v>
      </c>
      <c r="F237" s="162"/>
      <c r="G237" s="164" t="str">
        <f>IF(stdProdLT(Main[[#This Row],[Comments]])=0.1,"N/A",IF(stdProdLT(Main[[#This Row],[Comments]])=0,"",stdProdLT(Main[[#This Row],[Comments]])))</f>
        <v/>
      </c>
      <c r="H237" s="166" t="str">
        <f>IF(AND(Main[[#This Row],[In Stock Date]]&lt;&gt;"",Main[[#This Row],[Revised Due Date]]&lt;&gt;""),Main[[#This Row],[In Stock Date]]-Main[[#This Row],[Revised Due Date]],"")</f>
        <v/>
      </c>
      <c r="I237" s="159" t="s">
        <v>4</v>
      </c>
      <c r="J237" s="159" t="s">
        <v>4</v>
      </c>
      <c r="K237" s="159" t="s">
        <v>4</v>
      </c>
      <c r="L237" s="162"/>
      <c r="M237" s="169" t="str">
        <f>IF(Main[[#This Row],[Tech Start Date]]&lt;1/1/1990,"",IF(Main[[#This Row],[Class]]="C",WORKDAY(Main[[#This Row],[Tech Start Date]],9),IF(Main[[#This Row],[Class]]="B", WORKDAY(Main[[#This Row],[Tech Start Date]],6),IF(Main[[#This Row],[Class]]="A",WORKDAY(Main[[#This Row],[Tech Start Date]],2),""))))</f>
        <v/>
      </c>
      <c r="N237" s="169" t="str">
        <f>IF(Main[[#This Row],[Tech Start Date]]&lt;1/1/1990,"",IF(Main[[#This Row],[Class]]="C",WORKDAY(Main[[#This Row],[Tech Start Date]],19),IF(Main[[#This Row],[Class]]="B", WORKDAY(Main[[#This Row],[Tech Start Date]],12),IF(Main[[#This Row],[Class]]="A",WORKDAY(Main[[#This Row],[Tech Start Date]],4),""))))</f>
        <v/>
      </c>
      <c r="O237" s="169" t="str">
        <f>IF(Main[[#This Row],[Tech Start Date]]&lt;1/1/1990,"",IF(Main[[#This Row],[Class]]="C",WORKDAY(Main[[#This Row],[Tech Start Date]],23),IF(Main[[#This Row],[Class]]="B", WORKDAY(Main[[#This Row],[Tech Start Date]],15),IF(Main[[#This Row],[Class]]="A",WORKDAY(Main[[#This Row],[Tech Start Date]],5),""))))</f>
        <v/>
      </c>
      <c r="P237" s="169" t="str">
        <f>IF(Main[[#This Row],[Tech Start Date]]&lt;1/1/1990,"",IF(Main[[#This Row],[Class]]="C",WORKDAY(Main[[#This Row],[Tech Start Date]],28),IF(Main[[#This Row],[Class]]="B", WORKDAY(Main[[#This Row],[Tech Start Date]],19),IF(Main[[#This Row],[Class]]="A",WORKDAY(Main[[#This Row],[Tech Start Date]],9),""))))</f>
        <v/>
      </c>
      <c r="Q237" s="162"/>
      <c r="R237" s="162"/>
      <c r="S237" s="159" t="s">
        <v>6</v>
      </c>
      <c r="T237" s="173" t="s">
        <v>4</v>
      </c>
      <c r="U237" s="159" t="s">
        <v>29</v>
      </c>
      <c r="V237" s="159" t="s">
        <v>1933</v>
      </c>
      <c r="W237" s="159" t="s">
        <v>1936</v>
      </c>
      <c r="X237" s="159" t="s">
        <v>2278</v>
      </c>
      <c r="Y237" s="159" t="s">
        <v>4</v>
      </c>
      <c r="Z237" s="159" t="s">
        <v>4</v>
      </c>
      <c r="AA237" s="154" t="s">
        <v>4</v>
      </c>
    </row>
    <row r="238" spans="1:27" ht="18.600000000000001" customHeight="1">
      <c r="A238" s="157" t="str">
        <f>IF(priority(Main[[#This Row],[Comments]])&lt;&gt;0, priority(Main[[#This Row],[Comments]]),"")</f>
        <v/>
      </c>
      <c r="B238" s="158" t="s">
        <v>1110</v>
      </c>
      <c r="C238" s="159" t="s">
        <v>4</v>
      </c>
      <c r="D238" s="160" t="s">
        <v>148</v>
      </c>
      <c r="E238" s="162">
        <v>40666.180879629632</v>
      </c>
      <c r="F238" s="162"/>
      <c r="G238" s="164" t="str">
        <f>IF(stdProdLT(Main[[#This Row],[Comments]])=0.1,"N/A",IF(stdProdLT(Main[[#This Row],[Comments]])=0,"",stdProdLT(Main[[#This Row],[Comments]])))</f>
        <v/>
      </c>
      <c r="H238" s="166" t="str">
        <f>IF(AND(Main[[#This Row],[In Stock Date]]&lt;&gt;"",Main[[#This Row],[Revised Due Date]]&lt;&gt;""),Main[[#This Row],[In Stock Date]]-Main[[#This Row],[Revised Due Date]],"")</f>
        <v/>
      </c>
      <c r="I238" s="159" t="s">
        <v>4</v>
      </c>
      <c r="J238" s="159" t="s">
        <v>4</v>
      </c>
      <c r="K238" s="159" t="s">
        <v>4</v>
      </c>
      <c r="L238" s="162"/>
      <c r="M238" s="169" t="str">
        <f>IF(Main[[#This Row],[Tech Start Date]]&lt;1/1/1990,"",IF(Main[[#This Row],[Class]]="C",WORKDAY(Main[[#This Row],[Tech Start Date]],9),IF(Main[[#This Row],[Class]]="B", WORKDAY(Main[[#This Row],[Tech Start Date]],6),IF(Main[[#This Row],[Class]]="A",WORKDAY(Main[[#This Row],[Tech Start Date]],2),""))))</f>
        <v/>
      </c>
      <c r="N238" s="169" t="str">
        <f>IF(Main[[#This Row],[Tech Start Date]]&lt;1/1/1990,"",IF(Main[[#This Row],[Class]]="C",WORKDAY(Main[[#This Row],[Tech Start Date]],19),IF(Main[[#This Row],[Class]]="B", WORKDAY(Main[[#This Row],[Tech Start Date]],12),IF(Main[[#This Row],[Class]]="A",WORKDAY(Main[[#This Row],[Tech Start Date]],4),""))))</f>
        <v/>
      </c>
      <c r="O238" s="169" t="str">
        <f>IF(Main[[#This Row],[Tech Start Date]]&lt;1/1/1990,"",IF(Main[[#This Row],[Class]]="C",WORKDAY(Main[[#This Row],[Tech Start Date]],23),IF(Main[[#This Row],[Class]]="B", WORKDAY(Main[[#This Row],[Tech Start Date]],15),IF(Main[[#This Row],[Class]]="A",WORKDAY(Main[[#This Row],[Tech Start Date]],5),""))))</f>
        <v/>
      </c>
      <c r="P238" s="169" t="str">
        <f>IF(Main[[#This Row],[Tech Start Date]]&lt;1/1/1990,"",IF(Main[[#This Row],[Class]]="C",WORKDAY(Main[[#This Row],[Tech Start Date]],28),IF(Main[[#This Row],[Class]]="B", WORKDAY(Main[[#This Row],[Tech Start Date]],19),IF(Main[[#This Row],[Class]]="A",WORKDAY(Main[[#This Row],[Tech Start Date]],9),""))))</f>
        <v/>
      </c>
      <c r="Q238" s="162">
        <v>40687</v>
      </c>
      <c r="R238" s="162"/>
      <c r="S238" s="159" t="s">
        <v>6</v>
      </c>
      <c r="T238" s="173" t="s">
        <v>4</v>
      </c>
      <c r="U238" s="159" t="s">
        <v>7</v>
      </c>
      <c r="V238" s="159" t="s">
        <v>1932</v>
      </c>
      <c r="W238" s="159" t="s">
        <v>4</v>
      </c>
      <c r="X238" s="159" t="s">
        <v>2942</v>
      </c>
      <c r="Y238" s="159" t="s">
        <v>3081</v>
      </c>
      <c r="Z238" s="159" t="s">
        <v>4</v>
      </c>
      <c r="AA238" s="154" t="s">
        <v>2942</v>
      </c>
    </row>
    <row r="239" spans="1:27" ht="18.600000000000001" customHeight="1">
      <c r="A239" s="157" t="str">
        <f>IF(priority(Main[[#This Row],[Comments]])&lt;&gt;0, priority(Main[[#This Row],[Comments]]),"")</f>
        <v/>
      </c>
      <c r="B239" s="158" t="s">
        <v>1111</v>
      </c>
      <c r="C239" s="159" t="s">
        <v>149</v>
      </c>
      <c r="D239" s="160" t="s">
        <v>150</v>
      </c>
      <c r="E239" s="162"/>
      <c r="F239" s="162"/>
      <c r="G239" s="164" t="str">
        <f>IF(stdProdLT(Main[[#This Row],[Comments]])=0.1,"N/A",IF(stdProdLT(Main[[#This Row],[Comments]])=0,"",stdProdLT(Main[[#This Row],[Comments]])))</f>
        <v/>
      </c>
      <c r="H239" s="166" t="str">
        <f>IF(AND(Main[[#This Row],[In Stock Date]]&lt;&gt;"",Main[[#This Row],[Revised Due Date]]&lt;&gt;""),Main[[#This Row],[In Stock Date]]-Main[[#This Row],[Revised Due Date]],"")</f>
        <v/>
      </c>
      <c r="I239" s="159" t="s">
        <v>4</v>
      </c>
      <c r="J239" s="159" t="s">
        <v>28</v>
      </c>
      <c r="K239" s="159" t="s">
        <v>4</v>
      </c>
      <c r="L239" s="162"/>
      <c r="M239" s="169" t="str">
        <f>IF(Main[[#This Row],[Tech Start Date]]&lt;1/1/1990,"",IF(Main[[#This Row],[Class]]="C",WORKDAY(Main[[#This Row],[Tech Start Date]],9),IF(Main[[#This Row],[Class]]="B", WORKDAY(Main[[#This Row],[Tech Start Date]],6),IF(Main[[#This Row],[Class]]="A",WORKDAY(Main[[#This Row],[Tech Start Date]],2),""))))</f>
        <v/>
      </c>
      <c r="N239" s="169" t="str">
        <f>IF(Main[[#This Row],[Tech Start Date]]&lt;1/1/1990,"",IF(Main[[#This Row],[Class]]="C",WORKDAY(Main[[#This Row],[Tech Start Date]],19),IF(Main[[#This Row],[Class]]="B", WORKDAY(Main[[#This Row],[Tech Start Date]],12),IF(Main[[#This Row],[Class]]="A",WORKDAY(Main[[#This Row],[Tech Start Date]],4),""))))</f>
        <v/>
      </c>
      <c r="O239" s="169" t="str">
        <f>IF(Main[[#This Row],[Tech Start Date]]&lt;1/1/1990,"",IF(Main[[#This Row],[Class]]="C",WORKDAY(Main[[#This Row],[Tech Start Date]],23),IF(Main[[#This Row],[Class]]="B", WORKDAY(Main[[#This Row],[Tech Start Date]],15),IF(Main[[#This Row],[Class]]="A",WORKDAY(Main[[#This Row],[Tech Start Date]],5),""))))</f>
        <v/>
      </c>
      <c r="P239" s="169" t="str">
        <f>IF(Main[[#This Row],[Tech Start Date]]&lt;1/1/1990,"",IF(Main[[#This Row],[Class]]="C",WORKDAY(Main[[#This Row],[Tech Start Date]],28),IF(Main[[#This Row],[Class]]="B", WORKDAY(Main[[#This Row],[Tech Start Date]],19),IF(Main[[#This Row],[Class]]="A",WORKDAY(Main[[#This Row],[Tech Start Date]],9),""))))</f>
        <v/>
      </c>
      <c r="Q239" s="162">
        <v>40511</v>
      </c>
      <c r="R239" s="162"/>
      <c r="S239" s="159" t="s">
        <v>11</v>
      </c>
      <c r="T239" s="173" t="s">
        <v>4</v>
      </c>
      <c r="U239" s="159" t="s">
        <v>14</v>
      </c>
      <c r="V239" s="159" t="s">
        <v>1935</v>
      </c>
      <c r="W239" s="159" t="s">
        <v>1934</v>
      </c>
      <c r="X239" s="159" t="s">
        <v>2934</v>
      </c>
      <c r="Y239" s="159" t="s">
        <v>3082</v>
      </c>
      <c r="Z239" s="159" t="s">
        <v>535</v>
      </c>
      <c r="AA239" s="154" t="s">
        <v>2934</v>
      </c>
    </row>
    <row r="240" spans="1:27" ht="18.600000000000001" customHeight="1">
      <c r="A240" s="140" t="str">
        <f>IF(priority(Main[[#This Row],[Comments]])&lt;&gt;0, priority(Main[[#This Row],[Comments]]),"")</f>
        <v/>
      </c>
      <c r="B240" s="90" t="s">
        <v>2754</v>
      </c>
      <c r="C240" s="72" t="s">
        <v>4</v>
      </c>
      <c r="D240" s="73" t="s">
        <v>2755</v>
      </c>
      <c r="E240" s="74">
        <v>40905.438483796293</v>
      </c>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c r="S240" s="72" t="s">
        <v>6</v>
      </c>
      <c r="T240" s="80" t="s">
        <v>4</v>
      </c>
      <c r="U240" s="72" t="s">
        <v>29</v>
      </c>
      <c r="V240" s="72" t="s">
        <v>1932</v>
      </c>
      <c r="W240" s="72" t="s">
        <v>1936</v>
      </c>
      <c r="X240" s="72" t="s">
        <v>949</v>
      </c>
      <c r="Y240" s="72" t="s">
        <v>3079</v>
      </c>
      <c r="Z240" s="72" t="s">
        <v>4</v>
      </c>
      <c r="AA240" s="147" t="s">
        <v>949</v>
      </c>
    </row>
    <row r="241" spans="1:27" ht="18.600000000000001" customHeight="1">
      <c r="A241" s="140" t="str">
        <f>IF(priority(Main[[#This Row],[Comments]])&lt;&gt;0, priority(Main[[#This Row],[Comments]]),"")</f>
        <v/>
      </c>
      <c r="B241" s="90" t="s">
        <v>1112</v>
      </c>
      <c r="C241" s="72" t="s">
        <v>93</v>
      </c>
      <c r="D241" s="73" t="s">
        <v>151</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4</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c r="R241" s="74"/>
      <c r="S241" s="72" t="s">
        <v>11</v>
      </c>
      <c r="T241" s="80" t="s">
        <v>4</v>
      </c>
      <c r="U241" s="72" t="s">
        <v>14</v>
      </c>
      <c r="V241" s="72" t="s">
        <v>1935</v>
      </c>
      <c r="W241" s="72" t="s">
        <v>1938</v>
      </c>
      <c r="X241" s="72" t="s">
        <v>559</v>
      </c>
      <c r="Y241" s="72" t="s">
        <v>3083</v>
      </c>
      <c r="Z241" s="72" t="s">
        <v>4</v>
      </c>
      <c r="AA241" s="147" t="s">
        <v>3633</v>
      </c>
    </row>
    <row r="242" spans="1:27" ht="18.600000000000001" customHeight="1">
      <c r="A242" s="140" t="str">
        <f>IF(priority(Main[[#This Row],[Comments]])&lt;&gt;0, priority(Main[[#This Row],[Comments]]),"")</f>
        <v/>
      </c>
      <c r="B242" s="90" t="s">
        <v>1113</v>
      </c>
      <c r="C242" s="72" t="s">
        <v>26</v>
      </c>
      <c r="D242" s="73" t="s">
        <v>152</v>
      </c>
      <c r="E242" s="74"/>
      <c r="F242" s="74">
        <v>40613</v>
      </c>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28</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c r="R242" s="74"/>
      <c r="S242" s="72" t="s">
        <v>11</v>
      </c>
      <c r="T242" s="80" t="s">
        <v>4</v>
      </c>
      <c r="U242" s="72" t="s">
        <v>14</v>
      </c>
      <c r="V242" s="72" t="s">
        <v>1932</v>
      </c>
      <c r="W242" s="72" t="s">
        <v>1940</v>
      </c>
      <c r="X242" s="72" t="s">
        <v>2933</v>
      </c>
      <c r="Y242" s="72" t="s">
        <v>3069</v>
      </c>
      <c r="Z242" s="72" t="s">
        <v>129</v>
      </c>
      <c r="AA242" s="147" t="s">
        <v>2933</v>
      </c>
    </row>
    <row r="243" spans="1:27" ht="18.600000000000001" customHeight="1">
      <c r="A243" s="140" t="str">
        <f>IF(priority(Main[[#This Row],[Comments]])&lt;&gt;0, priority(Main[[#This Row],[Comments]]),"")</f>
        <v/>
      </c>
      <c r="B243" s="90" t="s">
        <v>1119</v>
      </c>
      <c r="C243" s="72" t="s">
        <v>4</v>
      </c>
      <c r="D243" s="73" t="s">
        <v>153</v>
      </c>
      <c r="E243" s="74">
        <v>40584.587800925925</v>
      </c>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72"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c r="R243" s="74"/>
      <c r="S243" s="72" t="s">
        <v>4</v>
      </c>
      <c r="T243" s="80" t="s">
        <v>4</v>
      </c>
      <c r="U243" s="72" t="s">
        <v>29</v>
      </c>
      <c r="V243" s="72" t="s">
        <v>1933</v>
      </c>
      <c r="W243" s="72" t="s">
        <v>4</v>
      </c>
      <c r="X243" s="72" t="s">
        <v>954</v>
      </c>
      <c r="Y243" s="72" t="s">
        <v>3084</v>
      </c>
      <c r="Z243" s="72" t="s">
        <v>4</v>
      </c>
      <c r="AA243" s="147" t="s">
        <v>954</v>
      </c>
    </row>
    <row r="244" spans="1:27" ht="18.600000000000001" customHeight="1">
      <c r="A244" s="140" t="str">
        <f>IF(priority(Main[[#This Row],[Comments]])&lt;&gt;0, priority(Main[[#This Row],[Comments]]),"")</f>
        <v/>
      </c>
      <c r="B244" s="90" t="s">
        <v>1120</v>
      </c>
      <c r="C244" s="72" t="s">
        <v>4</v>
      </c>
      <c r="D244" s="73" t="s">
        <v>154</v>
      </c>
      <c r="E244" s="74"/>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30</v>
      </c>
      <c r="J244" s="72" t="s">
        <v>52</v>
      </c>
      <c r="K244" s="72"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v>40448</v>
      </c>
      <c r="R244" s="74"/>
      <c r="S244" s="72" t="s">
        <v>6</v>
      </c>
      <c r="T244" s="80" t="s">
        <v>4</v>
      </c>
      <c r="U244" s="72" t="s">
        <v>14</v>
      </c>
      <c r="V244" s="72" t="s">
        <v>1935</v>
      </c>
      <c r="W244" s="72" t="s">
        <v>4</v>
      </c>
      <c r="X244" s="72" t="s">
        <v>2909</v>
      </c>
      <c r="Y244" s="72" t="s">
        <v>3024</v>
      </c>
      <c r="Z244" s="72" t="s">
        <v>535</v>
      </c>
      <c r="AA244" s="147" t="s">
        <v>2909</v>
      </c>
    </row>
    <row r="245" spans="1:27" ht="18.600000000000001" customHeight="1">
      <c r="A245" s="140" t="str">
        <f>IF(priority(Main[[#This Row],[Comments]])&lt;&gt;0, priority(Main[[#This Row],[Comments]]),"")</f>
        <v/>
      </c>
      <c r="B245" s="90" t="s">
        <v>3386</v>
      </c>
      <c r="C245" s="72" t="s">
        <v>4</v>
      </c>
      <c r="D245" s="73" t="s">
        <v>3387</v>
      </c>
      <c r="E245" s="74">
        <v>40935.463946759257</v>
      </c>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4</v>
      </c>
      <c r="J245" s="72" t="s">
        <v>4</v>
      </c>
      <c r="K245" s="72" t="s">
        <v>4</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c r="R245" s="74"/>
      <c r="S245" s="72" t="s">
        <v>6</v>
      </c>
      <c r="T245" s="80" t="s">
        <v>4</v>
      </c>
      <c r="U245" s="72" t="s">
        <v>7</v>
      </c>
      <c r="V245" s="72" t="s">
        <v>1942</v>
      </c>
      <c r="W245" s="72" t="s">
        <v>4</v>
      </c>
      <c r="X245" s="72" t="s">
        <v>2932</v>
      </c>
      <c r="Y245" s="72" t="s">
        <v>3066</v>
      </c>
      <c r="Z245" s="72" t="s">
        <v>4</v>
      </c>
      <c r="AA245" s="147" t="s">
        <v>2932</v>
      </c>
    </row>
    <row r="246" spans="1:27" ht="18.600000000000001" customHeight="1">
      <c r="A246" s="140" t="str">
        <f>IF(priority(Main[[#This Row],[Comments]])&lt;&gt;0, priority(Main[[#This Row],[Comments]]),"")</f>
        <v/>
      </c>
      <c r="B246" s="90" t="s">
        <v>1420</v>
      </c>
      <c r="C246" s="72" t="s">
        <v>72</v>
      </c>
      <c r="D246" s="73" t="s">
        <v>1969</v>
      </c>
      <c r="E246" s="74">
        <v>40671.832905092589</v>
      </c>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2035</v>
      </c>
      <c r="J246" s="72" t="s">
        <v>28</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155">
        <v>40786</v>
      </c>
      <c r="S246" s="72" t="s">
        <v>11</v>
      </c>
      <c r="T246" s="80" t="s">
        <v>2362</v>
      </c>
      <c r="U246" s="72" t="s">
        <v>7</v>
      </c>
      <c r="V246" s="72" t="s">
        <v>1947</v>
      </c>
      <c r="W246" s="72" t="s">
        <v>1936</v>
      </c>
      <c r="X246" s="72" t="s">
        <v>2938</v>
      </c>
      <c r="Y246" s="72" t="s">
        <v>3073</v>
      </c>
      <c r="Z246" s="72" t="s">
        <v>2237</v>
      </c>
      <c r="AA246" s="147" t="s">
        <v>2938</v>
      </c>
    </row>
    <row r="247" spans="1:27" ht="18.600000000000001" customHeight="1">
      <c r="A247" s="157" t="str">
        <f>IF(priority(Main[[#This Row],[Comments]])&lt;&gt;0, priority(Main[[#This Row],[Comments]]),"")</f>
        <v/>
      </c>
      <c r="B247" s="158" t="s">
        <v>2736</v>
      </c>
      <c r="C247" s="159" t="s">
        <v>42</v>
      </c>
      <c r="D247" s="160" t="s">
        <v>2737</v>
      </c>
      <c r="E247" s="162">
        <v>40897.730937499997</v>
      </c>
      <c r="F247" s="162"/>
      <c r="G247" s="164" t="str">
        <f>IF(stdProdLT(Main[[#This Row],[Comments]])=0.1,"N/A",IF(stdProdLT(Main[[#This Row],[Comments]])=0,"",stdProdLT(Main[[#This Row],[Comments]])))</f>
        <v/>
      </c>
      <c r="H247" s="166" t="str">
        <f>IF(AND(Main[[#This Row],[In Stock Date]]&lt;&gt;"",Main[[#This Row],[Revised Due Date]]&lt;&gt;""),Main[[#This Row],[In Stock Date]]-Main[[#This Row],[Revised Due Date]],"")</f>
        <v/>
      </c>
      <c r="I247" s="159" t="s">
        <v>242</v>
      </c>
      <c r="J247" s="159" t="s">
        <v>21</v>
      </c>
      <c r="K247" s="159" t="s">
        <v>1941</v>
      </c>
      <c r="L247" s="162"/>
      <c r="M247" s="169" t="str">
        <f>IF(Main[[#This Row],[Tech Start Date]]&lt;1/1/1990,"",IF(Main[[#This Row],[Class]]="C",WORKDAY(Main[[#This Row],[Tech Start Date]],9),IF(Main[[#This Row],[Class]]="B", WORKDAY(Main[[#This Row],[Tech Start Date]],6),IF(Main[[#This Row],[Class]]="A",WORKDAY(Main[[#This Row],[Tech Start Date]],2),""))))</f>
        <v/>
      </c>
      <c r="N247" s="169" t="str">
        <f>IF(Main[[#This Row],[Tech Start Date]]&lt;1/1/1990,"",IF(Main[[#This Row],[Class]]="C",WORKDAY(Main[[#This Row],[Tech Start Date]],19),IF(Main[[#This Row],[Class]]="B", WORKDAY(Main[[#This Row],[Tech Start Date]],12),IF(Main[[#This Row],[Class]]="A",WORKDAY(Main[[#This Row],[Tech Start Date]],4),""))))</f>
        <v/>
      </c>
      <c r="O247" s="169" t="str">
        <f>IF(Main[[#This Row],[Tech Start Date]]&lt;1/1/1990,"",IF(Main[[#This Row],[Class]]="C",WORKDAY(Main[[#This Row],[Tech Start Date]],23),IF(Main[[#This Row],[Class]]="B", WORKDAY(Main[[#This Row],[Tech Start Date]],15),IF(Main[[#This Row],[Class]]="A",WORKDAY(Main[[#This Row],[Tech Start Date]],5),""))))</f>
        <v/>
      </c>
      <c r="P247" s="169" t="str">
        <f>IF(Main[[#This Row],[Tech Start Date]]&lt;1/1/1990,"",IF(Main[[#This Row],[Class]]="C",WORKDAY(Main[[#This Row],[Tech Start Date]],28),IF(Main[[#This Row],[Class]]="B", WORKDAY(Main[[#This Row],[Tech Start Date]],19),IF(Main[[#This Row],[Class]]="A",WORKDAY(Main[[#This Row],[Tech Start Date]],9),""))))</f>
        <v/>
      </c>
      <c r="Q247" s="162">
        <v>41244</v>
      </c>
      <c r="R247" s="162"/>
      <c r="S247" s="159" t="s">
        <v>6</v>
      </c>
      <c r="T247" s="173" t="s">
        <v>4</v>
      </c>
      <c r="U247" s="159" t="s">
        <v>29</v>
      </c>
      <c r="V247" s="159" t="s">
        <v>1942</v>
      </c>
      <c r="W247" s="159" t="s">
        <v>1934</v>
      </c>
      <c r="X247" s="159" t="s">
        <v>30</v>
      </c>
      <c r="Y247" s="159" t="s">
        <v>3035</v>
      </c>
      <c r="Z247" s="159" t="s">
        <v>535</v>
      </c>
      <c r="AA247" s="154" t="s">
        <v>30</v>
      </c>
    </row>
    <row r="248" spans="1:27" ht="18.600000000000001" customHeight="1">
      <c r="A248" s="157" t="str">
        <f>IF(priority(Main[[#This Row],[Comments]])&lt;&gt;0, priority(Main[[#This Row],[Comments]]),"")</f>
        <v/>
      </c>
      <c r="B248" s="158" t="s">
        <v>1094</v>
      </c>
      <c r="C248" s="159" t="s">
        <v>4</v>
      </c>
      <c r="D248" s="160" t="s">
        <v>133</v>
      </c>
      <c r="E248" s="162"/>
      <c r="F248" s="162">
        <v>40598</v>
      </c>
      <c r="G248" s="164" t="str">
        <f>IF(stdProdLT(Main[[#This Row],[Comments]])=0.1,"N/A",IF(stdProdLT(Main[[#This Row],[Comments]])=0,"",stdProdLT(Main[[#This Row],[Comments]])))</f>
        <v/>
      </c>
      <c r="H248" s="166" t="str">
        <f>IF(AND(Main[[#This Row],[In Stock Date]]&lt;&gt;"",Main[[#This Row],[Revised Due Date]]&lt;&gt;""),Main[[#This Row],[In Stock Date]]-Main[[#This Row],[Revised Due Date]],"")</f>
        <v/>
      </c>
      <c r="I248" s="159" t="s">
        <v>4</v>
      </c>
      <c r="J248" s="159" t="s">
        <v>4</v>
      </c>
      <c r="K248" s="159" t="s">
        <v>4</v>
      </c>
      <c r="L248" s="162"/>
      <c r="M248" s="169" t="str">
        <f>IF(Main[[#This Row],[Tech Start Date]]&lt;1/1/1990,"",IF(Main[[#This Row],[Class]]="C",WORKDAY(Main[[#This Row],[Tech Start Date]],9),IF(Main[[#This Row],[Class]]="B", WORKDAY(Main[[#This Row],[Tech Start Date]],6),IF(Main[[#This Row],[Class]]="A",WORKDAY(Main[[#This Row],[Tech Start Date]],2),""))))</f>
        <v/>
      </c>
      <c r="N248" s="169" t="str">
        <f>IF(Main[[#This Row],[Tech Start Date]]&lt;1/1/1990,"",IF(Main[[#This Row],[Class]]="C",WORKDAY(Main[[#This Row],[Tech Start Date]],19),IF(Main[[#This Row],[Class]]="B", WORKDAY(Main[[#This Row],[Tech Start Date]],12),IF(Main[[#This Row],[Class]]="A",WORKDAY(Main[[#This Row],[Tech Start Date]],4),""))))</f>
        <v/>
      </c>
      <c r="O248" s="169" t="str">
        <f>IF(Main[[#This Row],[Tech Start Date]]&lt;1/1/1990,"",IF(Main[[#This Row],[Class]]="C",WORKDAY(Main[[#This Row],[Tech Start Date]],23),IF(Main[[#This Row],[Class]]="B", WORKDAY(Main[[#This Row],[Tech Start Date]],15),IF(Main[[#This Row],[Class]]="A",WORKDAY(Main[[#This Row],[Tech Start Date]],5),""))))</f>
        <v/>
      </c>
      <c r="P248" s="169" t="str">
        <f>IF(Main[[#This Row],[Tech Start Date]]&lt;1/1/1990,"",IF(Main[[#This Row],[Class]]="C",WORKDAY(Main[[#This Row],[Tech Start Date]],28),IF(Main[[#This Row],[Class]]="B", WORKDAY(Main[[#This Row],[Tech Start Date]],19),IF(Main[[#This Row],[Class]]="A",WORKDAY(Main[[#This Row],[Tech Start Date]],9),""))))</f>
        <v/>
      </c>
      <c r="Q248" s="162">
        <v>40598</v>
      </c>
      <c r="R248" s="171"/>
      <c r="S248" s="159" t="s">
        <v>11</v>
      </c>
      <c r="T248" s="173" t="s">
        <v>4</v>
      </c>
      <c r="U248" s="159" t="s">
        <v>14</v>
      </c>
      <c r="V248" s="159" t="s">
        <v>1942</v>
      </c>
      <c r="W248" s="159" t="s">
        <v>1938</v>
      </c>
      <c r="X248" s="159" t="s">
        <v>2939</v>
      </c>
      <c r="Y248" s="159" t="s">
        <v>3074</v>
      </c>
      <c r="Z248" s="159" t="s">
        <v>4</v>
      </c>
      <c r="AA248" s="154" t="s">
        <v>2939</v>
      </c>
    </row>
    <row r="249" spans="1:27" ht="18.600000000000001" customHeight="1">
      <c r="A249" s="140" t="str">
        <f>IF(priority(Main[[#This Row],[Comments]])&lt;&gt;0, priority(Main[[#This Row],[Comments]]),"")</f>
        <v/>
      </c>
      <c r="B249" s="90" t="s">
        <v>1096</v>
      </c>
      <c r="C249" s="72" t="s">
        <v>4</v>
      </c>
      <c r="D249" s="73" t="s">
        <v>135</v>
      </c>
      <c r="E249" s="74">
        <v>40683.594340277778</v>
      </c>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4</v>
      </c>
      <c r="J249" s="72" t="s">
        <v>4</v>
      </c>
      <c r="K249" s="81"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v>40718</v>
      </c>
      <c r="R249" s="74"/>
      <c r="S249" s="72" t="s">
        <v>6</v>
      </c>
      <c r="T249" s="80" t="s">
        <v>4</v>
      </c>
      <c r="U249" s="72" t="s">
        <v>7</v>
      </c>
      <c r="V249" s="72" t="s">
        <v>1932</v>
      </c>
      <c r="W249" s="72" t="s">
        <v>1940</v>
      </c>
      <c r="X249" s="72" t="s">
        <v>2912</v>
      </c>
      <c r="Y249" s="72" t="s">
        <v>3031</v>
      </c>
      <c r="Z249" s="72" t="s">
        <v>4</v>
      </c>
      <c r="AA249" s="147" t="s">
        <v>2912</v>
      </c>
    </row>
    <row r="250" spans="1:27" ht="18.600000000000001" customHeight="1">
      <c r="A250" s="157" t="str">
        <f>IF(priority(Main[[#This Row],[Comments]])&lt;&gt;0, priority(Main[[#This Row],[Comments]]),"")</f>
        <v/>
      </c>
      <c r="B250" s="158" t="s">
        <v>1097</v>
      </c>
      <c r="C250" s="159" t="s">
        <v>4</v>
      </c>
      <c r="D250" s="160" t="s">
        <v>136</v>
      </c>
      <c r="E250" s="162">
        <v>40312.634143518517</v>
      </c>
      <c r="F250" s="162"/>
      <c r="G250" s="164" t="str">
        <f>IF(stdProdLT(Main[[#This Row],[Comments]])=0.1,"N/A",IF(stdProdLT(Main[[#This Row],[Comments]])=0,"",stdProdLT(Main[[#This Row],[Comments]])))</f>
        <v/>
      </c>
      <c r="H250" s="166" t="str">
        <f>IF(AND(Main[[#This Row],[In Stock Date]]&lt;&gt;"",Main[[#This Row],[Revised Due Date]]&lt;&gt;""),Main[[#This Row],[In Stock Date]]-Main[[#This Row],[Revised Due Date]],"")</f>
        <v/>
      </c>
      <c r="I250" s="159" t="s">
        <v>129</v>
      </c>
      <c r="J250" s="159" t="s">
        <v>4</v>
      </c>
      <c r="K250" s="159" t="s">
        <v>4</v>
      </c>
      <c r="L250" s="162"/>
      <c r="M250" s="169" t="str">
        <f>IF(Main[[#This Row],[Tech Start Date]]&lt;1/1/1990,"",IF(Main[[#This Row],[Class]]="C",WORKDAY(Main[[#This Row],[Tech Start Date]],9),IF(Main[[#This Row],[Class]]="B", WORKDAY(Main[[#This Row],[Tech Start Date]],6),IF(Main[[#This Row],[Class]]="A",WORKDAY(Main[[#This Row],[Tech Start Date]],2),""))))</f>
        <v/>
      </c>
      <c r="N250" s="169" t="str">
        <f>IF(Main[[#This Row],[Tech Start Date]]&lt;1/1/1990,"",IF(Main[[#This Row],[Class]]="C",WORKDAY(Main[[#This Row],[Tech Start Date]],19),IF(Main[[#This Row],[Class]]="B", WORKDAY(Main[[#This Row],[Tech Start Date]],12),IF(Main[[#This Row],[Class]]="A",WORKDAY(Main[[#This Row],[Tech Start Date]],4),""))))</f>
        <v/>
      </c>
      <c r="O250" s="169" t="str">
        <f>IF(Main[[#This Row],[Tech Start Date]]&lt;1/1/1990,"",IF(Main[[#This Row],[Class]]="C",WORKDAY(Main[[#This Row],[Tech Start Date]],23),IF(Main[[#This Row],[Class]]="B", WORKDAY(Main[[#This Row],[Tech Start Date]],15),IF(Main[[#This Row],[Class]]="A",WORKDAY(Main[[#This Row],[Tech Start Date]],5),""))))</f>
        <v/>
      </c>
      <c r="P250" s="169" t="str">
        <f>IF(Main[[#This Row],[Tech Start Date]]&lt;1/1/1990,"",IF(Main[[#This Row],[Class]]="C",WORKDAY(Main[[#This Row],[Tech Start Date]],28),IF(Main[[#This Row],[Class]]="B", WORKDAY(Main[[#This Row],[Tech Start Date]],19),IF(Main[[#This Row],[Class]]="A",WORKDAY(Main[[#This Row],[Tech Start Date]],9),""))))</f>
        <v/>
      </c>
      <c r="Q250" s="162">
        <v>40329</v>
      </c>
      <c r="R250" s="162"/>
      <c r="S250" s="159" t="s">
        <v>6</v>
      </c>
      <c r="T250" s="173" t="s">
        <v>4</v>
      </c>
      <c r="U250" s="159" t="s">
        <v>7</v>
      </c>
      <c r="V250" s="159" t="s">
        <v>1932</v>
      </c>
      <c r="W250" s="159" t="s">
        <v>1934</v>
      </c>
      <c r="X250" s="159" t="s">
        <v>422</v>
      </c>
      <c r="Y250" s="159" t="s">
        <v>3075</v>
      </c>
      <c r="Z250" s="159" t="s">
        <v>4</v>
      </c>
      <c r="AA250" s="154" t="s">
        <v>3620</v>
      </c>
    </row>
    <row r="251" spans="1:27" ht="18.600000000000001" customHeight="1">
      <c r="A251" s="140" t="str">
        <f>IF(priority(Main[[#This Row],[Comments]])&lt;&gt;0, priority(Main[[#This Row],[Comments]]),"")</f>
        <v/>
      </c>
      <c r="B251" s="90" t="s">
        <v>1098</v>
      </c>
      <c r="C251" s="72" t="s">
        <v>4</v>
      </c>
      <c r="D251" s="73" t="s">
        <v>97</v>
      </c>
      <c r="E251" s="74"/>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4</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40858</v>
      </c>
      <c r="R251" s="74"/>
      <c r="S251" s="72" t="s">
        <v>17</v>
      </c>
      <c r="T251" s="80" t="s">
        <v>4</v>
      </c>
      <c r="U251" s="72" t="s">
        <v>14</v>
      </c>
      <c r="V251" s="72" t="s">
        <v>1932</v>
      </c>
      <c r="W251" s="72" t="s">
        <v>1937</v>
      </c>
      <c r="X251" s="72" t="s">
        <v>50</v>
      </c>
      <c r="Y251" s="72" t="s">
        <v>3054</v>
      </c>
      <c r="Z251" s="72" t="s">
        <v>4</v>
      </c>
      <c r="AA251" s="147" t="s">
        <v>2919</v>
      </c>
    </row>
    <row r="252" spans="1:27" ht="18.600000000000001" customHeight="1">
      <c r="A252" s="157" t="str">
        <f>IF(priority(Main[[#This Row],[Comments]])&lt;&gt;0, priority(Main[[#This Row],[Comments]]),"")</f>
        <v/>
      </c>
      <c r="B252" s="158" t="s">
        <v>1687</v>
      </c>
      <c r="C252" s="159" t="s">
        <v>4</v>
      </c>
      <c r="D252" s="160" t="s">
        <v>740</v>
      </c>
      <c r="E252" s="162"/>
      <c r="F252" s="162"/>
      <c r="G252" s="164" t="str">
        <f>IF(stdProdLT(Main[[#This Row],[Comments]])=0.1,"N/A",IF(stdProdLT(Main[[#This Row],[Comments]])=0,"",stdProdLT(Main[[#This Row],[Comments]])))</f>
        <v/>
      </c>
      <c r="H252" s="166" t="str">
        <f>IF(AND(Main[[#This Row],[In Stock Date]]&lt;&gt;"",Main[[#This Row],[Revised Due Date]]&lt;&gt;""),Main[[#This Row],[In Stock Date]]-Main[[#This Row],[Revised Due Date]],"")</f>
        <v/>
      </c>
      <c r="I252" s="159" t="s">
        <v>4</v>
      </c>
      <c r="J252" s="159" t="s">
        <v>4</v>
      </c>
      <c r="K252" s="159" t="s">
        <v>4</v>
      </c>
      <c r="L252" s="162"/>
      <c r="M252" s="169" t="str">
        <f>IF(Main[[#This Row],[Tech Start Date]]&lt;1/1/1990,"",IF(Main[[#This Row],[Class]]="C",WORKDAY(Main[[#This Row],[Tech Start Date]],9),IF(Main[[#This Row],[Class]]="B", WORKDAY(Main[[#This Row],[Tech Start Date]],6),IF(Main[[#This Row],[Class]]="A",WORKDAY(Main[[#This Row],[Tech Start Date]],2),""))))</f>
        <v/>
      </c>
      <c r="N252" s="169" t="str">
        <f>IF(Main[[#This Row],[Tech Start Date]]&lt;1/1/1990,"",IF(Main[[#This Row],[Class]]="C",WORKDAY(Main[[#This Row],[Tech Start Date]],19),IF(Main[[#This Row],[Class]]="B", WORKDAY(Main[[#This Row],[Tech Start Date]],12),IF(Main[[#This Row],[Class]]="A",WORKDAY(Main[[#This Row],[Tech Start Date]],4),""))))</f>
        <v/>
      </c>
      <c r="O252" s="169" t="str">
        <f>IF(Main[[#This Row],[Tech Start Date]]&lt;1/1/1990,"",IF(Main[[#This Row],[Class]]="C",WORKDAY(Main[[#This Row],[Tech Start Date]],23),IF(Main[[#This Row],[Class]]="B", WORKDAY(Main[[#This Row],[Tech Start Date]],15),IF(Main[[#This Row],[Class]]="A",WORKDAY(Main[[#This Row],[Tech Start Date]],5),""))))</f>
        <v/>
      </c>
      <c r="P252" s="169" t="str">
        <f>IF(Main[[#This Row],[Tech Start Date]]&lt;1/1/1990,"",IF(Main[[#This Row],[Class]]="C",WORKDAY(Main[[#This Row],[Tech Start Date]],28),IF(Main[[#This Row],[Class]]="B", WORKDAY(Main[[#This Row],[Tech Start Date]],19),IF(Main[[#This Row],[Class]]="A",WORKDAY(Main[[#This Row],[Tech Start Date]],9),""))))</f>
        <v/>
      </c>
      <c r="Q252" s="162"/>
      <c r="R252" s="162"/>
      <c r="S252" s="159" t="s">
        <v>23</v>
      </c>
      <c r="T252" s="173" t="s">
        <v>4</v>
      </c>
      <c r="U252" s="159" t="s">
        <v>14</v>
      </c>
      <c r="V252" s="159" t="s">
        <v>1932</v>
      </c>
      <c r="W252" s="159" t="s">
        <v>1936</v>
      </c>
      <c r="X252" s="159" t="s">
        <v>403</v>
      </c>
      <c r="Y252" s="159" t="s">
        <v>4</v>
      </c>
      <c r="Z252" s="159" t="s">
        <v>4</v>
      </c>
      <c r="AA252" s="154" t="s">
        <v>3632</v>
      </c>
    </row>
    <row r="253" spans="1:27" ht="18.600000000000001" customHeight="1">
      <c r="A253" s="140" t="str">
        <f>IF(priority(Main[[#This Row],[Comments]])&lt;&gt;0, priority(Main[[#This Row],[Comments]]),"")</f>
        <v/>
      </c>
      <c r="B253" s="90" t="s">
        <v>1099</v>
      </c>
      <c r="C253" s="72" t="s">
        <v>113</v>
      </c>
      <c r="D253" s="73" t="s">
        <v>137</v>
      </c>
      <c r="E253" s="74"/>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72"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v>40641</v>
      </c>
      <c r="R253" s="74"/>
      <c r="S253" s="72" t="s">
        <v>11</v>
      </c>
      <c r="T253" s="80" t="s">
        <v>4</v>
      </c>
      <c r="U253" s="72" t="s">
        <v>14</v>
      </c>
      <c r="V253" s="72" t="s">
        <v>1932</v>
      </c>
      <c r="W253" s="72" t="s">
        <v>1940</v>
      </c>
      <c r="X253" s="72" t="s">
        <v>2930</v>
      </c>
      <c r="Y253" s="72" t="s">
        <v>3076</v>
      </c>
      <c r="Z253" s="72" t="s">
        <v>4</v>
      </c>
      <c r="AA253" s="147" t="s">
        <v>2930</v>
      </c>
    </row>
    <row r="254" spans="1:27" ht="18.600000000000001" customHeight="1">
      <c r="A254" s="140" t="str">
        <f>IF(priority(Main[[#This Row],[Comments]])&lt;&gt;0, priority(Main[[#This Row],[Comments]]),"")</f>
        <v/>
      </c>
      <c r="B254" s="90" t="s">
        <v>1100</v>
      </c>
      <c r="C254" s="72" t="s">
        <v>138</v>
      </c>
      <c r="D254" s="73" t="s">
        <v>139</v>
      </c>
      <c r="E254" s="74"/>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40641</v>
      </c>
      <c r="R254" s="74"/>
      <c r="S254" s="72" t="s">
        <v>11</v>
      </c>
      <c r="T254" s="80" t="s">
        <v>4</v>
      </c>
      <c r="U254" s="72" t="s">
        <v>14</v>
      </c>
      <c r="V254" s="72" t="s">
        <v>1932</v>
      </c>
      <c r="W254" s="72" t="s">
        <v>1940</v>
      </c>
      <c r="X254" s="72" t="s">
        <v>2930</v>
      </c>
      <c r="Y254" s="72" t="s">
        <v>3065</v>
      </c>
      <c r="Z254" s="72" t="s">
        <v>4</v>
      </c>
      <c r="AA254" s="147" t="s">
        <v>2930</v>
      </c>
    </row>
    <row r="255" spans="1:27" ht="18.600000000000001" customHeight="1">
      <c r="A255" s="157" t="str">
        <f>IF(priority(Main[[#This Row],[Comments]])&lt;&gt;0, priority(Main[[#This Row],[Comments]]),"")</f>
        <v/>
      </c>
      <c r="B255" s="158" t="s">
        <v>1102</v>
      </c>
      <c r="C255" s="159" t="s">
        <v>33</v>
      </c>
      <c r="D255" s="160" t="s">
        <v>140</v>
      </c>
      <c r="E255" s="162"/>
      <c r="F255" s="162"/>
      <c r="G255" s="164" t="str">
        <f>IF(stdProdLT(Main[[#This Row],[Comments]])=0.1,"N/A",IF(stdProdLT(Main[[#This Row],[Comments]])=0,"",stdProdLT(Main[[#This Row],[Comments]])))</f>
        <v/>
      </c>
      <c r="H255" s="166" t="str">
        <f>IF(AND(Main[[#This Row],[In Stock Date]]&lt;&gt;"",Main[[#This Row],[Revised Due Date]]&lt;&gt;""),Main[[#This Row],[In Stock Date]]-Main[[#This Row],[Revised Due Date]],"")</f>
        <v/>
      </c>
      <c r="I255" s="159" t="s">
        <v>4</v>
      </c>
      <c r="J255" s="159" t="s">
        <v>4</v>
      </c>
      <c r="K255" s="159" t="s">
        <v>4</v>
      </c>
      <c r="L255" s="162"/>
      <c r="M255" s="169" t="str">
        <f>IF(Main[[#This Row],[Tech Start Date]]&lt;1/1/1990,"",IF(Main[[#This Row],[Class]]="C",WORKDAY(Main[[#This Row],[Tech Start Date]],9),IF(Main[[#This Row],[Class]]="B", WORKDAY(Main[[#This Row],[Tech Start Date]],6),IF(Main[[#This Row],[Class]]="A",WORKDAY(Main[[#This Row],[Tech Start Date]],2),""))))</f>
        <v/>
      </c>
      <c r="N255" s="169" t="str">
        <f>IF(Main[[#This Row],[Tech Start Date]]&lt;1/1/1990,"",IF(Main[[#This Row],[Class]]="C",WORKDAY(Main[[#This Row],[Tech Start Date]],19),IF(Main[[#This Row],[Class]]="B", WORKDAY(Main[[#This Row],[Tech Start Date]],12),IF(Main[[#This Row],[Class]]="A",WORKDAY(Main[[#This Row],[Tech Start Date]],4),""))))</f>
        <v/>
      </c>
      <c r="O255" s="169" t="str">
        <f>IF(Main[[#This Row],[Tech Start Date]]&lt;1/1/1990,"",IF(Main[[#This Row],[Class]]="C",WORKDAY(Main[[#This Row],[Tech Start Date]],23),IF(Main[[#This Row],[Class]]="B", WORKDAY(Main[[#This Row],[Tech Start Date]],15),IF(Main[[#This Row],[Class]]="A",WORKDAY(Main[[#This Row],[Tech Start Date]],5),""))))</f>
        <v/>
      </c>
      <c r="P255" s="169" t="str">
        <f>IF(Main[[#This Row],[Tech Start Date]]&lt;1/1/1990,"",IF(Main[[#This Row],[Class]]="C",WORKDAY(Main[[#This Row],[Tech Start Date]],28),IF(Main[[#This Row],[Class]]="B", WORKDAY(Main[[#This Row],[Tech Start Date]],19),IF(Main[[#This Row],[Class]]="A",WORKDAY(Main[[#This Row],[Tech Start Date]],9),""))))</f>
        <v/>
      </c>
      <c r="Q255" s="162"/>
      <c r="R255" s="162"/>
      <c r="S255" s="159" t="s">
        <v>11</v>
      </c>
      <c r="T255" s="173" t="s">
        <v>4</v>
      </c>
      <c r="U255" s="159" t="s">
        <v>14</v>
      </c>
      <c r="V255" s="159" t="s">
        <v>1933</v>
      </c>
      <c r="W255" s="159" t="s">
        <v>1940</v>
      </c>
      <c r="X255" s="159" t="s">
        <v>2918</v>
      </c>
      <c r="Y255" s="159" t="s">
        <v>3043</v>
      </c>
      <c r="Z255" s="159" t="s">
        <v>4</v>
      </c>
      <c r="AA255" s="154" t="s">
        <v>2918</v>
      </c>
    </row>
    <row r="256" spans="1:27" ht="18.600000000000001" customHeight="1">
      <c r="A256" s="157" t="str">
        <f>IF(priority(Main[[#This Row],[Comments]])&lt;&gt;0, priority(Main[[#This Row],[Comments]]),"")</f>
        <v/>
      </c>
      <c r="B256" s="158" t="s">
        <v>1103</v>
      </c>
      <c r="C256" s="159" t="s">
        <v>4</v>
      </c>
      <c r="D256" s="160" t="s">
        <v>141</v>
      </c>
      <c r="E256" s="162">
        <v>40436.663981481484</v>
      </c>
      <c r="F256" s="162"/>
      <c r="G256" s="164" t="str">
        <f>IF(stdProdLT(Main[[#This Row],[Comments]])=0.1,"N/A",IF(stdProdLT(Main[[#This Row],[Comments]])=0,"",stdProdLT(Main[[#This Row],[Comments]])))</f>
        <v/>
      </c>
      <c r="H256" s="166" t="str">
        <f>IF(AND(Main[[#This Row],[In Stock Date]]&lt;&gt;"",Main[[#This Row],[Revised Due Date]]&lt;&gt;""),Main[[#This Row],[In Stock Date]]-Main[[#This Row],[Revised Due Date]],"")</f>
        <v/>
      </c>
      <c r="I256" s="159" t="s">
        <v>4</v>
      </c>
      <c r="J256" s="159" t="s">
        <v>4</v>
      </c>
      <c r="K256" s="159" t="s">
        <v>4</v>
      </c>
      <c r="L256" s="162"/>
      <c r="M256" s="169" t="str">
        <f>IF(Main[[#This Row],[Tech Start Date]]&lt;1/1/1990,"",IF(Main[[#This Row],[Class]]="C",WORKDAY(Main[[#This Row],[Tech Start Date]],9),IF(Main[[#This Row],[Class]]="B", WORKDAY(Main[[#This Row],[Tech Start Date]],6),IF(Main[[#This Row],[Class]]="A",WORKDAY(Main[[#This Row],[Tech Start Date]],2),""))))</f>
        <v/>
      </c>
      <c r="N256" s="169" t="str">
        <f>IF(Main[[#This Row],[Tech Start Date]]&lt;1/1/1990,"",IF(Main[[#This Row],[Class]]="C",WORKDAY(Main[[#This Row],[Tech Start Date]],19),IF(Main[[#This Row],[Class]]="B", WORKDAY(Main[[#This Row],[Tech Start Date]],12),IF(Main[[#This Row],[Class]]="A",WORKDAY(Main[[#This Row],[Tech Start Date]],4),""))))</f>
        <v/>
      </c>
      <c r="O256" s="169" t="str">
        <f>IF(Main[[#This Row],[Tech Start Date]]&lt;1/1/1990,"",IF(Main[[#This Row],[Class]]="C",WORKDAY(Main[[#This Row],[Tech Start Date]],23),IF(Main[[#This Row],[Class]]="B", WORKDAY(Main[[#This Row],[Tech Start Date]],15),IF(Main[[#This Row],[Class]]="A",WORKDAY(Main[[#This Row],[Tech Start Date]],5),""))))</f>
        <v/>
      </c>
      <c r="P256" s="169" t="str">
        <f>IF(Main[[#This Row],[Tech Start Date]]&lt;1/1/1990,"",IF(Main[[#This Row],[Class]]="C",WORKDAY(Main[[#This Row],[Tech Start Date]],28),IF(Main[[#This Row],[Class]]="B", WORKDAY(Main[[#This Row],[Tech Start Date]],19),IF(Main[[#This Row],[Class]]="A",WORKDAY(Main[[#This Row],[Tech Start Date]],9),""))))</f>
        <v/>
      </c>
      <c r="Q256" s="162"/>
      <c r="R256" s="162"/>
      <c r="S256" s="159" t="s">
        <v>17</v>
      </c>
      <c r="T256" s="173" t="s">
        <v>142</v>
      </c>
      <c r="U256" s="159" t="s">
        <v>7</v>
      </c>
      <c r="V256" s="159" t="s">
        <v>1933</v>
      </c>
      <c r="W256" s="159" t="s">
        <v>1940</v>
      </c>
      <c r="X256" s="159" t="s">
        <v>933</v>
      </c>
      <c r="Y256" s="159" t="s">
        <v>3077</v>
      </c>
      <c r="Z256" s="159" t="s">
        <v>4</v>
      </c>
      <c r="AA256" s="154" t="s">
        <v>933</v>
      </c>
    </row>
    <row r="257" spans="1:27" ht="18.600000000000001" customHeight="1">
      <c r="A257" s="140" t="str">
        <f>IF(priority(Main[[#This Row],[Comments]])&lt;&gt;0, priority(Main[[#This Row],[Comments]]),"")</f>
        <v/>
      </c>
      <c r="B257" s="90" t="s">
        <v>1512</v>
      </c>
      <c r="C257" s="72" t="s">
        <v>93</v>
      </c>
      <c r="D257" s="73" t="s">
        <v>605</v>
      </c>
      <c r="E257" s="74">
        <v>40016.655266203707</v>
      </c>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4</v>
      </c>
      <c r="J257" s="72" t="s">
        <v>4</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c r="R257" s="74"/>
      <c r="S257" s="72" t="s">
        <v>17</v>
      </c>
      <c r="T257" s="80" t="s">
        <v>4</v>
      </c>
      <c r="U257" s="72" t="s">
        <v>29</v>
      </c>
      <c r="V257" s="72" t="s">
        <v>1935</v>
      </c>
      <c r="W257" s="72" t="s">
        <v>1938</v>
      </c>
      <c r="X257" s="72" t="s">
        <v>2944</v>
      </c>
      <c r="Y257" s="72" t="s">
        <v>3086</v>
      </c>
      <c r="Z257" s="72" t="s">
        <v>4</v>
      </c>
      <c r="AA257" s="147" t="s">
        <v>2944</v>
      </c>
    </row>
    <row r="258" spans="1:27" ht="18.600000000000001" customHeight="1">
      <c r="A258" s="157" t="str">
        <f>IF(priority(Main[[#This Row],[Comments]])&lt;&gt;0, priority(Main[[#This Row],[Comments]]),"")</f>
        <v/>
      </c>
      <c r="B258" s="158" t="s">
        <v>1693</v>
      </c>
      <c r="C258" s="159" t="s">
        <v>4</v>
      </c>
      <c r="D258" s="160" t="s">
        <v>744</v>
      </c>
      <c r="E258" s="162">
        <v>40618.366238425922</v>
      </c>
      <c r="F258" s="162"/>
      <c r="G258" s="164" t="str">
        <f>IF(stdProdLT(Main[[#This Row],[Comments]])=0.1,"N/A",IF(stdProdLT(Main[[#This Row],[Comments]])=0,"",stdProdLT(Main[[#This Row],[Comments]])))</f>
        <v/>
      </c>
      <c r="H258" s="166" t="str">
        <f>IF(AND(Main[[#This Row],[In Stock Date]]&lt;&gt;"",Main[[#This Row],[Revised Due Date]]&lt;&gt;""),Main[[#This Row],[In Stock Date]]-Main[[#This Row],[Revised Due Date]],"")</f>
        <v/>
      </c>
      <c r="I258" s="159" t="s">
        <v>30</v>
      </c>
      <c r="J258" s="159" t="s">
        <v>28</v>
      </c>
      <c r="K258" s="159" t="s">
        <v>1941</v>
      </c>
      <c r="L258" s="162"/>
      <c r="M258" s="169" t="str">
        <f>IF(Main[[#This Row],[Tech Start Date]]&lt;1/1/1990,"",IF(Main[[#This Row],[Class]]="C",WORKDAY(Main[[#This Row],[Tech Start Date]],9),IF(Main[[#This Row],[Class]]="B", WORKDAY(Main[[#This Row],[Tech Start Date]],6),IF(Main[[#This Row],[Class]]="A",WORKDAY(Main[[#This Row],[Tech Start Date]],2),""))))</f>
        <v/>
      </c>
      <c r="N258" s="169" t="str">
        <f>IF(Main[[#This Row],[Tech Start Date]]&lt;1/1/1990,"",IF(Main[[#This Row],[Class]]="C",WORKDAY(Main[[#This Row],[Tech Start Date]],19),IF(Main[[#This Row],[Class]]="B", WORKDAY(Main[[#This Row],[Tech Start Date]],12),IF(Main[[#This Row],[Class]]="A",WORKDAY(Main[[#This Row],[Tech Start Date]],4),""))))</f>
        <v/>
      </c>
      <c r="O258" s="169" t="str">
        <f>IF(Main[[#This Row],[Tech Start Date]]&lt;1/1/1990,"",IF(Main[[#This Row],[Class]]="C",WORKDAY(Main[[#This Row],[Tech Start Date]],23),IF(Main[[#This Row],[Class]]="B", WORKDAY(Main[[#This Row],[Tech Start Date]],15),IF(Main[[#This Row],[Class]]="A",WORKDAY(Main[[#This Row],[Tech Start Date]],5),""))))</f>
        <v/>
      </c>
      <c r="P258" s="169" t="str">
        <f>IF(Main[[#This Row],[Tech Start Date]]&lt;1/1/1990,"",IF(Main[[#This Row],[Class]]="C",WORKDAY(Main[[#This Row],[Tech Start Date]],28),IF(Main[[#This Row],[Class]]="B", WORKDAY(Main[[#This Row],[Tech Start Date]],19),IF(Main[[#This Row],[Class]]="A",WORKDAY(Main[[#This Row],[Tech Start Date]],9),""))))</f>
        <v/>
      </c>
      <c r="Q258" s="162"/>
      <c r="R258" s="162"/>
      <c r="S258" s="159" t="s">
        <v>6</v>
      </c>
      <c r="T258" s="173" t="s">
        <v>4</v>
      </c>
      <c r="U258" s="159" t="s">
        <v>29</v>
      </c>
      <c r="V258" s="159" t="s">
        <v>1935</v>
      </c>
      <c r="W258" s="159" t="s">
        <v>1934</v>
      </c>
      <c r="X258" s="159" t="s">
        <v>420</v>
      </c>
      <c r="Y258" s="159" t="s">
        <v>3070</v>
      </c>
      <c r="Z258" s="159" t="s">
        <v>30</v>
      </c>
      <c r="AA258" s="154" t="s">
        <v>420</v>
      </c>
    </row>
    <row r="259" spans="1:27" ht="18.600000000000001" customHeight="1">
      <c r="A259" s="140" t="str">
        <f>IF(priority(Main[[#This Row],[Comments]])&lt;&gt;0, priority(Main[[#This Row],[Comments]]),"")</f>
        <v/>
      </c>
      <c r="B259" s="90" t="s">
        <v>2092</v>
      </c>
      <c r="C259" s="72" t="s">
        <v>4</v>
      </c>
      <c r="D259" s="73" t="s">
        <v>2093</v>
      </c>
      <c r="E259" s="74"/>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4</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c r="R259" s="74"/>
      <c r="S259" s="72" t="s">
        <v>6</v>
      </c>
      <c r="T259" s="80" t="s">
        <v>4</v>
      </c>
      <c r="U259" s="72" t="s">
        <v>14</v>
      </c>
      <c r="V259" s="72" t="s">
        <v>1932</v>
      </c>
      <c r="W259" s="72" t="s">
        <v>1936</v>
      </c>
      <c r="X259" s="72" t="s">
        <v>310</v>
      </c>
      <c r="Y259" s="72" t="s">
        <v>4</v>
      </c>
      <c r="Z259" s="72" t="s">
        <v>4</v>
      </c>
      <c r="AA259" s="147" t="s">
        <v>3628</v>
      </c>
    </row>
    <row r="260" spans="1:27" ht="18.600000000000001" customHeight="1">
      <c r="A260" s="140" t="str">
        <f>IF(priority(Main[[#This Row],[Comments]])&lt;&gt;0, priority(Main[[#This Row],[Comments]]),"")</f>
        <v/>
      </c>
      <c r="B260" s="90" t="s">
        <v>3526</v>
      </c>
      <c r="C260" s="72" t="s">
        <v>4</v>
      </c>
      <c r="D260" s="73" t="s">
        <v>3527</v>
      </c>
      <c r="E260" s="74">
        <v>40939.457824074074</v>
      </c>
      <c r="F260" s="74"/>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72"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40968</v>
      </c>
      <c r="R260" s="74"/>
      <c r="S260" s="72" t="s">
        <v>6</v>
      </c>
      <c r="T260" s="80" t="s">
        <v>4</v>
      </c>
      <c r="U260" s="72" t="s">
        <v>7</v>
      </c>
      <c r="V260" s="72" t="s">
        <v>1932</v>
      </c>
      <c r="W260" s="72" t="s">
        <v>4</v>
      </c>
      <c r="X260" s="72" t="s">
        <v>2913</v>
      </c>
      <c r="Y260" s="72" t="s">
        <v>3033</v>
      </c>
      <c r="Z260" s="72" t="s">
        <v>4</v>
      </c>
      <c r="AA260" s="147" t="s">
        <v>2913</v>
      </c>
    </row>
    <row r="261" spans="1:27" ht="18.600000000000001" customHeight="1">
      <c r="A261" s="157" t="str">
        <f>IF(priority(Main[[#This Row],[Comments]])&lt;&gt;0, priority(Main[[#This Row],[Comments]]),"")</f>
        <v/>
      </c>
      <c r="B261" s="158" t="s">
        <v>1170</v>
      </c>
      <c r="C261" s="159" t="s">
        <v>4</v>
      </c>
      <c r="D261" s="160" t="s">
        <v>2369</v>
      </c>
      <c r="E261" s="162">
        <v>40274.393113425926</v>
      </c>
      <c r="F261" s="162"/>
      <c r="G261" s="164" t="str">
        <f>IF(stdProdLT(Main[[#This Row],[Comments]])=0.1,"N/A",IF(stdProdLT(Main[[#This Row],[Comments]])=0,"",stdProdLT(Main[[#This Row],[Comments]])))</f>
        <v/>
      </c>
      <c r="H261" s="166" t="str">
        <f>IF(AND(Main[[#This Row],[In Stock Date]]&lt;&gt;"",Main[[#This Row],[Revised Due Date]]&lt;&gt;""),Main[[#This Row],[In Stock Date]]-Main[[#This Row],[Revised Due Date]],"")</f>
        <v/>
      </c>
      <c r="I261" s="159" t="s">
        <v>4</v>
      </c>
      <c r="J261" s="159" t="s">
        <v>4</v>
      </c>
      <c r="K261" s="159" t="s">
        <v>4</v>
      </c>
      <c r="L261" s="162"/>
      <c r="M261" s="169" t="str">
        <f>IF(Main[[#This Row],[Tech Start Date]]&lt;1/1/1990,"",IF(Main[[#This Row],[Class]]="C",WORKDAY(Main[[#This Row],[Tech Start Date]],9),IF(Main[[#This Row],[Class]]="B", WORKDAY(Main[[#This Row],[Tech Start Date]],6),IF(Main[[#This Row],[Class]]="A",WORKDAY(Main[[#This Row],[Tech Start Date]],2),""))))</f>
        <v/>
      </c>
      <c r="N261" s="169" t="str">
        <f>IF(Main[[#This Row],[Tech Start Date]]&lt;1/1/1990,"",IF(Main[[#This Row],[Class]]="C",WORKDAY(Main[[#This Row],[Tech Start Date]],19),IF(Main[[#This Row],[Class]]="B", WORKDAY(Main[[#This Row],[Tech Start Date]],12),IF(Main[[#This Row],[Class]]="A",WORKDAY(Main[[#This Row],[Tech Start Date]],4),""))))</f>
        <v/>
      </c>
      <c r="O261" s="169" t="str">
        <f>IF(Main[[#This Row],[Tech Start Date]]&lt;1/1/1990,"",IF(Main[[#This Row],[Class]]="C",WORKDAY(Main[[#This Row],[Tech Start Date]],23),IF(Main[[#This Row],[Class]]="B", WORKDAY(Main[[#This Row],[Tech Start Date]],15),IF(Main[[#This Row],[Class]]="A",WORKDAY(Main[[#This Row],[Tech Start Date]],5),""))))</f>
        <v/>
      </c>
      <c r="P261" s="169" t="str">
        <f>IF(Main[[#This Row],[Tech Start Date]]&lt;1/1/1990,"",IF(Main[[#This Row],[Class]]="C",WORKDAY(Main[[#This Row],[Tech Start Date]],28),IF(Main[[#This Row],[Class]]="B", WORKDAY(Main[[#This Row],[Tech Start Date]],19),IF(Main[[#This Row],[Class]]="A",WORKDAY(Main[[#This Row],[Tech Start Date]],9),""))))</f>
        <v/>
      </c>
      <c r="Q261" s="162">
        <v>40302</v>
      </c>
      <c r="R261" s="162"/>
      <c r="S261" s="159" t="s">
        <v>6</v>
      </c>
      <c r="T261" s="173" t="s">
        <v>4</v>
      </c>
      <c r="U261" s="159" t="s">
        <v>7</v>
      </c>
      <c r="V261" s="159" t="s">
        <v>1932</v>
      </c>
      <c r="W261" s="159" t="s">
        <v>1934</v>
      </c>
      <c r="X261" s="159" t="s">
        <v>2912</v>
      </c>
      <c r="Y261" s="159" t="s">
        <v>3031</v>
      </c>
      <c r="Z261" s="159" t="s">
        <v>4</v>
      </c>
      <c r="AA261" s="154" t="s">
        <v>2912</v>
      </c>
    </row>
    <row r="262" spans="1:27" ht="18.600000000000001" customHeight="1">
      <c r="A262" s="140" t="str">
        <f>IF(priority(Main[[#This Row],[Comments]])&lt;&gt;0, priority(Main[[#This Row],[Comments]]),"")</f>
        <v/>
      </c>
      <c r="B262" s="90" t="s">
        <v>1403</v>
      </c>
      <c r="C262" s="72" t="s">
        <v>4</v>
      </c>
      <c r="D262" s="73" t="s">
        <v>2370</v>
      </c>
      <c r="E262" s="74">
        <v>40644.246631944443</v>
      </c>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923</v>
      </c>
      <c r="J262" s="72" t="s">
        <v>52</v>
      </c>
      <c r="K262" s="72" t="s">
        <v>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v>40659</v>
      </c>
      <c r="R262" s="74"/>
      <c r="S262" s="72" t="s">
        <v>6</v>
      </c>
      <c r="T262" s="80" t="s">
        <v>4</v>
      </c>
      <c r="U262" s="72" t="s">
        <v>29</v>
      </c>
      <c r="V262" s="72" t="s">
        <v>1932</v>
      </c>
      <c r="W262" s="72" t="s">
        <v>1940</v>
      </c>
      <c r="X262" s="72" t="s">
        <v>2912</v>
      </c>
      <c r="Y262" s="72" t="s">
        <v>3031</v>
      </c>
      <c r="Z262" s="72" t="s">
        <v>4</v>
      </c>
      <c r="AA262" s="147" t="s">
        <v>2912</v>
      </c>
    </row>
    <row r="263" spans="1:27" ht="18.600000000000001" customHeight="1">
      <c r="A263" s="157" t="str">
        <f>IF(priority(Main[[#This Row],[Comments]])&lt;&gt;0, priority(Main[[#This Row],[Comments]]),"")</f>
        <v/>
      </c>
      <c r="B263" s="158" t="s">
        <v>1122</v>
      </c>
      <c r="C263" s="159" t="s">
        <v>156</v>
      </c>
      <c r="D263" s="160" t="s">
        <v>157</v>
      </c>
      <c r="E263" s="162"/>
      <c r="F263" s="162"/>
      <c r="G263" s="164" t="str">
        <f>IF(stdProdLT(Main[[#This Row],[Comments]])=0.1,"N/A",IF(stdProdLT(Main[[#This Row],[Comments]])=0,"",stdProdLT(Main[[#This Row],[Comments]])))</f>
        <v/>
      </c>
      <c r="H263" s="166" t="str">
        <f>IF(AND(Main[[#This Row],[In Stock Date]]&lt;&gt;"",Main[[#This Row],[Revised Due Date]]&lt;&gt;""),Main[[#This Row],[In Stock Date]]-Main[[#This Row],[Revised Due Date]],"")</f>
        <v/>
      </c>
      <c r="I263" s="159" t="s">
        <v>4</v>
      </c>
      <c r="J263" s="159" t="s">
        <v>4</v>
      </c>
      <c r="K263" s="159" t="s">
        <v>4</v>
      </c>
      <c r="L263" s="162"/>
      <c r="M263" s="169" t="str">
        <f>IF(Main[[#This Row],[Tech Start Date]]&lt;1/1/1990,"",IF(Main[[#This Row],[Class]]="C",WORKDAY(Main[[#This Row],[Tech Start Date]],9),IF(Main[[#This Row],[Class]]="B", WORKDAY(Main[[#This Row],[Tech Start Date]],6),IF(Main[[#This Row],[Class]]="A",WORKDAY(Main[[#This Row],[Tech Start Date]],2),""))))</f>
        <v/>
      </c>
      <c r="N263" s="169" t="str">
        <f>IF(Main[[#This Row],[Tech Start Date]]&lt;1/1/1990,"",IF(Main[[#This Row],[Class]]="C",WORKDAY(Main[[#This Row],[Tech Start Date]],19),IF(Main[[#This Row],[Class]]="B", WORKDAY(Main[[#This Row],[Tech Start Date]],12),IF(Main[[#This Row],[Class]]="A",WORKDAY(Main[[#This Row],[Tech Start Date]],4),""))))</f>
        <v/>
      </c>
      <c r="O263" s="169" t="str">
        <f>IF(Main[[#This Row],[Tech Start Date]]&lt;1/1/1990,"",IF(Main[[#This Row],[Class]]="C",WORKDAY(Main[[#This Row],[Tech Start Date]],23),IF(Main[[#This Row],[Class]]="B", WORKDAY(Main[[#This Row],[Tech Start Date]],15),IF(Main[[#This Row],[Class]]="A",WORKDAY(Main[[#This Row],[Tech Start Date]],5),""))))</f>
        <v/>
      </c>
      <c r="P263" s="169" t="str">
        <f>IF(Main[[#This Row],[Tech Start Date]]&lt;1/1/1990,"",IF(Main[[#This Row],[Class]]="C",WORKDAY(Main[[#This Row],[Tech Start Date]],28),IF(Main[[#This Row],[Class]]="B", WORKDAY(Main[[#This Row],[Tech Start Date]],19),IF(Main[[#This Row],[Class]]="A",WORKDAY(Main[[#This Row],[Tech Start Date]],9),""))))</f>
        <v/>
      </c>
      <c r="Q263" s="162">
        <v>40144</v>
      </c>
      <c r="R263" s="162"/>
      <c r="S263" s="159" t="s">
        <v>11</v>
      </c>
      <c r="T263" s="173" t="s">
        <v>4</v>
      </c>
      <c r="U263" s="159" t="s">
        <v>14</v>
      </c>
      <c r="V263" s="159" t="s">
        <v>1932</v>
      </c>
      <c r="W263" s="159" t="s">
        <v>1934</v>
      </c>
      <c r="X263" s="159" t="s">
        <v>2945</v>
      </c>
      <c r="Y263" s="159" t="s">
        <v>4</v>
      </c>
      <c r="Z263" s="159" t="s">
        <v>4</v>
      </c>
      <c r="AA263" s="154" t="s">
        <v>2945</v>
      </c>
    </row>
    <row r="264" spans="1:27" ht="18.600000000000001" customHeight="1">
      <c r="A264" s="157" t="str">
        <f>IF(priority(Main[[#This Row],[Comments]])&lt;&gt;0, priority(Main[[#This Row],[Comments]]),"")</f>
        <v/>
      </c>
      <c r="B264" s="158" t="s">
        <v>1123</v>
      </c>
      <c r="C264" s="159" t="s">
        <v>158</v>
      </c>
      <c r="D264" s="160" t="s">
        <v>159</v>
      </c>
      <c r="E264" s="162"/>
      <c r="F264" s="162"/>
      <c r="G264" s="164" t="str">
        <f>IF(stdProdLT(Main[[#This Row],[Comments]])=0.1,"N/A",IF(stdProdLT(Main[[#This Row],[Comments]])=0,"",stdProdLT(Main[[#This Row],[Comments]])))</f>
        <v/>
      </c>
      <c r="H264" s="166" t="str">
        <f>IF(AND(Main[[#This Row],[In Stock Date]]&lt;&gt;"",Main[[#This Row],[Revised Due Date]]&lt;&gt;""),Main[[#This Row],[In Stock Date]]-Main[[#This Row],[Revised Due Date]],"")</f>
        <v/>
      </c>
      <c r="I264" s="159" t="s">
        <v>4</v>
      </c>
      <c r="J264" s="159" t="s">
        <v>4</v>
      </c>
      <c r="K264" s="159" t="s">
        <v>4</v>
      </c>
      <c r="L264" s="162"/>
      <c r="M264" s="169" t="str">
        <f>IF(Main[[#This Row],[Tech Start Date]]&lt;1/1/1990,"",IF(Main[[#This Row],[Class]]="C",WORKDAY(Main[[#This Row],[Tech Start Date]],9),IF(Main[[#This Row],[Class]]="B", WORKDAY(Main[[#This Row],[Tech Start Date]],6),IF(Main[[#This Row],[Class]]="A",WORKDAY(Main[[#This Row],[Tech Start Date]],2),""))))</f>
        <v/>
      </c>
      <c r="N264" s="169" t="str">
        <f>IF(Main[[#This Row],[Tech Start Date]]&lt;1/1/1990,"",IF(Main[[#This Row],[Class]]="C",WORKDAY(Main[[#This Row],[Tech Start Date]],19),IF(Main[[#This Row],[Class]]="B", WORKDAY(Main[[#This Row],[Tech Start Date]],12),IF(Main[[#This Row],[Class]]="A",WORKDAY(Main[[#This Row],[Tech Start Date]],4),""))))</f>
        <v/>
      </c>
      <c r="O264" s="169" t="str">
        <f>IF(Main[[#This Row],[Tech Start Date]]&lt;1/1/1990,"",IF(Main[[#This Row],[Class]]="C",WORKDAY(Main[[#This Row],[Tech Start Date]],23),IF(Main[[#This Row],[Class]]="B", WORKDAY(Main[[#This Row],[Tech Start Date]],15),IF(Main[[#This Row],[Class]]="A",WORKDAY(Main[[#This Row],[Tech Start Date]],5),""))))</f>
        <v/>
      </c>
      <c r="P264" s="169" t="str">
        <f>IF(Main[[#This Row],[Tech Start Date]]&lt;1/1/1990,"",IF(Main[[#This Row],[Class]]="C",WORKDAY(Main[[#This Row],[Tech Start Date]],28),IF(Main[[#This Row],[Class]]="B", WORKDAY(Main[[#This Row],[Tech Start Date]],19),IF(Main[[#This Row],[Class]]="A",WORKDAY(Main[[#This Row],[Tech Start Date]],9),""))))</f>
        <v/>
      </c>
      <c r="Q264" s="162"/>
      <c r="R264" s="162"/>
      <c r="S264" s="159" t="s">
        <v>11</v>
      </c>
      <c r="T264" s="173" t="s">
        <v>4</v>
      </c>
      <c r="U264" s="159" t="s">
        <v>14</v>
      </c>
      <c r="V264" s="159" t="s">
        <v>1933</v>
      </c>
      <c r="W264" s="159" t="s">
        <v>1934</v>
      </c>
      <c r="X264" s="159" t="s">
        <v>2906</v>
      </c>
      <c r="Y264" s="159" t="s">
        <v>3088</v>
      </c>
      <c r="Z264" s="159" t="s">
        <v>4</v>
      </c>
      <c r="AA264" s="154" t="s">
        <v>3634</v>
      </c>
    </row>
    <row r="265" spans="1:27" ht="18.600000000000001" customHeight="1">
      <c r="A265" s="140" t="str">
        <f>IF(priority(Main[[#This Row],[Comments]])&lt;&gt;0, priority(Main[[#This Row],[Comments]]),"")</f>
        <v/>
      </c>
      <c r="B265" s="90" t="s">
        <v>1124</v>
      </c>
      <c r="C265" s="72" t="s">
        <v>160</v>
      </c>
      <c r="D265" s="73" t="s">
        <v>161</v>
      </c>
      <c r="E265" s="74"/>
      <c r="F265" s="74">
        <v>40513</v>
      </c>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4</v>
      </c>
      <c r="J265" s="72" t="s">
        <v>28</v>
      </c>
      <c r="K265" s="72"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v>40382</v>
      </c>
      <c r="R265" s="74"/>
      <c r="S265" s="72" t="s">
        <v>11</v>
      </c>
      <c r="T265" s="80" t="s">
        <v>4</v>
      </c>
      <c r="U265" s="72" t="s">
        <v>14</v>
      </c>
      <c r="V265" s="72" t="s">
        <v>1932</v>
      </c>
      <c r="W265" s="72" t="s">
        <v>1940</v>
      </c>
      <c r="X265" s="72" t="s">
        <v>2946</v>
      </c>
      <c r="Y265" s="72" t="s">
        <v>3089</v>
      </c>
      <c r="Z265" s="72" t="s">
        <v>129</v>
      </c>
      <c r="AA265" s="147" t="s">
        <v>2946</v>
      </c>
    </row>
    <row r="266" spans="1:27" ht="18.600000000000001" customHeight="1">
      <c r="A266" s="140" t="str">
        <f>IF(priority(Main[[#This Row],[Comments]])&lt;&gt;0, priority(Main[[#This Row],[Comments]]),"")</f>
        <v/>
      </c>
      <c r="B266" s="90" t="s">
        <v>2195</v>
      </c>
      <c r="C266" s="72" t="s">
        <v>4</v>
      </c>
      <c r="D266" s="73" t="s">
        <v>2196</v>
      </c>
      <c r="E266" s="74">
        <v>40781.644953703704</v>
      </c>
      <c r="F266" s="74"/>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4</v>
      </c>
      <c r="J266" s="72" t="s">
        <v>4</v>
      </c>
      <c r="K266" s="72" t="s">
        <v>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40809</v>
      </c>
      <c r="R266" s="74"/>
      <c r="S266" s="72" t="s">
        <v>6</v>
      </c>
      <c r="T266" s="80" t="s">
        <v>4</v>
      </c>
      <c r="U266" s="72" t="s">
        <v>7</v>
      </c>
      <c r="V266" s="72" t="s">
        <v>1932</v>
      </c>
      <c r="W266" s="72" t="s">
        <v>4</v>
      </c>
      <c r="X266" s="72" t="s">
        <v>2910</v>
      </c>
      <c r="Y266" s="72" t="s">
        <v>3027</v>
      </c>
      <c r="Z266" s="72" t="s">
        <v>4</v>
      </c>
      <c r="AA266" s="147" t="s">
        <v>2910</v>
      </c>
    </row>
    <row r="267" spans="1:27" ht="18.600000000000001" customHeight="1">
      <c r="A267" s="140" t="str">
        <f>IF(priority(Main[[#This Row],[Comments]])&lt;&gt;0, priority(Main[[#This Row],[Comments]]),"")</f>
        <v/>
      </c>
      <c r="B267" s="90" t="s">
        <v>2757</v>
      </c>
      <c r="C267" s="72" t="s">
        <v>4</v>
      </c>
      <c r="D267" s="73" t="s">
        <v>2758</v>
      </c>
      <c r="E267" s="74">
        <v>40892.147916666669</v>
      </c>
      <c r="F267" s="74"/>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69</v>
      </c>
      <c r="J267" s="72" t="s">
        <v>70</v>
      </c>
      <c r="K267" s="72" t="s">
        <v>1941</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40914</v>
      </c>
      <c r="R267" s="74"/>
      <c r="S267" s="72" t="s">
        <v>6</v>
      </c>
      <c r="T267" s="80" t="s">
        <v>4</v>
      </c>
      <c r="U267" s="72" t="s">
        <v>29</v>
      </c>
      <c r="V267" s="72" t="s">
        <v>1935</v>
      </c>
      <c r="W267" s="72" t="s">
        <v>1936</v>
      </c>
      <c r="X267" s="72" t="s">
        <v>2942</v>
      </c>
      <c r="Y267" s="72" t="s">
        <v>3081</v>
      </c>
      <c r="Z267" s="72" t="s">
        <v>30</v>
      </c>
      <c r="AA267" s="147" t="s">
        <v>2942</v>
      </c>
    </row>
    <row r="268" spans="1:27" ht="18.600000000000001" customHeight="1">
      <c r="A268" s="157" t="str">
        <f>IF(priority(Main[[#This Row],[Comments]])&lt;&gt;0, priority(Main[[#This Row],[Comments]]),"")</f>
        <v/>
      </c>
      <c r="B268" s="158" t="s">
        <v>2374</v>
      </c>
      <c r="C268" s="159" t="s">
        <v>4</v>
      </c>
      <c r="D268" s="160" t="s">
        <v>2375</v>
      </c>
      <c r="E268" s="162">
        <v>40876.410104166665</v>
      </c>
      <c r="F268" s="162"/>
      <c r="G268" s="164" t="str">
        <f>IF(stdProdLT(Main[[#This Row],[Comments]])=0.1,"N/A",IF(stdProdLT(Main[[#This Row],[Comments]])=0,"",stdProdLT(Main[[#This Row],[Comments]])))</f>
        <v/>
      </c>
      <c r="H268" s="166" t="str">
        <f>IF(AND(Main[[#This Row],[In Stock Date]]&lt;&gt;"",Main[[#This Row],[Revised Due Date]]&lt;&gt;""),Main[[#This Row],[In Stock Date]]-Main[[#This Row],[Revised Due Date]],"")</f>
        <v/>
      </c>
      <c r="I268" s="159" t="s">
        <v>4</v>
      </c>
      <c r="J268" s="159" t="s">
        <v>4</v>
      </c>
      <c r="K268" s="159" t="s">
        <v>4</v>
      </c>
      <c r="L268" s="162"/>
      <c r="M268" s="169" t="str">
        <f>IF(Main[[#This Row],[Tech Start Date]]&lt;1/1/1990,"",IF(Main[[#This Row],[Class]]="C",WORKDAY(Main[[#This Row],[Tech Start Date]],9),IF(Main[[#This Row],[Class]]="B", WORKDAY(Main[[#This Row],[Tech Start Date]],6),IF(Main[[#This Row],[Class]]="A",WORKDAY(Main[[#This Row],[Tech Start Date]],2),""))))</f>
        <v/>
      </c>
      <c r="N268" s="169" t="str">
        <f>IF(Main[[#This Row],[Tech Start Date]]&lt;1/1/1990,"",IF(Main[[#This Row],[Class]]="C",WORKDAY(Main[[#This Row],[Tech Start Date]],19),IF(Main[[#This Row],[Class]]="B", WORKDAY(Main[[#This Row],[Tech Start Date]],12),IF(Main[[#This Row],[Class]]="A",WORKDAY(Main[[#This Row],[Tech Start Date]],4),""))))</f>
        <v/>
      </c>
      <c r="O268" s="169" t="str">
        <f>IF(Main[[#This Row],[Tech Start Date]]&lt;1/1/1990,"",IF(Main[[#This Row],[Class]]="C",WORKDAY(Main[[#This Row],[Tech Start Date]],23),IF(Main[[#This Row],[Class]]="B", WORKDAY(Main[[#This Row],[Tech Start Date]],15),IF(Main[[#This Row],[Class]]="A",WORKDAY(Main[[#This Row],[Tech Start Date]],5),""))))</f>
        <v/>
      </c>
      <c r="P268" s="169" t="str">
        <f>IF(Main[[#This Row],[Tech Start Date]]&lt;1/1/1990,"",IF(Main[[#This Row],[Class]]="C",WORKDAY(Main[[#This Row],[Tech Start Date]],28),IF(Main[[#This Row],[Class]]="B", WORKDAY(Main[[#This Row],[Tech Start Date]],19),IF(Main[[#This Row],[Class]]="A",WORKDAY(Main[[#This Row],[Tech Start Date]],9),""))))</f>
        <v/>
      </c>
      <c r="Q268" s="162">
        <v>40879</v>
      </c>
      <c r="R268" s="162"/>
      <c r="S268" s="159" t="s">
        <v>6</v>
      </c>
      <c r="T268" s="173" t="s">
        <v>4</v>
      </c>
      <c r="U268" s="159" t="s">
        <v>29</v>
      </c>
      <c r="V268" s="159" t="s">
        <v>1933</v>
      </c>
      <c r="W268" s="159" t="s">
        <v>1936</v>
      </c>
      <c r="X268" s="159" t="s">
        <v>953</v>
      </c>
      <c r="Y268" s="159" t="s">
        <v>3090</v>
      </c>
      <c r="Z268" s="159" t="s">
        <v>4</v>
      </c>
      <c r="AA268" s="154" t="s">
        <v>953</v>
      </c>
    </row>
    <row r="269" spans="1:27" ht="18.600000000000001" customHeight="1">
      <c r="A269" s="140" t="str">
        <f>IF(priority(Main[[#This Row],[Comments]])&lt;&gt;0, priority(Main[[#This Row],[Comments]]),"")</f>
        <v/>
      </c>
      <c r="B269" s="90" t="s">
        <v>2500</v>
      </c>
      <c r="C269" s="72" t="s">
        <v>4</v>
      </c>
      <c r="D269" s="73" t="s">
        <v>2501</v>
      </c>
      <c r="E269" s="74">
        <v>40876.411770833336</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81"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c r="R269" s="74"/>
      <c r="S269" s="72" t="s">
        <v>6</v>
      </c>
      <c r="T269" s="80" t="s">
        <v>4</v>
      </c>
      <c r="U269" s="72" t="s">
        <v>7</v>
      </c>
      <c r="V269" s="72" t="s">
        <v>1932</v>
      </c>
      <c r="W269" s="72" t="s">
        <v>1940</v>
      </c>
      <c r="X269" s="72" t="s">
        <v>310</v>
      </c>
      <c r="Y269" s="72" t="s">
        <v>4</v>
      </c>
      <c r="Z269" s="72" t="s">
        <v>4</v>
      </c>
      <c r="AA269" s="147" t="s">
        <v>3635</v>
      </c>
    </row>
    <row r="270" spans="1:27" ht="18.600000000000001" customHeight="1">
      <c r="A270" s="157" t="str">
        <f>IF(priority(Main[[#This Row],[Comments]])&lt;&gt;0, priority(Main[[#This Row],[Comments]]),"")</f>
        <v/>
      </c>
      <c r="B270" s="158" t="s">
        <v>2000</v>
      </c>
      <c r="C270" s="159" t="s">
        <v>1995</v>
      </c>
      <c r="D270" s="160" t="s">
        <v>2001</v>
      </c>
      <c r="E270" s="162"/>
      <c r="F270" s="162"/>
      <c r="G270" s="164" t="str">
        <f>IF(stdProdLT(Main[[#This Row],[Comments]])=0.1,"N/A",IF(stdProdLT(Main[[#This Row],[Comments]])=0,"",stdProdLT(Main[[#This Row],[Comments]])))</f>
        <v/>
      </c>
      <c r="H270" s="166" t="str">
        <f>IF(AND(Main[[#This Row],[In Stock Date]]&lt;&gt;"",Main[[#This Row],[Revised Due Date]]&lt;&gt;""),Main[[#This Row],[In Stock Date]]-Main[[#This Row],[Revised Due Date]],"")</f>
        <v/>
      </c>
      <c r="I270" s="159" t="s">
        <v>4</v>
      </c>
      <c r="J270" s="159" t="s">
        <v>4</v>
      </c>
      <c r="K270" s="159" t="s">
        <v>4</v>
      </c>
      <c r="L270" s="162"/>
      <c r="M270" s="169" t="str">
        <f>IF(Main[[#This Row],[Tech Start Date]]&lt;1/1/1990,"",IF(Main[[#This Row],[Class]]="C",WORKDAY(Main[[#This Row],[Tech Start Date]],9),IF(Main[[#This Row],[Class]]="B", WORKDAY(Main[[#This Row],[Tech Start Date]],6),IF(Main[[#This Row],[Class]]="A",WORKDAY(Main[[#This Row],[Tech Start Date]],2),""))))</f>
        <v/>
      </c>
      <c r="N270" s="169" t="str">
        <f>IF(Main[[#This Row],[Tech Start Date]]&lt;1/1/1990,"",IF(Main[[#This Row],[Class]]="C",WORKDAY(Main[[#This Row],[Tech Start Date]],19),IF(Main[[#This Row],[Class]]="B", WORKDAY(Main[[#This Row],[Tech Start Date]],12),IF(Main[[#This Row],[Class]]="A",WORKDAY(Main[[#This Row],[Tech Start Date]],4),""))))</f>
        <v/>
      </c>
      <c r="O270" s="169" t="str">
        <f>IF(Main[[#This Row],[Tech Start Date]]&lt;1/1/1990,"",IF(Main[[#This Row],[Class]]="C",WORKDAY(Main[[#This Row],[Tech Start Date]],23),IF(Main[[#This Row],[Class]]="B", WORKDAY(Main[[#This Row],[Tech Start Date]],15),IF(Main[[#This Row],[Class]]="A",WORKDAY(Main[[#This Row],[Tech Start Date]],5),""))))</f>
        <v/>
      </c>
      <c r="P270" s="169" t="str">
        <f>IF(Main[[#This Row],[Tech Start Date]]&lt;1/1/1990,"",IF(Main[[#This Row],[Class]]="C",WORKDAY(Main[[#This Row],[Tech Start Date]],28),IF(Main[[#This Row],[Class]]="B", WORKDAY(Main[[#This Row],[Tech Start Date]],19),IF(Main[[#This Row],[Class]]="A",WORKDAY(Main[[#This Row],[Tech Start Date]],9),""))))</f>
        <v/>
      </c>
      <c r="Q270" s="162">
        <v>40745</v>
      </c>
      <c r="R270" s="162"/>
      <c r="S270" s="159" t="s">
        <v>11</v>
      </c>
      <c r="T270" s="173" t="s">
        <v>4</v>
      </c>
      <c r="U270" s="159" t="s">
        <v>14</v>
      </c>
      <c r="V270" s="159" t="s">
        <v>1933</v>
      </c>
      <c r="W270" s="159" t="s">
        <v>1934</v>
      </c>
      <c r="X270" s="159" t="s">
        <v>2906</v>
      </c>
      <c r="Y270" s="159" t="s">
        <v>4</v>
      </c>
      <c r="Z270" s="159" t="s">
        <v>4</v>
      </c>
      <c r="AA270" s="154" t="s">
        <v>2906</v>
      </c>
    </row>
    <row r="271" spans="1:27" ht="18.600000000000001" customHeight="1">
      <c r="A271" s="157" t="str">
        <f>IF(priority(Main[[#This Row],[Comments]])&lt;&gt;0, priority(Main[[#This Row],[Comments]]),"")</f>
        <v/>
      </c>
      <c r="B271" s="158" t="s">
        <v>1127</v>
      </c>
      <c r="C271" s="159" t="s">
        <v>4</v>
      </c>
      <c r="D271" s="160" t="s">
        <v>164</v>
      </c>
      <c r="E271" s="162">
        <v>40585.667395833334</v>
      </c>
      <c r="F271" s="162">
        <v>40602</v>
      </c>
      <c r="G271" s="164" t="str">
        <f>IF(stdProdLT(Main[[#This Row],[Comments]])=0.1,"N/A",IF(stdProdLT(Main[[#This Row],[Comments]])=0,"",stdProdLT(Main[[#This Row],[Comments]])))</f>
        <v/>
      </c>
      <c r="H271" s="166" t="str">
        <f>IF(AND(Main[[#This Row],[In Stock Date]]&lt;&gt;"",Main[[#This Row],[Revised Due Date]]&lt;&gt;""),Main[[#This Row],[In Stock Date]]-Main[[#This Row],[Revised Due Date]],"")</f>
        <v/>
      </c>
      <c r="I271" s="159" t="s">
        <v>165</v>
      </c>
      <c r="J271" s="159" t="s">
        <v>52</v>
      </c>
      <c r="K271" s="159" t="s">
        <v>1941</v>
      </c>
      <c r="L271" s="162"/>
      <c r="M271" s="169" t="str">
        <f>IF(Main[[#This Row],[Tech Start Date]]&lt;1/1/1990,"",IF(Main[[#This Row],[Class]]="C",WORKDAY(Main[[#This Row],[Tech Start Date]],9),IF(Main[[#This Row],[Class]]="B", WORKDAY(Main[[#This Row],[Tech Start Date]],6),IF(Main[[#This Row],[Class]]="A",WORKDAY(Main[[#This Row],[Tech Start Date]],2),""))))</f>
        <v/>
      </c>
      <c r="N271" s="169" t="str">
        <f>IF(Main[[#This Row],[Tech Start Date]]&lt;1/1/1990,"",IF(Main[[#This Row],[Class]]="C",WORKDAY(Main[[#This Row],[Tech Start Date]],19),IF(Main[[#This Row],[Class]]="B", WORKDAY(Main[[#This Row],[Tech Start Date]],12),IF(Main[[#This Row],[Class]]="A",WORKDAY(Main[[#This Row],[Tech Start Date]],4),""))))</f>
        <v/>
      </c>
      <c r="O271" s="169" t="str">
        <f>IF(Main[[#This Row],[Tech Start Date]]&lt;1/1/1990,"",IF(Main[[#This Row],[Class]]="C",WORKDAY(Main[[#This Row],[Tech Start Date]],23),IF(Main[[#This Row],[Class]]="B", WORKDAY(Main[[#This Row],[Tech Start Date]],15),IF(Main[[#This Row],[Class]]="A",WORKDAY(Main[[#This Row],[Tech Start Date]],5),""))))</f>
        <v/>
      </c>
      <c r="P271" s="169" t="str">
        <f>IF(Main[[#This Row],[Tech Start Date]]&lt;1/1/1990,"",IF(Main[[#This Row],[Class]]="C",WORKDAY(Main[[#This Row],[Tech Start Date]],28),IF(Main[[#This Row],[Class]]="B", WORKDAY(Main[[#This Row],[Tech Start Date]],19),IF(Main[[#This Row],[Class]]="A",WORKDAY(Main[[#This Row],[Tech Start Date]],9),""))))</f>
        <v/>
      </c>
      <c r="Q271" s="162">
        <v>40602</v>
      </c>
      <c r="R271" s="162"/>
      <c r="S271" s="159" t="s">
        <v>6</v>
      </c>
      <c r="T271" s="173" t="s">
        <v>4</v>
      </c>
      <c r="U271" s="159" t="s">
        <v>29</v>
      </c>
      <c r="V271" s="159" t="s">
        <v>1935</v>
      </c>
      <c r="W271" s="159" t="s">
        <v>1934</v>
      </c>
      <c r="X271" s="159" t="s">
        <v>30</v>
      </c>
      <c r="Y271" s="159" t="s">
        <v>3052</v>
      </c>
      <c r="Z271" s="159" t="s">
        <v>420</v>
      </c>
      <c r="AA271" s="154" t="s">
        <v>30</v>
      </c>
    </row>
    <row r="272" spans="1:27" ht="18.600000000000001" customHeight="1">
      <c r="A272" s="140" t="str">
        <f>IF(priority(Main[[#This Row],[Comments]])&lt;&gt;0, priority(Main[[#This Row],[Comments]]),"")</f>
        <v/>
      </c>
      <c r="B272" s="90" t="s">
        <v>1128</v>
      </c>
      <c r="C272" s="72" t="s">
        <v>4</v>
      </c>
      <c r="D272" s="73" t="s">
        <v>166</v>
      </c>
      <c r="E272" s="74">
        <v>40315.288738425923</v>
      </c>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129</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40359</v>
      </c>
      <c r="R272" s="74"/>
      <c r="S272" s="72" t="s">
        <v>6</v>
      </c>
      <c r="T272" s="80" t="s">
        <v>4</v>
      </c>
      <c r="U272" s="72" t="s">
        <v>7</v>
      </c>
      <c r="V272" s="72" t="s">
        <v>1932</v>
      </c>
      <c r="W272" s="72" t="s">
        <v>4</v>
      </c>
      <c r="X272" s="72" t="s">
        <v>2913</v>
      </c>
      <c r="Y272" s="72" t="s">
        <v>3033</v>
      </c>
      <c r="Z272" s="72" t="s">
        <v>4</v>
      </c>
      <c r="AA272" s="147" t="s">
        <v>2913</v>
      </c>
    </row>
    <row r="273" spans="1:27" ht="18.600000000000001" customHeight="1">
      <c r="A273" s="140" t="str">
        <f>IF(priority(Main[[#This Row],[Comments]])&lt;&gt;0, priority(Main[[#This Row],[Comments]]),"")</f>
        <v/>
      </c>
      <c r="B273" s="90" t="s">
        <v>1129</v>
      </c>
      <c r="C273" s="72" t="s">
        <v>31</v>
      </c>
      <c r="D273" s="73" t="s">
        <v>167</v>
      </c>
      <c r="E273" s="74">
        <v>40490.313692129632</v>
      </c>
      <c r="F273" s="74">
        <v>40546</v>
      </c>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72"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40543</v>
      </c>
      <c r="R273" s="74"/>
      <c r="S273" s="72" t="s">
        <v>17</v>
      </c>
      <c r="T273" s="80" t="s">
        <v>4</v>
      </c>
      <c r="U273" s="72" t="s">
        <v>7</v>
      </c>
      <c r="V273" s="72" t="s">
        <v>1935</v>
      </c>
      <c r="W273" s="72" t="s">
        <v>4</v>
      </c>
      <c r="X273" s="72" t="s">
        <v>2947</v>
      </c>
      <c r="Y273" s="72" t="s">
        <v>3092</v>
      </c>
      <c r="Z273" s="72" t="s">
        <v>4</v>
      </c>
      <c r="AA273" s="147" t="s">
        <v>2947</v>
      </c>
    </row>
    <row r="274" spans="1:27" ht="18.600000000000001" customHeight="1">
      <c r="A274" s="140" t="str">
        <f>IF(priority(Main[[#This Row],[Comments]])&lt;&gt;0, priority(Main[[#This Row],[Comments]]),"")</f>
        <v/>
      </c>
      <c r="B274" s="90" t="s">
        <v>1130</v>
      </c>
      <c r="C274" s="72" t="s">
        <v>4</v>
      </c>
      <c r="D274" s="73" t="s">
        <v>168</v>
      </c>
      <c r="E274" s="74">
        <v>40455.90861111111</v>
      </c>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28</v>
      </c>
      <c r="K274" s="72" t="s">
        <v>1944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v>40512</v>
      </c>
      <c r="R274" s="74"/>
      <c r="S274" s="72" t="s">
        <v>17</v>
      </c>
      <c r="T274" s="80" t="s">
        <v>4</v>
      </c>
      <c r="U274" s="72" t="s">
        <v>7</v>
      </c>
      <c r="V274" s="72" t="s">
        <v>1932</v>
      </c>
      <c r="W274" s="72" t="s">
        <v>1937</v>
      </c>
      <c r="X274" s="72" t="s">
        <v>129</v>
      </c>
      <c r="Y274" s="72" t="s">
        <v>3028</v>
      </c>
      <c r="Z274" s="72" t="s">
        <v>129</v>
      </c>
      <c r="AA274" s="147" t="s">
        <v>129</v>
      </c>
    </row>
    <row r="275" spans="1:27" ht="18.600000000000001" customHeight="1">
      <c r="A275" s="140" t="str">
        <f>IF(priority(Main[[#This Row],[Comments]])&lt;&gt;0, priority(Main[[#This Row],[Comments]]),"")</f>
        <v/>
      </c>
      <c r="B275" s="90" t="s">
        <v>1131</v>
      </c>
      <c r="C275" s="72" t="s">
        <v>4</v>
      </c>
      <c r="D275" s="73" t="s">
        <v>169</v>
      </c>
      <c r="E275" s="74"/>
      <c r="F275" s="74"/>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28</v>
      </c>
      <c r="K275" s="72" t="s">
        <v>1944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c r="R275" s="74"/>
      <c r="S275" s="72" t="s">
        <v>17</v>
      </c>
      <c r="T275" s="80" t="s">
        <v>4</v>
      </c>
      <c r="U275" s="72" t="s">
        <v>14</v>
      </c>
      <c r="V275" s="72" t="s">
        <v>1935</v>
      </c>
      <c r="W275" s="72" t="s">
        <v>1937</v>
      </c>
      <c r="X275" s="72" t="s">
        <v>559</v>
      </c>
      <c r="Y275" s="72" t="s">
        <v>3047</v>
      </c>
      <c r="Z275" s="72" t="s">
        <v>980</v>
      </c>
      <c r="AA275" s="147" t="s">
        <v>559</v>
      </c>
    </row>
    <row r="276" spans="1:27" ht="18.600000000000001" customHeight="1">
      <c r="A276" s="140" t="str">
        <f>IF(priority(Main[[#This Row],[Comments]])&lt;&gt;0, priority(Main[[#This Row],[Comments]]),"")</f>
        <v/>
      </c>
      <c r="B276" s="90" t="s">
        <v>2720</v>
      </c>
      <c r="C276" s="72" t="s">
        <v>4</v>
      </c>
      <c r="D276" s="73" t="s">
        <v>2759</v>
      </c>
      <c r="E276" s="74">
        <v>40879.610138888886</v>
      </c>
      <c r="F276" s="74"/>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69</v>
      </c>
      <c r="J276" s="72" t="s">
        <v>21</v>
      </c>
      <c r="K276" s="72" t="s">
        <v>1941</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40921</v>
      </c>
      <c r="R276" s="74"/>
      <c r="S276" s="72" t="s">
        <v>6</v>
      </c>
      <c r="T276" s="80" t="s">
        <v>4</v>
      </c>
      <c r="U276" s="72" t="s">
        <v>29</v>
      </c>
      <c r="V276" s="72" t="s">
        <v>1942</v>
      </c>
      <c r="W276" s="72" t="s">
        <v>1936</v>
      </c>
      <c r="X276" s="72" t="s">
        <v>2909</v>
      </c>
      <c r="Y276" s="72" t="s">
        <v>3024</v>
      </c>
      <c r="Z276" s="72" t="s">
        <v>30</v>
      </c>
      <c r="AA276" s="147" t="s">
        <v>2909</v>
      </c>
    </row>
    <row r="277" spans="1:27" ht="18.600000000000001" customHeight="1">
      <c r="A277" s="157" t="str">
        <f>IF(priority(Main[[#This Row],[Comments]])&lt;&gt;0, priority(Main[[#This Row],[Comments]]),"")</f>
        <v/>
      </c>
      <c r="B277" s="158" t="s">
        <v>1133</v>
      </c>
      <c r="C277" s="159" t="s">
        <v>171</v>
      </c>
      <c r="D277" s="160" t="s">
        <v>172</v>
      </c>
      <c r="E277" s="162"/>
      <c r="F277" s="162">
        <v>40237</v>
      </c>
      <c r="G277" s="164" t="str">
        <f>IF(stdProdLT(Main[[#This Row],[Comments]])=0.1,"N/A",IF(stdProdLT(Main[[#This Row],[Comments]])=0,"",stdProdLT(Main[[#This Row],[Comments]])))</f>
        <v/>
      </c>
      <c r="H277" s="166" t="str">
        <f>IF(AND(Main[[#This Row],[In Stock Date]]&lt;&gt;"",Main[[#This Row],[Revised Due Date]]&lt;&gt;""),Main[[#This Row],[In Stock Date]]-Main[[#This Row],[Revised Due Date]],"")</f>
        <v/>
      </c>
      <c r="I277" s="159" t="s">
        <v>4</v>
      </c>
      <c r="J277" s="159" t="s">
        <v>4</v>
      </c>
      <c r="K277" s="159" t="s">
        <v>4</v>
      </c>
      <c r="L277" s="162"/>
      <c r="M277" s="169" t="str">
        <f>IF(Main[[#This Row],[Tech Start Date]]&lt;1/1/1990,"",IF(Main[[#This Row],[Class]]="C",WORKDAY(Main[[#This Row],[Tech Start Date]],9),IF(Main[[#This Row],[Class]]="B", WORKDAY(Main[[#This Row],[Tech Start Date]],6),IF(Main[[#This Row],[Class]]="A",WORKDAY(Main[[#This Row],[Tech Start Date]],2),""))))</f>
        <v/>
      </c>
      <c r="N277" s="169" t="str">
        <f>IF(Main[[#This Row],[Tech Start Date]]&lt;1/1/1990,"",IF(Main[[#This Row],[Class]]="C",WORKDAY(Main[[#This Row],[Tech Start Date]],19),IF(Main[[#This Row],[Class]]="B", WORKDAY(Main[[#This Row],[Tech Start Date]],12),IF(Main[[#This Row],[Class]]="A",WORKDAY(Main[[#This Row],[Tech Start Date]],4),""))))</f>
        <v/>
      </c>
      <c r="O277" s="169" t="str">
        <f>IF(Main[[#This Row],[Tech Start Date]]&lt;1/1/1990,"",IF(Main[[#This Row],[Class]]="C",WORKDAY(Main[[#This Row],[Tech Start Date]],23),IF(Main[[#This Row],[Class]]="B", WORKDAY(Main[[#This Row],[Tech Start Date]],15),IF(Main[[#This Row],[Class]]="A",WORKDAY(Main[[#This Row],[Tech Start Date]],5),""))))</f>
        <v/>
      </c>
      <c r="P277" s="169" t="str">
        <f>IF(Main[[#This Row],[Tech Start Date]]&lt;1/1/1990,"",IF(Main[[#This Row],[Class]]="C",WORKDAY(Main[[#This Row],[Tech Start Date]],28),IF(Main[[#This Row],[Class]]="B", WORKDAY(Main[[#This Row],[Tech Start Date]],19),IF(Main[[#This Row],[Class]]="A",WORKDAY(Main[[#This Row],[Tech Start Date]],9),""))))</f>
        <v/>
      </c>
      <c r="Q277" s="162">
        <v>40132</v>
      </c>
      <c r="R277" s="162"/>
      <c r="S277" s="159" t="s">
        <v>11</v>
      </c>
      <c r="T277" s="173" t="s">
        <v>4</v>
      </c>
      <c r="U277" s="159" t="s">
        <v>14</v>
      </c>
      <c r="V277" s="159" t="s">
        <v>1932</v>
      </c>
      <c r="W277" s="159" t="s">
        <v>1937</v>
      </c>
      <c r="X277" s="159" t="s">
        <v>2949</v>
      </c>
      <c r="Y277" s="159" t="s">
        <v>4</v>
      </c>
      <c r="Z277" s="159" t="s">
        <v>4</v>
      </c>
      <c r="AA277" s="154" t="s">
        <v>2949</v>
      </c>
    </row>
    <row r="278" spans="1:27" ht="18.600000000000001" customHeight="1">
      <c r="A278" s="140" t="str">
        <f>IF(priority(Main[[#This Row],[Comments]])&lt;&gt;0, priority(Main[[#This Row],[Comments]]),"")</f>
        <v/>
      </c>
      <c r="B278" s="90" t="s">
        <v>2390</v>
      </c>
      <c r="C278" s="72" t="s">
        <v>4</v>
      </c>
      <c r="D278" s="73" t="s">
        <v>2391</v>
      </c>
      <c r="E278" s="74">
        <v>40826.383356481485</v>
      </c>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30</v>
      </c>
      <c r="J278" s="72" t="s">
        <v>2238</v>
      </c>
      <c r="K278" s="72" t="s">
        <v>4</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c r="R278" s="74"/>
      <c r="S278" s="72" t="s">
        <v>6</v>
      </c>
      <c r="T278" s="80" t="s">
        <v>4</v>
      </c>
      <c r="U278" s="72" t="s">
        <v>29</v>
      </c>
      <c r="V278" s="72" t="s">
        <v>1935</v>
      </c>
      <c r="W278" s="72" t="s">
        <v>1934</v>
      </c>
      <c r="X278" s="72" t="s">
        <v>310</v>
      </c>
      <c r="Y278" s="72" t="s">
        <v>4</v>
      </c>
      <c r="Z278" s="72" t="s">
        <v>81</v>
      </c>
      <c r="AA278" s="147" t="s">
        <v>3636</v>
      </c>
    </row>
    <row r="279" spans="1:27" ht="18.600000000000001" customHeight="1">
      <c r="A279" s="157" t="str">
        <f>IF(priority(Main[[#This Row],[Comments]])&lt;&gt;0, priority(Main[[#This Row],[Comments]]),"")</f>
        <v/>
      </c>
      <c r="B279" s="158" t="s">
        <v>1134</v>
      </c>
      <c r="C279" s="159" t="s">
        <v>174</v>
      </c>
      <c r="D279" s="160" t="s">
        <v>175</v>
      </c>
      <c r="E279" s="162"/>
      <c r="F279" s="162">
        <v>40848</v>
      </c>
      <c r="G279" s="164" t="str">
        <f>IF(stdProdLT(Main[[#This Row],[Comments]])=0.1,"N/A",IF(stdProdLT(Main[[#This Row],[Comments]])=0,"",stdProdLT(Main[[#This Row],[Comments]])))</f>
        <v/>
      </c>
      <c r="H279" s="166" t="str">
        <f>IF(AND(Main[[#This Row],[In Stock Date]]&lt;&gt;"",Main[[#This Row],[Revised Due Date]]&lt;&gt;""),Main[[#This Row],[In Stock Date]]-Main[[#This Row],[Revised Due Date]],"")</f>
        <v/>
      </c>
      <c r="I279" s="159" t="s">
        <v>4</v>
      </c>
      <c r="J279" s="159" t="s">
        <v>51</v>
      </c>
      <c r="K279" s="159" t="s">
        <v>4</v>
      </c>
      <c r="L279" s="162"/>
      <c r="M279" s="169" t="str">
        <f>IF(Main[[#This Row],[Tech Start Date]]&lt;1/1/1990,"",IF(Main[[#This Row],[Class]]="C",WORKDAY(Main[[#This Row],[Tech Start Date]],9),IF(Main[[#This Row],[Class]]="B", WORKDAY(Main[[#This Row],[Tech Start Date]],6),IF(Main[[#This Row],[Class]]="A",WORKDAY(Main[[#This Row],[Tech Start Date]],2),""))))</f>
        <v/>
      </c>
      <c r="N279" s="169" t="str">
        <f>IF(Main[[#This Row],[Tech Start Date]]&lt;1/1/1990,"",IF(Main[[#This Row],[Class]]="C",WORKDAY(Main[[#This Row],[Tech Start Date]],19),IF(Main[[#This Row],[Class]]="B", WORKDAY(Main[[#This Row],[Tech Start Date]],12),IF(Main[[#This Row],[Class]]="A",WORKDAY(Main[[#This Row],[Tech Start Date]],4),""))))</f>
        <v/>
      </c>
      <c r="O279" s="169" t="str">
        <f>IF(Main[[#This Row],[Tech Start Date]]&lt;1/1/1990,"",IF(Main[[#This Row],[Class]]="C",WORKDAY(Main[[#This Row],[Tech Start Date]],23),IF(Main[[#This Row],[Class]]="B", WORKDAY(Main[[#This Row],[Tech Start Date]],15),IF(Main[[#This Row],[Class]]="A",WORKDAY(Main[[#This Row],[Tech Start Date]],5),""))))</f>
        <v/>
      </c>
      <c r="P279" s="169" t="str">
        <f>IF(Main[[#This Row],[Tech Start Date]]&lt;1/1/1990,"",IF(Main[[#This Row],[Class]]="C",WORKDAY(Main[[#This Row],[Tech Start Date]],28),IF(Main[[#This Row],[Class]]="B", WORKDAY(Main[[#This Row],[Tech Start Date]],19),IF(Main[[#This Row],[Class]]="A",WORKDAY(Main[[#This Row],[Tech Start Date]],9),""))))</f>
        <v/>
      </c>
      <c r="Q279" s="162">
        <v>40648</v>
      </c>
      <c r="R279" s="162"/>
      <c r="S279" s="159" t="s">
        <v>11</v>
      </c>
      <c r="T279" s="173" t="s">
        <v>4</v>
      </c>
      <c r="U279" s="159" t="s">
        <v>12</v>
      </c>
      <c r="V279" s="159" t="s">
        <v>1932</v>
      </c>
      <c r="W279" s="159" t="s">
        <v>1938</v>
      </c>
      <c r="X279" s="159" t="s">
        <v>50</v>
      </c>
      <c r="Y279" s="159" t="s">
        <v>3038</v>
      </c>
      <c r="Z279" s="159" t="s">
        <v>3258</v>
      </c>
      <c r="AA279" s="154" t="s">
        <v>2915</v>
      </c>
    </row>
    <row r="280" spans="1:27" ht="18.600000000000001" customHeight="1">
      <c r="A280" s="140" t="str">
        <f>IF(priority(Main[[#This Row],[Comments]])&lt;&gt;0, priority(Main[[#This Row],[Comments]]),"")</f>
        <v/>
      </c>
      <c r="B280" s="90" t="s">
        <v>2576</v>
      </c>
      <c r="C280" s="72" t="s">
        <v>2385</v>
      </c>
      <c r="D280" s="73" t="s">
        <v>2577</v>
      </c>
      <c r="E280" s="74"/>
      <c r="F280" s="74">
        <v>41030</v>
      </c>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75</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40923</v>
      </c>
      <c r="R280" s="74"/>
      <c r="S280" s="72" t="s">
        <v>11</v>
      </c>
      <c r="T280" s="80" t="s">
        <v>4</v>
      </c>
      <c r="U280" s="72" t="s">
        <v>14</v>
      </c>
      <c r="V280" s="72" t="s">
        <v>1942</v>
      </c>
      <c r="W280" s="72" t="s">
        <v>1938</v>
      </c>
      <c r="X280" s="72" t="s">
        <v>2939</v>
      </c>
      <c r="Y280" s="72" t="s">
        <v>3074</v>
      </c>
      <c r="Z280" s="72" t="s">
        <v>535</v>
      </c>
      <c r="AA280" s="147" t="s">
        <v>2939</v>
      </c>
    </row>
    <row r="281" spans="1:27" ht="18.600000000000001" customHeight="1">
      <c r="A281" s="140" t="str">
        <f>IF(priority(Main[[#This Row],[Comments]])&lt;&gt;0, priority(Main[[#This Row],[Comments]]),"")</f>
        <v/>
      </c>
      <c r="B281" s="90" t="s">
        <v>1135</v>
      </c>
      <c r="C281" s="72" t="s">
        <v>4</v>
      </c>
      <c r="D281" s="73" t="s">
        <v>176</v>
      </c>
      <c r="E281" s="74">
        <v>40681.639328703706</v>
      </c>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4</v>
      </c>
      <c r="J281" s="72" t="s">
        <v>4</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40702</v>
      </c>
      <c r="R281" s="74"/>
      <c r="S281" s="72" t="s">
        <v>6</v>
      </c>
      <c r="T281" s="80" t="s">
        <v>4</v>
      </c>
      <c r="U281" s="72" t="s">
        <v>7</v>
      </c>
      <c r="V281" s="72" t="s">
        <v>1932</v>
      </c>
      <c r="W281" s="72" t="s">
        <v>1940</v>
      </c>
      <c r="X281" s="72" t="s">
        <v>2912</v>
      </c>
      <c r="Y281" s="72" t="s">
        <v>3031</v>
      </c>
      <c r="Z281" s="72" t="s">
        <v>4</v>
      </c>
      <c r="AA281" s="147" t="s">
        <v>2912</v>
      </c>
    </row>
    <row r="282" spans="1:27" ht="18.600000000000001" customHeight="1">
      <c r="A282" s="140" t="str">
        <f>IF(priority(Main[[#This Row],[Comments]])&lt;&gt;0, priority(Main[[#This Row],[Comments]]),"")</f>
        <v/>
      </c>
      <c r="B282" s="90" t="s">
        <v>1138</v>
      </c>
      <c r="C282" s="72" t="s">
        <v>4</v>
      </c>
      <c r="D282" s="73" t="s">
        <v>178</v>
      </c>
      <c r="E282" s="74">
        <v>40655.521435185183</v>
      </c>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72"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40655</v>
      </c>
      <c r="R282" s="74"/>
      <c r="S282" s="72" t="s">
        <v>6</v>
      </c>
      <c r="T282" s="80" t="s">
        <v>4</v>
      </c>
      <c r="U282" s="72" t="s">
        <v>7</v>
      </c>
      <c r="V282" s="72" t="s">
        <v>1932</v>
      </c>
      <c r="W282" s="72" t="s">
        <v>1934</v>
      </c>
      <c r="X282" s="72" t="s">
        <v>126</v>
      </c>
      <c r="Y282" s="72" t="s">
        <v>3128</v>
      </c>
      <c r="Z282" s="72" t="s">
        <v>4</v>
      </c>
      <c r="AA282" s="147" t="s">
        <v>126</v>
      </c>
    </row>
    <row r="283" spans="1:27" ht="18.600000000000001" customHeight="1">
      <c r="A283" s="140" t="str">
        <f>IF(priority(Main[[#This Row],[Comments]])&lt;&gt;0, priority(Main[[#This Row],[Comments]]),"")</f>
        <v/>
      </c>
      <c r="B283" s="90" t="s">
        <v>1139</v>
      </c>
      <c r="C283" s="72" t="s">
        <v>4</v>
      </c>
      <c r="D283" s="73" t="s">
        <v>179</v>
      </c>
      <c r="E283" s="74"/>
      <c r="F283" s="74">
        <v>40598</v>
      </c>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72"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v>40598</v>
      </c>
      <c r="R283" s="74"/>
      <c r="S283" s="72" t="s">
        <v>11</v>
      </c>
      <c r="T283" s="80" t="s">
        <v>4</v>
      </c>
      <c r="U283" s="72" t="s">
        <v>14</v>
      </c>
      <c r="V283" s="72" t="s">
        <v>1942</v>
      </c>
      <c r="W283" s="72" t="s">
        <v>1938</v>
      </c>
      <c r="X283" s="72" t="s">
        <v>2939</v>
      </c>
      <c r="Y283" s="72" t="s">
        <v>3074</v>
      </c>
      <c r="Z283" s="72" t="s">
        <v>4</v>
      </c>
      <c r="AA283" s="147" t="s">
        <v>2939</v>
      </c>
    </row>
    <row r="284" spans="1:27" ht="18.600000000000001" customHeight="1">
      <c r="A284" s="157" t="str">
        <f>IF(priority(Main[[#This Row],[Comments]])&lt;&gt;0, priority(Main[[#This Row],[Comments]]),"")</f>
        <v/>
      </c>
      <c r="B284" s="158" t="s">
        <v>2760</v>
      </c>
      <c r="C284" s="159" t="s">
        <v>4</v>
      </c>
      <c r="D284" s="160" t="s">
        <v>2761</v>
      </c>
      <c r="E284" s="162">
        <v>40896.649571759262</v>
      </c>
      <c r="F284" s="162"/>
      <c r="G284" s="164" t="str">
        <f>IF(stdProdLT(Main[[#This Row],[Comments]])=0.1,"N/A",IF(stdProdLT(Main[[#This Row],[Comments]])=0,"",stdProdLT(Main[[#This Row],[Comments]])))</f>
        <v/>
      </c>
      <c r="H284" s="166" t="str">
        <f>IF(AND(Main[[#This Row],[In Stock Date]]&lt;&gt;"",Main[[#This Row],[Revised Due Date]]&lt;&gt;""),Main[[#This Row],[In Stock Date]]-Main[[#This Row],[Revised Due Date]],"")</f>
        <v/>
      </c>
      <c r="I284" s="159" t="s">
        <v>535</v>
      </c>
      <c r="J284" s="159" t="s">
        <v>28</v>
      </c>
      <c r="K284" s="159" t="s">
        <v>1941</v>
      </c>
      <c r="L284" s="162"/>
      <c r="M284" s="169" t="str">
        <f>IF(Main[[#This Row],[Tech Start Date]]&lt;1/1/1990,"",IF(Main[[#This Row],[Class]]="C",WORKDAY(Main[[#This Row],[Tech Start Date]],9),IF(Main[[#This Row],[Class]]="B", WORKDAY(Main[[#This Row],[Tech Start Date]],6),IF(Main[[#This Row],[Class]]="A",WORKDAY(Main[[#This Row],[Tech Start Date]],2),""))))</f>
        <v/>
      </c>
      <c r="N284" s="169" t="str">
        <f>IF(Main[[#This Row],[Tech Start Date]]&lt;1/1/1990,"",IF(Main[[#This Row],[Class]]="C",WORKDAY(Main[[#This Row],[Tech Start Date]],19),IF(Main[[#This Row],[Class]]="B", WORKDAY(Main[[#This Row],[Tech Start Date]],12),IF(Main[[#This Row],[Class]]="A",WORKDAY(Main[[#This Row],[Tech Start Date]],4),""))))</f>
        <v/>
      </c>
      <c r="O284" s="169" t="str">
        <f>IF(Main[[#This Row],[Tech Start Date]]&lt;1/1/1990,"",IF(Main[[#This Row],[Class]]="C",WORKDAY(Main[[#This Row],[Tech Start Date]],23),IF(Main[[#This Row],[Class]]="B", WORKDAY(Main[[#This Row],[Tech Start Date]],15),IF(Main[[#This Row],[Class]]="A",WORKDAY(Main[[#This Row],[Tech Start Date]],5),""))))</f>
        <v/>
      </c>
      <c r="P284" s="169" t="str">
        <f>IF(Main[[#This Row],[Tech Start Date]]&lt;1/1/1990,"",IF(Main[[#This Row],[Class]]="C",WORKDAY(Main[[#This Row],[Tech Start Date]],28),IF(Main[[#This Row],[Class]]="B", WORKDAY(Main[[#This Row],[Tech Start Date]],19),IF(Main[[#This Row],[Class]]="A",WORKDAY(Main[[#This Row],[Tech Start Date]],9),""))))</f>
        <v/>
      </c>
      <c r="Q284" s="162">
        <v>40939</v>
      </c>
      <c r="R284" s="162"/>
      <c r="S284" s="159" t="s">
        <v>6</v>
      </c>
      <c r="T284" s="173" t="s">
        <v>4</v>
      </c>
      <c r="U284" s="159" t="s">
        <v>29</v>
      </c>
      <c r="V284" s="159" t="s">
        <v>1935</v>
      </c>
      <c r="W284" s="159" t="s">
        <v>1940</v>
      </c>
      <c r="X284" s="159" t="s">
        <v>894</v>
      </c>
      <c r="Y284" s="159" t="s">
        <v>3058</v>
      </c>
      <c r="Z284" s="159" t="s">
        <v>30</v>
      </c>
      <c r="AA284" s="154" t="s">
        <v>894</v>
      </c>
    </row>
    <row r="285" spans="1:27" ht="18.600000000000001" customHeight="1">
      <c r="A285" s="140" t="str">
        <f>IF(priority(Main[[#This Row],[Comments]])&lt;&gt;0, priority(Main[[#This Row],[Comments]]),"")</f>
        <v/>
      </c>
      <c r="B285" s="90" t="s">
        <v>2376</v>
      </c>
      <c r="C285" s="72" t="s">
        <v>2377</v>
      </c>
      <c r="D285" s="73" t="s">
        <v>2378</v>
      </c>
      <c r="E285" s="74"/>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4</v>
      </c>
      <c r="K285" s="81"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40840</v>
      </c>
      <c r="R285" s="74"/>
      <c r="S285" s="72" t="s">
        <v>11</v>
      </c>
      <c r="T285" s="80" t="s">
        <v>4</v>
      </c>
      <c r="U285" s="72" t="s">
        <v>12</v>
      </c>
      <c r="V285" s="72" t="s">
        <v>1932</v>
      </c>
      <c r="W285" s="72" t="s">
        <v>1934</v>
      </c>
      <c r="X285" s="72" t="s">
        <v>2946</v>
      </c>
      <c r="Y285" s="72" t="s">
        <v>4</v>
      </c>
      <c r="Z285" s="72" t="s">
        <v>4</v>
      </c>
      <c r="AA285" s="147" t="s">
        <v>2946</v>
      </c>
    </row>
    <row r="286" spans="1:27" ht="18.600000000000001" customHeight="1">
      <c r="A286" s="140" t="str">
        <f>IF(priority(Main[[#This Row],[Comments]])&lt;&gt;0, priority(Main[[#This Row],[Comments]]),"")</f>
        <v/>
      </c>
      <c r="B286" s="90" t="s">
        <v>1141</v>
      </c>
      <c r="C286" s="72" t="s">
        <v>4</v>
      </c>
      <c r="D286" s="73" t="s">
        <v>181</v>
      </c>
      <c r="E286" s="74">
        <v>40688.403611111113</v>
      </c>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4</v>
      </c>
      <c r="K286" s="72"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v>40725</v>
      </c>
      <c r="R286" s="74"/>
      <c r="S286" s="72" t="s">
        <v>6</v>
      </c>
      <c r="T286" s="80" t="s">
        <v>4</v>
      </c>
      <c r="U286" s="72" t="s">
        <v>7</v>
      </c>
      <c r="V286" s="72" t="s">
        <v>1932</v>
      </c>
      <c r="W286" s="72" t="s">
        <v>4</v>
      </c>
      <c r="X286" s="72" t="s">
        <v>2909</v>
      </c>
      <c r="Y286" s="72" t="s">
        <v>3024</v>
      </c>
      <c r="Z286" s="72" t="s">
        <v>4</v>
      </c>
      <c r="AA286" s="147" t="s">
        <v>2909</v>
      </c>
    </row>
    <row r="287" spans="1:27" ht="18.600000000000001" customHeight="1">
      <c r="A287" s="140" t="str">
        <f>IF(priority(Main[[#This Row],[Comments]])&lt;&gt;0, priority(Main[[#This Row],[Comments]]),"")</f>
        <v/>
      </c>
      <c r="B287" s="90" t="s">
        <v>1142</v>
      </c>
      <c r="C287" s="72" t="s">
        <v>4</v>
      </c>
      <c r="D287" s="73" t="s">
        <v>182</v>
      </c>
      <c r="E287" s="74">
        <v>40644.277719907404</v>
      </c>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4</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40673</v>
      </c>
      <c r="R287" s="74"/>
      <c r="S287" s="72" t="s">
        <v>6</v>
      </c>
      <c r="T287" s="80" t="s">
        <v>4</v>
      </c>
      <c r="U287" s="72" t="s">
        <v>7</v>
      </c>
      <c r="V287" s="72" t="s">
        <v>1932</v>
      </c>
      <c r="W287" s="72" t="s">
        <v>1940</v>
      </c>
      <c r="X287" s="72" t="s">
        <v>2912</v>
      </c>
      <c r="Y287" s="72" t="s">
        <v>3031</v>
      </c>
      <c r="Z287" s="72" t="s">
        <v>4</v>
      </c>
      <c r="AA287" s="147" t="s">
        <v>2912</v>
      </c>
    </row>
    <row r="288" spans="1:27" ht="18.600000000000001" customHeight="1">
      <c r="A288" s="140" t="str">
        <f>IF(priority(Main[[#This Row],[Comments]])&lt;&gt;0, priority(Main[[#This Row],[Comments]]),"")</f>
        <v/>
      </c>
      <c r="B288" s="90" t="s">
        <v>1144</v>
      </c>
      <c r="C288" s="72" t="s">
        <v>183</v>
      </c>
      <c r="D288" s="73" t="s">
        <v>184</v>
      </c>
      <c r="E288" s="74"/>
      <c r="F288" s="74">
        <v>40536</v>
      </c>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28</v>
      </c>
      <c r="K288" s="72" t="s">
        <v>1941</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v>40466</v>
      </c>
      <c r="R288" s="74"/>
      <c r="S288" s="72" t="s">
        <v>11</v>
      </c>
      <c r="T288" s="80" t="s">
        <v>4</v>
      </c>
      <c r="U288" s="72" t="s">
        <v>14</v>
      </c>
      <c r="V288" s="72" t="s">
        <v>1935</v>
      </c>
      <c r="W288" s="72" t="s">
        <v>1938</v>
      </c>
      <c r="X288" s="72" t="s">
        <v>2915</v>
      </c>
      <c r="Y288" s="72" t="s">
        <v>3038</v>
      </c>
      <c r="Z288" s="72" t="s">
        <v>535</v>
      </c>
      <c r="AA288" s="147" t="s">
        <v>2915</v>
      </c>
    </row>
    <row r="289" spans="1:27" ht="18.600000000000001" customHeight="1">
      <c r="A289" s="157" t="str">
        <f>IF(priority(Main[[#This Row],[Comments]])&lt;&gt;0, priority(Main[[#This Row],[Comments]]),"")</f>
        <v/>
      </c>
      <c r="B289" s="158" t="s">
        <v>1145</v>
      </c>
      <c r="C289" s="159" t="s">
        <v>185</v>
      </c>
      <c r="D289" s="160" t="s">
        <v>186</v>
      </c>
      <c r="E289" s="162"/>
      <c r="F289" s="162">
        <v>40571</v>
      </c>
      <c r="G289" s="164" t="str">
        <f>IF(stdProdLT(Main[[#This Row],[Comments]])=0.1,"N/A",IF(stdProdLT(Main[[#This Row],[Comments]])=0,"",stdProdLT(Main[[#This Row],[Comments]])))</f>
        <v/>
      </c>
      <c r="H289" s="166" t="str">
        <f>IF(AND(Main[[#This Row],[In Stock Date]]&lt;&gt;"",Main[[#This Row],[Revised Due Date]]&lt;&gt;""),Main[[#This Row],[In Stock Date]]-Main[[#This Row],[Revised Due Date]],"")</f>
        <v/>
      </c>
      <c r="I289" s="159" t="s">
        <v>4</v>
      </c>
      <c r="J289" s="159" t="s">
        <v>28</v>
      </c>
      <c r="K289" s="159" t="s">
        <v>4</v>
      </c>
      <c r="L289" s="162"/>
      <c r="M289" s="169" t="str">
        <f>IF(Main[[#This Row],[Tech Start Date]]&lt;1/1/1990,"",IF(Main[[#This Row],[Class]]="C",WORKDAY(Main[[#This Row],[Tech Start Date]],9),IF(Main[[#This Row],[Class]]="B", WORKDAY(Main[[#This Row],[Tech Start Date]],6),IF(Main[[#This Row],[Class]]="A",WORKDAY(Main[[#This Row],[Tech Start Date]],2),""))))</f>
        <v/>
      </c>
      <c r="N289" s="169" t="str">
        <f>IF(Main[[#This Row],[Tech Start Date]]&lt;1/1/1990,"",IF(Main[[#This Row],[Class]]="C",WORKDAY(Main[[#This Row],[Tech Start Date]],19),IF(Main[[#This Row],[Class]]="B", WORKDAY(Main[[#This Row],[Tech Start Date]],12),IF(Main[[#This Row],[Class]]="A",WORKDAY(Main[[#This Row],[Tech Start Date]],4),""))))</f>
        <v/>
      </c>
      <c r="O289" s="169" t="str">
        <f>IF(Main[[#This Row],[Tech Start Date]]&lt;1/1/1990,"",IF(Main[[#This Row],[Class]]="C",WORKDAY(Main[[#This Row],[Tech Start Date]],23),IF(Main[[#This Row],[Class]]="B", WORKDAY(Main[[#This Row],[Tech Start Date]],15),IF(Main[[#This Row],[Class]]="A",WORKDAY(Main[[#This Row],[Tech Start Date]],5),""))))</f>
        <v/>
      </c>
      <c r="P289" s="169" t="str">
        <f>IF(Main[[#This Row],[Tech Start Date]]&lt;1/1/1990,"",IF(Main[[#This Row],[Class]]="C",WORKDAY(Main[[#This Row],[Tech Start Date]],28),IF(Main[[#This Row],[Class]]="B", WORKDAY(Main[[#This Row],[Tech Start Date]],19),IF(Main[[#This Row],[Class]]="A",WORKDAY(Main[[#This Row],[Tech Start Date]],9),""))))</f>
        <v/>
      </c>
      <c r="Q289" s="162"/>
      <c r="R289" s="162"/>
      <c r="S289" s="159" t="s">
        <v>11</v>
      </c>
      <c r="T289" s="173" t="s">
        <v>4</v>
      </c>
      <c r="U289" s="159" t="s">
        <v>14</v>
      </c>
      <c r="V289" s="159" t="s">
        <v>1932</v>
      </c>
      <c r="W289" s="159" t="s">
        <v>1938</v>
      </c>
      <c r="X289" s="159" t="s">
        <v>50</v>
      </c>
      <c r="Y289" s="159" t="s">
        <v>3094</v>
      </c>
      <c r="Z289" s="159" t="s">
        <v>129</v>
      </c>
      <c r="AA289" s="154" t="s">
        <v>3637</v>
      </c>
    </row>
    <row r="290" spans="1:27" ht="18.600000000000001" customHeight="1">
      <c r="A290" s="140" t="str">
        <f>IF(priority(Main[[#This Row],[Comments]])&lt;&gt;0, priority(Main[[#This Row],[Comments]]),"")</f>
        <v/>
      </c>
      <c r="B290" s="90" t="s">
        <v>1146</v>
      </c>
      <c r="C290" s="72" t="s">
        <v>187</v>
      </c>
      <c r="D290" s="73" t="s">
        <v>188</v>
      </c>
      <c r="E290" s="74"/>
      <c r="F290" s="74"/>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4</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40116</v>
      </c>
      <c r="R290" s="74"/>
      <c r="S290" s="72" t="s">
        <v>11</v>
      </c>
      <c r="T290" s="80" t="s">
        <v>4</v>
      </c>
      <c r="U290" s="72" t="s">
        <v>14</v>
      </c>
      <c r="V290" s="72" t="s">
        <v>1935</v>
      </c>
      <c r="W290" s="72" t="s">
        <v>1934</v>
      </c>
      <c r="X290" s="72" t="s">
        <v>2954</v>
      </c>
      <c r="Y290" s="72" t="s">
        <v>4</v>
      </c>
      <c r="Z290" s="72" t="s">
        <v>4</v>
      </c>
      <c r="AA290" s="147" t="s">
        <v>2954</v>
      </c>
    </row>
    <row r="291" spans="1:27" ht="18.600000000000001" customHeight="1">
      <c r="A291" s="140" t="str">
        <f>IF(priority(Main[[#This Row],[Comments]])&lt;&gt;0, priority(Main[[#This Row],[Comments]]),"")</f>
        <v/>
      </c>
      <c r="B291" s="90" t="s">
        <v>1148</v>
      </c>
      <c r="C291" s="72" t="s">
        <v>190</v>
      </c>
      <c r="D291" s="73" t="s">
        <v>191</v>
      </c>
      <c r="E291" s="74"/>
      <c r="F291" s="74">
        <v>40263</v>
      </c>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40295</v>
      </c>
      <c r="R291" s="74"/>
      <c r="S291" s="72" t="s">
        <v>11</v>
      </c>
      <c r="T291" s="80" t="s">
        <v>4</v>
      </c>
      <c r="U291" s="72" t="s">
        <v>14</v>
      </c>
      <c r="V291" s="72" t="s">
        <v>1935</v>
      </c>
      <c r="W291" s="72" t="s">
        <v>1938</v>
      </c>
      <c r="X291" s="72" t="s">
        <v>310</v>
      </c>
      <c r="Y291" s="72" t="s">
        <v>4</v>
      </c>
      <c r="Z291" s="72" t="s">
        <v>4</v>
      </c>
      <c r="AA291" s="147" t="s">
        <v>310</v>
      </c>
    </row>
    <row r="292" spans="1:27" ht="18.600000000000001" customHeight="1">
      <c r="A292" s="157" t="str">
        <f>IF(priority(Main[[#This Row],[Comments]])&lt;&gt;0, priority(Main[[#This Row],[Comments]]),"")</f>
        <v/>
      </c>
      <c r="B292" s="158" t="s">
        <v>1149</v>
      </c>
      <c r="C292" s="159" t="s">
        <v>4</v>
      </c>
      <c r="D292" s="160" t="s">
        <v>192</v>
      </c>
      <c r="E292" s="162"/>
      <c r="F292" s="162"/>
      <c r="G292" s="164" t="str">
        <f>IF(stdProdLT(Main[[#This Row],[Comments]])=0.1,"N/A",IF(stdProdLT(Main[[#This Row],[Comments]])=0,"",stdProdLT(Main[[#This Row],[Comments]])))</f>
        <v/>
      </c>
      <c r="H292" s="166" t="str">
        <f>IF(AND(Main[[#This Row],[In Stock Date]]&lt;&gt;"",Main[[#This Row],[Revised Due Date]]&lt;&gt;""),Main[[#This Row],[In Stock Date]]-Main[[#This Row],[Revised Due Date]],"")</f>
        <v/>
      </c>
      <c r="I292" s="159" t="s">
        <v>4</v>
      </c>
      <c r="J292" s="159" t="s">
        <v>4</v>
      </c>
      <c r="K292" s="159" t="s">
        <v>4</v>
      </c>
      <c r="L292" s="162"/>
      <c r="M292" s="169" t="str">
        <f>IF(Main[[#This Row],[Tech Start Date]]&lt;1/1/1990,"",IF(Main[[#This Row],[Class]]="C",WORKDAY(Main[[#This Row],[Tech Start Date]],9),IF(Main[[#This Row],[Class]]="B", WORKDAY(Main[[#This Row],[Tech Start Date]],6),IF(Main[[#This Row],[Class]]="A",WORKDAY(Main[[#This Row],[Tech Start Date]],2),""))))</f>
        <v/>
      </c>
      <c r="N292" s="169" t="str">
        <f>IF(Main[[#This Row],[Tech Start Date]]&lt;1/1/1990,"",IF(Main[[#This Row],[Class]]="C",WORKDAY(Main[[#This Row],[Tech Start Date]],19),IF(Main[[#This Row],[Class]]="B", WORKDAY(Main[[#This Row],[Tech Start Date]],12),IF(Main[[#This Row],[Class]]="A",WORKDAY(Main[[#This Row],[Tech Start Date]],4),""))))</f>
        <v/>
      </c>
      <c r="O292" s="169" t="str">
        <f>IF(Main[[#This Row],[Tech Start Date]]&lt;1/1/1990,"",IF(Main[[#This Row],[Class]]="C",WORKDAY(Main[[#This Row],[Tech Start Date]],23),IF(Main[[#This Row],[Class]]="B", WORKDAY(Main[[#This Row],[Tech Start Date]],15),IF(Main[[#This Row],[Class]]="A",WORKDAY(Main[[#This Row],[Tech Start Date]],5),""))))</f>
        <v/>
      </c>
      <c r="P292" s="169" t="str">
        <f>IF(Main[[#This Row],[Tech Start Date]]&lt;1/1/1990,"",IF(Main[[#This Row],[Class]]="C",WORKDAY(Main[[#This Row],[Tech Start Date]],28),IF(Main[[#This Row],[Class]]="B", WORKDAY(Main[[#This Row],[Tech Start Date]],19),IF(Main[[#This Row],[Class]]="A",WORKDAY(Main[[#This Row],[Tech Start Date]],9),""))))</f>
        <v/>
      </c>
      <c r="Q292" s="162"/>
      <c r="R292" s="162"/>
      <c r="S292" s="159" t="s">
        <v>4</v>
      </c>
      <c r="T292" s="173" t="s">
        <v>4</v>
      </c>
      <c r="U292" s="159" t="s">
        <v>14</v>
      </c>
      <c r="V292" s="159" t="s">
        <v>1935</v>
      </c>
      <c r="W292" s="159" t="s">
        <v>4</v>
      </c>
      <c r="X292" s="159" t="s">
        <v>980</v>
      </c>
      <c r="Y292" s="159" t="s">
        <v>4</v>
      </c>
      <c r="Z292" s="159" t="s">
        <v>4</v>
      </c>
      <c r="AA292" s="154" t="s">
        <v>4</v>
      </c>
    </row>
    <row r="293" spans="1:27" ht="18.600000000000001" customHeight="1">
      <c r="A293" s="140" t="str">
        <f>IF(priority(Main[[#This Row],[Comments]])&lt;&gt;0, priority(Main[[#This Row],[Comments]]),"")</f>
        <v/>
      </c>
      <c r="B293" s="90" t="s">
        <v>1150</v>
      </c>
      <c r="C293" s="72" t="s">
        <v>93</v>
      </c>
      <c r="D293" s="73" t="s">
        <v>193</v>
      </c>
      <c r="E293" s="74"/>
      <c r="F293" s="74">
        <v>40132</v>
      </c>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40132</v>
      </c>
      <c r="R293" s="74"/>
      <c r="S293" s="72" t="s">
        <v>11</v>
      </c>
      <c r="T293" s="80" t="s">
        <v>4</v>
      </c>
      <c r="U293" s="72" t="s">
        <v>14</v>
      </c>
      <c r="V293" s="72" t="s">
        <v>1935</v>
      </c>
      <c r="W293" s="72" t="s">
        <v>1943</v>
      </c>
      <c r="X293" s="72" t="s">
        <v>2947</v>
      </c>
      <c r="Y293" s="72" t="s">
        <v>4</v>
      </c>
      <c r="Z293" s="72" t="s">
        <v>4</v>
      </c>
      <c r="AA293" s="147" t="s">
        <v>2947</v>
      </c>
    </row>
    <row r="294" spans="1:27" ht="18.600000000000001" customHeight="1">
      <c r="A294" s="157" t="str">
        <f>IF(priority(Main[[#This Row],[Comments]])&lt;&gt;0, priority(Main[[#This Row],[Comments]]),"")</f>
        <v/>
      </c>
      <c r="B294" s="158" t="s">
        <v>1151</v>
      </c>
      <c r="C294" s="159" t="s">
        <v>93</v>
      </c>
      <c r="D294" s="160" t="s">
        <v>194</v>
      </c>
      <c r="E294" s="162"/>
      <c r="F294" s="162">
        <v>40132</v>
      </c>
      <c r="G294" s="164" t="str">
        <f>IF(stdProdLT(Main[[#This Row],[Comments]])=0.1,"N/A",IF(stdProdLT(Main[[#This Row],[Comments]])=0,"",stdProdLT(Main[[#This Row],[Comments]])))</f>
        <v/>
      </c>
      <c r="H294" s="166" t="str">
        <f>IF(AND(Main[[#This Row],[In Stock Date]]&lt;&gt;"",Main[[#This Row],[Revised Due Date]]&lt;&gt;""),Main[[#This Row],[In Stock Date]]-Main[[#This Row],[Revised Due Date]],"")</f>
        <v/>
      </c>
      <c r="I294" s="159" t="s">
        <v>4</v>
      </c>
      <c r="J294" s="159" t="s">
        <v>4</v>
      </c>
      <c r="K294" s="159" t="s">
        <v>4</v>
      </c>
      <c r="L294" s="162"/>
      <c r="M294" s="169" t="str">
        <f>IF(Main[[#This Row],[Tech Start Date]]&lt;1/1/1990,"",IF(Main[[#This Row],[Class]]="C",WORKDAY(Main[[#This Row],[Tech Start Date]],9),IF(Main[[#This Row],[Class]]="B", WORKDAY(Main[[#This Row],[Tech Start Date]],6),IF(Main[[#This Row],[Class]]="A",WORKDAY(Main[[#This Row],[Tech Start Date]],2),""))))</f>
        <v/>
      </c>
      <c r="N294" s="169" t="str">
        <f>IF(Main[[#This Row],[Tech Start Date]]&lt;1/1/1990,"",IF(Main[[#This Row],[Class]]="C",WORKDAY(Main[[#This Row],[Tech Start Date]],19),IF(Main[[#This Row],[Class]]="B", WORKDAY(Main[[#This Row],[Tech Start Date]],12),IF(Main[[#This Row],[Class]]="A",WORKDAY(Main[[#This Row],[Tech Start Date]],4),""))))</f>
        <v/>
      </c>
      <c r="O294" s="169" t="str">
        <f>IF(Main[[#This Row],[Tech Start Date]]&lt;1/1/1990,"",IF(Main[[#This Row],[Class]]="C",WORKDAY(Main[[#This Row],[Tech Start Date]],23),IF(Main[[#This Row],[Class]]="B", WORKDAY(Main[[#This Row],[Tech Start Date]],15),IF(Main[[#This Row],[Class]]="A",WORKDAY(Main[[#This Row],[Tech Start Date]],5),""))))</f>
        <v/>
      </c>
      <c r="P294" s="169" t="str">
        <f>IF(Main[[#This Row],[Tech Start Date]]&lt;1/1/1990,"",IF(Main[[#This Row],[Class]]="C",WORKDAY(Main[[#This Row],[Tech Start Date]],28),IF(Main[[#This Row],[Class]]="B", WORKDAY(Main[[#This Row],[Tech Start Date]],19),IF(Main[[#This Row],[Class]]="A",WORKDAY(Main[[#This Row],[Tech Start Date]],9),""))))</f>
        <v/>
      </c>
      <c r="Q294" s="162">
        <v>40132</v>
      </c>
      <c r="R294" s="162"/>
      <c r="S294" s="159" t="s">
        <v>11</v>
      </c>
      <c r="T294" s="173" t="s">
        <v>4</v>
      </c>
      <c r="U294" s="159" t="s">
        <v>14</v>
      </c>
      <c r="V294" s="159" t="s">
        <v>1935</v>
      </c>
      <c r="W294" s="159" t="s">
        <v>1943</v>
      </c>
      <c r="X294" s="159" t="s">
        <v>2947</v>
      </c>
      <c r="Y294" s="159" t="s">
        <v>4</v>
      </c>
      <c r="Z294" s="159" t="s">
        <v>4</v>
      </c>
      <c r="AA294" s="154" t="s">
        <v>2947</v>
      </c>
    </row>
    <row r="295" spans="1:27" ht="18.600000000000001" customHeight="1">
      <c r="A295" s="140" t="str">
        <f>IF(priority(Main[[#This Row],[Comments]])&lt;&gt;0, priority(Main[[#This Row],[Comments]]),"")</f>
        <v/>
      </c>
      <c r="B295" s="90" t="s">
        <v>1152</v>
      </c>
      <c r="C295" s="72" t="s">
        <v>4</v>
      </c>
      <c r="D295" s="73" t="s">
        <v>195</v>
      </c>
      <c r="E295" s="74">
        <v>40371.395115740743</v>
      </c>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v>40385</v>
      </c>
      <c r="R295" s="74"/>
      <c r="S295" s="72" t="s">
        <v>6</v>
      </c>
      <c r="T295" s="80" t="s">
        <v>4</v>
      </c>
      <c r="U295" s="72" t="s">
        <v>7</v>
      </c>
      <c r="V295" s="72" t="s">
        <v>1932</v>
      </c>
      <c r="W295" s="72" t="s">
        <v>1934</v>
      </c>
      <c r="X295" s="72" t="s">
        <v>102</v>
      </c>
      <c r="Y295" s="72" t="s">
        <v>3096</v>
      </c>
      <c r="Z295" s="72" t="s">
        <v>4</v>
      </c>
      <c r="AA295" s="147" t="s">
        <v>3638</v>
      </c>
    </row>
    <row r="296" spans="1:27" ht="18.600000000000001" customHeight="1">
      <c r="A296" s="140" t="str">
        <f>IF(priority(Main[[#This Row],[Comments]])&lt;&gt;0, priority(Main[[#This Row],[Comments]]),"")</f>
        <v/>
      </c>
      <c r="B296" s="90" t="s">
        <v>1153</v>
      </c>
      <c r="C296" s="72" t="s">
        <v>53</v>
      </c>
      <c r="D296" s="73" t="s">
        <v>196</v>
      </c>
      <c r="E296" s="74"/>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28</v>
      </c>
      <c r="K296" s="72" t="s">
        <v>1939</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40581</v>
      </c>
      <c r="R296" s="74"/>
      <c r="S296" s="72" t="s">
        <v>11</v>
      </c>
      <c r="T296" s="80" t="s">
        <v>4</v>
      </c>
      <c r="U296" s="72" t="s">
        <v>14</v>
      </c>
      <c r="V296" s="72" t="s">
        <v>1933</v>
      </c>
      <c r="W296" s="72" t="s">
        <v>1934</v>
      </c>
      <c r="X296" s="72" t="s">
        <v>2906</v>
      </c>
      <c r="Y296" s="72" t="s">
        <v>3022</v>
      </c>
      <c r="Z296" s="72" t="s">
        <v>3257</v>
      </c>
      <c r="AA296" s="147" t="s">
        <v>2906</v>
      </c>
    </row>
    <row r="297" spans="1:27" ht="18.600000000000001" customHeight="1">
      <c r="A297" s="140" t="str">
        <f>IF(priority(Main[[#This Row],[Comments]])&lt;&gt;0, priority(Main[[#This Row],[Comments]]),"")</f>
        <v/>
      </c>
      <c r="B297" s="90" t="s">
        <v>1860</v>
      </c>
      <c r="C297" s="72" t="s">
        <v>4</v>
      </c>
      <c r="D297" s="73" t="s">
        <v>910</v>
      </c>
      <c r="E297" s="74"/>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102</v>
      </c>
      <c r="J297" s="72" t="s">
        <v>52</v>
      </c>
      <c r="K297" s="72" t="s">
        <v>1941</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c r="R297" s="74">
        <v>40494</v>
      </c>
      <c r="S297" s="72" t="s">
        <v>6</v>
      </c>
      <c r="T297" s="80" t="s">
        <v>4</v>
      </c>
      <c r="U297" s="72" t="s">
        <v>14</v>
      </c>
      <c r="V297" s="72" t="s">
        <v>1932</v>
      </c>
      <c r="W297" s="72" t="s">
        <v>1946</v>
      </c>
      <c r="X297" s="72" t="s">
        <v>2074</v>
      </c>
      <c r="Y297" s="72" t="s">
        <v>3097</v>
      </c>
      <c r="Z297" s="72" t="s">
        <v>3258</v>
      </c>
      <c r="AA297" s="147" t="s">
        <v>2074</v>
      </c>
    </row>
    <row r="298" spans="1:27" ht="18.600000000000001" customHeight="1">
      <c r="A298" s="140" t="str">
        <f>IF(priority(Main[[#This Row],[Comments]])&lt;&gt;0, priority(Main[[#This Row],[Comments]]),"")</f>
        <v/>
      </c>
      <c r="B298" s="90" t="s">
        <v>1172</v>
      </c>
      <c r="C298" s="72" t="s">
        <v>4</v>
      </c>
      <c r="D298" s="73" t="s">
        <v>2379</v>
      </c>
      <c r="E298" s="74">
        <v>40436.507916666669</v>
      </c>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923</v>
      </c>
      <c r="J298" s="72" t="s">
        <v>52</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40451</v>
      </c>
      <c r="R298" s="74"/>
      <c r="S298" s="72" t="s">
        <v>6</v>
      </c>
      <c r="T298" s="80" t="s">
        <v>4</v>
      </c>
      <c r="U298" s="72" t="s">
        <v>29</v>
      </c>
      <c r="V298" s="72" t="s">
        <v>1932</v>
      </c>
      <c r="W298" s="72" t="s">
        <v>1934</v>
      </c>
      <c r="X298" s="72" t="s">
        <v>2958</v>
      </c>
      <c r="Y298" s="72" t="s">
        <v>3098</v>
      </c>
      <c r="Z298" s="72" t="s">
        <v>535</v>
      </c>
      <c r="AA298" s="147" t="s">
        <v>2958</v>
      </c>
    </row>
    <row r="299" spans="1:27" ht="18.600000000000001" customHeight="1">
      <c r="A299" s="140" t="str">
        <f>IF(priority(Main[[#This Row],[Comments]])&lt;&gt;0, priority(Main[[#This Row],[Comments]]),"")</f>
        <v/>
      </c>
      <c r="B299" s="90" t="s">
        <v>1319</v>
      </c>
      <c r="C299" s="72" t="s">
        <v>47</v>
      </c>
      <c r="D299" s="73" t="s">
        <v>2033</v>
      </c>
      <c r="E299" s="74">
        <v>39952.315729166665</v>
      </c>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2034</v>
      </c>
      <c r="J299" s="72" t="s">
        <v>28</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c r="R299" s="74"/>
      <c r="S299" s="72" t="s">
        <v>17</v>
      </c>
      <c r="T299" s="80" t="s">
        <v>4</v>
      </c>
      <c r="U299" s="72" t="s">
        <v>7</v>
      </c>
      <c r="V299" s="72" t="s">
        <v>1947</v>
      </c>
      <c r="W299" s="72" t="s">
        <v>1937</v>
      </c>
      <c r="X299" s="72" t="s">
        <v>2950</v>
      </c>
      <c r="Y299" s="72" t="s">
        <v>3043</v>
      </c>
      <c r="Z299" s="72" t="s">
        <v>2237</v>
      </c>
      <c r="AA299" s="147" t="s">
        <v>2950</v>
      </c>
    </row>
    <row r="300" spans="1:27" ht="18.600000000000001" customHeight="1">
      <c r="A300" s="140" t="str">
        <f>IF(priority(Main[[#This Row],[Comments]])&lt;&gt;0, priority(Main[[#This Row],[Comments]]),"")</f>
        <v/>
      </c>
      <c r="B300" s="90" t="s">
        <v>1167</v>
      </c>
      <c r="C300" s="72" t="s">
        <v>4</v>
      </c>
      <c r="D300" s="73" t="s">
        <v>212</v>
      </c>
      <c r="E300" s="74"/>
      <c r="F300" s="74"/>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81"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c r="R300" s="74"/>
      <c r="S300" s="72" t="s">
        <v>23</v>
      </c>
      <c r="T300" s="80" t="s">
        <v>4</v>
      </c>
      <c r="U300" s="72" t="s">
        <v>14</v>
      </c>
      <c r="V300" s="72" t="s">
        <v>1935</v>
      </c>
      <c r="W300" s="72" t="s">
        <v>1936</v>
      </c>
      <c r="X300" s="72" t="s">
        <v>310</v>
      </c>
      <c r="Y300" s="72" t="s">
        <v>4</v>
      </c>
      <c r="Z300" s="72" t="s">
        <v>4</v>
      </c>
      <c r="AA300" s="147" t="s">
        <v>3625</v>
      </c>
    </row>
    <row r="301" spans="1:27" ht="18.600000000000001" customHeight="1">
      <c r="A301" s="140" t="str">
        <f>IF(priority(Main[[#This Row],[Comments]])&lt;&gt;0, priority(Main[[#This Row],[Comments]]),"")</f>
        <v/>
      </c>
      <c r="B301" s="90" t="s">
        <v>1168</v>
      </c>
      <c r="C301" s="72" t="s">
        <v>4</v>
      </c>
      <c r="D301" s="73" t="s">
        <v>213</v>
      </c>
      <c r="E301" s="74"/>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c r="R301" s="74"/>
      <c r="S301" s="72" t="s">
        <v>23</v>
      </c>
      <c r="T301" s="80" t="s">
        <v>4</v>
      </c>
      <c r="U301" s="72" t="s">
        <v>14</v>
      </c>
      <c r="V301" s="72" t="s">
        <v>1935</v>
      </c>
      <c r="W301" s="72" t="s">
        <v>1936</v>
      </c>
      <c r="X301" s="72" t="s">
        <v>403</v>
      </c>
      <c r="Y301" s="72" t="s">
        <v>4</v>
      </c>
      <c r="Z301" s="72" t="s">
        <v>4</v>
      </c>
      <c r="AA301" s="147" t="s">
        <v>3639</v>
      </c>
    </row>
    <row r="302" spans="1:27" ht="18.600000000000001" customHeight="1">
      <c r="A302" s="140" t="str">
        <f>IF(priority(Main[[#This Row],[Comments]])&lt;&gt;0, priority(Main[[#This Row],[Comments]]),"")</f>
        <v/>
      </c>
      <c r="B302" s="124" t="s">
        <v>1232</v>
      </c>
      <c r="C302" s="117" t="s">
        <v>281</v>
      </c>
      <c r="D302" s="118" t="s">
        <v>282</v>
      </c>
      <c r="E302" s="119"/>
      <c r="F302" s="119">
        <v>40680</v>
      </c>
      <c r="G302" s="120" t="str">
        <f>IF(stdProdLT(Main[[#This Row],[Comments]])=0.1,"N/A",IF(stdProdLT(Main[[#This Row],[Comments]])=0,"",stdProdLT(Main[[#This Row],[Comments]])))</f>
        <v/>
      </c>
      <c r="H302" s="121" t="str">
        <f>IF(AND(Main[[#This Row],[In Stock Date]]&lt;&gt;"",Main[[#This Row],[Revised Due Date]]&lt;&gt;""),Main[[#This Row],[In Stock Date]]-Main[[#This Row],[Revised Due Date]],"")</f>
        <v/>
      </c>
      <c r="I302" s="117" t="s">
        <v>4</v>
      </c>
      <c r="J302" s="117" t="s">
        <v>28</v>
      </c>
      <c r="K302" s="117" t="s">
        <v>4</v>
      </c>
      <c r="L302" s="119"/>
      <c r="M302" s="122" t="str">
        <f>IF(Main[[#This Row],[Tech Start Date]]&lt;1/1/1990,"",IF(Main[[#This Row],[Class]]="C",WORKDAY(Main[[#This Row],[Tech Start Date]],9),IF(Main[[#This Row],[Class]]="B", WORKDAY(Main[[#This Row],[Tech Start Date]],6),IF(Main[[#This Row],[Class]]="A",WORKDAY(Main[[#This Row],[Tech Start Date]],2),""))))</f>
        <v/>
      </c>
      <c r="N302" s="122" t="str">
        <f>IF(Main[[#This Row],[Tech Start Date]]&lt;1/1/1990,"",IF(Main[[#This Row],[Class]]="C",WORKDAY(Main[[#This Row],[Tech Start Date]],19),IF(Main[[#This Row],[Class]]="B", WORKDAY(Main[[#This Row],[Tech Start Date]],12),IF(Main[[#This Row],[Class]]="A",WORKDAY(Main[[#This Row],[Tech Start Date]],4),""))))</f>
        <v/>
      </c>
      <c r="O302" s="122" t="str">
        <f>IF(Main[[#This Row],[Tech Start Date]]&lt;1/1/1990,"",IF(Main[[#This Row],[Class]]="C",WORKDAY(Main[[#This Row],[Tech Start Date]],23),IF(Main[[#This Row],[Class]]="B", WORKDAY(Main[[#This Row],[Tech Start Date]],15),IF(Main[[#This Row],[Class]]="A",WORKDAY(Main[[#This Row],[Tech Start Date]],5),""))))</f>
        <v/>
      </c>
      <c r="P302" s="122" t="str">
        <f>IF(Main[[#This Row],[Tech Start Date]]&lt;1/1/1990,"",IF(Main[[#This Row],[Class]]="C",WORKDAY(Main[[#This Row],[Tech Start Date]],28),IF(Main[[#This Row],[Class]]="B", WORKDAY(Main[[#This Row],[Tech Start Date]],19),IF(Main[[#This Row],[Class]]="A",WORKDAY(Main[[#This Row],[Tech Start Date]],9),""))))</f>
        <v/>
      </c>
      <c r="Q302" s="119">
        <v>40540</v>
      </c>
      <c r="R302" s="119"/>
      <c r="S302" s="117" t="s">
        <v>11</v>
      </c>
      <c r="T302" s="123" t="s">
        <v>4</v>
      </c>
      <c r="U302" s="117" t="s">
        <v>14</v>
      </c>
      <c r="V302" s="117" t="s">
        <v>1933</v>
      </c>
      <c r="W302" s="117" t="s">
        <v>1937</v>
      </c>
      <c r="X302" s="117" t="s">
        <v>2951</v>
      </c>
      <c r="Y302" s="117" t="s">
        <v>3099</v>
      </c>
      <c r="Z302" s="117" t="s">
        <v>4</v>
      </c>
      <c r="AA302" s="147" t="s">
        <v>2951</v>
      </c>
    </row>
    <row r="303" spans="1:27" ht="18.600000000000001" customHeight="1">
      <c r="A303" s="140" t="str">
        <f>IF(priority(Main[[#This Row],[Comments]])&lt;&gt;0, priority(Main[[#This Row],[Comments]]),"")</f>
        <v/>
      </c>
      <c r="B303" s="90" t="s">
        <v>2206</v>
      </c>
      <c r="C303" s="72" t="s">
        <v>4</v>
      </c>
      <c r="D303" s="73" t="s">
        <v>2207</v>
      </c>
      <c r="E303" s="74"/>
      <c r="F303" s="74"/>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c r="R303" s="74"/>
      <c r="S303" s="72" t="s">
        <v>6</v>
      </c>
      <c r="T303" s="80" t="s">
        <v>4</v>
      </c>
      <c r="U303" s="72" t="s">
        <v>14</v>
      </c>
      <c r="V303" s="72" t="s">
        <v>1932</v>
      </c>
      <c r="W303" s="72" t="s">
        <v>1934</v>
      </c>
      <c r="X303" s="72" t="s">
        <v>310</v>
      </c>
      <c r="Y303" s="72" t="s">
        <v>4</v>
      </c>
      <c r="Z303" s="72" t="s">
        <v>4</v>
      </c>
      <c r="AA303" s="147" t="s">
        <v>4</v>
      </c>
    </row>
    <row r="304" spans="1:27" ht="18.600000000000001" customHeight="1">
      <c r="A304" s="140" t="str">
        <f>IF(priority(Main[[#This Row],[Comments]])&lt;&gt;0, priority(Main[[#This Row],[Comments]]),"")</f>
        <v/>
      </c>
      <c r="B304" s="90" t="s">
        <v>1154</v>
      </c>
      <c r="C304" s="72" t="s">
        <v>93</v>
      </c>
      <c r="D304" s="73" t="s">
        <v>197</v>
      </c>
      <c r="E304" s="74"/>
      <c r="F304" s="74">
        <v>40203</v>
      </c>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v>40046</v>
      </c>
      <c r="R304" s="74"/>
      <c r="S304" s="72" t="s">
        <v>11</v>
      </c>
      <c r="T304" s="80" t="s">
        <v>4</v>
      </c>
      <c r="U304" s="72" t="s">
        <v>14</v>
      </c>
      <c r="V304" s="72" t="s">
        <v>1932</v>
      </c>
      <c r="W304" s="72" t="s">
        <v>1938</v>
      </c>
      <c r="X304" s="72" t="s">
        <v>2944</v>
      </c>
      <c r="Y304" s="72" t="s">
        <v>3086</v>
      </c>
      <c r="Z304" s="72" t="s">
        <v>4</v>
      </c>
      <c r="AA304" s="147" t="s">
        <v>2944</v>
      </c>
    </row>
    <row r="305" spans="1:27" ht="18.600000000000001" customHeight="1">
      <c r="A305" s="140" t="str">
        <f>IF(priority(Main[[#This Row],[Comments]])&lt;&gt;0, priority(Main[[#This Row],[Comments]]),"")</f>
        <v/>
      </c>
      <c r="B305" s="90" t="s">
        <v>1155</v>
      </c>
      <c r="C305" s="72" t="s">
        <v>4</v>
      </c>
      <c r="D305" s="73" t="s">
        <v>198</v>
      </c>
      <c r="E305" s="74"/>
      <c r="F305" s="74"/>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40543</v>
      </c>
      <c r="R305" s="74"/>
      <c r="S305" s="72" t="s">
        <v>11</v>
      </c>
      <c r="T305" s="80" t="s">
        <v>4</v>
      </c>
      <c r="U305" s="72" t="s">
        <v>14</v>
      </c>
      <c r="V305" s="72" t="s">
        <v>1932</v>
      </c>
      <c r="W305" s="72" t="s">
        <v>1943</v>
      </c>
      <c r="X305" s="72" t="s">
        <v>2952</v>
      </c>
      <c r="Y305" s="72" t="s">
        <v>3100</v>
      </c>
      <c r="Z305" s="72" t="s">
        <v>4</v>
      </c>
      <c r="AA305" s="147" t="s">
        <v>2952</v>
      </c>
    </row>
    <row r="306" spans="1:27" ht="18.600000000000001" customHeight="1">
      <c r="A306" s="140" t="str">
        <f>IF(priority(Main[[#This Row],[Comments]])&lt;&gt;0, priority(Main[[#This Row],[Comments]]),"")</f>
        <v/>
      </c>
      <c r="B306" s="90" t="s">
        <v>2611</v>
      </c>
      <c r="C306" s="72" t="s">
        <v>4</v>
      </c>
      <c r="D306" s="73" t="s">
        <v>2612</v>
      </c>
      <c r="E306" s="74">
        <v>40876.146770833337</v>
      </c>
      <c r="F306" s="74"/>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81"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40882</v>
      </c>
      <c r="R306" s="74"/>
      <c r="S306" s="72" t="s">
        <v>6</v>
      </c>
      <c r="T306" s="80" t="s">
        <v>4</v>
      </c>
      <c r="U306" s="72" t="s">
        <v>7</v>
      </c>
      <c r="V306" s="72" t="s">
        <v>1932</v>
      </c>
      <c r="W306" s="72" t="s">
        <v>4</v>
      </c>
      <c r="X306" s="72" t="s">
        <v>2913</v>
      </c>
      <c r="Y306" s="72" t="s">
        <v>3033</v>
      </c>
      <c r="Z306" s="72" t="s">
        <v>4</v>
      </c>
      <c r="AA306" s="147" t="s">
        <v>2913</v>
      </c>
    </row>
    <row r="307" spans="1:27" ht="18.600000000000001" customHeight="1">
      <c r="A307" s="140" t="str">
        <f>IF(priority(Main[[#This Row],[Comments]])&lt;&gt;0, priority(Main[[#This Row],[Comments]]),"")</f>
        <v/>
      </c>
      <c r="B307" s="90" t="s">
        <v>1156</v>
      </c>
      <c r="C307" s="72" t="s">
        <v>4</v>
      </c>
      <c r="D307" s="73" t="s">
        <v>199</v>
      </c>
      <c r="E307" s="74"/>
      <c r="F307" s="74"/>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81"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c r="R307" s="74"/>
      <c r="S307" s="72" t="s">
        <v>17</v>
      </c>
      <c r="T307" s="80" t="s">
        <v>4</v>
      </c>
      <c r="U307" s="72" t="s">
        <v>14</v>
      </c>
      <c r="V307" s="72" t="s">
        <v>1935</v>
      </c>
      <c r="W307" s="72" t="s">
        <v>1937</v>
      </c>
      <c r="X307" s="72" t="s">
        <v>559</v>
      </c>
      <c r="Y307" s="72" t="s">
        <v>3047</v>
      </c>
      <c r="Z307" s="72" t="s">
        <v>4</v>
      </c>
      <c r="AA307" s="147" t="s">
        <v>559</v>
      </c>
    </row>
    <row r="308" spans="1:27" ht="18.600000000000001" customHeight="1">
      <c r="A308" s="140" t="str">
        <f>IF(priority(Main[[#This Row],[Comments]])&lt;&gt;0, priority(Main[[#This Row],[Comments]]),"")</f>
        <v/>
      </c>
      <c r="B308" s="90" t="s">
        <v>1157</v>
      </c>
      <c r="C308" s="72" t="s">
        <v>200</v>
      </c>
      <c r="D308" s="73" t="s">
        <v>201</v>
      </c>
      <c r="E308" s="74"/>
      <c r="F308" s="74"/>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40165</v>
      </c>
      <c r="R308" s="74"/>
      <c r="S308" s="72" t="s">
        <v>11</v>
      </c>
      <c r="T308" s="80" t="s">
        <v>4</v>
      </c>
      <c r="U308" s="72" t="s">
        <v>14</v>
      </c>
      <c r="V308" s="72" t="s">
        <v>1942</v>
      </c>
      <c r="W308" s="72" t="s">
        <v>1938</v>
      </c>
      <c r="X308" s="72" t="s">
        <v>894</v>
      </c>
      <c r="Y308" s="72" t="s">
        <v>3058</v>
      </c>
      <c r="Z308" s="72" t="s">
        <v>4</v>
      </c>
      <c r="AA308" s="147" t="s">
        <v>894</v>
      </c>
    </row>
    <row r="309" spans="1:27" ht="18.600000000000001" customHeight="1">
      <c r="A309" s="157" t="str">
        <f>IF(priority(Main[[#This Row],[Comments]])&lt;&gt;0, priority(Main[[#This Row],[Comments]]),"")</f>
        <v/>
      </c>
      <c r="B309" s="158" t="s">
        <v>1735</v>
      </c>
      <c r="C309" s="159" t="s">
        <v>4</v>
      </c>
      <c r="D309" s="160" t="s">
        <v>782</v>
      </c>
      <c r="E309" s="162"/>
      <c r="F309" s="162"/>
      <c r="G309" s="164" t="str">
        <f>IF(stdProdLT(Main[[#This Row],[Comments]])=0.1,"N/A",IF(stdProdLT(Main[[#This Row],[Comments]])=0,"",stdProdLT(Main[[#This Row],[Comments]])))</f>
        <v/>
      </c>
      <c r="H309" s="166" t="str">
        <f>IF(AND(Main[[#This Row],[In Stock Date]]&lt;&gt;"",Main[[#This Row],[Revised Due Date]]&lt;&gt;""),Main[[#This Row],[In Stock Date]]-Main[[#This Row],[Revised Due Date]],"")</f>
        <v/>
      </c>
      <c r="I309" s="159" t="s">
        <v>4</v>
      </c>
      <c r="J309" s="159" t="s">
        <v>28</v>
      </c>
      <c r="K309" s="159" t="s">
        <v>1944</v>
      </c>
      <c r="L309" s="162"/>
      <c r="M309" s="169" t="str">
        <f>IF(Main[[#This Row],[Tech Start Date]]&lt;1/1/1990,"",IF(Main[[#This Row],[Class]]="C",WORKDAY(Main[[#This Row],[Tech Start Date]],9),IF(Main[[#This Row],[Class]]="B", WORKDAY(Main[[#This Row],[Tech Start Date]],6),IF(Main[[#This Row],[Class]]="A",WORKDAY(Main[[#This Row],[Tech Start Date]],2),""))))</f>
        <v/>
      </c>
      <c r="N309" s="169" t="str">
        <f>IF(Main[[#This Row],[Tech Start Date]]&lt;1/1/1990,"",IF(Main[[#This Row],[Class]]="C",WORKDAY(Main[[#This Row],[Tech Start Date]],19),IF(Main[[#This Row],[Class]]="B", WORKDAY(Main[[#This Row],[Tech Start Date]],12),IF(Main[[#This Row],[Class]]="A",WORKDAY(Main[[#This Row],[Tech Start Date]],4),""))))</f>
        <v/>
      </c>
      <c r="O309" s="169" t="str">
        <f>IF(Main[[#This Row],[Tech Start Date]]&lt;1/1/1990,"",IF(Main[[#This Row],[Class]]="C",WORKDAY(Main[[#This Row],[Tech Start Date]],23),IF(Main[[#This Row],[Class]]="B", WORKDAY(Main[[#This Row],[Tech Start Date]],15),IF(Main[[#This Row],[Class]]="A",WORKDAY(Main[[#This Row],[Tech Start Date]],5),""))))</f>
        <v/>
      </c>
      <c r="P309" s="169" t="str">
        <f>IF(Main[[#This Row],[Tech Start Date]]&lt;1/1/1990,"",IF(Main[[#This Row],[Class]]="C",WORKDAY(Main[[#This Row],[Tech Start Date]],28),IF(Main[[#This Row],[Class]]="B", WORKDAY(Main[[#This Row],[Tech Start Date]],19),IF(Main[[#This Row],[Class]]="A",WORKDAY(Main[[#This Row],[Tech Start Date]],9),""))))</f>
        <v/>
      </c>
      <c r="Q309" s="162">
        <v>40633</v>
      </c>
      <c r="R309" s="162"/>
      <c r="S309" s="159" t="s">
        <v>17</v>
      </c>
      <c r="T309" s="173" t="s">
        <v>4</v>
      </c>
      <c r="U309" s="159" t="s">
        <v>14</v>
      </c>
      <c r="V309" s="159" t="s">
        <v>1932</v>
      </c>
      <c r="W309" s="159" t="s">
        <v>1937</v>
      </c>
      <c r="X309" s="159" t="s">
        <v>129</v>
      </c>
      <c r="Y309" s="159" t="s">
        <v>3028</v>
      </c>
      <c r="Z309" s="159" t="s">
        <v>129</v>
      </c>
      <c r="AA309" s="154" t="s">
        <v>129</v>
      </c>
    </row>
    <row r="310" spans="1:27" ht="18.600000000000001" customHeight="1">
      <c r="A310" s="140" t="str">
        <f>IF(priority(Main[[#This Row],[Comments]])&lt;&gt;0, priority(Main[[#This Row],[Comments]]),"")</f>
        <v/>
      </c>
      <c r="B310" s="90" t="s">
        <v>1159</v>
      </c>
      <c r="C310" s="72" t="s">
        <v>93</v>
      </c>
      <c r="D310" s="73" t="s">
        <v>203</v>
      </c>
      <c r="E310" s="74"/>
      <c r="F310" s="74"/>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c r="R310" s="74"/>
      <c r="S310" s="72" t="s">
        <v>11</v>
      </c>
      <c r="T310" s="80" t="s">
        <v>4</v>
      </c>
      <c r="U310" s="72" t="s">
        <v>14</v>
      </c>
      <c r="V310" s="72" t="s">
        <v>1942</v>
      </c>
      <c r="W310" s="72" t="s">
        <v>1938</v>
      </c>
      <c r="X310" s="72" t="s">
        <v>310</v>
      </c>
      <c r="Y310" s="72" t="s">
        <v>3036</v>
      </c>
      <c r="Z310" s="72" t="s">
        <v>4</v>
      </c>
      <c r="AA310" s="147" t="s">
        <v>3618</v>
      </c>
    </row>
    <row r="311" spans="1:27" ht="18.600000000000001" customHeight="1">
      <c r="A311" s="140" t="str">
        <f>IF(priority(Main[[#This Row],[Comments]])&lt;&gt;0, priority(Main[[#This Row],[Comments]]),"")</f>
        <v/>
      </c>
      <c r="B311" s="90" t="s">
        <v>1160</v>
      </c>
      <c r="C311" s="72" t="s">
        <v>42</v>
      </c>
      <c r="D311" s="73" t="s">
        <v>204</v>
      </c>
      <c r="E311" s="74">
        <v>39952.329340277778</v>
      </c>
      <c r="F311" s="74"/>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4</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c r="R311" s="74"/>
      <c r="S311" s="72" t="s">
        <v>17</v>
      </c>
      <c r="T311" s="80" t="s">
        <v>4</v>
      </c>
      <c r="U311" s="72" t="s">
        <v>7</v>
      </c>
      <c r="V311" s="72" t="s">
        <v>1935</v>
      </c>
      <c r="W311" s="72" t="s">
        <v>4</v>
      </c>
      <c r="X311" s="72" t="s">
        <v>403</v>
      </c>
      <c r="Y311" s="72" t="s">
        <v>4</v>
      </c>
      <c r="Z311" s="72" t="s">
        <v>4</v>
      </c>
      <c r="AA311" s="147" t="s">
        <v>3640</v>
      </c>
    </row>
    <row r="312" spans="1:27" ht="18.600000000000001" customHeight="1">
      <c r="A312" s="140" t="str">
        <f>IF(priority(Main[[#This Row],[Comments]])&lt;&gt;0, priority(Main[[#This Row],[Comments]]),"")</f>
        <v/>
      </c>
      <c r="B312" s="90" t="s">
        <v>1161</v>
      </c>
      <c r="C312" s="72" t="s">
        <v>58</v>
      </c>
      <c r="D312" s="73" t="s">
        <v>205</v>
      </c>
      <c r="E312" s="74"/>
      <c r="F312" s="74">
        <v>40697</v>
      </c>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40539</v>
      </c>
      <c r="R312" s="74"/>
      <c r="S312" s="72" t="s">
        <v>11</v>
      </c>
      <c r="T312" s="80" t="s">
        <v>4</v>
      </c>
      <c r="U312" s="72" t="s">
        <v>14</v>
      </c>
      <c r="V312" s="72" t="s">
        <v>1932</v>
      </c>
      <c r="W312" s="72" t="s">
        <v>1938</v>
      </c>
      <c r="X312" s="72" t="s">
        <v>2920</v>
      </c>
      <c r="Y312" s="72" t="s">
        <v>3046</v>
      </c>
      <c r="Z312" s="72" t="s">
        <v>4</v>
      </c>
      <c r="AA312" s="147" t="s">
        <v>2920</v>
      </c>
    </row>
    <row r="313" spans="1:27" ht="18.600000000000001" customHeight="1">
      <c r="A313" s="140" t="str">
        <f>IF(priority(Main[[#This Row],[Comments]])&lt;&gt;0, priority(Main[[#This Row],[Comments]]),"")</f>
        <v/>
      </c>
      <c r="B313" s="90" t="s">
        <v>1162</v>
      </c>
      <c r="C313" s="72" t="s">
        <v>206</v>
      </c>
      <c r="D313" s="73" t="s">
        <v>207</v>
      </c>
      <c r="E313" s="74"/>
      <c r="F313" s="74"/>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4</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40302</v>
      </c>
      <c r="R313" s="74"/>
      <c r="S313" s="72" t="s">
        <v>11</v>
      </c>
      <c r="T313" s="80" t="s">
        <v>4</v>
      </c>
      <c r="U313" s="72" t="s">
        <v>14</v>
      </c>
      <c r="V313" s="72" t="s">
        <v>1932</v>
      </c>
      <c r="W313" s="72" t="s">
        <v>1934</v>
      </c>
      <c r="X313" s="72" t="s">
        <v>2945</v>
      </c>
      <c r="Y313" s="72" t="s">
        <v>4</v>
      </c>
      <c r="Z313" s="72" t="s">
        <v>4</v>
      </c>
      <c r="AA313" s="147" t="s">
        <v>2945</v>
      </c>
    </row>
    <row r="314" spans="1:27" ht="18.600000000000001" customHeight="1">
      <c r="A314" s="140" t="str">
        <f>IF(priority(Main[[#This Row],[Comments]])&lt;&gt;0, priority(Main[[#This Row],[Comments]]),"")</f>
        <v/>
      </c>
      <c r="B314" s="90" t="s">
        <v>2380</v>
      </c>
      <c r="C314" s="72" t="s">
        <v>4</v>
      </c>
      <c r="D314" s="73" t="s">
        <v>2381</v>
      </c>
      <c r="E314" s="74">
        <v>40849.308981481481</v>
      </c>
      <c r="F314" s="74"/>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923</v>
      </c>
      <c r="J314" s="72" t="s">
        <v>52</v>
      </c>
      <c r="K314" s="72"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c r="R314" s="74"/>
      <c r="S314" s="72" t="s">
        <v>6</v>
      </c>
      <c r="T314" s="80" t="s">
        <v>4</v>
      </c>
      <c r="U314" s="72" t="s">
        <v>29</v>
      </c>
      <c r="V314" s="72" t="s">
        <v>1932</v>
      </c>
      <c r="W314" s="72" t="s">
        <v>1936</v>
      </c>
      <c r="X314" s="72" t="s">
        <v>949</v>
      </c>
      <c r="Y314" s="72" t="s">
        <v>3079</v>
      </c>
      <c r="Z314" s="72" t="s">
        <v>949</v>
      </c>
      <c r="AA314" s="147" t="s">
        <v>949</v>
      </c>
    </row>
    <row r="315" spans="1:27" ht="18.600000000000001" customHeight="1">
      <c r="A315" s="140" t="str">
        <f>IF(priority(Main[[#This Row],[Comments]])&lt;&gt;0, priority(Main[[#This Row],[Comments]]),"")</f>
        <v/>
      </c>
      <c r="B315" s="90" t="s">
        <v>2457</v>
      </c>
      <c r="C315" s="72" t="s">
        <v>4</v>
      </c>
      <c r="D315" s="73" t="s">
        <v>2709</v>
      </c>
      <c r="E315" s="74">
        <v>40842.390289351853</v>
      </c>
      <c r="F315" s="74"/>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c r="R315" s="74"/>
      <c r="S315" s="72" t="s">
        <v>17</v>
      </c>
      <c r="T315" s="80" t="s">
        <v>4</v>
      </c>
      <c r="U315" s="72" t="s">
        <v>29</v>
      </c>
      <c r="V315" s="72" t="s">
        <v>1933</v>
      </c>
      <c r="W315" s="72" t="s">
        <v>1940</v>
      </c>
      <c r="X315" s="72" t="s">
        <v>2953</v>
      </c>
      <c r="Y315" s="72" t="s">
        <v>3101</v>
      </c>
      <c r="Z315" s="72" t="s">
        <v>4</v>
      </c>
      <c r="AA315" s="147" t="s">
        <v>2953</v>
      </c>
    </row>
    <row r="316" spans="1:27" ht="18.600000000000001" customHeight="1">
      <c r="A316" s="140" t="str">
        <f>IF(priority(Main[[#This Row],[Comments]])&lt;&gt;0, priority(Main[[#This Row],[Comments]]),"")</f>
        <v/>
      </c>
      <c r="B316" s="90" t="s">
        <v>1163</v>
      </c>
      <c r="C316" s="72" t="s">
        <v>208</v>
      </c>
      <c r="D316" s="73" t="s">
        <v>209</v>
      </c>
      <c r="E316" s="74"/>
      <c r="F316" s="74"/>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4</v>
      </c>
      <c r="K316" s="72"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40116</v>
      </c>
      <c r="R316" s="74"/>
      <c r="S316" s="72" t="s">
        <v>11</v>
      </c>
      <c r="T316" s="80" t="s">
        <v>4</v>
      </c>
      <c r="U316" s="72" t="s">
        <v>14</v>
      </c>
      <c r="V316" s="72" t="s">
        <v>1935</v>
      </c>
      <c r="W316" s="72" t="s">
        <v>1934</v>
      </c>
      <c r="X316" s="72" t="s">
        <v>2954</v>
      </c>
      <c r="Y316" s="72" t="s">
        <v>4</v>
      </c>
      <c r="Z316" s="72" t="s">
        <v>4</v>
      </c>
      <c r="AA316" s="147" t="s">
        <v>2954</v>
      </c>
    </row>
    <row r="317" spans="1:27" ht="18.600000000000001" customHeight="1">
      <c r="A317" s="140" t="str">
        <f>IF(priority(Main[[#This Row],[Comments]])&lt;&gt;0, priority(Main[[#This Row],[Comments]]),"")</f>
        <v/>
      </c>
      <c r="B317" s="90" t="s">
        <v>1164</v>
      </c>
      <c r="C317" s="72" t="s">
        <v>208</v>
      </c>
      <c r="D317" s="73" t="s">
        <v>210</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40116</v>
      </c>
      <c r="R317" s="74"/>
      <c r="S317" s="72" t="s">
        <v>11</v>
      </c>
      <c r="T317" s="80" t="s">
        <v>4</v>
      </c>
      <c r="U317" s="72" t="s">
        <v>14</v>
      </c>
      <c r="V317" s="72" t="s">
        <v>1935</v>
      </c>
      <c r="W317" s="72" t="s">
        <v>1934</v>
      </c>
      <c r="X317" s="72" t="s">
        <v>2954</v>
      </c>
      <c r="Y317" s="72" t="s">
        <v>4</v>
      </c>
      <c r="Z317" s="72" t="s">
        <v>4</v>
      </c>
      <c r="AA317" s="147" t="s">
        <v>2954</v>
      </c>
    </row>
    <row r="318" spans="1:27" ht="18.600000000000001" customHeight="1">
      <c r="A318" s="140" t="str">
        <f>IF(priority(Main[[#This Row],[Comments]])&lt;&gt;0, priority(Main[[#This Row],[Comments]]),"")</f>
        <v/>
      </c>
      <c r="B318" s="90" t="s">
        <v>1877</v>
      </c>
      <c r="C318" s="72" t="s">
        <v>31</v>
      </c>
      <c r="D318" s="73" t="s">
        <v>927</v>
      </c>
      <c r="E318" s="74"/>
      <c r="F318" s="74">
        <v>40664</v>
      </c>
      <c r="G318" s="75" t="str">
        <f>IF(stdProdLT(Main[[#This Row],[Comments]])=0.1,"N/A",IF(stdProdLT(Main[[#This Row],[Comments]])=0,"",stdProdLT(Main[[#This Row],[Comments]])))</f>
        <v/>
      </c>
      <c r="H318" s="76">
        <f>IF(AND(Main[[#This Row],[In Stock Date]]&lt;&gt;"",Main[[#This Row],[Revised Due Date]]&lt;&gt;""),Main[[#This Row],[In Stock Date]]-Main[[#This Row],[Revised Due Date]],"")</f>
        <v>87</v>
      </c>
      <c r="I318" s="72" t="s">
        <v>422</v>
      </c>
      <c r="J318" s="72" t="s">
        <v>75</v>
      </c>
      <c r="K318" s="72" t="s">
        <v>1941</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40589</v>
      </c>
      <c r="R318" s="74">
        <v>40577</v>
      </c>
      <c r="S318" s="72" t="s">
        <v>11</v>
      </c>
      <c r="T318" s="80" t="s">
        <v>4</v>
      </c>
      <c r="U318" s="72" t="s">
        <v>14</v>
      </c>
      <c r="V318" s="72" t="s">
        <v>1935</v>
      </c>
      <c r="W318" s="72" t="s">
        <v>1938</v>
      </c>
      <c r="X318" s="72" t="s">
        <v>2916</v>
      </c>
      <c r="Y318" s="72" t="s">
        <v>3062</v>
      </c>
      <c r="Z318" s="72" t="s">
        <v>535</v>
      </c>
      <c r="AA318" s="147" t="s">
        <v>2916</v>
      </c>
    </row>
    <row r="319" spans="1:27" ht="18.600000000000001" customHeight="1">
      <c r="A319" s="140" t="str">
        <f>IF(priority(Main[[#This Row],[Comments]])&lt;&gt;0, priority(Main[[#This Row],[Comments]]),"")</f>
        <v/>
      </c>
      <c r="B319" s="90" t="s">
        <v>1171</v>
      </c>
      <c r="C319" s="72" t="s">
        <v>214</v>
      </c>
      <c r="D319" s="73" t="s">
        <v>215</v>
      </c>
      <c r="E319" s="74"/>
      <c r="F319" s="74">
        <v>40391</v>
      </c>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81"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40296</v>
      </c>
      <c r="R319" s="74"/>
      <c r="S319" s="72" t="s">
        <v>11</v>
      </c>
      <c r="T319" s="80" t="s">
        <v>4</v>
      </c>
      <c r="U319" s="72" t="s">
        <v>12</v>
      </c>
      <c r="V319" s="72" t="s">
        <v>1932</v>
      </c>
      <c r="W319" s="72" t="s">
        <v>1940</v>
      </c>
      <c r="X319" s="72" t="s">
        <v>2924</v>
      </c>
      <c r="Y319" s="72" t="s">
        <v>4</v>
      </c>
      <c r="Z319" s="72" t="s">
        <v>4</v>
      </c>
      <c r="AA319" s="147" t="s">
        <v>2924</v>
      </c>
    </row>
    <row r="320" spans="1:27" ht="18.600000000000001" customHeight="1">
      <c r="A320" s="140" t="str">
        <f>IF(priority(Main[[#This Row],[Comments]])&lt;&gt;0, priority(Main[[#This Row],[Comments]]),"")</f>
        <v/>
      </c>
      <c r="B320" s="90" t="s">
        <v>1173</v>
      </c>
      <c r="C320" s="72" t="s">
        <v>216</v>
      </c>
      <c r="D320" s="73" t="s">
        <v>217</v>
      </c>
      <c r="E320" s="74">
        <v>40395.391388888886</v>
      </c>
      <c r="F320" s="74">
        <v>40574</v>
      </c>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28</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c r="R320" s="74"/>
      <c r="S320" s="72" t="s">
        <v>17</v>
      </c>
      <c r="T320" s="80" t="s">
        <v>4</v>
      </c>
      <c r="U320" s="72" t="s">
        <v>7</v>
      </c>
      <c r="V320" s="72" t="s">
        <v>1932</v>
      </c>
      <c r="W320" s="72" t="s">
        <v>1937</v>
      </c>
      <c r="X320" s="72" t="s">
        <v>50</v>
      </c>
      <c r="Y320" s="72" t="s">
        <v>3102</v>
      </c>
      <c r="Z320" s="72" t="s">
        <v>129</v>
      </c>
      <c r="AA320" s="147" t="s">
        <v>65</v>
      </c>
    </row>
    <row r="321" spans="1:27" ht="18.600000000000001" customHeight="1">
      <c r="A321" s="140" t="str">
        <f>IF(priority(Main[[#This Row],[Comments]])&lt;&gt;0, priority(Main[[#This Row],[Comments]]),"")</f>
        <v/>
      </c>
      <c r="B321" s="90" t="s">
        <v>1174</v>
      </c>
      <c r="C321" s="72" t="s">
        <v>171</v>
      </c>
      <c r="D321" s="73" t="s">
        <v>218</v>
      </c>
      <c r="E321" s="74"/>
      <c r="F321" s="74">
        <v>40237</v>
      </c>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40132</v>
      </c>
      <c r="R321" s="74"/>
      <c r="S321" s="72" t="s">
        <v>11</v>
      </c>
      <c r="T321" s="80" t="s">
        <v>4</v>
      </c>
      <c r="U321" s="72" t="s">
        <v>14</v>
      </c>
      <c r="V321" s="72" t="s">
        <v>1932</v>
      </c>
      <c r="W321" s="72" t="s">
        <v>1937</v>
      </c>
      <c r="X321" s="72" t="s">
        <v>2949</v>
      </c>
      <c r="Y321" s="72" t="s">
        <v>4</v>
      </c>
      <c r="Z321" s="72" t="s">
        <v>4</v>
      </c>
      <c r="AA321" s="147" t="s">
        <v>2949</v>
      </c>
    </row>
    <row r="322" spans="1:27" ht="18.600000000000001" customHeight="1">
      <c r="A322" s="140" t="str">
        <f>IF(priority(Main[[#This Row],[Comments]])&lt;&gt;0, priority(Main[[#This Row],[Comments]]),"")</f>
        <v/>
      </c>
      <c r="B322" s="90" t="s">
        <v>1175</v>
      </c>
      <c r="C322" s="72" t="s">
        <v>4</v>
      </c>
      <c r="D322" s="73" t="s">
        <v>219</v>
      </c>
      <c r="E322" s="74"/>
      <c r="F322" s="74"/>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4</v>
      </c>
      <c r="J322" s="72" t="s">
        <v>4</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c r="R322" s="74"/>
      <c r="S322" s="72" t="s">
        <v>17</v>
      </c>
      <c r="T322" s="80" t="s">
        <v>4</v>
      </c>
      <c r="U322" s="72" t="s">
        <v>12</v>
      </c>
      <c r="V322" s="72" t="s">
        <v>1932</v>
      </c>
      <c r="W322" s="72" t="s">
        <v>1936</v>
      </c>
      <c r="X322" s="72" t="s">
        <v>888</v>
      </c>
      <c r="Y322" s="72" t="s">
        <v>4</v>
      </c>
      <c r="Z322" s="72" t="s">
        <v>4</v>
      </c>
      <c r="AA322" s="147" t="s">
        <v>4</v>
      </c>
    </row>
    <row r="323" spans="1:27" ht="18.600000000000001" customHeight="1">
      <c r="A323" s="140" t="str">
        <f>IF(priority(Main[[#This Row],[Comments]])&lt;&gt;0, priority(Main[[#This Row],[Comments]]),"")</f>
        <v/>
      </c>
      <c r="B323" s="90" t="s">
        <v>1177</v>
      </c>
      <c r="C323" s="72" t="s">
        <v>93</v>
      </c>
      <c r="D323" s="73" t="s">
        <v>221</v>
      </c>
      <c r="E323" s="74"/>
      <c r="F323" s="74">
        <v>40299</v>
      </c>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72"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v>40214</v>
      </c>
      <c r="R323" s="155"/>
      <c r="S323" s="72" t="s">
        <v>11</v>
      </c>
      <c r="T323" s="80" t="s">
        <v>4</v>
      </c>
      <c r="U323" s="72" t="s">
        <v>12</v>
      </c>
      <c r="V323" s="72" t="s">
        <v>1932</v>
      </c>
      <c r="W323" s="72" t="s">
        <v>1938</v>
      </c>
      <c r="X323" s="72" t="s">
        <v>2936</v>
      </c>
      <c r="Y323" s="72" t="s">
        <v>4</v>
      </c>
      <c r="Z323" s="72" t="s">
        <v>4</v>
      </c>
      <c r="AA323" s="147" t="s">
        <v>2936</v>
      </c>
    </row>
    <row r="324" spans="1:27" ht="18.600000000000001" customHeight="1">
      <c r="A324" s="140" t="str">
        <f>IF(priority(Main[[#This Row],[Comments]])&lt;&gt;0, priority(Main[[#This Row],[Comments]]),"")</f>
        <v/>
      </c>
      <c r="B324" s="90" t="s">
        <v>1178</v>
      </c>
      <c r="C324" s="72" t="s">
        <v>113</v>
      </c>
      <c r="D324" s="73" t="s">
        <v>222</v>
      </c>
      <c r="E324" s="74"/>
      <c r="F324" s="74">
        <v>40193</v>
      </c>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4</v>
      </c>
      <c r="K324" s="72" t="s">
        <v>4</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40448</v>
      </c>
      <c r="R324" s="74"/>
      <c r="S324" s="72" t="s">
        <v>11</v>
      </c>
      <c r="T324" s="80" t="s">
        <v>4</v>
      </c>
      <c r="U324" s="72" t="s">
        <v>14</v>
      </c>
      <c r="V324" s="72" t="s">
        <v>1942</v>
      </c>
      <c r="W324" s="72" t="s">
        <v>1938</v>
      </c>
      <c r="X324" s="72" t="s">
        <v>2935</v>
      </c>
      <c r="Y324" s="72" t="s">
        <v>3072</v>
      </c>
      <c r="Z324" s="72" t="s">
        <v>4</v>
      </c>
      <c r="AA324" s="147" t="s">
        <v>2935</v>
      </c>
    </row>
    <row r="325" spans="1:27" ht="18.600000000000001" customHeight="1">
      <c r="A325" s="140" t="str">
        <f>IF(priority(Main[[#This Row],[Comments]])&lt;&gt;0, priority(Main[[#This Row],[Comments]]),"")</f>
        <v/>
      </c>
      <c r="B325" s="90" t="s">
        <v>1179</v>
      </c>
      <c r="C325" s="72" t="s">
        <v>4</v>
      </c>
      <c r="D325" s="73" t="s">
        <v>223</v>
      </c>
      <c r="E325" s="74"/>
      <c r="F325" s="74">
        <v>40031</v>
      </c>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72"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v>39976</v>
      </c>
      <c r="R325" s="74"/>
      <c r="S325" s="72" t="s">
        <v>11</v>
      </c>
      <c r="T325" s="80" t="s">
        <v>4</v>
      </c>
      <c r="U325" s="72" t="s">
        <v>14</v>
      </c>
      <c r="V325" s="72" t="s">
        <v>1933</v>
      </c>
      <c r="W325" s="72" t="s">
        <v>1940</v>
      </c>
      <c r="X325" s="72" t="s">
        <v>2915</v>
      </c>
      <c r="Y325" s="72" t="s">
        <v>3038</v>
      </c>
      <c r="Z325" s="72" t="s">
        <v>4</v>
      </c>
      <c r="AA325" s="147" t="s">
        <v>2915</v>
      </c>
    </row>
    <row r="326" spans="1:27" ht="18.600000000000001" customHeight="1">
      <c r="A326" s="140" t="str">
        <f>IF(priority(Main[[#This Row],[Comments]])&lt;&gt;0, priority(Main[[#This Row],[Comments]]),"")</f>
        <v/>
      </c>
      <c r="B326" s="90" t="s">
        <v>1180</v>
      </c>
      <c r="C326" s="72" t="s">
        <v>4</v>
      </c>
      <c r="D326" s="73" t="s">
        <v>224</v>
      </c>
      <c r="E326" s="74"/>
      <c r="F326" s="74">
        <v>40309</v>
      </c>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4</v>
      </c>
      <c r="K326" s="72"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v>40305</v>
      </c>
      <c r="R326" s="155"/>
      <c r="S326" s="72" t="s">
        <v>6</v>
      </c>
      <c r="T326" s="80" t="s">
        <v>4</v>
      </c>
      <c r="U326" s="72" t="s">
        <v>12</v>
      </c>
      <c r="V326" s="72" t="s">
        <v>1932</v>
      </c>
      <c r="W326" s="72" t="s">
        <v>1940</v>
      </c>
      <c r="X326" s="72" t="s">
        <v>2915</v>
      </c>
      <c r="Y326" s="72" t="s">
        <v>3038</v>
      </c>
      <c r="Z326" s="72" t="s">
        <v>4</v>
      </c>
      <c r="AA326" s="147" t="s">
        <v>2915</v>
      </c>
    </row>
    <row r="327" spans="1:27" ht="18.600000000000001" customHeight="1">
      <c r="A327" s="140" t="str">
        <f>IF(priority(Main[[#This Row],[Comments]])&lt;&gt;0, priority(Main[[#This Row],[Comments]]),"")</f>
        <v/>
      </c>
      <c r="B327" s="90" t="s">
        <v>1181</v>
      </c>
      <c r="C327" s="72" t="s">
        <v>31</v>
      </c>
      <c r="D327" s="73" t="s">
        <v>225</v>
      </c>
      <c r="E327" s="74"/>
      <c r="F327" s="74">
        <v>40169</v>
      </c>
      <c r="G327" s="75" t="str">
        <f>IF(stdProdLT(Main[[#This Row],[Comments]])=0.1,"N/A",IF(stdProdLT(Main[[#This Row],[Comments]])=0,"",stdProdLT(Main[[#This Row],[Comments]])))</f>
        <v/>
      </c>
      <c r="H327" s="76" t="str">
        <f>IF(AND(Main[[#This Row],[In Stock Date]]&lt;&gt;"",Main[[#This Row],[Revised Due Date]]&lt;&gt;""),Main[[#This Row],[In Stock Date]]-Main[[#This Row],[Revised Due Date]],"")</f>
        <v/>
      </c>
      <c r="I327" s="72" t="s">
        <v>4</v>
      </c>
      <c r="J327" s="72" t="s">
        <v>4</v>
      </c>
      <c r="K327" s="72" t="s">
        <v>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v>40169</v>
      </c>
      <c r="R327" s="155"/>
      <c r="S327" s="72" t="s">
        <v>11</v>
      </c>
      <c r="T327" s="80" t="s">
        <v>4</v>
      </c>
      <c r="U327" s="72" t="s">
        <v>14</v>
      </c>
      <c r="V327" s="72" t="s">
        <v>1933</v>
      </c>
      <c r="W327" s="72" t="s">
        <v>1940</v>
      </c>
      <c r="X327" s="72" t="s">
        <v>2926</v>
      </c>
      <c r="Y327" s="72" t="s">
        <v>4</v>
      </c>
      <c r="Z327" s="72" t="s">
        <v>4</v>
      </c>
      <c r="AA327" s="147" t="s">
        <v>2926</v>
      </c>
    </row>
    <row r="328" spans="1:27" ht="18.600000000000001" customHeight="1">
      <c r="A328" s="140" t="str">
        <f>IF(priority(Main[[#This Row],[Comments]])&lt;&gt;0, priority(Main[[#This Row],[Comments]]),"")</f>
        <v/>
      </c>
      <c r="B328" s="90" t="s">
        <v>1182</v>
      </c>
      <c r="C328" s="72" t="s">
        <v>72</v>
      </c>
      <c r="D328" s="73" t="s">
        <v>226</v>
      </c>
      <c r="E328" s="74"/>
      <c r="F328" s="74">
        <v>40391</v>
      </c>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4</v>
      </c>
      <c r="J328" s="72" t="s">
        <v>4</v>
      </c>
      <c r="K328" s="72" t="s">
        <v>4</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v>40291</v>
      </c>
      <c r="R328" s="74"/>
      <c r="S328" s="72" t="s">
        <v>11</v>
      </c>
      <c r="T328" s="80" t="s">
        <v>4</v>
      </c>
      <c r="U328" s="72" t="s">
        <v>12</v>
      </c>
      <c r="V328" s="72" t="s">
        <v>1933</v>
      </c>
      <c r="W328" s="72" t="s">
        <v>1937</v>
      </c>
      <c r="X328" s="72" t="s">
        <v>2955</v>
      </c>
      <c r="Y328" s="72" t="s">
        <v>4</v>
      </c>
      <c r="Z328" s="72" t="s">
        <v>4</v>
      </c>
      <c r="AA328" s="147" t="s">
        <v>2955</v>
      </c>
    </row>
    <row r="329" spans="1:27" ht="18.600000000000001" customHeight="1">
      <c r="A329" s="140" t="str">
        <f>IF(priority(Main[[#This Row],[Comments]])&lt;&gt;0, priority(Main[[#This Row],[Comments]]),"")</f>
        <v/>
      </c>
      <c r="B329" s="90" t="s">
        <v>1184</v>
      </c>
      <c r="C329" s="72" t="s">
        <v>4</v>
      </c>
      <c r="D329" s="73" t="s">
        <v>229</v>
      </c>
      <c r="E329" s="74"/>
      <c r="F329" s="74">
        <v>40574</v>
      </c>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4</v>
      </c>
      <c r="J329" s="72" t="s">
        <v>28</v>
      </c>
      <c r="K329" s="72" t="s">
        <v>1941</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v>40574</v>
      </c>
      <c r="R329" s="74"/>
      <c r="S329" s="72" t="s">
        <v>6</v>
      </c>
      <c r="T329" s="80" t="s">
        <v>4</v>
      </c>
      <c r="U329" s="72" t="s">
        <v>14</v>
      </c>
      <c r="V329" s="72" t="s">
        <v>1935</v>
      </c>
      <c r="W329" s="72" t="s">
        <v>1936</v>
      </c>
      <c r="X329" s="72" t="s">
        <v>2913</v>
      </c>
      <c r="Y329" s="72" t="s">
        <v>3033</v>
      </c>
      <c r="Z329" s="72" t="s">
        <v>535</v>
      </c>
      <c r="AA329" s="147" t="s">
        <v>2913</v>
      </c>
    </row>
    <row r="330" spans="1:27" ht="18.600000000000001" customHeight="1">
      <c r="A330" s="140" t="str">
        <f>IF(priority(Main[[#This Row],[Comments]])&lt;&gt;0, priority(Main[[#This Row],[Comments]]),"")</f>
        <v/>
      </c>
      <c r="B330" s="90" t="s">
        <v>1187</v>
      </c>
      <c r="C330" s="72" t="s">
        <v>4</v>
      </c>
      <c r="D330" s="73" t="s">
        <v>231</v>
      </c>
      <c r="E330" s="74"/>
      <c r="F330" s="74"/>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v>40724</v>
      </c>
      <c r="R330" s="74"/>
      <c r="S330" s="72" t="s">
        <v>6</v>
      </c>
      <c r="T330" s="80" t="s">
        <v>4</v>
      </c>
      <c r="U330" s="72" t="s">
        <v>12</v>
      </c>
      <c r="V330" s="72" t="s">
        <v>1932</v>
      </c>
      <c r="W330" s="72" t="s">
        <v>1936</v>
      </c>
      <c r="X330" s="72" t="s">
        <v>888</v>
      </c>
      <c r="Y330" s="72" t="s">
        <v>3104</v>
      </c>
      <c r="Z330" s="72" t="s">
        <v>4</v>
      </c>
      <c r="AA330" s="147" t="s">
        <v>888</v>
      </c>
    </row>
    <row r="331" spans="1:27" ht="18.600000000000001" customHeight="1">
      <c r="A331" s="140" t="str">
        <f>IF(priority(Main[[#This Row],[Comments]])&lt;&gt;0, priority(Main[[#This Row],[Comments]]),"")</f>
        <v/>
      </c>
      <c r="B331" s="90" t="s">
        <v>2382</v>
      </c>
      <c r="C331" s="72" t="s">
        <v>53</v>
      </c>
      <c r="D331" s="73" t="s">
        <v>2383</v>
      </c>
      <c r="E331" s="74"/>
      <c r="F331" s="74">
        <v>40845</v>
      </c>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4</v>
      </c>
      <c r="J331" s="72" t="s">
        <v>28</v>
      </c>
      <c r="K331" s="72" t="s">
        <v>4</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v>40840</v>
      </c>
      <c r="R331" s="155"/>
      <c r="S331" s="72" t="s">
        <v>11</v>
      </c>
      <c r="T331" s="80" t="s">
        <v>2384</v>
      </c>
      <c r="U331" s="72" t="s">
        <v>12</v>
      </c>
      <c r="V331" s="72" t="s">
        <v>1933</v>
      </c>
      <c r="W331" s="72" t="s">
        <v>1934</v>
      </c>
      <c r="X331" s="72" t="s">
        <v>2278</v>
      </c>
      <c r="Y331" s="72" t="s">
        <v>4</v>
      </c>
      <c r="Z331" s="72" t="s">
        <v>2075</v>
      </c>
      <c r="AA331" s="147" t="s">
        <v>2906</v>
      </c>
    </row>
    <row r="332" spans="1:27" ht="18.600000000000001" customHeight="1">
      <c r="A332" s="140" t="str">
        <f>IF(priority(Main[[#This Row],[Comments]])&lt;&gt;0, priority(Main[[#This Row],[Comments]]),"")</f>
        <v/>
      </c>
      <c r="B332" s="90" t="s">
        <v>1190</v>
      </c>
      <c r="C332" s="72" t="s">
        <v>67</v>
      </c>
      <c r="D332" s="73" t="s">
        <v>234</v>
      </c>
      <c r="E332" s="74"/>
      <c r="F332" s="74"/>
      <c r="G332" s="75" t="str">
        <f>IF(stdProdLT(Main[[#This Row],[Comments]])=0.1,"N/A",IF(stdProdLT(Main[[#This Row],[Comments]])=0,"",stdProdLT(Main[[#This Row],[Comments]])))</f>
        <v/>
      </c>
      <c r="H332" s="76" t="str">
        <f>IF(AND(Main[[#This Row],[In Stock Date]]&lt;&gt;"",Main[[#This Row],[Revised Due Date]]&lt;&gt;""),Main[[#This Row],[In Stock Date]]-Main[[#This Row],[Revised Due Date]],"")</f>
        <v/>
      </c>
      <c r="I332" s="72" t="s">
        <v>4</v>
      </c>
      <c r="J332" s="72" t="s">
        <v>4</v>
      </c>
      <c r="K332" s="72" t="s">
        <v>4</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v>40466</v>
      </c>
      <c r="R332" s="155"/>
      <c r="S332" s="72" t="s">
        <v>17</v>
      </c>
      <c r="T332" s="80" t="s">
        <v>4</v>
      </c>
      <c r="U332" s="72" t="s">
        <v>14</v>
      </c>
      <c r="V332" s="72" t="s">
        <v>1935</v>
      </c>
      <c r="W332" s="72" t="s">
        <v>1940</v>
      </c>
      <c r="X332" s="72" t="s">
        <v>420</v>
      </c>
      <c r="Y332" s="72" t="s">
        <v>3044</v>
      </c>
      <c r="Z332" s="72" t="s">
        <v>420</v>
      </c>
      <c r="AA332" s="147" t="s">
        <v>420</v>
      </c>
    </row>
    <row r="333" spans="1:27" ht="18.600000000000001" customHeight="1">
      <c r="A333" s="140" t="str">
        <f>IF(priority(Main[[#This Row],[Comments]])&lt;&gt;0, priority(Main[[#This Row],[Comments]]),"")</f>
        <v/>
      </c>
      <c r="B333" s="90" t="s">
        <v>1191</v>
      </c>
      <c r="C333" s="72" t="s">
        <v>72</v>
      </c>
      <c r="D333" s="73" t="s">
        <v>226</v>
      </c>
      <c r="E333" s="74"/>
      <c r="F333" s="74">
        <v>40391</v>
      </c>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4</v>
      </c>
      <c r="J333" s="72" t="s">
        <v>4</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v>40291</v>
      </c>
      <c r="R333" s="155"/>
      <c r="S333" s="72" t="s">
        <v>11</v>
      </c>
      <c r="T333" s="80" t="s">
        <v>4</v>
      </c>
      <c r="U333" s="72" t="s">
        <v>12</v>
      </c>
      <c r="V333" s="72" t="s">
        <v>1933</v>
      </c>
      <c r="W333" s="72" t="s">
        <v>1937</v>
      </c>
      <c r="X333" s="72" t="s">
        <v>2955</v>
      </c>
      <c r="Y333" s="72" t="s">
        <v>4</v>
      </c>
      <c r="Z333" s="72" t="s">
        <v>4</v>
      </c>
      <c r="AA333" s="147" t="s">
        <v>2955</v>
      </c>
    </row>
    <row r="334" spans="1:27" ht="18.600000000000001" customHeight="1">
      <c r="A334" s="140" t="str">
        <f>IF(priority(Main[[#This Row],[Comments]])&lt;&gt;0, priority(Main[[#This Row],[Comments]]),"")</f>
        <v/>
      </c>
      <c r="B334" s="90" t="s">
        <v>1233</v>
      </c>
      <c r="C334" s="72" t="s">
        <v>4</v>
      </c>
      <c r="D334" s="73" t="s">
        <v>283</v>
      </c>
      <c r="E334" s="74"/>
      <c r="F334" s="74"/>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4</v>
      </c>
      <c r="J334" s="72" t="s">
        <v>4</v>
      </c>
      <c r="K334" s="81" t="s">
        <v>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c r="R334" s="74"/>
      <c r="S334" s="72" t="s">
        <v>23</v>
      </c>
      <c r="T334" s="80" t="s">
        <v>4</v>
      </c>
      <c r="U334" s="72" t="s">
        <v>12</v>
      </c>
      <c r="V334" s="72" t="s">
        <v>1932</v>
      </c>
      <c r="W334" s="72" t="s">
        <v>1936</v>
      </c>
      <c r="X334" s="72" t="s">
        <v>403</v>
      </c>
      <c r="Y334" s="72" t="s">
        <v>4</v>
      </c>
      <c r="Z334" s="72" t="s">
        <v>4</v>
      </c>
      <c r="AA334" s="147" t="s">
        <v>3620</v>
      </c>
    </row>
    <row r="335" spans="1:27" ht="18.600000000000001" customHeight="1">
      <c r="A335" s="140" t="str">
        <f>IF(priority(Main[[#This Row],[Comments]])&lt;&gt;0, priority(Main[[#This Row],[Comments]]),"")</f>
        <v/>
      </c>
      <c r="B335" s="90" t="s">
        <v>1234</v>
      </c>
      <c r="C335" s="72" t="s">
        <v>31</v>
      </c>
      <c r="D335" s="73" t="s">
        <v>284</v>
      </c>
      <c r="E335" s="74"/>
      <c r="F335" s="74"/>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4</v>
      </c>
      <c r="J335" s="72" t="s">
        <v>4</v>
      </c>
      <c r="K335" s="72" t="s">
        <v>4</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v>40318</v>
      </c>
      <c r="R335" s="74"/>
      <c r="S335" s="72" t="s">
        <v>11</v>
      </c>
      <c r="T335" s="80" t="s">
        <v>4</v>
      </c>
      <c r="U335" s="72" t="s">
        <v>14</v>
      </c>
      <c r="V335" s="72" t="s">
        <v>1942</v>
      </c>
      <c r="W335" s="72" t="s">
        <v>1934</v>
      </c>
      <c r="X335" s="72" t="s">
        <v>2921</v>
      </c>
      <c r="Y335" s="72" t="s">
        <v>4</v>
      </c>
      <c r="Z335" s="72" t="s">
        <v>4</v>
      </c>
      <c r="AA335" s="147" t="s">
        <v>2921</v>
      </c>
    </row>
    <row r="336" spans="1:27" ht="18.600000000000001" customHeight="1">
      <c r="A336" s="140" t="str">
        <f>IF(priority(Main[[#This Row],[Comments]])&lt;&gt;0, priority(Main[[#This Row],[Comments]]),"")</f>
        <v/>
      </c>
      <c r="B336" s="90" t="s">
        <v>1841</v>
      </c>
      <c r="C336" s="72" t="s">
        <v>79</v>
      </c>
      <c r="D336" s="73" t="s">
        <v>885</v>
      </c>
      <c r="E336" s="74">
        <v>40072.658055555556</v>
      </c>
      <c r="F336" s="74">
        <v>40157</v>
      </c>
      <c r="G336" s="75" t="str">
        <f>IF(stdProdLT(Main[[#This Row],[Comments]])=0.1,"N/A",IF(stdProdLT(Main[[#This Row],[Comments]])=0,"",stdProdLT(Main[[#This Row],[Comments]])))</f>
        <v/>
      </c>
      <c r="H336" s="76">
        <f>IF(AND(Main[[#This Row],[In Stock Date]]&lt;&gt;"",Main[[#This Row],[Revised Due Date]]&lt;&gt;""),Main[[#This Row],[In Stock Date]]-Main[[#This Row],[Revised Due Date]],"")</f>
        <v>-171</v>
      </c>
      <c r="I336" s="72" t="s">
        <v>4</v>
      </c>
      <c r="J336" s="72" t="s">
        <v>4</v>
      </c>
      <c r="K336" s="72" t="s">
        <v>1944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v>40117</v>
      </c>
      <c r="R336" s="155">
        <v>40328</v>
      </c>
      <c r="S336" s="72" t="s">
        <v>17</v>
      </c>
      <c r="T336" s="80" t="s">
        <v>4</v>
      </c>
      <c r="U336" s="72" t="s">
        <v>29</v>
      </c>
      <c r="V336" s="72" t="s">
        <v>1933</v>
      </c>
      <c r="W336" s="72" t="s">
        <v>1937</v>
      </c>
      <c r="X336" s="72" t="s">
        <v>2952</v>
      </c>
      <c r="Y336" s="72" t="s">
        <v>3051</v>
      </c>
      <c r="Z336" s="72" t="s">
        <v>4</v>
      </c>
      <c r="AA336" s="147" t="s">
        <v>2952</v>
      </c>
    </row>
    <row r="337" spans="1:27" ht="18.600000000000001" customHeight="1">
      <c r="A337" s="140" t="str">
        <f>IF(priority(Main[[#This Row],[Comments]])&lt;&gt;0, priority(Main[[#This Row],[Comments]]),"")</f>
        <v/>
      </c>
      <c r="B337" s="90" t="s">
        <v>1237</v>
      </c>
      <c r="C337" s="72" t="s">
        <v>171</v>
      </c>
      <c r="D337" s="73" t="s">
        <v>235</v>
      </c>
      <c r="E337" s="74"/>
      <c r="F337" s="74">
        <v>40237</v>
      </c>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4</v>
      </c>
      <c r="J337" s="72" t="s">
        <v>4</v>
      </c>
      <c r="K337" s="81"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v>40132</v>
      </c>
      <c r="R337" s="74"/>
      <c r="S337" s="72" t="s">
        <v>11</v>
      </c>
      <c r="T337" s="80" t="s">
        <v>4</v>
      </c>
      <c r="U337" s="72" t="s">
        <v>14</v>
      </c>
      <c r="V337" s="72" t="s">
        <v>1932</v>
      </c>
      <c r="W337" s="72" t="s">
        <v>1937</v>
      </c>
      <c r="X337" s="72" t="s">
        <v>2949</v>
      </c>
      <c r="Y337" s="72" t="s">
        <v>4</v>
      </c>
      <c r="Z337" s="72" t="s">
        <v>4</v>
      </c>
      <c r="AA337" s="147" t="s">
        <v>2949</v>
      </c>
    </row>
    <row r="338" spans="1:27" ht="18.600000000000001" customHeight="1">
      <c r="A338" s="140" t="str">
        <f>IF(priority(Main[[#This Row],[Comments]])&lt;&gt;0, priority(Main[[#This Row],[Comments]]),"")</f>
        <v/>
      </c>
      <c r="B338" s="90" t="s">
        <v>1238</v>
      </c>
      <c r="C338" s="72" t="s">
        <v>4</v>
      </c>
      <c r="D338" s="73" t="s">
        <v>236</v>
      </c>
      <c r="E338" s="74">
        <v>40403.488668981481</v>
      </c>
      <c r="F338" s="74"/>
      <c r="G338" s="75" t="str">
        <f>IF(stdProdLT(Main[[#This Row],[Comments]])=0.1,"N/A",IF(stdProdLT(Main[[#This Row],[Comments]])=0,"",stdProdLT(Main[[#This Row],[Comments]])))</f>
        <v/>
      </c>
      <c r="H338" s="76" t="str">
        <f>IF(AND(Main[[#This Row],[In Stock Date]]&lt;&gt;"",Main[[#This Row],[Revised Due Date]]&lt;&gt;""),Main[[#This Row],[In Stock Date]]-Main[[#This Row],[Revised Due Date]],"")</f>
        <v/>
      </c>
      <c r="I338" s="72" t="s">
        <v>129</v>
      </c>
      <c r="J338" s="72" t="s">
        <v>28</v>
      </c>
      <c r="K338" s="72" t="s">
        <v>4</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v>40438</v>
      </c>
      <c r="R338" s="74"/>
      <c r="S338" s="72" t="s">
        <v>6</v>
      </c>
      <c r="T338" s="80" t="s">
        <v>4</v>
      </c>
      <c r="U338" s="72" t="s">
        <v>7</v>
      </c>
      <c r="V338" s="72" t="s">
        <v>1932</v>
      </c>
      <c r="W338" s="72" t="s">
        <v>1936</v>
      </c>
      <c r="X338" s="72" t="s">
        <v>2909</v>
      </c>
      <c r="Y338" s="72" t="s">
        <v>3024</v>
      </c>
      <c r="Z338" s="72" t="s">
        <v>129</v>
      </c>
      <c r="AA338" s="147" t="s">
        <v>2909</v>
      </c>
    </row>
    <row r="339" spans="1:27" ht="18.600000000000001" customHeight="1">
      <c r="A339" s="140" t="str">
        <f>IF(priority(Main[[#This Row],[Comments]])&lt;&gt;0, priority(Main[[#This Row],[Comments]]),"")</f>
        <v/>
      </c>
      <c r="B339" s="90" t="s">
        <v>1192</v>
      </c>
      <c r="C339" s="72" t="s">
        <v>237</v>
      </c>
      <c r="D339" s="73" t="s">
        <v>238</v>
      </c>
      <c r="E339" s="74"/>
      <c r="F339" s="74"/>
      <c r="G339" s="75" t="str">
        <f>IF(stdProdLT(Main[[#This Row],[Comments]])=0.1,"N/A",IF(stdProdLT(Main[[#This Row],[Comments]])=0,"",stdProdLT(Main[[#This Row],[Comments]])))</f>
        <v/>
      </c>
      <c r="H339" s="76" t="str">
        <f>IF(AND(Main[[#This Row],[In Stock Date]]&lt;&gt;"",Main[[#This Row],[Revised Due Date]]&lt;&gt;""),Main[[#This Row],[In Stock Date]]-Main[[#This Row],[Revised Due Date]],"")</f>
        <v/>
      </c>
      <c r="I339" s="72" t="s">
        <v>4</v>
      </c>
      <c r="J339" s="72" t="s">
        <v>4</v>
      </c>
      <c r="K339" s="72" t="s">
        <v>4</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v>40204</v>
      </c>
      <c r="R339" s="74"/>
      <c r="S339" s="72" t="s">
        <v>11</v>
      </c>
      <c r="T339" s="80" t="s">
        <v>4</v>
      </c>
      <c r="U339" s="72" t="s">
        <v>14</v>
      </c>
      <c r="V339" s="72" t="s">
        <v>1935</v>
      </c>
      <c r="W339" s="72" t="s">
        <v>1934</v>
      </c>
      <c r="X339" s="72" t="s">
        <v>65</v>
      </c>
      <c r="Y339" s="72" t="s">
        <v>4</v>
      </c>
      <c r="Z339" s="72" t="s">
        <v>4</v>
      </c>
      <c r="AA339" s="147" t="s">
        <v>65</v>
      </c>
    </row>
    <row r="340" spans="1:27" ht="18.600000000000001" customHeight="1">
      <c r="A340" s="140" t="str">
        <f>IF(priority(Main[[#This Row],[Comments]])&lt;&gt;0, priority(Main[[#This Row],[Comments]]),"")</f>
        <v/>
      </c>
      <c r="B340" s="90" t="s">
        <v>1193</v>
      </c>
      <c r="C340" s="72" t="s">
        <v>4</v>
      </c>
      <c r="D340" s="73" t="s">
        <v>239</v>
      </c>
      <c r="E340" s="74">
        <v>40317.337557870371</v>
      </c>
      <c r="F340" s="74"/>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4</v>
      </c>
      <c r="J340" s="72" t="s">
        <v>4</v>
      </c>
      <c r="K340" s="81" t="s">
        <v>4</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v>40330</v>
      </c>
      <c r="R340" s="74"/>
      <c r="S340" s="72" t="s">
        <v>6</v>
      </c>
      <c r="T340" s="80" t="s">
        <v>4</v>
      </c>
      <c r="U340" s="72" t="s">
        <v>7</v>
      </c>
      <c r="V340" s="72" t="s">
        <v>1932</v>
      </c>
      <c r="W340" s="72" t="s">
        <v>1934</v>
      </c>
      <c r="X340" s="72" t="s">
        <v>102</v>
      </c>
      <c r="Y340" s="72" t="s">
        <v>3106</v>
      </c>
      <c r="Z340" s="72" t="s">
        <v>129</v>
      </c>
      <c r="AA340" s="147" t="s">
        <v>102</v>
      </c>
    </row>
    <row r="341" spans="1:27" ht="18.600000000000001" customHeight="1">
      <c r="A341" s="140" t="str">
        <f>IF(priority(Main[[#This Row],[Comments]])&lt;&gt;0, priority(Main[[#This Row],[Comments]]),"")</f>
        <v/>
      </c>
      <c r="B341" s="90" t="s">
        <v>1194</v>
      </c>
      <c r="C341" s="72" t="s">
        <v>4</v>
      </c>
      <c r="D341" s="73" t="s">
        <v>240</v>
      </c>
      <c r="E341" s="74"/>
      <c r="F341" s="74"/>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4</v>
      </c>
      <c r="K341" s="81"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c r="R341" s="74"/>
      <c r="S341" s="72" t="s">
        <v>11</v>
      </c>
      <c r="T341" s="80" t="s">
        <v>4</v>
      </c>
      <c r="U341" s="72" t="s">
        <v>14</v>
      </c>
      <c r="V341" s="72" t="s">
        <v>1932</v>
      </c>
      <c r="W341" s="72" t="s">
        <v>1936</v>
      </c>
      <c r="X341" s="72" t="s">
        <v>933</v>
      </c>
      <c r="Y341" s="72" t="s">
        <v>3077</v>
      </c>
      <c r="Z341" s="72" t="s">
        <v>4</v>
      </c>
      <c r="AA341" s="147" t="s">
        <v>933</v>
      </c>
    </row>
    <row r="342" spans="1:27" ht="18.600000000000001" customHeight="1">
      <c r="A342" s="140" t="str">
        <f>IF(priority(Main[[#This Row],[Comments]])&lt;&gt;0, priority(Main[[#This Row],[Comments]]),"")</f>
        <v/>
      </c>
      <c r="B342" s="90" t="s">
        <v>1198</v>
      </c>
      <c r="C342" s="72" t="s">
        <v>4</v>
      </c>
      <c r="D342" s="73" t="s">
        <v>39</v>
      </c>
      <c r="E342" s="74"/>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v>40669</v>
      </c>
      <c r="R342" s="155"/>
      <c r="S342" s="72" t="s">
        <v>6</v>
      </c>
      <c r="T342" s="80" t="s">
        <v>4</v>
      </c>
      <c r="U342" s="72" t="s">
        <v>14</v>
      </c>
      <c r="V342" s="72" t="s">
        <v>1935</v>
      </c>
      <c r="W342" s="72" t="s">
        <v>4</v>
      </c>
      <c r="X342" s="72" t="s">
        <v>2909</v>
      </c>
      <c r="Y342" s="72" t="s">
        <v>3024</v>
      </c>
      <c r="Z342" s="72" t="s">
        <v>4</v>
      </c>
      <c r="AA342" s="147" t="s">
        <v>2909</v>
      </c>
    </row>
    <row r="343" spans="1:27" ht="18.600000000000001" customHeight="1">
      <c r="A343" s="140" t="str">
        <f>IF(priority(Main[[#This Row],[Comments]])&lt;&gt;0, priority(Main[[#This Row],[Comments]]),"")</f>
        <v/>
      </c>
      <c r="B343" s="90" t="s">
        <v>2094</v>
      </c>
      <c r="C343" s="72" t="s">
        <v>4</v>
      </c>
      <c r="D343" s="73" t="s">
        <v>2095</v>
      </c>
      <c r="E343" s="74">
        <v>40774.330196759256</v>
      </c>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40788</v>
      </c>
      <c r="R343" s="74"/>
      <c r="S343" s="72" t="s">
        <v>6</v>
      </c>
      <c r="T343" s="80" t="s">
        <v>4</v>
      </c>
      <c r="U343" s="72" t="s">
        <v>7</v>
      </c>
      <c r="V343" s="72" t="s">
        <v>1932</v>
      </c>
      <c r="W343" s="72" t="s">
        <v>4</v>
      </c>
      <c r="X343" s="72" t="s">
        <v>2942</v>
      </c>
      <c r="Y343" s="72" t="s">
        <v>3081</v>
      </c>
      <c r="Z343" s="72" t="s">
        <v>4</v>
      </c>
      <c r="AA343" s="147" t="s">
        <v>2942</v>
      </c>
    </row>
    <row r="344" spans="1:27" ht="18.600000000000001" customHeight="1">
      <c r="A344" s="140" t="str">
        <f>IF(priority(Main[[#This Row],[Comments]])&lt;&gt;0, priority(Main[[#This Row],[Comments]]),"")</f>
        <v/>
      </c>
      <c r="B344" s="90" t="s">
        <v>1199</v>
      </c>
      <c r="C344" s="72" t="s">
        <v>248</v>
      </c>
      <c r="D344" s="73" t="s">
        <v>249</v>
      </c>
      <c r="E344" s="74"/>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40325</v>
      </c>
      <c r="R344" s="155"/>
      <c r="S344" s="72" t="s">
        <v>11</v>
      </c>
      <c r="T344" s="80" t="s">
        <v>4</v>
      </c>
      <c r="U344" s="72" t="s">
        <v>12</v>
      </c>
      <c r="V344" s="72" t="s">
        <v>1933</v>
      </c>
      <c r="W344" s="72" t="s">
        <v>1938</v>
      </c>
      <c r="X344" s="72" t="s">
        <v>50</v>
      </c>
      <c r="Y344" s="72" t="s">
        <v>3108</v>
      </c>
      <c r="Z344" s="72" t="s">
        <v>4</v>
      </c>
      <c r="AA344" s="147" t="s">
        <v>3641</v>
      </c>
    </row>
    <row r="345" spans="1:27" ht="18.600000000000001" customHeight="1">
      <c r="A345" s="140" t="str">
        <f>IF(priority(Main[[#This Row],[Comments]])&lt;&gt;0, priority(Main[[#This Row],[Comments]]),"")</f>
        <v/>
      </c>
      <c r="B345" s="90" t="s">
        <v>1702</v>
      </c>
      <c r="C345" s="72" t="s">
        <v>79</v>
      </c>
      <c r="D345" s="73" t="s">
        <v>749</v>
      </c>
      <c r="E345" s="74">
        <v>40458.641226851854</v>
      </c>
      <c r="F345" s="74"/>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28</v>
      </c>
      <c r="K345" s="72" t="s">
        <v>1944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v>40486</v>
      </c>
      <c r="R345" s="74"/>
      <c r="S345" s="72" t="s">
        <v>17</v>
      </c>
      <c r="T345" s="80" t="s">
        <v>4</v>
      </c>
      <c r="U345" s="72" t="s">
        <v>7</v>
      </c>
      <c r="V345" s="72" t="s">
        <v>1932</v>
      </c>
      <c r="W345" s="72" t="s">
        <v>1937</v>
      </c>
      <c r="X345" s="72" t="s">
        <v>2912</v>
      </c>
      <c r="Y345" s="72" t="s">
        <v>3031</v>
      </c>
      <c r="Z345" s="72" t="s">
        <v>129</v>
      </c>
      <c r="AA345" s="147" t="s">
        <v>2912</v>
      </c>
    </row>
    <row r="346" spans="1:27" ht="18.600000000000001" customHeight="1">
      <c r="A346" s="140" t="str">
        <f>IF(priority(Main[[#This Row],[Comments]])&lt;&gt;0, priority(Main[[#This Row],[Comments]]),"")</f>
        <v/>
      </c>
      <c r="B346" s="90" t="s">
        <v>2062</v>
      </c>
      <c r="C346" s="72" t="s">
        <v>4</v>
      </c>
      <c r="D346" s="73" t="s">
        <v>2063</v>
      </c>
      <c r="E346" s="74"/>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c r="R346" s="74"/>
      <c r="S346" s="72" t="s">
        <v>6</v>
      </c>
      <c r="T346" s="80" t="s">
        <v>4</v>
      </c>
      <c r="U346" s="72" t="s">
        <v>14</v>
      </c>
      <c r="V346" s="72" t="s">
        <v>1935</v>
      </c>
      <c r="W346" s="72" t="s">
        <v>1936</v>
      </c>
      <c r="X346" s="72" t="s">
        <v>310</v>
      </c>
      <c r="Y346" s="72" t="s">
        <v>4</v>
      </c>
      <c r="Z346" s="72" t="s">
        <v>4</v>
      </c>
      <c r="AA346" s="147" t="s">
        <v>4</v>
      </c>
    </row>
    <row r="347" spans="1:27" ht="18.600000000000001" customHeight="1">
      <c r="A347" s="140" t="str">
        <f>IF(priority(Main[[#This Row],[Comments]])&lt;&gt;0, priority(Main[[#This Row],[Comments]]),"")</f>
        <v/>
      </c>
      <c r="B347" s="90" t="s">
        <v>1201</v>
      </c>
      <c r="C347" s="72" t="s">
        <v>33</v>
      </c>
      <c r="D347" s="73" t="s">
        <v>251</v>
      </c>
      <c r="E347" s="74"/>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81"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40269</v>
      </c>
      <c r="R347" s="155"/>
      <c r="S347" s="72" t="s">
        <v>11</v>
      </c>
      <c r="T347" s="80" t="s">
        <v>4</v>
      </c>
      <c r="U347" s="72" t="s">
        <v>14</v>
      </c>
      <c r="V347" s="72" t="s">
        <v>1935</v>
      </c>
      <c r="W347" s="72" t="s">
        <v>1934</v>
      </c>
      <c r="X347" s="72" t="s">
        <v>2960</v>
      </c>
      <c r="Y347" s="72" t="s">
        <v>4</v>
      </c>
      <c r="Z347" s="72" t="s">
        <v>4</v>
      </c>
      <c r="AA347" s="147" t="s">
        <v>2960</v>
      </c>
    </row>
    <row r="348" spans="1:27" ht="18.600000000000001" customHeight="1">
      <c r="A348" s="140" t="str">
        <f>IF(priority(Main[[#This Row],[Comments]])&lt;&gt;0, priority(Main[[#This Row],[Comments]]),"")</f>
        <v/>
      </c>
      <c r="B348" s="90" t="s">
        <v>1202</v>
      </c>
      <c r="C348" s="72" t="s">
        <v>252</v>
      </c>
      <c r="D348" s="73" t="s">
        <v>253</v>
      </c>
      <c r="E348" s="74"/>
      <c r="F348" s="74"/>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28</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c r="R348" s="74"/>
      <c r="S348" s="72" t="s">
        <v>6</v>
      </c>
      <c r="T348" s="80" t="s">
        <v>4</v>
      </c>
      <c r="U348" s="72" t="s">
        <v>14</v>
      </c>
      <c r="V348" s="72" t="s">
        <v>1932</v>
      </c>
      <c r="W348" s="72" t="s">
        <v>1940</v>
      </c>
      <c r="X348" s="72" t="s">
        <v>900</v>
      </c>
      <c r="Y348" s="72" t="s">
        <v>3109</v>
      </c>
      <c r="Z348" s="72" t="s">
        <v>129</v>
      </c>
      <c r="AA348" s="147" t="s">
        <v>3614</v>
      </c>
    </row>
    <row r="349" spans="1:27" ht="18.600000000000001" customHeight="1">
      <c r="A349" s="140" t="str">
        <f>IF(priority(Main[[#This Row],[Comments]])&lt;&gt;0, priority(Main[[#This Row],[Comments]]),"")</f>
        <v/>
      </c>
      <c r="B349" s="90" t="s">
        <v>1203</v>
      </c>
      <c r="C349" s="72" t="s">
        <v>4</v>
      </c>
      <c r="D349" s="73" t="s">
        <v>254</v>
      </c>
      <c r="E349" s="74"/>
      <c r="F349" s="74"/>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4</v>
      </c>
      <c r="J349" s="72" t="s">
        <v>4</v>
      </c>
      <c r="K349" s="72" t="s">
        <v>4</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c r="R349" s="155"/>
      <c r="S349" s="72" t="s">
        <v>6</v>
      </c>
      <c r="T349" s="80" t="s">
        <v>4</v>
      </c>
      <c r="U349" s="72" t="s">
        <v>14</v>
      </c>
      <c r="V349" s="72" t="s">
        <v>1935</v>
      </c>
      <c r="W349" s="72" t="s">
        <v>1936</v>
      </c>
      <c r="X349" s="72" t="s">
        <v>310</v>
      </c>
      <c r="Y349" s="72" t="s">
        <v>4</v>
      </c>
      <c r="Z349" s="72" t="s">
        <v>4</v>
      </c>
      <c r="AA349" s="147" t="s">
        <v>420</v>
      </c>
    </row>
    <row r="350" spans="1:27" ht="18.600000000000001" customHeight="1">
      <c r="A350" s="140" t="str">
        <f>IF(priority(Main[[#This Row],[Comments]])&lt;&gt;0, priority(Main[[#This Row],[Comments]]),"")</f>
        <v/>
      </c>
      <c r="B350" s="90" t="s">
        <v>1204</v>
      </c>
      <c r="C350" s="72" t="s">
        <v>113</v>
      </c>
      <c r="D350" s="73" t="s">
        <v>137</v>
      </c>
      <c r="E350" s="74"/>
      <c r="F350" s="74"/>
      <c r="G350" s="75" t="str">
        <f>IF(stdProdLT(Main[[#This Row],[Comments]])=0.1,"N/A",IF(stdProdLT(Main[[#This Row],[Comments]])=0,"",stdProdLT(Main[[#This Row],[Comments]])))</f>
        <v/>
      </c>
      <c r="H350" s="76" t="str">
        <f>IF(AND(Main[[#This Row],[In Stock Date]]&lt;&gt;"",Main[[#This Row],[Revised Due Date]]&lt;&gt;""),Main[[#This Row],[In Stock Date]]-Main[[#This Row],[Revised Due Date]],"")</f>
        <v/>
      </c>
      <c r="I350" s="72" t="s">
        <v>4</v>
      </c>
      <c r="J350" s="72" t="s">
        <v>4</v>
      </c>
      <c r="K350" s="81" t="s">
        <v>4</v>
      </c>
      <c r="L350" s="74"/>
      <c r="M350" s="77" t="str">
        <f>IF(Main[[#This Row],[Tech Start Date]]&lt;1/1/1990,"",IF(Main[[#This Row],[Class]]="C",WORKDAY(Main[[#This Row],[Tech Start Date]],9),IF(Main[[#This Row],[Class]]="B", WORKDAY(Main[[#This Row],[Tech Start Date]],6),IF(Main[[#This Row],[Class]]="A",WORKDAY(Main[[#This Row],[Tech Start Date]],2),""))))</f>
        <v/>
      </c>
      <c r="N350" s="77" t="str">
        <f>IF(Main[[#This Row],[Tech Start Date]]&lt;1/1/1990,"",IF(Main[[#This Row],[Class]]="C",WORKDAY(Main[[#This Row],[Tech Start Date]],19),IF(Main[[#This Row],[Class]]="B", WORKDAY(Main[[#This Row],[Tech Start Date]],12),IF(Main[[#This Row],[Class]]="A",WORKDAY(Main[[#This Row],[Tech Start Date]],4),""))))</f>
        <v/>
      </c>
      <c r="O350" s="77" t="str">
        <f>IF(Main[[#This Row],[Tech Start Date]]&lt;1/1/1990,"",IF(Main[[#This Row],[Class]]="C",WORKDAY(Main[[#This Row],[Tech Start Date]],23),IF(Main[[#This Row],[Class]]="B", WORKDAY(Main[[#This Row],[Tech Start Date]],15),IF(Main[[#This Row],[Class]]="A",WORKDAY(Main[[#This Row],[Tech Start Date]],5),""))))</f>
        <v/>
      </c>
      <c r="P350" s="77" t="str">
        <f>IF(Main[[#This Row],[Tech Start Date]]&lt;1/1/1990,"",IF(Main[[#This Row],[Class]]="C",WORKDAY(Main[[#This Row],[Tech Start Date]],28),IF(Main[[#This Row],[Class]]="B", WORKDAY(Main[[#This Row],[Tech Start Date]],19),IF(Main[[#This Row],[Class]]="A",WORKDAY(Main[[#This Row],[Tech Start Date]],9),""))))</f>
        <v/>
      </c>
      <c r="Q350" s="74">
        <v>40641</v>
      </c>
      <c r="R350" s="74"/>
      <c r="S350" s="72" t="s">
        <v>11</v>
      </c>
      <c r="T350" s="80" t="s">
        <v>4</v>
      </c>
      <c r="U350" s="72" t="s">
        <v>14</v>
      </c>
      <c r="V350" s="72" t="s">
        <v>1932</v>
      </c>
      <c r="W350" s="72" t="s">
        <v>1940</v>
      </c>
      <c r="X350" s="72" t="s">
        <v>2930</v>
      </c>
      <c r="Y350" s="72" t="s">
        <v>3076</v>
      </c>
      <c r="Z350" s="72" t="s">
        <v>4</v>
      </c>
      <c r="AA350" s="147" t="s">
        <v>2930</v>
      </c>
    </row>
    <row r="351" spans="1:27" ht="18.600000000000001" customHeight="1">
      <c r="A351" s="140" t="str">
        <f>IF(priority(Main[[#This Row],[Comments]])&lt;&gt;0, priority(Main[[#This Row],[Comments]]),"")</f>
        <v/>
      </c>
      <c r="B351" s="90" t="s">
        <v>1147</v>
      </c>
      <c r="C351" s="72" t="s">
        <v>4</v>
      </c>
      <c r="D351" s="73" t="s">
        <v>189</v>
      </c>
      <c r="E351" s="74">
        <v>40585.675416666665</v>
      </c>
      <c r="F351" s="74">
        <v>40606</v>
      </c>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28</v>
      </c>
      <c r="K351" s="72" t="s">
        <v>1944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40606</v>
      </c>
      <c r="R351" s="74"/>
      <c r="S351" s="72" t="s">
        <v>17</v>
      </c>
      <c r="T351" s="80" t="s">
        <v>4</v>
      </c>
      <c r="U351" s="72" t="s">
        <v>7</v>
      </c>
      <c r="V351" s="72" t="s">
        <v>1932</v>
      </c>
      <c r="W351" s="72" t="s">
        <v>1940</v>
      </c>
      <c r="X351" s="72" t="s">
        <v>2919</v>
      </c>
      <c r="Y351" s="72" t="s">
        <v>3045</v>
      </c>
      <c r="Z351" s="72" t="s">
        <v>129</v>
      </c>
      <c r="AA351" s="147" t="s">
        <v>2919</v>
      </c>
    </row>
    <row r="352" spans="1:27" ht="18.600000000000001" customHeight="1">
      <c r="A352" s="140" t="str">
        <f>IF(priority(Main[[#This Row],[Comments]])&lt;&gt;0, priority(Main[[#This Row],[Comments]]),"")</f>
        <v/>
      </c>
      <c r="B352" s="90" t="s">
        <v>1205</v>
      </c>
      <c r="C352" s="72" t="s">
        <v>4</v>
      </c>
      <c r="D352" s="73" t="s">
        <v>2389</v>
      </c>
      <c r="E352" s="74">
        <v>40620.555636574078</v>
      </c>
      <c r="F352" s="74"/>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30</v>
      </c>
      <c r="J352" s="72" t="s">
        <v>75</v>
      </c>
      <c r="K352" s="72" t="s">
        <v>1941</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40662</v>
      </c>
      <c r="R352" s="74"/>
      <c r="S352" s="72" t="s">
        <v>6</v>
      </c>
      <c r="T352" s="80" t="s">
        <v>4</v>
      </c>
      <c r="U352" s="72" t="s">
        <v>29</v>
      </c>
      <c r="V352" s="72" t="s">
        <v>1935</v>
      </c>
      <c r="W352" s="72" t="s">
        <v>1936</v>
      </c>
      <c r="X352" s="72" t="s">
        <v>30</v>
      </c>
      <c r="Y352" s="72" t="s">
        <v>3110</v>
      </c>
      <c r="Z352" s="72" t="s">
        <v>30</v>
      </c>
      <c r="AA352" s="147" t="s">
        <v>3642</v>
      </c>
    </row>
    <row r="353" spans="1:27" ht="18.600000000000001" customHeight="1">
      <c r="A353" s="140" t="str">
        <f>IF(priority(Main[[#This Row],[Comments]])&lt;&gt;0, priority(Main[[#This Row],[Comments]]),"")</f>
        <v/>
      </c>
      <c r="B353" s="90" t="s">
        <v>1206</v>
      </c>
      <c r="C353" s="72" t="s">
        <v>4</v>
      </c>
      <c r="D353" s="73" t="s">
        <v>255</v>
      </c>
      <c r="E353" s="74"/>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c r="R353" s="74"/>
      <c r="S353" s="72" t="s">
        <v>11</v>
      </c>
      <c r="T353" s="80" t="s">
        <v>4</v>
      </c>
      <c r="U353" s="72" t="s">
        <v>12</v>
      </c>
      <c r="V353" s="72" t="s">
        <v>1932</v>
      </c>
      <c r="W353" s="72" t="s">
        <v>1936</v>
      </c>
      <c r="X353" s="72" t="s">
        <v>888</v>
      </c>
      <c r="Y353" s="72" t="s">
        <v>3129</v>
      </c>
      <c r="Z353" s="72" t="s">
        <v>4</v>
      </c>
      <c r="AA353" s="147" t="s">
        <v>3643</v>
      </c>
    </row>
    <row r="354" spans="1:27" ht="18.600000000000001" customHeight="1">
      <c r="A354" s="140" t="str">
        <f>IF(priority(Main[[#This Row],[Comments]])&lt;&gt;0, priority(Main[[#This Row],[Comments]]),"")</f>
        <v/>
      </c>
      <c r="B354" s="90" t="s">
        <v>3776</v>
      </c>
      <c r="C354" s="72" t="s">
        <v>3777</v>
      </c>
      <c r="D354" s="73" t="s">
        <v>3778</v>
      </c>
      <c r="E354" s="74">
        <v>40942.321122685185</v>
      </c>
      <c r="F354" s="74"/>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4</v>
      </c>
      <c r="J354" s="72" t="s">
        <v>4</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v>40949</v>
      </c>
      <c r="R354" s="155"/>
      <c r="S354" s="72" t="s">
        <v>11</v>
      </c>
      <c r="T354" s="80" t="s">
        <v>4</v>
      </c>
      <c r="U354" s="72" t="s">
        <v>7</v>
      </c>
      <c r="V354" s="72" t="s">
        <v>1932</v>
      </c>
      <c r="W354" s="72" t="s">
        <v>1937</v>
      </c>
      <c r="X354" s="72" t="s">
        <v>3779</v>
      </c>
      <c r="Y354" s="72" t="s">
        <v>3780</v>
      </c>
      <c r="Z354" s="72" t="s">
        <v>4</v>
      </c>
      <c r="AA354" s="147" t="s">
        <v>3779</v>
      </c>
    </row>
    <row r="355" spans="1:27" ht="18.600000000000001" customHeight="1">
      <c r="A355" s="140" t="str">
        <f>IF(priority(Main[[#This Row],[Comments]])&lt;&gt;0, priority(Main[[#This Row],[Comments]]),"")</f>
        <v/>
      </c>
      <c r="B355" s="90" t="s">
        <v>1207</v>
      </c>
      <c r="C355" s="72" t="s">
        <v>156</v>
      </c>
      <c r="D355" s="73" t="s">
        <v>256</v>
      </c>
      <c r="E355" s="74"/>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40144</v>
      </c>
      <c r="R355" s="155"/>
      <c r="S355" s="72" t="s">
        <v>11</v>
      </c>
      <c r="T355" s="80" t="s">
        <v>4</v>
      </c>
      <c r="U355" s="72" t="s">
        <v>14</v>
      </c>
      <c r="V355" s="72" t="s">
        <v>1932</v>
      </c>
      <c r="W355" s="72" t="s">
        <v>1934</v>
      </c>
      <c r="X355" s="72" t="s">
        <v>2945</v>
      </c>
      <c r="Y355" s="72" t="s">
        <v>4</v>
      </c>
      <c r="Z355" s="72" t="s">
        <v>4</v>
      </c>
      <c r="AA355" s="147" t="s">
        <v>2945</v>
      </c>
    </row>
    <row r="356" spans="1:27" ht="18.600000000000001" customHeight="1">
      <c r="A356" s="140" t="str">
        <f>IF(priority(Main[[#This Row],[Comments]])&lt;&gt;0, priority(Main[[#This Row],[Comments]]),"")</f>
        <v/>
      </c>
      <c r="B356" s="90" t="s">
        <v>1208</v>
      </c>
      <c r="C356" s="72" t="s">
        <v>4</v>
      </c>
      <c r="D356" s="73" t="s">
        <v>257</v>
      </c>
      <c r="E356" s="74">
        <v>40703.393472222226</v>
      </c>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4</v>
      </c>
      <c r="K356" s="81" t="s">
        <v>4</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40724</v>
      </c>
      <c r="R356" s="74"/>
      <c r="S356" s="72" t="s">
        <v>6</v>
      </c>
      <c r="T356" s="80" t="s">
        <v>4</v>
      </c>
      <c r="U356" s="72" t="s">
        <v>7</v>
      </c>
      <c r="V356" s="72" t="s">
        <v>1932</v>
      </c>
      <c r="W356" s="72" t="s">
        <v>1936</v>
      </c>
      <c r="X356" s="72" t="s">
        <v>2927</v>
      </c>
      <c r="Y356" s="72" t="s">
        <v>3060</v>
      </c>
      <c r="Z356" s="72" t="s">
        <v>4</v>
      </c>
      <c r="AA356" s="147" t="s">
        <v>2927</v>
      </c>
    </row>
    <row r="357" spans="1:27" ht="18.600000000000001" customHeight="1">
      <c r="A357" s="140" t="str">
        <f>IF(priority(Main[[#This Row],[Comments]])&lt;&gt;0, priority(Main[[#This Row],[Comments]]),"")</f>
        <v/>
      </c>
      <c r="B357" s="90" t="s">
        <v>1209</v>
      </c>
      <c r="C357" s="72" t="s">
        <v>33</v>
      </c>
      <c r="D357" s="73" t="s">
        <v>258</v>
      </c>
      <c r="E357" s="74"/>
      <c r="F357" s="74"/>
      <c r="G357" s="75" t="str">
        <f>IF(stdProdLT(Main[[#This Row],[Comments]])=0.1,"N/A",IF(stdProdLT(Main[[#This Row],[Comments]])=0,"",stdProdLT(Main[[#This Row],[Comments]])))</f>
        <v/>
      </c>
      <c r="H357" s="76" t="str">
        <f>IF(AND(Main[[#This Row],[In Stock Date]]&lt;&gt;"",Main[[#This Row],[Revised Due Date]]&lt;&gt;""),Main[[#This Row],[In Stock Date]]-Main[[#This Row],[Revised Due Date]],"")</f>
        <v/>
      </c>
      <c r="I357" s="72" t="s">
        <v>4</v>
      </c>
      <c r="J357" s="72" t="s">
        <v>28</v>
      </c>
      <c r="K357" s="72" t="s">
        <v>1945</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40364</v>
      </c>
      <c r="R357" s="155"/>
      <c r="S357" s="72" t="s">
        <v>17</v>
      </c>
      <c r="T357" s="80" t="s">
        <v>4</v>
      </c>
      <c r="U357" s="72" t="s">
        <v>14</v>
      </c>
      <c r="V357" s="72" t="s">
        <v>1933</v>
      </c>
      <c r="W357" s="72" t="s">
        <v>1937</v>
      </c>
      <c r="X357" s="72" t="s">
        <v>2966</v>
      </c>
      <c r="Y357" s="72" t="s">
        <v>3116</v>
      </c>
      <c r="Z357" s="72" t="s">
        <v>108</v>
      </c>
      <c r="AA357" s="147" t="s">
        <v>2966</v>
      </c>
    </row>
    <row r="358" spans="1:27" ht="18.600000000000001" customHeight="1">
      <c r="A358" s="140" t="str">
        <f>IF(priority(Main[[#This Row],[Comments]])&lt;&gt;0, priority(Main[[#This Row],[Comments]]),"")</f>
        <v/>
      </c>
      <c r="B358" s="90" t="s">
        <v>1210</v>
      </c>
      <c r="C358" s="72" t="s">
        <v>31</v>
      </c>
      <c r="D358" s="73" t="s">
        <v>259</v>
      </c>
      <c r="E358" s="74"/>
      <c r="F358" s="74"/>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40318</v>
      </c>
      <c r="R358" s="74"/>
      <c r="S358" s="72" t="s">
        <v>11</v>
      </c>
      <c r="T358" s="80" t="s">
        <v>4</v>
      </c>
      <c r="U358" s="72" t="s">
        <v>14</v>
      </c>
      <c r="V358" s="72" t="s">
        <v>1935</v>
      </c>
      <c r="W358" s="72" t="s">
        <v>1934</v>
      </c>
      <c r="X358" s="72" t="s">
        <v>2921</v>
      </c>
      <c r="Y358" s="72" t="s">
        <v>4</v>
      </c>
      <c r="Z358" s="72" t="s">
        <v>4</v>
      </c>
      <c r="AA358" s="147" t="s">
        <v>2921</v>
      </c>
    </row>
    <row r="359" spans="1:27" ht="18.600000000000001" customHeight="1">
      <c r="A359" s="140" t="str">
        <f>IF(priority(Main[[#This Row],[Comments]])&lt;&gt;0, priority(Main[[#This Row],[Comments]]),"")</f>
        <v/>
      </c>
      <c r="B359" s="90" t="s">
        <v>1211</v>
      </c>
      <c r="C359" s="72" t="s">
        <v>4</v>
      </c>
      <c r="D359" s="73" t="s">
        <v>260</v>
      </c>
      <c r="E359" s="74"/>
      <c r="F359" s="74"/>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4</v>
      </c>
      <c r="J359" s="72" t="s">
        <v>4</v>
      </c>
      <c r="K359" s="72" t="s">
        <v>4</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v>40390</v>
      </c>
      <c r="R359" s="74"/>
      <c r="S359" s="72" t="s">
        <v>6</v>
      </c>
      <c r="T359" s="80" t="s">
        <v>4</v>
      </c>
      <c r="U359" s="72" t="s">
        <v>14</v>
      </c>
      <c r="V359" s="72" t="s">
        <v>1935</v>
      </c>
      <c r="W359" s="72" t="s">
        <v>4</v>
      </c>
      <c r="X359" s="72" t="s">
        <v>2910</v>
      </c>
      <c r="Y359" s="72" t="s">
        <v>3027</v>
      </c>
      <c r="Z359" s="72" t="s">
        <v>4</v>
      </c>
      <c r="AA359" s="147" t="s">
        <v>2910</v>
      </c>
    </row>
    <row r="360" spans="1:27" ht="18.600000000000001" customHeight="1">
      <c r="A360" s="140" t="str">
        <f>IF(priority(Main[[#This Row],[Comments]])&lt;&gt;0, priority(Main[[#This Row],[Comments]]),"")</f>
        <v/>
      </c>
      <c r="B360" s="90" t="s">
        <v>1212</v>
      </c>
      <c r="C360" s="72" t="s">
        <v>214</v>
      </c>
      <c r="D360" s="73" t="s">
        <v>261</v>
      </c>
      <c r="E360" s="74"/>
      <c r="F360" s="74">
        <v>40452</v>
      </c>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40357</v>
      </c>
      <c r="R360" s="74"/>
      <c r="S360" s="72" t="s">
        <v>11</v>
      </c>
      <c r="T360" s="80" t="s">
        <v>4</v>
      </c>
      <c r="U360" s="72" t="s">
        <v>12</v>
      </c>
      <c r="V360" s="72" t="s">
        <v>1932</v>
      </c>
      <c r="W360" s="72" t="s">
        <v>1940</v>
      </c>
      <c r="X360" s="72" t="s">
        <v>2924</v>
      </c>
      <c r="Y360" s="72" t="s">
        <v>4</v>
      </c>
      <c r="Z360" s="72" t="s">
        <v>4</v>
      </c>
      <c r="AA360" s="147" t="s">
        <v>2924</v>
      </c>
    </row>
    <row r="361" spans="1:27" ht="18.600000000000001" customHeight="1">
      <c r="A361" s="140" t="str">
        <f>IF(priority(Main[[#This Row],[Comments]])&lt;&gt;0, priority(Main[[#This Row],[Comments]]),"")</f>
        <v/>
      </c>
      <c r="B361" s="90" t="s">
        <v>1213</v>
      </c>
      <c r="C361" s="72" t="s">
        <v>214</v>
      </c>
      <c r="D361" s="73" t="s">
        <v>262</v>
      </c>
      <c r="E361" s="74"/>
      <c r="F361" s="74">
        <v>40452</v>
      </c>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v>40357</v>
      </c>
      <c r="R361" s="155"/>
      <c r="S361" s="72" t="s">
        <v>11</v>
      </c>
      <c r="T361" s="80" t="s">
        <v>4</v>
      </c>
      <c r="U361" s="72" t="s">
        <v>12</v>
      </c>
      <c r="V361" s="72" t="s">
        <v>1932</v>
      </c>
      <c r="W361" s="72" t="s">
        <v>1940</v>
      </c>
      <c r="X361" s="72" t="s">
        <v>2924</v>
      </c>
      <c r="Y361" s="72" t="s">
        <v>4</v>
      </c>
      <c r="Z361" s="72" t="s">
        <v>4</v>
      </c>
      <c r="AA361" s="147" t="s">
        <v>2924</v>
      </c>
    </row>
    <row r="362" spans="1:27" ht="18.600000000000001" customHeight="1">
      <c r="A362" s="140" t="str">
        <f>IF(priority(Main[[#This Row],[Comments]])&lt;&gt;0, priority(Main[[#This Row],[Comments]]),"")</f>
        <v/>
      </c>
      <c r="B362" s="90" t="s">
        <v>1217</v>
      </c>
      <c r="C362" s="72" t="s">
        <v>4</v>
      </c>
      <c r="D362" s="73" t="s">
        <v>265</v>
      </c>
      <c r="E362" s="74"/>
      <c r="F362" s="74"/>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4</v>
      </c>
      <c r="J362" s="72" t="s">
        <v>4</v>
      </c>
      <c r="K362" s="72" t="s">
        <v>4</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v>40313</v>
      </c>
      <c r="R362" s="74"/>
      <c r="S362" s="72" t="s">
        <v>11</v>
      </c>
      <c r="T362" s="80" t="s">
        <v>4</v>
      </c>
      <c r="U362" s="72" t="s">
        <v>14</v>
      </c>
      <c r="V362" s="72" t="s">
        <v>1932</v>
      </c>
      <c r="W362" s="72" t="s">
        <v>1940</v>
      </c>
      <c r="X362" s="72" t="s">
        <v>129</v>
      </c>
      <c r="Y362" s="72" t="s">
        <v>3028</v>
      </c>
      <c r="Z362" s="72" t="s">
        <v>4</v>
      </c>
      <c r="AA362" s="147" t="s">
        <v>129</v>
      </c>
    </row>
    <row r="363" spans="1:27" ht="18.600000000000001" customHeight="1">
      <c r="A363" s="140" t="str">
        <f>IF(priority(Main[[#This Row],[Comments]])&lt;&gt;0, priority(Main[[#This Row],[Comments]]),"")</f>
        <v/>
      </c>
      <c r="B363" s="90" t="s">
        <v>1218</v>
      </c>
      <c r="C363" s="72" t="s">
        <v>4</v>
      </c>
      <c r="D363" s="73" t="s">
        <v>266</v>
      </c>
      <c r="E363" s="74"/>
      <c r="F363" s="74"/>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4</v>
      </c>
      <c r="K363" s="81"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c r="R363" s="74"/>
      <c r="S363" s="72" t="s">
        <v>11</v>
      </c>
      <c r="T363" s="80" t="s">
        <v>4</v>
      </c>
      <c r="U363" s="72" t="s">
        <v>12</v>
      </c>
      <c r="V363" s="72" t="s">
        <v>1933</v>
      </c>
      <c r="W363" s="72" t="s">
        <v>1936</v>
      </c>
      <c r="X363" s="72" t="s">
        <v>933</v>
      </c>
      <c r="Y363" s="72" t="s">
        <v>3077</v>
      </c>
      <c r="Z363" s="72" t="s">
        <v>4</v>
      </c>
      <c r="AA363" s="147" t="s">
        <v>933</v>
      </c>
    </row>
    <row r="364" spans="1:27" ht="18.600000000000001" customHeight="1">
      <c r="A364" s="140" t="str">
        <f>IF(priority(Main[[#This Row],[Comments]])&lt;&gt;0, priority(Main[[#This Row],[Comments]]),"")</f>
        <v/>
      </c>
      <c r="B364" s="90" t="s">
        <v>1993</v>
      </c>
      <c r="C364" s="72" t="s">
        <v>4</v>
      </c>
      <c r="D364" s="73" t="s">
        <v>1994</v>
      </c>
      <c r="E364" s="74">
        <v>40732.708599537036</v>
      </c>
      <c r="F364" s="74"/>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v>40908</v>
      </c>
      <c r="R364" s="74"/>
      <c r="S364" s="72" t="s">
        <v>17</v>
      </c>
      <c r="T364" s="80" t="s">
        <v>4</v>
      </c>
      <c r="U364" s="72" t="s">
        <v>7</v>
      </c>
      <c r="V364" s="72" t="s">
        <v>1935</v>
      </c>
      <c r="W364" s="72" t="s">
        <v>1946</v>
      </c>
      <c r="X364" s="72" t="s">
        <v>559</v>
      </c>
      <c r="Y364" s="72" t="s">
        <v>3047</v>
      </c>
      <c r="Z364" s="72" t="s">
        <v>4</v>
      </c>
      <c r="AA364" s="147" t="s">
        <v>559</v>
      </c>
    </row>
    <row r="365" spans="1:27" ht="18.600000000000001" customHeight="1">
      <c r="A365" s="140" t="str">
        <f>IF(priority(Main[[#This Row],[Comments]])&lt;&gt;0, priority(Main[[#This Row],[Comments]]),"")</f>
        <v/>
      </c>
      <c r="B365" s="90" t="s">
        <v>1220</v>
      </c>
      <c r="C365" s="72" t="s">
        <v>4</v>
      </c>
      <c r="D365" s="73" t="s">
        <v>268</v>
      </c>
      <c r="E365" s="74">
        <v>40609.588946759257</v>
      </c>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28</v>
      </c>
      <c r="K365" s="72" t="s">
        <v>1941</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40640</v>
      </c>
      <c r="R365" s="74"/>
      <c r="S365" s="72" t="s">
        <v>6</v>
      </c>
      <c r="T365" s="80" t="s">
        <v>4</v>
      </c>
      <c r="U365" s="72" t="s">
        <v>7</v>
      </c>
      <c r="V365" s="72" t="s">
        <v>1932</v>
      </c>
      <c r="W365" s="72" t="s">
        <v>1934</v>
      </c>
      <c r="X365" s="72" t="s">
        <v>2910</v>
      </c>
      <c r="Y365" s="72" t="s">
        <v>3027</v>
      </c>
      <c r="Z365" s="72" t="s">
        <v>129</v>
      </c>
      <c r="AA365" s="147" t="s">
        <v>2910</v>
      </c>
    </row>
    <row r="366" spans="1:27" ht="18.600000000000001" customHeight="1">
      <c r="A366" s="140" t="str">
        <f>IF(priority(Main[[#This Row],[Comments]])&lt;&gt;0, priority(Main[[#This Row],[Comments]]),"")</f>
        <v/>
      </c>
      <c r="B366" s="90" t="s">
        <v>1221</v>
      </c>
      <c r="C366" s="72" t="s">
        <v>269</v>
      </c>
      <c r="D366" s="73" t="s">
        <v>270</v>
      </c>
      <c r="E366" s="74"/>
      <c r="F366" s="74"/>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40497</v>
      </c>
      <c r="R366" s="155"/>
      <c r="S366" s="72" t="s">
        <v>11</v>
      </c>
      <c r="T366" s="80" t="s">
        <v>4</v>
      </c>
      <c r="U366" s="72" t="s">
        <v>12</v>
      </c>
      <c r="V366" s="72" t="s">
        <v>1932</v>
      </c>
      <c r="W366" s="72" t="s">
        <v>1934</v>
      </c>
      <c r="X366" s="72" t="s">
        <v>2946</v>
      </c>
      <c r="Y366" s="72" t="s">
        <v>4</v>
      </c>
      <c r="Z366" s="72" t="s">
        <v>4</v>
      </c>
      <c r="AA366" s="147" t="s">
        <v>2946</v>
      </c>
    </row>
    <row r="367" spans="1:27" ht="18.600000000000001" customHeight="1">
      <c r="A367" s="140" t="str">
        <f>IF(priority(Main[[#This Row],[Comments]])&lt;&gt;0, priority(Main[[#This Row],[Comments]]),"")</f>
        <v/>
      </c>
      <c r="B367" s="90" t="s">
        <v>1223</v>
      </c>
      <c r="C367" s="72" t="s">
        <v>272</v>
      </c>
      <c r="D367" s="73" t="s">
        <v>273</v>
      </c>
      <c r="E367" s="74"/>
      <c r="F367" s="74">
        <v>40399</v>
      </c>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129</v>
      </c>
      <c r="J367" s="72" t="s">
        <v>4</v>
      </c>
      <c r="K367" s="81"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v>40344</v>
      </c>
      <c r="R367" s="74"/>
      <c r="S367" s="72" t="s">
        <v>11</v>
      </c>
      <c r="T367" s="80" t="s">
        <v>4</v>
      </c>
      <c r="U367" s="72" t="s">
        <v>14</v>
      </c>
      <c r="V367" s="72" t="s">
        <v>1932</v>
      </c>
      <c r="W367" s="72" t="s">
        <v>1937</v>
      </c>
      <c r="X367" s="72" t="s">
        <v>2945</v>
      </c>
      <c r="Y367" s="72" t="s">
        <v>4</v>
      </c>
      <c r="Z367" s="72" t="s">
        <v>4</v>
      </c>
      <c r="AA367" s="147" t="s">
        <v>2945</v>
      </c>
    </row>
    <row r="368" spans="1:27" ht="18.600000000000001" customHeight="1">
      <c r="A368" s="140" t="str">
        <f>IF(priority(Main[[#This Row],[Comments]])&lt;&gt;0, priority(Main[[#This Row],[Comments]]),"")</f>
        <v/>
      </c>
      <c r="B368" s="90" t="s">
        <v>1399</v>
      </c>
      <c r="C368" s="72" t="s">
        <v>4</v>
      </c>
      <c r="D368" s="73" t="s">
        <v>2392</v>
      </c>
      <c r="E368" s="74">
        <v>40407.653564814813</v>
      </c>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28</v>
      </c>
      <c r="K368" s="72" t="s">
        <v>4</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c r="R368" s="74"/>
      <c r="S368" s="72" t="s">
        <v>6</v>
      </c>
      <c r="T368" s="80" t="s">
        <v>4</v>
      </c>
      <c r="U368" s="72" t="s">
        <v>7</v>
      </c>
      <c r="V368" s="72" t="s">
        <v>1932</v>
      </c>
      <c r="W368" s="72" t="s">
        <v>1934</v>
      </c>
      <c r="X368" s="72" t="s">
        <v>888</v>
      </c>
      <c r="Y368" s="72" t="s">
        <v>3113</v>
      </c>
      <c r="Z368" s="72" t="s">
        <v>129</v>
      </c>
      <c r="AA368" s="147" t="s">
        <v>3644</v>
      </c>
    </row>
    <row r="369" spans="1:27" ht="18.600000000000001" customHeight="1">
      <c r="A369" s="140" t="str">
        <f>IF(priority(Main[[#This Row],[Comments]])&lt;&gt;0, priority(Main[[#This Row],[Comments]]),"")</f>
        <v/>
      </c>
      <c r="B369" s="90" t="s">
        <v>1224</v>
      </c>
      <c r="C369" s="72" t="s">
        <v>183</v>
      </c>
      <c r="D369" s="73" t="s">
        <v>274</v>
      </c>
      <c r="E369" s="74"/>
      <c r="F369" s="74">
        <v>40389</v>
      </c>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72"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40298</v>
      </c>
      <c r="R369" s="74"/>
      <c r="S369" s="72" t="s">
        <v>11</v>
      </c>
      <c r="T369" s="80" t="s">
        <v>4</v>
      </c>
      <c r="U369" s="72" t="s">
        <v>14</v>
      </c>
      <c r="V369" s="72" t="s">
        <v>1932</v>
      </c>
      <c r="W369" s="72" t="s">
        <v>1938</v>
      </c>
      <c r="X369" s="72" t="s">
        <v>2915</v>
      </c>
      <c r="Y369" s="72" t="s">
        <v>3038</v>
      </c>
      <c r="Z369" s="72" t="s">
        <v>4</v>
      </c>
      <c r="AA369" s="147" t="s">
        <v>2915</v>
      </c>
    </row>
    <row r="370" spans="1:27" ht="18.600000000000001" customHeight="1">
      <c r="A370" s="140" t="str">
        <f>IF(priority(Main[[#This Row],[Comments]])&lt;&gt;0, priority(Main[[#This Row],[Comments]]),"")</f>
        <v/>
      </c>
      <c r="B370" s="90" t="s">
        <v>1226</v>
      </c>
      <c r="C370" s="72" t="s">
        <v>277</v>
      </c>
      <c r="D370" s="73" t="s">
        <v>278</v>
      </c>
      <c r="E370" s="74"/>
      <c r="F370" s="74">
        <v>40262</v>
      </c>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4</v>
      </c>
      <c r="K370" s="72" t="s">
        <v>4</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v>40242</v>
      </c>
      <c r="R370" s="155"/>
      <c r="S370" s="72" t="s">
        <v>11</v>
      </c>
      <c r="T370" s="80" t="s">
        <v>4</v>
      </c>
      <c r="U370" s="72" t="s">
        <v>14</v>
      </c>
      <c r="V370" s="72" t="s">
        <v>1942</v>
      </c>
      <c r="W370" s="72" t="s">
        <v>1936</v>
      </c>
      <c r="X370" s="72" t="s">
        <v>2959</v>
      </c>
      <c r="Y370" s="72" t="s">
        <v>3107</v>
      </c>
      <c r="Z370" s="72" t="s">
        <v>4</v>
      </c>
      <c r="AA370" s="147" t="s">
        <v>2959</v>
      </c>
    </row>
    <row r="371" spans="1:27" ht="18.600000000000001" customHeight="1">
      <c r="A371" s="140" t="str">
        <f>IF(priority(Main[[#This Row],[Comments]])&lt;&gt;0, priority(Main[[#This Row],[Comments]]),"")</f>
        <v/>
      </c>
      <c r="B371" s="90" t="s">
        <v>1227</v>
      </c>
      <c r="C371" s="72" t="s">
        <v>279</v>
      </c>
      <c r="D371" s="73" t="s">
        <v>280</v>
      </c>
      <c r="E371" s="74"/>
      <c r="F371" s="74">
        <v>40186</v>
      </c>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4</v>
      </c>
      <c r="J371" s="72" t="s">
        <v>4</v>
      </c>
      <c r="K371" s="72" t="s">
        <v>4</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v>40196</v>
      </c>
      <c r="R371" s="74"/>
      <c r="S371" s="72" t="s">
        <v>11</v>
      </c>
      <c r="T371" s="80" t="s">
        <v>4</v>
      </c>
      <c r="U371" s="72" t="s">
        <v>14</v>
      </c>
      <c r="V371" s="72" t="s">
        <v>1935</v>
      </c>
      <c r="W371" s="72" t="s">
        <v>1940</v>
      </c>
      <c r="X371" s="72" t="s">
        <v>2933</v>
      </c>
      <c r="Y371" s="72" t="s">
        <v>4</v>
      </c>
      <c r="Z371" s="72" t="s">
        <v>4</v>
      </c>
      <c r="AA371" s="147" t="s">
        <v>2933</v>
      </c>
    </row>
    <row r="372" spans="1:27" ht="18.600000000000001" customHeight="1">
      <c r="A372" s="140" t="str">
        <f>IF(priority(Main[[#This Row],[Comments]])&lt;&gt;0, priority(Main[[#This Row],[Comments]]),"")</f>
        <v/>
      </c>
      <c r="B372" s="90" t="s">
        <v>2249</v>
      </c>
      <c r="C372" s="72" t="s">
        <v>4</v>
      </c>
      <c r="D372" s="73" t="s">
        <v>2250</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v>40837</v>
      </c>
      <c r="R372" s="74"/>
      <c r="S372" s="72" t="s">
        <v>6</v>
      </c>
      <c r="T372" s="80" t="s">
        <v>4</v>
      </c>
      <c r="U372" s="72" t="s">
        <v>14</v>
      </c>
      <c r="V372" s="72" t="s">
        <v>1935</v>
      </c>
      <c r="W372" s="72" t="s">
        <v>4</v>
      </c>
      <c r="X372" s="72" t="s">
        <v>2909</v>
      </c>
      <c r="Y372" s="72" t="s">
        <v>3024</v>
      </c>
      <c r="Z372" s="72" t="s">
        <v>4</v>
      </c>
      <c r="AA372" s="147" t="s">
        <v>2909</v>
      </c>
    </row>
    <row r="373" spans="1:27" ht="18.600000000000001" customHeight="1">
      <c r="A373" s="140" t="str">
        <f>IF(priority(Main[[#This Row],[Comments]])&lt;&gt;0, priority(Main[[#This Row],[Comments]]),"")</f>
        <v/>
      </c>
      <c r="B373" s="90" t="s">
        <v>1419</v>
      </c>
      <c r="C373" s="72" t="s">
        <v>4</v>
      </c>
      <c r="D373" s="73" t="s">
        <v>492</v>
      </c>
      <c r="E373" s="74">
        <v>40704.65116898148</v>
      </c>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c r="R373" s="155"/>
      <c r="S373" s="72" t="s">
        <v>6</v>
      </c>
      <c r="T373" s="80" t="s">
        <v>4</v>
      </c>
      <c r="U373" s="72" t="s">
        <v>29</v>
      </c>
      <c r="V373" s="72" t="s">
        <v>1932</v>
      </c>
      <c r="W373" s="72" t="s">
        <v>1936</v>
      </c>
      <c r="X373" s="72" t="s">
        <v>403</v>
      </c>
      <c r="Y373" s="72" t="s">
        <v>4</v>
      </c>
      <c r="Z373" s="72" t="s">
        <v>4</v>
      </c>
      <c r="AA373" s="147" t="s">
        <v>3620</v>
      </c>
    </row>
    <row r="374" spans="1:27" ht="18.600000000000001" customHeight="1">
      <c r="A374" s="140" t="str">
        <f>IF(priority(Main[[#This Row],[Comments]])&lt;&gt;0, priority(Main[[#This Row],[Comments]]),"")</f>
        <v/>
      </c>
      <c r="B374" s="90" t="s">
        <v>1228</v>
      </c>
      <c r="C374" s="72" t="s">
        <v>4</v>
      </c>
      <c r="D374" s="73" t="s">
        <v>285</v>
      </c>
      <c r="E374" s="74">
        <v>40297.413148148145</v>
      </c>
      <c r="F374" s="74"/>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40319</v>
      </c>
      <c r="R374" s="155"/>
      <c r="S374" s="72" t="s">
        <v>17</v>
      </c>
      <c r="T374" s="80" t="s">
        <v>4</v>
      </c>
      <c r="U374" s="72" t="s">
        <v>29</v>
      </c>
      <c r="V374" s="72" t="s">
        <v>1933</v>
      </c>
      <c r="W374" s="72" t="s">
        <v>1936</v>
      </c>
      <c r="X374" s="72" t="s">
        <v>2953</v>
      </c>
      <c r="Y374" s="72" t="s">
        <v>4</v>
      </c>
      <c r="Z374" s="72" t="s">
        <v>4</v>
      </c>
      <c r="AA374" s="147" t="s">
        <v>2926</v>
      </c>
    </row>
    <row r="375" spans="1:27" ht="18.600000000000001" customHeight="1">
      <c r="A375" s="140" t="str">
        <f>IF(priority(Main[[#This Row],[Comments]])&lt;&gt;0, priority(Main[[#This Row],[Comments]]),"")</f>
        <v/>
      </c>
      <c r="B375" s="90" t="s">
        <v>1229</v>
      </c>
      <c r="C375" s="72" t="s">
        <v>286</v>
      </c>
      <c r="D375" s="73" t="s">
        <v>287</v>
      </c>
      <c r="E375" s="74"/>
      <c r="F375" s="74">
        <v>40391</v>
      </c>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4</v>
      </c>
      <c r="K375" s="81"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40314</v>
      </c>
      <c r="R375" s="74"/>
      <c r="S375" s="72" t="s">
        <v>11</v>
      </c>
      <c r="T375" s="80" t="s">
        <v>4</v>
      </c>
      <c r="U375" s="72" t="s">
        <v>14</v>
      </c>
      <c r="V375" s="72" t="s">
        <v>1935</v>
      </c>
      <c r="W375" s="72" t="s">
        <v>1938</v>
      </c>
      <c r="X375" s="72" t="s">
        <v>2949</v>
      </c>
      <c r="Y375" s="72" t="s">
        <v>4</v>
      </c>
      <c r="Z375" s="72" t="s">
        <v>4</v>
      </c>
      <c r="AA375" s="147" t="s">
        <v>2949</v>
      </c>
    </row>
    <row r="376" spans="1:27" ht="18.600000000000001" customHeight="1">
      <c r="A376" s="140" t="str">
        <f>IF(priority(Main[[#This Row],[Comments]])&lt;&gt;0, priority(Main[[#This Row],[Comments]]),"")</f>
        <v/>
      </c>
      <c r="B376" s="90" t="s">
        <v>1230</v>
      </c>
      <c r="C376" s="72" t="s">
        <v>288</v>
      </c>
      <c r="D376" s="73" t="s">
        <v>289</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4</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40147</v>
      </c>
      <c r="R376" s="74"/>
      <c r="S376" s="72" t="s">
        <v>11</v>
      </c>
      <c r="T376" s="80" t="s">
        <v>4</v>
      </c>
      <c r="U376" s="72" t="s">
        <v>14</v>
      </c>
      <c r="V376" s="72" t="s">
        <v>1942</v>
      </c>
      <c r="W376" s="72" t="s">
        <v>1940</v>
      </c>
      <c r="X376" s="72" t="s">
        <v>2908</v>
      </c>
      <c r="Y376" s="72" t="s">
        <v>4</v>
      </c>
      <c r="Z376" s="72" t="s">
        <v>4</v>
      </c>
      <c r="AA376" s="147" t="s">
        <v>2908</v>
      </c>
    </row>
    <row r="377" spans="1:27" ht="18.600000000000001" customHeight="1">
      <c r="A377" s="140" t="str">
        <f>IF(priority(Main[[#This Row],[Comments]])&lt;&gt;0, priority(Main[[#This Row],[Comments]]),"")</f>
        <v/>
      </c>
      <c r="B377" s="90" t="s">
        <v>2098</v>
      </c>
      <c r="C377" s="72" t="s">
        <v>4</v>
      </c>
      <c r="D377" s="73" t="s">
        <v>2088</v>
      </c>
      <c r="E377" s="74"/>
      <c r="F377" s="74"/>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v>40798</v>
      </c>
      <c r="R377" s="155"/>
      <c r="S377" s="72" t="s">
        <v>6</v>
      </c>
      <c r="T377" s="80" t="s">
        <v>4</v>
      </c>
      <c r="U377" s="72" t="s">
        <v>12</v>
      </c>
      <c r="V377" s="72" t="s">
        <v>1935</v>
      </c>
      <c r="W377" s="72" t="s">
        <v>4</v>
      </c>
      <c r="X377" s="72" t="s">
        <v>2910</v>
      </c>
      <c r="Y377" s="72" t="s">
        <v>3027</v>
      </c>
      <c r="Z377" s="72" t="s">
        <v>4</v>
      </c>
      <c r="AA377" s="147" t="s">
        <v>2910</v>
      </c>
    </row>
    <row r="378" spans="1:27" ht="18.600000000000001" customHeight="1">
      <c r="A378" s="140" t="str">
        <f>IF(priority(Main[[#This Row],[Comments]])&lt;&gt;0, priority(Main[[#This Row],[Comments]]),"")</f>
        <v/>
      </c>
      <c r="B378" s="90" t="s">
        <v>1231</v>
      </c>
      <c r="C378" s="72" t="s">
        <v>290</v>
      </c>
      <c r="D378" s="73" t="s">
        <v>291</v>
      </c>
      <c r="E378" s="74"/>
      <c r="F378" s="74">
        <v>40421</v>
      </c>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81"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40360</v>
      </c>
      <c r="R378" s="74"/>
      <c r="S378" s="72" t="s">
        <v>11</v>
      </c>
      <c r="T378" s="80" t="s">
        <v>4</v>
      </c>
      <c r="U378" s="72" t="s">
        <v>12</v>
      </c>
      <c r="V378" s="72" t="s">
        <v>1933</v>
      </c>
      <c r="W378" s="72" t="s">
        <v>1937</v>
      </c>
      <c r="X378" s="72" t="s">
        <v>2965</v>
      </c>
      <c r="Y378" s="72" t="s">
        <v>3114</v>
      </c>
      <c r="Z378" s="72" t="s">
        <v>4</v>
      </c>
      <c r="AA378" s="147" t="s">
        <v>2965</v>
      </c>
    </row>
    <row r="379" spans="1:27" ht="18.600000000000001" customHeight="1">
      <c r="A379" s="140" t="str">
        <f>IF(priority(Main[[#This Row],[Comments]])&lt;&gt;0, priority(Main[[#This Row],[Comments]]),"")</f>
        <v/>
      </c>
      <c r="B379" s="90" t="s">
        <v>1439</v>
      </c>
      <c r="C379" s="72" t="s">
        <v>4</v>
      </c>
      <c r="D379" s="73" t="s">
        <v>1971</v>
      </c>
      <c r="E379" s="74"/>
      <c r="F379" s="74"/>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72" t="s">
        <v>4</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c r="R379" s="74"/>
      <c r="S379" s="72" t="s">
        <v>6</v>
      </c>
      <c r="T379" s="80" t="s">
        <v>4</v>
      </c>
      <c r="U379" s="72" t="s">
        <v>14</v>
      </c>
      <c r="V379" s="72" t="s">
        <v>1933</v>
      </c>
      <c r="W379" s="72" t="s">
        <v>1934</v>
      </c>
      <c r="X379" s="72" t="s">
        <v>933</v>
      </c>
      <c r="Y379" s="72" t="s">
        <v>3115</v>
      </c>
      <c r="Z379" s="72" t="s">
        <v>4</v>
      </c>
      <c r="AA379" s="147" t="s">
        <v>3645</v>
      </c>
    </row>
    <row r="380" spans="1:27" ht="18.600000000000001" customHeight="1">
      <c r="A380" s="140" t="str">
        <f>IF(priority(Main[[#This Row],[Comments]])&lt;&gt;0, priority(Main[[#This Row],[Comments]]),"")</f>
        <v/>
      </c>
      <c r="B380" s="90" t="s">
        <v>1143</v>
      </c>
      <c r="C380" s="72" t="s">
        <v>4</v>
      </c>
      <c r="D380" s="73" t="s">
        <v>2393</v>
      </c>
      <c r="E380" s="74">
        <v>40574.415509259263</v>
      </c>
      <c r="F380" s="74">
        <v>40613</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923</v>
      </c>
      <c r="J380" s="72" t="s">
        <v>52</v>
      </c>
      <c r="K380" s="72" t="s">
        <v>1941</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40613</v>
      </c>
      <c r="R380" s="155"/>
      <c r="S380" s="72" t="s">
        <v>6</v>
      </c>
      <c r="T380" s="80" t="s">
        <v>4</v>
      </c>
      <c r="U380" s="72" t="s">
        <v>29</v>
      </c>
      <c r="V380" s="72" t="s">
        <v>1932</v>
      </c>
      <c r="W380" s="72" t="s">
        <v>1934</v>
      </c>
      <c r="X380" s="72" t="s">
        <v>2909</v>
      </c>
      <c r="Y380" s="72" t="s">
        <v>3024</v>
      </c>
      <c r="Z380" s="72" t="s">
        <v>129</v>
      </c>
      <c r="AA380" s="147" t="s">
        <v>2909</v>
      </c>
    </row>
    <row r="381" spans="1:27" ht="18.600000000000001" customHeight="1">
      <c r="A381" s="140" t="str">
        <f>IF(priority(Main[[#This Row],[Comments]])&lt;&gt;0, priority(Main[[#This Row],[Comments]]),"")</f>
        <v/>
      </c>
      <c r="B381" s="90" t="s">
        <v>1242</v>
      </c>
      <c r="C381" s="72" t="s">
        <v>4</v>
      </c>
      <c r="D381" s="73" t="s">
        <v>293</v>
      </c>
      <c r="E381" s="74">
        <v>40379.350532407407</v>
      </c>
      <c r="F381" s="74"/>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28</v>
      </c>
      <c r="K381" s="81"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40413</v>
      </c>
      <c r="R381" s="74"/>
      <c r="S381" s="72" t="s">
        <v>6</v>
      </c>
      <c r="T381" s="80" t="s">
        <v>4</v>
      </c>
      <c r="U381" s="72" t="s">
        <v>7</v>
      </c>
      <c r="V381" s="72" t="s">
        <v>1932</v>
      </c>
      <c r="W381" s="72" t="s">
        <v>1934</v>
      </c>
      <c r="X381" s="72" t="s">
        <v>2909</v>
      </c>
      <c r="Y381" s="72" t="s">
        <v>3024</v>
      </c>
      <c r="Z381" s="72" t="s">
        <v>129</v>
      </c>
      <c r="AA381" s="147" t="s">
        <v>2909</v>
      </c>
    </row>
    <row r="382" spans="1:27" ht="18.600000000000001" customHeight="1">
      <c r="A382" s="140" t="str">
        <f>IF(priority(Main[[#This Row],[Comments]])&lt;&gt;0, priority(Main[[#This Row],[Comments]]),"")</f>
        <v/>
      </c>
      <c r="B382" s="90" t="s">
        <v>1243</v>
      </c>
      <c r="C382" s="72" t="s">
        <v>294</v>
      </c>
      <c r="D382" s="73" t="s">
        <v>295</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4</v>
      </c>
      <c r="K382" s="72" t="s">
        <v>4</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40052</v>
      </c>
      <c r="R382" s="74"/>
      <c r="S382" s="72" t="s">
        <v>11</v>
      </c>
      <c r="T382" s="80" t="s">
        <v>4</v>
      </c>
      <c r="U382" s="72" t="s">
        <v>14</v>
      </c>
      <c r="V382" s="72" t="s">
        <v>1935</v>
      </c>
      <c r="W382" s="72" t="s">
        <v>1934</v>
      </c>
      <c r="X382" s="72" t="s">
        <v>2925</v>
      </c>
      <c r="Y382" s="72" t="s">
        <v>4</v>
      </c>
      <c r="Z382" s="72" t="s">
        <v>4</v>
      </c>
      <c r="AA382" s="147" t="s">
        <v>2925</v>
      </c>
    </row>
    <row r="383" spans="1:27" ht="18.600000000000001" customHeight="1">
      <c r="A383" s="140" t="str">
        <f>IF(priority(Main[[#This Row],[Comments]])&lt;&gt;0, priority(Main[[#This Row],[Comments]]),"")</f>
        <v/>
      </c>
      <c r="B383" s="90" t="s">
        <v>2763</v>
      </c>
      <c r="C383" s="72" t="s">
        <v>2764</v>
      </c>
      <c r="D383" s="73" t="s">
        <v>2765</v>
      </c>
      <c r="E383" s="74"/>
      <c r="F383" s="74">
        <v>40900</v>
      </c>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4</v>
      </c>
      <c r="K383" s="81"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40899</v>
      </c>
      <c r="R383" s="155"/>
      <c r="S383" s="72" t="s">
        <v>11</v>
      </c>
      <c r="T383" s="80" t="s">
        <v>4</v>
      </c>
      <c r="U383" s="72" t="s">
        <v>14</v>
      </c>
      <c r="V383" s="72" t="s">
        <v>1935</v>
      </c>
      <c r="W383" s="72" t="s">
        <v>1938</v>
      </c>
      <c r="X383" s="72" t="s">
        <v>2961</v>
      </c>
      <c r="Y383" s="72" t="s">
        <v>3111</v>
      </c>
      <c r="Z383" s="72" t="s">
        <v>4</v>
      </c>
      <c r="AA383" s="147" t="s">
        <v>2961</v>
      </c>
    </row>
    <row r="384" spans="1:27" ht="18.600000000000001" customHeight="1">
      <c r="A384" s="140" t="str">
        <f>IF(priority(Main[[#This Row],[Comments]])&lt;&gt;0, priority(Main[[#This Row],[Comments]]),"")</f>
        <v/>
      </c>
      <c r="B384" s="90" t="s">
        <v>3528</v>
      </c>
      <c r="C384" s="72" t="s">
        <v>4</v>
      </c>
      <c r="D384" s="73" t="s">
        <v>3529</v>
      </c>
      <c r="E384" s="74">
        <v>40939.635509259257</v>
      </c>
      <c r="F384" s="74"/>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4</v>
      </c>
      <c r="J384" s="72" t="s">
        <v>4</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c r="R384" s="74"/>
      <c r="S384" s="72" t="s">
        <v>6</v>
      </c>
      <c r="T384" s="80" t="s">
        <v>4</v>
      </c>
      <c r="U384" s="72" t="s">
        <v>7</v>
      </c>
      <c r="V384" s="72" t="s">
        <v>1947</v>
      </c>
      <c r="W384" s="72" t="s">
        <v>1936</v>
      </c>
      <c r="X384" s="72" t="s">
        <v>310</v>
      </c>
      <c r="Y384" s="72" t="s">
        <v>4</v>
      </c>
      <c r="Z384" s="72" t="s">
        <v>4</v>
      </c>
      <c r="AA384" s="147" t="s">
        <v>4</v>
      </c>
    </row>
    <row r="385" spans="1:27" ht="18.600000000000001" customHeight="1">
      <c r="A385" s="140" t="str">
        <f>IF(priority(Main[[#This Row],[Comments]])&lt;&gt;0, priority(Main[[#This Row],[Comments]]),"")</f>
        <v/>
      </c>
      <c r="B385" s="90" t="s">
        <v>2395</v>
      </c>
      <c r="C385" s="72" t="s">
        <v>4</v>
      </c>
      <c r="D385" s="73" t="s">
        <v>2396</v>
      </c>
      <c r="E385" s="74"/>
      <c r="F385" s="74"/>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72"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c r="R385" s="74"/>
      <c r="S385" s="72" t="s">
        <v>11</v>
      </c>
      <c r="T385" s="80" t="s">
        <v>4</v>
      </c>
      <c r="U385" s="72" t="s">
        <v>14</v>
      </c>
      <c r="V385" s="72" t="s">
        <v>1933</v>
      </c>
      <c r="W385" s="72" t="s">
        <v>4</v>
      </c>
      <c r="X385" s="72" t="s">
        <v>2278</v>
      </c>
      <c r="Y385" s="72" t="s">
        <v>4</v>
      </c>
      <c r="Z385" s="72" t="s">
        <v>4</v>
      </c>
      <c r="AA385" s="147" t="s">
        <v>4</v>
      </c>
    </row>
    <row r="386" spans="1:27" ht="18.600000000000001" customHeight="1">
      <c r="A386" s="140" t="str">
        <f>IF(priority(Main[[#This Row],[Comments]])&lt;&gt;0, priority(Main[[#This Row],[Comments]]),"")</f>
        <v/>
      </c>
      <c r="B386" s="90" t="s">
        <v>3530</v>
      </c>
      <c r="C386" s="72" t="s">
        <v>4</v>
      </c>
      <c r="D386" s="73" t="s">
        <v>3531</v>
      </c>
      <c r="E386" s="74">
        <v>40938.460057870368</v>
      </c>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c r="R386" s="74"/>
      <c r="S386" s="72" t="s">
        <v>6</v>
      </c>
      <c r="T386" s="80" t="s">
        <v>4</v>
      </c>
      <c r="U386" s="72" t="s">
        <v>7</v>
      </c>
      <c r="V386" s="72" t="s">
        <v>1947</v>
      </c>
      <c r="W386" s="72" t="s">
        <v>1936</v>
      </c>
      <c r="X386" s="72" t="s">
        <v>933</v>
      </c>
      <c r="Y386" s="72" t="s">
        <v>3077</v>
      </c>
      <c r="Z386" s="72" t="s">
        <v>4</v>
      </c>
      <c r="AA386" s="147" t="s">
        <v>933</v>
      </c>
    </row>
    <row r="387" spans="1:27" ht="18.600000000000001" customHeight="1">
      <c r="A387" s="140" t="str">
        <f>IF(priority(Main[[#This Row],[Comments]])&lt;&gt;0, priority(Main[[#This Row],[Comments]]),"")</f>
        <v/>
      </c>
      <c r="B387" s="90" t="s">
        <v>1854</v>
      </c>
      <c r="C387" s="72" t="s">
        <v>902</v>
      </c>
      <c r="D387" s="73" t="s">
        <v>903</v>
      </c>
      <c r="E387" s="74"/>
      <c r="F387" s="74"/>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1945</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40436</v>
      </c>
      <c r="R387" s="155">
        <v>40436</v>
      </c>
      <c r="S387" s="72" t="s">
        <v>11</v>
      </c>
      <c r="T387" s="80" t="s">
        <v>4</v>
      </c>
      <c r="U387" s="72" t="s">
        <v>14</v>
      </c>
      <c r="V387" s="72" t="s">
        <v>1933</v>
      </c>
      <c r="W387" s="72" t="s">
        <v>1934</v>
      </c>
      <c r="X387" s="72" t="s">
        <v>2945</v>
      </c>
      <c r="Y387" s="72" t="s">
        <v>4</v>
      </c>
      <c r="Z387" s="72" t="s">
        <v>4</v>
      </c>
      <c r="AA387" s="147" t="s">
        <v>2945</v>
      </c>
    </row>
    <row r="388" spans="1:27" ht="18.600000000000001" customHeight="1">
      <c r="A388" s="140" t="str">
        <f>IF(priority(Main[[#This Row],[Comments]])&lt;&gt;0, priority(Main[[#This Row],[Comments]]),"")</f>
        <v/>
      </c>
      <c r="B388" s="90" t="s">
        <v>1244</v>
      </c>
      <c r="C388" s="72" t="s">
        <v>113</v>
      </c>
      <c r="D388" s="73" t="s">
        <v>296</v>
      </c>
      <c r="E388" s="74"/>
      <c r="F388" s="74">
        <v>40193</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c r="R388" s="74"/>
      <c r="S388" s="72" t="s">
        <v>11</v>
      </c>
      <c r="T388" s="80" t="s">
        <v>4</v>
      </c>
      <c r="U388" s="72" t="s">
        <v>14</v>
      </c>
      <c r="V388" s="72" t="s">
        <v>1942</v>
      </c>
      <c r="W388" s="72" t="s">
        <v>1938</v>
      </c>
      <c r="X388" s="72" t="s">
        <v>2935</v>
      </c>
      <c r="Y388" s="72" t="s">
        <v>3072</v>
      </c>
      <c r="Z388" s="72" t="s">
        <v>4</v>
      </c>
      <c r="AA388" s="147" t="s">
        <v>2935</v>
      </c>
    </row>
    <row r="389" spans="1:27" ht="18.600000000000001" customHeight="1">
      <c r="A389" s="140" t="str">
        <f>IF(priority(Main[[#This Row],[Comments]])&lt;&gt;0, priority(Main[[#This Row],[Comments]]),"")</f>
        <v/>
      </c>
      <c r="B389" s="90" t="s">
        <v>1245</v>
      </c>
      <c r="C389" s="72" t="s">
        <v>4</v>
      </c>
      <c r="D389" s="73" t="s">
        <v>297</v>
      </c>
      <c r="E389" s="74"/>
      <c r="F389" s="74"/>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28</v>
      </c>
      <c r="K389" s="72"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40471</v>
      </c>
      <c r="R389" s="74"/>
      <c r="S389" s="72" t="s">
        <v>6</v>
      </c>
      <c r="T389" s="80" t="s">
        <v>4</v>
      </c>
      <c r="U389" s="72" t="s">
        <v>14</v>
      </c>
      <c r="V389" s="72" t="s">
        <v>1942</v>
      </c>
      <c r="W389" s="72" t="s">
        <v>1934</v>
      </c>
      <c r="X389" s="72" t="s">
        <v>2938</v>
      </c>
      <c r="Y389" s="72" t="s">
        <v>3073</v>
      </c>
      <c r="Z389" s="72" t="s">
        <v>535</v>
      </c>
      <c r="AA389" s="147" t="s">
        <v>2938</v>
      </c>
    </row>
    <row r="390" spans="1:27" ht="18.600000000000001" customHeight="1">
      <c r="A390" s="140" t="str">
        <f>IF(priority(Main[[#This Row],[Comments]])&lt;&gt;0, priority(Main[[#This Row],[Comments]]),"")</f>
        <v/>
      </c>
      <c r="B390" s="90" t="s">
        <v>1246</v>
      </c>
      <c r="C390" s="72" t="s">
        <v>4</v>
      </c>
      <c r="D390" s="73" t="s">
        <v>97</v>
      </c>
      <c r="E390" s="74"/>
      <c r="F390" s="74"/>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81"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40858</v>
      </c>
      <c r="R390" s="74"/>
      <c r="S390" s="72" t="s">
        <v>17</v>
      </c>
      <c r="T390" s="80" t="s">
        <v>4</v>
      </c>
      <c r="U390" s="72" t="s">
        <v>14</v>
      </c>
      <c r="V390" s="72" t="s">
        <v>1932</v>
      </c>
      <c r="W390" s="72" t="s">
        <v>1937</v>
      </c>
      <c r="X390" s="72" t="s">
        <v>50</v>
      </c>
      <c r="Y390" s="72" t="s">
        <v>3054</v>
      </c>
      <c r="Z390" s="72" t="s">
        <v>4</v>
      </c>
      <c r="AA390" s="147" t="s">
        <v>2919</v>
      </c>
    </row>
    <row r="391" spans="1:27" ht="18.600000000000001" customHeight="1">
      <c r="A391" s="140" t="str">
        <f>IF(priority(Main[[#This Row],[Comments]])&lt;&gt;0, priority(Main[[#This Row],[Comments]]),"")</f>
        <v/>
      </c>
      <c r="B391" s="90" t="s">
        <v>1248</v>
      </c>
      <c r="C391" s="72" t="s">
        <v>4</v>
      </c>
      <c r="D391" s="73" t="s">
        <v>299</v>
      </c>
      <c r="E391" s="74"/>
      <c r="F391" s="74"/>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28</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40471</v>
      </c>
      <c r="R391" s="74"/>
      <c r="S391" s="72" t="s">
        <v>300</v>
      </c>
      <c r="T391" s="80" t="s">
        <v>4</v>
      </c>
      <c r="U391" s="72" t="s">
        <v>14</v>
      </c>
      <c r="V391" s="72" t="s">
        <v>1942</v>
      </c>
      <c r="W391" s="72" t="s">
        <v>1934</v>
      </c>
      <c r="X391" s="72" t="s">
        <v>2938</v>
      </c>
      <c r="Y391" s="72" t="s">
        <v>3073</v>
      </c>
      <c r="Z391" s="72" t="s">
        <v>535</v>
      </c>
      <c r="AA391" s="147" t="s">
        <v>2938</v>
      </c>
    </row>
    <row r="392" spans="1:27" ht="18.600000000000001" customHeight="1">
      <c r="A392" s="140" t="str">
        <f>IF(priority(Main[[#This Row],[Comments]])&lt;&gt;0, priority(Main[[#This Row],[Comments]]),"")</f>
        <v/>
      </c>
      <c r="B392" s="90" t="s">
        <v>1249</v>
      </c>
      <c r="C392" s="72" t="s">
        <v>93</v>
      </c>
      <c r="D392" s="73" t="s">
        <v>301</v>
      </c>
      <c r="E392" s="74"/>
      <c r="F392" s="74">
        <v>40210</v>
      </c>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4</v>
      </c>
      <c r="J392" s="72" t="s">
        <v>4</v>
      </c>
      <c r="K392" s="72" t="s">
        <v>4</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40145</v>
      </c>
      <c r="R392" s="74"/>
      <c r="S392" s="72" t="s">
        <v>11</v>
      </c>
      <c r="T392" s="80" t="s">
        <v>4</v>
      </c>
      <c r="U392" s="72" t="s">
        <v>14</v>
      </c>
      <c r="V392" s="72" t="s">
        <v>1932</v>
      </c>
      <c r="W392" s="72" t="s">
        <v>1938</v>
      </c>
      <c r="X392" s="72" t="s">
        <v>2962</v>
      </c>
      <c r="Y392" s="72" t="s">
        <v>4</v>
      </c>
      <c r="Z392" s="72" t="s">
        <v>4</v>
      </c>
      <c r="AA392" s="147" t="s">
        <v>2962</v>
      </c>
    </row>
    <row r="393" spans="1:27" ht="18.600000000000001" customHeight="1">
      <c r="A393" s="140" t="str">
        <f>IF(priority(Main[[#This Row],[Comments]])&lt;&gt;0, priority(Main[[#This Row],[Comments]]),"")</f>
        <v/>
      </c>
      <c r="B393" s="90" t="s">
        <v>1250</v>
      </c>
      <c r="C393" s="72" t="s">
        <v>63</v>
      </c>
      <c r="D393" s="73" t="s">
        <v>302</v>
      </c>
      <c r="E393" s="74"/>
      <c r="F393" s="74">
        <v>40513</v>
      </c>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65</v>
      </c>
      <c r="J393" s="72" t="s">
        <v>28</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40513</v>
      </c>
      <c r="R393" s="74"/>
      <c r="S393" s="72" t="s">
        <v>11</v>
      </c>
      <c r="T393" s="80" t="s">
        <v>4</v>
      </c>
      <c r="U393" s="72" t="s">
        <v>14</v>
      </c>
      <c r="V393" s="72" t="s">
        <v>1935</v>
      </c>
      <c r="W393" s="72" t="s">
        <v>1940</v>
      </c>
      <c r="X393" s="72" t="s">
        <v>2905</v>
      </c>
      <c r="Y393" s="72" t="s">
        <v>3021</v>
      </c>
      <c r="Z393" s="72" t="s">
        <v>535</v>
      </c>
      <c r="AA393" s="147" t="s">
        <v>2905</v>
      </c>
    </row>
    <row r="394" spans="1:27" ht="18.600000000000001" customHeight="1">
      <c r="A394" s="140" t="str">
        <f>IF(priority(Main[[#This Row],[Comments]])&lt;&gt;0, priority(Main[[#This Row],[Comments]]),"")</f>
        <v/>
      </c>
      <c r="B394" s="90" t="s">
        <v>1251</v>
      </c>
      <c r="C394" s="72" t="s">
        <v>4</v>
      </c>
      <c r="D394" s="73" t="s">
        <v>304</v>
      </c>
      <c r="E394" s="74"/>
      <c r="F394" s="74"/>
      <c r="G394" s="75" t="str">
        <f>IF(stdProdLT(Main[[#This Row],[Comments]])=0.1,"N/A",IF(stdProdLT(Main[[#This Row],[Comments]])=0,"",stdProdLT(Main[[#This Row],[Comments]])))</f>
        <v/>
      </c>
      <c r="H394" s="76" t="str">
        <f>IF(AND(Main[[#This Row],[In Stock Date]]&lt;&gt;"",Main[[#This Row],[Revised Due Date]]&lt;&gt;""),Main[[#This Row],[In Stock Date]]-Main[[#This Row],[Revised Due Date]],"")</f>
        <v/>
      </c>
      <c r="I394" s="72" t="s">
        <v>4</v>
      </c>
      <c r="J394" s="72" t="s">
        <v>28</v>
      </c>
      <c r="K394" s="72" t="s">
        <v>1941</v>
      </c>
      <c r="L394" s="74"/>
      <c r="M394" s="77" t="str">
        <f>IF(Main[[#This Row],[Tech Start Date]]&lt;1/1/1990,"",IF(Main[[#This Row],[Class]]="C",WORKDAY(Main[[#This Row],[Tech Start Date]],9),IF(Main[[#This Row],[Class]]="B", WORKDAY(Main[[#This Row],[Tech Start Date]],6),IF(Main[[#This Row],[Class]]="A",WORKDAY(Main[[#This Row],[Tech Start Date]],2),""))))</f>
        <v/>
      </c>
      <c r="N394" s="77" t="str">
        <f>IF(Main[[#This Row],[Tech Start Date]]&lt;1/1/1990,"",IF(Main[[#This Row],[Class]]="C",WORKDAY(Main[[#This Row],[Tech Start Date]],19),IF(Main[[#This Row],[Class]]="B", WORKDAY(Main[[#This Row],[Tech Start Date]],12),IF(Main[[#This Row],[Class]]="A",WORKDAY(Main[[#This Row],[Tech Start Date]],4),""))))</f>
        <v/>
      </c>
      <c r="O394" s="77" t="str">
        <f>IF(Main[[#This Row],[Tech Start Date]]&lt;1/1/1990,"",IF(Main[[#This Row],[Class]]="C",WORKDAY(Main[[#This Row],[Tech Start Date]],23),IF(Main[[#This Row],[Class]]="B", WORKDAY(Main[[#This Row],[Tech Start Date]],15),IF(Main[[#This Row],[Class]]="A",WORKDAY(Main[[#This Row],[Tech Start Date]],5),""))))</f>
        <v/>
      </c>
      <c r="P394" s="77" t="str">
        <f>IF(Main[[#This Row],[Tech Start Date]]&lt;1/1/1990,"",IF(Main[[#This Row],[Class]]="C",WORKDAY(Main[[#This Row],[Tech Start Date]],28),IF(Main[[#This Row],[Class]]="B", WORKDAY(Main[[#This Row],[Tech Start Date]],19),IF(Main[[#This Row],[Class]]="A",WORKDAY(Main[[#This Row],[Tech Start Date]],9),""))))</f>
        <v/>
      </c>
      <c r="Q394" s="74">
        <v>40661</v>
      </c>
      <c r="R394" s="74"/>
      <c r="S394" s="72" t="s">
        <v>6</v>
      </c>
      <c r="T394" s="80" t="s">
        <v>4</v>
      </c>
      <c r="U394" s="72" t="s">
        <v>14</v>
      </c>
      <c r="V394" s="72" t="s">
        <v>1935</v>
      </c>
      <c r="W394" s="72" t="s">
        <v>1936</v>
      </c>
      <c r="X394" s="72" t="s">
        <v>2913</v>
      </c>
      <c r="Y394" s="72" t="s">
        <v>3033</v>
      </c>
      <c r="Z394" s="72" t="s">
        <v>535</v>
      </c>
      <c r="AA394" s="147" t="s">
        <v>2913</v>
      </c>
    </row>
    <row r="395" spans="1:27" ht="18.600000000000001" customHeight="1">
      <c r="A395" s="140" t="str">
        <f>IF(priority(Main[[#This Row],[Comments]])&lt;&gt;0, priority(Main[[#This Row],[Comments]]),"")</f>
        <v/>
      </c>
      <c r="B395" s="90" t="s">
        <v>1252</v>
      </c>
      <c r="C395" s="72" t="s">
        <v>4</v>
      </c>
      <c r="D395" s="73" t="s">
        <v>305</v>
      </c>
      <c r="E395" s="74"/>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v>40287</v>
      </c>
      <c r="R395" s="74"/>
      <c r="S395" s="72" t="s">
        <v>11</v>
      </c>
      <c r="T395" s="80" t="s">
        <v>4</v>
      </c>
      <c r="U395" s="72" t="s">
        <v>14</v>
      </c>
      <c r="V395" s="72" t="s">
        <v>1932</v>
      </c>
      <c r="W395" s="72" t="s">
        <v>1938</v>
      </c>
      <c r="X395" s="72" t="s">
        <v>894</v>
      </c>
      <c r="Y395" s="72" t="s">
        <v>3058</v>
      </c>
      <c r="Z395" s="72" t="s">
        <v>4</v>
      </c>
      <c r="AA395" s="147" t="s">
        <v>894</v>
      </c>
    </row>
    <row r="396" spans="1:27" ht="18.600000000000001" customHeight="1">
      <c r="A396" s="140" t="str">
        <f>IF(priority(Main[[#This Row],[Comments]])&lt;&gt;0, priority(Main[[#This Row],[Comments]]),"")</f>
        <v/>
      </c>
      <c r="B396" s="90" t="s">
        <v>1253</v>
      </c>
      <c r="C396" s="72" t="s">
        <v>93</v>
      </c>
      <c r="D396" s="73" t="s">
        <v>306</v>
      </c>
      <c r="E396" s="74"/>
      <c r="F396" s="74">
        <v>40210</v>
      </c>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v>40210</v>
      </c>
      <c r="R396" s="74"/>
      <c r="S396" s="72" t="s">
        <v>11</v>
      </c>
      <c r="T396" s="80" t="s">
        <v>4</v>
      </c>
      <c r="U396" s="72" t="s">
        <v>12</v>
      </c>
      <c r="V396" s="72" t="s">
        <v>1942</v>
      </c>
      <c r="W396" s="72" t="s">
        <v>1943</v>
      </c>
      <c r="X396" s="72" t="s">
        <v>2936</v>
      </c>
      <c r="Y396" s="72" t="s">
        <v>4</v>
      </c>
      <c r="Z396" s="72" t="s">
        <v>4</v>
      </c>
      <c r="AA396" s="147" t="s">
        <v>2936</v>
      </c>
    </row>
    <row r="397" spans="1:27" ht="18.600000000000001" customHeight="1">
      <c r="A397" s="140" t="str">
        <f>IF(priority(Main[[#This Row],[Comments]])&lt;&gt;0, priority(Main[[#This Row],[Comments]]),"")</f>
        <v/>
      </c>
      <c r="B397" s="90" t="s">
        <v>2766</v>
      </c>
      <c r="C397" s="72" t="s">
        <v>4</v>
      </c>
      <c r="D397" s="73" t="s">
        <v>2767</v>
      </c>
      <c r="E397" s="74">
        <v>40897.76525462963</v>
      </c>
      <c r="F397" s="74"/>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4</v>
      </c>
      <c r="K397" s="72"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v>40907</v>
      </c>
      <c r="R397" s="74"/>
      <c r="S397" s="72" t="s">
        <v>6</v>
      </c>
      <c r="T397" s="80" t="s">
        <v>4</v>
      </c>
      <c r="U397" s="72" t="s">
        <v>7</v>
      </c>
      <c r="V397" s="72" t="s">
        <v>1932</v>
      </c>
      <c r="W397" s="72" t="s">
        <v>4</v>
      </c>
      <c r="X397" s="72" t="s">
        <v>2910</v>
      </c>
      <c r="Y397" s="72" t="s">
        <v>3027</v>
      </c>
      <c r="Z397" s="72" t="s">
        <v>4</v>
      </c>
      <c r="AA397" s="147" t="s">
        <v>2910</v>
      </c>
    </row>
    <row r="398" spans="1:27" ht="18.600000000000001" customHeight="1">
      <c r="A398" s="140" t="str">
        <f>IF(priority(Main[[#This Row],[Comments]])&lt;&gt;0, priority(Main[[#This Row],[Comments]]),"")</f>
        <v/>
      </c>
      <c r="B398" s="90" t="s">
        <v>1254</v>
      </c>
      <c r="C398" s="72" t="s">
        <v>31</v>
      </c>
      <c r="D398" s="73" t="s">
        <v>307</v>
      </c>
      <c r="E398" s="74"/>
      <c r="F398" s="74">
        <v>40269</v>
      </c>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v>40274</v>
      </c>
      <c r="R398" s="74"/>
      <c r="S398" s="72" t="s">
        <v>11</v>
      </c>
      <c r="T398" s="80" t="s">
        <v>4</v>
      </c>
      <c r="U398" s="72" t="s">
        <v>14</v>
      </c>
      <c r="V398" s="72" t="s">
        <v>1932</v>
      </c>
      <c r="W398" s="72" t="s">
        <v>1938</v>
      </c>
      <c r="X398" s="72" t="s">
        <v>2962</v>
      </c>
      <c r="Y398" s="72" t="s">
        <v>4</v>
      </c>
      <c r="Z398" s="72" t="s">
        <v>4</v>
      </c>
      <c r="AA398" s="147" t="s">
        <v>2962</v>
      </c>
    </row>
    <row r="399" spans="1:27" ht="18.600000000000001" customHeight="1">
      <c r="A399" s="140" t="str">
        <f>IF(priority(Main[[#This Row],[Comments]])&lt;&gt;0, priority(Main[[#This Row],[Comments]]),"")</f>
        <v/>
      </c>
      <c r="B399" s="90" t="s">
        <v>1255</v>
      </c>
      <c r="C399" s="72" t="s">
        <v>4</v>
      </c>
      <c r="D399" s="73" t="s">
        <v>308</v>
      </c>
      <c r="E399" s="74"/>
      <c r="F399" s="74">
        <v>40390</v>
      </c>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40329</v>
      </c>
      <c r="R399" s="74"/>
      <c r="S399" s="72" t="s">
        <v>11</v>
      </c>
      <c r="T399" s="80" t="s">
        <v>4</v>
      </c>
      <c r="U399" s="72" t="s">
        <v>12</v>
      </c>
      <c r="V399" s="72" t="s">
        <v>1942</v>
      </c>
      <c r="W399" s="72" t="s">
        <v>1938</v>
      </c>
      <c r="X399" s="72" t="s">
        <v>2963</v>
      </c>
      <c r="Y399" s="72" t="s">
        <v>3091</v>
      </c>
      <c r="Z399" s="72" t="s">
        <v>4</v>
      </c>
      <c r="AA399" s="147" t="s">
        <v>2963</v>
      </c>
    </row>
    <row r="400" spans="1:27" ht="18.600000000000001" customHeight="1">
      <c r="A400" s="140" t="str">
        <f>IF(priority(Main[[#This Row],[Comments]])&lt;&gt;0, priority(Main[[#This Row],[Comments]]),"")</f>
        <v/>
      </c>
      <c r="B400" s="90" t="s">
        <v>1256</v>
      </c>
      <c r="C400" s="72" t="s">
        <v>4</v>
      </c>
      <c r="D400" s="73" t="s">
        <v>309</v>
      </c>
      <c r="E400" s="74"/>
      <c r="F400" s="74">
        <v>40574</v>
      </c>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310</v>
      </c>
      <c r="J400" s="72" t="s">
        <v>75</v>
      </c>
      <c r="K400" s="72" t="s">
        <v>1941</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40574</v>
      </c>
      <c r="R400" s="74"/>
      <c r="S400" s="72" t="s">
        <v>6</v>
      </c>
      <c r="T400" s="80" t="s">
        <v>4</v>
      </c>
      <c r="U400" s="72" t="s">
        <v>14</v>
      </c>
      <c r="V400" s="72" t="s">
        <v>1942</v>
      </c>
      <c r="W400" s="72" t="s">
        <v>1934</v>
      </c>
      <c r="X400" s="72" t="s">
        <v>2909</v>
      </c>
      <c r="Y400" s="72" t="s">
        <v>3024</v>
      </c>
      <c r="Z400" s="72" t="s">
        <v>30</v>
      </c>
      <c r="AA400" s="147" t="s">
        <v>2909</v>
      </c>
    </row>
    <row r="401" spans="1:27" ht="18.600000000000001" customHeight="1">
      <c r="A401" s="140" t="str">
        <f>IF(priority(Main[[#This Row],[Comments]])&lt;&gt;0, priority(Main[[#This Row],[Comments]]),"")</f>
        <v/>
      </c>
      <c r="B401" s="90" t="s">
        <v>1257</v>
      </c>
      <c r="C401" s="72" t="s">
        <v>171</v>
      </c>
      <c r="D401" s="73" t="s">
        <v>311</v>
      </c>
      <c r="E401" s="74"/>
      <c r="F401" s="74">
        <v>40237</v>
      </c>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v>40132</v>
      </c>
      <c r="R401" s="74"/>
      <c r="S401" s="72" t="s">
        <v>11</v>
      </c>
      <c r="T401" s="80" t="s">
        <v>4</v>
      </c>
      <c r="U401" s="72" t="s">
        <v>14</v>
      </c>
      <c r="V401" s="72" t="s">
        <v>1932</v>
      </c>
      <c r="W401" s="72" t="s">
        <v>1937</v>
      </c>
      <c r="X401" s="72" t="s">
        <v>2949</v>
      </c>
      <c r="Y401" s="72" t="s">
        <v>4</v>
      </c>
      <c r="Z401" s="72" t="s">
        <v>4</v>
      </c>
      <c r="AA401" s="147" t="s">
        <v>2949</v>
      </c>
    </row>
    <row r="402" spans="1:27" ht="18.600000000000001" customHeight="1">
      <c r="A402" s="140" t="str">
        <f>IF(priority(Main[[#This Row],[Comments]])&lt;&gt;0, priority(Main[[#This Row],[Comments]]),"")</f>
        <v/>
      </c>
      <c r="B402" s="90" t="s">
        <v>1258</v>
      </c>
      <c r="C402" s="72" t="s">
        <v>4</v>
      </c>
      <c r="D402" s="73" t="s">
        <v>312</v>
      </c>
      <c r="E402" s="74"/>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4</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v>40390</v>
      </c>
      <c r="R402" s="74"/>
      <c r="S402" s="72" t="s">
        <v>6</v>
      </c>
      <c r="T402" s="80" t="s">
        <v>4</v>
      </c>
      <c r="U402" s="72" t="s">
        <v>14</v>
      </c>
      <c r="V402" s="72" t="s">
        <v>1935</v>
      </c>
      <c r="W402" s="72" t="s">
        <v>4</v>
      </c>
      <c r="X402" s="72" t="s">
        <v>2910</v>
      </c>
      <c r="Y402" s="72" t="s">
        <v>3027</v>
      </c>
      <c r="Z402" s="72" t="s">
        <v>4</v>
      </c>
      <c r="AA402" s="147" t="s">
        <v>2910</v>
      </c>
    </row>
    <row r="403" spans="1:27" ht="18.600000000000001" customHeight="1">
      <c r="A403" s="140" t="str">
        <f>IF(priority(Main[[#This Row],[Comments]])&lt;&gt;0, priority(Main[[#This Row],[Comments]]),"")</f>
        <v/>
      </c>
      <c r="B403" s="90" t="s">
        <v>1260</v>
      </c>
      <c r="C403" s="72" t="s">
        <v>314</v>
      </c>
      <c r="D403" s="73" t="s">
        <v>315</v>
      </c>
      <c r="E403" s="74"/>
      <c r="F403" s="74">
        <v>40179</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40174</v>
      </c>
      <c r="R403" s="74"/>
      <c r="S403" s="72" t="s">
        <v>11</v>
      </c>
      <c r="T403" s="80" t="s">
        <v>4</v>
      </c>
      <c r="U403" s="72" t="s">
        <v>12</v>
      </c>
      <c r="V403" s="72" t="s">
        <v>1932</v>
      </c>
      <c r="W403" s="72" t="s">
        <v>1940</v>
      </c>
      <c r="X403" s="72" t="s">
        <v>2964</v>
      </c>
      <c r="Y403" s="72" t="s">
        <v>4</v>
      </c>
      <c r="Z403" s="72" t="s">
        <v>4</v>
      </c>
      <c r="AA403" s="147" t="s">
        <v>2964</v>
      </c>
    </row>
    <row r="404" spans="1:27" ht="18.600000000000001" customHeight="1">
      <c r="A404" s="140" t="str">
        <f>IF(priority(Main[[#This Row],[Comments]])&lt;&gt;0, priority(Main[[#This Row],[Comments]]),"")</f>
        <v/>
      </c>
      <c r="B404" s="90" t="s">
        <v>1261</v>
      </c>
      <c r="C404" s="72" t="s">
        <v>4</v>
      </c>
      <c r="D404" s="73" t="s">
        <v>316</v>
      </c>
      <c r="E404" s="74">
        <v>40701.550486111111</v>
      </c>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c r="R404" s="74"/>
      <c r="S404" s="72" t="s">
        <v>6</v>
      </c>
      <c r="T404" s="80" t="s">
        <v>4</v>
      </c>
      <c r="U404" s="72" t="s">
        <v>7</v>
      </c>
      <c r="V404" s="72" t="s">
        <v>1932</v>
      </c>
      <c r="W404" s="72" t="s">
        <v>4</v>
      </c>
      <c r="X404" s="72" t="s">
        <v>918</v>
      </c>
      <c r="Y404" s="72" t="s">
        <v>3112</v>
      </c>
      <c r="Z404" s="72" t="s">
        <v>4</v>
      </c>
      <c r="AA404" s="147" t="s">
        <v>918</v>
      </c>
    </row>
    <row r="405" spans="1:27" ht="18.600000000000001" customHeight="1">
      <c r="A405" s="140" t="str">
        <f>IF(priority(Main[[#This Row],[Comments]])&lt;&gt;0, priority(Main[[#This Row],[Comments]]),"")</f>
        <v/>
      </c>
      <c r="B405" s="90" t="s">
        <v>1262</v>
      </c>
      <c r="C405" s="72" t="s">
        <v>4</v>
      </c>
      <c r="D405" s="73" t="s">
        <v>317</v>
      </c>
      <c r="E405" s="74"/>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72"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v>40374</v>
      </c>
      <c r="R405" s="74"/>
      <c r="S405" s="72" t="s">
        <v>11</v>
      </c>
      <c r="T405" s="80" t="s">
        <v>4</v>
      </c>
      <c r="U405" s="72" t="s">
        <v>12</v>
      </c>
      <c r="V405" s="72" t="s">
        <v>1933</v>
      </c>
      <c r="W405" s="72" t="s">
        <v>1934</v>
      </c>
      <c r="X405" s="72" t="s">
        <v>2963</v>
      </c>
      <c r="Y405" s="72" t="s">
        <v>3091</v>
      </c>
      <c r="Z405" s="72" t="s">
        <v>4</v>
      </c>
      <c r="AA405" s="147" t="s">
        <v>2963</v>
      </c>
    </row>
    <row r="406" spans="1:27" ht="18.600000000000001" customHeight="1">
      <c r="A406" s="140" t="str">
        <f>IF(priority(Main[[#This Row],[Comments]])&lt;&gt;0, priority(Main[[#This Row],[Comments]]),"")</f>
        <v/>
      </c>
      <c r="B406" s="90" t="s">
        <v>1263</v>
      </c>
      <c r="C406" s="72" t="s">
        <v>4</v>
      </c>
      <c r="D406" s="73" t="s">
        <v>318</v>
      </c>
      <c r="E406" s="74"/>
      <c r="F406" s="74"/>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c r="R406" s="74"/>
      <c r="S406" s="72" t="s">
        <v>6</v>
      </c>
      <c r="T406" s="80" t="s">
        <v>4</v>
      </c>
      <c r="U406" s="72" t="s">
        <v>14</v>
      </c>
      <c r="V406" s="72" t="s">
        <v>1933</v>
      </c>
      <c r="W406" s="72" t="s">
        <v>1934</v>
      </c>
      <c r="X406" s="72" t="s">
        <v>2953</v>
      </c>
      <c r="Y406" s="72" t="s">
        <v>3101</v>
      </c>
      <c r="Z406" s="72" t="s">
        <v>4</v>
      </c>
      <c r="AA406" s="147" t="s">
        <v>2953</v>
      </c>
    </row>
    <row r="407" spans="1:27" ht="18.600000000000001" customHeight="1">
      <c r="A407" s="140" t="str">
        <f>IF(priority(Main[[#This Row],[Comments]])&lt;&gt;0, priority(Main[[#This Row],[Comments]]),"")</f>
        <v/>
      </c>
      <c r="B407" s="90" t="s">
        <v>1264</v>
      </c>
      <c r="C407" s="72" t="s">
        <v>200</v>
      </c>
      <c r="D407" s="73" t="s">
        <v>319</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72"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v>40165</v>
      </c>
      <c r="R407" s="74"/>
      <c r="S407" s="72" t="s">
        <v>11</v>
      </c>
      <c r="T407" s="80" t="s">
        <v>4</v>
      </c>
      <c r="U407" s="72" t="s">
        <v>14</v>
      </c>
      <c r="V407" s="72" t="s">
        <v>1942</v>
      </c>
      <c r="W407" s="72" t="s">
        <v>1938</v>
      </c>
      <c r="X407" s="72" t="s">
        <v>310</v>
      </c>
      <c r="Y407" s="72" t="s">
        <v>3058</v>
      </c>
      <c r="Z407" s="72" t="s">
        <v>4</v>
      </c>
      <c r="AA407" s="147" t="s">
        <v>894</v>
      </c>
    </row>
    <row r="408" spans="1:27" ht="18.600000000000001" customHeight="1">
      <c r="A408" s="140" t="str">
        <f>IF(priority(Main[[#This Row],[Comments]])&lt;&gt;0, priority(Main[[#This Row],[Comments]]),"")</f>
        <v/>
      </c>
      <c r="B408" s="90" t="s">
        <v>1266</v>
      </c>
      <c r="C408" s="72" t="s">
        <v>4</v>
      </c>
      <c r="D408" s="73" t="s">
        <v>321</v>
      </c>
      <c r="E408" s="74">
        <v>40275.49355324074</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v>40289</v>
      </c>
      <c r="R408" s="74"/>
      <c r="S408" s="72" t="s">
        <v>322</v>
      </c>
      <c r="T408" s="80" t="s">
        <v>4</v>
      </c>
      <c r="U408" s="72" t="s">
        <v>7</v>
      </c>
      <c r="V408" s="72" t="s">
        <v>1932</v>
      </c>
      <c r="W408" s="72" t="s">
        <v>1934</v>
      </c>
      <c r="X408" s="72" t="s">
        <v>2912</v>
      </c>
      <c r="Y408" s="72" t="s">
        <v>3031</v>
      </c>
      <c r="Z408" s="72" t="s">
        <v>4</v>
      </c>
      <c r="AA408" s="147" t="s">
        <v>2912</v>
      </c>
    </row>
    <row r="409" spans="1:27" ht="18.600000000000001" customHeight="1">
      <c r="A409" s="140" t="str">
        <f>IF(priority(Main[[#This Row],[Comments]])&lt;&gt;0, priority(Main[[#This Row],[Comments]]),"")</f>
        <v/>
      </c>
      <c r="B409" s="90" t="s">
        <v>2317</v>
      </c>
      <c r="C409" s="72" t="s">
        <v>4</v>
      </c>
      <c r="D409" s="73" t="s">
        <v>2398</v>
      </c>
      <c r="E409" s="74">
        <v>40813.664259259262</v>
      </c>
      <c r="F409" s="74"/>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949</v>
      </c>
      <c r="J409" s="72" t="s">
        <v>4</v>
      </c>
      <c r="K409" s="81" t="s">
        <v>4</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c r="R409" s="74">
        <v>40840</v>
      </c>
      <c r="S409" s="72" t="s">
        <v>6</v>
      </c>
      <c r="T409" s="80" t="s">
        <v>4</v>
      </c>
      <c r="U409" s="72" t="s">
        <v>7</v>
      </c>
      <c r="V409" s="72" t="s">
        <v>1932</v>
      </c>
      <c r="W409" s="72" t="s">
        <v>1936</v>
      </c>
      <c r="X409" s="72" t="s">
        <v>310</v>
      </c>
      <c r="Y409" s="72" t="s">
        <v>4</v>
      </c>
      <c r="Z409" s="72" t="s">
        <v>4</v>
      </c>
      <c r="AA409" s="147" t="s">
        <v>3646</v>
      </c>
    </row>
    <row r="410" spans="1:27" ht="18.600000000000001" customHeight="1">
      <c r="A410" s="140" t="str">
        <f>IF(priority(Main[[#This Row],[Comments]])&lt;&gt;0, priority(Main[[#This Row],[Comments]]),"")</f>
        <v/>
      </c>
      <c r="B410" s="90" t="s">
        <v>1279</v>
      </c>
      <c r="C410" s="72" t="s">
        <v>4</v>
      </c>
      <c r="D410" s="73" t="s">
        <v>338</v>
      </c>
      <c r="E410" s="74"/>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4</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c r="R410" s="74"/>
      <c r="S410" s="72" t="s">
        <v>23</v>
      </c>
      <c r="T410" s="80" t="s">
        <v>4</v>
      </c>
      <c r="U410" s="72" t="s">
        <v>14</v>
      </c>
      <c r="V410" s="72" t="s">
        <v>1935</v>
      </c>
      <c r="W410" s="72" t="s">
        <v>1936</v>
      </c>
      <c r="X410" s="72" t="s">
        <v>403</v>
      </c>
      <c r="Y410" s="72" t="s">
        <v>4</v>
      </c>
      <c r="Z410" s="72" t="s">
        <v>4</v>
      </c>
      <c r="AA410" s="147" t="s">
        <v>3647</v>
      </c>
    </row>
    <row r="411" spans="1:27" ht="18.600000000000001" customHeight="1">
      <c r="A411" s="140" t="str">
        <f>IF(priority(Main[[#This Row],[Comments]])&lt;&gt;0, priority(Main[[#This Row],[Comments]]),"")</f>
        <v/>
      </c>
      <c r="B411" s="90" t="s">
        <v>1280</v>
      </c>
      <c r="C411" s="72" t="s">
        <v>31</v>
      </c>
      <c r="D411" s="73" t="s">
        <v>339</v>
      </c>
      <c r="E411" s="74"/>
      <c r="F411" s="74"/>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40318</v>
      </c>
      <c r="R411" s="74"/>
      <c r="S411" s="72" t="s">
        <v>11</v>
      </c>
      <c r="T411" s="80" t="s">
        <v>4</v>
      </c>
      <c r="U411" s="72" t="s">
        <v>14</v>
      </c>
      <c r="V411" s="72" t="s">
        <v>1935</v>
      </c>
      <c r="W411" s="72" t="s">
        <v>1934</v>
      </c>
      <c r="X411" s="72" t="s">
        <v>2921</v>
      </c>
      <c r="Y411" s="72" t="s">
        <v>4</v>
      </c>
      <c r="Z411" s="72" t="s">
        <v>4</v>
      </c>
      <c r="AA411" s="147" t="s">
        <v>2921</v>
      </c>
    </row>
    <row r="412" spans="1:27" ht="18.600000000000001" customHeight="1">
      <c r="A412" s="140" t="str">
        <f>IF(priority(Main[[#This Row],[Comments]])&lt;&gt;0, priority(Main[[#This Row],[Comments]]),"")</f>
        <v/>
      </c>
      <c r="B412" s="90" t="s">
        <v>1281</v>
      </c>
      <c r="C412" s="72" t="s">
        <v>4</v>
      </c>
      <c r="D412" s="73" t="s">
        <v>340</v>
      </c>
      <c r="E412" s="74">
        <v>40542.302245370367</v>
      </c>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1941</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c r="R412" s="74"/>
      <c r="S412" s="72" t="s">
        <v>6</v>
      </c>
      <c r="T412" s="80" t="s">
        <v>4</v>
      </c>
      <c r="U412" s="72" t="s">
        <v>29</v>
      </c>
      <c r="V412" s="72" t="s">
        <v>1932</v>
      </c>
      <c r="W412" s="72" t="s">
        <v>1936</v>
      </c>
      <c r="X412" s="72" t="s">
        <v>310</v>
      </c>
      <c r="Y412" s="72" t="s">
        <v>4</v>
      </c>
      <c r="Z412" s="72" t="s">
        <v>4</v>
      </c>
      <c r="AA412" s="147" t="s">
        <v>2959</v>
      </c>
    </row>
    <row r="413" spans="1:27" ht="18.600000000000001" customHeight="1">
      <c r="A413" s="140" t="str">
        <f>IF(priority(Main[[#This Row],[Comments]])&lt;&gt;0, priority(Main[[#This Row],[Comments]]),"")</f>
        <v/>
      </c>
      <c r="B413" s="90" t="s">
        <v>1282</v>
      </c>
      <c r="C413" s="72" t="s">
        <v>93</v>
      </c>
      <c r="D413" s="73" t="s">
        <v>341</v>
      </c>
      <c r="E413" s="74"/>
      <c r="F413" s="74">
        <v>40132</v>
      </c>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v>40132</v>
      </c>
      <c r="R413" s="74"/>
      <c r="S413" s="72" t="s">
        <v>11</v>
      </c>
      <c r="T413" s="80" t="s">
        <v>4</v>
      </c>
      <c r="U413" s="72" t="s">
        <v>14</v>
      </c>
      <c r="V413" s="72" t="s">
        <v>1942</v>
      </c>
      <c r="W413" s="72" t="s">
        <v>1938</v>
      </c>
      <c r="X413" s="72" t="s">
        <v>2947</v>
      </c>
      <c r="Y413" s="72" t="s">
        <v>4</v>
      </c>
      <c r="Z413" s="72" t="s">
        <v>4</v>
      </c>
      <c r="AA413" s="147" t="s">
        <v>2947</v>
      </c>
    </row>
    <row r="414" spans="1:27" ht="18.600000000000001" customHeight="1">
      <c r="A414" s="140" t="str">
        <f>IF(priority(Main[[#This Row],[Comments]])&lt;&gt;0, priority(Main[[#This Row],[Comments]]),"")</f>
        <v/>
      </c>
      <c r="B414" s="90" t="s">
        <v>1283</v>
      </c>
      <c r="C414" s="72" t="s">
        <v>4</v>
      </c>
      <c r="D414" s="73" t="s">
        <v>342</v>
      </c>
      <c r="E414" s="74"/>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23</v>
      </c>
      <c r="T414" s="80" t="s">
        <v>4</v>
      </c>
      <c r="U414" s="72" t="s">
        <v>14</v>
      </c>
      <c r="V414" s="72" t="s">
        <v>1932</v>
      </c>
      <c r="W414" s="72" t="s">
        <v>1934</v>
      </c>
      <c r="X414" s="72" t="s">
        <v>102</v>
      </c>
      <c r="Y414" s="72" t="s">
        <v>4</v>
      </c>
      <c r="Z414" s="72" t="s">
        <v>4</v>
      </c>
      <c r="AA414" s="147" t="s">
        <v>4</v>
      </c>
    </row>
    <row r="415" spans="1:27" ht="18.600000000000001" customHeight="1">
      <c r="A415" s="140" t="str">
        <f>IF(priority(Main[[#This Row],[Comments]])&lt;&gt;0, priority(Main[[#This Row],[Comments]]),"")</f>
        <v/>
      </c>
      <c r="B415" s="90" t="s">
        <v>1284</v>
      </c>
      <c r="C415" s="72" t="s">
        <v>47</v>
      </c>
      <c r="D415" s="73" t="s">
        <v>343</v>
      </c>
      <c r="E415" s="74">
        <v>39937.597743055558</v>
      </c>
      <c r="F415" s="74"/>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c r="R415" s="74"/>
      <c r="S415" s="72" t="s">
        <v>17</v>
      </c>
      <c r="T415" s="80" t="s">
        <v>4</v>
      </c>
      <c r="U415" s="72" t="s">
        <v>7</v>
      </c>
      <c r="V415" s="72" t="s">
        <v>1935</v>
      </c>
      <c r="W415" s="72" t="s">
        <v>4</v>
      </c>
      <c r="X415" s="72" t="s">
        <v>2918</v>
      </c>
      <c r="Y415" s="72" t="s">
        <v>3043</v>
      </c>
      <c r="Z415" s="72" t="s">
        <v>4</v>
      </c>
      <c r="AA415" s="147" t="s">
        <v>2918</v>
      </c>
    </row>
    <row r="416" spans="1:27" ht="18.600000000000001" customHeight="1">
      <c r="A416" s="140" t="str">
        <f>IF(priority(Main[[#This Row],[Comments]])&lt;&gt;0, priority(Main[[#This Row],[Comments]]),"")</f>
        <v/>
      </c>
      <c r="B416" s="90" t="s">
        <v>1285</v>
      </c>
      <c r="C416" s="72" t="s">
        <v>95</v>
      </c>
      <c r="D416" s="73" t="s">
        <v>344</v>
      </c>
      <c r="E416" s="74"/>
      <c r="F416" s="74">
        <v>40195</v>
      </c>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4</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v>40070</v>
      </c>
      <c r="R416" s="74"/>
      <c r="S416" s="72" t="s">
        <v>11</v>
      </c>
      <c r="T416" s="80" t="s">
        <v>4</v>
      </c>
      <c r="U416" s="72" t="s">
        <v>14</v>
      </c>
      <c r="V416" s="72" t="s">
        <v>1935</v>
      </c>
      <c r="W416" s="72" t="s">
        <v>1938</v>
      </c>
      <c r="X416" s="72" t="s">
        <v>2967</v>
      </c>
      <c r="Y416" s="72" t="s">
        <v>4</v>
      </c>
      <c r="Z416" s="72" t="s">
        <v>4</v>
      </c>
      <c r="AA416" s="147" t="s">
        <v>3648</v>
      </c>
    </row>
    <row r="417" spans="1:27" ht="18.600000000000001" customHeight="1">
      <c r="A417" s="140" t="str">
        <f>IF(priority(Main[[#This Row],[Comments]])&lt;&gt;0, priority(Main[[#This Row],[Comments]]),"")</f>
        <v/>
      </c>
      <c r="B417" s="90" t="s">
        <v>1305</v>
      </c>
      <c r="C417" s="72" t="s">
        <v>4</v>
      </c>
      <c r="D417" s="73" t="s">
        <v>346</v>
      </c>
      <c r="E417" s="74">
        <v>40704.346435185187</v>
      </c>
      <c r="F417" s="74"/>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933</v>
      </c>
      <c r="J417" s="72" t="s">
        <v>28</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c r="R417" s="74">
        <v>40908</v>
      </c>
      <c r="S417" s="72" t="s">
        <v>49</v>
      </c>
      <c r="T417" s="80" t="s">
        <v>4</v>
      </c>
      <c r="U417" s="72" t="s">
        <v>7</v>
      </c>
      <c r="V417" s="72" t="s">
        <v>1947</v>
      </c>
      <c r="W417" s="72" t="s">
        <v>1934</v>
      </c>
      <c r="X417" s="72" t="s">
        <v>933</v>
      </c>
      <c r="Y417" s="72" t="s">
        <v>3077</v>
      </c>
      <c r="Z417" s="72" t="s">
        <v>2237</v>
      </c>
      <c r="AA417" s="147" t="s">
        <v>933</v>
      </c>
    </row>
    <row r="418" spans="1:27" ht="18.600000000000001" customHeight="1">
      <c r="A418" s="140" t="str">
        <f>IF(priority(Main[[#This Row],[Comments]])&lt;&gt;0, priority(Main[[#This Row],[Comments]]),"")</f>
        <v/>
      </c>
      <c r="B418" s="90" t="s">
        <v>1306</v>
      </c>
      <c r="C418" s="72" t="s">
        <v>72</v>
      </c>
      <c r="D418" s="73" t="s">
        <v>347</v>
      </c>
      <c r="E418" s="74"/>
      <c r="F418" s="74">
        <v>40106</v>
      </c>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v>39986</v>
      </c>
      <c r="R418" s="74"/>
      <c r="S418" s="72" t="s">
        <v>11</v>
      </c>
      <c r="T418" s="80" t="s">
        <v>4</v>
      </c>
      <c r="U418" s="72" t="s">
        <v>14</v>
      </c>
      <c r="V418" s="72" t="s">
        <v>1933</v>
      </c>
      <c r="W418" s="72" t="s">
        <v>1937</v>
      </c>
      <c r="X418" s="72" t="s">
        <v>2915</v>
      </c>
      <c r="Y418" s="72" t="s">
        <v>3038</v>
      </c>
      <c r="Z418" s="72" t="s">
        <v>4</v>
      </c>
      <c r="AA418" s="147" t="s">
        <v>2915</v>
      </c>
    </row>
    <row r="419" spans="1:27" ht="18.600000000000001" customHeight="1">
      <c r="A419" s="140" t="str">
        <f>IF(priority(Main[[#This Row],[Comments]])&lt;&gt;0, priority(Main[[#This Row],[Comments]]),"")</f>
        <v/>
      </c>
      <c r="B419" s="90" t="s">
        <v>1307</v>
      </c>
      <c r="C419" s="72" t="s">
        <v>4</v>
      </c>
      <c r="D419" s="73" t="s">
        <v>348</v>
      </c>
      <c r="E419" s="74"/>
      <c r="F419" s="74"/>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6</v>
      </c>
      <c r="T419" s="80" t="s">
        <v>4</v>
      </c>
      <c r="U419" s="72" t="s">
        <v>12</v>
      </c>
      <c r="V419" s="72" t="s">
        <v>1932</v>
      </c>
      <c r="W419" s="72" t="s">
        <v>1936</v>
      </c>
      <c r="X419" s="72" t="s">
        <v>718</v>
      </c>
      <c r="Y419" s="72" t="s">
        <v>3117</v>
      </c>
      <c r="Z419" s="72" t="s">
        <v>4</v>
      </c>
      <c r="AA419" s="147" t="s">
        <v>3643</v>
      </c>
    </row>
    <row r="420" spans="1:27" ht="18.600000000000001" customHeight="1">
      <c r="A420" s="140" t="str">
        <f>IF(priority(Main[[#This Row],[Comments]])&lt;&gt;0, priority(Main[[#This Row],[Comments]]),"")</f>
        <v/>
      </c>
      <c r="B420" s="90" t="s">
        <v>1286</v>
      </c>
      <c r="C420" s="72" t="s">
        <v>79</v>
      </c>
      <c r="D420" s="73" t="s">
        <v>349</v>
      </c>
      <c r="E420" s="74">
        <v>40072.642395833333</v>
      </c>
      <c r="F420" s="74">
        <v>40116</v>
      </c>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c r="R420" s="74"/>
      <c r="S420" s="72" t="s">
        <v>17</v>
      </c>
      <c r="T420" s="80" t="s">
        <v>4</v>
      </c>
      <c r="U420" s="72" t="s">
        <v>7</v>
      </c>
      <c r="V420" s="72" t="s">
        <v>1932</v>
      </c>
      <c r="W420" s="72" t="s">
        <v>1936</v>
      </c>
      <c r="X420" s="72" t="s">
        <v>2952</v>
      </c>
      <c r="Y420" s="72" t="s">
        <v>3051</v>
      </c>
      <c r="Z420" s="72" t="s">
        <v>4</v>
      </c>
      <c r="AA420" s="147" t="s">
        <v>2952</v>
      </c>
    </row>
    <row r="421" spans="1:27" ht="18.600000000000001" customHeight="1">
      <c r="A421" s="140" t="str">
        <f>IF(priority(Main[[#This Row],[Comments]])&lt;&gt;0, priority(Main[[#This Row],[Comments]]),"")</f>
        <v/>
      </c>
      <c r="B421" s="90" t="s">
        <v>1287</v>
      </c>
      <c r="C421" s="72" t="s">
        <v>4</v>
      </c>
      <c r="D421" s="73" t="s">
        <v>350</v>
      </c>
      <c r="E421" s="74">
        <v>40422.66909722222</v>
      </c>
      <c r="F421" s="74"/>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28</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c r="R421" s="74"/>
      <c r="S421" s="72" t="s">
        <v>6</v>
      </c>
      <c r="T421" s="80" t="s">
        <v>4</v>
      </c>
      <c r="U421" s="72" t="s">
        <v>29</v>
      </c>
      <c r="V421" s="72" t="s">
        <v>1932</v>
      </c>
      <c r="W421" s="72" t="s">
        <v>1936</v>
      </c>
      <c r="X421" s="72" t="s">
        <v>403</v>
      </c>
      <c r="Y421" s="72" t="s">
        <v>3118</v>
      </c>
      <c r="Z421" s="72" t="s">
        <v>129</v>
      </c>
      <c r="AA421" s="147" t="s">
        <v>3620</v>
      </c>
    </row>
    <row r="422" spans="1:27" ht="18.600000000000001" customHeight="1">
      <c r="A422" s="140" t="str">
        <f>IF(priority(Main[[#This Row],[Comments]])&lt;&gt;0, priority(Main[[#This Row],[Comments]]),"")</f>
        <v/>
      </c>
      <c r="B422" s="90" t="s">
        <v>1288</v>
      </c>
      <c r="C422" s="72" t="s">
        <v>351</v>
      </c>
      <c r="D422" s="73" t="s">
        <v>352</v>
      </c>
      <c r="E422" s="74"/>
      <c r="F422" s="74"/>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c r="R422" s="74"/>
      <c r="S422" s="72" t="s">
        <v>11</v>
      </c>
      <c r="T422" s="80" t="s">
        <v>4</v>
      </c>
      <c r="U422" s="72" t="s">
        <v>14</v>
      </c>
      <c r="V422" s="72" t="s">
        <v>1933</v>
      </c>
      <c r="W422" s="72" t="s">
        <v>1937</v>
      </c>
      <c r="X422" s="72" t="s">
        <v>310</v>
      </c>
      <c r="Y422" s="72" t="s">
        <v>3036</v>
      </c>
      <c r="Z422" s="72" t="s">
        <v>4</v>
      </c>
      <c r="AA422" s="147" t="s">
        <v>310</v>
      </c>
    </row>
    <row r="423" spans="1:27" ht="18.600000000000001" customHeight="1">
      <c r="A423" s="140" t="str">
        <f>IF(priority(Main[[#This Row],[Comments]])&lt;&gt;0, priority(Main[[#This Row],[Comments]]),"")</f>
        <v/>
      </c>
      <c r="B423" s="90" t="s">
        <v>2404</v>
      </c>
      <c r="C423" s="72" t="s">
        <v>4</v>
      </c>
      <c r="D423" s="73" t="s">
        <v>2405</v>
      </c>
      <c r="E423" s="74">
        <v>40869.35837962963</v>
      </c>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c r="R423" s="74"/>
      <c r="S423" s="72" t="s">
        <v>6</v>
      </c>
      <c r="T423" s="80" t="s">
        <v>4</v>
      </c>
      <c r="U423" s="72" t="s">
        <v>29</v>
      </c>
      <c r="V423" s="72" t="s">
        <v>1933</v>
      </c>
      <c r="W423" s="72" t="s">
        <v>1934</v>
      </c>
      <c r="X423" s="72" t="s">
        <v>102</v>
      </c>
      <c r="Y423" s="72" t="s">
        <v>3119</v>
      </c>
      <c r="Z423" s="72" t="s">
        <v>4</v>
      </c>
      <c r="AA423" s="147" t="s">
        <v>3649</v>
      </c>
    </row>
    <row r="424" spans="1:27" ht="18.600000000000001" customHeight="1">
      <c r="A424" s="140" t="str">
        <f>IF(priority(Main[[#This Row],[Comments]])&lt;&gt;0, priority(Main[[#This Row],[Comments]]),"")</f>
        <v/>
      </c>
      <c r="B424" s="90" t="s">
        <v>1289</v>
      </c>
      <c r="C424" s="72" t="s">
        <v>93</v>
      </c>
      <c r="D424" s="73" t="s">
        <v>353</v>
      </c>
      <c r="E424" s="74"/>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81"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c r="R424" s="74"/>
      <c r="S424" s="72" t="s">
        <v>11</v>
      </c>
      <c r="T424" s="80" t="s">
        <v>4</v>
      </c>
      <c r="U424" s="72" t="s">
        <v>14</v>
      </c>
      <c r="V424" s="72" t="s">
        <v>1935</v>
      </c>
      <c r="W424" s="72" t="s">
        <v>1938</v>
      </c>
      <c r="X424" s="72" t="s">
        <v>2944</v>
      </c>
      <c r="Y424" s="72" t="s">
        <v>3086</v>
      </c>
      <c r="Z424" s="72" t="s">
        <v>4</v>
      </c>
      <c r="AA424" s="147" t="s">
        <v>2944</v>
      </c>
    </row>
    <row r="425" spans="1:27" ht="18.600000000000001" customHeight="1">
      <c r="A425" s="140" t="str">
        <f>IF(priority(Main[[#This Row],[Comments]])&lt;&gt;0, priority(Main[[#This Row],[Comments]]),"")</f>
        <v/>
      </c>
      <c r="B425" s="90" t="s">
        <v>1291</v>
      </c>
      <c r="C425" s="72" t="s">
        <v>4</v>
      </c>
      <c r="D425" s="73" t="s">
        <v>354</v>
      </c>
      <c r="E425" s="74"/>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c r="R425" s="74"/>
      <c r="S425" s="72" t="s">
        <v>11</v>
      </c>
      <c r="T425" s="80" t="s">
        <v>4</v>
      </c>
      <c r="U425" s="72" t="s">
        <v>14</v>
      </c>
      <c r="V425" s="72" t="s">
        <v>1935</v>
      </c>
      <c r="W425" s="72" t="s">
        <v>1934</v>
      </c>
      <c r="X425" s="72" t="s">
        <v>2968</v>
      </c>
      <c r="Y425" s="72" t="s">
        <v>3120</v>
      </c>
      <c r="Z425" s="72" t="s">
        <v>4</v>
      </c>
      <c r="AA425" s="147" t="s">
        <v>2968</v>
      </c>
    </row>
    <row r="426" spans="1:27" ht="18.600000000000001" customHeight="1">
      <c r="A426" s="140" t="str">
        <f>IF(priority(Main[[#This Row],[Comments]])&lt;&gt;0, priority(Main[[#This Row],[Comments]]),"")</f>
        <v/>
      </c>
      <c r="B426" s="90" t="s">
        <v>1292</v>
      </c>
      <c r="C426" s="72" t="s">
        <v>355</v>
      </c>
      <c r="D426" s="73" t="s">
        <v>356</v>
      </c>
      <c r="E426" s="74"/>
      <c r="F426" s="74">
        <v>40452</v>
      </c>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v>40344</v>
      </c>
      <c r="R426" s="74"/>
      <c r="S426" s="72" t="s">
        <v>11</v>
      </c>
      <c r="T426" s="80" t="s">
        <v>4</v>
      </c>
      <c r="U426" s="72" t="s">
        <v>14</v>
      </c>
      <c r="V426" s="72" t="s">
        <v>1935</v>
      </c>
      <c r="W426" s="72" t="s">
        <v>1938</v>
      </c>
      <c r="X426" s="72" t="s">
        <v>2963</v>
      </c>
      <c r="Y426" s="72" t="s">
        <v>3091</v>
      </c>
      <c r="Z426" s="72" t="s">
        <v>535</v>
      </c>
      <c r="AA426" s="147" t="s">
        <v>2963</v>
      </c>
    </row>
    <row r="427" spans="1:27" ht="18.600000000000001" customHeight="1">
      <c r="A427" s="140" t="str">
        <f>IF(priority(Main[[#This Row],[Comments]])&lt;&gt;0, priority(Main[[#This Row],[Comments]]),"")</f>
        <v/>
      </c>
      <c r="B427" s="124" t="s">
        <v>1293</v>
      </c>
      <c r="C427" s="117" t="s">
        <v>4</v>
      </c>
      <c r="D427" s="118" t="s">
        <v>357</v>
      </c>
      <c r="E427" s="119"/>
      <c r="F427" s="119"/>
      <c r="G427" s="120" t="str">
        <f>IF(stdProdLT(Main[[#This Row],[Comments]])=0.1,"N/A",IF(stdProdLT(Main[[#This Row],[Comments]])=0,"",stdProdLT(Main[[#This Row],[Comments]])))</f>
        <v/>
      </c>
      <c r="H427" s="121" t="str">
        <f>IF(AND(Main[[#This Row],[In Stock Date]]&lt;&gt;"",Main[[#This Row],[Revised Due Date]]&lt;&gt;""),Main[[#This Row],[In Stock Date]]-Main[[#This Row],[Revised Due Date]],"")</f>
        <v/>
      </c>
      <c r="I427" s="117" t="s">
        <v>4</v>
      </c>
      <c r="J427" s="117" t="s">
        <v>4</v>
      </c>
      <c r="K427" s="117" t="s">
        <v>4</v>
      </c>
      <c r="L427" s="119"/>
      <c r="M427" s="122" t="str">
        <f>IF(Main[[#This Row],[Tech Start Date]]&lt;1/1/1990,"",IF(Main[[#This Row],[Class]]="C",WORKDAY(Main[[#This Row],[Tech Start Date]],9),IF(Main[[#This Row],[Class]]="B", WORKDAY(Main[[#This Row],[Tech Start Date]],6),IF(Main[[#This Row],[Class]]="A",WORKDAY(Main[[#This Row],[Tech Start Date]],2),""))))</f>
        <v/>
      </c>
      <c r="N427" s="122" t="str">
        <f>IF(Main[[#This Row],[Tech Start Date]]&lt;1/1/1990,"",IF(Main[[#This Row],[Class]]="C",WORKDAY(Main[[#This Row],[Tech Start Date]],19),IF(Main[[#This Row],[Class]]="B", WORKDAY(Main[[#This Row],[Tech Start Date]],12),IF(Main[[#This Row],[Class]]="A",WORKDAY(Main[[#This Row],[Tech Start Date]],4),""))))</f>
        <v/>
      </c>
      <c r="O427" s="122" t="str">
        <f>IF(Main[[#This Row],[Tech Start Date]]&lt;1/1/1990,"",IF(Main[[#This Row],[Class]]="C",WORKDAY(Main[[#This Row],[Tech Start Date]],23),IF(Main[[#This Row],[Class]]="B", WORKDAY(Main[[#This Row],[Tech Start Date]],15),IF(Main[[#This Row],[Class]]="A",WORKDAY(Main[[#This Row],[Tech Start Date]],5),""))))</f>
        <v/>
      </c>
      <c r="P427" s="122" t="str">
        <f>IF(Main[[#This Row],[Tech Start Date]]&lt;1/1/1990,"",IF(Main[[#This Row],[Class]]="C",WORKDAY(Main[[#This Row],[Tech Start Date]],28),IF(Main[[#This Row],[Class]]="B", WORKDAY(Main[[#This Row],[Tech Start Date]],19),IF(Main[[#This Row],[Class]]="A",WORKDAY(Main[[#This Row],[Tech Start Date]],9),""))))</f>
        <v/>
      </c>
      <c r="Q427" s="119"/>
      <c r="R427" s="119"/>
      <c r="S427" s="117" t="s">
        <v>4</v>
      </c>
      <c r="T427" s="123" t="s">
        <v>4</v>
      </c>
      <c r="U427" s="117" t="s">
        <v>14</v>
      </c>
      <c r="V427" s="117" t="s">
        <v>1932</v>
      </c>
      <c r="W427" s="117" t="s">
        <v>4</v>
      </c>
      <c r="X427" s="117" t="s">
        <v>2969</v>
      </c>
      <c r="Y427" s="117" t="s">
        <v>3121</v>
      </c>
      <c r="Z427" s="117" t="s">
        <v>4</v>
      </c>
      <c r="AA427" s="147" t="s">
        <v>2969</v>
      </c>
    </row>
    <row r="428" spans="1:27" ht="18.600000000000001" customHeight="1">
      <c r="A428" s="140" t="str">
        <f>IF(priority(Main[[#This Row],[Comments]])&lt;&gt;0, priority(Main[[#This Row],[Comments]]),"")</f>
        <v/>
      </c>
      <c r="B428" s="90" t="s">
        <v>1294</v>
      </c>
      <c r="C428" s="72" t="s">
        <v>33</v>
      </c>
      <c r="D428" s="73" t="s">
        <v>358</v>
      </c>
      <c r="E428" s="74"/>
      <c r="F428" s="74"/>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c r="R428" s="74"/>
      <c r="S428" s="72" t="s">
        <v>11</v>
      </c>
      <c r="T428" s="80" t="s">
        <v>4</v>
      </c>
      <c r="U428" s="72" t="s">
        <v>14</v>
      </c>
      <c r="V428" s="72" t="s">
        <v>1933</v>
      </c>
      <c r="W428" s="72" t="s">
        <v>1940</v>
      </c>
      <c r="X428" s="72" t="s">
        <v>2918</v>
      </c>
      <c r="Y428" s="72" t="s">
        <v>3043</v>
      </c>
      <c r="Z428" s="72" t="s">
        <v>4</v>
      </c>
      <c r="AA428" s="147" t="s">
        <v>2918</v>
      </c>
    </row>
    <row r="429" spans="1:27" ht="18.600000000000001" customHeight="1">
      <c r="A429" s="140" t="str">
        <f>IF(priority(Main[[#This Row],[Comments]])&lt;&gt;0, priority(Main[[#This Row],[Comments]]),"")</f>
        <v/>
      </c>
      <c r="B429" s="90" t="s">
        <v>1296</v>
      </c>
      <c r="C429" s="72" t="s">
        <v>214</v>
      </c>
      <c r="D429" s="73" t="s">
        <v>360</v>
      </c>
      <c r="E429" s="74"/>
      <c r="F429" s="74">
        <v>40087</v>
      </c>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81"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39891</v>
      </c>
      <c r="R429" s="74"/>
      <c r="S429" s="72" t="s">
        <v>11</v>
      </c>
      <c r="T429" s="80" t="s">
        <v>4</v>
      </c>
      <c r="U429" s="72" t="s">
        <v>12</v>
      </c>
      <c r="V429" s="72" t="s">
        <v>1932</v>
      </c>
      <c r="W429" s="72" t="s">
        <v>1937</v>
      </c>
      <c r="X429" s="72" t="s">
        <v>2924</v>
      </c>
      <c r="Y429" s="72" t="s">
        <v>4</v>
      </c>
      <c r="Z429" s="72" t="s">
        <v>4</v>
      </c>
      <c r="AA429" s="147" t="s">
        <v>2924</v>
      </c>
    </row>
    <row r="430" spans="1:27" ht="18.600000000000001" customHeight="1">
      <c r="A430" s="140" t="str">
        <f>IF(priority(Main[[#This Row],[Comments]])&lt;&gt;0, priority(Main[[#This Row],[Comments]]),"")</f>
        <v/>
      </c>
      <c r="B430" s="90" t="s">
        <v>1298</v>
      </c>
      <c r="C430" s="72" t="s">
        <v>214</v>
      </c>
      <c r="D430" s="73" t="s">
        <v>361</v>
      </c>
      <c r="E430" s="74"/>
      <c r="F430" s="74">
        <v>40087</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72"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39891</v>
      </c>
      <c r="R430" s="74"/>
      <c r="S430" s="72" t="s">
        <v>11</v>
      </c>
      <c r="T430" s="80" t="s">
        <v>4</v>
      </c>
      <c r="U430" s="72" t="s">
        <v>12</v>
      </c>
      <c r="V430" s="72" t="s">
        <v>1932</v>
      </c>
      <c r="W430" s="72" t="s">
        <v>1937</v>
      </c>
      <c r="X430" s="72" t="s">
        <v>2924</v>
      </c>
      <c r="Y430" s="72" t="s">
        <v>4</v>
      </c>
      <c r="Z430" s="72" t="s">
        <v>4</v>
      </c>
      <c r="AA430" s="147" t="s">
        <v>2924</v>
      </c>
    </row>
    <row r="431" spans="1:27" ht="18.600000000000001" customHeight="1">
      <c r="A431" s="140" t="str">
        <f>IF(priority(Main[[#This Row],[Comments]])&lt;&gt;0, priority(Main[[#This Row],[Comments]]),"")</f>
        <v/>
      </c>
      <c r="B431" s="90" t="s">
        <v>2769</v>
      </c>
      <c r="C431" s="72" t="s">
        <v>4</v>
      </c>
      <c r="D431" s="73" t="s">
        <v>2770</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v>40896</v>
      </c>
      <c r="R431" s="74"/>
      <c r="S431" s="72" t="s">
        <v>17</v>
      </c>
      <c r="T431" s="80" t="s">
        <v>4</v>
      </c>
      <c r="U431" s="72" t="s">
        <v>14</v>
      </c>
      <c r="V431" s="72" t="s">
        <v>1935</v>
      </c>
      <c r="W431" s="72" t="s">
        <v>1940</v>
      </c>
      <c r="X431" s="72" t="s">
        <v>2970</v>
      </c>
      <c r="Y431" s="72" t="s">
        <v>3122</v>
      </c>
      <c r="Z431" s="72" t="s">
        <v>4</v>
      </c>
      <c r="AA431" s="147" t="s">
        <v>2970</v>
      </c>
    </row>
    <row r="432" spans="1:27" ht="18.600000000000001" customHeight="1">
      <c r="A432" s="140" t="str">
        <f>IF(priority(Main[[#This Row],[Comments]])&lt;&gt;0, priority(Main[[#This Row],[Comments]]),"")</f>
        <v/>
      </c>
      <c r="B432" s="90" t="s">
        <v>1299</v>
      </c>
      <c r="C432" s="72" t="s">
        <v>33</v>
      </c>
      <c r="D432" s="73" t="s">
        <v>363</v>
      </c>
      <c r="E432" s="74"/>
      <c r="F432" s="74"/>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c r="R432" s="74"/>
      <c r="S432" s="72" t="s">
        <v>11</v>
      </c>
      <c r="T432" s="80" t="s">
        <v>4</v>
      </c>
      <c r="U432" s="72" t="s">
        <v>14</v>
      </c>
      <c r="V432" s="72" t="s">
        <v>1933</v>
      </c>
      <c r="W432" s="72" t="s">
        <v>1940</v>
      </c>
      <c r="X432" s="72" t="s">
        <v>2918</v>
      </c>
      <c r="Y432" s="72" t="s">
        <v>3043</v>
      </c>
      <c r="Z432" s="72" t="s">
        <v>4</v>
      </c>
      <c r="AA432" s="147" t="s">
        <v>2918</v>
      </c>
    </row>
    <row r="433" spans="1:27" ht="18.600000000000001" customHeight="1">
      <c r="A433" s="140" t="str">
        <f>IF(priority(Main[[#This Row],[Comments]])&lt;&gt;0, priority(Main[[#This Row],[Comments]]),"")</f>
        <v/>
      </c>
      <c r="B433" s="90" t="s">
        <v>1300</v>
      </c>
      <c r="C433" s="72" t="s">
        <v>33</v>
      </c>
      <c r="D433" s="73" t="s">
        <v>364</v>
      </c>
      <c r="E433" s="74"/>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v>
      </c>
      <c r="J433" s="72" t="s">
        <v>4</v>
      </c>
      <c r="K433" s="72"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c r="R433" s="74"/>
      <c r="S433" s="72" t="s">
        <v>11</v>
      </c>
      <c r="T433" s="80" t="s">
        <v>4</v>
      </c>
      <c r="U433" s="72" t="s">
        <v>14</v>
      </c>
      <c r="V433" s="72" t="s">
        <v>1933</v>
      </c>
      <c r="W433" s="72" t="s">
        <v>1940</v>
      </c>
      <c r="X433" s="72" t="s">
        <v>2918</v>
      </c>
      <c r="Y433" s="72" t="s">
        <v>3043</v>
      </c>
      <c r="Z433" s="72" t="s">
        <v>4</v>
      </c>
      <c r="AA433" s="147" t="s">
        <v>2918</v>
      </c>
    </row>
    <row r="434" spans="1:27" ht="18.600000000000001" customHeight="1">
      <c r="A434" s="140" t="str">
        <f>IF(priority(Main[[#This Row],[Comments]])&lt;&gt;0, priority(Main[[#This Row],[Comments]]),"")</f>
        <v/>
      </c>
      <c r="B434" s="90" t="s">
        <v>1301</v>
      </c>
      <c r="C434" s="72" t="s">
        <v>365</v>
      </c>
      <c r="D434" s="73" t="s">
        <v>366</v>
      </c>
      <c r="E434" s="74"/>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72"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c r="R434" s="74"/>
      <c r="S434" s="72" t="s">
        <v>11</v>
      </c>
      <c r="T434" s="80" t="s">
        <v>4</v>
      </c>
      <c r="U434" s="72" t="s">
        <v>14</v>
      </c>
      <c r="V434" s="72" t="s">
        <v>1933</v>
      </c>
      <c r="W434" s="72" t="s">
        <v>1940</v>
      </c>
      <c r="X434" s="72" t="s">
        <v>2918</v>
      </c>
      <c r="Y434" s="72" t="s">
        <v>3043</v>
      </c>
      <c r="Z434" s="72" t="s">
        <v>4</v>
      </c>
      <c r="AA434" s="147" t="s">
        <v>2918</v>
      </c>
    </row>
    <row r="435" spans="1:27" ht="18.600000000000001" customHeight="1">
      <c r="A435" s="140" t="str">
        <f>IF(priority(Main[[#This Row],[Comments]])&lt;&gt;0, priority(Main[[#This Row],[Comments]]),"")</f>
        <v/>
      </c>
      <c r="B435" s="90" t="s">
        <v>1302</v>
      </c>
      <c r="C435" s="72" t="s">
        <v>367</v>
      </c>
      <c r="D435" s="73" t="s">
        <v>368</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81"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c r="R435" s="74"/>
      <c r="S435" s="72" t="s">
        <v>11</v>
      </c>
      <c r="T435" s="80" t="s">
        <v>4</v>
      </c>
      <c r="U435" s="72" t="s">
        <v>14</v>
      </c>
      <c r="V435" s="72" t="s">
        <v>1933</v>
      </c>
      <c r="W435" s="72" t="s">
        <v>1940</v>
      </c>
      <c r="X435" s="72" t="s">
        <v>2918</v>
      </c>
      <c r="Y435" s="72" t="s">
        <v>3043</v>
      </c>
      <c r="Z435" s="72" t="s">
        <v>4</v>
      </c>
      <c r="AA435" s="147" t="s">
        <v>2918</v>
      </c>
    </row>
    <row r="436" spans="1:27" ht="18.600000000000001" customHeight="1">
      <c r="A436" s="140" t="str">
        <f>IF(priority(Main[[#This Row],[Comments]])&lt;&gt;0, priority(Main[[#This Row],[Comments]]),"")</f>
        <v/>
      </c>
      <c r="B436" s="90" t="s">
        <v>1303</v>
      </c>
      <c r="C436" s="72" t="s">
        <v>369</v>
      </c>
      <c r="D436" s="73" t="s">
        <v>370</v>
      </c>
      <c r="E436" s="74"/>
      <c r="F436" s="74"/>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81" t="s">
        <v>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c r="R436" s="74"/>
      <c r="S436" s="72" t="s">
        <v>11</v>
      </c>
      <c r="T436" s="80" t="s">
        <v>4</v>
      </c>
      <c r="U436" s="72" t="s">
        <v>14</v>
      </c>
      <c r="V436" s="72" t="s">
        <v>1933</v>
      </c>
      <c r="W436" s="72" t="s">
        <v>1940</v>
      </c>
      <c r="X436" s="72" t="s">
        <v>2918</v>
      </c>
      <c r="Y436" s="72" t="s">
        <v>3043</v>
      </c>
      <c r="Z436" s="72" t="s">
        <v>4</v>
      </c>
      <c r="AA436" s="147" t="s">
        <v>2918</v>
      </c>
    </row>
    <row r="437" spans="1:27" ht="18.600000000000001" customHeight="1">
      <c r="A437" s="140" t="str">
        <f>IF(priority(Main[[#This Row],[Comments]])&lt;&gt;0, priority(Main[[#This Row],[Comments]]),"")</f>
        <v/>
      </c>
      <c r="B437" s="90" t="s">
        <v>1304</v>
      </c>
      <c r="C437" s="72" t="s">
        <v>371</v>
      </c>
      <c r="D437" s="73" t="s">
        <v>372</v>
      </c>
      <c r="E437" s="74">
        <v>40210.419814814813</v>
      </c>
      <c r="F437" s="74">
        <v>40405</v>
      </c>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165</v>
      </c>
      <c r="J437" s="72" t="s">
        <v>4</v>
      </c>
      <c r="K437" s="72" t="s">
        <v>1944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40223</v>
      </c>
      <c r="R437" s="74"/>
      <c r="S437" s="72" t="s">
        <v>17</v>
      </c>
      <c r="T437" s="80" t="s">
        <v>4</v>
      </c>
      <c r="U437" s="72" t="s">
        <v>29</v>
      </c>
      <c r="V437" s="72" t="s">
        <v>1935</v>
      </c>
      <c r="W437" s="72" t="s">
        <v>1937</v>
      </c>
      <c r="X437" s="72" t="s">
        <v>559</v>
      </c>
      <c r="Y437" s="72" t="s">
        <v>4</v>
      </c>
      <c r="Z437" s="72" t="s">
        <v>4</v>
      </c>
      <c r="AA437" s="147" t="s">
        <v>559</v>
      </c>
    </row>
    <row r="438" spans="1:27" ht="18.600000000000001" customHeight="1">
      <c r="A438" s="140" t="str">
        <f>IF(priority(Main[[#This Row],[Comments]])&lt;&gt;0, priority(Main[[#This Row],[Comments]]),"")</f>
        <v/>
      </c>
      <c r="B438" s="90" t="s">
        <v>1308</v>
      </c>
      <c r="C438" s="72" t="s">
        <v>4</v>
      </c>
      <c r="D438" s="73" t="s">
        <v>417</v>
      </c>
      <c r="E438" s="74"/>
      <c r="F438" s="74"/>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310</v>
      </c>
      <c r="J438" s="72" t="s">
        <v>75</v>
      </c>
      <c r="K438" s="72" t="s">
        <v>1941</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v>40655</v>
      </c>
      <c r="R438" s="74"/>
      <c r="S438" s="72" t="s">
        <v>6</v>
      </c>
      <c r="T438" s="80" t="s">
        <v>4</v>
      </c>
      <c r="U438" s="72" t="s">
        <v>14</v>
      </c>
      <c r="V438" s="72" t="s">
        <v>1935</v>
      </c>
      <c r="W438" s="72" t="s">
        <v>1934</v>
      </c>
      <c r="X438" s="72" t="s">
        <v>2910</v>
      </c>
      <c r="Y438" s="72" t="s">
        <v>3027</v>
      </c>
      <c r="Z438" s="72" t="s">
        <v>44</v>
      </c>
      <c r="AA438" s="147" t="s">
        <v>2910</v>
      </c>
    </row>
    <row r="439" spans="1:27" ht="18.600000000000001" customHeight="1">
      <c r="A439" s="140" t="str">
        <f>IF(priority(Main[[#This Row],[Comments]])&lt;&gt;0, priority(Main[[#This Row],[Comments]]),"")</f>
        <v/>
      </c>
      <c r="B439" s="90" t="s">
        <v>1309</v>
      </c>
      <c r="C439" s="72" t="s">
        <v>214</v>
      </c>
      <c r="D439" s="73" t="s">
        <v>418</v>
      </c>
      <c r="E439" s="74"/>
      <c r="F439" s="74">
        <v>40452</v>
      </c>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v>40357</v>
      </c>
      <c r="R439" s="74"/>
      <c r="S439" s="72" t="s">
        <v>11</v>
      </c>
      <c r="T439" s="80" t="s">
        <v>4</v>
      </c>
      <c r="U439" s="72" t="s">
        <v>12</v>
      </c>
      <c r="V439" s="72" t="s">
        <v>1932</v>
      </c>
      <c r="W439" s="72" t="s">
        <v>1940</v>
      </c>
      <c r="X439" s="72" t="s">
        <v>2924</v>
      </c>
      <c r="Y439" s="72" t="s">
        <v>4</v>
      </c>
      <c r="Z439" s="72" t="s">
        <v>4</v>
      </c>
      <c r="AA439" s="147" t="s">
        <v>2924</v>
      </c>
    </row>
    <row r="440" spans="1:27" ht="18.600000000000001" customHeight="1">
      <c r="A440" s="140" t="str">
        <f>IF(priority(Main[[#This Row],[Comments]])&lt;&gt;0, priority(Main[[#This Row],[Comments]]),"")</f>
        <v/>
      </c>
      <c r="B440" s="90" t="s">
        <v>1348</v>
      </c>
      <c r="C440" s="72" t="s">
        <v>4</v>
      </c>
      <c r="D440" s="73" t="s">
        <v>419</v>
      </c>
      <c r="E440" s="74"/>
      <c r="F440" s="74">
        <v>40633</v>
      </c>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420</v>
      </c>
      <c r="J440" s="72" t="s">
        <v>28</v>
      </c>
      <c r="K440" s="72" t="s">
        <v>1941</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40633</v>
      </c>
      <c r="R440" s="74"/>
      <c r="S440" s="72" t="s">
        <v>6</v>
      </c>
      <c r="T440" s="80" t="s">
        <v>4</v>
      </c>
      <c r="U440" s="72" t="s">
        <v>14</v>
      </c>
      <c r="V440" s="72" t="s">
        <v>1935</v>
      </c>
      <c r="W440" s="72" t="s">
        <v>1934</v>
      </c>
      <c r="X440" s="72" t="s">
        <v>2910</v>
      </c>
      <c r="Y440" s="72" t="s">
        <v>3027</v>
      </c>
      <c r="Z440" s="72" t="s">
        <v>30</v>
      </c>
      <c r="AA440" s="147" t="s">
        <v>2910</v>
      </c>
    </row>
    <row r="441" spans="1:27" ht="18.600000000000001" customHeight="1">
      <c r="A441" s="140" t="str">
        <f>IF(priority(Main[[#This Row],[Comments]])&lt;&gt;0, priority(Main[[#This Row],[Comments]]),"")</f>
        <v/>
      </c>
      <c r="B441" s="90" t="s">
        <v>1852</v>
      </c>
      <c r="C441" s="72" t="s">
        <v>4</v>
      </c>
      <c r="D441" s="73" t="s">
        <v>899</v>
      </c>
      <c r="E441" s="74">
        <v>40365.442546296297</v>
      </c>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900</v>
      </c>
      <c r="J441" s="72" t="s">
        <v>28</v>
      </c>
      <c r="K441" s="72" t="s">
        <v>1944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v>40420</v>
      </c>
      <c r="R441" s="74">
        <v>40420</v>
      </c>
      <c r="S441" s="72" t="s">
        <v>322</v>
      </c>
      <c r="T441" s="80" t="s">
        <v>4</v>
      </c>
      <c r="U441" s="72" t="s">
        <v>29</v>
      </c>
      <c r="V441" s="72" t="s">
        <v>1932</v>
      </c>
      <c r="W441" s="72" t="s">
        <v>1936</v>
      </c>
      <c r="X441" s="72" t="s">
        <v>129</v>
      </c>
      <c r="Y441" s="72" t="s">
        <v>3028</v>
      </c>
      <c r="Z441" s="72" t="s">
        <v>129</v>
      </c>
      <c r="AA441" s="147" t="s">
        <v>129</v>
      </c>
    </row>
    <row r="442" spans="1:27" ht="18.600000000000001" customHeight="1">
      <c r="A442" s="140" t="str">
        <f>IF(priority(Main[[#This Row],[Comments]])&lt;&gt;0, priority(Main[[#This Row],[Comments]]),"")</f>
        <v/>
      </c>
      <c r="B442" s="90" t="s">
        <v>1349</v>
      </c>
      <c r="C442" s="72" t="s">
        <v>31</v>
      </c>
      <c r="D442" s="73" t="s">
        <v>421</v>
      </c>
      <c r="E442" s="74"/>
      <c r="F442" s="74">
        <v>40330</v>
      </c>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422</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40210</v>
      </c>
      <c r="R442" s="74"/>
      <c r="S442" s="72" t="s">
        <v>11</v>
      </c>
      <c r="T442" s="80" t="s">
        <v>4</v>
      </c>
      <c r="U442" s="72" t="s">
        <v>14</v>
      </c>
      <c r="V442" s="72" t="s">
        <v>1935</v>
      </c>
      <c r="W442" s="72" t="s">
        <v>1938</v>
      </c>
      <c r="X442" s="72" t="s">
        <v>2915</v>
      </c>
      <c r="Y442" s="72" t="s">
        <v>3038</v>
      </c>
      <c r="Z442" s="72" t="s">
        <v>4</v>
      </c>
      <c r="AA442" s="147" t="s">
        <v>2915</v>
      </c>
    </row>
    <row r="443" spans="1:27" ht="18.600000000000001" customHeight="1">
      <c r="A443" s="140" t="str">
        <f>IF(priority(Main[[#This Row],[Comments]])&lt;&gt;0, priority(Main[[#This Row],[Comments]]),"")</f>
        <v/>
      </c>
      <c r="B443" s="90" t="s">
        <v>1350</v>
      </c>
      <c r="C443" s="72" t="s">
        <v>4</v>
      </c>
      <c r="D443" s="73" t="s">
        <v>423</v>
      </c>
      <c r="E443" s="74">
        <v>40305.512083333335</v>
      </c>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v>40312</v>
      </c>
      <c r="R443" s="74"/>
      <c r="S443" s="72" t="s">
        <v>6</v>
      </c>
      <c r="T443" s="80" t="s">
        <v>4</v>
      </c>
      <c r="U443" s="72" t="s">
        <v>7</v>
      </c>
      <c r="V443" s="72" t="s">
        <v>1932</v>
      </c>
      <c r="W443" s="72" t="s">
        <v>4</v>
      </c>
      <c r="X443" s="72" t="s">
        <v>102</v>
      </c>
      <c r="Y443" s="72" t="s">
        <v>3106</v>
      </c>
      <c r="Z443" s="72" t="s">
        <v>4</v>
      </c>
      <c r="AA443" s="147" t="s">
        <v>3650</v>
      </c>
    </row>
    <row r="444" spans="1:27" ht="18.600000000000001" customHeight="1">
      <c r="A444" s="140" t="str">
        <f>IF(priority(Main[[#This Row],[Comments]])&lt;&gt;0, priority(Main[[#This Row],[Comments]]),"")</f>
        <v/>
      </c>
      <c r="B444" s="90" t="s">
        <v>1311</v>
      </c>
      <c r="C444" s="72" t="s">
        <v>31</v>
      </c>
      <c r="D444" s="73" t="s">
        <v>375</v>
      </c>
      <c r="E444" s="74"/>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81"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v>40318</v>
      </c>
      <c r="R444" s="74"/>
      <c r="S444" s="72" t="s">
        <v>11</v>
      </c>
      <c r="T444" s="80" t="s">
        <v>4</v>
      </c>
      <c r="U444" s="72" t="s">
        <v>14</v>
      </c>
      <c r="V444" s="72" t="s">
        <v>1935</v>
      </c>
      <c r="W444" s="72" t="s">
        <v>1934</v>
      </c>
      <c r="X444" s="72" t="s">
        <v>2921</v>
      </c>
      <c r="Y444" s="72" t="s">
        <v>4</v>
      </c>
      <c r="Z444" s="72" t="s">
        <v>4</v>
      </c>
      <c r="AA444" s="147" t="s">
        <v>2921</v>
      </c>
    </row>
    <row r="445" spans="1:27" ht="18.600000000000001" customHeight="1">
      <c r="A445" s="140" t="str">
        <f>IF(priority(Main[[#This Row],[Comments]])&lt;&gt;0, priority(Main[[#This Row],[Comments]]),"")</f>
        <v/>
      </c>
      <c r="B445" s="90" t="s">
        <v>1312</v>
      </c>
      <c r="C445" s="72" t="s">
        <v>4</v>
      </c>
      <c r="D445" s="73" t="s">
        <v>376</v>
      </c>
      <c r="E445" s="74">
        <v>40679.255486111113</v>
      </c>
      <c r="F445" s="74"/>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81"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v>40724</v>
      </c>
      <c r="R445" s="74"/>
      <c r="S445" s="72" t="s">
        <v>6</v>
      </c>
      <c r="T445" s="80" t="s">
        <v>4</v>
      </c>
      <c r="U445" s="72" t="s">
        <v>7</v>
      </c>
      <c r="V445" s="72" t="s">
        <v>1932</v>
      </c>
      <c r="W445" s="72" t="s">
        <v>4</v>
      </c>
      <c r="X445" s="72" t="s">
        <v>2913</v>
      </c>
      <c r="Y445" s="72" t="s">
        <v>3033</v>
      </c>
      <c r="Z445" s="72" t="s">
        <v>4</v>
      </c>
      <c r="AA445" s="147" t="s">
        <v>2913</v>
      </c>
    </row>
    <row r="446" spans="1:27" ht="18.600000000000001" customHeight="1">
      <c r="A446" s="140" t="str">
        <f>IF(priority(Main[[#This Row],[Comments]])&lt;&gt;0, priority(Main[[#This Row],[Comments]]),"")</f>
        <v/>
      </c>
      <c r="B446" s="90" t="s">
        <v>1313</v>
      </c>
      <c r="C446" s="72" t="s">
        <v>4</v>
      </c>
      <c r="D446" s="73" t="s">
        <v>377</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11</v>
      </c>
      <c r="T446" s="80" t="s">
        <v>4</v>
      </c>
      <c r="U446" s="72" t="s">
        <v>14</v>
      </c>
      <c r="V446" s="72" t="s">
        <v>1935</v>
      </c>
      <c r="W446" s="72" t="s">
        <v>1943</v>
      </c>
      <c r="X446" s="72" t="s">
        <v>310</v>
      </c>
      <c r="Y446" s="72" t="s">
        <v>4</v>
      </c>
      <c r="Z446" s="72" t="s">
        <v>4</v>
      </c>
      <c r="AA446" s="147" t="s">
        <v>3638</v>
      </c>
    </row>
    <row r="447" spans="1:27" ht="18.600000000000001" customHeight="1">
      <c r="A447" s="140" t="str">
        <f>IF(priority(Main[[#This Row],[Comments]])&lt;&gt;0, priority(Main[[#This Row],[Comments]]),"")</f>
        <v/>
      </c>
      <c r="B447" s="90" t="s">
        <v>2003</v>
      </c>
      <c r="C447" s="72" t="s">
        <v>4</v>
      </c>
      <c r="D447" s="73" t="s">
        <v>2004</v>
      </c>
      <c r="E447" s="74"/>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72"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c r="R447" s="74"/>
      <c r="S447" s="72" t="s">
        <v>11</v>
      </c>
      <c r="T447" s="80" t="s">
        <v>4</v>
      </c>
      <c r="U447" s="72" t="s">
        <v>12</v>
      </c>
      <c r="V447" s="72" t="s">
        <v>1932</v>
      </c>
      <c r="W447" s="72" t="s">
        <v>1936</v>
      </c>
      <c r="X447" s="72" t="s">
        <v>949</v>
      </c>
      <c r="Y447" s="72" t="s">
        <v>3079</v>
      </c>
      <c r="Z447" s="72" t="s">
        <v>4</v>
      </c>
      <c r="AA447" s="147" t="s">
        <v>949</v>
      </c>
    </row>
    <row r="448" spans="1:27" ht="18.600000000000001" customHeight="1">
      <c r="A448" s="140" t="str">
        <f>IF(priority(Main[[#This Row],[Comments]])&lt;&gt;0, priority(Main[[#This Row],[Comments]]),"")</f>
        <v/>
      </c>
      <c r="B448" s="90" t="s">
        <v>1315</v>
      </c>
      <c r="C448" s="72" t="s">
        <v>4</v>
      </c>
      <c r="D448" s="73" t="s">
        <v>97</v>
      </c>
      <c r="E448" s="74"/>
      <c r="F448" s="74"/>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v>40858</v>
      </c>
      <c r="R448" s="74"/>
      <c r="S448" s="72" t="s">
        <v>17</v>
      </c>
      <c r="T448" s="80" t="s">
        <v>4</v>
      </c>
      <c r="U448" s="72" t="s">
        <v>14</v>
      </c>
      <c r="V448" s="72" t="s">
        <v>1932</v>
      </c>
      <c r="W448" s="72" t="s">
        <v>1937</v>
      </c>
      <c r="X448" s="72" t="s">
        <v>50</v>
      </c>
      <c r="Y448" s="72" t="s">
        <v>3054</v>
      </c>
      <c r="Z448" s="72" t="s">
        <v>4</v>
      </c>
      <c r="AA448" s="147" t="s">
        <v>2919</v>
      </c>
    </row>
    <row r="449" spans="1:27" ht="18.600000000000001" customHeight="1">
      <c r="A449" s="140" t="str">
        <f>IF(priority(Main[[#This Row],[Comments]])&lt;&gt;0, priority(Main[[#This Row],[Comments]]),"")</f>
        <v/>
      </c>
      <c r="B449" s="90" t="s">
        <v>1316</v>
      </c>
      <c r="C449" s="72" t="s">
        <v>95</v>
      </c>
      <c r="D449" s="73" t="s">
        <v>379</v>
      </c>
      <c r="E449" s="74"/>
      <c r="F449" s="74">
        <v>40195</v>
      </c>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v>40070</v>
      </c>
      <c r="R449" s="74"/>
      <c r="S449" s="72" t="s">
        <v>11</v>
      </c>
      <c r="T449" s="80" t="s">
        <v>4</v>
      </c>
      <c r="U449" s="72" t="s">
        <v>14</v>
      </c>
      <c r="V449" s="72" t="s">
        <v>1935</v>
      </c>
      <c r="W449" s="72" t="s">
        <v>1938</v>
      </c>
      <c r="X449" s="72" t="s">
        <v>2967</v>
      </c>
      <c r="Y449" s="72" t="s">
        <v>4</v>
      </c>
      <c r="Z449" s="72" t="s">
        <v>4</v>
      </c>
      <c r="AA449" s="147" t="s">
        <v>3648</v>
      </c>
    </row>
    <row r="450" spans="1:27" ht="18.600000000000001" customHeight="1">
      <c r="A450" s="140" t="str">
        <f>IF(priority(Main[[#This Row],[Comments]])&lt;&gt;0, priority(Main[[#This Row],[Comments]]),"")</f>
        <v/>
      </c>
      <c r="B450" s="137" t="s">
        <v>1844</v>
      </c>
      <c r="C450" s="130" t="s">
        <v>4</v>
      </c>
      <c r="D450" s="131" t="s">
        <v>889</v>
      </c>
      <c r="E450" s="132">
        <v>40122.528101851851</v>
      </c>
      <c r="F450" s="132"/>
      <c r="G450" s="133" t="str">
        <f>IF(stdProdLT(Main[[#This Row],[Comments]])=0.1,"N/A",IF(stdProdLT(Main[[#This Row],[Comments]])=0,"",stdProdLT(Main[[#This Row],[Comments]])))</f>
        <v/>
      </c>
      <c r="H450" s="134" t="str">
        <f>IF(AND(Main[[#This Row],[In Stock Date]]&lt;&gt;"",Main[[#This Row],[Revised Due Date]]&lt;&gt;""),Main[[#This Row],[In Stock Date]]-Main[[#This Row],[Revised Due Date]],"")</f>
        <v/>
      </c>
      <c r="I450" s="130" t="s">
        <v>4</v>
      </c>
      <c r="J450" s="130" t="s">
        <v>4</v>
      </c>
      <c r="K450" s="130" t="s">
        <v>4</v>
      </c>
      <c r="L450" s="132"/>
      <c r="M450" s="135" t="str">
        <f>IF(Main[[#This Row],[Tech Start Date]]&lt;1/1/1990,"",IF(Main[[#This Row],[Class]]="C",WORKDAY(Main[[#This Row],[Tech Start Date]],9),IF(Main[[#This Row],[Class]]="B", WORKDAY(Main[[#This Row],[Tech Start Date]],6),IF(Main[[#This Row],[Class]]="A",WORKDAY(Main[[#This Row],[Tech Start Date]],2),""))))</f>
        <v/>
      </c>
      <c r="N450" s="135" t="str">
        <f>IF(Main[[#This Row],[Tech Start Date]]&lt;1/1/1990,"",IF(Main[[#This Row],[Class]]="C",WORKDAY(Main[[#This Row],[Tech Start Date]],19),IF(Main[[#This Row],[Class]]="B", WORKDAY(Main[[#This Row],[Tech Start Date]],12),IF(Main[[#This Row],[Class]]="A",WORKDAY(Main[[#This Row],[Tech Start Date]],4),""))))</f>
        <v/>
      </c>
      <c r="O450" s="135" t="str">
        <f>IF(Main[[#This Row],[Tech Start Date]]&lt;1/1/1990,"",IF(Main[[#This Row],[Class]]="C",WORKDAY(Main[[#This Row],[Tech Start Date]],23),IF(Main[[#This Row],[Class]]="B", WORKDAY(Main[[#This Row],[Tech Start Date]],15),IF(Main[[#This Row],[Class]]="A",WORKDAY(Main[[#This Row],[Tech Start Date]],5),""))))</f>
        <v/>
      </c>
      <c r="P450" s="135" t="str">
        <f>IF(Main[[#This Row],[Tech Start Date]]&lt;1/1/1990,"",IF(Main[[#This Row],[Class]]="C",WORKDAY(Main[[#This Row],[Tech Start Date]],28),IF(Main[[#This Row],[Class]]="B", WORKDAY(Main[[#This Row],[Tech Start Date]],19),IF(Main[[#This Row],[Class]]="A",WORKDAY(Main[[#This Row],[Tech Start Date]],9),""))))</f>
        <v/>
      </c>
      <c r="Q450" s="132"/>
      <c r="R450" s="132">
        <v>40368</v>
      </c>
      <c r="S450" s="130" t="s">
        <v>17</v>
      </c>
      <c r="T450" s="136" t="s">
        <v>4</v>
      </c>
      <c r="U450" s="130" t="s">
        <v>29</v>
      </c>
      <c r="V450" s="130" t="s">
        <v>1933</v>
      </c>
      <c r="W450" s="130" t="s">
        <v>1937</v>
      </c>
      <c r="X450" s="130" t="s">
        <v>2953</v>
      </c>
      <c r="Y450" s="130" t="s">
        <v>3101</v>
      </c>
      <c r="Z450" s="130" t="s">
        <v>4</v>
      </c>
      <c r="AA450" s="147" t="s">
        <v>2953</v>
      </c>
    </row>
    <row r="451" spans="1:27" ht="18.600000000000001" customHeight="1">
      <c r="A451" s="140" t="str">
        <f>IF(priority(Main[[#This Row],[Comments]])&lt;&gt;0, priority(Main[[#This Row],[Comments]]),"")</f>
        <v/>
      </c>
      <c r="B451" s="90" t="s">
        <v>1870</v>
      </c>
      <c r="C451" s="72" t="s">
        <v>67</v>
      </c>
      <c r="D451" s="73" t="s">
        <v>919</v>
      </c>
      <c r="E451" s="74">
        <v>39981.49927083333</v>
      </c>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986</v>
      </c>
      <c r="J451" s="72" t="s">
        <v>4</v>
      </c>
      <c r="K451" s="72" t="s">
        <v>1944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v>40057</v>
      </c>
      <c r="R451" s="74">
        <v>40908</v>
      </c>
      <c r="S451" s="72" t="s">
        <v>17</v>
      </c>
      <c r="T451" s="80" t="s">
        <v>4</v>
      </c>
      <c r="U451" s="72" t="s">
        <v>29</v>
      </c>
      <c r="V451" s="72" t="s">
        <v>1935</v>
      </c>
      <c r="W451" s="72" t="s">
        <v>1937</v>
      </c>
      <c r="X451" s="72" t="s">
        <v>2911</v>
      </c>
      <c r="Y451" s="72" t="s">
        <v>3123</v>
      </c>
      <c r="Z451" s="72" t="s">
        <v>420</v>
      </c>
      <c r="AA451" s="147" t="s">
        <v>3651</v>
      </c>
    </row>
    <row r="452" spans="1:27" ht="18.600000000000001" customHeight="1">
      <c r="A452" s="140" t="str">
        <f>IF(priority(Main[[#This Row],[Comments]])&lt;&gt;0, priority(Main[[#This Row],[Comments]]),"")</f>
        <v/>
      </c>
      <c r="B452" s="90" t="s">
        <v>2102</v>
      </c>
      <c r="C452" s="72" t="s">
        <v>963</v>
      </c>
      <c r="D452" s="73" t="s">
        <v>2103</v>
      </c>
      <c r="E452" s="74"/>
      <c r="F452" s="74">
        <v>40871</v>
      </c>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c r="R452" s="74"/>
      <c r="S452" s="72" t="s">
        <v>11</v>
      </c>
      <c r="T452" s="80" t="s">
        <v>4</v>
      </c>
      <c r="U452" s="72" t="s">
        <v>14</v>
      </c>
      <c r="V452" s="72" t="s">
        <v>1935</v>
      </c>
      <c r="W452" s="72" t="s">
        <v>1940</v>
      </c>
      <c r="X452" s="72" t="s">
        <v>50</v>
      </c>
      <c r="Y452" s="72" t="s">
        <v>3056</v>
      </c>
      <c r="Z452" s="72" t="s">
        <v>4</v>
      </c>
      <c r="AA452" s="147" t="s">
        <v>50</v>
      </c>
    </row>
    <row r="453" spans="1:27" ht="18.600000000000001" customHeight="1">
      <c r="A453" s="140" t="str">
        <f>IF(priority(Main[[#This Row],[Comments]])&lt;&gt;0, priority(Main[[#This Row],[Comments]]),"")</f>
        <v/>
      </c>
      <c r="B453" s="90" t="s">
        <v>1317</v>
      </c>
      <c r="C453" s="72" t="s">
        <v>380</v>
      </c>
      <c r="D453" s="73" t="s">
        <v>381</v>
      </c>
      <c r="E453" s="74">
        <v>39952.325474537036</v>
      </c>
      <c r="F453" s="74"/>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c r="R453" s="74"/>
      <c r="S453" s="72" t="s">
        <v>17</v>
      </c>
      <c r="T453" s="80" t="s">
        <v>4</v>
      </c>
      <c r="U453" s="72" t="s">
        <v>7</v>
      </c>
      <c r="V453" s="72" t="s">
        <v>1935</v>
      </c>
      <c r="W453" s="72" t="s">
        <v>4</v>
      </c>
      <c r="X453" s="72" t="s">
        <v>2971</v>
      </c>
      <c r="Y453" s="72" t="s">
        <v>4</v>
      </c>
      <c r="Z453" s="72" t="s">
        <v>4</v>
      </c>
      <c r="AA453" s="147" t="s">
        <v>2971</v>
      </c>
    </row>
    <row r="454" spans="1:27" ht="18.600000000000001" customHeight="1">
      <c r="A454" s="140" t="str">
        <f>IF(priority(Main[[#This Row],[Comments]])&lt;&gt;0, priority(Main[[#This Row],[Comments]]),"")</f>
        <v/>
      </c>
      <c r="B454" s="124" t="s">
        <v>1318</v>
      </c>
      <c r="C454" s="117" t="s">
        <v>382</v>
      </c>
      <c r="D454" s="118" t="s">
        <v>383</v>
      </c>
      <c r="E454" s="119"/>
      <c r="F454" s="119">
        <v>40228</v>
      </c>
      <c r="G454" s="120" t="str">
        <f>IF(stdProdLT(Main[[#This Row],[Comments]])=0.1,"N/A",IF(stdProdLT(Main[[#This Row],[Comments]])=0,"",stdProdLT(Main[[#This Row],[Comments]])))</f>
        <v/>
      </c>
      <c r="H454" s="121" t="str">
        <f>IF(AND(Main[[#This Row],[In Stock Date]]&lt;&gt;"",Main[[#This Row],[Revised Due Date]]&lt;&gt;""),Main[[#This Row],[In Stock Date]]-Main[[#This Row],[Revised Due Date]],"")</f>
        <v/>
      </c>
      <c r="I454" s="117" t="s">
        <v>4</v>
      </c>
      <c r="J454" s="117" t="s">
        <v>4</v>
      </c>
      <c r="K454" s="117" t="s">
        <v>4</v>
      </c>
      <c r="L454" s="119"/>
      <c r="M454" s="122" t="str">
        <f>IF(Main[[#This Row],[Tech Start Date]]&lt;1/1/1990,"",IF(Main[[#This Row],[Class]]="C",WORKDAY(Main[[#This Row],[Tech Start Date]],9),IF(Main[[#This Row],[Class]]="B", WORKDAY(Main[[#This Row],[Tech Start Date]],6),IF(Main[[#This Row],[Class]]="A",WORKDAY(Main[[#This Row],[Tech Start Date]],2),""))))</f>
        <v/>
      </c>
      <c r="N454" s="122" t="str">
        <f>IF(Main[[#This Row],[Tech Start Date]]&lt;1/1/1990,"",IF(Main[[#This Row],[Class]]="C",WORKDAY(Main[[#This Row],[Tech Start Date]],19),IF(Main[[#This Row],[Class]]="B", WORKDAY(Main[[#This Row],[Tech Start Date]],12),IF(Main[[#This Row],[Class]]="A",WORKDAY(Main[[#This Row],[Tech Start Date]],4),""))))</f>
        <v/>
      </c>
      <c r="O454" s="122" t="str">
        <f>IF(Main[[#This Row],[Tech Start Date]]&lt;1/1/1990,"",IF(Main[[#This Row],[Class]]="C",WORKDAY(Main[[#This Row],[Tech Start Date]],23),IF(Main[[#This Row],[Class]]="B", WORKDAY(Main[[#This Row],[Tech Start Date]],15),IF(Main[[#This Row],[Class]]="A",WORKDAY(Main[[#This Row],[Tech Start Date]],5),""))))</f>
        <v/>
      </c>
      <c r="P454" s="122" t="str">
        <f>IF(Main[[#This Row],[Tech Start Date]]&lt;1/1/1990,"",IF(Main[[#This Row],[Class]]="C",WORKDAY(Main[[#This Row],[Tech Start Date]],28),IF(Main[[#This Row],[Class]]="B", WORKDAY(Main[[#This Row],[Tech Start Date]],19),IF(Main[[#This Row],[Class]]="A",WORKDAY(Main[[#This Row],[Tech Start Date]],9),""))))</f>
        <v/>
      </c>
      <c r="Q454" s="119">
        <v>40153</v>
      </c>
      <c r="R454" s="119"/>
      <c r="S454" s="117" t="s">
        <v>11</v>
      </c>
      <c r="T454" s="123" t="s">
        <v>4</v>
      </c>
      <c r="U454" s="117" t="s">
        <v>14</v>
      </c>
      <c r="V454" s="117" t="s">
        <v>1935</v>
      </c>
      <c r="W454" s="117" t="s">
        <v>1940</v>
      </c>
      <c r="X454" s="117" t="s">
        <v>2954</v>
      </c>
      <c r="Y454" s="117" t="s">
        <v>4</v>
      </c>
      <c r="Z454" s="117" t="s">
        <v>4</v>
      </c>
      <c r="AA454" s="147" t="s">
        <v>2954</v>
      </c>
    </row>
    <row r="455" spans="1:27" ht="18.600000000000001" customHeight="1">
      <c r="A455" s="140" t="str">
        <f>IF(priority(Main[[#This Row],[Comments]])&lt;&gt;0, priority(Main[[#This Row],[Comments]]),"")</f>
        <v/>
      </c>
      <c r="B455" s="90" t="s">
        <v>1320</v>
      </c>
      <c r="C455" s="72" t="s">
        <v>384</v>
      </c>
      <c r="D455" s="73" t="s">
        <v>385</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c r="R455" s="74"/>
      <c r="S455" s="72" t="s">
        <v>11</v>
      </c>
      <c r="T455" s="80" t="s">
        <v>4</v>
      </c>
      <c r="U455" s="72" t="s">
        <v>14</v>
      </c>
      <c r="V455" s="72" t="s">
        <v>1933</v>
      </c>
      <c r="W455" s="72" t="s">
        <v>1940</v>
      </c>
      <c r="X455" s="72" t="s">
        <v>2918</v>
      </c>
      <c r="Y455" s="72" t="s">
        <v>3043</v>
      </c>
      <c r="Z455" s="72" t="s">
        <v>4</v>
      </c>
      <c r="AA455" s="147" t="s">
        <v>2918</v>
      </c>
    </row>
    <row r="456" spans="1:27" ht="18.600000000000001" customHeight="1">
      <c r="A456" s="140" t="str">
        <f>IF(priority(Main[[#This Row],[Comments]])&lt;&gt;0, priority(Main[[#This Row],[Comments]]),"")</f>
        <v/>
      </c>
      <c r="B456" s="90" t="s">
        <v>1321</v>
      </c>
      <c r="C456" s="72" t="s">
        <v>386</v>
      </c>
      <c r="D456" s="73" t="s">
        <v>387</v>
      </c>
      <c r="E456" s="74"/>
      <c r="F456" s="74"/>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72"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c r="R456" s="74"/>
      <c r="S456" s="72" t="s">
        <v>11</v>
      </c>
      <c r="T456" s="80" t="s">
        <v>4</v>
      </c>
      <c r="U456" s="72" t="s">
        <v>14</v>
      </c>
      <c r="V456" s="72" t="s">
        <v>1933</v>
      </c>
      <c r="W456" s="72" t="s">
        <v>1940</v>
      </c>
      <c r="X456" s="72" t="s">
        <v>2918</v>
      </c>
      <c r="Y456" s="72" t="s">
        <v>3043</v>
      </c>
      <c r="Z456" s="72" t="s">
        <v>4</v>
      </c>
      <c r="AA456" s="147" t="s">
        <v>2918</v>
      </c>
    </row>
    <row r="457" spans="1:27" ht="18.600000000000001" customHeight="1">
      <c r="A457" s="140" t="str">
        <f>IF(priority(Main[[#This Row],[Comments]])&lt;&gt;0, priority(Main[[#This Row],[Comments]]),"")</f>
        <v/>
      </c>
      <c r="B457" s="90" t="s">
        <v>1343</v>
      </c>
      <c r="C457" s="72" t="s">
        <v>93</v>
      </c>
      <c r="D457" s="73" t="s">
        <v>388</v>
      </c>
      <c r="E457" s="74"/>
      <c r="F457" s="74">
        <v>40299</v>
      </c>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v>40209</v>
      </c>
      <c r="R457" s="74"/>
      <c r="S457" s="72" t="s">
        <v>11</v>
      </c>
      <c r="T457" s="80" t="s">
        <v>4</v>
      </c>
      <c r="U457" s="72" t="s">
        <v>14</v>
      </c>
      <c r="V457" s="72" t="s">
        <v>1932</v>
      </c>
      <c r="W457" s="72" t="s">
        <v>1943</v>
      </c>
      <c r="X457" s="72" t="s">
        <v>2936</v>
      </c>
      <c r="Y457" s="72" t="s">
        <v>4</v>
      </c>
      <c r="Z457" s="72" t="s">
        <v>4</v>
      </c>
      <c r="AA457" s="147" t="s">
        <v>2936</v>
      </c>
    </row>
    <row r="458" spans="1:27" ht="18.600000000000001" customHeight="1">
      <c r="A458" s="140" t="str">
        <f>IF(priority(Main[[#This Row],[Comments]])&lt;&gt;0, priority(Main[[#This Row],[Comments]]),"")</f>
        <v/>
      </c>
      <c r="B458" s="90" t="s">
        <v>2106</v>
      </c>
      <c r="C458" s="72" t="s">
        <v>4</v>
      </c>
      <c r="D458" s="73" t="s">
        <v>2107</v>
      </c>
      <c r="E458" s="74">
        <v>40763.356041666666</v>
      </c>
      <c r="F458" s="74"/>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923</v>
      </c>
      <c r="J458" s="72" t="s">
        <v>52</v>
      </c>
      <c r="K458" s="81" t="s">
        <v>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v>40787</v>
      </c>
      <c r="R458" s="74"/>
      <c r="S458" s="72" t="s">
        <v>6</v>
      </c>
      <c r="T458" s="80" t="s">
        <v>4</v>
      </c>
      <c r="U458" s="72" t="s">
        <v>29</v>
      </c>
      <c r="V458" s="72" t="s">
        <v>1932</v>
      </c>
      <c r="W458" s="72" t="s">
        <v>4</v>
      </c>
      <c r="X458" s="72" t="s">
        <v>2913</v>
      </c>
      <c r="Y458" s="72" t="s">
        <v>3033</v>
      </c>
      <c r="Z458" s="72" t="s">
        <v>129</v>
      </c>
      <c r="AA458" s="147" t="s">
        <v>2913</v>
      </c>
    </row>
    <row r="459" spans="1:27" ht="18.600000000000001" customHeight="1">
      <c r="A459" s="140" t="str">
        <f>IF(priority(Main[[#This Row],[Comments]])&lt;&gt;0, priority(Main[[#This Row],[Comments]]),"")</f>
        <v/>
      </c>
      <c r="B459" s="90" t="s">
        <v>1680</v>
      </c>
      <c r="C459" s="72" t="s">
        <v>4</v>
      </c>
      <c r="D459" s="73" t="s">
        <v>735</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905</v>
      </c>
      <c r="J459" s="72" t="s">
        <v>52</v>
      </c>
      <c r="K459" s="81" t="s">
        <v>1941</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v>40581</v>
      </c>
      <c r="R459" s="74"/>
      <c r="S459" s="72" t="s">
        <v>6</v>
      </c>
      <c r="T459" s="80" t="s">
        <v>4</v>
      </c>
      <c r="U459" s="72" t="s">
        <v>14</v>
      </c>
      <c r="V459" s="72" t="s">
        <v>1935</v>
      </c>
      <c r="W459" s="72" t="s">
        <v>1936</v>
      </c>
      <c r="X459" s="72" t="s">
        <v>2910</v>
      </c>
      <c r="Y459" s="72" t="s">
        <v>3027</v>
      </c>
      <c r="Z459" s="72" t="s">
        <v>44</v>
      </c>
      <c r="AA459" s="147" t="s">
        <v>2910</v>
      </c>
    </row>
    <row r="460" spans="1:27" ht="18.600000000000001" customHeight="1">
      <c r="A460" s="140" t="str">
        <f>IF(priority(Main[[#This Row],[Comments]])&lt;&gt;0, priority(Main[[#This Row],[Comments]]),"")</f>
        <v/>
      </c>
      <c r="B460" s="137" t="s">
        <v>1344</v>
      </c>
      <c r="C460" s="130" t="s">
        <v>31</v>
      </c>
      <c r="D460" s="131" t="s">
        <v>389</v>
      </c>
      <c r="E460" s="132"/>
      <c r="F460" s="132"/>
      <c r="G460" s="133" t="str">
        <f>IF(stdProdLT(Main[[#This Row],[Comments]])=0.1,"N/A",IF(stdProdLT(Main[[#This Row],[Comments]])=0,"",stdProdLT(Main[[#This Row],[Comments]])))</f>
        <v/>
      </c>
      <c r="H460" s="134" t="str">
        <f>IF(AND(Main[[#This Row],[In Stock Date]]&lt;&gt;"",Main[[#This Row],[Revised Due Date]]&lt;&gt;""),Main[[#This Row],[In Stock Date]]-Main[[#This Row],[Revised Due Date]],"")</f>
        <v/>
      </c>
      <c r="I460" s="130" t="s">
        <v>4</v>
      </c>
      <c r="J460" s="130" t="s">
        <v>4</v>
      </c>
      <c r="K460" s="130" t="s">
        <v>4</v>
      </c>
      <c r="L460" s="132"/>
      <c r="M460" s="135" t="str">
        <f>IF(Main[[#This Row],[Tech Start Date]]&lt;1/1/1990,"",IF(Main[[#This Row],[Class]]="C",WORKDAY(Main[[#This Row],[Tech Start Date]],9),IF(Main[[#This Row],[Class]]="B", WORKDAY(Main[[#This Row],[Tech Start Date]],6),IF(Main[[#This Row],[Class]]="A",WORKDAY(Main[[#This Row],[Tech Start Date]],2),""))))</f>
        <v/>
      </c>
      <c r="N460" s="135" t="str">
        <f>IF(Main[[#This Row],[Tech Start Date]]&lt;1/1/1990,"",IF(Main[[#This Row],[Class]]="C",WORKDAY(Main[[#This Row],[Tech Start Date]],19),IF(Main[[#This Row],[Class]]="B", WORKDAY(Main[[#This Row],[Tech Start Date]],12),IF(Main[[#This Row],[Class]]="A",WORKDAY(Main[[#This Row],[Tech Start Date]],4),""))))</f>
        <v/>
      </c>
      <c r="O460" s="135" t="str">
        <f>IF(Main[[#This Row],[Tech Start Date]]&lt;1/1/1990,"",IF(Main[[#This Row],[Class]]="C",WORKDAY(Main[[#This Row],[Tech Start Date]],23),IF(Main[[#This Row],[Class]]="B", WORKDAY(Main[[#This Row],[Tech Start Date]],15),IF(Main[[#This Row],[Class]]="A",WORKDAY(Main[[#This Row],[Tech Start Date]],5),""))))</f>
        <v/>
      </c>
      <c r="P460" s="135" t="str">
        <f>IF(Main[[#This Row],[Tech Start Date]]&lt;1/1/1990,"",IF(Main[[#This Row],[Class]]="C",WORKDAY(Main[[#This Row],[Tech Start Date]],28),IF(Main[[#This Row],[Class]]="B", WORKDAY(Main[[#This Row],[Tech Start Date]],19),IF(Main[[#This Row],[Class]]="A",WORKDAY(Main[[#This Row],[Tech Start Date]],9),""))))</f>
        <v/>
      </c>
      <c r="Q460" s="132">
        <v>40318</v>
      </c>
      <c r="R460" s="132"/>
      <c r="S460" s="130" t="s">
        <v>11</v>
      </c>
      <c r="T460" s="136" t="s">
        <v>4</v>
      </c>
      <c r="U460" s="130" t="s">
        <v>14</v>
      </c>
      <c r="V460" s="130" t="s">
        <v>1935</v>
      </c>
      <c r="W460" s="130" t="s">
        <v>1934</v>
      </c>
      <c r="X460" s="130" t="s">
        <v>2921</v>
      </c>
      <c r="Y460" s="130" t="s">
        <v>4</v>
      </c>
      <c r="Z460" s="130" t="s">
        <v>4</v>
      </c>
      <c r="AA460" s="147" t="s">
        <v>2921</v>
      </c>
    </row>
    <row r="461" spans="1:27" ht="18.600000000000001" customHeight="1">
      <c r="A461" s="140" t="str">
        <f>IF(priority(Main[[#This Row],[Comments]])&lt;&gt;0, priority(Main[[#This Row],[Comments]]),"")</f>
        <v/>
      </c>
      <c r="B461" s="137" t="s">
        <v>1345</v>
      </c>
      <c r="C461" s="130" t="s">
        <v>31</v>
      </c>
      <c r="D461" s="131" t="s">
        <v>390</v>
      </c>
      <c r="E461" s="132"/>
      <c r="F461" s="132"/>
      <c r="G461" s="133" t="str">
        <f>IF(stdProdLT(Main[[#This Row],[Comments]])=0.1,"N/A",IF(stdProdLT(Main[[#This Row],[Comments]])=0,"",stdProdLT(Main[[#This Row],[Comments]])))</f>
        <v/>
      </c>
      <c r="H461" s="134" t="str">
        <f>IF(AND(Main[[#This Row],[In Stock Date]]&lt;&gt;"",Main[[#This Row],[Revised Due Date]]&lt;&gt;""),Main[[#This Row],[In Stock Date]]-Main[[#This Row],[Revised Due Date]],"")</f>
        <v/>
      </c>
      <c r="I461" s="130" t="s">
        <v>4</v>
      </c>
      <c r="J461" s="130" t="s">
        <v>4</v>
      </c>
      <c r="K461" s="130" t="s">
        <v>4</v>
      </c>
      <c r="L461" s="132"/>
      <c r="M461" s="135" t="str">
        <f>IF(Main[[#This Row],[Tech Start Date]]&lt;1/1/1990,"",IF(Main[[#This Row],[Class]]="C",WORKDAY(Main[[#This Row],[Tech Start Date]],9),IF(Main[[#This Row],[Class]]="B", WORKDAY(Main[[#This Row],[Tech Start Date]],6),IF(Main[[#This Row],[Class]]="A",WORKDAY(Main[[#This Row],[Tech Start Date]],2),""))))</f>
        <v/>
      </c>
      <c r="N461" s="135" t="str">
        <f>IF(Main[[#This Row],[Tech Start Date]]&lt;1/1/1990,"",IF(Main[[#This Row],[Class]]="C",WORKDAY(Main[[#This Row],[Tech Start Date]],19),IF(Main[[#This Row],[Class]]="B", WORKDAY(Main[[#This Row],[Tech Start Date]],12),IF(Main[[#This Row],[Class]]="A",WORKDAY(Main[[#This Row],[Tech Start Date]],4),""))))</f>
        <v/>
      </c>
      <c r="O461" s="135" t="str">
        <f>IF(Main[[#This Row],[Tech Start Date]]&lt;1/1/1990,"",IF(Main[[#This Row],[Class]]="C",WORKDAY(Main[[#This Row],[Tech Start Date]],23),IF(Main[[#This Row],[Class]]="B", WORKDAY(Main[[#This Row],[Tech Start Date]],15),IF(Main[[#This Row],[Class]]="A",WORKDAY(Main[[#This Row],[Tech Start Date]],5),""))))</f>
        <v/>
      </c>
      <c r="P461" s="135" t="str">
        <f>IF(Main[[#This Row],[Tech Start Date]]&lt;1/1/1990,"",IF(Main[[#This Row],[Class]]="C",WORKDAY(Main[[#This Row],[Tech Start Date]],28),IF(Main[[#This Row],[Class]]="B", WORKDAY(Main[[#This Row],[Tech Start Date]],19),IF(Main[[#This Row],[Class]]="A",WORKDAY(Main[[#This Row],[Tech Start Date]],9),""))))</f>
        <v/>
      </c>
      <c r="Q461" s="132">
        <v>40318</v>
      </c>
      <c r="R461" s="132"/>
      <c r="S461" s="130" t="s">
        <v>11</v>
      </c>
      <c r="T461" s="136" t="s">
        <v>4</v>
      </c>
      <c r="U461" s="130" t="s">
        <v>14</v>
      </c>
      <c r="V461" s="130" t="s">
        <v>1942</v>
      </c>
      <c r="W461" s="130" t="s">
        <v>1943</v>
      </c>
      <c r="X461" s="130" t="s">
        <v>2921</v>
      </c>
      <c r="Y461" s="130" t="s">
        <v>4</v>
      </c>
      <c r="Z461" s="130" t="s">
        <v>4</v>
      </c>
      <c r="AA461" s="147" t="s">
        <v>2921</v>
      </c>
    </row>
    <row r="462" spans="1:27" ht="18.600000000000001" customHeight="1">
      <c r="A462" s="144" t="str">
        <f>IF(priority(Main[[#This Row],[Comments]])&lt;&gt;0, priority(Main[[#This Row],[Comments]]),"")</f>
        <v/>
      </c>
      <c r="B462" s="137" t="s">
        <v>2402</v>
      </c>
      <c r="C462" s="130" t="s">
        <v>4</v>
      </c>
      <c r="D462" s="131" t="s">
        <v>2403</v>
      </c>
      <c r="E462" s="132"/>
      <c r="F462" s="132"/>
      <c r="G462" s="133" t="str">
        <f>IF(stdProdLT(Main[[#This Row],[Comments]])=0.1,"N/A",IF(stdProdLT(Main[[#This Row],[Comments]])=0,"",stdProdLT(Main[[#This Row],[Comments]])))</f>
        <v/>
      </c>
      <c r="H462" s="134" t="str">
        <f>IF(AND(Main[[#This Row],[In Stock Date]]&lt;&gt;"",Main[[#This Row],[Revised Due Date]]&lt;&gt;""),Main[[#This Row],[In Stock Date]]-Main[[#This Row],[Revised Due Date]],"")</f>
        <v/>
      </c>
      <c r="I462" s="130" t="s">
        <v>4</v>
      </c>
      <c r="J462" s="130" t="s">
        <v>4</v>
      </c>
      <c r="K462" s="130" t="s">
        <v>4</v>
      </c>
      <c r="L462" s="132"/>
      <c r="M462" s="135" t="str">
        <f>IF(Main[[#This Row],[Tech Start Date]]&lt;1/1/1990,"",IF(Main[[#This Row],[Class]]="C",WORKDAY(Main[[#This Row],[Tech Start Date]],9),IF(Main[[#This Row],[Class]]="B", WORKDAY(Main[[#This Row],[Tech Start Date]],6),IF(Main[[#This Row],[Class]]="A",WORKDAY(Main[[#This Row],[Tech Start Date]],2),""))))</f>
        <v/>
      </c>
      <c r="N462" s="135" t="str">
        <f>IF(Main[[#This Row],[Tech Start Date]]&lt;1/1/1990,"",IF(Main[[#This Row],[Class]]="C",WORKDAY(Main[[#This Row],[Tech Start Date]],19),IF(Main[[#This Row],[Class]]="B", WORKDAY(Main[[#This Row],[Tech Start Date]],12),IF(Main[[#This Row],[Class]]="A",WORKDAY(Main[[#This Row],[Tech Start Date]],4),""))))</f>
        <v/>
      </c>
      <c r="O462" s="135" t="str">
        <f>IF(Main[[#This Row],[Tech Start Date]]&lt;1/1/1990,"",IF(Main[[#This Row],[Class]]="C",WORKDAY(Main[[#This Row],[Tech Start Date]],23),IF(Main[[#This Row],[Class]]="B", WORKDAY(Main[[#This Row],[Tech Start Date]],15),IF(Main[[#This Row],[Class]]="A",WORKDAY(Main[[#This Row],[Tech Start Date]],5),""))))</f>
        <v/>
      </c>
      <c r="P462" s="135" t="str">
        <f>IF(Main[[#This Row],[Tech Start Date]]&lt;1/1/1990,"",IF(Main[[#This Row],[Class]]="C",WORKDAY(Main[[#This Row],[Tech Start Date]],28),IF(Main[[#This Row],[Class]]="B", WORKDAY(Main[[#This Row],[Tech Start Date]],19),IF(Main[[#This Row],[Class]]="A",WORKDAY(Main[[#This Row],[Tech Start Date]],9),""))))</f>
        <v/>
      </c>
      <c r="Q462" s="132"/>
      <c r="R462" s="132"/>
      <c r="S462" s="130" t="s">
        <v>11</v>
      </c>
      <c r="T462" s="136" t="s">
        <v>4</v>
      </c>
      <c r="U462" s="130" t="s">
        <v>14</v>
      </c>
      <c r="V462" s="130" t="s">
        <v>1933</v>
      </c>
      <c r="W462" s="130" t="s">
        <v>4</v>
      </c>
      <c r="X462" s="130" t="s">
        <v>2278</v>
      </c>
      <c r="Y462" s="130" t="s">
        <v>4</v>
      </c>
      <c r="Z462" s="130" t="s">
        <v>4</v>
      </c>
      <c r="AA462" s="147" t="s">
        <v>4</v>
      </c>
    </row>
    <row r="463" spans="1:27" ht="18.600000000000001" customHeight="1">
      <c r="A463" s="140" t="str">
        <f>IF(priority(Main[[#This Row],[Comments]])&lt;&gt;0, priority(Main[[#This Row],[Comments]]),"")</f>
        <v/>
      </c>
      <c r="B463" s="137" t="s">
        <v>1346</v>
      </c>
      <c r="C463" s="130" t="s">
        <v>31</v>
      </c>
      <c r="D463" s="131" t="s">
        <v>391</v>
      </c>
      <c r="E463" s="132"/>
      <c r="F463" s="132"/>
      <c r="G463" s="133" t="str">
        <f>IF(stdProdLT(Main[[#This Row],[Comments]])=0.1,"N/A",IF(stdProdLT(Main[[#This Row],[Comments]])=0,"",stdProdLT(Main[[#This Row],[Comments]])))</f>
        <v/>
      </c>
      <c r="H463" s="134" t="str">
        <f>IF(AND(Main[[#This Row],[In Stock Date]]&lt;&gt;"",Main[[#This Row],[Revised Due Date]]&lt;&gt;""),Main[[#This Row],[In Stock Date]]-Main[[#This Row],[Revised Due Date]],"")</f>
        <v/>
      </c>
      <c r="I463" s="130" t="s">
        <v>4</v>
      </c>
      <c r="J463" s="130" t="s">
        <v>4</v>
      </c>
      <c r="K463" s="130" t="s">
        <v>4</v>
      </c>
      <c r="L463" s="132"/>
      <c r="M463" s="135" t="str">
        <f>IF(Main[[#This Row],[Tech Start Date]]&lt;1/1/1990,"",IF(Main[[#This Row],[Class]]="C",WORKDAY(Main[[#This Row],[Tech Start Date]],9),IF(Main[[#This Row],[Class]]="B", WORKDAY(Main[[#This Row],[Tech Start Date]],6),IF(Main[[#This Row],[Class]]="A",WORKDAY(Main[[#This Row],[Tech Start Date]],2),""))))</f>
        <v/>
      </c>
      <c r="N463" s="135" t="str">
        <f>IF(Main[[#This Row],[Tech Start Date]]&lt;1/1/1990,"",IF(Main[[#This Row],[Class]]="C",WORKDAY(Main[[#This Row],[Tech Start Date]],19),IF(Main[[#This Row],[Class]]="B", WORKDAY(Main[[#This Row],[Tech Start Date]],12),IF(Main[[#This Row],[Class]]="A",WORKDAY(Main[[#This Row],[Tech Start Date]],4),""))))</f>
        <v/>
      </c>
      <c r="O463" s="135" t="str">
        <f>IF(Main[[#This Row],[Tech Start Date]]&lt;1/1/1990,"",IF(Main[[#This Row],[Class]]="C",WORKDAY(Main[[#This Row],[Tech Start Date]],23),IF(Main[[#This Row],[Class]]="B", WORKDAY(Main[[#This Row],[Tech Start Date]],15),IF(Main[[#This Row],[Class]]="A",WORKDAY(Main[[#This Row],[Tech Start Date]],5),""))))</f>
        <v/>
      </c>
      <c r="P463" s="135" t="str">
        <f>IF(Main[[#This Row],[Tech Start Date]]&lt;1/1/1990,"",IF(Main[[#This Row],[Class]]="C",WORKDAY(Main[[#This Row],[Tech Start Date]],28),IF(Main[[#This Row],[Class]]="B", WORKDAY(Main[[#This Row],[Tech Start Date]],19),IF(Main[[#This Row],[Class]]="A",WORKDAY(Main[[#This Row],[Tech Start Date]],9),""))))</f>
        <v/>
      </c>
      <c r="Q463" s="132">
        <v>40318</v>
      </c>
      <c r="R463" s="132"/>
      <c r="S463" s="130" t="s">
        <v>11</v>
      </c>
      <c r="T463" s="136" t="s">
        <v>4</v>
      </c>
      <c r="U463" s="130" t="s">
        <v>14</v>
      </c>
      <c r="V463" s="130" t="s">
        <v>1942</v>
      </c>
      <c r="W463" s="130" t="s">
        <v>1934</v>
      </c>
      <c r="X463" s="130" t="s">
        <v>2921</v>
      </c>
      <c r="Y463" s="130" t="s">
        <v>4</v>
      </c>
      <c r="Z463" s="130" t="s">
        <v>4</v>
      </c>
      <c r="AA463" s="147" t="s">
        <v>2921</v>
      </c>
    </row>
    <row r="464" spans="1:27" ht="18.600000000000001" customHeight="1">
      <c r="A464" s="140" t="str">
        <f>IF(priority(Main[[#This Row],[Comments]])&lt;&gt;0, priority(Main[[#This Row],[Comments]]),"")</f>
        <v/>
      </c>
      <c r="B464" s="137" t="s">
        <v>1347</v>
      </c>
      <c r="C464" s="130" t="s">
        <v>31</v>
      </c>
      <c r="D464" s="131" t="s">
        <v>392</v>
      </c>
      <c r="E464" s="132"/>
      <c r="F464" s="132">
        <v>40288</v>
      </c>
      <c r="G464" s="133" t="str">
        <f>IF(stdProdLT(Main[[#This Row],[Comments]])=0.1,"N/A",IF(stdProdLT(Main[[#This Row],[Comments]])=0,"",stdProdLT(Main[[#This Row],[Comments]])))</f>
        <v/>
      </c>
      <c r="H464" s="134" t="str">
        <f>IF(AND(Main[[#This Row],[In Stock Date]]&lt;&gt;"",Main[[#This Row],[Revised Due Date]]&lt;&gt;""),Main[[#This Row],[In Stock Date]]-Main[[#This Row],[Revised Due Date]],"")</f>
        <v/>
      </c>
      <c r="I464" s="130" t="s">
        <v>4</v>
      </c>
      <c r="J464" s="130" t="s">
        <v>4</v>
      </c>
      <c r="K464" s="130" t="s">
        <v>4</v>
      </c>
      <c r="L464" s="132"/>
      <c r="M464" s="135" t="str">
        <f>IF(Main[[#This Row],[Tech Start Date]]&lt;1/1/1990,"",IF(Main[[#This Row],[Class]]="C",WORKDAY(Main[[#This Row],[Tech Start Date]],9),IF(Main[[#This Row],[Class]]="B", WORKDAY(Main[[#This Row],[Tech Start Date]],6),IF(Main[[#This Row],[Class]]="A",WORKDAY(Main[[#This Row],[Tech Start Date]],2),""))))</f>
        <v/>
      </c>
      <c r="N464" s="135" t="str">
        <f>IF(Main[[#This Row],[Tech Start Date]]&lt;1/1/1990,"",IF(Main[[#This Row],[Class]]="C",WORKDAY(Main[[#This Row],[Tech Start Date]],19),IF(Main[[#This Row],[Class]]="B", WORKDAY(Main[[#This Row],[Tech Start Date]],12),IF(Main[[#This Row],[Class]]="A",WORKDAY(Main[[#This Row],[Tech Start Date]],4),""))))</f>
        <v/>
      </c>
      <c r="O464" s="135" t="str">
        <f>IF(Main[[#This Row],[Tech Start Date]]&lt;1/1/1990,"",IF(Main[[#This Row],[Class]]="C",WORKDAY(Main[[#This Row],[Tech Start Date]],23),IF(Main[[#This Row],[Class]]="B", WORKDAY(Main[[#This Row],[Tech Start Date]],15),IF(Main[[#This Row],[Class]]="A",WORKDAY(Main[[#This Row],[Tech Start Date]],5),""))))</f>
        <v/>
      </c>
      <c r="P464" s="135" t="str">
        <f>IF(Main[[#This Row],[Tech Start Date]]&lt;1/1/1990,"",IF(Main[[#This Row],[Class]]="C",WORKDAY(Main[[#This Row],[Tech Start Date]],28),IF(Main[[#This Row],[Class]]="B", WORKDAY(Main[[#This Row],[Tech Start Date]],19),IF(Main[[#This Row],[Class]]="A",WORKDAY(Main[[#This Row],[Tech Start Date]],9),""))))</f>
        <v/>
      </c>
      <c r="Q464" s="132">
        <v>40106</v>
      </c>
      <c r="R464" s="132"/>
      <c r="S464" s="130" t="s">
        <v>11</v>
      </c>
      <c r="T464" s="136" t="s">
        <v>4</v>
      </c>
      <c r="U464" s="130" t="s">
        <v>14</v>
      </c>
      <c r="V464" s="130" t="s">
        <v>1935</v>
      </c>
      <c r="W464" s="130" t="s">
        <v>1943</v>
      </c>
      <c r="X464" s="130" t="s">
        <v>2921</v>
      </c>
      <c r="Y464" s="130" t="s">
        <v>4</v>
      </c>
      <c r="Z464" s="130" t="s">
        <v>4</v>
      </c>
      <c r="AA464" s="147" t="s">
        <v>2921</v>
      </c>
    </row>
    <row r="465" spans="1:27" ht="18.600000000000001" customHeight="1">
      <c r="A465" s="144" t="str">
        <f>IF(priority(Main[[#This Row],[Comments]])&lt;&gt;0, priority(Main[[#This Row],[Comments]]),"")</f>
        <v/>
      </c>
      <c r="B465" s="137" t="s">
        <v>1920</v>
      </c>
      <c r="C465" s="130" t="s">
        <v>281</v>
      </c>
      <c r="D465" s="131" t="s">
        <v>965</v>
      </c>
      <c r="E465" s="132"/>
      <c r="F465" s="132">
        <v>40543</v>
      </c>
      <c r="G465" s="133" t="str">
        <f>IF(stdProdLT(Main[[#This Row],[Comments]])=0.1,"N/A",IF(stdProdLT(Main[[#This Row],[Comments]])=0,"",stdProdLT(Main[[#This Row],[Comments]])))</f>
        <v/>
      </c>
      <c r="H465" s="134">
        <f>IF(AND(Main[[#This Row],[In Stock Date]]&lt;&gt;"",Main[[#This Row],[Revised Due Date]]&lt;&gt;""),Main[[#This Row],[In Stock Date]]-Main[[#This Row],[Revised Due Date]],"")</f>
        <v>-200</v>
      </c>
      <c r="I465" s="130" t="s">
        <v>165</v>
      </c>
      <c r="J465" s="130" t="s">
        <v>4</v>
      </c>
      <c r="K465" s="130" t="s">
        <v>1944</v>
      </c>
      <c r="L465" s="132"/>
      <c r="M465" s="135" t="str">
        <f>IF(Main[[#This Row],[Tech Start Date]]&lt;1/1/1990,"",IF(Main[[#This Row],[Class]]="C",WORKDAY(Main[[#This Row],[Tech Start Date]],9),IF(Main[[#This Row],[Class]]="B", WORKDAY(Main[[#This Row],[Tech Start Date]],6),IF(Main[[#This Row],[Class]]="A",WORKDAY(Main[[#This Row],[Tech Start Date]],2),""))))</f>
        <v/>
      </c>
      <c r="N465" s="135" t="str">
        <f>IF(Main[[#This Row],[Tech Start Date]]&lt;1/1/1990,"",IF(Main[[#This Row],[Class]]="C",WORKDAY(Main[[#This Row],[Tech Start Date]],19),IF(Main[[#This Row],[Class]]="B", WORKDAY(Main[[#This Row],[Tech Start Date]],12),IF(Main[[#This Row],[Class]]="A",WORKDAY(Main[[#This Row],[Tech Start Date]],4),""))))</f>
        <v/>
      </c>
      <c r="O465" s="135" t="str">
        <f>IF(Main[[#This Row],[Tech Start Date]]&lt;1/1/1990,"",IF(Main[[#This Row],[Class]]="C",WORKDAY(Main[[#This Row],[Tech Start Date]],23),IF(Main[[#This Row],[Class]]="B", WORKDAY(Main[[#This Row],[Tech Start Date]],15),IF(Main[[#This Row],[Class]]="A",WORKDAY(Main[[#This Row],[Tech Start Date]],5),""))))</f>
        <v/>
      </c>
      <c r="P465" s="135" t="str">
        <f>IF(Main[[#This Row],[Tech Start Date]]&lt;1/1/1990,"",IF(Main[[#This Row],[Class]]="C",WORKDAY(Main[[#This Row],[Tech Start Date]],28),IF(Main[[#This Row],[Class]]="B", WORKDAY(Main[[#This Row],[Tech Start Date]],19),IF(Main[[#This Row],[Class]]="A",WORKDAY(Main[[#This Row],[Tech Start Date]],9),""))))</f>
        <v/>
      </c>
      <c r="Q465" s="132">
        <v>40543</v>
      </c>
      <c r="R465" s="132">
        <v>40743</v>
      </c>
      <c r="S465" s="130" t="s">
        <v>17</v>
      </c>
      <c r="T465" s="136" t="s">
        <v>4</v>
      </c>
      <c r="U465" s="130" t="s">
        <v>14</v>
      </c>
      <c r="V465" s="130" t="s">
        <v>1935</v>
      </c>
      <c r="W465" s="130" t="s">
        <v>1934</v>
      </c>
      <c r="X465" s="130" t="s">
        <v>65</v>
      </c>
      <c r="Y465" s="130" t="s">
        <v>4</v>
      </c>
      <c r="Z465" s="130" t="s">
        <v>420</v>
      </c>
      <c r="AA465" s="147" t="s">
        <v>65</v>
      </c>
    </row>
    <row r="466" spans="1:27" ht="18.600000000000001" customHeight="1">
      <c r="A466" s="144" t="str">
        <f>IF(priority(Main[[#This Row],[Comments]])&lt;&gt;0, priority(Main[[#This Row],[Comments]]),"")</f>
        <v/>
      </c>
      <c r="B466" s="137" t="s">
        <v>1322</v>
      </c>
      <c r="C466" s="130" t="s">
        <v>4</v>
      </c>
      <c r="D466" s="131" t="s">
        <v>393</v>
      </c>
      <c r="E466" s="132"/>
      <c r="F466" s="132"/>
      <c r="G466" s="133" t="str">
        <f>IF(stdProdLT(Main[[#This Row],[Comments]])=0.1,"N/A",IF(stdProdLT(Main[[#This Row],[Comments]])=0,"",stdProdLT(Main[[#This Row],[Comments]])))</f>
        <v/>
      </c>
      <c r="H466" s="134" t="str">
        <f>IF(AND(Main[[#This Row],[In Stock Date]]&lt;&gt;"",Main[[#This Row],[Revised Due Date]]&lt;&gt;""),Main[[#This Row],[In Stock Date]]-Main[[#This Row],[Revised Due Date]],"")</f>
        <v/>
      </c>
      <c r="I466" s="130" t="s">
        <v>4</v>
      </c>
      <c r="J466" s="130" t="s">
        <v>4</v>
      </c>
      <c r="K466" s="130" t="s">
        <v>4</v>
      </c>
      <c r="L466" s="132"/>
      <c r="M466" s="135" t="str">
        <f>IF(Main[[#This Row],[Tech Start Date]]&lt;1/1/1990,"",IF(Main[[#This Row],[Class]]="C",WORKDAY(Main[[#This Row],[Tech Start Date]],9),IF(Main[[#This Row],[Class]]="B", WORKDAY(Main[[#This Row],[Tech Start Date]],6),IF(Main[[#This Row],[Class]]="A",WORKDAY(Main[[#This Row],[Tech Start Date]],2),""))))</f>
        <v/>
      </c>
      <c r="N466" s="135" t="str">
        <f>IF(Main[[#This Row],[Tech Start Date]]&lt;1/1/1990,"",IF(Main[[#This Row],[Class]]="C",WORKDAY(Main[[#This Row],[Tech Start Date]],19),IF(Main[[#This Row],[Class]]="B", WORKDAY(Main[[#This Row],[Tech Start Date]],12),IF(Main[[#This Row],[Class]]="A",WORKDAY(Main[[#This Row],[Tech Start Date]],4),""))))</f>
        <v/>
      </c>
      <c r="O466" s="135" t="str">
        <f>IF(Main[[#This Row],[Tech Start Date]]&lt;1/1/1990,"",IF(Main[[#This Row],[Class]]="C",WORKDAY(Main[[#This Row],[Tech Start Date]],23),IF(Main[[#This Row],[Class]]="B", WORKDAY(Main[[#This Row],[Tech Start Date]],15),IF(Main[[#This Row],[Class]]="A",WORKDAY(Main[[#This Row],[Tech Start Date]],5),""))))</f>
        <v/>
      </c>
      <c r="P466" s="135" t="str">
        <f>IF(Main[[#This Row],[Tech Start Date]]&lt;1/1/1990,"",IF(Main[[#This Row],[Class]]="C",WORKDAY(Main[[#This Row],[Tech Start Date]],28),IF(Main[[#This Row],[Class]]="B", WORKDAY(Main[[#This Row],[Tech Start Date]],19),IF(Main[[#This Row],[Class]]="A",WORKDAY(Main[[#This Row],[Tech Start Date]],9),""))))</f>
        <v/>
      </c>
      <c r="Q466" s="132"/>
      <c r="R466" s="132"/>
      <c r="S466" s="130" t="s">
        <v>4</v>
      </c>
      <c r="T466" s="136" t="s">
        <v>4</v>
      </c>
      <c r="U466" s="130" t="s">
        <v>14</v>
      </c>
      <c r="V466" s="130" t="s">
        <v>1933</v>
      </c>
      <c r="W466" s="130" t="s">
        <v>4</v>
      </c>
      <c r="X466" s="130" t="s">
        <v>933</v>
      </c>
      <c r="Y466" s="130" t="s">
        <v>4</v>
      </c>
      <c r="Z466" s="130" t="s">
        <v>4</v>
      </c>
      <c r="AA466" s="147" t="s">
        <v>4</v>
      </c>
    </row>
    <row r="467" spans="1:27" ht="18.600000000000001" customHeight="1">
      <c r="A467" s="140" t="str">
        <f>IF(priority(Main[[#This Row],[Comments]])&lt;&gt;0, priority(Main[[#This Row],[Comments]]),"")</f>
        <v/>
      </c>
      <c r="B467" s="90" t="s">
        <v>1323</v>
      </c>
      <c r="C467" s="72" t="s">
        <v>394</v>
      </c>
      <c r="D467" s="73" t="s">
        <v>395</v>
      </c>
      <c r="E467" s="74"/>
      <c r="F467" s="74">
        <v>40512</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40316</v>
      </c>
      <c r="R467" s="74"/>
      <c r="S467" s="72" t="s">
        <v>11</v>
      </c>
      <c r="T467" s="80" t="s">
        <v>4</v>
      </c>
      <c r="U467" s="72" t="s">
        <v>14</v>
      </c>
      <c r="V467" s="72" t="s">
        <v>1932</v>
      </c>
      <c r="W467" s="72" t="s">
        <v>1938</v>
      </c>
      <c r="X467" s="72" t="s">
        <v>2943</v>
      </c>
      <c r="Y467" s="72" t="s">
        <v>4</v>
      </c>
      <c r="Z467" s="72" t="s">
        <v>4</v>
      </c>
      <c r="AA467" s="147" t="s">
        <v>2943</v>
      </c>
    </row>
    <row r="468" spans="1:27" ht="18.600000000000001" customHeight="1">
      <c r="A468" s="140" t="str">
        <f>IF(priority(Main[[#This Row],[Comments]])&lt;&gt;0, priority(Main[[#This Row],[Comments]]),"")</f>
        <v/>
      </c>
      <c r="B468" s="90" t="s">
        <v>1324</v>
      </c>
      <c r="C468" s="72" t="s">
        <v>216</v>
      </c>
      <c r="D468" s="73" t="s">
        <v>396</v>
      </c>
      <c r="E468" s="74"/>
      <c r="F468" s="74">
        <v>40390</v>
      </c>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40278</v>
      </c>
      <c r="R468" s="74"/>
      <c r="S468" s="72" t="s">
        <v>11</v>
      </c>
      <c r="T468" s="80" t="s">
        <v>4</v>
      </c>
      <c r="U468" s="72" t="s">
        <v>14</v>
      </c>
      <c r="V468" s="72" t="s">
        <v>1935</v>
      </c>
      <c r="W468" s="72" t="s">
        <v>1937</v>
      </c>
      <c r="X468" s="72" t="s">
        <v>559</v>
      </c>
      <c r="Y468" s="72" t="s">
        <v>4</v>
      </c>
      <c r="Z468" s="72" t="s">
        <v>4</v>
      </c>
      <c r="AA468" s="147" t="s">
        <v>559</v>
      </c>
    </row>
    <row r="469" spans="1:27" ht="18.600000000000001" customHeight="1">
      <c r="A469" s="140" t="str">
        <f>IF(priority(Main[[#This Row],[Comments]])&lt;&gt;0, priority(Main[[#This Row],[Comments]]),"")</f>
        <v/>
      </c>
      <c r="B469" s="90" t="s">
        <v>1325</v>
      </c>
      <c r="C469" s="72" t="s">
        <v>279</v>
      </c>
      <c r="D469" s="73" t="s">
        <v>397</v>
      </c>
      <c r="E469" s="74"/>
      <c r="F469" s="74">
        <v>40186</v>
      </c>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v>40186</v>
      </c>
      <c r="R469" s="74"/>
      <c r="S469" s="72" t="s">
        <v>11</v>
      </c>
      <c r="T469" s="80" t="s">
        <v>4</v>
      </c>
      <c r="U469" s="72" t="s">
        <v>14</v>
      </c>
      <c r="V469" s="72" t="s">
        <v>1935</v>
      </c>
      <c r="W469" s="72" t="s">
        <v>1940</v>
      </c>
      <c r="X469" s="72" t="s">
        <v>2933</v>
      </c>
      <c r="Y469" s="72" t="s">
        <v>4</v>
      </c>
      <c r="Z469" s="72" t="s">
        <v>4</v>
      </c>
      <c r="AA469" s="147" t="s">
        <v>2933</v>
      </c>
    </row>
    <row r="470" spans="1:27" ht="18.600000000000001" customHeight="1">
      <c r="A470" s="140" t="str">
        <f>IF(priority(Main[[#This Row],[Comments]])&lt;&gt;0, priority(Main[[#This Row],[Comments]]),"")</f>
        <v/>
      </c>
      <c r="B470" s="90" t="s">
        <v>1326</v>
      </c>
      <c r="C470" s="72" t="s">
        <v>398</v>
      </c>
      <c r="D470" s="73" t="s">
        <v>399</v>
      </c>
      <c r="E470" s="74"/>
      <c r="F470" s="74"/>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c r="R470" s="74"/>
      <c r="S470" s="72" t="s">
        <v>11</v>
      </c>
      <c r="T470" s="80" t="s">
        <v>4</v>
      </c>
      <c r="U470" s="72" t="s">
        <v>14</v>
      </c>
      <c r="V470" s="72" t="s">
        <v>1933</v>
      </c>
      <c r="W470" s="72" t="s">
        <v>1940</v>
      </c>
      <c r="X470" s="72" t="s">
        <v>2944</v>
      </c>
      <c r="Y470" s="72" t="s">
        <v>3086</v>
      </c>
      <c r="Z470" s="72" t="s">
        <v>4</v>
      </c>
      <c r="AA470" s="147" t="s">
        <v>2944</v>
      </c>
    </row>
    <row r="471" spans="1:27" ht="18.600000000000001" customHeight="1">
      <c r="A471" s="140" t="str">
        <f>IF(priority(Main[[#This Row],[Comments]])&lt;&gt;0, priority(Main[[#This Row],[Comments]]),"")</f>
        <v/>
      </c>
      <c r="B471" s="90" t="s">
        <v>1328</v>
      </c>
      <c r="C471" s="72" t="s">
        <v>4</v>
      </c>
      <c r="D471" s="73" t="s">
        <v>400</v>
      </c>
      <c r="E471" s="74">
        <v>40319.627523148149</v>
      </c>
      <c r="F471" s="74"/>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129</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40337</v>
      </c>
      <c r="R471" s="74"/>
      <c r="S471" s="72" t="s">
        <v>6</v>
      </c>
      <c r="T471" s="80" t="s">
        <v>4</v>
      </c>
      <c r="U471" s="72" t="s">
        <v>7</v>
      </c>
      <c r="V471" s="72" t="s">
        <v>1932</v>
      </c>
      <c r="W471" s="72" t="s">
        <v>1936</v>
      </c>
      <c r="X471" s="72" t="s">
        <v>2912</v>
      </c>
      <c r="Y471" s="72" t="s">
        <v>3031</v>
      </c>
      <c r="Z471" s="72" t="s">
        <v>4</v>
      </c>
      <c r="AA471" s="147" t="s">
        <v>2912</v>
      </c>
    </row>
    <row r="472" spans="1:27" ht="18.600000000000001" customHeight="1">
      <c r="A472" s="140" t="str">
        <f>IF(priority(Main[[#This Row],[Comments]])&lt;&gt;0, priority(Main[[#This Row],[Comments]]),"")</f>
        <v/>
      </c>
      <c r="B472" s="90" t="s">
        <v>1329</v>
      </c>
      <c r="C472" s="72" t="s">
        <v>93</v>
      </c>
      <c r="D472" s="73" t="s">
        <v>401</v>
      </c>
      <c r="E472" s="74"/>
      <c r="F472" s="74">
        <v>40132</v>
      </c>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v>40132</v>
      </c>
      <c r="R472" s="74"/>
      <c r="S472" s="72" t="s">
        <v>11</v>
      </c>
      <c r="T472" s="80" t="s">
        <v>4</v>
      </c>
      <c r="U472" s="72" t="s">
        <v>14</v>
      </c>
      <c r="V472" s="72" t="s">
        <v>1942</v>
      </c>
      <c r="W472" s="72" t="s">
        <v>1943</v>
      </c>
      <c r="X472" s="72" t="s">
        <v>2947</v>
      </c>
      <c r="Y472" s="72" t="s">
        <v>4</v>
      </c>
      <c r="Z472" s="72" t="s">
        <v>4</v>
      </c>
      <c r="AA472" s="147" t="s">
        <v>2947</v>
      </c>
    </row>
    <row r="473" spans="1:27" ht="18.600000000000001" customHeight="1">
      <c r="A473" s="140" t="str">
        <f>IF(priority(Main[[#This Row],[Comments]])&lt;&gt;0, priority(Main[[#This Row],[Comments]]),"")</f>
        <v/>
      </c>
      <c r="B473" s="137" t="s">
        <v>1330</v>
      </c>
      <c r="C473" s="130" t="s">
        <v>4</v>
      </c>
      <c r="D473" s="131" t="s">
        <v>402</v>
      </c>
      <c r="E473" s="132"/>
      <c r="F473" s="132">
        <v>40385</v>
      </c>
      <c r="G473" s="133" t="str">
        <f>IF(stdProdLT(Main[[#This Row],[Comments]])=0.1,"N/A",IF(stdProdLT(Main[[#This Row],[Comments]])=0,"",stdProdLT(Main[[#This Row],[Comments]])))</f>
        <v/>
      </c>
      <c r="H473" s="134" t="str">
        <f>IF(AND(Main[[#This Row],[In Stock Date]]&lt;&gt;"",Main[[#This Row],[Revised Due Date]]&lt;&gt;""),Main[[#This Row],[In Stock Date]]-Main[[#This Row],[Revised Due Date]],"")</f>
        <v/>
      </c>
      <c r="I473" s="130" t="s">
        <v>403</v>
      </c>
      <c r="J473" s="130" t="s">
        <v>4</v>
      </c>
      <c r="K473" s="130" t="s">
        <v>4</v>
      </c>
      <c r="L473" s="132"/>
      <c r="M473" s="135" t="str">
        <f>IF(Main[[#This Row],[Tech Start Date]]&lt;1/1/1990,"",IF(Main[[#This Row],[Class]]="C",WORKDAY(Main[[#This Row],[Tech Start Date]],9),IF(Main[[#This Row],[Class]]="B", WORKDAY(Main[[#This Row],[Tech Start Date]],6),IF(Main[[#This Row],[Class]]="A",WORKDAY(Main[[#This Row],[Tech Start Date]],2),""))))</f>
        <v/>
      </c>
      <c r="N473" s="135" t="str">
        <f>IF(Main[[#This Row],[Tech Start Date]]&lt;1/1/1990,"",IF(Main[[#This Row],[Class]]="C",WORKDAY(Main[[#This Row],[Tech Start Date]],19),IF(Main[[#This Row],[Class]]="B", WORKDAY(Main[[#This Row],[Tech Start Date]],12),IF(Main[[#This Row],[Class]]="A",WORKDAY(Main[[#This Row],[Tech Start Date]],4),""))))</f>
        <v/>
      </c>
      <c r="O473" s="135" t="str">
        <f>IF(Main[[#This Row],[Tech Start Date]]&lt;1/1/1990,"",IF(Main[[#This Row],[Class]]="C",WORKDAY(Main[[#This Row],[Tech Start Date]],23),IF(Main[[#This Row],[Class]]="B", WORKDAY(Main[[#This Row],[Tech Start Date]],15),IF(Main[[#This Row],[Class]]="A",WORKDAY(Main[[#This Row],[Tech Start Date]],5),""))))</f>
        <v/>
      </c>
      <c r="P473" s="135" t="str">
        <f>IF(Main[[#This Row],[Tech Start Date]]&lt;1/1/1990,"",IF(Main[[#This Row],[Class]]="C",WORKDAY(Main[[#This Row],[Tech Start Date]],28),IF(Main[[#This Row],[Class]]="B", WORKDAY(Main[[#This Row],[Tech Start Date]],19),IF(Main[[#This Row],[Class]]="A",WORKDAY(Main[[#This Row],[Tech Start Date]],9),""))))</f>
        <v/>
      </c>
      <c r="Q473" s="132">
        <v>40359</v>
      </c>
      <c r="R473" s="132"/>
      <c r="S473" s="130" t="s">
        <v>11</v>
      </c>
      <c r="T473" s="136" t="s">
        <v>4</v>
      </c>
      <c r="U473" s="130" t="s">
        <v>14</v>
      </c>
      <c r="V473" s="130" t="s">
        <v>1935</v>
      </c>
      <c r="W473" s="130" t="s">
        <v>1938</v>
      </c>
      <c r="X473" s="130" t="s">
        <v>2972</v>
      </c>
      <c r="Y473" s="130" t="s">
        <v>3125</v>
      </c>
      <c r="Z473" s="130" t="s">
        <v>310</v>
      </c>
      <c r="AA473" s="147" t="s">
        <v>2972</v>
      </c>
    </row>
    <row r="474" spans="1:27" ht="18.600000000000001" customHeight="1">
      <c r="A474" s="140" t="str">
        <f>IF(priority(Main[[#This Row],[Comments]])&lt;&gt;0, priority(Main[[#This Row],[Comments]]),"")</f>
        <v/>
      </c>
      <c r="B474" s="90" t="s">
        <v>1331</v>
      </c>
      <c r="C474" s="72" t="s">
        <v>31</v>
      </c>
      <c r="D474" s="73" t="s">
        <v>404</v>
      </c>
      <c r="E474" s="74"/>
      <c r="F474" s="74">
        <v>40203</v>
      </c>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40063</v>
      </c>
      <c r="R474" s="74"/>
      <c r="S474" s="72" t="s">
        <v>11</v>
      </c>
      <c r="T474" s="80" t="s">
        <v>4</v>
      </c>
      <c r="U474" s="72" t="s">
        <v>14</v>
      </c>
      <c r="V474" s="72" t="s">
        <v>1942</v>
      </c>
      <c r="W474" s="72" t="s">
        <v>1938</v>
      </c>
      <c r="X474" s="72" t="s">
        <v>2962</v>
      </c>
      <c r="Y474" s="72" t="s">
        <v>4</v>
      </c>
      <c r="Z474" s="72" t="s">
        <v>4</v>
      </c>
      <c r="AA474" s="147" t="s">
        <v>2962</v>
      </c>
    </row>
    <row r="475" spans="1:27" ht="18.600000000000001" customHeight="1">
      <c r="A475" s="140" t="str">
        <f>IF(priority(Main[[#This Row],[Comments]])&lt;&gt;0, priority(Main[[#This Row],[Comments]]),"")</f>
        <v/>
      </c>
      <c r="B475" s="90" t="s">
        <v>1671</v>
      </c>
      <c r="C475" s="72" t="s">
        <v>4</v>
      </c>
      <c r="D475" s="73" t="s">
        <v>730</v>
      </c>
      <c r="E475" s="74"/>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v>
      </c>
      <c r="J475" s="72" t="s">
        <v>4</v>
      </c>
      <c r="K475" s="72"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40676</v>
      </c>
      <c r="R475" s="74"/>
      <c r="S475" s="72" t="s">
        <v>6</v>
      </c>
      <c r="T475" s="80" t="s">
        <v>4</v>
      </c>
      <c r="U475" s="72" t="s">
        <v>14</v>
      </c>
      <c r="V475" s="72" t="s">
        <v>1932</v>
      </c>
      <c r="W475" s="72" t="s">
        <v>1936</v>
      </c>
      <c r="X475" s="72" t="s">
        <v>2912</v>
      </c>
      <c r="Y475" s="72" t="s">
        <v>3031</v>
      </c>
      <c r="Z475" s="72" t="s">
        <v>4</v>
      </c>
      <c r="AA475" s="147" t="s">
        <v>2912</v>
      </c>
    </row>
    <row r="476" spans="1:27" ht="18.600000000000001" customHeight="1">
      <c r="A476" s="140" t="str">
        <f>IF(priority(Main[[#This Row],[Comments]])&lt;&gt;0, priority(Main[[#This Row],[Comments]]),"")</f>
        <v/>
      </c>
      <c r="B476" s="90" t="s">
        <v>1332</v>
      </c>
      <c r="C476" s="72" t="s">
        <v>47</v>
      </c>
      <c r="D476" s="73" t="s">
        <v>147</v>
      </c>
      <c r="E476" s="74"/>
      <c r="F476" s="74"/>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c r="R476" s="74"/>
      <c r="S476" s="72" t="s">
        <v>4</v>
      </c>
      <c r="T476" s="80" t="s">
        <v>4</v>
      </c>
      <c r="U476" s="72" t="s">
        <v>14</v>
      </c>
      <c r="V476" s="72" t="s">
        <v>1933</v>
      </c>
      <c r="W476" s="72" t="s">
        <v>4</v>
      </c>
      <c r="X476" s="72" t="s">
        <v>310</v>
      </c>
      <c r="Y476" s="72" t="s">
        <v>3036</v>
      </c>
      <c r="Z476" s="72" t="s">
        <v>4</v>
      </c>
      <c r="AA476" s="147" t="s">
        <v>3618</v>
      </c>
    </row>
    <row r="477" spans="1:27" ht="18.600000000000001" customHeight="1">
      <c r="A477" s="140" t="str">
        <f>IF(priority(Main[[#This Row],[Comments]])&lt;&gt;0, priority(Main[[#This Row],[Comments]]),"")</f>
        <v/>
      </c>
      <c r="B477" s="137" t="s">
        <v>1333</v>
      </c>
      <c r="C477" s="130" t="s">
        <v>405</v>
      </c>
      <c r="D477" s="131" t="s">
        <v>406</v>
      </c>
      <c r="E477" s="132"/>
      <c r="F477" s="132">
        <v>40447</v>
      </c>
      <c r="G477" s="133" t="str">
        <f>IF(stdProdLT(Main[[#This Row],[Comments]])=0.1,"N/A",IF(stdProdLT(Main[[#This Row],[Comments]])=0,"",stdProdLT(Main[[#This Row],[Comments]])))</f>
        <v/>
      </c>
      <c r="H477" s="134" t="str">
        <f>IF(AND(Main[[#This Row],[In Stock Date]]&lt;&gt;"",Main[[#This Row],[Revised Due Date]]&lt;&gt;""),Main[[#This Row],[In Stock Date]]-Main[[#This Row],[Revised Due Date]],"")</f>
        <v/>
      </c>
      <c r="I477" s="130" t="s">
        <v>4</v>
      </c>
      <c r="J477" s="130" t="s">
        <v>4</v>
      </c>
      <c r="K477" s="130" t="s">
        <v>4</v>
      </c>
      <c r="L477" s="132"/>
      <c r="M477" s="135" t="str">
        <f>IF(Main[[#This Row],[Tech Start Date]]&lt;1/1/1990,"",IF(Main[[#This Row],[Class]]="C",WORKDAY(Main[[#This Row],[Tech Start Date]],9),IF(Main[[#This Row],[Class]]="B", WORKDAY(Main[[#This Row],[Tech Start Date]],6),IF(Main[[#This Row],[Class]]="A",WORKDAY(Main[[#This Row],[Tech Start Date]],2),""))))</f>
        <v/>
      </c>
      <c r="N477" s="135" t="str">
        <f>IF(Main[[#This Row],[Tech Start Date]]&lt;1/1/1990,"",IF(Main[[#This Row],[Class]]="C",WORKDAY(Main[[#This Row],[Tech Start Date]],19),IF(Main[[#This Row],[Class]]="B", WORKDAY(Main[[#This Row],[Tech Start Date]],12),IF(Main[[#This Row],[Class]]="A",WORKDAY(Main[[#This Row],[Tech Start Date]],4),""))))</f>
        <v/>
      </c>
      <c r="O477" s="135" t="str">
        <f>IF(Main[[#This Row],[Tech Start Date]]&lt;1/1/1990,"",IF(Main[[#This Row],[Class]]="C",WORKDAY(Main[[#This Row],[Tech Start Date]],23),IF(Main[[#This Row],[Class]]="B", WORKDAY(Main[[#This Row],[Tech Start Date]],15),IF(Main[[#This Row],[Class]]="A",WORKDAY(Main[[#This Row],[Tech Start Date]],5),""))))</f>
        <v/>
      </c>
      <c r="P477" s="135" t="str">
        <f>IF(Main[[#This Row],[Tech Start Date]]&lt;1/1/1990,"",IF(Main[[#This Row],[Class]]="C",WORKDAY(Main[[#This Row],[Tech Start Date]],28),IF(Main[[#This Row],[Class]]="B", WORKDAY(Main[[#This Row],[Tech Start Date]],19),IF(Main[[#This Row],[Class]]="A",WORKDAY(Main[[#This Row],[Tech Start Date]],9),""))))</f>
        <v/>
      </c>
      <c r="Q477" s="132">
        <v>40349</v>
      </c>
      <c r="R477" s="132"/>
      <c r="S477" s="130" t="s">
        <v>11</v>
      </c>
      <c r="T477" s="136" t="s">
        <v>4</v>
      </c>
      <c r="U477" s="130" t="s">
        <v>14</v>
      </c>
      <c r="V477" s="130" t="s">
        <v>1942</v>
      </c>
      <c r="W477" s="130" t="s">
        <v>1937</v>
      </c>
      <c r="X477" s="130" t="s">
        <v>2941</v>
      </c>
      <c r="Y477" s="130" t="s">
        <v>4</v>
      </c>
      <c r="Z477" s="130" t="s">
        <v>4</v>
      </c>
      <c r="AA477" s="147" t="s">
        <v>2941</v>
      </c>
    </row>
    <row r="478" spans="1:27" ht="18.600000000000001" customHeight="1">
      <c r="A478" s="140" t="str">
        <f>IF(priority(Main[[#This Row],[Comments]])&lt;&gt;0, priority(Main[[#This Row],[Comments]]),"")</f>
        <v/>
      </c>
      <c r="B478" s="90" t="s">
        <v>2109</v>
      </c>
      <c r="C478" s="72" t="s">
        <v>47</v>
      </c>
      <c r="D478" s="73" t="s">
        <v>887</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v>40267</v>
      </c>
      <c r="R478" s="74"/>
      <c r="S478" s="72" t="s">
        <v>17</v>
      </c>
      <c r="T478" s="80" t="s">
        <v>4</v>
      </c>
      <c r="U478" s="72" t="s">
        <v>14</v>
      </c>
      <c r="V478" s="72" t="s">
        <v>1932</v>
      </c>
      <c r="W478" s="72" t="s">
        <v>1936</v>
      </c>
      <c r="X478" s="72" t="s">
        <v>2973</v>
      </c>
      <c r="Y478" s="72" t="s">
        <v>3036</v>
      </c>
      <c r="Z478" s="72" t="s">
        <v>4</v>
      </c>
      <c r="AA478" s="147" t="s">
        <v>3618</v>
      </c>
    </row>
    <row r="479" spans="1:27" ht="18.600000000000001" customHeight="1">
      <c r="A479" s="140" t="str">
        <f>IF(priority(Main[[#This Row],[Comments]])&lt;&gt;0, priority(Main[[#This Row],[Comments]]),"")</f>
        <v/>
      </c>
      <c r="B479" s="90" t="s">
        <v>1334</v>
      </c>
      <c r="C479" s="72" t="s">
        <v>113</v>
      </c>
      <c r="D479" s="73" t="s">
        <v>407</v>
      </c>
      <c r="E479" s="74"/>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c r="R479" s="74"/>
      <c r="S479" s="72" t="s">
        <v>11</v>
      </c>
      <c r="T479" s="80" t="s">
        <v>4</v>
      </c>
      <c r="U479" s="72" t="s">
        <v>14</v>
      </c>
      <c r="V479" s="72" t="s">
        <v>1935</v>
      </c>
      <c r="W479" s="72" t="s">
        <v>1940</v>
      </c>
      <c r="X479" s="72" t="s">
        <v>2935</v>
      </c>
      <c r="Y479" s="72" t="s">
        <v>3072</v>
      </c>
      <c r="Z479" s="72" t="s">
        <v>4</v>
      </c>
      <c r="AA479" s="147" t="s">
        <v>2935</v>
      </c>
    </row>
    <row r="480" spans="1:27" ht="18.600000000000001" customHeight="1">
      <c r="A480" s="140" t="str">
        <f>IF(priority(Main[[#This Row],[Comments]])&lt;&gt;0, priority(Main[[#This Row],[Comments]]),"")</f>
        <v/>
      </c>
      <c r="B480" s="90" t="s">
        <v>1335</v>
      </c>
      <c r="C480" s="72" t="s">
        <v>4</v>
      </c>
      <c r="D480" s="73" t="s">
        <v>408</v>
      </c>
      <c r="E480" s="74">
        <v>40585.595960648148</v>
      </c>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74</v>
      </c>
      <c r="J480" s="72" t="s">
        <v>4</v>
      </c>
      <c r="K480" s="81"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v>40592</v>
      </c>
      <c r="R480" s="74"/>
      <c r="S480" s="72" t="s">
        <v>6</v>
      </c>
      <c r="T480" s="80" t="s">
        <v>4</v>
      </c>
      <c r="U480" s="72" t="s">
        <v>29</v>
      </c>
      <c r="V480" s="72" t="s">
        <v>1935</v>
      </c>
      <c r="W480" s="72" t="s">
        <v>1936</v>
      </c>
      <c r="X480" s="72" t="s">
        <v>74</v>
      </c>
      <c r="Y480" s="72" t="s">
        <v>3126</v>
      </c>
      <c r="Z480" s="72" t="s">
        <v>420</v>
      </c>
      <c r="AA480" s="147" t="s">
        <v>74</v>
      </c>
    </row>
    <row r="481" spans="1:27" ht="18.600000000000001" customHeight="1">
      <c r="A481" s="140" t="str">
        <f>IF(priority(Main[[#This Row],[Comments]])&lt;&gt;0, priority(Main[[#This Row],[Comments]]),"")</f>
        <v/>
      </c>
      <c r="B481" s="90" t="s">
        <v>1336</v>
      </c>
      <c r="C481" s="72" t="s">
        <v>4</v>
      </c>
      <c r="D481" s="73" t="s">
        <v>409</v>
      </c>
      <c r="E481" s="74">
        <v>40387.702291666668</v>
      </c>
      <c r="F481" s="74"/>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28</v>
      </c>
      <c r="K481" s="72"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40400</v>
      </c>
      <c r="R481" s="74"/>
      <c r="S481" s="72" t="s">
        <v>6</v>
      </c>
      <c r="T481" s="80" t="s">
        <v>4</v>
      </c>
      <c r="U481" s="72" t="s">
        <v>7</v>
      </c>
      <c r="V481" s="72" t="s">
        <v>1932</v>
      </c>
      <c r="W481" s="72" t="s">
        <v>1934</v>
      </c>
      <c r="X481" s="72" t="s">
        <v>102</v>
      </c>
      <c r="Y481" s="72" t="s">
        <v>3127</v>
      </c>
      <c r="Z481" s="72" t="s">
        <v>129</v>
      </c>
      <c r="AA481" s="147" t="s">
        <v>3638</v>
      </c>
    </row>
    <row r="482" spans="1:27" ht="18.600000000000001" customHeight="1">
      <c r="A482" s="140" t="str">
        <f>IF(priority(Main[[#This Row],[Comments]])&lt;&gt;0, priority(Main[[#This Row],[Comments]]),"")</f>
        <v/>
      </c>
      <c r="B482" s="90" t="s">
        <v>1268</v>
      </c>
      <c r="C482" s="72" t="s">
        <v>4</v>
      </c>
      <c r="D482" s="73" t="s">
        <v>324</v>
      </c>
      <c r="E482" s="74"/>
      <c r="F482" s="74"/>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28</v>
      </c>
      <c r="K482" s="72"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c r="R482" s="74"/>
      <c r="S482" s="72" t="s">
        <v>17</v>
      </c>
      <c r="T482" s="80" t="s">
        <v>4</v>
      </c>
      <c r="U482" s="72" t="s">
        <v>14</v>
      </c>
      <c r="V482" s="72" t="s">
        <v>1932</v>
      </c>
      <c r="W482" s="72" t="s">
        <v>1936</v>
      </c>
      <c r="X482" s="72" t="s">
        <v>129</v>
      </c>
      <c r="Y482" s="72" t="s">
        <v>4</v>
      </c>
      <c r="Z482" s="72" t="s">
        <v>129</v>
      </c>
      <c r="AA482" s="147" t="s">
        <v>2912</v>
      </c>
    </row>
    <row r="483" spans="1:27" ht="18.600000000000001" customHeight="1">
      <c r="A483" s="140" t="str">
        <f>IF(priority(Main[[#This Row],[Comments]])&lt;&gt;0, priority(Main[[#This Row],[Comments]]),"")</f>
        <v/>
      </c>
      <c r="B483" s="124" t="s">
        <v>1269</v>
      </c>
      <c r="C483" s="117" t="s">
        <v>4</v>
      </c>
      <c r="D483" s="118" t="s">
        <v>325</v>
      </c>
      <c r="E483" s="119"/>
      <c r="F483" s="119"/>
      <c r="G483" s="120" t="str">
        <f>IF(stdProdLT(Main[[#This Row],[Comments]])=0.1,"N/A",IF(stdProdLT(Main[[#This Row],[Comments]])=0,"",stdProdLT(Main[[#This Row],[Comments]])))</f>
        <v/>
      </c>
      <c r="H483" s="121" t="str">
        <f>IF(AND(Main[[#This Row],[In Stock Date]]&lt;&gt;"",Main[[#This Row],[Revised Due Date]]&lt;&gt;""),Main[[#This Row],[In Stock Date]]-Main[[#This Row],[Revised Due Date]],"")</f>
        <v/>
      </c>
      <c r="I483" s="117" t="s">
        <v>4</v>
      </c>
      <c r="J483" s="117" t="s">
        <v>4</v>
      </c>
      <c r="K483" s="117" t="s">
        <v>4</v>
      </c>
      <c r="L483" s="119"/>
      <c r="M483" s="122" t="str">
        <f>IF(Main[[#This Row],[Tech Start Date]]&lt;1/1/1990,"",IF(Main[[#This Row],[Class]]="C",WORKDAY(Main[[#This Row],[Tech Start Date]],9),IF(Main[[#This Row],[Class]]="B", WORKDAY(Main[[#This Row],[Tech Start Date]],6),IF(Main[[#This Row],[Class]]="A",WORKDAY(Main[[#This Row],[Tech Start Date]],2),""))))</f>
        <v/>
      </c>
      <c r="N483" s="122" t="str">
        <f>IF(Main[[#This Row],[Tech Start Date]]&lt;1/1/1990,"",IF(Main[[#This Row],[Class]]="C",WORKDAY(Main[[#This Row],[Tech Start Date]],19),IF(Main[[#This Row],[Class]]="B", WORKDAY(Main[[#This Row],[Tech Start Date]],12),IF(Main[[#This Row],[Class]]="A",WORKDAY(Main[[#This Row],[Tech Start Date]],4),""))))</f>
        <v/>
      </c>
      <c r="O483" s="122" t="str">
        <f>IF(Main[[#This Row],[Tech Start Date]]&lt;1/1/1990,"",IF(Main[[#This Row],[Class]]="C",WORKDAY(Main[[#This Row],[Tech Start Date]],23),IF(Main[[#This Row],[Class]]="B", WORKDAY(Main[[#This Row],[Tech Start Date]],15),IF(Main[[#This Row],[Class]]="A",WORKDAY(Main[[#This Row],[Tech Start Date]],5),""))))</f>
        <v/>
      </c>
      <c r="P483" s="122" t="str">
        <f>IF(Main[[#This Row],[Tech Start Date]]&lt;1/1/1990,"",IF(Main[[#This Row],[Class]]="C",WORKDAY(Main[[#This Row],[Tech Start Date]],28),IF(Main[[#This Row],[Class]]="B", WORKDAY(Main[[#This Row],[Tech Start Date]],19),IF(Main[[#This Row],[Class]]="A",WORKDAY(Main[[#This Row],[Tech Start Date]],9),""))))</f>
        <v/>
      </c>
      <c r="Q483" s="119">
        <v>40725</v>
      </c>
      <c r="R483" s="119"/>
      <c r="S483" s="117" t="s">
        <v>17</v>
      </c>
      <c r="T483" s="123" t="s">
        <v>4</v>
      </c>
      <c r="U483" s="117" t="s">
        <v>14</v>
      </c>
      <c r="V483" s="117" t="s">
        <v>1932</v>
      </c>
      <c r="W483" s="117" t="s">
        <v>1934</v>
      </c>
      <c r="X483" s="117" t="s">
        <v>918</v>
      </c>
      <c r="Y483" s="117" t="s">
        <v>3112</v>
      </c>
      <c r="Z483" s="117" t="s">
        <v>4</v>
      </c>
      <c r="AA483" s="147" t="s">
        <v>918</v>
      </c>
    </row>
    <row r="484" spans="1:27" ht="18.600000000000001" customHeight="1">
      <c r="A484" s="140" t="str">
        <f>IF(priority(Main[[#This Row],[Comments]])&lt;&gt;0, priority(Main[[#This Row],[Comments]]),"")</f>
        <v/>
      </c>
      <c r="B484" s="90" t="s">
        <v>1270</v>
      </c>
      <c r="C484" s="72" t="s">
        <v>93</v>
      </c>
      <c r="D484" s="73" t="s">
        <v>326</v>
      </c>
      <c r="E484" s="74"/>
      <c r="F484" s="74">
        <v>40168</v>
      </c>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39993</v>
      </c>
      <c r="R484" s="74"/>
      <c r="S484" s="72" t="s">
        <v>11</v>
      </c>
      <c r="T484" s="80" t="s">
        <v>4</v>
      </c>
      <c r="U484" s="72" t="s">
        <v>14</v>
      </c>
      <c r="V484" s="72" t="s">
        <v>1933</v>
      </c>
      <c r="W484" s="72" t="s">
        <v>1940</v>
      </c>
      <c r="X484" s="72" t="s">
        <v>2944</v>
      </c>
      <c r="Y484" s="72" t="s">
        <v>3086</v>
      </c>
      <c r="Z484" s="72" t="s">
        <v>4</v>
      </c>
      <c r="AA484" s="147" t="s">
        <v>2944</v>
      </c>
    </row>
    <row r="485" spans="1:27" ht="18.600000000000001" customHeight="1">
      <c r="A485" s="140" t="str">
        <f>IF(priority(Main[[#This Row],[Comments]])&lt;&gt;0, priority(Main[[#This Row],[Comments]]),"")</f>
        <v/>
      </c>
      <c r="B485" s="90" t="s">
        <v>1271</v>
      </c>
      <c r="C485" s="72" t="s">
        <v>93</v>
      </c>
      <c r="D485" s="73" t="s">
        <v>327</v>
      </c>
      <c r="E485" s="74"/>
      <c r="F485" s="74">
        <v>40299</v>
      </c>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v>40214</v>
      </c>
      <c r="R485" s="74"/>
      <c r="S485" s="72" t="s">
        <v>11</v>
      </c>
      <c r="T485" s="80" t="s">
        <v>4</v>
      </c>
      <c r="U485" s="72" t="s">
        <v>12</v>
      </c>
      <c r="V485" s="72" t="s">
        <v>1932</v>
      </c>
      <c r="W485" s="72" t="s">
        <v>1938</v>
      </c>
      <c r="X485" s="72" t="s">
        <v>2936</v>
      </c>
      <c r="Y485" s="72" t="s">
        <v>4</v>
      </c>
      <c r="Z485" s="72" t="s">
        <v>4</v>
      </c>
      <c r="AA485" s="147" t="s">
        <v>2936</v>
      </c>
    </row>
    <row r="486" spans="1:27" ht="18.600000000000001" customHeight="1">
      <c r="A486" s="140" t="str">
        <f>IF(priority(Main[[#This Row],[Comments]])&lt;&gt;0, priority(Main[[#This Row],[Comments]]),"")</f>
        <v/>
      </c>
      <c r="B486" s="90" t="s">
        <v>1272</v>
      </c>
      <c r="C486" s="72" t="s">
        <v>4</v>
      </c>
      <c r="D486" s="73" t="s">
        <v>332</v>
      </c>
      <c r="E486" s="74"/>
      <c r="F486" s="74"/>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c r="R486" s="74"/>
      <c r="S486" s="72" t="s">
        <v>17</v>
      </c>
      <c r="T486" s="80" t="s">
        <v>4</v>
      </c>
      <c r="U486" s="72" t="s">
        <v>14</v>
      </c>
      <c r="V486" s="72" t="s">
        <v>1932</v>
      </c>
      <c r="W486" s="72" t="s">
        <v>1934</v>
      </c>
      <c r="X486" s="72" t="s">
        <v>918</v>
      </c>
      <c r="Y486" s="72" t="s">
        <v>3112</v>
      </c>
      <c r="Z486" s="72" t="s">
        <v>4</v>
      </c>
      <c r="AA486" s="147" t="s">
        <v>918</v>
      </c>
    </row>
    <row r="487" spans="1:27" ht="18.600000000000001" customHeight="1">
      <c r="A487" s="140" t="str">
        <f>IF(priority(Main[[#This Row],[Comments]])&lt;&gt;0, priority(Main[[#This Row],[Comments]]),"")</f>
        <v/>
      </c>
      <c r="B487" s="90" t="s">
        <v>1273</v>
      </c>
      <c r="C487" s="72" t="s">
        <v>4</v>
      </c>
      <c r="D487" s="73" t="s">
        <v>333</v>
      </c>
      <c r="E487" s="74">
        <v>40519.3518287037</v>
      </c>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v>40536</v>
      </c>
      <c r="R487" s="74"/>
      <c r="S487" s="72" t="s">
        <v>4</v>
      </c>
      <c r="T487" s="80" t="s">
        <v>4</v>
      </c>
      <c r="U487" s="72" t="s">
        <v>7</v>
      </c>
      <c r="V487" s="72" t="s">
        <v>1932</v>
      </c>
      <c r="W487" s="72" t="s">
        <v>4</v>
      </c>
      <c r="X487" s="72" t="s">
        <v>2909</v>
      </c>
      <c r="Y487" s="72" t="s">
        <v>3024</v>
      </c>
      <c r="Z487" s="72" t="s">
        <v>4</v>
      </c>
      <c r="AA487" s="147" t="s">
        <v>2909</v>
      </c>
    </row>
    <row r="488" spans="1:27" ht="18.600000000000001" customHeight="1">
      <c r="A488" s="140" t="str">
        <f>IF(priority(Main[[#This Row],[Comments]])&lt;&gt;0, priority(Main[[#This Row],[Comments]]),"")</f>
        <v/>
      </c>
      <c r="B488" s="90" t="s">
        <v>1274</v>
      </c>
      <c r="C488" s="72" t="s">
        <v>72</v>
      </c>
      <c r="D488" s="73" t="s">
        <v>334</v>
      </c>
      <c r="E488" s="74"/>
      <c r="F488" s="74">
        <v>40313</v>
      </c>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40233</v>
      </c>
      <c r="R488" s="74"/>
      <c r="S488" s="72" t="s">
        <v>11</v>
      </c>
      <c r="T488" s="80" t="s">
        <v>4</v>
      </c>
      <c r="U488" s="72" t="s">
        <v>14</v>
      </c>
      <c r="V488" s="72" t="s">
        <v>1935</v>
      </c>
      <c r="W488" s="72" t="s">
        <v>1940</v>
      </c>
      <c r="X488" s="72" t="s">
        <v>2915</v>
      </c>
      <c r="Y488" s="72" t="s">
        <v>3038</v>
      </c>
      <c r="Z488" s="72" t="s">
        <v>4</v>
      </c>
      <c r="AA488" s="147" t="s">
        <v>2915</v>
      </c>
    </row>
    <row r="489" spans="1:27" ht="18.600000000000001" customHeight="1">
      <c r="A489" s="140" t="str">
        <f>IF(priority(Main[[#This Row],[Comments]])&lt;&gt;0, priority(Main[[#This Row],[Comments]]),"")</f>
        <v/>
      </c>
      <c r="B489" s="90" t="s">
        <v>1275</v>
      </c>
      <c r="C489" s="72" t="s">
        <v>4</v>
      </c>
      <c r="D489" s="73" t="s">
        <v>335</v>
      </c>
      <c r="E489" s="74"/>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c r="R489" s="74"/>
      <c r="S489" s="72" t="s">
        <v>11</v>
      </c>
      <c r="T489" s="80" t="s">
        <v>4</v>
      </c>
      <c r="U489" s="72" t="s">
        <v>12</v>
      </c>
      <c r="V489" s="72" t="s">
        <v>1932</v>
      </c>
      <c r="W489" s="72" t="s">
        <v>1946</v>
      </c>
      <c r="X489" s="72" t="s">
        <v>933</v>
      </c>
      <c r="Y489" s="72" t="s">
        <v>3077</v>
      </c>
      <c r="Z489" s="72" t="s">
        <v>4</v>
      </c>
      <c r="AA489" s="147" t="s">
        <v>933</v>
      </c>
    </row>
    <row r="490" spans="1:27" ht="18.600000000000001" customHeight="1">
      <c r="A490" s="140" t="str">
        <f>IF(priority(Main[[#This Row],[Comments]])&lt;&gt;0, priority(Main[[#This Row],[Comments]]),"")</f>
        <v/>
      </c>
      <c r="B490" s="90" t="s">
        <v>1276</v>
      </c>
      <c r="C490" s="72" t="s">
        <v>4</v>
      </c>
      <c r="D490" s="73" t="s">
        <v>336</v>
      </c>
      <c r="E490" s="74">
        <v>40322.153738425928</v>
      </c>
      <c r="F490" s="74"/>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129</v>
      </c>
      <c r="J490" s="72" t="s">
        <v>4</v>
      </c>
      <c r="K490" s="72"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40353</v>
      </c>
      <c r="R490" s="74"/>
      <c r="S490" s="72" t="s">
        <v>6</v>
      </c>
      <c r="T490" s="80" t="s">
        <v>4</v>
      </c>
      <c r="U490" s="72" t="s">
        <v>7</v>
      </c>
      <c r="V490" s="72" t="s">
        <v>1932</v>
      </c>
      <c r="W490" s="72" t="s">
        <v>1934</v>
      </c>
      <c r="X490" s="72" t="s">
        <v>2913</v>
      </c>
      <c r="Y490" s="72" t="s">
        <v>3033</v>
      </c>
      <c r="Z490" s="72" t="s">
        <v>4</v>
      </c>
      <c r="AA490" s="147" t="s">
        <v>2913</v>
      </c>
    </row>
    <row r="491" spans="1:27" ht="18.600000000000001" customHeight="1">
      <c r="A491" s="140" t="str">
        <f>IF(priority(Main[[#This Row],[Comments]])&lt;&gt;0, priority(Main[[#This Row],[Comments]]),"")</f>
        <v/>
      </c>
      <c r="B491" s="90" t="s">
        <v>1277</v>
      </c>
      <c r="C491" s="72" t="s">
        <v>171</v>
      </c>
      <c r="D491" s="73" t="s">
        <v>337</v>
      </c>
      <c r="E491" s="74"/>
      <c r="F491" s="74">
        <v>40237</v>
      </c>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v>40132</v>
      </c>
      <c r="R491" s="74"/>
      <c r="S491" s="72" t="s">
        <v>11</v>
      </c>
      <c r="T491" s="80" t="s">
        <v>4</v>
      </c>
      <c r="U491" s="72" t="s">
        <v>14</v>
      </c>
      <c r="V491" s="72" t="s">
        <v>1932</v>
      </c>
      <c r="W491" s="72" t="s">
        <v>1937</v>
      </c>
      <c r="X491" s="72" t="s">
        <v>2949</v>
      </c>
      <c r="Y491" s="72" t="s">
        <v>4</v>
      </c>
      <c r="Z491" s="72" t="s">
        <v>4</v>
      </c>
      <c r="AA491" s="147" t="s">
        <v>2949</v>
      </c>
    </row>
    <row r="492" spans="1:27" ht="18.600000000000001" customHeight="1">
      <c r="A492" s="140" t="str">
        <f>IF(priority(Main[[#This Row],[Comments]])&lt;&gt;0, priority(Main[[#This Row],[Comments]]),"")</f>
        <v/>
      </c>
      <c r="B492" s="90" t="s">
        <v>1278</v>
      </c>
      <c r="C492" s="72" t="s">
        <v>4</v>
      </c>
      <c r="D492" s="73" t="s">
        <v>345</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c r="R492" s="74"/>
      <c r="S492" s="72" t="s">
        <v>11</v>
      </c>
      <c r="T492" s="80" t="s">
        <v>4</v>
      </c>
      <c r="U492" s="72" t="s">
        <v>14</v>
      </c>
      <c r="V492" s="72" t="s">
        <v>1933</v>
      </c>
      <c r="W492" s="72" t="s">
        <v>1940</v>
      </c>
      <c r="X492" s="72" t="s">
        <v>2953</v>
      </c>
      <c r="Y492" s="72" t="s">
        <v>3101</v>
      </c>
      <c r="Z492" s="72" t="s">
        <v>4</v>
      </c>
      <c r="AA492" s="147" t="s">
        <v>2953</v>
      </c>
    </row>
    <row r="493" spans="1:27" ht="18.600000000000001" customHeight="1">
      <c r="A493" s="140" t="str">
        <f>IF(priority(Main[[#This Row],[Comments]])&lt;&gt;0, priority(Main[[#This Row],[Comments]]),"")</f>
        <v/>
      </c>
      <c r="B493" s="90" t="s">
        <v>2771</v>
      </c>
      <c r="C493" s="72" t="s">
        <v>4</v>
      </c>
      <c r="D493" s="73" t="s">
        <v>2772</v>
      </c>
      <c r="E493" s="74">
        <v>40917.685127314813</v>
      </c>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c r="R493" s="74"/>
      <c r="S493" s="72" t="s">
        <v>6</v>
      </c>
      <c r="T493" s="80" t="s">
        <v>4</v>
      </c>
      <c r="U493" s="72" t="s">
        <v>7</v>
      </c>
      <c r="V493" s="72" t="s">
        <v>1935</v>
      </c>
      <c r="W493" s="72" t="s">
        <v>4</v>
      </c>
      <c r="X493" s="72" t="s">
        <v>2956</v>
      </c>
      <c r="Y493" s="72" t="s">
        <v>3105</v>
      </c>
      <c r="Z493" s="72" t="s">
        <v>4</v>
      </c>
      <c r="AA493" s="147" t="s">
        <v>2956</v>
      </c>
    </row>
    <row r="494" spans="1:27" ht="18.600000000000001" customHeight="1">
      <c r="A494" s="140" t="str">
        <f>IF(priority(Main[[#This Row],[Comments]])&lt;&gt;0, priority(Main[[#This Row],[Comments]]),"")</f>
        <v/>
      </c>
      <c r="B494" s="90" t="s">
        <v>1337</v>
      </c>
      <c r="C494" s="72" t="s">
        <v>4</v>
      </c>
      <c r="D494" s="73" t="s">
        <v>410</v>
      </c>
      <c r="E494" s="74"/>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v>40390</v>
      </c>
      <c r="R494" s="74"/>
      <c r="S494" s="72" t="s">
        <v>6</v>
      </c>
      <c r="T494" s="80" t="s">
        <v>4</v>
      </c>
      <c r="U494" s="72" t="s">
        <v>14</v>
      </c>
      <c r="V494" s="72" t="s">
        <v>1935</v>
      </c>
      <c r="W494" s="72" t="s">
        <v>4</v>
      </c>
      <c r="X494" s="72" t="s">
        <v>2910</v>
      </c>
      <c r="Y494" s="72" t="s">
        <v>3027</v>
      </c>
      <c r="Z494" s="72" t="s">
        <v>4</v>
      </c>
      <c r="AA494" s="147" t="s">
        <v>2910</v>
      </c>
    </row>
    <row r="495" spans="1:27" ht="18.600000000000001" customHeight="1">
      <c r="A495" s="140" t="str">
        <f>IF(priority(Main[[#This Row],[Comments]])&lt;&gt;0, priority(Main[[#This Row],[Comments]]),"")</f>
        <v/>
      </c>
      <c r="B495" s="90" t="s">
        <v>1338</v>
      </c>
      <c r="C495" s="72" t="s">
        <v>171</v>
      </c>
      <c r="D495" s="73" t="s">
        <v>411</v>
      </c>
      <c r="E495" s="74"/>
      <c r="F495" s="74">
        <v>40237</v>
      </c>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v>40132</v>
      </c>
      <c r="R495" s="74"/>
      <c r="S495" s="72" t="s">
        <v>11</v>
      </c>
      <c r="T495" s="80" t="s">
        <v>4</v>
      </c>
      <c r="U495" s="72" t="s">
        <v>14</v>
      </c>
      <c r="V495" s="72" t="s">
        <v>1932</v>
      </c>
      <c r="W495" s="72" t="s">
        <v>1937</v>
      </c>
      <c r="X495" s="72" t="s">
        <v>2949</v>
      </c>
      <c r="Y495" s="72" t="s">
        <v>4</v>
      </c>
      <c r="Z495" s="72" t="s">
        <v>4</v>
      </c>
      <c r="AA495" s="147" t="s">
        <v>2949</v>
      </c>
    </row>
    <row r="496" spans="1:27" ht="18.600000000000001" customHeight="1">
      <c r="A496" s="140" t="str">
        <f>IF(priority(Main[[#This Row],[Comments]])&lt;&gt;0, priority(Main[[#This Row],[Comments]]),"")</f>
        <v/>
      </c>
      <c r="B496" s="90" t="s">
        <v>1339</v>
      </c>
      <c r="C496" s="72" t="s">
        <v>171</v>
      </c>
      <c r="D496" s="73" t="s">
        <v>412</v>
      </c>
      <c r="E496" s="74"/>
      <c r="F496" s="74">
        <v>40237</v>
      </c>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40132</v>
      </c>
      <c r="R496" s="74"/>
      <c r="S496" s="72" t="s">
        <v>11</v>
      </c>
      <c r="T496" s="80" t="s">
        <v>4</v>
      </c>
      <c r="U496" s="72" t="s">
        <v>14</v>
      </c>
      <c r="V496" s="72" t="s">
        <v>1932</v>
      </c>
      <c r="W496" s="72" t="s">
        <v>1937</v>
      </c>
      <c r="X496" s="72" t="s">
        <v>2949</v>
      </c>
      <c r="Y496" s="72" t="s">
        <v>4</v>
      </c>
      <c r="Z496" s="72" t="s">
        <v>4</v>
      </c>
      <c r="AA496" s="147" t="s">
        <v>2949</v>
      </c>
    </row>
    <row r="497" spans="1:27" ht="18.600000000000001" customHeight="1">
      <c r="A497" s="140" t="str">
        <f>IF(priority(Main[[#This Row],[Comments]])&lt;&gt;0, priority(Main[[#This Row],[Comments]]),"")</f>
        <v/>
      </c>
      <c r="B497" s="90" t="s">
        <v>1340</v>
      </c>
      <c r="C497" s="72" t="s">
        <v>4</v>
      </c>
      <c r="D497" s="73" t="s">
        <v>413</v>
      </c>
      <c r="E497" s="74"/>
      <c r="F497" s="74"/>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28</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40471</v>
      </c>
      <c r="R497" s="74"/>
      <c r="S497" s="72" t="s">
        <v>6</v>
      </c>
      <c r="T497" s="80" t="s">
        <v>4</v>
      </c>
      <c r="U497" s="72" t="s">
        <v>14</v>
      </c>
      <c r="V497" s="72" t="s">
        <v>1935</v>
      </c>
      <c r="W497" s="72" t="s">
        <v>1934</v>
      </c>
      <c r="X497" s="72" t="s">
        <v>2913</v>
      </c>
      <c r="Y497" s="72" t="s">
        <v>3033</v>
      </c>
      <c r="Z497" s="72" t="s">
        <v>535</v>
      </c>
      <c r="AA497" s="147" t="s">
        <v>2913</v>
      </c>
    </row>
    <row r="498" spans="1:27" ht="18.600000000000001" customHeight="1">
      <c r="A498" s="140" t="str">
        <f>IF(priority(Main[[#This Row],[Comments]])&lt;&gt;0, priority(Main[[#This Row],[Comments]]),"")</f>
        <v/>
      </c>
      <c r="B498" s="90" t="s">
        <v>1341</v>
      </c>
      <c r="C498" s="72" t="s">
        <v>4</v>
      </c>
      <c r="D498" s="73" t="s">
        <v>414</v>
      </c>
      <c r="E498" s="74"/>
      <c r="F498" s="74"/>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v>
      </c>
      <c r="J498" s="72" t="s">
        <v>4</v>
      </c>
      <c r="K498" s="72"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c r="R498" s="74"/>
      <c r="S498" s="72" t="s">
        <v>6</v>
      </c>
      <c r="T498" s="80" t="s">
        <v>4</v>
      </c>
      <c r="U498" s="72" t="s">
        <v>12</v>
      </c>
      <c r="V498" s="72" t="s">
        <v>1933</v>
      </c>
      <c r="W498" s="72" t="s">
        <v>1940</v>
      </c>
      <c r="X498" s="72" t="s">
        <v>953</v>
      </c>
      <c r="Y498" s="72" t="s">
        <v>3090</v>
      </c>
      <c r="Z498" s="72" t="s">
        <v>4</v>
      </c>
      <c r="AA498" s="147" t="s">
        <v>953</v>
      </c>
    </row>
    <row r="499" spans="1:27" ht="18.600000000000001" customHeight="1">
      <c r="A499" s="140" t="str">
        <f>IF(priority(Main[[#This Row],[Comments]])&lt;&gt;0, priority(Main[[#This Row],[Comments]]),"")</f>
        <v/>
      </c>
      <c r="B499" s="90" t="s">
        <v>1342</v>
      </c>
      <c r="C499" s="72" t="s">
        <v>4</v>
      </c>
      <c r="D499" s="73" t="s">
        <v>415</v>
      </c>
      <c r="E499" s="74"/>
      <c r="F499" s="74"/>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c r="R499" s="74"/>
      <c r="S499" s="72" t="s">
        <v>416</v>
      </c>
      <c r="T499" s="80" t="s">
        <v>4</v>
      </c>
      <c r="U499" s="72" t="s">
        <v>14</v>
      </c>
      <c r="V499" s="72" t="s">
        <v>1933</v>
      </c>
      <c r="W499" s="72" t="s">
        <v>1936</v>
      </c>
      <c r="X499" s="72" t="s">
        <v>933</v>
      </c>
      <c r="Y499" s="72" t="s">
        <v>3077</v>
      </c>
      <c r="Z499" s="72" t="s">
        <v>4</v>
      </c>
      <c r="AA499" s="147" t="s">
        <v>933</v>
      </c>
    </row>
    <row r="500" spans="1:27" ht="18.600000000000001" customHeight="1">
      <c r="A500" s="140" t="str">
        <f>IF(priority(Main[[#This Row],[Comments]])&lt;&gt;0, priority(Main[[#This Row],[Comments]]),"")</f>
        <v/>
      </c>
      <c r="B500" s="90" t="s">
        <v>1831</v>
      </c>
      <c r="C500" s="72" t="s">
        <v>95</v>
      </c>
      <c r="D500" s="73" t="s">
        <v>875</v>
      </c>
      <c r="E500" s="74"/>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81"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v>40206</v>
      </c>
      <c r="R500" s="74">
        <v>40284</v>
      </c>
      <c r="S500" s="72" t="s">
        <v>11</v>
      </c>
      <c r="T500" s="80" t="s">
        <v>4</v>
      </c>
      <c r="U500" s="72" t="s">
        <v>14</v>
      </c>
      <c r="V500" s="72" t="s">
        <v>1933</v>
      </c>
      <c r="W500" s="72" t="s">
        <v>1934</v>
      </c>
      <c r="X500" s="72" t="s">
        <v>2928</v>
      </c>
      <c r="Y500" s="72" t="s">
        <v>3130</v>
      </c>
      <c r="Z500" s="72" t="s">
        <v>4</v>
      </c>
      <c r="AA500" s="147" t="s">
        <v>3654</v>
      </c>
    </row>
    <row r="501" spans="1:27" ht="18.600000000000001" customHeight="1">
      <c r="A501" s="140" t="str">
        <f>IF(priority(Main[[#This Row],[Comments]])&lt;&gt;0, priority(Main[[#This Row],[Comments]]),"")</f>
        <v/>
      </c>
      <c r="B501" s="90" t="s">
        <v>1621</v>
      </c>
      <c r="C501" s="72" t="s">
        <v>4</v>
      </c>
      <c r="D501" s="73" t="s">
        <v>686</v>
      </c>
      <c r="E501" s="74">
        <v>40619.658206018517</v>
      </c>
      <c r="F501" s="74"/>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933</v>
      </c>
      <c r="J501" s="72" t="s">
        <v>28</v>
      </c>
      <c r="K501" s="72" t="s">
        <v>1941</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c r="R501" s="74"/>
      <c r="S501" s="72" t="s">
        <v>6</v>
      </c>
      <c r="T501" s="80" t="s">
        <v>4</v>
      </c>
      <c r="U501" s="72" t="s">
        <v>29</v>
      </c>
      <c r="V501" s="72" t="s">
        <v>1947</v>
      </c>
      <c r="W501" s="72" t="s">
        <v>1934</v>
      </c>
      <c r="X501" s="72" t="s">
        <v>933</v>
      </c>
      <c r="Y501" s="72" t="s">
        <v>3077</v>
      </c>
      <c r="Z501" s="72" t="s">
        <v>2237</v>
      </c>
      <c r="AA501" s="147" t="s">
        <v>933</v>
      </c>
    </row>
    <row r="502" spans="1:27" ht="18.600000000000001" customHeight="1">
      <c r="A502" s="140" t="str">
        <f>IF(priority(Main[[#This Row],[Comments]])&lt;&gt;0, priority(Main[[#This Row],[Comments]]),"")</f>
        <v/>
      </c>
      <c r="B502" s="90" t="s">
        <v>1358</v>
      </c>
      <c r="C502" s="72" t="s">
        <v>4</v>
      </c>
      <c r="D502" s="73" t="s">
        <v>435</v>
      </c>
      <c r="E502" s="74">
        <v>40585.693101851852</v>
      </c>
      <c r="F502" s="74"/>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436</v>
      </c>
      <c r="J502" s="72" t="s">
        <v>21</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40602</v>
      </c>
      <c r="R502" s="74"/>
      <c r="S502" s="72" t="s">
        <v>6</v>
      </c>
      <c r="T502" s="80" t="s">
        <v>4</v>
      </c>
      <c r="U502" s="72" t="s">
        <v>29</v>
      </c>
      <c r="V502" s="72" t="s">
        <v>1935</v>
      </c>
      <c r="W502" s="72" t="s">
        <v>1936</v>
      </c>
      <c r="X502" s="72" t="s">
        <v>30</v>
      </c>
      <c r="Y502" s="72" t="s">
        <v>3052</v>
      </c>
      <c r="Z502" s="72" t="s">
        <v>420</v>
      </c>
      <c r="AA502" s="147" t="s">
        <v>30</v>
      </c>
    </row>
    <row r="503" spans="1:27" ht="18.600000000000001" customHeight="1">
      <c r="A503" s="140" t="str">
        <f>IF(priority(Main[[#This Row],[Comments]])&lt;&gt;0, priority(Main[[#This Row],[Comments]]),"")</f>
        <v/>
      </c>
      <c r="B503" s="90" t="s">
        <v>1359</v>
      </c>
      <c r="C503" s="72" t="s">
        <v>4</v>
      </c>
      <c r="D503" s="73" t="s">
        <v>437</v>
      </c>
      <c r="E503" s="74"/>
      <c r="F503" s="74"/>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c r="R503" s="74"/>
      <c r="S503" s="72" t="s">
        <v>4</v>
      </c>
      <c r="T503" s="80" t="s">
        <v>4</v>
      </c>
      <c r="U503" s="72" t="s">
        <v>14</v>
      </c>
      <c r="V503" s="72" t="s">
        <v>1932</v>
      </c>
      <c r="W503" s="72" t="s">
        <v>1946</v>
      </c>
      <c r="X503" s="72" t="s">
        <v>933</v>
      </c>
      <c r="Y503" s="72" t="s">
        <v>4</v>
      </c>
      <c r="Z503" s="72" t="s">
        <v>4</v>
      </c>
      <c r="AA503" s="147" t="s">
        <v>4</v>
      </c>
    </row>
    <row r="504" spans="1:27" ht="18.600000000000001" customHeight="1">
      <c r="A504" s="140" t="str">
        <f>IF(priority(Main[[#This Row],[Comments]])&lt;&gt;0, priority(Main[[#This Row],[Comments]]),"")</f>
        <v/>
      </c>
      <c r="B504" s="90" t="s">
        <v>1361</v>
      </c>
      <c r="C504" s="72" t="s">
        <v>31</v>
      </c>
      <c r="D504" s="73" t="s">
        <v>440</v>
      </c>
      <c r="E504" s="74"/>
      <c r="F504" s="74"/>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40318</v>
      </c>
      <c r="R504" s="74"/>
      <c r="S504" s="72" t="s">
        <v>11</v>
      </c>
      <c r="T504" s="80" t="s">
        <v>4</v>
      </c>
      <c r="U504" s="72" t="s">
        <v>14</v>
      </c>
      <c r="V504" s="72" t="s">
        <v>1935</v>
      </c>
      <c r="W504" s="72" t="s">
        <v>1934</v>
      </c>
      <c r="X504" s="72" t="s">
        <v>2921</v>
      </c>
      <c r="Y504" s="72" t="s">
        <v>4</v>
      </c>
      <c r="Z504" s="72" t="s">
        <v>4</v>
      </c>
      <c r="AA504" s="147" t="s">
        <v>2921</v>
      </c>
    </row>
    <row r="505" spans="1:27" ht="18.600000000000001" customHeight="1">
      <c r="A505" s="140" t="str">
        <f>IF(priority(Main[[#This Row],[Comments]])&lt;&gt;0, priority(Main[[#This Row],[Comments]]),"")</f>
        <v/>
      </c>
      <c r="B505" s="90" t="s">
        <v>1362</v>
      </c>
      <c r="C505" s="72" t="s">
        <v>441</v>
      </c>
      <c r="D505" s="73" t="s">
        <v>442</v>
      </c>
      <c r="E505" s="74"/>
      <c r="F505" s="74">
        <v>40056</v>
      </c>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72"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c r="R505" s="74"/>
      <c r="S505" s="72" t="s">
        <v>11</v>
      </c>
      <c r="T505" s="80" t="s">
        <v>4</v>
      </c>
      <c r="U505" s="72" t="s">
        <v>14</v>
      </c>
      <c r="V505" s="72" t="s">
        <v>1932</v>
      </c>
      <c r="W505" s="72" t="s">
        <v>1940</v>
      </c>
      <c r="X505" s="72" t="s">
        <v>2944</v>
      </c>
      <c r="Y505" s="72" t="s">
        <v>3086</v>
      </c>
      <c r="Z505" s="72" t="s">
        <v>4</v>
      </c>
      <c r="AA505" s="147" t="s">
        <v>2944</v>
      </c>
    </row>
    <row r="506" spans="1:27" ht="18.600000000000001" customHeight="1">
      <c r="A506" s="140" t="str">
        <f>IF(priority(Main[[#This Row],[Comments]])&lt;&gt;0, priority(Main[[#This Row],[Comments]]),"")</f>
        <v/>
      </c>
      <c r="B506" s="90" t="s">
        <v>1363</v>
      </c>
      <c r="C506" s="72" t="s">
        <v>31</v>
      </c>
      <c r="D506" s="73" t="s">
        <v>443</v>
      </c>
      <c r="E506" s="74"/>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40318</v>
      </c>
      <c r="R506" s="74"/>
      <c r="S506" s="72" t="s">
        <v>11</v>
      </c>
      <c r="T506" s="80" t="s">
        <v>4</v>
      </c>
      <c r="U506" s="72" t="s">
        <v>14</v>
      </c>
      <c r="V506" s="72" t="s">
        <v>1935</v>
      </c>
      <c r="W506" s="72" t="s">
        <v>1943</v>
      </c>
      <c r="X506" s="72" t="s">
        <v>2921</v>
      </c>
      <c r="Y506" s="72" t="s">
        <v>4</v>
      </c>
      <c r="Z506" s="72" t="s">
        <v>4</v>
      </c>
      <c r="AA506" s="147" t="s">
        <v>2921</v>
      </c>
    </row>
    <row r="507" spans="1:27" ht="18.600000000000001" customHeight="1">
      <c r="A507" s="140" t="str">
        <f>IF(priority(Main[[#This Row],[Comments]])&lt;&gt;0, priority(Main[[#This Row],[Comments]]),"")</f>
        <v/>
      </c>
      <c r="B507" s="90" t="s">
        <v>1364</v>
      </c>
      <c r="C507" s="72" t="s">
        <v>31</v>
      </c>
      <c r="D507" s="73" t="s">
        <v>444</v>
      </c>
      <c r="E507" s="74"/>
      <c r="F507" s="74"/>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4</v>
      </c>
      <c r="J507" s="72" t="s">
        <v>4</v>
      </c>
      <c r="K507" s="72" t="s">
        <v>4</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40318</v>
      </c>
      <c r="R507" s="74"/>
      <c r="S507" s="72" t="s">
        <v>11</v>
      </c>
      <c r="T507" s="80" t="s">
        <v>4</v>
      </c>
      <c r="U507" s="72" t="s">
        <v>14</v>
      </c>
      <c r="V507" s="72" t="s">
        <v>1935</v>
      </c>
      <c r="W507" s="72" t="s">
        <v>1934</v>
      </c>
      <c r="X507" s="72" t="s">
        <v>2921</v>
      </c>
      <c r="Y507" s="72" t="s">
        <v>4</v>
      </c>
      <c r="Z507" s="72" t="s">
        <v>4</v>
      </c>
      <c r="AA507" s="147" t="s">
        <v>2921</v>
      </c>
    </row>
    <row r="508" spans="1:27" ht="18.600000000000001" customHeight="1">
      <c r="A508" s="140" t="str">
        <f>IF(priority(Main[[#This Row],[Comments]])&lt;&gt;0, priority(Main[[#This Row],[Comments]]),"")</f>
        <v/>
      </c>
      <c r="B508" s="90" t="s">
        <v>1366</v>
      </c>
      <c r="C508" s="72" t="s">
        <v>4</v>
      </c>
      <c r="D508" s="73" t="s">
        <v>446</v>
      </c>
      <c r="E508" s="74">
        <v>40371.342870370368</v>
      </c>
      <c r="F508" s="74"/>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72"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v>40385</v>
      </c>
      <c r="R508" s="74"/>
      <c r="S508" s="72" t="s">
        <v>6</v>
      </c>
      <c r="T508" s="80" t="s">
        <v>4</v>
      </c>
      <c r="U508" s="72" t="s">
        <v>7</v>
      </c>
      <c r="V508" s="72" t="s">
        <v>1932</v>
      </c>
      <c r="W508" s="72" t="s">
        <v>1934</v>
      </c>
      <c r="X508" s="72" t="s">
        <v>102</v>
      </c>
      <c r="Y508" s="72" t="s">
        <v>3127</v>
      </c>
      <c r="Z508" s="72" t="s">
        <v>4</v>
      </c>
      <c r="AA508" s="147" t="s">
        <v>3638</v>
      </c>
    </row>
    <row r="509" spans="1:27" ht="18.600000000000001" customHeight="1">
      <c r="A509" s="140" t="str">
        <f>IF(priority(Main[[#This Row],[Comments]])&lt;&gt;0, priority(Main[[#This Row],[Comments]]),"")</f>
        <v/>
      </c>
      <c r="B509" s="90" t="s">
        <v>1367</v>
      </c>
      <c r="C509" s="72" t="s">
        <v>4</v>
      </c>
      <c r="D509" s="73" t="s">
        <v>447</v>
      </c>
      <c r="E509" s="74">
        <v>40679.250891203701</v>
      </c>
      <c r="F509" s="74"/>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81"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40724</v>
      </c>
      <c r="R509" s="74"/>
      <c r="S509" s="72" t="s">
        <v>6</v>
      </c>
      <c r="T509" s="80" t="s">
        <v>4</v>
      </c>
      <c r="U509" s="72" t="s">
        <v>7</v>
      </c>
      <c r="V509" s="72" t="s">
        <v>1932</v>
      </c>
      <c r="W509" s="72" t="s">
        <v>4</v>
      </c>
      <c r="X509" s="72" t="s">
        <v>2913</v>
      </c>
      <c r="Y509" s="72" t="s">
        <v>3033</v>
      </c>
      <c r="Z509" s="72" t="s">
        <v>4</v>
      </c>
      <c r="AA509" s="147" t="s">
        <v>2913</v>
      </c>
    </row>
    <row r="510" spans="1:27" ht="18.600000000000001" customHeight="1">
      <c r="A510" s="140" t="str">
        <f>IF(priority(Main[[#This Row],[Comments]])&lt;&gt;0, priority(Main[[#This Row],[Comments]]),"")</f>
        <v/>
      </c>
      <c r="B510" s="90" t="s">
        <v>1368</v>
      </c>
      <c r="C510" s="72" t="s">
        <v>4</v>
      </c>
      <c r="D510" s="73" t="s">
        <v>448</v>
      </c>
      <c r="E510" s="74"/>
      <c r="F510" s="74"/>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c r="R510" s="74"/>
      <c r="S510" s="72" t="s">
        <v>11</v>
      </c>
      <c r="T510" s="80" t="s">
        <v>4</v>
      </c>
      <c r="U510" s="72" t="s">
        <v>14</v>
      </c>
      <c r="V510" s="72" t="s">
        <v>1942</v>
      </c>
      <c r="W510" s="72" t="s">
        <v>1938</v>
      </c>
      <c r="X510" s="72" t="s">
        <v>2959</v>
      </c>
      <c r="Y510" s="72" t="s">
        <v>3131</v>
      </c>
      <c r="Z510" s="72" t="s">
        <v>4</v>
      </c>
      <c r="AA510" s="147" t="s">
        <v>2959</v>
      </c>
    </row>
    <row r="511" spans="1:27" ht="18.600000000000001" customHeight="1">
      <c r="A511" s="140" t="str">
        <f>IF(priority(Main[[#This Row],[Comments]])&lt;&gt;0, priority(Main[[#This Row],[Comments]]),"")</f>
        <v/>
      </c>
      <c r="B511" s="90" t="s">
        <v>1369</v>
      </c>
      <c r="C511" s="72" t="s">
        <v>441</v>
      </c>
      <c r="D511" s="73" t="s">
        <v>449</v>
      </c>
      <c r="E511" s="74"/>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c r="R511" s="74"/>
      <c r="S511" s="72" t="s">
        <v>11</v>
      </c>
      <c r="T511" s="80" t="s">
        <v>4</v>
      </c>
      <c r="U511" s="72" t="s">
        <v>14</v>
      </c>
      <c r="V511" s="72" t="s">
        <v>1933</v>
      </c>
      <c r="W511" s="72" t="s">
        <v>1940</v>
      </c>
      <c r="X511" s="72" t="s">
        <v>2918</v>
      </c>
      <c r="Y511" s="72" t="s">
        <v>3043</v>
      </c>
      <c r="Z511" s="72" t="s">
        <v>4</v>
      </c>
      <c r="AA511" s="147" t="s">
        <v>2918</v>
      </c>
    </row>
    <row r="512" spans="1:27" ht="18.600000000000001" customHeight="1">
      <c r="A512" s="140" t="str">
        <f>IF(priority(Main[[#This Row],[Comments]])&lt;&gt;0, priority(Main[[#This Row],[Comments]]),"")</f>
        <v/>
      </c>
      <c r="B512" s="90" t="s">
        <v>1370</v>
      </c>
      <c r="C512" s="72" t="s">
        <v>47</v>
      </c>
      <c r="D512" s="73" t="s">
        <v>450</v>
      </c>
      <c r="E512" s="74"/>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c r="R512" s="74"/>
      <c r="S512" s="72" t="s">
        <v>49</v>
      </c>
      <c r="T512" s="80" t="s">
        <v>4</v>
      </c>
      <c r="U512" s="72" t="s">
        <v>14</v>
      </c>
      <c r="V512" s="72" t="s">
        <v>1935</v>
      </c>
      <c r="W512" s="72" t="s">
        <v>1936</v>
      </c>
      <c r="X512" s="72" t="s">
        <v>310</v>
      </c>
      <c r="Y512" s="72" t="s">
        <v>3036</v>
      </c>
      <c r="Z512" s="72" t="s">
        <v>4</v>
      </c>
      <c r="AA512" s="147" t="s">
        <v>3618</v>
      </c>
    </row>
    <row r="513" spans="1:27" ht="18.600000000000001" customHeight="1">
      <c r="A513" s="140" t="str">
        <f>IF(priority(Main[[#This Row],[Comments]])&lt;&gt;0, priority(Main[[#This Row],[Comments]]),"")</f>
        <v/>
      </c>
      <c r="B513" s="90" t="s">
        <v>1371</v>
      </c>
      <c r="C513" s="72" t="s">
        <v>47</v>
      </c>
      <c r="D513" s="73" t="s">
        <v>451</v>
      </c>
      <c r="E513" s="74">
        <v>40323.347812499997</v>
      </c>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129</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40340</v>
      </c>
      <c r="R513" s="74"/>
      <c r="S513" s="72" t="s">
        <v>6</v>
      </c>
      <c r="T513" s="80" t="s">
        <v>4</v>
      </c>
      <c r="U513" s="72" t="s">
        <v>29</v>
      </c>
      <c r="V513" s="72" t="s">
        <v>1932</v>
      </c>
      <c r="W513" s="72" t="s">
        <v>1936</v>
      </c>
      <c r="X513" s="72" t="s">
        <v>310</v>
      </c>
      <c r="Y513" s="72" t="s">
        <v>4</v>
      </c>
      <c r="Z513" s="72" t="s">
        <v>129</v>
      </c>
      <c r="AA513" s="147" t="s">
        <v>3652</v>
      </c>
    </row>
    <row r="514" spans="1:27" ht="18.600000000000001" customHeight="1">
      <c r="A514" s="140" t="str">
        <f>IF(priority(Main[[#This Row],[Comments]])&lt;&gt;0, priority(Main[[#This Row],[Comments]]),"")</f>
        <v/>
      </c>
      <c r="B514" s="90" t="s">
        <v>1372</v>
      </c>
      <c r="C514" s="72" t="s">
        <v>31</v>
      </c>
      <c r="D514" s="73" t="s">
        <v>452</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40318</v>
      </c>
      <c r="R514" s="74"/>
      <c r="S514" s="72" t="s">
        <v>11</v>
      </c>
      <c r="T514" s="80" t="s">
        <v>4</v>
      </c>
      <c r="U514" s="72" t="s">
        <v>14</v>
      </c>
      <c r="V514" s="72" t="s">
        <v>1935</v>
      </c>
      <c r="W514" s="72" t="s">
        <v>1943</v>
      </c>
      <c r="X514" s="72" t="s">
        <v>2921</v>
      </c>
      <c r="Y514" s="72" t="s">
        <v>4</v>
      </c>
      <c r="Z514" s="72" t="s">
        <v>4</v>
      </c>
      <c r="AA514" s="147" t="s">
        <v>2921</v>
      </c>
    </row>
    <row r="515" spans="1:27" ht="18.600000000000001" customHeight="1">
      <c r="A515" s="140" t="str">
        <f>IF(priority(Main[[#This Row],[Comments]])&lt;&gt;0, priority(Main[[#This Row],[Comments]]),"")</f>
        <v/>
      </c>
      <c r="B515" s="90" t="s">
        <v>1373</v>
      </c>
      <c r="C515" s="72" t="s">
        <v>31</v>
      </c>
      <c r="D515" s="73" t="s">
        <v>453</v>
      </c>
      <c r="E515" s="74"/>
      <c r="F515" s="74"/>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40318</v>
      </c>
      <c r="R515" s="74"/>
      <c r="S515" s="72" t="s">
        <v>11</v>
      </c>
      <c r="T515" s="80" t="s">
        <v>4</v>
      </c>
      <c r="U515" s="72" t="s">
        <v>14</v>
      </c>
      <c r="V515" s="72" t="s">
        <v>1935</v>
      </c>
      <c r="W515" s="72" t="s">
        <v>1943</v>
      </c>
      <c r="X515" s="72" t="s">
        <v>2921</v>
      </c>
      <c r="Y515" s="72" t="s">
        <v>4</v>
      </c>
      <c r="Z515" s="72" t="s">
        <v>4</v>
      </c>
      <c r="AA515" s="147" t="s">
        <v>2921</v>
      </c>
    </row>
    <row r="516" spans="1:27" ht="18.600000000000001" customHeight="1">
      <c r="A516" s="140" t="str">
        <f>IF(priority(Main[[#This Row],[Comments]])&lt;&gt;0, priority(Main[[#This Row],[Comments]]),"")</f>
        <v/>
      </c>
      <c r="B516" s="90" t="s">
        <v>1374</v>
      </c>
      <c r="C516" s="72" t="s">
        <v>279</v>
      </c>
      <c r="D516" s="73" t="s">
        <v>454</v>
      </c>
      <c r="E516" s="74"/>
      <c r="F516" s="74">
        <v>40444</v>
      </c>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81"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v>40262</v>
      </c>
      <c r="R516" s="74"/>
      <c r="S516" s="72" t="s">
        <v>17</v>
      </c>
      <c r="T516" s="80" t="s">
        <v>4</v>
      </c>
      <c r="U516" s="72" t="s">
        <v>14</v>
      </c>
      <c r="V516" s="72" t="s">
        <v>1935</v>
      </c>
      <c r="W516" s="72" t="s">
        <v>1937</v>
      </c>
      <c r="X516" s="72" t="s">
        <v>310</v>
      </c>
      <c r="Y516" s="72" t="s">
        <v>4</v>
      </c>
      <c r="Z516" s="72" t="s">
        <v>4</v>
      </c>
      <c r="AA516" s="147" t="s">
        <v>65</v>
      </c>
    </row>
    <row r="517" spans="1:27" ht="18.600000000000001" customHeight="1">
      <c r="A517" s="140" t="str">
        <f>IF(priority(Main[[#This Row],[Comments]])&lt;&gt;0, priority(Main[[#This Row],[Comments]]),"")</f>
        <v/>
      </c>
      <c r="B517" s="90" t="s">
        <v>1375</v>
      </c>
      <c r="C517" s="72" t="s">
        <v>67</v>
      </c>
      <c r="D517" s="73" t="s">
        <v>455</v>
      </c>
      <c r="E517" s="74"/>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c r="R517" s="74"/>
      <c r="S517" s="72" t="s">
        <v>11</v>
      </c>
      <c r="T517" s="80" t="s">
        <v>4</v>
      </c>
      <c r="U517" s="72" t="s">
        <v>12</v>
      </c>
      <c r="V517" s="72" t="s">
        <v>1933</v>
      </c>
      <c r="W517" s="72" t="s">
        <v>1940</v>
      </c>
      <c r="X517" s="72" t="s">
        <v>2953</v>
      </c>
      <c r="Y517" s="72" t="s">
        <v>3101</v>
      </c>
      <c r="Z517" s="72" t="s">
        <v>4</v>
      </c>
      <c r="AA517" s="147" t="s">
        <v>2953</v>
      </c>
    </row>
    <row r="518" spans="1:27" ht="18.600000000000001" customHeight="1">
      <c r="A518" s="140" t="str">
        <f>IF(priority(Main[[#This Row],[Comments]])&lt;&gt;0, priority(Main[[#This Row],[Comments]]),"")</f>
        <v/>
      </c>
      <c r="B518" s="90" t="s">
        <v>1376</v>
      </c>
      <c r="C518" s="72" t="s">
        <v>83</v>
      </c>
      <c r="D518" s="73" t="s">
        <v>456</v>
      </c>
      <c r="E518" s="74"/>
      <c r="F518" s="74"/>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40252</v>
      </c>
      <c r="R518" s="74"/>
      <c r="S518" s="72" t="s">
        <v>11</v>
      </c>
      <c r="T518" s="80" t="s">
        <v>4</v>
      </c>
      <c r="U518" s="72" t="s">
        <v>14</v>
      </c>
      <c r="V518" s="72" t="s">
        <v>1932</v>
      </c>
      <c r="W518" s="72" t="s">
        <v>1943</v>
      </c>
      <c r="X518" s="72" t="s">
        <v>2908</v>
      </c>
      <c r="Y518" s="72" t="s">
        <v>4</v>
      </c>
      <c r="Z518" s="72" t="s">
        <v>4</v>
      </c>
      <c r="AA518" s="147" t="s">
        <v>2908</v>
      </c>
    </row>
    <row r="519" spans="1:27" ht="18.600000000000001" customHeight="1">
      <c r="A519" s="140" t="str">
        <f>IF(priority(Main[[#This Row],[Comments]])&lt;&gt;0, priority(Main[[#This Row],[Comments]]),"")</f>
        <v/>
      </c>
      <c r="B519" s="90" t="s">
        <v>1377</v>
      </c>
      <c r="C519" s="72" t="s">
        <v>42</v>
      </c>
      <c r="D519" s="73" t="s">
        <v>457</v>
      </c>
      <c r="E519" s="74">
        <v>39932.393530092595</v>
      </c>
      <c r="F519" s="74"/>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c r="R519" s="74"/>
      <c r="S519" s="72" t="s">
        <v>17</v>
      </c>
      <c r="T519" s="80" t="s">
        <v>4</v>
      </c>
      <c r="U519" s="72" t="s">
        <v>7</v>
      </c>
      <c r="V519" s="72" t="s">
        <v>1935</v>
      </c>
      <c r="W519" s="72" t="s">
        <v>4</v>
      </c>
      <c r="X519" s="72" t="s">
        <v>403</v>
      </c>
      <c r="Y519" s="72" t="s">
        <v>4</v>
      </c>
      <c r="Z519" s="72" t="s">
        <v>4</v>
      </c>
      <c r="AA519" s="147" t="s">
        <v>4</v>
      </c>
    </row>
    <row r="520" spans="1:27" ht="18.600000000000001" customHeight="1">
      <c r="A520" s="140" t="str">
        <f>IF(priority(Main[[#This Row],[Comments]])&lt;&gt;0, priority(Main[[#This Row],[Comments]]),"")</f>
        <v/>
      </c>
      <c r="B520" s="90" t="s">
        <v>1378</v>
      </c>
      <c r="C520" s="72" t="s">
        <v>458</v>
      </c>
      <c r="D520" s="73" t="s">
        <v>459</v>
      </c>
      <c r="E520" s="74"/>
      <c r="F520" s="74"/>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c r="R520" s="74"/>
      <c r="S520" s="72" t="s">
        <v>11</v>
      </c>
      <c r="T520" s="80" t="s">
        <v>4</v>
      </c>
      <c r="U520" s="72" t="s">
        <v>14</v>
      </c>
      <c r="V520" s="72" t="s">
        <v>1933</v>
      </c>
      <c r="W520" s="72" t="s">
        <v>1940</v>
      </c>
      <c r="X520" s="72" t="s">
        <v>403</v>
      </c>
      <c r="Y520" s="72" t="s">
        <v>4</v>
      </c>
      <c r="Z520" s="72" t="s">
        <v>4</v>
      </c>
      <c r="AA520" s="147" t="s">
        <v>4</v>
      </c>
    </row>
    <row r="521" spans="1:27" ht="18.600000000000001" customHeight="1">
      <c r="A521" s="140" t="str">
        <f>IF(priority(Main[[#This Row],[Comments]])&lt;&gt;0, priority(Main[[#This Row],[Comments]]),"")</f>
        <v/>
      </c>
      <c r="B521" s="90" t="s">
        <v>1379</v>
      </c>
      <c r="C521" s="72" t="s">
        <v>460</v>
      </c>
      <c r="D521" s="73" t="s">
        <v>461</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c r="R521" s="74"/>
      <c r="S521" s="72" t="s">
        <v>11</v>
      </c>
      <c r="T521" s="80" t="s">
        <v>4</v>
      </c>
      <c r="U521" s="72" t="s">
        <v>14</v>
      </c>
      <c r="V521" s="72" t="s">
        <v>1933</v>
      </c>
      <c r="W521" s="72" t="s">
        <v>1940</v>
      </c>
      <c r="X521" s="72" t="s">
        <v>403</v>
      </c>
      <c r="Y521" s="72" t="s">
        <v>4</v>
      </c>
      <c r="Z521" s="72" t="s">
        <v>4</v>
      </c>
      <c r="AA521" s="147" t="s">
        <v>3653</v>
      </c>
    </row>
    <row r="522" spans="1:27" ht="18.600000000000001" customHeight="1">
      <c r="A522" s="140" t="str">
        <f>IF(priority(Main[[#This Row],[Comments]])&lt;&gt;0, priority(Main[[#This Row],[Comments]]),"")</f>
        <v/>
      </c>
      <c r="B522" s="90" t="s">
        <v>1380</v>
      </c>
      <c r="C522" s="72" t="s">
        <v>462</v>
      </c>
      <c r="D522" s="73" t="s">
        <v>463</v>
      </c>
      <c r="E522" s="74"/>
      <c r="F522" s="74">
        <v>40214</v>
      </c>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40149</v>
      </c>
      <c r="R522" s="74"/>
      <c r="S522" s="72" t="s">
        <v>11</v>
      </c>
      <c r="T522" s="80" t="s">
        <v>4</v>
      </c>
      <c r="U522" s="72" t="s">
        <v>14</v>
      </c>
      <c r="V522" s="72" t="s">
        <v>1935</v>
      </c>
      <c r="W522" s="72" t="s">
        <v>1938</v>
      </c>
      <c r="X522" s="72" t="s">
        <v>2954</v>
      </c>
      <c r="Y522" s="72" t="s">
        <v>4</v>
      </c>
      <c r="Z522" s="72" t="s">
        <v>4</v>
      </c>
      <c r="AA522" s="147" t="s">
        <v>2954</v>
      </c>
    </row>
    <row r="523" spans="1:27" ht="18.600000000000001" customHeight="1">
      <c r="A523" s="140" t="str">
        <f>IF(priority(Main[[#This Row],[Comments]])&lt;&gt;0, priority(Main[[#This Row],[Comments]]),"")</f>
        <v/>
      </c>
      <c r="B523" s="90" t="s">
        <v>1381</v>
      </c>
      <c r="C523" s="72" t="s">
        <v>93</v>
      </c>
      <c r="D523" s="73" t="s">
        <v>464</v>
      </c>
      <c r="E523" s="74"/>
      <c r="F523" s="74">
        <v>40210</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81"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40195</v>
      </c>
      <c r="R523" s="74"/>
      <c r="S523" s="72" t="s">
        <v>11</v>
      </c>
      <c r="T523" s="80" t="s">
        <v>4</v>
      </c>
      <c r="U523" s="72" t="s">
        <v>12</v>
      </c>
      <c r="V523" s="72" t="s">
        <v>1942</v>
      </c>
      <c r="W523" s="72" t="s">
        <v>1943</v>
      </c>
      <c r="X523" s="72" t="s">
        <v>2936</v>
      </c>
      <c r="Y523" s="72" t="s">
        <v>4</v>
      </c>
      <c r="Z523" s="72" t="s">
        <v>4</v>
      </c>
      <c r="AA523" s="147" t="s">
        <v>2936</v>
      </c>
    </row>
    <row r="524" spans="1:27" ht="18.600000000000001" customHeight="1">
      <c r="A524" s="140" t="str">
        <f>IF(priority(Main[[#This Row],[Comments]])&lt;&gt;0, priority(Main[[#This Row],[Comments]]),"")</f>
        <v/>
      </c>
      <c r="B524" s="90" t="s">
        <v>1382</v>
      </c>
      <c r="C524" s="72" t="s">
        <v>462</v>
      </c>
      <c r="D524" s="73" t="s">
        <v>465</v>
      </c>
      <c r="E524" s="74"/>
      <c r="F524" s="74">
        <v>40214</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40149</v>
      </c>
      <c r="R524" s="74"/>
      <c r="S524" s="72" t="s">
        <v>11</v>
      </c>
      <c r="T524" s="80" t="s">
        <v>4</v>
      </c>
      <c r="U524" s="72" t="s">
        <v>14</v>
      </c>
      <c r="V524" s="72" t="s">
        <v>1935</v>
      </c>
      <c r="W524" s="72" t="s">
        <v>1938</v>
      </c>
      <c r="X524" s="72" t="s">
        <v>2954</v>
      </c>
      <c r="Y524" s="72" t="s">
        <v>4</v>
      </c>
      <c r="Z524" s="72" t="s">
        <v>4</v>
      </c>
      <c r="AA524" s="147" t="s">
        <v>2954</v>
      </c>
    </row>
    <row r="525" spans="1:27" ht="18.600000000000001" customHeight="1">
      <c r="A525" s="140" t="str">
        <f>IF(priority(Main[[#This Row],[Comments]])&lt;&gt;0, priority(Main[[#This Row],[Comments]]),"")</f>
        <v/>
      </c>
      <c r="B525" s="90" t="s">
        <v>1383</v>
      </c>
      <c r="C525" s="72" t="s">
        <v>31</v>
      </c>
      <c r="D525" s="73" t="s">
        <v>466</v>
      </c>
      <c r="E525" s="74"/>
      <c r="F525" s="74"/>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v>40318</v>
      </c>
      <c r="R525" s="74"/>
      <c r="S525" s="72" t="s">
        <v>11</v>
      </c>
      <c r="T525" s="80" t="s">
        <v>4</v>
      </c>
      <c r="U525" s="72" t="s">
        <v>14</v>
      </c>
      <c r="V525" s="72" t="s">
        <v>1935</v>
      </c>
      <c r="W525" s="72" t="s">
        <v>1934</v>
      </c>
      <c r="X525" s="72" t="s">
        <v>2921</v>
      </c>
      <c r="Y525" s="72" t="s">
        <v>4</v>
      </c>
      <c r="Z525" s="72" t="s">
        <v>4</v>
      </c>
      <c r="AA525" s="147" t="s">
        <v>2921</v>
      </c>
    </row>
    <row r="526" spans="1:27" ht="18.600000000000001" customHeight="1">
      <c r="A526" s="140" t="str">
        <f>IF(priority(Main[[#This Row],[Comments]])&lt;&gt;0, priority(Main[[#This Row],[Comments]]),"")</f>
        <v/>
      </c>
      <c r="B526" s="90" t="s">
        <v>1384</v>
      </c>
      <c r="C526" s="72" t="s">
        <v>31</v>
      </c>
      <c r="D526" s="73" t="s">
        <v>467</v>
      </c>
      <c r="E526" s="74">
        <v>40494.184537037036</v>
      </c>
      <c r="F526" s="74">
        <v>40546</v>
      </c>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v>40527</v>
      </c>
      <c r="R526" s="74"/>
      <c r="S526" s="72" t="s">
        <v>17</v>
      </c>
      <c r="T526" s="80" t="s">
        <v>4</v>
      </c>
      <c r="U526" s="72" t="s">
        <v>7</v>
      </c>
      <c r="V526" s="72" t="s">
        <v>1935</v>
      </c>
      <c r="W526" s="72" t="s">
        <v>4</v>
      </c>
      <c r="X526" s="72" t="s">
        <v>2947</v>
      </c>
      <c r="Y526" s="72" t="s">
        <v>3092</v>
      </c>
      <c r="Z526" s="72" t="s">
        <v>4</v>
      </c>
      <c r="AA526" s="147" t="s">
        <v>2947</v>
      </c>
    </row>
    <row r="527" spans="1:27" ht="18.600000000000001" customHeight="1">
      <c r="A527" s="140" t="str">
        <f>IF(priority(Main[[#This Row],[Comments]])&lt;&gt;0, priority(Main[[#This Row],[Comments]]),"")</f>
        <v/>
      </c>
      <c r="B527" s="90" t="s">
        <v>1385</v>
      </c>
      <c r="C527" s="72" t="s">
        <v>4</v>
      </c>
      <c r="D527" s="73" t="s">
        <v>468</v>
      </c>
      <c r="E527" s="74"/>
      <c r="F527" s="74">
        <v>40374</v>
      </c>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4</v>
      </c>
      <c r="J527" s="72" t="s">
        <v>4</v>
      </c>
      <c r="K527" s="72" t="s">
        <v>4</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v>40297</v>
      </c>
      <c r="R527" s="74"/>
      <c r="S527" s="72" t="s">
        <v>11</v>
      </c>
      <c r="T527" s="80" t="s">
        <v>4</v>
      </c>
      <c r="U527" s="72" t="s">
        <v>12</v>
      </c>
      <c r="V527" s="72" t="s">
        <v>1932</v>
      </c>
      <c r="W527" s="72" t="s">
        <v>1940</v>
      </c>
      <c r="X527" s="72" t="s">
        <v>2915</v>
      </c>
      <c r="Y527" s="72" t="s">
        <v>3038</v>
      </c>
      <c r="Z527" s="72" t="s">
        <v>4</v>
      </c>
      <c r="AA527" s="147" t="s">
        <v>2915</v>
      </c>
    </row>
    <row r="528" spans="1:27" ht="18.600000000000001" customHeight="1">
      <c r="A528" s="140" t="str">
        <f>IF(priority(Main[[#This Row],[Comments]])&lt;&gt;0, priority(Main[[#This Row],[Comments]]),"")</f>
        <v/>
      </c>
      <c r="B528" s="90" t="s">
        <v>1386</v>
      </c>
      <c r="C528" s="72" t="s">
        <v>31</v>
      </c>
      <c r="D528" s="73" t="s">
        <v>469</v>
      </c>
      <c r="E528" s="74"/>
      <c r="F528" s="74">
        <v>40568</v>
      </c>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51</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40396</v>
      </c>
      <c r="R528" s="74"/>
      <c r="S528" s="72" t="s">
        <v>11</v>
      </c>
      <c r="T528" s="80" t="s">
        <v>4</v>
      </c>
      <c r="U528" s="72" t="s">
        <v>14</v>
      </c>
      <c r="V528" s="72" t="s">
        <v>1942</v>
      </c>
      <c r="W528" s="72" t="s">
        <v>1938</v>
      </c>
      <c r="X528" s="72" t="s">
        <v>2975</v>
      </c>
      <c r="Y528" s="72" t="s">
        <v>3132</v>
      </c>
      <c r="Z528" s="72" t="s">
        <v>894</v>
      </c>
      <c r="AA528" s="147" t="s">
        <v>2975</v>
      </c>
    </row>
    <row r="529" spans="1:27" ht="18.600000000000001" customHeight="1">
      <c r="A529" s="140" t="str">
        <f>IF(priority(Main[[#This Row],[Comments]])&lt;&gt;0, priority(Main[[#This Row],[Comments]]),"")</f>
        <v/>
      </c>
      <c r="B529" s="90" t="s">
        <v>1387</v>
      </c>
      <c r="C529" s="72" t="s">
        <v>470</v>
      </c>
      <c r="D529" s="73" t="s">
        <v>471</v>
      </c>
      <c r="E529" s="74"/>
      <c r="F529" s="74">
        <v>40179</v>
      </c>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72"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40154</v>
      </c>
      <c r="R529" s="74"/>
      <c r="S529" s="72" t="s">
        <v>11</v>
      </c>
      <c r="T529" s="80" t="s">
        <v>4</v>
      </c>
      <c r="U529" s="72" t="s">
        <v>14</v>
      </c>
      <c r="V529" s="72" t="s">
        <v>1935</v>
      </c>
      <c r="W529" s="72" t="s">
        <v>1938</v>
      </c>
      <c r="X529" s="72" t="s">
        <v>2954</v>
      </c>
      <c r="Y529" s="72" t="s">
        <v>4</v>
      </c>
      <c r="Z529" s="72" t="s">
        <v>4</v>
      </c>
      <c r="AA529" s="147" t="s">
        <v>2954</v>
      </c>
    </row>
    <row r="530" spans="1:27" ht="18.600000000000001" customHeight="1">
      <c r="A530" s="140" t="str">
        <f>IF(priority(Main[[#This Row],[Comments]])&lt;&gt;0, priority(Main[[#This Row],[Comments]]),"")</f>
        <v/>
      </c>
      <c r="B530" s="90" t="s">
        <v>1388</v>
      </c>
      <c r="C530" s="72" t="s">
        <v>4</v>
      </c>
      <c r="D530" s="73" t="s">
        <v>472</v>
      </c>
      <c r="E530" s="74">
        <v>40701.70579861111</v>
      </c>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40732</v>
      </c>
      <c r="R530" s="74"/>
      <c r="S530" s="72" t="s">
        <v>6</v>
      </c>
      <c r="T530" s="80" t="s">
        <v>4</v>
      </c>
      <c r="U530" s="72" t="s">
        <v>7</v>
      </c>
      <c r="V530" s="72" t="s">
        <v>1932</v>
      </c>
      <c r="W530" s="72" t="s">
        <v>4</v>
      </c>
      <c r="X530" s="72" t="s">
        <v>2910</v>
      </c>
      <c r="Y530" s="72" t="s">
        <v>3027</v>
      </c>
      <c r="Z530" s="72" t="s">
        <v>4</v>
      </c>
      <c r="AA530" s="147" t="s">
        <v>2910</v>
      </c>
    </row>
    <row r="531" spans="1:27" ht="18.600000000000001" customHeight="1">
      <c r="A531" s="140" t="str">
        <f>IF(priority(Main[[#This Row],[Comments]])&lt;&gt;0, priority(Main[[#This Row],[Comments]]),"")</f>
        <v/>
      </c>
      <c r="B531" s="90" t="s">
        <v>1798</v>
      </c>
      <c r="C531" s="72" t="s">
        <v>4</v>
      </c>
      <c r="D531" s="73" t="s">
        <v>859</v>
      </c>
      <c r="E531" s="74">
        <v>40611.493495370371</v>
      </c>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40725</v>
      </c>
      <c r="R531" s="74"/>
      <c r="S531" s="72" t="s">
        <v>17</v>
      </c>
      <c r="T531" s="80" t="s">
        <v>4</v>
      </c>
      <c r="U531" s="72" t="s">
        <v>7</v>
      </c>
      <c r="V531" s="72" t="s">
        <v>1935</v>
      </c>
      <c r="W531" s="72" t="s">
        <v>1937</v>
      </c>
      <c r="X531" s="72" t="s">
        <v>559</v>
      </c>
      <c r="Y531" s="72" t="s">
        <v>3047</v>
      </c>
      <c r="Z531" s="72" t="s">
        <v>4</v>
      </c>
      <c r="AA531" s="147" t="s">
        <v>559</v>
      </c>
    </row>
    <row r="532" spans="1:27" ht="18.600000000000001" customHeight="1">
      <c r="A532" s="140" t="str">
        <f>IF(priority(Main[[#This Row],[Comments]])&lt;&gt;0, priority(Main[[#This Row],[Comments]]),"")</f>
        <v/>
      </c>
      <c r="B532" s="90" t="s">
        <v>1795</v>
      </c>
      <c r="C532" s="72" t="s">
        <v>4</v>
      </c>
      <c r="D532" s="73" t="s">
        <v>856</v>
      </c>
      <c r="E532" s="74"/>
      <c r="F532" s="74"/>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2066</v>
      </c>
      <c r="J532" s="72" t="s">
        <v>28</v>
      </c>
      <c r="K532" s="72" t="s">
        <v>1941</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v>40694</v>
      </c>
      <c r="R532" s="74"/>
      <c r="S532" s="72" t="s">
        <v>6</v>
      </c>
      <c r="T532" s="80" t="s">
        <v>4</v>
      </c>
      <c r="U532" s="72" t="s">
        <v>14</v>
      </c>
      <c r="V532" s="72" t="s">
        <v>1935</v>
      </c>
      <c r="W532" s="72" t="s">
        <v>1936</v>
      </c>
      <c r="X532" s="72" t="s">
        <v>2910</v>
      </c>
      <c r="Y532" s="72" t="s">
        <v>3027</v>
      </c>
      <c r="Z532" s="72" t="s">
        <v>30</v>
      </c>
      <c r="AA532" s="147" t="s">
        <v>2910</v>
      </c>
    </row>
    <row r="533" spans="1:27" ht="18.600000000000001" customHeight="1">
      <c r="A533" s="140" t="str">
        <f>IF(priority(Main[[#This Row],[Comments]])&lt;&gt;0, priority(Main[[#This Row],[Comments]]),"")</f>
        <v/>
      </c>
      <c r="B533" s="90" t="s">
        <v>1389</v>
      </c>
      <c r="C533" s="72" t="s">
        <v>99</v>
      </c>
      <c r="D533" s="73" t="s">
        <v>100</v>
      </c>
      <c r="E533" s="74"/>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c r="R533" s="74"/>
      <c r="S533" s="72" t="s">
        <v>11</v>
      </c>
      <c r="T533" s="80" t="s">
        <v>4</v>
      </c>
      <c r="U533" s="72" t="s">
        <v>14</v>
      </c>
      <c r="V533" s="72" t="s">
        <v>1933</v>
      </c>
      <c r="W533" s="72" t="s">
        <v>1934</v>
      </c>
      <c r="X533" s="72" t="s">
        <v>2925</v>
      </c>
      <c r="Y533" s="72" t="s">
        <v>3055</v>
      </c>
      <c r="Z533" s="72" t="s">
        <v>4</v>
      </c>
      <c r="AA533" s="147" t="s">
        <v>3626</v>
      </c>
    </row>
    <row r="534" spans="1:27" ht="18.600000000000001" customHeight="1">
      <c r="A534" s="140" t="str">
        <f>IF(priority(Main[[#This Row],[Comments]])&lt;&gt;0, priority(Main[[#This Row],[Comments]]),"")</f>
        <v/>
      </c>
      <c r="B534" s="90" t="s">
        <v>1390</v>
      </c>
      <c r="C534" s="72" t="s">
        <v>4</v>
      </c>
      <c r="D534" s="73" t="s">
        <v>299</v>
      </c>
      <c r="E534" s="74"/>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81"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40471</v>
      </c>
      <c r="R534" s="74"/>
      <c r="S534" s="72" t="s">
        <v>300</v>
      </c>
      <c r="T534" s="80" t="s">
        <v>4</v>
      </c>
      <c r="U534" s="72" t="s">
        <v>14</v>
      </c>
      <c r="V534" s="72" t="s">
        <v>1942</v>
      </c>
      <c r="W534" s="72" t="s">
        <v>1934</v>
      </c>
      <c r="X534" s="72" t="s">
        <v>2938</v>
      </c>
      <c r="Y534" s="72" t="s">
        <v>3073</v>
      </c>
      <c r="Z534" s="72" t="s">
        <v>4</v>
      </c>
      <c r="AA534" s="147" t="s">
        <v>2938</v>
      </c>
    </row>
    <row r="535" spans="1:27" ht="18.600000000000001" customHeight="1">
      <c r="A535" s="140" t="str">
        <f>IF(priority(Main[[#This Row],[Comments]])&lt;&gt;0, priority(Main[[#This Row],[Comments]]),"")</f>
        <v/>
      </c>
      <c r="B535" s="90" t="s">
        <v>1391</v>
      </c>
      <c r="C535" s="72" t="s">
        <v>4</v>
      </c>
      <c r="D535" s="73" t="s">
        <v>473</v>
      </c>
      <c r="E535" s="74">
        <v>40422.514918981484</v>
      </c>
      <c r="F535" s="74"/>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28</v>
      </c>
      <c r="K535" s="72"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40455</v>
      </c>
      <c r="R535" s="74"/>
      <c r="S535" s="72" t="s">
        <v>6</v>
      </c>
      <c r="T535" s="80" t="s">
        <v>4</v>
      </c>
      <c r="U535" s="72" t="s">
        <v>7</v>
      </c>
      <c r="V535" s="72" t="s">
        <v>1932</v>
      </c>
      <c r="W535" s="72" t="s">
        <v>1936</v>
      </c>
      <c r="X535" s="72" t="s">
        <v>2909</v>
      </c>
      <c r="Y535" s="72" t="s">
        <v>3024</v>
      </c>
      <c r="Z535" s="72" t="s">
        <v>129</v>
      </c>
      <c r="AA535" s="147" t="s">
        <v>2909</v>
      </c>
    </row>
    <row r="536" spans="1:27" ht="18.600000000000001" customHeight="1">
      <c r="A536" s="140" t="str">
        <f>IF(priority(Main[[#This Row],[Comments]])&lt;&gt;0, priority(Main[[#This Row],[Comments]]),"")</f>
        <v/>
      </c>
      <c r="B536" s="90" t="s">
        <v>1197</v>
      </c>
      <c r="C536" s="72" t="s">
        <v>246</v>
      </c>
      <c r="D536" s="73" t="s">
        <v>247</v>
      </c>
      <c r="E536" s="74"/>
      <c r="F536" s="74">
        <v>40299</v>
      </c>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40241</v>
      </c>
      <c r="R536" s="74"/>
      <c r="S536" s="72" t="s">
        <v>11</v>
      </c>
      <c r="T536" s="80" t="s">
        <v>4</v>
      </c>
      <c r="U536" s="72" t="s">
        <v>14</v>
      </c>
      <c r="V536" s="72" t="s">
        <v>1942</v>
      </c>
      <c r="W536" s="72" t="s">
        <v>1940</v>
      </c>
      <c r="X536" s="72" t="s">
        <v>2959</v>
      </c>
      <c r="Y536" s="72" t="s">
        <v>3107</v>
      </c>
      <c r="Z536" s="72" t="s">
        <v>4</v>
      </c>
      <c r="AA536" s="147" t="s">
        <v>2959</v>
      </c>
    </row>
    <row r="537" spans="1:27" ht="18.600000000000001" customHeight="1">
      <c r="A537" s="140" t="str">
        <f>IF(priority(Main[[#This Row],[Comments]])&lt;&gt;0, priority(Main[[#This Row],[Comments]]),"")</f>
        <v/>
      </c>
      <c r="B537" s="90" t="s">
        <v>1634</v>
      </c>
      <c r="C537" s="72" t="s">
        <v>701</v>
      </c>
      <c r="D537" s="73" t="s">
        <v>702</v>
      </c>
      <c r="E537" s="74"/>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v>40672</v>
      </c>
      <c r="R537" s="74"/>
      <c r="S537" s="72" t="s">
        <v>11</v>
      </c>
      <c r="T537" s="80" t="s">
        <v>4</v>
      </c>
      <c r="U537" s="72" t="s">
        <v>14</v>
      </c>
      <c r="V537" s="72" t="s">
        <v>1932</v>
      </c>
      <c r="W537" s="72" t="s">
        <v>1934</v>
      </c>
      <c r="X537" s="72" t="s">
        <v>2974</v>
      </c>
      <c r="Y537" s="72" t="s">
        <v>4</v>
      </c>
      <c r="Z537" s="72" t="s">
        <v>4</v>
      </c>
      <c r="AA537" s="147" t="s">
        <v>2974</v>
      </c>
    </row>
    <row r="538" spans="1:27" ht="18.600000000000001" customHeight="1">
      <c r="A538" s="140" t="str">
        <f>IF(priority(Main[[#This Row],[Comments]])&lt;&gt;0, priority(Main[[#This Row],[Comments]]),"")</f>
        <v/>
      </c>
      <c r="B538" s="90" t="s">
        <v>1216</v>
      </c>
      <c r="C538" s="72" t="s">
        <v>171</v>
      </c>
      <c r="D538" s="73" t="s">
        <v>264</v>
      </c>
      <c r="E538" s="74"/>
      <c r="F538" s="74">
        <v>40237</v>
      </c>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81"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40132</v>
      </c>
      <c r="R538" s="74"/>
      <c r="S538" s="72" t="s">
        <v>11</v>
      </c>
      <c r="T538" s="80" t="s">
        <v>4</v>
      </c>
      <c r="U538" s="72" t="s">
        <v>14</v>
      </c>
      <c r="V538" s="72" t="s">
        <v>1933</v>
      </c>
      <c r="W538" s="72" t="s">
        <v>1937</v>
      </c>
      <c r="X538" s="72" t="s">
        <v>2949</v>
      </c>
      <c r="Y538" s="72" t="s">
        <v>4</v>
      </c>
      <c r="Z538" s="72" t="s">
        <v>4</v>
      </c>
      <c r="AA538" s="147" t="s">
        <v>2949</v>
      </c>
    </row>
    <row r="539" spans="1:27" ht="18.600000000000001" customHeight="1">
      <c r="A539" s="140" t="str">
        <f>IF(priority(Main[[#This Row],[Comments]])&lt;&gt;0, priority(Main[[#This Row],[Comments]]),"")</f>
        <v/>
      </c>
      <c r="B539" s="90" t="s">
        <v>1239</v>
      </c>
      <c r="C539" s="72" t="s">
        <v>33</v>
      </c>
      <c r="D539" s="73" t="s">
        <v>292</v>
      </c>
      <c r="E539" s="74"/>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c r="R539" s="74"/>
      <c r="S539" s="72" t="s">
        <v>11</v>
      </c>
      <c r="T539" s="80" t="s">
        <v>4</v>
      </c>
      <c r="U539" s="72" t="s">
        <v>14</v>
      </c>
      <c r="V539" s="72" t="s">
        <v>1933</v>
      </c>
      <c r="W539" s="72" t="s">
        <v>1940</v>
      </c>
      <c r="X539" s="72" t="s">
        <v>2918</v>
      </c>
      <c r="Y539" s="72" t="s">
        <v>3043</v>
      </c>
      <c r="Z539" s="72" t="s">
        <v>4</v>
      </c>
      <c r="AA539" s="147" t="s">
        <v>2918</v>
      </c>
    </row>
    <row r="540" spans="1:27" ht="18.600000000000001" customHeight="1">
      <c r="A540" s="140" t="str">
        <f>IF(priority(Main[[#This Row],[Comments]])&lt;&gt;0, priority(Main[[#This Row],[Comments]]),"")</f>
        <v/>
      </c>
      <c r="B540" s="90" t="s">
        <v>1736</v>
      </c>
      <c r="C540" s="72" t="s">
        <v>281</v>
      </c>
      <c r="D540" s="73" t="s">
        <v>783</v>
      </c>
      <c r="E540" s="74"/>
      <c r="F540" s="74">
        <v>40680</v>
      </c>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28</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v>40568</v>
      </c>
      <c r="R540" s="74"/>
      <c r="S540" s="72" t="s">
        <v>11</v>
      </c>
      <c r="T540" s="80" t="s">
        <v>784</v>
      </c>
      <c r="U540" s="72" t="s">
        <v>14</v>
      </c>
      <c r="V540" s="72" t="s">
        <v>1933</v>
      </c>
      <c r="W540" s="72" t="s">
        <v>1937</v>
      </c>
      <c r="X540" s="72" t="s">
        <v>2951</v>
      </c>
      <c r="Y540" s="72" t="s">
        <v>3099</v>
      </c>
      <c r="Z540" s="72" t="s">
        <v>4</v>
      </c>
      <c r="AA540" s="147" t="s">
        <v>2951</v>
      </c>
    </row>
    <row r="541" spans="1:27" ht="18.600000000000001" customHeight="1">
      <c r="A541" s="140" t="str">
        <f>IF(priority(Main[[#This Row],[Comments]])&lt;&gt;0, priority(Main[[#This Row],[Comments]]),"")</f>
        <v/>
      </c>
      <c r="B541" s="90" t="s">
        <v>1351</v>
      </c>
      <c r="C541" s="72" t="s">
        <v>33</v>
      </c>
      <c r="D541" s="73" t="s">
        <v>424</v>
      </c>
      <c r="E541" s="74"/>
      <c r="F541" s="74">
        <v>40266</v>
      </c>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72"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v>40266</v>
      </c>
      <c r="R541" s="74"/>
      <c r="S541" s="72" t="s">
        <v>11</v>
      </c>
      <c r="T541" s="80" t="s">
        <v>4</v>
      </c>
      <c r="U541" s="72" t="s">
        <v>14</v>
      </c>
      <c r="V541" s="72" t="s">
        <v>1935</v>
      </c>
      <c r="W541" s="72" t="s">
        <v>1937</v>
      </c>
      <c r="X541" s="72" t="s">
        <v>2941</v>
      </c>
      <c r="Y541" s="72" t="s">
        <v>4</v>
      </c>
      <c r="Z541" s="72" t="s">
        <v>4</v>
      </c>
      <c r="AA541" s="147" t="s">
        <v>2941</v>
      </c>
    </row>
    <row r="542" spans="1:27" ht="18.600000000000001" customHeight="1">
      <c r="A542" s="140" t="str">
        <f>IF(priority(Main[[#This Row],[Comments]])&lt;&gt;0, priority(Main[[#This Row],[Comments]]),"")</f>
        <v/>
      </c>
      <c r="B542" s="90" t="s">
        <v>1407</v>
      </c>
      <c r="C542" s="72" t="s">
        <v>93</v>
      </c>
      <c r="D542" s="73" t="s">
        <v>425</v>
      </c>
      <c r="E542" s="74"/>
      <c r="F542" s="74">
        <v>40269</v>
      </c>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40185</v>
      </c>
      <c r="R542" s="74"/>
      <c r="S542" s="72" t="s">
        <v>11</v>
      </c>
      <c r="T542" s="80" t="s">
        <v>4</v>
      </c>
      <c r="U542" s="72" t="s">
        <v>12</v>
      </c>
      <c r="V542" s="72" t="s">
        <v>1942</v>
      </c>
      <c r="W542" s="72" t="s">
        <v>1943</v>
      </c>
      <c r="X542" s="72" t="s">
        <v>2936</v>
      </c>
      <c r="Y542" s="72" t="s">
        <v>4</v>
      </c>
      <c r="Z542" s="72" t="s">
        <v>4</v>
      </c>
      <c r="AA542" s="147" t="s">
        <v>2936</v>
      </c>
    </row>
    <row r="543" spans="1:27" ht="18.600000000000001" customHeight="1">
      <c r="A543" s="140" t="str">
        <f>IF(priority(Main[[#This Row],[Comments]])&lt;&gt;0, priority(Main[[#This Row],[Comments]]),"")</f>
        <v/>
      </c>
      <c r="B543" s="90" t="s">
        <v>1408</v>
      </c>
      <c r="C543" s="72" t="s">
        <v>171</v>
      </c>
      <c r="D543" s="73" t="s">
        <v>426</v>
      </c>
      <c r="E543" s="74"/>
      <c r="F543" s="74">
        <v>40237</v>
      </c>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4</v>
      </c>
      <c r="J543" s="72" t="s">
        <v>4</v>
      </c>
      <c r="K543" s="81"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40132</v>
      </c>
      <c r="R543" s="74"/>
      <c r="S543" s="72" t="s">
        <v>11</v>
      </c>
      <c r="T543" s="80" t="s">
        <v>4</v>
      </c>
      <c r="U543" s="72" t="s">
        <v>14</v>
      </c>
      <c r="V543" s="72" t="s">
        <v>1932</v>
      </c>
      <c r="W543" s="72" t="s">
        <v>1937</v>
      </c>
      <c r="X543" s="72" t="s">
        <v>2949</v>
      </c>
      <c r="Y543" s="72" t="s">
        <v>4</v>
      </c>
      <c r="Z543" s="72" t="s">
        <v>4</v>
      </c>
      <c r="AA543" s="147" t="s">
        <v>2949</v>
      </c>
    </row>
    <row r="544" spans="1:27" ht="18.600000000000001" customHeight="1">
      <c r="A544" s="140" t="str">
        <f>IF(priority(Main[[#This Row],[Comments]])&lt;&gt;0, priority(Main[[#This Row],[Comments]]),"")</f>
        <v/>
      </c>
      <c r="B544" s="90" t="s">
        <v>1409</v>
      </c>
      <c r="C544" s="72" t="s">
        <v>93</v>
      </c>
      <c r="D544" s="73" t="s">
        <v>427</v>
      </c>
      <c r="E544" s="74"/>
      <c r="F544" s="74">
        <v>40144</v>
      </c>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72"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40144</v>
      </c>
      <c r="R544" s="74"/>
      <c r="S544" s="72" t="s">
        <v>11</v>
      </c>
      <c r="T544" s="80" t="s">
        <v>4</v>
      </c>
      <c r="U544" s="72" t="s">
        <v>14</v>
      </c>
      <c r="V544" s="72" t="s">
        <v>1935</v>
      </c>
      <c r="W544" s="72" t="s">
        <v>1943</v>
      </c>
      <c r="X544" s="72" t="s">
        <v>2947</v>
      </c>
      <c r="Y544" s="72" t="s">
        <v>4</v>
      </c>
      <c r="Z544" s="72" t="s">
        <v>4</v>
      </c>
      <c r="AA544" s="147" t="s">
        <v>2947</v>
      </c>
    </row>
    <row r="545" spans="1:27" ht="18.600000000000001" customHeight="1">
      <c r="A545" s="140" t="str">
        <f>IF(priority(Main[[#This Row],[Comments]])&lt;&gt;0, priority(Main[[#This Row],[Comments]]),"")</f>
        <v/>
      </c>
      <c r="B545" s="90" t="s">
        <v>1352</v>
      </c>
      <c r="C545" s="72" t="s">
        <v>93</v>
      </c>
      <c r="D545" s="73" t="s">
        <v>428</v>
      </c>
      <c r="E545" s="74"/>
      <c r="F545" s="74">
        <v>40162</v>
      </c>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40127</v>
      </c>
      <c r="R545" s="74"/>
      <c r="S545" s="72" t="s">
        <v>11</v>
      </c>
      <c r="T545" s="80" t="s">
        <v>4</v>
      </c>
      <c r="U545" s="72" t="s">
        <v>14</v>
      </c>
      <c r="V545" s="72" t="s">
        <v>1942</v>
      </c>
      <c r="W545" s="72" t="s">
        <v>1943</v>
      </c>
      <c r="X545" s="72" t="s">
        <v>2936</v>
      </c>
      <c r="Y545" s="72" t="s">
        <v>4</v>
      </c>
      <c r="Z545" s="72" t="s">
        <v>4</v>
      </c>
      <c r="AA545" s="147" t="s">
        <v>2936</v>
      </c>
    </row>
    <row r="546" spans="1:27" ht="18.600000000000001" customHeight="1">
      <c r="A546" s="140" t="str">
        <f>IF(priority(Main[[#This Row],[Comments]])&lt;&gt;0, priority(Main[[#This Row],[Comments]]),"")</f>
        <v/>
      </c>
      <c r="B546" s="90" t="s">
        <v>1353</v>
      </c>
      <c r="C546" s="72" t="s">
        <v>429</v>
      </c>
      <c r="D546" s="73" t="s">
        <v>430</v>
      </c>
      <c r="E546" s="74"/>
      <c r="F546" s="74">
        <v>40179</v>
      </c>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81"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v>40179</v>
      </c>
      <c r="R546" s="74"/>
      <c r="S546" s="72" t="s">
        <v>11</v>
      </c>
      <c r="T546" s="80" t="s">
        <v>4</v>
      </c>
      <c r="U546" s="72" t="s">
        <v>14</v>
      </c>
      <c r="V546" s="72" t="s">
        <v>1932</v>
      </c>
      <c r="W546" s="72" t="s">
        <v>1937</v>
      </c>
      <c r="X546" s="72" t="s">
        <v>2945</v>
      </c>
      <c r="Y546" s="72" t="s">
        <v>4</v>
      </c>
      <c r="Z546" s="72" t="s">
        <v>4</v>
      </c>
      <c r="AA546" s="147" t="s">
        <v>2945</v>
      </c>
    </row>
    <row r="547" spans="1:27" ht="18.600000000000001" customHeight="1">
      <c r="A547" s="140" t="str">
        <f>IF(priority(Main[[#This Row],[Comments]])&lt;&gt;0, priority(Main[[#This Row],[Comments]]),"")</f>
        <v/>
      </c>
      <c r="B547" s="90" t="s">
        <v>1354</v>
      </c>
      <c r="C547" s="72" t="s">
        <v>200</v>
      </c>
      <c r="D547" s="73" t="s">
        <v>431</v>
      </c>
      <c r="E547" s="74"/>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v>40165</v>
      </c>
      <c r="R547" s="74"/>
      <c r="S547" s="72" t="s">
        <v>11</v>
      </c>
      <c r="T547" s="80" t="s">
        <v>4</v>
      </c>
      <c r="U547" s="72" t="s">
        <v>14</v>
      </c>
      <c r="V547" s="72" t="s">
        <v>1942</v>
      </c>
      <c r="W547" s="72" t="s">
        <v>1938</v>
      </c>
      <c r="X547" s="72" t="s">
        <v>894</v>
      </c>
      <c r="Y547" s="72" t="s">
        <v>3058</v>
      </c>
      <c r="Z547" s="72" t="s">
        <v>4</v>
      </c>
      <c r="AA547" s="147" t="s">
        <v>894</v>
      </c>
    </row>
    <row r="548" spans="1:27" ht="18.600000000000001" customHeight="1">
      <c r="A548" s="140" t="str">
        <f>IF(priority(Main[[#This Row],[Comments]])&lt;&gt;0, priority(Main[[#This Row],[Comments]]),"")</f>
        <v/>
      </c>
      <c r="B548" s="90" t="s">
        <v>1355</v>
      </c>
      <c r="C548" s="72" t="s">
        <v>4</v>
      </c>
      <c r="D548" s="73" t="s">
        <v>432</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c r="R548" s="74"/>
      <c r="S548" s="72" t="s">
        <v>6</v>
      </c>
      <c r="T548" s="80" t="s">
        <v>4</v>
      </c>
      <c r="U548" s="72" t="s">
        <v>12</v>
      </c>
      <c r="V548" s="72" t="s">
        <v>1932</v>
      </c>
      <c r="W548" s="72" t="s">
        <v>4</v>
      </c>
      <c r="X548" s="72" t="s">
        <v>923</v>
      </c>
      <c r="Y548" s="72" t="s">
        <v>4</v>
      </c>
      <c r="Z548" s="72" t="s">
        <v>4</v>
      </c>
      <c r="AA548" s="147" t="s">
        <v>4</v>
      </c>
    </row>
    <row r="549" spans="1:27" ht="18.600000000000001" customHeight="1">
      <c r="A549" s="140" t="str">
        <f>IF(priority(Main[[#This Row],[Comments]])&lt;&gt;0, priority(Main[[#This Row],[Comments]]),"")</f>
        <v/>
      </c>
      <c r="B549" s="90" t="s">
        <v>1356</v>
      </c>
      <c r="C549" s="72" t="s">
        <v>4</v>
      </c>
      <c r="D549" s="73" t="s">
        <v>433</v>
      </c>
      <c r="E549" s="74">
        <v>40367.39403935185</v>
      </c>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126</v>
      </c>
      <c r="J549" s="72" t="s">
        <v>28</v>
      </c>
      <c r="K549" s="81" t="s">
        <v>1941</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40405</v>
      </c>
      <c r="R549" s="74"/>
      <c r="S549" s="72" t="s">
        <v>6</v>
      </c>
      <c r="T549" s="80" t="s">
        <v>4</v>
      </c>
      <c r="U549" s="72" t="s">
        <v>29</v>
      </c>
      <c r="V549" s="72" t="s">
        <v>1932</v>
      </c>
      <c r="W549" s="72" t="s">
        <v>1940</v>
      </c>
      <c r="X549" s="72" t="s">
        <v>2074</v>
      </c>
      <c r="Y549" s="72" t="s">
        <v>3067</v>
      </c>
      <c r="Z549" s="72" t="s">
        <v>129</v>
      </c>
      <c r="AA549" s="147" t="s">
        <v>2074</v>
      </c>
    </row>
    <row r="550" spans="1:27" ht="18.600000000000001" customHeight="1">
      <c r="A550" s="140" t="str">
        <f>IF(priority(Main[[#This Row],[Comments]])&lt;&gt;0, priority(Main[[#This Row],[Comments]]),"")</f>
        <v/>
      </c>
      <c r="B550" s="90" t="s">
        <v>1392</v>
      </c>
      <c r="C550" s="72" t="s">
        <v>138</v>
      </c>
      <c r="D550" s="73" t="s">
        <v>137</v>
      </c>
      <c r="E550" s="74"/>
      <c r="F550" s="74">
        <v>40787</v>
      </c>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72"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c r="R550" s="74"/>
      <c r="S550" s="72" t="s">
        <v>11</v>
      </c>
      <c r="T550" s="80" t="s">
        <v>4</v>
      </c>
      <c r="U550" s="72" t="s">
        <v>14</v>
      </c>
      <c r="V550" s="72" t="s">
        <v>1932</v>
      </c>
      <c r="W550" s="72" t="s">
        <v>1938</v>
      </c>
      <c r="X550" s="72" t="s">
        <v>50</v>
      </c>
      <c r="Y550" s="72" t="s">
        <v>3133</v>
      </c>
      <c r="Z550" s="72" t="s">
        <v>4</v>
      </c>
      <c r="AA550" s="147" t="s">
        <v>2930</v>
      </c>
    </row>
    <row r="551" spans="1:27" ht="18.600000000000001" customHeight="1">
      <c r="A551" s="140" t="str">
        <f>IF(priority(Main[[#This Row],[Comments]])&lt;&gt;0, priority(Main[[#This Row],[Comments]]),"")</f>
        <v/>
      </c>
      <c r="B551" s="90" t="s">
        <v>1393</v>
      </c>
      <c r="C551" s="72" t="s">
        <v>4</v>
      </c>
      <c r="D551" s="73" t="s">
        <v>474</v>
      </c>
      <c r="E551" s="74">
        <v>40704.209918981483</v>
      </c>
      <c r="F551" s="74"/>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v>40725</v>
      </c>
      <c r="R551" s="74"/>
      <c r="S551" s="72" t="s">
        <v>6</v>
      </c>
      <c r="T551" s="80" t="s">
        <v>4</v>
      </c>
      <c r="U551" s="72" t="s">
        <v>7</v>
      </c>
      <c r="V551" s="72" t="s">
        <v>1932</v>
      </c>
      <c r="W551" s="72" t="s">
        <v>4</v>
      </c>
      <c r="X551" s="72" t="s">
        <v>2942</v>
      </c>
      <c r="Y551" s="72" t="s">
        <v>3081</v>
      </c>
      <c r="Z551" s="72" t="s">
        <v>4</v>
      </c>
      <c r="AA551" s="147" t="s">
        <v>2942</v>
      </c>
    </row>
    <row r="552" spans="1:27" ht="18.600000000000001" customHeight="1">
      <c r="A552" s="140" t="str">
        <f>IF(priority(Main[[#This Row],[Comments]])&lt;&gt;0, priority(Main[[#This Row],[Comments]]),"")</f>
        <v/>
      </c>
      <c r="B552" s="90" t="s">
        <v>1394</v>
      </c>
      <c r="C552" s="72" t="s">
        <v>31</v>
      </c>
      <c r="D552" s="73" t="s">
        <v>475</v>
      </c>
      <c r="E552" s="74"/>
      <c r="F552" s="74">
        <v>40230</v>
      </c>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4</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40235</v>
      </c>
      <c r="R552" s="74"/>
      <c r="S552" s="72" t="s">
        <v>11</v>
      </c>
      <c r="T552" s="80" t="s">
        <v>4</v>
      </c>
      <c r="U552" s="72" t="s">
        <v>14</v>
      </c>
      <c r="V552" s="72" t="s">
        <v>1933</v>
      </c>
      <c r="W552" s="72" t="s">
        <v>1940</v>
      </c>
      <c r="X552" s="72" t="s">
        <v>2926</v>
      </c>
      <c r="Y552" s="72" t="s">
        <v>4</v>
      </c>
      <c r="Z552" s="72" t="s">
        <v>4</v>
      </c>
      <c r="AA552" s="147" t="s">
        <v>2926</v>
      </c>
    </row>
    <row r="553" spans="1:27" ht="18.600000000000001" customHeight="1">
      <c r="A553" s="140" t="str">
        <f>IF(priority(Main[[#This Row],[Comments]])&lt;&gt;0, priority(Main[[#This Row],[Comments]]),"")</f>
        <v/>
      </c>
      <c r="B553" s="90" t="s">
        <v>1396</v>
      </c>
      <c r="C553" s="72" t="s">
        <v>476</v>
      </c>
      <c r="D553" s="73" t="s">
        <v>477</v>
      </c>
      <c r="E553" s="74"/>
      <c r="F553" s="74">
        <v>40450</v>
      </c>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v>40421</v>
      </c>
      <c r="R553" s="74"/>
      <c r="S553" s="72" t="s">
        <v>11</v>
      </c>
      <c r="T553" s="80" t="s">
        <v>4</v>
      </c>
      <c r="U553" s="72" t="s">
        <v>14</v>
      </c>
      <c r="V553" s="72" t="s">
        <v>1935</v>
      </c>
      <c r="W553" s="72" t="s">
        <v>1937</v>
      </c>
      <c r="X553" s="72" t="s">
        <v>2947</v>
      </c>
      <c r="Y553" s="72" t="s">
        <v>3092</v>
      </c>
      <c r="Z553" s="72" t="s">
        <v>4</v>
      </c>
      <c r="AA553" s="147" t="s">
        <v>2947</v>
      </c>
    </row>
    <row r="554" spans="1:27" ht="18.600000000000001" customHeight="1">
      <c r="A554" s="140" t="str">
        <f>IF(priority(Main[[#This Row],[Comments]])&lt;&gt;0, priority(Main[[#This Row],[Comments]]),"")</f>
        <v/>
      </c>
      <c r="B554" s="90" t="s">
        <v>3532</v>
      </c>
      <c r="C554" s="72" t="s">
        <v>4</v>
      </c>
      <c r="D554" s="73" t="s">
        <v>3533</v>
      </c>
      <c r="E554" s="74">
        <v>40939.633171296293</v>
      </c>
      <c r="F554" s="74"/>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c r="R554" s="74"/>
      <c r="S554" s="72" t="s">
        <v>6</v>
      </c>
      <c r="T554" s="80" t="s">
        <v>4</v>
      </c>
      <c r="U554" s="72" t="s">
        <v>7</v>
      </c>
      <c r="V554" s="72" t="s">
        <v>1932</v>
      </c>
      <c r="W554" s="72" t="s">
        <v>1936</v>
      </c>
      <c r="X554" s="72" t="s">
        <v>310</v>
      </c>
      <c r="Y554" s="72" t="s">
        <v>4</v>
      </c>
      <c r="Z554" s="72" t="s">
        <v>4</v>
      </c>
      <c r="AA554" s="147" t="s">
        <v>4</v>
      </c>
    </row>
    <row r="555" spans="1:27" ht="18.600000000000001" customHeight="1">
      <c r="A555" s="140" t="str">
        <f>IF(priority(Main[[#This Row],[Comments]])&lt;&gt;0, priority(Main[[#This Row],[Comments]]),"")</f>
        <v/>
      </c>
      <c r="B555" s="90" t="s">
        <v>3534</v>
      </c>
      <c r="C555" s="72" t="s">
        <v>4</v>
      </c>
      <c r="D555" s="73" t="s">
        <v>3535</v>
      </c>
      <c r="E555" s="74">
        <v>40939.634004629632</v>
      </c>
      <c r="F555" s="74"/>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4</v>
      </c>
      <c r="K555" s="72" t="s">
        <v>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c r="R555" s="74"/>
      <c r="S555" s="72" t="s">
        <v>6</v>
      </c>
      <c r="T555" s="80" t="s">
        <v>4</v>
      </c>
      <c r="U555" s="72" t="s">
        <v>7</v>
      </c>
      <c r="V555" s="72" t="s">
        <v>1932</v>
      </c>
      <c r="W555" s="72" t="s">
        <v>1934</v>
      </c>
      <c r="X555" s="72" t="s">
        <v>310</v>
      </c>
      <c r="Y555" s="72" t="s">
        <v>4</v>
      </c>
      <c r="Z555" s="72" t="s">
        <v>888</v>
      </c>
      <c r="AA555" s="147" t="s">
        <v>4</v>
      </c>
    </row>
    <row r="556" spans="1:27" ht="18.600000000000001" customHeight="1">
      <c r="A556" s="140" t="str">
        <f>IF(priority(Main[[#This Row],[Comments]])&lt;&gt;0, priority(Main[[#This Row],[Comments]]),"")</f>
        <v/>
      </c>
      <c r="B556" s="90" t="s">
        <v>1398</v>
      </c>
      <c r="C556" s="72" t="s">
        <v>31</v>
      </c>
      <c r="D556" s="73" t="s">
        <v>478</v>
      </c>
      <c r="E556" s="74"/>
      <c r="F556" s="74"/>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40318</v>
      </c>
      <c r="R556" s="74"/>
      <c r="S556" s="72" t="s">
        <v>11</v>
      </c>
      <c r="T556" s="80" t="s">
        <v>4</v>
      </c>
      <c r="U556" s="72" t="s">
        <v>14</v>
      </c>
      <c r="V556" s="72" t="s">
        <v>1935</v>
      </c>
      <c r="W556" s="72" t="s">
        <v>1934</v>
      </c>
      <c r="X556" s="72" t="s">
        <v>2921</v>
      </c>
      <c r="Y556" s="72" t="s">
        <v>4</v>
      </c>
      <c r="Z556" s="72" t="s">
        <v>4</v>
      </c>
      <c r="AA556" s="147" t="s">
        <v>2921</v>
      </c>
    </row>
    <row r="557" spans="1:27" ht="18.600000000000001" customHeight="1">
      <c r="A557" s="140" t="str">
        <f>IF(priority(Main[[#This Row],[Comments]])&lt;&gt;0, priority(Main[[#This Row],[Comments]]),"")</f>
        <v/>
      </c>
      <c r="B557" s="90" t="s">
        <v>1400</v>
      </c>
      <c r="C557" s="72" t="s">
        <v>4</v>
      </c>
      <c r="D557" s="73" t="s">
        <v>479</v>
      </c>
      <c r="E557" s="74">
        <v>40679.254976851851</v>
      </c>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72"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v>40724</v>
      </c>
      <c r="R557" s="74"/>
      <c r="S557" s="72" t="s">
        <v>6</v>
      </c>
      <c r="T557" s="80" t="s">
        <v>4</v>
      </c>
      <c r="U557" s="72" t="s">
        <v>7</v>
      </c>
      <c r="V557" s="72" t="s">
        <v>1932</v>
      </c>
      <c r="W557" s="72" t="s">
        <v>4</v>
      </c>
      <c r="X557" s="72" t="s">
        <v>2913</v>
      </c>
      <c r="Y557" s="72" t="s">
        <v>3033</v>
      </c>
      <c r="Z557" s="72" t="s">
        <v>4</v>
      </c>
      <c r="AA557" s="147" t="s">
        <v>2913</v>
      </c>
    </row>
    <row r="558" spans="1:27" ht="18.600000000000001" customHeight="1">
      <c r="A558" s="140" t="str">
        <f>IF(priority(Main[[#This Row],[Comments]])&lt;&gt;0, priority(Main[[#This Row],[Comments]]),"")</f>
        <v/>
      </c>
      <c r="B558" s="90" t="s">
        <v>1401</v>
      </c>
      <c r="C558" s="72" t="s">
        <v>4</v>
      </c>
      <c r="D558" s="73" t="s">
        <v>480</v>
      </c>
      <c r="E558" s="74"/>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129</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40359</v>
      </c>
      <c r="R558" s="74"/>
      <c r="S558" s="72" t="s">
        <v>6</v>
      </c>
      <c r="T558" s="80" t="s">
        <v>4</v>
      </c>
      <c r="U558" s="72" t="s">
        <v>14</v>
      </c>
      <c r="V558" s="72" t="s">
        <v>1932</v>
      </c>
      <c r="W558" s="72" t="s">
        <v>1937</v>
      </c>
      <c r="X558" s="72" t="s">
        <v>102</v>
      </c>
      <c r="Y558" s="72" t="s">
        <v>3134</v>
      </c>
      <c r="Z558" s="72" t="s">
        <v>4</v>
      </c>
      <c r="AA558" s="147" t="s">
        <v>2964</v>
      </c>
    </row>
    <row r="559" spans="1:27" ht="18.600000000000001" customHeight="1">
      <c r="A559" s="140" t="str">
        <f>IF(priority(Main[[#This Row],[Comments]])&lt;&gt;0, priority(Main[[#This Row],[Comments]]),"")</f>
        <v/>
      </c>
      <c r="B559" s="90" t="s">
        <v>1402</v>
      </c>
      <c r="C559" s="72" t="s">
        <v>4</v>
      </c>
      <c r="D559" s="73" t="s">
        <v>481</v>
      </c>
      <c r="E559" s="74"/>
      <c r="F559" s="74"/>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4</v>
      </c>
      <c r="K559" s="72" t="s">
        <v>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40151</v>
      </c>
      <c r="R559" s="74"/>
      <c r="S559" s="72" t="s">
        <v>6</v>
      </c>
      <c r="T559" s="80" t="s">
        <v>4</v>
      </c>
      <c r="U559" s="72" t="s">
        <v>12</v>
      </c>
      <c r="V559" s="72" t="s">
        <v>1932</v>
      </c>
      <c r="W559" s="72" t="s">
        <v>1934</v>
      </c>
      <c r="X559" s="72" t="s">
        <v>905</v>
      </c>
      <c r="Y559" s="72" t="s">
        <v>3135</v>
      </c>
      <c r="Z559" s="72" t="s">
        <v>4</v>
      </c>
      <c r="AA559" s="147" t="s">
        <v>905</v>
      </c>
    </row>
    <row r="560" spans="1:27" ht="18.600000000000001" customHeight="1">
      <c r="A560" s="140" t="str">
        <f>IF(priority(Main[[#This Row],[Comments]])&lt;&gt;0, priority(Main[[#This Row],[Comments]]),"")</f>
        <v/>
      </c>
      <c r="B560" s="90" t="s">
        <v>2285</v>
      </c>
      <c r="C560" s="72" t="s">
        <v>95</v>
      </c>
      <c r="D560" s="73" t="s">
        <v>2286</v>
      </c>
      <c r="E560" s="74">
        <v>40806.589305555557</v>
      </c>
      <c r="F560" s="74"/>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4</v>
      </c>
      <c r="J560" s="72" t="s">
        <v>4</v>
      </c>
      <c r="K560" s="81" t="s">
        <v>4</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v>40823</v>
      </c>
      <c r="R560" s="74"/>
      <c r="S560" s="72" t="s">
        <v>17</v>
      </c>
      <c r="T560" s="80" t="s">
        <v>4</v>
      </c>
      <c r="U560" s="72" t="s">
        <v>7</v>
      </c>
      <c r="V560" s="72" t="s">
        <v>1933</v>
      </c>
      <c r="W560" s="72" t="s">
        <v>1937</v>
      </c>
      <c r="X560" s="72" t="s">
        <v>559</v>
      </c>
      <c r="Y560" s="72" t="s">
        <v>3047</v>
      </c>
      <c r="Z560" s="72" t="s">
        <v>4</v>
      </c>
      <c r="AA560" s="147" t="s">
        <v>559</v>
      </c>
    </row>
    <row r="561" spans="1:27" ht="18.600000000000001" customHeight="1">
      <c r="A561" s="140" t="str">
        <f>IF(priority(Main[[#This Row],[Comments]])&lt;&gt;0, priority(Main[[#This Row],[Comments]]),"")</f>
        <v/>
      </c>
      <c r="B561" s="90" t="s">
        <v>2247</v>
      </c>
      <c r="C561" s="72" t="s">
        <v>4</v>
      </c>
      <c r="D561" s="73" t="s">
        <v>2248</v>
      </c>
      <c r="E561" s="74"/>
      <c r="F561" s="74"/>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c r="R561" s="74"/>
      <c r="S561" s="72" t="s">
        <v>49</v>
      </c>
      <c r="T561" s="80" t="s">
        <v>4</v>
      </c>
      <c r="U561" s="72" t="s">
        <v>14</v>
      </c>
      <c r="V561" s="72" t="s">
        <v>1933</v>
      </c>
      <c r="W561" s="72" t="s">
        <v>1936</v>
      </c>
      <c r="X561" s="72" t="s">
        <v>310</v>
      </c>
      <c r="Y561" s="72" t="s">
        <v>4</v>
      </c>
      <c r="Z561" s="72" t="s">
        <v>4</v>
      </c>
      <c r="AA561" s="147" t="s">
        <v>4</v>
      </c>
    </row>
    <row r="562" spans="1:27" ht="18.600000000000001" customHeight="1">
      <c r="A562" s="140" t="str">
        <f>IF(priority(Main[[#This Row],[Comments]])&lt;&gt;0, priority(Main[[#This Row],[Comments]]),"")</f>
        <v/>
      </c>
      <c r="B562" s="90" t="s">
        <v>1365</v>
      </c>
      <c r="C562" s="72" t="s">
        <v>4</v>
      </c>
      <c r="D562" s="73" t="s">
        <v>445</v>
      </c>
      <c r="E562" s="74">
        <v>40389.394756944443</v>
      </c>
      <c r="F562" s="74"/>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28</v>
      </c>
      <c r="K562" s="72" t="s">
        <v>1944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v>40451</v>
      </c>
      <c r="R562" s="74"/>
      <c r="S562" s="72" t="s">
        <v>17</v>
      </c>
      <c r="T562" s="80" t="s">
        <v>4</v>
      </c>
      <c r="U562" s="72" t="s">
        <v>7</v>
      </c>
      <c r="V562" s="72" t="s">
        <v>1932</v>
      </c>
      <c r="W562" s="72" t="s">
        <v>1937</v>
      </c>
      <c r="X562" s="72" t="s">
        <v>129</v>
      </c>
      <c r="Y562" s="72" t="s">
        <v>3054</v>
      </c>
      <c r="Z562" s="72" t="s">
        <v>2919</v>
      </c>
      <c r="AA562" s="147" t="s">
        <v>2919</v>
      </c>
    </row>
    <row r="563" spans="1:27" ht="18.600000000000001" customHeight="1">
      <c r="A563" s="140" t="str">
        <f>IF(priority(Main[[#This Row],[Comments]])&lt;&gt;0, priority(Main[[#This Row],[Comments]]),"")</f>
        <v/>
      </c>
      <c r="B563" s="90" t="s">
        <v>1404</v>
      </c>
      <c r="C563" s="72" t="s">
        <v>72</v>
      </c>
      <c r="D563" s="73" t="s">
        <v>482</v>
      </c>
      <c r="E563" s="74"/>
      <c r="F563" s="74">
        <v>40031</v>
      </c>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4</v>
      </c>
      <c r="J563" s="72" t="s">
        <v>4</v>
      </c>
      <c r="K563" s="72" t="s">
        <v>4</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v>39976</v>
      </c>
      <c r="R563" s="74"/>
      <c r="S563" s="72" t="s">
        <v>11</v>
      </c>
      <c r="T563" s="80" t="s">
        <v>4</v>
      </c>
      <c r="U563" s="72" t="s">
        <v>14</v>
      </c>
      <c r="V563" s="72" t="s">
        <v>1933</v>
      </c>
      <c r="W563" s="72" t="s">
        <v>1940</v>
      </c>
      <c r="X563" s="72" t="s">
        <v>2915</v>
      </c>
      <c r="Y563" s="72" t="s">
        <v>3038</v>
      </c>
      <c r="Z563" s="72" t="s">
        <v>4</v>
      </c>
      <c r="AA563" s="147" t="s">
        <v>2915</v>
      </c>
    </row>
    <row r="564" spans="1:27" ht="18.600000000000001" customHeight="1">
      <c r="A564" s="140" t="str">
        <f>IF(priority(Main[[#This Row],[Comments]])&lt;&gt;0, priority(Main[[#This Row],[Comments]]),"")</f>
        <v/>
      </c>
      <c r="B564" s="90" t="s">
        <v>1405</v>
      </c>
      <c r="C564" s="72" t="s">
        <v>83</v>
      </c>
      <c r="D564" s="73" t="s">
        <v>483</v>
      </c>
      <c r="E564" s="74"/>
      <c r="F564" s="74"/>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4</v>
      </c>
      <c r="J564" s="72" t="s">
        <v>4</v>
      </c>
      <c r="K564" s="72"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v>40137</v>
      </c>
      <c r="R564" s="74"/>
      <c r="S564" s="72" t="s">
        <v>11</v>
      </c>
      <c r="T564" s="80" t="s">
        <v>4</v>
      </c>
      <c r="U564" s="72" t="s">
        <v>14</v>
      </c>
      <c r="V564" s="72" t="s">
        <v>1932</v>
      </c>
      <c r="W564" s="72" t="s">
        <v>1943</v>
      </c>
      <c r="X564" s="72" t="s">
        <v>2908</v>
      </c>
      <c r="Y564" s="72" t="s">
        <v>4</v>
      </c>
      <c r="Z564" s="72" t="s">
        <v>4</v>
      </c>
      <c r="AA564" s="147" t="s">
        <v>2908</v>
      </c>
    </row>
    <row r="565" spans="1:27" ht="18.600000000000001" customHeight="1">
      <c r="A565" s="140" t="str">
        <f>IF(priority(Main[[#This Row],[Comments]])&lt;&gt;0, priority(Main[[#This Row],[Comments]]),"")</f>
        <v/>
      </c>
      <c r="B565" s="90" t="s">
        <v>1406</v>
      </c>
      <c r="C565" s="72" t="s">
        <v>95</v>
      </c>
      <c r="D565" s="73" t="s">
        <v>484</v>
      </c>
      <c r="E565" s="74"/>
      <c r="F565" s="74">
        <v>40196</v>
      </c>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4</v>
      </c>
      <c r="J565" s="72" t="s">
        <v>4</v>
      </c>
      <c r="K565" s="81" t="s">
        <v>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40077</v>
      </c>
      <c r="R565" s="74"/>
      <c r="S565" s="72" t="s">
        <v>11</v>
      </c>
      <c r="T565" s="80" t="s">
        <v>4</v>
      </c>
      <c r="U565" s="72" t="s">
        <v>14</v>
      </c>
      <c r="V565" s="72" t="s">
        <v>1935</v>
      </c>
      <c r="W565" s="72" t="s">
        <v>1940</v>
      </c>
      <c r="X565" s="72" t="s">
        <v>2967</v>
      </c>
      <c r="Y565" s="72" t="s">
        <v>4</v>
      </c>
      <c r="Z565" s="72" t="s">
        <v>4</v>
      </c>
      <c r="AA565" s="147" t="s">
        <v>3648</v>
      </c>
    </row>
    <row r="566" spans="1:27" ht="18.600000000000001" customHeight="1">
      <c r="A566" s="140" t="str">
        <f>IF(priority(Main[[#This Row],[Comments]])&lt;&gt;0, priority(Main[[#This Row],[Comments]]),"")</f>
        <v/>
      </c>
      <c r="B566" s="90" t="s">
        <v>1437</v>
      </c>
      <c r="C566" s="72" t="s">
        <v>4</v>
      </c>
      <c r="D566" s="73" t="s">
        <v>513</v>
      </c>
      <c r="E566" s="74">
        <v>40322.154652777775</v>
      </c>
      <c r="F566" s="74"/>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129</v>
      </c>
      <c r="J566" s="72" t="s">
        <v>4</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v>40353</v>
      </c>
      <c r="R566" s="74"/>
      <c r="S566" s="72" t="s">
        <v>6</v>
      </c>
      <c r="T566" s="80" t="s">
        <v>4</v>
      </c>
      <c r="U566" s="72" t="s">
        <v>7</v>
      </c>
      <c r="V566" s="72" t="s">
        <v>1932</v>
      </c>
      <c r="W566" s="72" t="s">
        <v>1934</v>
      </c>
      <c r="X566" s="72" t="s">
        <v>2913</v>
      </c>
      <c r="Y566" s="72" t="s">
        <v>3033</v>
      </c>
      <c r="Z566" s="72" t="s">
        <v>4</v>
      </c>
      <c r="AA566" s="147" t="s">
        <v>2913</v>
      </c>
    </row>
    <row r="567" spans="1:27" ht="18.600000000000001" customHeight="1">
      <c r="A567" s="140" t="str">
        <f>IF(priority(Main[[#This Row],[Comments]])&lt;&gt;0, priority(Main[[#This Row],[Comments]]),"")</f>
        <v/>
      </c>
      <c r="B567" s="90" t="s">
        <v>1438</v>
      </c>
      <c r="C567" s="72" t="s">
        <v>4</v>
      </c>
      <c r="D567" s="73" t="s">
        <v>514</v>
      </c>
      <c r="E567" s="74"/>
      <c r="F567" s="74"/>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81"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c r="R567" s="74"/>
      <c r="S567" s="72" t="s">
        <v>4</v>
      </c>
      <c r="T567" s="80" t="s">
        <v>4</v>
      </c>
      <c r="U567" s="72" t="s">
        <v>14</v>
      </c>
      <c r="V567" s="72" t="s">
        <v>1932</v>
      </c>
      <c r="W567" s="72" t="s">
        <v>4</v>
      </c>
      <c r="X567" s="72" t="s">
        <v>2979</v>
      </c>
      <c r="Y567" s="72" t="s">
        <v>3139</v>
      </c>
      <c r="Z567" s="72" t="s">
        <v>4</v>
      </c>
      <c r="AA567" s="147" t="s">
        <v>2979</v>
      </c>
    </row>
    <row r="568" spans="1:27" ht="18.600000000000001" customHeight="1">
      <c r="A568" s="140" t="str">
        <f>IF(priority(Main[[#This Row],[Comments]])&lt;&gt;0, priority(Main[[#This Row],[Comments]]),"")</f>
        <v/>
      </c>
      <c r="B568" s="90" t="s">
        <v>1441</v>
      </c>
      <c r="C568" s="72" t="s">
        <v>31</v>
      </c>
      <c r="D568" s="73" t="s">
        <v>515</v>
      </c>
      <c r="E568" s="74"/>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4</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40318</v>
      </c>
      <c r="R568" s="74"/>
      <c r="S568" s="72" t="s">
        <v>11</v>
      </c>
      <c r="T568" s="80" t="s">
        <v>4</v>
      </c>
      <c r="U568" s="72" t="s">
        <v>14</v>
      </c>
      <c r="V568" s="72" t="s">
        <v>1935</v>
      </c>
      <c r="W568" s="72" t="s">
        <v>1943</v>
      </c>
      <c r="X568" s="72" t="s">
        <v>2921</v>
      </c>
      <c r="Y568" s="72" t="s">
        <v>4</v>
      </c>
      <c r="Z568" s="72" t="s">
        <v>4</v>
      </c>
      <c r="AA568" s="147" t="s">
        <v>2921</v>
      </c>
    </row>
    <row r="569" spans="1:27" ht="18.600000000000001" customHeight="1">
      <c r="A569" s="140" t="str">
        <f>IF(priority(Main[[#This Row],[Comments]])&lt;&gt;0, priority(Main[[#This Row],[Comments]]),"")</f>
        <v/>
      </c>
      <c r="B569" s="90" t="s">
        <v>1442</v>
      </c>
      <c r="C569" s="72" t="s">
        <v>47</v>
      </c>
      <c r="D569" s="73" t="s">
        <v>516</v>
      </c>
      <c r="E569" s="74"/>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11</v>
      </c>
      <c r="T569" s="80" t="s">
        <v>4</v>
      </c>
      <c r="U569" s="72" t="s">
        <v>14</v>
      </c>
      <c r="V569" s="72" t="s">
        <v>1933</v>
      </c>
      <c r="W569" s="72" t="s">
        <v>1936</v>
      </c>
      <c r="X569" s="72" t="s">
        <v>310</v>
      </c>
      <c r="Y569" s="72" t="s">
        <v>3036</v>
      </c>
      <c r="Z569" s="72" t="s">
        <v>4</v>
      </c>
      <c r="AA569" s="147" t="s">
        <v>3618</v>
      </c>
    </row>
    <row r="570" spans="1:27" ht="18.600000000000001" customHeight="1">
      <c r="A570" s="140" t="str">
        <f>IF(priority(Main[[#This Row],[Comments]])&lt;&gt;0, priority(Main[[#This Row],[Comments]]),"")</f>
        <v/>
      </c>
      <c r="B570" s="90" t="s">
        <v>1443</v>
      </c>
      <c r="C570" s="72" t="s">
        <v>4</v>
      </c>
      <c r="D570" s="73" t="s">
        <v>517</v>
      </c>
      <c r="E570" s="74">
        <v>40465.986851851849</v>
      </c>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28</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c r="R570" s="74"/>
      <c r="S570" s="72" t="s">
        <v>6</v>
      </c>
      <c r="T570" s="80" t="s">
        <v>4</v>
      </c>
      <c r="U570" s="72" t="s">
        <v>7</v>
      </c>
      <c r="V570" s="72" t="s">
        <v>1932</v>
      </c>
      <c r="W570" s="72" t="s">
        <v>1936</v>
      </c>
      <c r="X570" s="72" t="s">
        <v>2957</v>
      </c>
      <c r="Y570" s="72" t="s">
        <v>3095</v>
      </c>
      <c r="Z570" s="72" t="s">
        <v>129</v>
      </c>
      <c r="AA570" s="147" t="s">
        <v>2957</v>
      </c>
    </row>
    <row r="571" spans="1:27" ht="18.600000000000001" customHeight="1">
      <c r="A571" s="140" t="str">
        <f>IF(priority(Main[[#This Row],[Comments]])&lt;&gt;0, priority(Main[[#This Row],[Comments]]),"")</f>
        <v/>
      </c>
      <c r="B571" s="90" t="s">
        <v>1267</v>
      </c>
      <c r="C571" s="72" t="s">
        <v>4</v>
      </c>
      <c r="D571" s="73" t="s">
        <v>323</v>
      </c>
      <c r="E571" s="74">
        <v>40014.430787037039</v>
      </c>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2034</v>
      </c>
      <c r="J571" s="72" t="s">
        <v>28</v>
      </c>
      <c r="K571" s="72" t="s">
        <v>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40237</v>
      </c>
      <c r="R571" s="74"/>
      <c r="S571" s="72" t="s">
        <v>17</v>
      </c>
      <c r="T571" s="80" t="s">
        <v>4</v>
      </c>
      <c r="U571" s="72" t="s">
        <v>7</v>
      </c>
      <c r="V571" s="72" t="s">
        <v>1947</v>
      </c>
      <c r="W571" s="72" t="s">
        <v>1940</v>
      </c>
      <c r="X571" s="72" t="s">
        <v>2953</v>
      </c>
      <c r="Y571" s="72" t="s">
        <v>3140</v>
      </c>
      <c r="Z571" s="72" t="s">
        <v>2237</v>
      </c>
      <c r="AA571" s="147" t="s">
        <v>2034</v>
      </c>
    </row>
    <row r="572" spans="1:27" ht="18.600000000000001" customHeight="1">
      <c r="A572" s="140" t="str">
        <f>IF(priority(Main[[#This Row],[Comments]])&lt;&gt;0, priority(Main[[#This Row],[Comments]]),"")</f>
        <v/>
      </c>
      <c r="B572" s="90" t="s">
        <v>1444</v>
      </c>
      <c r="C572" s="72" t="s">
        <v>72</v>
      </c>
      <c r="D572" s="73" t="s">
        <v>518</v>
      </c>
      <c r="E572" s="74"/>
      <c r="F572" s="74">
        <v>40544</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c r="R572" s="74"/>
      <c r="S572" s="72" t="s">
        <v>11</v>
      </c>
      <c r="T572" s="80" t="s">
        <v>4</v>
      </c>
      <c r="U572" s="72" t="s">
        <v>14</v>
      </c>
      <c r="V572" s="72" t="s">
        <v>1935</v>
      </c>
      <c r="W572" s="72" t="s">
        <v>1940</v>
      </c>
      <c r="X572" s="72" t="s">
        <v>2938</v>
      </c>
      <c r="Y572" s="72" t="s">
        <v>3073</v>
      </c>
      <c r="Z572" s="72" t="s">
        <v>4</v>
      </c>
      <c r="AA572" s="147" t="s">
        <v>2938</v>
      </c>
    </row>
    <row r="573" spans="1:27" ht="18.600000000000001" customHeight="1">
      <c r="A573" s="140" t="str">
        <f>IF(priority(Main[[#This Row],[Comments]])&lt;&gt;0, priority(Main[[#This Row],[Comments]]),"")</f>
        <v/>
      </c>
      <c r="B573" s="90" t="s">
        <v>1656</v>
      </c>
      <c r="C573" s="72" t="s">
        <v>4</v>
      </c>
      <c r="D573" s="73" t="s">
        <v>2013</v>
      </c>
      <c r="E573" s="74"/>
      <c r="F573" s="74"/>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44</v>
      </c>
      <c r="J573" s="72" t="s">
        <v>28</v>
      </c>
      <c r="K573" s="72" t="s">
        <v>1941</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v>40755</v>
      </c>
      <c r="R573" s="74"/>
      <c r="S573" s="72" t="s">
        <v>6</v>
      </c>
      <c r="T573" s="80" t="s">
        <v>4</v>
      </c>
      <c r="U573" s="72" t="s">
        <v>14</v>
      </c>
      <c r="V573" s="72" t="s">
        <v>1935</v>
      </c>
      <c r="W573" s="72" t="s">
        <v>1936</v>
      </c>
      <c r="X573" s="72" t="s">
        <v>30</v>
      </c>
      <c r="Y573" s="72" t="s">
        <v>3141</v>
      </c>
      <c r="Z573" s="72" t="s">
        <v>44</v>
      </c>
      <c r="AA573" s="147" t="s">
        <v>3656</v>
      </c>
    </row>
    <row r="574" spans="1:27" ht="18.600000000000001" customHeight="1">
      <c r="A574" s="140" t="str">
        <f>IF(priority(Main[[#This Row],[Comments]])&lt;&gt;0, priority(Main[[#This Row],[Comments]]),"")</f>
        <v/>
      </c>
      <c r="B574" s="90" t="s">
        <v>1445</v>
      </c>
      <c r="C574" s="72" t="s">
        <v>4</v>
      </c>
      <c r="D574" s="73" t="s">
        <v>97</v>
      </c>
      <c r="E574" s="74"/>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40858</v>
      </c>
      <c r="R574" s="74"/>
      <c r="S574" s="72" t="s">
        <v>17</v>
      </c>
      <c r="T574" s="80" t="s">
        <v>4</v>
      </c>
      <c r="U574" s="72" t="s">
        <v>14</v>
      </c>
      <c r="V574" s="72" t="s">
        <v>1932</v>
      </c>
      <c r="W574" s="72" t="s">
        <v>1937</v>
      </c>
      <c r="X574" s="72" t="s">
        <v>50</v>
      </c>
      <c r="Y574" s="72" t="s">
        <v>3054</v>
      </c>
      <c r="Z574" s="72" t="s">
        <v>4</v>
      </c>
      <c r="AA574" s="147" t="s">
        <v>2919</v>
      </c>
    </row>
    <row r="575" spans="1:27" ht="18.600000000000001" customHeight="1">
      <c r="A575" s="140" t="str">
        <f>IF(priority(Main[[#This Row],[Comments]])&lt;&gt;0, priority(Main[[#This Row],[Comments]]),"")</f>
        <v/>
      </c>
      <c r="B575" s="90" t="s">
        <v>1446</v>
      </c>
      <c r="C575" s="72" t="s">
        <v>47</v>
      </c>
      <c r="D575" s="73" t="s">
        <v>522</v>
      </c>
      <c r="E575" s="74"/>
      <c r="F575" s="74"/>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4</v>
      </c>
      <c r="K575" s="72" t="s">
        <v>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c r="R575" s="74"/>
      <c r="S575" s="72" t="s">
        <v>49</v>
      </c>
      <c r="T575" s="80" t="s">
        <v>4</v>
      </c>
      <c r="U575" s="72" t="s">
        <v>14</v>
      </c>
      <c r="V575" s="72" t="s">
        <v>1935</v>
      </c>
      <c r="W575" s="72" t="s">
        <v>1936</v>
      </c>
      <c r="X575" s="72" t="s">
        <v>310</v>
      </c>
      <c r="Y575" s="72" t="s">
        <v>4</v>
      </c>
      <c r="Z575" s="72" t="s">
        <v>4</v>
      </c>
      <c r="AA575" s="147" t="s">
        <v>4</v>
      </c>
    </row>
    <row r="576" spans="1:27" ht="18.600000000000001" customHeight="1">
      <c r="A576" s="140" t="str">
        <f>IF(priority(Main[[#This Row],[Comments]])&lt;&gt;0, priority(Main[[#This Row],[Comments]]),"")</f>
        <v/>
      </c>
      <c r="B576" s="90" t="s">
        <v>1447</v>
      </c>
      <c r="C576" s="72" t="s">
        <v>523</v>
      </c>
      <c r="D576" s="73" t="s">
        <v>524</v>
      </c>
      <c r="E576" s="74"/>
      <c r="F576" s="74">
        <v>40548</v>
      </c>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81" t="s">
        <v>1944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c r="R576" s="74"/>
      <c r="S576" s="72" t="s">
        <v>11</v>
      </c>
      <c r="T576" s="80" t="s">
        <v>4</v>
      </c>
      <c r="U576" s="72" t="s">
        <v>14</v>
      </c>
      <c r="V576" s="72" t="s">
        <v>1933</v>
      </c>
      <c r="W576" s="72" t="s">
        <v>1937</v>
      </c>
      <c r="X576" s="72" t="s">
        <v>2980</v>
      </c>
      <c r="Y576" s="72" t="s">
        <v>4</v>
      </c>
      <c r="Z576" s="72" t="s">
        <v>4</v>
      </c>
      <c r="AA576" s="147" t="s">
        <v>4</v>
      </c>
    </row>
    <row r="577" spans="1:27" ht="18.600000000000001" customHeight="1">
      <c r="A577" s="140" t="str">
        <f>IF(priority(Main[[#This Row],[Comments]])&lt;&gt;0, priority(Main[[#This Row],[Comments]]),"")</f>
        <v/>
      </c>
      <c r="B577" s="90" t="s">
        <v>1448</v>
      </c>
      <c r="C577" s="72" t="s">
        <v>122</v>
      </c>
      <c r="D577" s="73" t="s">
        <v>525</v>
      </c>
      <c r="E577" s="74"/>
      <c r="F577" s="74"/>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40245</v>
      </c>
      <c r="R577" s="74"/>
      <c r="S577" s="72" t="s">
        <v>11</v>
      </c>
      <c r="T577" s="80" t="s">
        <v>4</v>
      </c>
      <c r="U577" s="72" t="s">
        <v>14</v>
      </c>
      <c r="V577" s="72" t="s">
        <v>1935</v>
      </c>
      <c r="W577" s="72" t="s">
        <v>1934</v>
      </c>
      <c r="X577" s="72" t="s">
        <v>2963</v>
      </c>
      <c r="Y577" s="72" t="s">
        <v>4</v>
      </c>
      <c r="Z577" s="72" t="s">
        <v>4</v>
      </c>
      <c r="AA577" s="147" t="s">
        <v>2963</v>
      </c>
    </row>
    <row r="578" spans="1:27" ht="18.600000000000001" customHeight="1">
      <c r="A578" s="140" t="str">
        <f>IF(priority(Main[[#This Row],[Comments]])&lt;&gt;0, priority(Main[[#This Row],[Comments]]),"")</f>
        <v/>
      </c>
      <c r="B578" s="90" t="s">
        <v>1449</v>
      </c>
      <c r="C578" s="72" t="s">
        <v>4</v>
      </c>
      <c r="D578" s="73" t="s">
        <v>526</v>
      </c>
      <c r="E578" s="74"/>
      <c r="F578" s="74">
        <v>40178</v>
      </c>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v>40158</v>
      </c>
      <c r="R578" s="74"/>
      <c r="S578" s="72" t="s">
        <v>11</v>
      </c>
      <c r="T578" s="80" t="s">
        <v>4</v>
      </c>
      <c r="U578" s="72" t="s">
        <v>14</v>
      </c>
      <c r="V578" s="72" t="s">
        <v>1932</v>
      </c>
      <c r="W578" s="72" t="s">
        <v>1937</v>
      </c>
      <c r="X578" s="72" t="s">
        <v>2915</v>
      </c>
      <c r="Y578" s="72" t="s">
        <v>3038</v>
      </c>
      <c r="Z578" s="72" t="s">
        <v>4</v>
      </c>
      <c r="AA578" s="147" t="s">
        <v>2915</v>
      </c>
    </row>
    <row r="579" spans="1:27" ht="18.600000000000001" customHeight="1">
      <c r="A579" s="140" t="str">
        <f>IF(priority(Main[[#This Row],[Comments]])&lt;&gt;0, priority(Main[[#This Row],[Comments]]),"")</f>
        <v/>
      </c>
      <c r="B579" s="90" t="s">
        <v>2406</v>
      </c>
      <c r="C579" s="72" t="s">
        <v>72</v>
      </c>
      <c r="D579" s="73" t="s">
        <v>2407</v>
      </c>
      <c r="E579" s="74"/>
      <c r="F579" s="74"/>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4</v>
      </c>
      <c r="K579" s="81"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c r="R579" s="74"/>
      <c r="S579" s="72" t="s">
        <v>17</v>
      </c>
      <c r="T579" s="80" t="s">
        <v>4</v>
      </c>
      <c r="U579" s="72" t="s">
        <v>14</v>
      </c>
      <c r="V579" s="72" t="s">
        <v>1933</v>
      </c>
      <c r="W579" s="72" t="s">
        <v>1934</v>
      </c>
      <c r="X579" s="72" t="s">
        <v>2981</v>
      </c>
      <c r="Y579" s="72" t="s">
        <v>3142</v>
      </c>
      <c r="Z579" s="72" t="s">
        <v>4</v>
      </c>
      <c r="AA579" s="147" t="s">
        <v>2981</v>
      </c>
    </row>
    <row r="580" spans="1:27" ht="18.600000000000001" customHeight="1">
      <c r="A580" s="140" t="str">
        <f>IF(priority(Main[[#This Row],[Comments]])&lt;&gt;0, priority(Main[[#This Row],[Comments]]),"")</f>
        <v/>
      </c>
      <c r="B580" s="90" t="s">
        <v>1454</v>
      </c>
      <c r="C580" s="72" t="s">
        <v>113</v>
      </c>
      <c r="D580" s="73" t="s">
        <v>527</v>
      </c>
      <c r="E580" s="74"/>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81"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40505</v>
      </c>
      <c r="R580" s="74"/>
      <c r="S580" s="72" t="s">
        <v>49</v>
      </c>
      <c r="T580" s="80" t="s">
        <v>4</v>
      </c>
      <c r="U580" s="72" t="s">
        <v>12</v>
      </c>
      <c r="V580" s="72" t="s">
        <v>1933</v>
      </c>
      <c r="W580" s="72" t="s">
        <v>1937</v>
      </c>
      <c r="X580" s="72" t="s">
        <v>2982</v>
      </c>
      <c r="Y580" s="72" t="s">
        <v>3076</v>
      </c>
      <c r="Z580" s="72" t="s">
        <v>4</v>
      </c>
      <c r="AA580" s="147" t="s">
        <v>2930</v>
      </c>
    </row>
    <row r="581" spans="1:27" ht="18.600000000000001" customHeight="1">
      <c r="A581" s="140" t="str">
        <f>IF(priority(Main[[#This Row],[Comments]])&lt;&gt;0, priority(Main[[#This Row],[Comments]]),"")</f>
        <v/>
      </c>
      <c r="B581" s="90" t="s">
        <v>2288</v>
      </c>
      <c r="C581" s="72" t="s">
        <v>4</v>
      </c>
      <c r="D581" s="73" t="s">
        <v>2322</v>
      </c>
      <c r="E581" s="74">
        <v>40806.662407407406</v>
      </c>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30</v>
      </c>
      <c r="J581" s="72" t="s">
        <v>21</v>
      </c>
      <c r="K581" s="72" t="s">
        <v>1941</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c r="R581" s="74"/>
      <c r="S581" s="72" t="s">
        <v>6</v>
      </c>
      <c r="T581" s="80" t="s">
        <v>4</v>
      </c>
      <c r="U581" s="72" t="s">
        <v>29</v>
      </c>
      <c r="V581" s="72" t="s">
        <v>1935</v>
      </c>
      <c r="W581" s="72" t="s">
        <v>1936</v>
      </c>
      <c r="X581" s="72" t="s">
        <v>310</v>
      </c>
      <c r="Y581" s="72" t="s">
        <v>4</v>
      </c>
      <c r="Z581" s="72" t="s">
        <v>30</v>
      </c>
      <c r="AA581" s="147" t="s">
        <v>3628</v>
      </c>
    </row>
    <row r="582" spans="1:27" ht="18.600000000000001" customHeight="1">
      <c r="A582" s="140" t="str">
        <f>IF(priority(Main[[#This Row],[Comments]])&lt;&gt;0, priority(Main[[#This Row],[Comments]]),"")</f>
        <v/>
      </c>
      <c r="B582" s="90" t="s">
        <v>2580</v>
      </c>
      <c r="C582" s="72" t="s">
        <v>2387</v>
      </c>
      <c r="D582" s="73" t="s">
        <v>2388</v>
      </c>
      <c r="E582" s="74"/>
      <c r="F582" s="74">
        <v>41008</v>
      </c>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v>40826</v>
      </c>
      <c r="R582" s="74"/>
      <c r="S582" s="72" t="s">
        <v>11</v>
      </c>
      <c r="T582" s="80" t="s">
        <v>4</v>
      </c>
      <c r="U582" s="72" t="s">
        <v>12</v>
      </c>
      <c r="V582" s="72" t="s">
        <v>1935</v>
      </c>
      <c r="W582" s="72" t="s">
        <v>1938</v>
      </c>
      <c r="X582" s="72" t="s">
        <v>2934</v>
      </c>
      <c r="Y582" s="72" t="s">
        <v>4</v>
      </c>
      <c r="Z582" s="72" t="s">
        <v>4</v>
      </c>
      <c r="AA582" s="147" t="s">
        <v>2934</v>
      </c>
    </row>
    <row r="583" spans="1:27" ht="18.600000000000001" customHeight="1">
      <c r="A583" s="140" t="str">
        <f>IF(priority(Main[[#This Row],[Comments]])&lt;&gt;0, priority(Main[[#This Row],[Comments]]),"")</f>
        <v/>
      </c>
      <c r="B583" s="90" t="s">
        <v>1472</v>
      </c>
      <c r="C583" s="72" t="s">
        <v>4</v>
      </c>
      <c r="D583" s="73" t="s">
        <v>528</v>
      </c>
      <c r="E583" s="74">
        <v>40371.58488425926</v>
      </c>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4</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v>40385</v>
      </c>
      <c r="R583" s="74"/>
      <c r="S583" s="72" t="s">
        <v>6</v>
      </c>
      <c r="T583" s="80" t="s">
        <v>4</v>
      </c>
      <c r="U583" s="72" t="s">
        <v>7</v>
      </c>
      <c r="V583" s="72" t="s">
        <v>1932</v>
      </c>
      <c r="W583" s="72" t="s">
        <v>1937</v>
      </c>
      <c r="X583" s="72" t="s">
        <v>102</v>
      </c>
      <c r="Y583" s="72" t="s">
        <v>3143</v>
      </c>
      <c r="Z583" s="72" t="s">
        <v>4</v>
      </c>
      <c r="AA583" s="147" t="s">
        <v>3657</v>
      </c>
    </row>
    <row r="584" spans="1:27" ht="18.600000000000001" customHeight="1">
      <c r="A584" s="140" t="str">
        <f>IF(priority(Main[[#This Row],[Comments]])&lt;&gt;0, priority(Main[[#This Row],[Comments]]),"")</f>
        <v/>
      </c>
      <c r="B584" s="90" t="s">
        <v>1475</v>
      </c>
      <c r="C584" s="72" t="s">
        <v>530</v>
      </c>
      <c r="D584" s="73" t="s">
        <v>531</v>
      </c>
      <c r="E584" s="74"/>
      <c r="F584" s="74">
        <v>40276</v>
      </c>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4</v>
      </c>
      <c r="J584" s="72" t="s">
        <v>4</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v>40164</v>
      </c>
      <c r="R584" s="74"/>
      <c r="S584" s="72" t="s">
        <v>11</v>
      </c>
      <c r="T584" s="80" t="s">
        <v>4</v>
      </c>
      <c r="U584" s="72" t="s">
        <v>14</v>
      </c>
      <c r="V584" s="72" t="s">
        <v>1935</v>
      </c>
      <c r="W584" s="72" t="s">
        <v>1938</v>
      </c>
      <c r="X584" s="72" t="s">
        <v>2983</v>
      </c>
      <c r="Y584" s="72" t="s">
        <v>4</v>
      </c>
      <c r="Z584" s="72" t="s">
        <v>4</v>
      </c>
      <c r="AA584" s="147" t="s">
        <v>2983</v>
      </c>
    </row>
    <row r="585" spans="1:27" ht="18.600000000000001" customHeight="1">
      <c r="A585" s="140" t="str">
        <f>IF(priority(Main[[#This Row],[Comments]])&lt;&gt;0, priority(Main[[#This Row],[Comments]]),"")</f>
        <v/>
      </c>
      <c r="B585" s="90" t="s">
        <v>1713</v>
      </c>
      <c r="C585" s="72" t="s">
        <v>4</v>
      </c>
      <c r="D585" s="73" t="s">
        <v>762</v>
      </c>
      <c r="E585" s="74">
        <v>40700.558032407411</v>
      </c>
      <c r="F585" s="74"/>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40714</v>
      </c>
      <c r="R585" s="74"/>
      <c r="S585" s="72" t="s">
        <v>6</v>
      </c>
      <c r="T585" s="80" t="s">
        <v>4</v>
      </c>
      <c r="U585" s="72" t="s">
        <v>703</v>
      </c>
      <c r="V585" s="72" t="s">
        <v>1932</v>
      </c>
      <c r="W585" s="72" t="s">
        <v>4</v>
      </c>
      <c r="X585" s="72" t="s">
        <v>2927</v>
      </c>
      <c r="Y585" s="72" t="s">
        <v>3060</v>
      </c>
      <c r="Z585" s="72" t="s">
        <v>4</v>
      </c>
      <c r="AA585" s="147" t="s">
        <v>2927</v>
      </c>
    </row>
    <row r="586" spans="1:27" ht="18.600000000000001" customHeight="1">
      <c r="A586" s="140" t="str">
        <f>IF(priority(Main[[#This Row],[Comments]])&lt;&gt;0, priority(Main[[#This Row],[Comments]]),"")</f>
        <v/>
      </c>
      <c r="B586" s="90" t="s">
        <v>1477</v>
      </c>
      <c r="C586" s="72" t="s">
        <v>4</v>
      </c>
      <c r="D586" s="73" t="s">
        <v>532</v>
      </c>
      <c r="E586" s="74"/>
      <c r="F586" s="74">
        <v>40431</v>
      </c>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28</v>
      </c>
      <c r="K586" s="72"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v>40410</v>
      </c>
      <c r="R586" s="74"/>
      <c r="S586" s="72" t="s">
        <v>11</v>
      </c>
      <c r="T586" s="80" t="s">
        <v>4</v>
      </c>
      <c r="U586" s="72" t="s">
        <v>14</v>
      </c>
      <c r="V586" s="72" t="s">
        <v>1933</v>
      </c>
      <c r="W586" s="72" t="s">
        <v>1940</v>
      </c>
      <c r="X586" s="72" t="s">
        <v>2915</v>
      </c>
      <c r="Y586" s="72" t="s">
        <v>3038</v>
      </c>
      <c r="Z586" s="72" t="s">
        <v>108</v>
      </c>
      <c r="AA586" s="147" t="s">
        <v>2915</v>
      </c>
    </row>
    <row r="587" spans="1:27" ht="18.600000000000001" customHeight="1">
      <c r="A587" s="140" t="str">
        <f>IF(priority(Main[[#This Row],[Comments]])&lt;&gt;0, priority(Main[[#This Row],[Comments]]),"")</f>
        <v/>
      </c>
      <c r="B587" s="90" t="s">
        <v>1478</v>
      </c>
      <c r="C587" s="72" t="s">
        <v>4</v>
      </c>
      <c r="D587" s="73" t="s">
        <v>533</v>
      </c>
      <c r="E587" s="74"/>
      <c r="F587" s="74">
        <v>40786</v>
      </c>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v>40749</v>
      </c>
      <c r="R587" s="74"/>
      <c r="S587" s="72" t="s">
        <v>11</v>
      </c>
      <c r="T587" s="80" t="s">
        <v>4</v>
      </c>
      <c r="U587" s="72" t="s">
        <v>14</v>
      </c>
      <c r="V587" s="72" t="s">
        <v>1935</v>
      </c>
      <c r="W587" s="72" t="s">
        <v>1940</v>
      </c>
      <c r="X587" s="72" t="s">
        <v>559</v>
      </c>
      <c r="Y587" s="72" t="s">
        <v>3145</v>
      </c>
      <c r="Z587" s="72" t="s">
        <v>4</v>
      </c>
      <c r="AA587" s="147" t="s">
        <v>2951</v>
      </c>
    </row>
    <row r="588" spans="1:27" ht="18.600000000000001" customHeight="1">
      <c r="A588" s="140" t="str">
        <f>IF(priority(Main[[#This Row],[Comments]])&lt;&gt;0, priority(Main[[#This Row],[Comments]]),"")</f>
        <v/>
      </c>
      <c r="B588" s="90" t="s">
        <v>1455</v>
      </c>
      <c r="C588" s="72" t="s">
        <v>95</v>
      </c>
      <c r="D588" s="73" t="s">
        <v>534</v>
      </c>
      <c r="E588" s="74"/>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535</v>
      </c>
      <c r="J588" s="72" t="s">
        <v>4</v>
      </c>
      <c r="K588" s="81"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40352</v>
      </c>
      <c r="R588" s="74"/>
      <c r="S588" s="72" t="s">
        <v>11</v>
      </c>
      <c r="T588" s="80" t="s">
        <v>4</v>
      </c>
      <c r="U588" s="72" t="s">
        <v>14</v>
      </c>
      <c r="V588" s="72" t="s">
        <v>1935</v>
      </c>
      <c r="W588" s="72" t="s">
        <v>1934</v>
      </c>
      <c r="X588" s="72" t="s">
        <v>2928</v>
      </c>
      <c r="Y588" s="72" t="s">
        <v>3146</v>
      </c>
      <c r="Z588" s="72" t="s">
        <v>4</v>
      </c>
      <c r="AA588" s="147" t="s">
        <v>3648</v>
      </c>
    </row>
    <row r="589" spans="1:27" ht="18.600000000000001" customHeight="1">
      <c r="A589" s="140" t="str">
        <f>IF(priority(Main[[#This Row],[Comments]])&lt;&gt;0, priority(Main[[#This Row],[Comments]]),"")</f>
        <v/>
      </c>
      <c r="B589" s="90" t="s">
        <v>1457</v>
      </c>
      <c r="C589" s="72" t="s">
        <v>171</v>
      </c>
      <c r="D589" s="73" t="s">
        <v>537</v>
      </c>
      <c r="E589" s="74"/>
      <c r="F589" s="74">
        <v>40237</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v>40132</v>
      </c>
      <c r="R589" s="74"/>
      <c r="S589" s="72" t="s">
        <v>11</v>
      </c>
      <c r="T589" s="80" t="s">
        <v>4</v>
      </c>
      <c r="U589" s="72" t="s">
        <v>14</v>
      </c>
      <c r="V589" s="72" t="s">
        <v>1932</v>
      </c>
      <c r="W589" s="72" t="s">
        <v>1937</v>
      </c>
      <c r="X589" s="72" t="s">
        <v>2949</v>
      </c>
      <c r="Y589" s="72" t="s">
        <v>4</v>
      </c>
      <c r="Z589" s="72" t="s">
        <v>4</v>
      </c>
      <c r="AA589" s="147" t="s">
        <v>2949</v>
      </c>
    </row>
    <row r="590" spans="1:27" ht="18.600000000000001" customHeight="1">
      <c r="A590" s="140" t="str">
        <f>IF(priority(Main[[#This Row],[Comments]])&lt;&gt;0, priority(Main[[#This Row],[Comments]]),"")</f>
        <v/>
      </c>
      <c r="B590" s="90" t="s">
        <v>3403</v>
      </c>
      <c r="C590" s="72" t="s">
        <v>3404</v>
      </c>
      <c r="D590" s="73" t="s">
        <v>3579</v>
      </c>
      <c r="E590" s="74"/>
      <c r="F590" s="74">
        <v>41090</v>
      </c>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4</v>
      </c>
      <c r="K590" s="72"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c r="R590" s="74"/>
      <c r="S590" s="72" t="s">
        <v>11</v>
      </c>
      <c r="T590" s="80" t="s">
        <v>3405</v>
      </c>
      <c r="U590" s="72" t="s">
        <v>14</v>
      </c>
      <c r="V590" s="72" t="s">
        <v>1933</v>
      </c>
      <c r="W590" s="72" t="s">
        <v>1940</v>
      </c>
      <c r="X590" s="72" t="s">
        <v>2943</v>
      </c>
      <c r="Y590" s="72" t="s">
        <v>3085</v>
      </c>
      <c r="Z590" s="72" t="s">
        <v>4</v>
      </c>
      <c r="AA590" s="147" t="s">
        <v>2943</v>
      </c>
    </row>
    <row r="591" spans="1:27" ht="18.600000000000001" customHeight="1">
      <c r="A591" s="140" t="str">
        <f>IF(priority(Main[[#This Row],[Comments]])&lt;&gt;0, priority(Main[[#This Row],[Comments]]),"")</f>
        <v/>
      </c>
      <c r="B591" s="90" t="s">
        <v>1458</v>
      </c>
      <c r="C591" s="72" t="s">
        <v>4</v>
      </c>
      <c r="D591" s="73" t="s">
        <v>538</v>
      </c>
      <c r="E591" s="74">
        <v>40108.684525462966</v>
      </c>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40208</v>
      </c>
      <c r="R591" s="74"/>
      <c r="S591" s="72" t="s">
        <v>17</v>
      </c>
      <c r="T591" s="80" t="s">
        <v>4</v>
      </c>
      <c r="U591" s="72" t="s">
        <v>539</v>
      </c>
      <c r="V591" s="72" t="s">
        <v>1933</v>
      </c>
      <c r="W591" s="72" t="s">
        <v>4</v>
      </c>
      <c r="X591" s="72" t="s">
        <v>2953</v>
      </c>
      <c r="Y591" s="72" t="s">
        <v>3101</v>
      </c>
      <c r="Z591" s="72" t="s">
        <v>4</v>
      </c>
      <c r="AA591" s="147" t="s">
        <v>2953</v>
      </c>
    </row>
    <row r="592" spans="1:27" ht="18.600000000000001" customHeight="1">
      <c r="A592" s="140" t="str">
        <f>IF(priority(Main[[#This Row],[Comments]])&lt;&gt;0, priority(Main[[#This Row],[Comments]]),"")</f>
        <v/>
      </c>
      <c r="B592" s="90" t="s">
        <v>1459</v>
      </c>
      <c r="C592" s="72" t="s">
        <v>79</v>
      </c>
      <c r="D592" s="73" t="s">
        <v>540</v>
      </c>
      <c r="E592" s="74"/>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v>40044</v>
      </c>
      <c r="R592" s="74"/>
      <c r="S592" s="72" t="s">
        <v>11</v>
      </c>
      <c r="T592" s="80" t="s">
        <v>4</v>
      </c>
      <c r="U592" s="72" t="s">
        <v>12</v>
      </c>
      <c r="V592" s="72" t="s">
        <v>1942</v>
      </c>
      <c r="W592" s="72" t="s">
        <v>1943</v>
      </c>
      <c r="X592" s="72" t="s">
        <v>2911</v>
      </c>
      <c r="Y592" s="72" t="s">
        <v>3051</v>
      </c>
      <c r="Z592" s="72" t="s">
        <v>81</v>
      </c>
      <c r="AA592" s="147" t="s">
        <v>2952</v>
      </c>
    </row>
    <row r="593" spans="1:27" ht="18.600000000000001" customHeight="1">
      <c r="A593" s="140" t="str">
        <f>IF(priority(Main[[#This Row],[Comments]])&lt;&gt;0, priority(Main[[#This Row],[Comments]]),"")</f>
        <v/>
      </c>
      <c r="B593" s="90" t="s">
        <v>1460</v>
      </c>
      <c r="C593" s="72" t="s">
        <v>4</v>
      </c>
      <c r="D593" s="73" t="s">
        <v>541</v>
      </c>
      <c r="E593" s="74"/>
      <c r="F593" s="74"/>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c r="R593" s="74"/>
      <c r="S593" s="72" t="s">
        <v>6</v>
      </c>
      <c r="T593" s="80" t="s">
        <v>4</v>
      </c>
      <c r="U593" s="72" t="s">
        <v>14</v>
      </c>
      <c r="V593" s="72" t="s">
        <v>1935</v>
      </c>
      <c r="W593" s="72" t="s">
        <v>4</v>
      </c>
      <c r="X593" s="72" t="s">
        <v>2978</v>
      </c>
      <c r="Y593" s="72" t="s">
        <v>3138</v>
      </c>
      <c r="Z593" s="72" t="s">
        <v>4</v>
      </c>
      <c r="AA593" s="147" t="s">
        <v>2978</v>
      </c>
    </row>
    <row r="594" spans="1:27" ht="18.600000000000001" customHeight="1">
      <c r="A594" s="140" t="str">
        <f>IF(priority(Main[[#This Row],[Comments]])&lt;&gt;0, priority(Main[[#This Row],[Comments]]),"")</f>
        <v/>
      </c>
      <c r="B594" s="90" t="s">
        <v>1462</v>
      </c>
      <c r="C594" s="72" t="s">
        <v>4</v>
      </c>
      <c r="D594" s="73" t="s">
        <v>543</v>
      </c>
      <c r="E594" s="74">
        <v>40626.477812500001</v>
      </c>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374</v>
      </c>
      <c r="J594" s="72" t="s">
        <v>28</v>
      </c>
      <c r="K594" s="72" t="s">
        <v>1941</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c r="R594" s="74"/>
      <c r="S594" s="72" t="s">
        <v>6</v>
      </c>
      <c r="T594" s="80" t="s">
        <v>4</v>
      </c>
      <c r="U594" s="72" t="s">
        <v>29</v>
      </c>
      <c r="V594" s="72" t="s">
        <v>1935</v>
      </c>
      <c r="W594" s="72" t="s">
        <v>1936</v>
      </c>
      <c r="X594" s="72" t="s">
        <v>74</v>
      </c>
      <c r="Y594" s="72" t="s">
        <v>3126</v>
      </c>
      <c r="Z594" s="72" t="s">
        <v>420</v>
      </c>
      <c r="AA594" s="147" t="s">
        <v>74</v>
      </c>
    </row>
    <row r="595" spans="1:27" ht="18.600000000000001" customHeight="1">
      <c r="A595" s="140" t="str">
        <f>IF(priority(Main[[#This Row],[Comments]])&lt;&gt;0, priority(Main[[#This Row],[Comments]]),"")</f>
        <v/>
      </c>
      <c r="B595" s="90" t="s">
        <v>1463</v>
      </c>
      <c r="C595" s="72" t="s">
        <v>4</v>
      </c>
      <c r="D595" s="73" t="s">
        <v>544</v>
      </c>
      <c r="E595" s="74"/>
      <c r="F595" s="74">
        <v>40390</v>
      </c>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40329</v>
      </c>
      <c r="R595" s="74"/>
      <c r="S595" s="72" t="s">
        <v>11</v>
      </c>
      <c r="T595" s="80" t="s">
        <v>4</v>
      </c>
      <c r="U595" s="72" t="s">
        <v>12</v>
      </c>
      <c r="V595" s="72" t="s">
        <v>1942</v>
      </c>
      <c r="W595" s="72" t="s">
        <v>1938</v>
      </c>
      <c r="X595" s="72" t="s">
        <v>2963</v>
      </c>
      <c r="Y595" s="72" t="s">
        <v>3091</v>
      </c>
      <c r="Z595" s="72" t="s">
        <v>4</v>
      </c>
      <c r="AA595" s="147" t="s">
        <v>2963</v>
      </c>
    </row>
    <row r="596" spans="1:27" ht="18.600000000000001" customHeight="1">
      <c r="A596" s="140" t="str">
        <f>IF(priority(Main[[#This Row],[Comments]])&lt;&gt;0, priority(Main[[#This Row],[Comments]]),"")</f>
        <v/>
      </c>
      <c r="B596" s="90" t="s">
        <v>2775</v>
      </c>
      <c r="C596" s="72" t="s">
        <v>4</v>
      </c>
      <c r="D596" s="73" t="s">
        <v>2776</v>
      </c>
      <c r="E596" s="74">
        <v>40884.602025462962</v>
      </c>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c r="R596" s="74"/>
      <c r="S596" s="72" t="s">
        <v>17</v>
      </c>
      <c r="T596" s="80" t="s">
        <v>4</v>
      </c>
      <c r="U596" s="72" t="s">
        <v>7</v>
      </c>
      <c r="V596" s="72" t="s">
        <v>1947</v>
      </c>
      <c r="W596" s="72" t="s">
        <v>1937</v>
      </c>
      <c r="X596" s="72" t="s">
        <v>933</v>
      </c>
      <c r="Y596" s="72" t="s">
        <v>3112</v>
      </c>
      <c r="Z596" s="72" t="s">
        <v>4</v>
      </c>
      <c r="AA596" s="147" t="s">
        <v>918</v>
      </c>
    </row>
    <row r="597" spans="1:27" ht="18.600000000000001" customHeight="1">
      <c r="A597" s="140" t="str">
        <f>IF(priority(Main[[#This Row],[Comments]])&lt;&gt;0, priority(Main[[#This Row],[Comments]]),"")</f>
        <v/>
      </c>
      <c r="B597" s="90" t="s">
        <v>2838</v>
      </c>
      <c r="C597" s="72" t="s">
        <v>2839</v>
      </c>
      <c r="D597" s="73" t="s">
        <v>3388</v>
      </c>
      <c r="E597" s="74">
        <v>40914.604768518519</v>
      </c>
      <c r="F597" s="74">
        <v>40921</v>
      </c>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535</v>
      </c>
      <c r="J597" s="72" t="s">
        <v>52</v>
      </c>
      <c r="K597" s="72" t="s">
        <v>1941</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40928</v>
      </c>
      <c r="R597" s="74"/>
      <c r="S597" s="72" t="s">
        <v>6</v>
      </c>
      <c r="T597" s="80" t="s">
        <v>4</v>
      </c>
      <c r="U597" s="72" t="s">
        <v>29</v>
      </c>
      <c r="V597" s="72" t="s">
        <v>1935</v>
      </c>
      <c r="W597" s="72" t="s">
        <v>1934</v>
      </c>
      <c r="X597" s="72" t="s">
        <v>2907</v>
      </c>
      <c r="Y597" s="72" t="s">
        <v>3023</v>
      </c>
      <c r="Z597" s="72" t="s">
        <v>30</v>
      </c>
      <c r="AA597" s="147" t="s">
        <v>2907</v>
      </c>
    </row>
    <row r="598" spans="1:27" ht="18.600000000000001" customHeight="1">
      <c r="A598" s="140" t="str">
        <f>IF(priority(Main[[#This Row],[Comments]])&lt;&gt;0, priority(Main[[#This Row],[Comments]]),"")</f>
        <v/>
      </c>
      <c r="B598" s="90" t="s">
        <v>1465</v>
      </c>
      <c r="C598" s="72" t="s">
        <v>4</v>
      </c>
      <c r="D598" s="73" t="s">
        <v>545</v>
      </c>
      <c r="E598" s="74"/>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c r="R598" s="74"/>
      <c r="S598" s="72" t="s">
        <v>11</v>
      </c>
      <c r="T598" s="80" t="s">
        <v>4</v>
      </c>
      <c r="U598" s="72" t="s">
        <v>12</v>
      </c>
      <c r="V598" s="72" t="s">
        <v>1932</v>
      </c>
      <c r="W598" s="72" t="s">
        <v>1940</v>
      </c>
      <c r="X598" s="72" t="s">
        <v>918</v>
      </c>
      <c r="Y598" s="72" t="s">
        <v>4</v>
      </c>
      <c r="Z598" s="72" t="s">
        <v>4</v>
      </c>
      <c r="AA598" s="147" t="s">
        <v>4</v>
      </c>
    </row>
    <row r="599" spans="1:27" ht="18.600000000000001" customHeight="1">
      <c r="A599" s="140" t="str">
        <f>IF(priority(Main[[#This Row],[Comments]])&lt;&gt;0, priority(Main[[#This Row],[Comments]]),"")</f>
        <v/>
      </c>
      <c r="B599" s="90" t="s">
        <v>1466</v>
      </c>
      <c r="C599" s="72" t="s">
        <v>288</v>
      </c>
      <c r="D599" s="73" t="s">
        <v>546</v>
      </c>
      <c r="E599" s="74"/>
      <c r="F599" s="74"/>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4</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40147</v>
      </c>
      <c r="R599" s="74"/>
      <c r="S599" s="72" t="s">
        <v>11</v>
      </c>
      <c r="T599" s="80" t="s">
        <v>4</v>
      </c>
      <c r="U599" s="72" t="s">
        <v>14</v>
      </c>
      <c r="V599" s="72" t="s">
        <v>1942</v>
      </c>
      <c r="W599" s="72" t="s">
        <v>1940</v>
      </c>
      <c r="X599" s="72" t="s">
        <v>2908</v>
      </c>
      <c r="Y599" s="72" t="s">
        <v>4</v>
      </c>
      <c r="Z599" s="72" t="s">
        <v>4</v>
      </c>
      <c r="AA599" s="147" t="s">
        <v>2908</v>
      </c>
    </row>
    <row r="600" spans="1:27" ht="18.600000000000001" customHeight="1">
      <c r="A600" s="140" t="str">
        <f>IF(priority(Main[[#This Row],[Comments]])&lt;&gt;0, priority(Main[[#This Row],[Comments]]),"")</f>
        <v/>
      </c>
      <c r="B600" s="90" t="s">
        <v>1467</v>
      </c>
      <c r="C600" s="72" t="s">
        <v>31</v>
      </c>
      <c r="D600" s="73" t="s">
        <v>547</v>
      </c>
      <c r="E600" s="74"/>
      <c r="F600" s="74">
        <v>40512</v>
      </c>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40415</v>
      </c>
      <c r="R600" s="74"/>
      <c r="S600" s="72" t="s">
        <v>11</v>
      </c>
      <c r="T600" s="80" t="s">
        <v>4</v>
      </c>
      <c r="U600" s="72" t="s">
        <v>14</v>
      </c>
      <c r="V600" s="72" t="s">
        <v>1935</v>
      </c>
      <c r="W600" s="72" t="s">
        <v>1938</v>
      </c>
      <c r="X600" s="72" t="s">
        <v>2921</v>
      </c>
      <c r="Y600" s="72" t="s">
        <v>3048</v>
      </c>
      <c r="Z600" s="72" t="s">
        <v>4</v>
      </c>
      <c r="AA600" s="147" t="s">
        <v>2921</v>
      </c>
    </row>
    <row r="601" spans="1:27" ht="18.600000000000001" customHeight="1">
      <c r="A601" s="140" t="str">
        <f>IF(priority(Main[[#This Row],[Comments]])&lt;&gt;0, priority(Main[[#This Row],[Comments]]),"")</f>
        <v/>
      </c>
      <c r="B601" s="90" t="s">
        <v>1468</v>
      </c>
      <c r="C601" s="72" t="s">
        <v>548</v>
      </c>
      <c r="D601" s="73" t="s">
        <v>549</v>
      </c>
      <c r="E601" s="74"/>
      <c r="F601" s="74">
        <v>40179</v>
      </c>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40179</v>
      </c>
      <c r="R601" s="74"/>
      <c r="S601" s="72" t="s">
        <v>11</v>
      </c>
      <c r="T601" s="80" t="s">
        <v>4</v>
      </c>
      <c r="U601" s="72" t="s">
        <v>14</v>
      </c>
      <c r="V601" s="72" t="s">
        <v>1932</v>
      </c>
      <c r="W601" s="72" t="s">
        <v>1940</v>
      </c>
      <c r="X601" s="72" t="s">
        <v>2941</v>
      </c>
      <c r="Y601" s="72" t="s">
        <v>4</v>
      </c>
      <c r="Z601" s="72" t="s">
        <v>4</v>
      </c>
      <c r="AA601" s="147" t="s">
        <v>2941</v>
      </c>
    </row>
    <row r="602" spans="1:27" ht="18.600000000000001" customHeight="1">
      <c r="A602" s="140" t="str">
        <f>IF(priority(Main[[#This Row],[Comments]])&lt;&gt;0, priority(Main[[#This Row],[Comments]]),"")</f>
        <v/>
      </c>
      <c r="B602" s="90" t="s">
        <v>1469</v>
      </c>
      <c r="C602" s="72" t="s">
        <v>4</v>
      </c>
      <c r="D602" s="73" t="s">
        <v>550</v>
      </c>
      <c r="E602" s="74">
        <v>40675.613807870373</v>
      </c>
      <c r="F602" s="74"/>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40676</v>
      </c>
      <c r="R602" s="74"/>
      <c r="S602" s="72" t="s">
        <v>6</v>
      </c>
      <c r="T602" s="80" t="s">
        <v>4</v>
      </c>
      <c r="U602" s="72" t="s">
        <v>7</v>
      </c>
      <c r="V602" s="72" t="s">
        <v>1932</v>
      </c>
      <c r="W602" s="72" t="s">
        <v>1936</v>
      </c>
      <c r="X602" s="72" t="s">
        <v>126</v>
      </c>
      <c r="Y602" s="72" t="s">
        <v>3128</v>
      </c>
      <c r="Z602" s="72" t="s">
        <v>4</v>
      </c>
      <c r="AA602" s="147" t="s">
        <v>126</v>
      </c>
    </row>
    <row r="603" spans="1:27" ht="18.600000000000001" customHeight="1">
      <c r="A603" s="140" t="str">
        <f>IF(priority(Main[[#This Row],[Comments]])&lt;&gt;0, priority(Main[[#This Row],[Comments]]),"")</f>
        <v/>
      </c>
      <c r="B603" s="90" t="s">
        <v>1470</v>
      </c>
      <c r="C603" s="72" t="s">
        <v>4</v>
      </c>
      <c r="D603" s="73" t="s">
        <v>551</v>
      </c>
      <c r="E603" s="74">
        <v>40519.5781712963</v>
      </c>
      <c r="F603" s="74"/>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28</v>
      </c>
      <c r="K603" s="72"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c r="R603" s="74"/>
      <c r="S603" s="72" t="s">
        <v>6</v>
      </c>
      <c r="T603" s="80" t="s">
        <v>4</v>
      </c>
      <c r="U603" s="72" t="s">
        <v>7</v>
      </c>
      <c r="V603" s="72" t="s">
        <v>1932</v>
      </c>
      <c r="W603" s="72" t="s">
        <v>1934</v>
      </c>
      <c r="X603" s="72" t="s">
        <v>2910</v>
      </c>
      <c r="Y603" s="72" t="s">
        <v>3027</v>
      </c>
      <c r="Z603" s="72" t="s">
        <v>129</v>
      </c>
      <c r="AA603" s="147" t="s">
        <v>2910</v>
      </c>
    </row>
    <row r="604" spans="1:27" ht="18.600000000000001" customHeight="1">
      <c r="A604" s="140" t="str">
        <f>IF(priority(Main[[#This Row],[Comments]])&lt;&gt;0, priority(Main[[#This Row],[Comments]]),"")</f>
        <v/>
      </c>
      <c r="B604" s="90" t="s">
        <v>1471</v>
      </c>
      <c r="C604" s="72" t="s">
        <v>552</v>
      </c>
      <c r="D604" s="73" t="s">
        <v>553</v>
      </c>
      <c r="E604" s="74"/>
      <c r="F604" s="74">
        <v>40549</v>
      </c>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40464</v>
      </c>
      <c r="R604" s="74"/>
      <c r="S604" s="72" t="s">
        <v>11</v>
      </c>
      <c r="T604" s="80" t="s">
        <v>4</v>
      </c>
      <c r="U604" s="72" t="s">
        <v>14</v>
      </c>
      <c r="V604" s="72" t="s">
        <v>1935</v>
      </c>
      <c r="W604" s="72" t="s">
        <v>1938</v>
      </c>
      <c r="X604" s="72" t="s">
        <v>2921</v>
      </c>
      <c r="Y604" s="72" t="s">
        <v>3048</v>
      </c>
      <c r="Z604" s="72" t="s">
        <v>4</v>
      </c>
      <c r="AA604" s="147" t="s">
        <v>2921</v>
      </c>
    </row>
    <row r="605" spans="1:27" ht="18.600000000000001" customHeight="1">
      <c r="A605" s="140" t="str">
        <f>IF(priority(Main[[#This Row],[Comments]])&lt;&gt;0, priority(Main[[#This Row],[Comments]]),"")</f>
        <v/>
      </c>
      <c r="B605" s="90" t="s">
        <v>1479</v>
      </c>
      <c r="C605" s="72" t="s">
        <v>93</v>
      </c>
      <c r="D605" s="73" t="s">
        <v>563</v>
      </c>
      <c r="E605" s="74"/>
      <c r="F605" s="74">
        <v>40299</v>
      </c>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4</v>
      </c>
      <c r="J605" s="72" t="s">
        <v>4</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40171</v>
      </c>
      <c r="R605" s="74"/>
      <c r="S605" s="72" t="s">
        <v>11</v>
      </c>
      <c r="T605" s="80" t="s">
        <v>4</v>
      </c>
      <c r="U605" s="72" t="s">
        <v>14</v>
      </c>
      <c r="V605" s="72" t="s">
        <v>1935</v>
      </c>
      <c r="W605" s="72" t="s">
        <v>1938</v>
      </c>
      <c r="X605" s="72" t="s">
        <v>535</v>
      </c>
      <c r="Y605" s="72" t="s">
        <v>3148</v>
      </c>
      <c r="Z605" s="72" t="s">
        <v>4</v>
      </c>
      <c r="AA605" s="147" t="s">
        <v>3658</v>
      </c>
    </row>
    <row r="606" spans="1:27" ht="18.600000000000001" customHeight="1">
      <c r="A606" s="140" t="str">
        <f>IF(priority(Main[[#This Row],[Comments]])&lt;&gt;0, priority(Main[[#This Row],[Comments]]),"")</f>
        <v/>
      </c>
      <c r="B606" s="90" t="s">
        <v>1480</v>
      </c>
      <c r="C606" s="72" t="s">
        <v>47</v>
      </c>
      <c r="D606" s="73" t="s">
        <v>564</v>
      </c>
      <c r="E606" s="74">
        <v>39937.590590277781</v>
      </c>
      <c r="F606" s="74"/>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c r="R606" s="74"/>
      <c r="S606" s="72" t="s">
        <v>17</v>
      </c>
      <c r="T606" s="80" t="s">
        <v>4</v>
      </c>
      <c r="U606" s="72" t="s">
        <v>7</v>
      </c>
      <c r="V606" s="72" t="s">
        <v>1935</v>
      </c>
      <c r="W606" s="72" t="s">
        <v>4</v>
      </c>
      <c r="X606" s="72" t="s">
        <v>2918</v>
      </c>
      <c r="Y606" s="72" t="s">
        <v>3043</v>
      </c>
      <c r="Z606" s="72" t="s">
        <v>4</v>
      </c>
      <c r="AA606" s="147" t="s">
        <v>2918</v>
      </c>
    </row>
    <row r="607" spans="1:27" ht="18.600000000000001" customHeight="1">
      <c r="A607" s="140" t="str">
        <f>IF(priority(Main[[#This Row],[Comments]])&lt;&gt;0, priority(Main[[#This Row],[Comments]]),"")</f>
        <v/>
      </c>
      <c r="B607" s="90" t="s">
        <v>1481</v>
      </c>
      <c r="C607" s="72" t="s">
        <v>281</v>
      </c>
      <c r="D607" s="73" t="s">
        <v>565</v>
      </c>
      <c r="E607" s="74"/>
      <c r="F607" s="74">
        <v>40567</v>
      </c>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81"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v>40427</v>
      </c>
      <c r="R607" s="74"/>
      <c r="S607" s="72" t="s">
        <v>11</v>
      </c>
      <c r="T607" s="80" t="s">
        <v>4</v>
      </c>
      <c r="U607" s="72" t="s">
        <v>14</v>
      </c>
      <c r="V607" s="72" t="s">
        <v>1932</v>
      </c>
      <c r="W607" s="72" t="s">
        <v>1940</v>
      </c>
      <c r="X607" s="72" t="s">
        <v>2934</v>
      </c>
      <c r="Y607" s="72" t="s">
        <v>4</v>
      </c>
      <c r="Z607" s="72" t="s">
        <v>4</v>
      </c>
      <c r="AA607" s="147" t="s">
        <v>2934</v>
      </c>
    </row>
    <row r="608" spans="1:27" ht="18.600000000000001" customHeight="1">
      <c r="A608" s="140" t="str">
        <f>IF(priority(Main[[#This Row],[Comments]])&lt;&gt;0, priority(Main[[#This Row],[Comments]]),"")</f>
        <v/>
      </c>
      <c r="B608" s="90" t="s">
        <v>1482</v>
      </c>
      <c r="C608" s="72" t="s">
        <v>4</v>
      </c>
      <c r="D608" s="73" t="s">
        <v>566</v>
      </c>
      <c r="E608" s="74">
        <v>40414.808692129627</v>
      </c>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28</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40429</v>
      </c>
      <c r="R608" s="74"/>
      <c r="S608" s="72" t="s">
        <v>322</v>
      </c>
      <c r="T608" s="80" t="s">
        <v>4</v>
      </c>
      <c r="U608" s="72" t="s">
        <v>7</v>
      </c>
      <c r="V608" s="72" t="s">
        <v>1932</v>
      </c>
      <c r="W608" s="72" t="s">
        <v>1936</v>
      </c>
      <c r="X608" s="72" t="s">
        <v>2912</v>
      </c>
      <c r="Y608" s="72" t="s">
        <v>3031</v>
      </c>
      <c r="Z608" s="72" t="s">
        <v>129</v>
      </c>
      <c r="AA608" s="147" t="s">
        <v>2912</v>
      </c>
    </row>
    <row r="609" spans="1:27" ht="18.600000000000001" customHeight="1">
      <c r="A609" s="140" t="str">
        <f>IF(priority(Main[[#This Row],[Comments]])&lt;&gt;0, priority(Main[[#This Row],[Comments]]),"")</f>
        <v/>
      </c>
      <c r="B609" s="90" t="s">
        <v>1483</v>
      </c>
      <c r="C609" s="72" t="s">
        <v>72</v>
      </c>
      <c r="D609" s="73" t="s">
        <v>554</v>
      </c>
      <c r="E609" s="74"/>
      <c r="F609" s="74">
        <v>40030</v>
      </c>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v>39959</v>
      </c>
      <c r="R609" s="74"/>
      <c r="S609" s="72" t="s">
        <v>11</v>
      </c>
      <c r="T609" s="80" t="s">
        <v>4</v>
      </c>
      <c r="U609" s="72" t="s">
        <v>14</v>
      </c>
      <c r="V609" s="72" t="s">
        <v>1942</v>
      </c>
      <c r="W609" s="72" t="s">
        <v>4</v>
      </c>
      <c r="X609" s="72" t="s">
        <v>2915</v>
      </c>
      <c r="Y609" s="72" t="s">
        <v>3038</v>
      </c>
      <c r="Z609" s="72" t="s">
        <v>4</v>
      </c>
      <c r="AA609" s="147" t="s">
        <v>2915</v>
      </c>
    </row>
    <row r="610" spans="1:27" ht="18.600000000000001" customHeight="1">
      <c r="A610" s="140" t="str">
        <f>IF(priority(Main[[#This Row],[Comments]])&lt;&gt;0, priority(Main[[#This Row],[Comments]]),"")</f>
        <v/>
      </c>
      <c r="B610" s="90" t="s">
        <v>1485</v>
      </c>
      <c r="C610" s="72" t="s">
        <v>4</v>
      </c>
      <c r="D610" s="73" t="s">
        <v>555</v>
      </c>
      <c r="E610" s="74"/>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4</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c r="R610" s="74"/>
      <c r="S610" s="72" t="s">
        <v>6</v>
      </c>
      <c r="T610" s="80" t="s">
        <v>4</v>
      </c>
      <c r="U610" s="72" t="s">
        <v>14</v>
      </c>
      <c r="V610" s="72" t="s">
        <v>1935</v>
      </c>
      <c r="W610" s="72" t="s">
        <v>4</v>
      </c>
      <c r="X610" s="72" t="s">
        <v>2978</v>
      </c>
      <c r="Y610" s="72" t="s">
        <v>3138</v>
      </c>
      <c r="Z610" s="72" t="s">
        <v>4</v>
      </c>
      <c r="AA610" s="147" t="s">
        <v>2978</v>
      </c>
    </row>
    <row r="611" spans="1:27" ht="18.600000000000001" customHeight="1">
      <c r="A611" s="140" t="str">
        <f>IF(priority(Main[[#This Row],[Comments]])&lt;&gt;0, priority(Main[[#This Row],[Comments]]),"")</f>
        <v/>
      </c>
      <c r="B611" s="90" t="s">
        <v>1486</v>
      </c>
      <c r="C611" s="72" t="s">
        <v>33</v>
      </c>
      <c r="D611" s="73" t="s">
        <v>556</v>
      </c>
      <c r="E611" s="74"/>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v>40004</v>
      </c>
      <c r="R611" s="74"/>
      <c r="S611" s="72" t="s">
        <v>11</v>
      </c>
      <c r="T611" s="80" t="s">
        <v>4</v>
      </c>
      <c r="U611" s="72" t="s">
        <v>14</v>
      </c>
      <c r="V611" s="72" t="s">
        <v>1932</v>
      </c>
      <c r="W611" s="72" t="s">
        <v>1940</v>
      </c>
      <c r="X611" s="72" t="s">
        <v>2944</v>
      </c>
      <c r="Y611" s="72" t="s">
        <v>3086</v>
      </c>
      <c r="Z611" s="72" t="s">
        <v>4</v>
      </c>
      <c r="AA611" s="147" t="s">
        <v>2944</v>
      </c>
    </row>
    <row r="612" spans="1:27" ht="18.600000000000001" customHeight="1">
      <c r="A612" s="140" t="str">
        <f>IF(priority(Main[[#This Row],[Comments]])&lt;&gt;0, priority(Main[[#This Row],[Comments]]),"")</f>
        <v/>
      </c>
      <c r="B612" s="90" t="s">
        <v>1487</v>
      </c>
      <c r="C612" s="72" t="s">
        <v>557</v>
      </c>
      <c r="D612" s="73" t="s">
        <v>558</v>
      </c>
      <c r="E612" s="74"/>
      <c r="F612" s="74"/>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559</v>
      </c>
      <c r="J612" s="72" t="s">
        <v>28</v>
      </c>
      <c r="K612" s="72"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40401</v>
      </c>
      <c r="R612" s="74"/>
      <c r="S612" s="72" t="s">
        <v>11</v>
      </c>
      <c r="T612" s="80" t="s">
        <v>4</v>
      </c>
      <c r="U612" s="72" t="s">
        <v>14</v>
      </c>
      <c r="V612" s="72" t="s">
        <v>1942</v>
      </c>
      <c r="W612" s="72" t="s">
        <v>1934</v>
      </c>
      <c r="X612" s="72" t="s">
        <v>2945</v>
      </c>
      <c r="Y612" s="72" t="s">
        <v>3149</v>
      </c>
      <c r="Z612" s="72" t="s">
        <v>535</v>
      </c>
      <c r="AA612" s="147" t="s">
        <v>2945</v>
      </c>
    </row>
    <row r="613" spans="1:27" ht="18.600000000000001" customHeight="1">
      <c r="A613" s="140" t="str">
        <f>IF(priority(Main[[#This Row],[Comments]])&lt;&gt;0, priority(Main[[#This Row],[Comments]]),"")</f>
        <v/>
      </c>
      <c r="B613" s="90" t="s">
        <v>1488</v>
      </c>
      <c r="C613" s="72" t="s">
        <v>4</v>
      </c>
      <c r="D613" s="73" t="s">
        <v>560</v>
      </c>
      <c r="E613" s="74"/>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40385</v>
      </c>
      <c r="R613" s="74"/>
      <c r="S613" s="72" t="s">
        <v>6</v>
      </c>
      <c r="T613" s="80" t="s">
        <v>4</v>
      </c>
      <c r="U613" s="72" t="s">
        <v>14</v>
      </c>
      <c r="V613" s="72" t="s">
        <v>1932</v>
      </c>
      <c r="W613" s="72" t="s">
        <v>1934</v>
      </c>
      <c r="X613" s="72" t="s">
        <v>102</v>
      </c>
      <c r="Y613" s="72" t="s">
        <v>3127</v>
      </c>
      <c r="Z613" s="72" t="s">
        <v>4</v>
      </c>
      <c r="AA613" s="147" t="s">
        <v>3638</v>
      </c>
    </row>
    <row r="614" spans="1:27" ht="18.600000000000001" customHeight="1">
      <c r="A614" s="140" t="str">
        <f>IF(priority(Main[[#This Row],[Comments]])&lt;&gt;0, priority(Main[[#This Row],[Comments]]),"")</f>
        <v/>
      </c>
      <c r="B614" s="90" t="s">
        <v>1490</v>
      </c>
      <c r="C614" s="72" t="s">
        <v>4</v>
      </c>
      <c r="D614" s="73" t="s">
        <v>97</v>
      </c>
      <c r="E614" s="74"/>
      <c r="F614" s="74"/>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4</v>
      </c>
      <c r="J614" s="72" t="s">
        <v>4</v>
      </c>
      <c r="K614" s="81"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40858</v>
      </c>
      <c r="R614" s="74"/>
      <c r="S614" s="72" t="s">
        <v>17</v>
      </c>
      <c r="T614" s="80" t="s">
        <v>4</v>
      </c>
      <c r="U614" s="72" t="s">
        <v>14</v>
      </c>
      <c r="V614" s="72" t="s">
        <v>1932</v>
      </c>
      <c r="W614" s="72" t="s">
        <v>1937</v>
      </c>
      <c r="X614" s="72" t="s">
        <v>50</v>
      </c>
      <c r="Y614" s="72" t="s">
        <v>3054</v>
      </c>
      <c r="Z614" s="72" t="s">
        <v>4</v>
      </c>
      <c r="AA614" s="147" t="s">
        <v>2919</v>
      </c>
    </row>
    <row r="615" spans="1:27" ht="18.600000000000001" customHeight="1">
      <c r="A615" s="140" t="str">
        <f>IF(priority(Main[[#This Row],[Comments]])&lt;&gt;0, priority(Main[[#This Row],[Comments]]),"")</f>
        <v/>
      </c>
      <c r="B615" s="90" t="s">
        <v>1491</v>
      </c>
      <c r="C615" s="72" t="s">
        <v>4</v>
      </c>
      <c r="D615" s="73" t="s">
        <v>561</v>
      </c>
      <c r="E615" s="74">
        <v>40382.376319444447</v>
      </c>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v>40451</v>
      </c>
      <c r="R615" s="74"/>
      <c r="S615" s="72" t="s">
        <v>6</v>
      </c>
      <c r="T615" s="80" t="s">
        <v>4</v>
      </c>
      <c r="U615" s="72" t="s">
        <v>7</v>
      </c>
      <c r="V615" s="72" t="s">
        <v>1932</v>
      </c>
      <c r="W615" s="72" t="s">
        <v>4</v>
      </c>
      <c r="X615" s="72" t="s">
        <v>2978</v>
      </c>
      <c r="Y615" s="72" t="s">
        <v>3138</v>
      </c>
      <c r="Z615" s="72" t="s">
        <v>4</v>
      </c>
      <c r="AA615" s="147" t="s">
        <v>2978</v>
      </c>
    </row>
    <row r="616" spans="1:27" ht="18.600000000000001" customHeight="1">
      <c r="A616" s="140" t="str">
        <f>IF(priority(Main[[#This Row],[Comments]])&lt;&gt;0, priority(Main[[#This Row],[Comments]]),"")</f>
        <v/>
      </c>
      <c r="B616" s="90" t="s">
        <v>1492</v>
      </c>
      <c r="C616" s="72" t="s">
        <v>183</v>
      </c>
      <c r="D616" s="73" t="s">
        <v>562</v>
      </c>
      <c r="E616" s="74"/>
      <c r="F616" s="74">
        <v>40389</v>
      </c>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40298</v>
      </c>
      <c r="R616" s="155"/>
      <c r="S616" s="72" t="s">
        <v>11</v>
      </c>
      <c r="T616" s="80" t="s">
        <v>4</v>
      </c>
      <c r="U616" s="72" t="s">
        <v>14</v>
      </c>
      <c r="V616" s="72" t="s">
        <v>1932</v>
      </c>
      <c r="W616" s="72" t="s">
        <v>1938</v>
      </c>
      <c r="X616" s="72" t="s">
        <v>2915</v>
      </c>
      <c r="Y616" s="72" t="s">
        <v>3038</v>
      </c>
      <c r="Z616" s="72" t="s">
        <v>4</v>
      </c>
      <c r="AA616" s="147" t="s">
        <v>2915</v>
      </c>
    </row>
    <row r="617" spans="1:27" ht="18.600000000000001" customHeight="1">
      <c r="A617" s="140" t="str">
        <f>IF(priority(Main[[#This Row],[Comments]])&lt;&gt;0, priority(Main[[#This Row],[Comments]]),"")</f>
        <v/>
      </c>
      <c r="B617" s="90" t="s">
        <v>2778</v>
      </c>
      <c r="C617" s="72" t="s">
        <v>2779</v>
      </c>
      <c r="D617" s="73" t="s">
        <v>2780</v>
      </c>
      <c r="E617" s="74">
        <v>40939.438969907409</v>
      </c>
      <c r="F617" s="74"/>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c r="R617" s="74"/>
      <c r="S617" s="72" t="s">
        <v>11</v>
      </c>
      <c r="T617" s="80" t="s">
        <v>4</v>
      </c>
      <c r="U617" s="72" t="s">
        <v>7</v>
      </c>
      <c r="V617" s="72" t="s">
        <v>1935</v>
      </c>
      <c r="W617" s="72" t="s">
        <v>1937</v>
      </c>
      <c r="X617" s="72" t="s">
        <v>2984</v>
      </c>
      <c r="Y617" s="72" t="s">
        <v>3150</v>
      </c>
      <c r="Z617" s="72" t="s">
        <v>4</v>
      </c>
      <c r="AA617" s="147" t="s">
        <v>2984</v>
      </c>
    </row>
    <row r="618" spans="1:27" ht="18.600000000000001" customHeight="1">
      <c r="A618" s="140" t="str">
        <f>IF(priority(Main[[#This Row],[Comments]])&lt;&gt;0, priority(Main[[#This Row],[Comments]]),"")</f>
        <v/>
      </c>
      <c r="B618" s="90" t="s">
        <v>1494</v>
      </c>
      <c r="C618" s="72" t="s">
        <v>578</v>
      </c>
      <c r="D618" s="73" t="s">
        <v>579</v>
      </c>
      <c r="E618" s="74"/>
      <c r="F618" s="74"/>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40473</v>
      </c>
      <c r="R618" s="74"/>
      <c r="S618" s="72" t="s">
        <v>11</v>
      </c>
      <c r="T618" s="80" t="s">
        <v>4</v>
      </c>
      <c r="U618" s="72" t="s">
        <v>14</v>
      </c>
      <c r="V618" s="72" t="s">
        <v>1935</v>
      </c>
      <c r="W618" s="72" t="s">
        <v>1934</v>
      </c>
      <c r="X618" s="72" t="s">
        <v>559</v>
      </c>
      <c r="Y618" s="72" t="s">
        <v>4</v>
      </c>
      <c r="Z618" s="72" t="s">
        <v>4</v>
      </c>
      <c r="AA618" s="147" t="s">
        <v>559</v>
      </c>
    </row>
    <row r="619" spans="1:27" ht="18.600000000000001" customHeight="1">
      <c r="A619" s="140" t="str">
        <f>IF(priority(Main[[#This Row],[Comments]])&lt;&gt;0, priority(Main[[#This Row],[Comments]]),"")</f>
        <v/>
      </c>
      <c r="B619" s="124" t="s">
        <v>1495</v>
      </c>
      <c r="C619" s="117" t="s">
        <v>4</v>
      </c>
      <c r="D619" s="118" t="s">
        <v>580</v>
      </c>
      <c r="E619" s="119">
        <v>40463.687627314815</v>
      </c>
      <c r="F619" s="119"/>
      <c r="G619" s="120" t="str">
        <f>IF(stdProdLT(Main[[#This Row],[Comments]])=0.1,"N/A",IF(stdProdLT(Main[[#This Row],[Comments]])=0,"",stdProdLT(Main[[#This Row],[Comments]])))</f>
        <v/>
      </c>
      <c r="H619" s="121" t="str">
        <f>IF(AND(Main[[#This Row],[In Stock Date]]&lt;&gt;"",Main[[#This Row],[Revised Due Date]]&lt;&gt;""),Main[[#This Row],[In Stock Date]]-Main[[#This Row],[Revised Due Date]],"")</f>
        <v/>
      </c>
      <c r="I619" s="117" t="s">
        <v>4</v>
      </c>
      <c r="J619" s="117" t="s">
        <v>28</v>
      </c>
      <c r="K619" s="117" t="s">
        <v>4</v>
      </c>
      <c r="L619" s="119"/>
      <c r="M619" s="122" t="str">
        <f>IF(Main[[#This Row],[Tech Start Date]]&lt;1/1/1990,"",IF(Main[[#This Row],[Class]]="C",WORKDAY(Main[[#This Row],[Tech Start Date]],9),IF(Main[[#This Row],[Class]]="B", WORKDAY(Main[[#This Row],[Tech Start Date]],6),IF(Main[[#This Row],[Class]]="A",WORKDAY(Main[[#This Row],[Tech Start Date]],2),""))))</f>
        <v/>
      </c>
      <c r="N619" s="122" t="str">
        <f>IF(Main[[#This Row],[Tech Start Date]]&lt;1/1/1990,"",IF(Main[[#This Row],[Class]]="C",WORKDAY(Main[[#This Row],[Tech Start Date]],19),IF(Main[[#This Row],[Class]]="B", WORKDAY(Main[[#This Row],[Tech Start Date]],12),IF(Main[[#This Row],[Class]]="A",WORKDAY(Main[[#This Row],[Tech Start Date]],4),""))))</f>
        <v/>
      </c>
      <c r="O619" s="122" t="str">
        <f>IF(Main[[#This Row],[Tech Start Date]]&lt;1/1/1990,"",IF(Main[[#This Row],[Class]]="C",WORKDAY(Main[[#This Row],[Tech Start Date]],23),IF(Main[[#This Row],[Class]]="B", WORKDAY(Main[[#This Row],[Tech Start Date]],15),IF(Main[[#This Row],[Class]]="A",WORKDAY(Main[[#This Row],[Tech Start Date]],5),""))))</f>
        <v/>
      </c>
      <c r="P619" s="122" t="str">
        <f>IF(Main[[#This Row],[Tech Start Date]]&lt;1/1/1990,"",IF(Main[[#This Row],[Class]]="C",WORKDAY(Main[[#This Row],[Tech Start Date]],28),IF(Main[[#This Row],[Class]]="B", WORKDAY(Main[[#This Row],[Tech Start Date]],19),IF(Main[[#This Row],[Class]]="A",WORKDAY(Main[[#This Row],[Tech Start Date]],9),""))))</f>
        <v/>
      </c>
      <c r="Q619" s="119"/>
      <c r="R619" s="119"/>
      <c r="S619" s="117" t="s">
        <v>6</v>
      </c>
      <c r="T619" s="123" t="s">
        <v>4</v>
      </c>
      <c r="U619" s="117" t="s">
        <v>7</v>
      </c>
      <c r="V619" s="117" t="s">
        <v>1932</v>
      </c>
      <c r="W619" s="117" t="s">
        <v>1940</v>
      </c>
      <c r="X619" s="117" t="s">
        <v>894</v>
      </c>
      <c r="Y619" s="117" t="s">
        <v>3058</v>
      </c>
      <c r="Z619" s="117" t="s">
        <v>129</v>
      </c>
      <c r="AA619" s="147" t="s">
        <v>894</v>
      </c>
    </row>
    <row r="620" spans="1:27" ht="18.600000000000001" customHeight="1">
      <c r="A620" s="140" t="str">
        <f>IF(priority(Main[[#This Row],[Comments]])&lt;&gt;0, priority(Main[[#This Row],[Comments]]),"")</f>
        <v/>
      </c>
      <c r="B620" s="90" t="s">
        <v>2781</v>
      </c>
      <c r="C620" s="72" t="s">
        <v>122</v>
      </c>
      <c r="D620" s="73" t="s">
        <v>2782</v>
      </c>
      <c r="E620" s="74">
        <v>40889.572662037041</v>
      </c>
      <c r="F620" s="74"/>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4</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v>40910</v>
      </c>
      <c r="R620" s="74"/>
      <c r="S620" s="72" t="s">
        <v>6</v>
      </c>
      <c r="T620" s="80" t="s">
        <v>4</v>
      </c>
      <c r="U620" s="72" t="s">
        <v>7</v>
      </c>
      <c r="V620" s="72" t="s">
        <v>1932</v>
      </c>
      <c r="W620" s="72" t="s">
        <v>1938</v>
      </c>
      <c r="X620" s="72" t="s">
        <v>894</v>
      </c>
      <c r="Y620" s="72" t="s">
        <v>3058</v>
      </c>
      <c r="Z620" s="72" t="s">
        <v>4</v>
      </c>
      <c r="AA620" s="147" t="s">
        <v>894</v>
      </c>
    </row>
    <row r="621" spans="1:27" ht="18.600000000000001" customHeight="1">
      <c r="A621" s="140" t="str">
        <f>IF(priority(Main[[#This Row],[Comments]])&lt;&gt;0, priority(Main[[#This Row],[Comments]]),"")</f>
        <v/>
      </c>
      <c r="B621" s="90" t="s">
        <v>1136</v>
      </c>
      <c r="C621" s="72" t="s">
        <v>4</v>
      </c>
      <c r="D621" s="73" t="s">
        <v>177</v>
      </c>
      <c r="E621" s="74">
        <v>40421.149710648147</v>
      </c>
      <c r="F621" s="74"/>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81</v>
      </c>
      <c r="J621" s="72" t="s">
        <v>52</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40451</v>
      </c>
      <c r="R621" s="74"/>
      <c r="S621" s="72" t="s">
        <v>6</v>
      </c>
      <c r="T621" s="80" t="s">
        <v>4</v>
      </c>
      <c r="U621" s="72" t="s">
        <v>29</v>
      </c>
      <c r="V621" s="72" t="s">
        <v>1942</v>
      </c>
      <c r="W621" s="72" t="s">
        <v>1934</v>
      </c>
      <c r="X621" s="72" t="s">
        <v>2913</v>
      </c>
      <c r="Y621" s="72" t="s">
        <v>3033</v>
      </c>
      <c r="Z621" s="72" t="s">
        <v>420</v>
      </c>
      <c r="AA621" s="147" t="s">
        <v>2913</v>
      </c>
    </row>
    <row r="622" spans="1:27" ht="18.600000000000001" customHeight="1">
      <c r="A622" s="140" t="str">
        <f>IF(priority(Main[[#This Row],[Comments]])&lt;&gt;0, priority(Main[[#This Row],[Comments]]),"")</f>
        <v/>
      </c>
      <c r="B622" s="90" t="s">
        <v>1496</v>
      </c>
      <c r="C622" s="72" t="s">
        <v>233</v>
      </c>
      <c r="D622" s="73" t="s">
        <v>569</v>
      </c>
      <c r="E622" s="74"/>
      <c r="F622" s="74">
        <v>40662</v>
      </c>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40480</v>
      </c>
      <c r="R622" s="74"/>
      <c r="S622" s="72" t="s">
        <v>11</v>
      </c>
      <c r="T622" s="80" t="s">
        <v>4</v>
      </c>
      <c r="U622" s="72" t="s">
        <v>14</v>
      </c>
      <c r="V622" s="72" t="s">
        <v>1935</v>
      </c>
      <c r="W622" s="72" t="s">
        <v>1940</v>
      </c>
      <c r="X622" s="72" t="s">
        <v>2951</v>
      </c>
      <c r="Y622" s="72" t="s">
        <v>4</v>
      </c>
      <c r="Z622" s="72" t="s">
        <v>4</v>
      </c>
      <c r="AA622" s="147" t="s">
        <v>2951</v>
      </c>
    </row>
    <row r="623" spans="1:27" ht="18.600000000000001" customHeight="1">
      <c r="A623" s="140" t="str">
        <f>IF(priority(Main[[#This Row],[Comments]])&lt;&gt;0, priority(Main[[#This Row],[Comments]]),"")</f>
        <v/>
      </c>
      <c r="B623" s="90" t="s">
        <v>1497</v>
      </c>
      <c r="C623" s="72" t="s">
        <v>4</v>
      </c>
      <c r="D623" s="73" t="s">
        <v>39</v>
      </c>
      <c r="E623" s="74"/>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v>40669</v>
      </c>
      <c r="R623" s="74"/>
      <c r="S623" s="72" t="s">
        <v>6</v>
      </c>
      <c r="T623" s="80" t="s">
        <v>4</v>
      </c>
      <c r="U623" s="72" t="s">
        <v>14</v>
      </c>
      <c r="V623" s="72" t="s">
        <v>1935</v>
      </c>
      <c r="W623" s="72" t="s">
        <v>4</v>
      </c>
      <c r="X623" s="72" t="s">
        <v>2909</v>
      </c>
      <c r="Y623" s="72" t="s">
        <v>3024</v>
      </c>
      <c r="Z623" s="72" t="s">
        <v>4</v>
      </c>
      <c r="AA623" s="147" t="s">
        <v>2909</v>
      </c>
    </row>
    <row r="624" spans="1:27" ht="18.600000000000001" customHeight="1">
      <c r="A624" s="140" t="str">
        <f>IF(priority(Main[[#This Row],[Comments]])&lt;&gt;0, priority(Main[[#This Row],[Comments]]),"")</f>
        <v/>
      </c>
      <c r="B624" s="90" t="s">
        <v>1498</v>
      </c>
      <c r="C624" s="72" t="s">
        <v>570</v>
      </c>
      <c r="D624" s="73" t="s">
        <v>571</v>
      </c>
      <c r="E624" s="74"/>
      <c r="F624" s="74">
        <v>40168</v>
      </c>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c r="R624" s="74"/>
      <c r="S624" s="72" t="s">
        <v>17</v>
      </c>
      <c r="T624" s="80" t="s">
        <v>4</v>
      </c>
      <c r="U624" s="72" t="s">
        <v>14</v>
      </c>
      <c r="V624" s="72" t="s">
        <v>1933</v>
      </c>
      <c r="W624" s="72" t="s">
        <v>4</v>
      </c>
      <c r="X624" s="72" t="s">
        <v>2952</v>
      </c>
      <c r="Y624" s="72" t="s">
        <v>4</v>
      </c>
      <c r="Z624" s="72" t="s">
        <v>4</v>
      </c>
      <c r="AA624" s="147" t="s">
        <v>4</v>
      </c>
    </row>
    <row r="625" spans="1:27" ht="18.600000000000001" customHeight="1">
      <c r="A625" s="140" t="str">
        <f>IF(priority(Main[[#This Row],[Comments]])&lt;&gt;0, priority(Main[[#This Row],[Comments]]),"")</f>
        <v/>
      </c>
      <c r="B625" s="90" t="s">
        <v>1499</v>
      </c>
      <c r="C625" s="72" t="s">
        <v>572</v>
      </c>
      <c r="D625" s="73" t="s">
        <v>573</v>
      </c>
      <c r="E625" s="74"/>
      <c r="F625" s="74">
        <v>40389</v>
      </c>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75</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40298</v>
      </c>
      <c r="R625" s="74"/>
      <c r="S625" s="72" t="s">
        <v>11</v>
      </c>
      <c r="T625" s="80" t="s">
        <v>4</v>
      </c>
      <c r="U625" s="72" t="s">
        <v>14</v>
      </c>
      <c r="V625" s="72" t="s">
        <v>1932</v>
      </c>
      <c r="W625" s="72" t="s">
        <v>1938</v>
      </c>
      <c r="X625" s="72" t="s">
        <v>2915</v>
      </c>
      <c r="Y625" s="72" t="s">
        <v>3038</v>
      </c>
      <c r="Z625" s="72" t="s">
        <v>310</v>
      </c>
      <c r="AA625" s="147" t="s">
        <v>2915</v>
      </c>
    </row>
    <row r="626" spans="1:27" ht="18.600000000000001" customHeight="1">
      <c r="A626" s="140" t="str">
        <f>IF(priority(Main[[#This Row],[Comments]])&lt;&gt;0, priority(Main[[#This Row],[Comments]]),"")</f>
        <v/>
      </c>
      <c r="B626" s="90" t="s">
        <v>1500</v>
      </c>
      <c r="C626" s="72" t="s">
        <v>93</v>
      </c>
      <c r="D626" s="73" t="s">
        <v>574</v>
      </c>
      <c r="E626" s="74"/>
      <c r="F626" s="74">
        <v>40132</v>
      </c>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40132</v>
      </c>
      <c r="R626" s="74"/>
      <c r="S626" s="72" t="s">
        <v>11</v>
      </c>
      <c r="T626" s="80" t="s">
        <v>4</v>
      </c>
      <c r="U626" s="72" t="s">
        <v>14</v>
      </c>
      <c r="V626" s="72" t="s">
        <v>1942</v>
      </c>
      <c r="W626" s="72" t="s">
        <v>1943</v>
      </c>
      <c r="X626" s="72" t="s">
        <v>2947</v>
      </c>
      <c r="Y626" s="72" t="s">
        <v>4</v>
      </c>
      <c r="Z626" s="72" t="s">
        <v>4</v>
      </c>
      <c r="AA626" s="147" t="s">
        <v>2947</v>
      </c>
    </row>
    <row r="627" spans="1:27" ht="18.600000000000001" customHeight="1">
      <c r="A627" s="140" t="str">
        <f>IF(priority(Main[[#This Row],[Comments]])&lt;&gt;0, priority(Main[[#This Row],[Comments]]),"")</f>
        <v/>
      </c>
      <c r="B627" s="90" t="s">
        <v>1501</v>
      </c>
      <c r="C627" s="72" t="s">
        <v>93</v>
      </c>
      <c r="D627" s="73" t="s">
        <v>575</v>
      </c>
      <c r="E627" s="74"/>
      <c r="F627" s="74">
        <v>40132</v>
      </c>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72"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40132</v>
      </c>
      <c r="R627" s="74"/>
      <c r="S627" s="72" t="s">
        <v>11</v>
      </c>
      <c r="T627" s="80" t="s">
        <v>4</v>
      </c>
      <c r="U627" s="72" t="s">
        <v>14</v>
      </c>
      <c r="V627" s="72" t="s">
        <v>1942</v>
      </c>
      <c r="W627" s="72" t="s">
        <v>1943</v>
      </c>
      <c r="X627" s="72" t="s">
        <v>2947</v>
      </c>
      <c r="Y627" s="72" t="s">
        <v>4</v>
      </c>
      <c r="Z627" s="72" t="s">
        <v>4</v>
      </c>
      <c r="AA627" s="147" t="s">
        <v>2947</v>
      </c>
    </row>
    <row r="628" spans="1:27" ht="18.600000000000001" customHeight="1">
      <c r="A628" s="140" t="str">
        <f>IF(priority(Main[[#This Row],[Comments]])&lt;&gt;0, priority(Main[[#This Row],[Comments]]),"")</f>
        <v/>
      </c>
      <c r="B628" s="90" t="s">
        <v>1502</v>
      </c>
      <c r="C628" s="72" t="s">
        <v>470</v>
      </c>
      <c r="D628" s="73" t="s">
        <v>576</v>
      </c>
      <c r="E628" s="74"/>
      <c r="F628" s="74">
        <v>40179</v>
      </c>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40164</v>
      </c>
      <c r="R628" s="74"/>
      <c r="S628" s="72" t="s">
        <v>11</v>
      </c>
      <c r="T628" s="80" t="s">
        <v>4</v>
      </c>
      <c r="U628" s="72" t="s">
        <v>14</v>
      </c>
      <c r="V628" s="72" t="s">
        <v>1935</v>
      </c>
      <c r="W628" s="72" t="s">
        <v>1938</v>
      </c>
      <c r="X628" s="72" t="s">
        <v>2954</v>
      </c>
      <c r="Y628" s="72" t="s">
        <v>4</v>
      </c>
      <c r="Z628" s="72" t="s">
        <v>4</v>
      </c>
      <c r="AA628" s="147" t="s">
        <v>2954</v>
      </c>
    </row>
    <row r="629" spans="1:27" ht="18.600000000000001" customHeight="1">
      <c r="A629" s="140" t="str">
        <f>IF(priority(Main[[#This Row],[Comments]])&lt;&gt;0, priority(Main[[#This Row],[Comments]]),"")</f>
        <v/>
      </c>
      <c r="B629" s="90" t="s">
        <v>1158</v>
      </c>
      <c r="C629" s="72" t="s">
        <v>4</v>
      </c>
      <c r="D629" s="73" t="s">
        <v>202</v>
      </c>
      <c r="E629" s="74"/>
      <c r="F629" s="74"/>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40597</v>
      </c>
      <c r="R629" s="74"/>
      <c r="S629" s="72" t="s">
        <v>49</v>
      </c>
      <c r="T629" s="80" t="s">
        <v>4</v>
      </c>
      <c r="U629" s="72" t="s">
        <v>12</v>
      </c>
      <c r="V629" s="72" t="s">
        <v>1933</v>
      </c>
      <c r="W629" s="72" t="s">
        <v>1934</v>
      </c>
      <c r="X629" s="72" t="s">
        <v>567</v>
      </c>
      <c r="Y629" s="72" t="s">
        <v>3151</v>
      </c>
      <c r="Z629" s="72" t="s">
        <v>4</v>
      </c>
      <c r="AA629" s="147" t="s">
        <v>567</v>
      </c>
    </row>
    <row r="630" spans="1:27" ht="18.600000000000001" customHeight="1">
      <c r="A630" s="140" t="str">
        <f>IF(priority(Main[[#This Row],[Comments]])&lt;&gt;0, priority(Main[[#This Row],[Comments]]),"")</f>
        <v/>
      </c>
      <c r="B630" s="90" t="s">
        <v>1557</v>
      </c>
      <c r="C630" s="72" t="s">
        <v>4</v>
      </c>
      <c r="D630" s="73" t="s">
        <v>581</v>
      </c>
      <c r="E630" s="74"/>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40165</v>
      </c>
      <c r="R630" s="74"/>
      <c r="S630" s="72" t="s">
        <v>11</v>
      </c>
      <c r="T630" s="80" t="s">
        <v>4</v>
      </c>
      <c r="U630" s="72" t="s">
        <v>14</v>
      </c>
      <c r="V630" s="72" t="s">
        <v>1933</v>
      </c>
      <c r="W630" s="72" t="s">
        <v>1937</v>
      </c>
      <c r="X630" s="72" t="s">
        <v>2075</v>
      </c>
      <c r="Y630" s="72" t="s">
        <v>3153</v>
      </c>
      <c r="Z630" s="72" t="s">
        <v>4</v>
      </c>
      <c r="AA630" s="147" t="s">
        <v>2075</v>
      </c>
    </row>
    <row r="631" spans="1:27" ht="18.600000000000001" customHeight="1">
      <c r="A631" s="140" t="str">
        <f>IF(priority(Main[[#This Row],[Comments]])&lt;&gt;0, priority(Main[[#This Row],[Comments]]),"")</f>
        <v/>
      </c>
      <c r="B631" s="90" t="s">
        <v>1834</v>
      </c>
      <c r="C631" s="72" t="s">
        <v>72</v>
      </c>
      <c r="D631" s="73" t="s">
        <v>877</v>
      </c>
      <c r="E631" s="74"/>
      <c r="F631" s="74">
        <v>40148</v>
      </c>
      <c r="G631" s="75" t="str">
        <f>IF(stdProdLT(Main[[#This Row],[Comments]])=0.1,"N/A",IF(stdProdLT(Main[[#This Row],[Comments]])=0,"",stdProdLT(Main[[#This Row],[Comments]])))</f>
        <v/>
      </c>
      <c r="H631" s="76">
        <f>IF(AND(Main[[#This Row],[In Stock Date]]&lt;&gt;"",Main[[#This Row],[Revised Due Date]]&lt;&gt;""),Main[[#This Row],[In Stock Date]]-Main[[#This Row],[Revised Due Date]],"")</f>
        <v>-143</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40080</v>
      </c>
      <c r="R631" s="74">
        <v>40291</v>
      </c>
      <c r="S631" s="72" t="s">
        <v>6</v>
      </c>
      <c r="T631" s="80" t="s">
        <v>4</v>
      </c>
      <c r="U631" s="72" t="s">
        <v>14</v>
      </c>
      <c r="V631" s="72" t="s">
        <v>1933</v>
      </c>
      <c r="W631" s="72" t="s">
        <v>1940</v>
      </c>
      <c r="X631" s="72" t="s">
        <v>2915</v>
      </c>
      <c r="Y631" s="72" t="s">
        <v>3038</v>
      </c>
      <c r="Z631" s="72" t="s">
        <v>4</v>
      </c>
      <c r="AA631" s="147" t="s">
        <v>2915</v>
      </c>
    </row>
    <row r="632" spans="1:27" ht="18.600000000000001" customHeight="1">
      <c r="A632" s="140" t="str">
        <f>IF(priority(Main[[#This Row],[Comments]])&lt;&gt;0, priority(Main[[#This Row],[Comments]]),"")</f>
        <v/>
      </c>
      <c r="B632" s="90" t="s">
        <v>1505</v>
      </c>
      <c r="C632" s="72" t="s">
        <v>4</v>
      </c>
      <c r="D632" s="73" t="s">
        <v>626</v>
      </c>
      <c r="E632" s="74">
        <v>40549.433692129627</v>
      </c>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v>40577</v>
      </c>
      <c r="R632" s="74"/>
      <c r="S632" s="72" t="s">
        <v>6</v>
      </c>
      <c r="T632" s="80" t="s">
        <v>4</v>
      </c>
      <c r="U632" s="72" t="s">
        <v>7</v>
      </c>
      <c r="V632" s="72" t="s">
        <v>1932</v>
      </c>
      <c r="W632" s="72" t="s">
        <v>1934</v>
      </c>
      <c r="X632" s="72" t="s">
        <v>2912</v>
      </c>
      <c r="Y632" s="72" t="s">
        <v>3031</v>
      </c>
      <c r="Z632" s="72" t="s">
        <v>4</v>
      </c>
      <c r="AA632" s="147" t="s">
        <v>2912</v>
      </c>
    </row>
    <row r="633" spans="1:27" ht="18.600000000000001" customHeight="1">
      <c r="A633" s="140" t="str">
        <f>IF(priority(Main[[#This Row],[Comments]])&lt;&gt;0, priority(Main[[#This Row],[Comments]]),"")</f>
        <v/>
      </c>
      <c r="B633" s="90" t="s">
        <v>1506</v>
      </c>
      <c r="C633" s="72" t="s">
        <v>4</v>
      </c>
      <c r="D633" s="73" t="s">
        <v>627</v>
      </c>
      <c r="E633" s="74">
        <v>40371.36078703704</v>
      </c>
      <c r="F633" s="74"/>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40385</v>
      </c>
      <c r="R633" s="74"/>
      <c r="S633" s="72" t="s">
        <v>6</v>
      </c>
      <c r="T633" s="80" t="s">
        <v>4</v>
      </c>
      <c r="U633" s="72" t="s">
        <v>7</v>
      </c>
      <c r="V633" s="72" t="s">
        <v>1932</v>
      </c>
      <c r="W633" s="72" t="s">
        <v>1934</v>
      </c>
      <c r="X633" s="72" t="s">
        <v>102</v>
      </c>
      <c r="Y633" s="72" t="s">
        <v>3127</v>
      </c>
      <c r="Z633" s="72" t="s">
        <v>4</v>
      </c>
      <c r="AA633" s="147" t="s">
        <v>3638</v>
      </c>
    </row>
    <row r="634" spans="1:27" ht="18.600000000000001" customHeight="1">
      <c r="A634" s="140" t="str">
        <f>IF(priority(Main[[#This Row],[Comments]])&lt;&gt;0, priority(Main[[#This Row],[Comments]]),"")</f>
        <v/>
      </c>
      <c r="B634" s="90" t="s">
        <v>1507</v>
      </c>
      <c r="C634" s="72" t="s">
        <v>628</v>
      </c>
      <c r="D634" s="73" t="s">
        <v>629</v>
      </c>
      <c r="E634" s="74"/>
      <c r="F634" s="74">
        <v>40396</v>
      </c>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72"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c r="R634" s="74"/>
      <c r="S634" s="72" t="s">
        <v>11</v>
      </c>
      <c r="T634" s="80" t="s">
        <v>4</v>
      </c>
      <c r="U634" s="72" t="s">
        <v>14</v>
      </c>
      <c r="V634" s="72" t="s">
        <v>1932</v>
      </c>
      <c r="W634" s="72" t="s">
        <v>1938</v>
      </c>
      <c r="X634" s="72" t="s">
        <v>2911</v>
      </c>
      <c r="Y634" s="72" t="s">
        <v>3154</v>
      </c>
      <c r="Z634" s="72" t="s">
        <v>4</v>
      </c>
      <c r="AA634" s="147" t="s">
        <v>2911</v>
      </c>
    </row>
    <row r="635" spans="1:27" ht="18.600000000000001" customHeight="1">
      <c r="A635" s="140" t="str">
        <f>IF(priority(Main[[#This Row],[Comments]])&lt;&gt;0, priority(Main[[#This Row],[Comments]]),"")</f>
        <v/>
      </c>
      <c r="B635" s="90" t="s">
        <v>1508</v>
      </c>
      <c r="C635" s="72" t="s">
        <v>93</v>
      </c>
      <c r="D635" s="73" t="s">
        <v>630</v>
      </c>
      <c r="E635" s="74"/>
      <c r="F635" s="74">
        <v>40238</v>
      </c>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40173</v>
      </c>
      <c r="R635" s="74"/>
      <c r="S635" s="72" t="s">
        <v>11</v>
      </c>
      <c r="T635" s="80" t="s">
        <v>4</v>
      </c>
      <c r="U635" s="72" t="s">
        <v>14</v>
      </c>
      <c r="V635" s="72" t="s">
        <v>1932</v>
      </c>
      <c r="W635" s="72" t="s">
        <v>1938</v>
      </c>
      <c r="X635" s="72" t="s">
        <v>2962</v>
      </c>
      <c r="Y635" s="72" t="s">
        <v>4</v>
      </c>
      <c r="Z635" s="72" t="s">
        <v>4</v>
      </c>
      <c r="AA635" s="147" t="s">
        <v>2962</v>
      </c>
    </row>
    <row r="636" spans="1:27" ht="18.600000000000001" customHeight="1">
      <c r="A636" s="140" t="str">
        <f>IF(priority(Main[[#This Row],[Comments]])&lt;&gt;0, priority(Main[[#This Row],[Comments]]),"")</f>
        <v/>
      </c>
      <c r="B636" s="90" t="s">
        <v>1509</v>
      </c>
      <c r="C636" s="72" t="s">
        <v>4</v>
      </c>
      <c r="D636" s="73" t="s">
        <v>97</v>
      </c>
      <c r="E636" s="74"/>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4</v>
      </c>
      <c r="K636" s="72"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v>40858</v>
      </c>
      <c r="R636" s="74"/>
      <c r="S636" s="72" t="s">
        <v>17</v>
      </c>
      <c r="T636" s="80" t="s">
        <v>4</v>
      </c>
      <c r="U636" s="72" t="s">
        <v>14</v>
      </c>
      <c r="V636" s="72" t="s">
        <v>1932</v>
      </c>
      <c r="W636" s="72" t="s">
        <v>1937</v>
      </c>
      <c r="X636" s="72" t="s">
        <v>50</v>
      </c>
      <c r="Y636" s="72" t="s">
        <v>3054</v>
      </c>
      <c r="Z636" s="72" t="s">
        <v>4</v>
      </c>
      <c r="AA636" s="147" t="s">
        <v>2919</v>
      </c>
    </row>
    <row r="637" spans="1:27" ht="18.600000000000001" customHeight="1">
      <c r="A637" s="140" t="str">
        <f>IF(priority(Main[[#This Row],[Comments]])&lt;&gt;0, priority(Main[[#This Row],[Comments]]),"")</f>
        <v/>
      </c>
      <c r="B637" s="90" t="s">
        <v>1510</v>
      </c>
      <c r="C637" s="72" t="s">
        <v>4</v>
      </c>
      <c r="D637" s="73" t="s">
        <v>39</v>
      </c>
      <c r="E637" s="74"/>
      <c r="F637" s="74"/>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v>40669</v>
      </c>
      <c r="R637" s="74"/>
      <c r="S637" s="72" t="s">
        <v>6</v>
      </c>
      <c r="T637" s="80" t="s">
        <v>4</v>
      </c>
      <c r="U637" s="72" t="s">
        <v>14</v>
      </c>
      <c r="V637" s="72" t="s">
        <v>1935</v>
      </c>
      <c r="W637" s="72" t="s">
        <v>4</v>
      </c>
      <c r="X637" s="72" t="s">
        <v>2909</v>
      </c>
      <c r="Y637" s="72" t="s">
        <v>3024</v>
      </c>
      <c r="Z637" s="72" t="s">
        <v>4</v>
      </c>
      <c r="AA637" s="147" t="s">
        <v>2909</v>
      </c>
    </row>
    <row r="638" spans="1:27" ht="18.600000000000001" customHeight="1">
      <c r="A638" s="140" t="str">
        <f>IF(priority(Main[[#This Row],[Comments]])&lt;&gt;0, priority(Main[[#This Row],[Comments]]),"")</f>
        <v/>
      </c>
      <c r="B638" s="90" t="s">
        <v>1511</v>
      </c>
      <c r="C638" s="72" t="s">
        <v>4</v>
      </c>
      <c r="D638" s="73" t="s">
        <v>604</v>
      </c>
      <c r="E638" s="74"/>
      <c r="F638" s="74"/>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28</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40482</v>
      </c>
      <c r="R638" s="74"/>
      <c r="S638" s="72" t="s">
        <v>6</v>
      </c>
      <c r="T638" s="80" t="s">
        <v>4</v>
      </c>
      <c r="U638" s="72" t="s">
        <v>14</v>
      </c>
      <c r="V638" s="72" t="s">
        <v>1935</v>
      </c>
      <c r="W638" s="72" t="s">
        <v>1936</v>
      </c>
      <c r="X638" s="72" t="s">
        <v>2978</v>
      </c>
      <c r="Y638" s="72" t="s">
        <v>3138</v>
      </c>
      <c r="Z638" s="72" t="s">
        <v>535</v>
      </c>
      <c r="AA638" s="147" t="s">
        <v>2978</v>
      </c>
    </row>
    <row r="639" spans="1:27" ht="18.600000000000001" customHeight="1">
      <c r="A639" s="140" t="str">
        <f>IF(priority(Main[[#This Row],[Comments]])&lt;&gt;0, priority(Main[[#This Row],[Comments]]),"")</f>
        <v/>
      </c>
      <c r="B639" s="90" t="s">
        <v>2115</v>
      </c>
      <c r="C639" s="72" t="s">
        <v>4</v>
      </c>
      <c r="D639" s="73" t="s">
        <v>2116</v>
      </c>
      <c r="E639" s="74"/>
      <c r="F639" s="74"/>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c r="R639" s="74"/>
      <c r="S639" s="72" t="s">
        <v>6</v>
      </c>
      <c r="T639" s="80" t="s">
        <v>4</v>
      </c>
      <c r="U639" s="72" t="s">
        <v>14</v>
      </c>
      <c r="V639" s="72" t="s">
        <v>1935</v>
      </c>
      <c r="W639" s="72" t="s">
        <v>1936</v>
      </c>
      <c r="X639" s="72" t="s">
        <v>310</v>
      </c>
      <c r="Y639" s="72" t="s">
        <v>4</v>
      </c>
      <c r="Z639" s="72" t="s">
        <v>4</v>
      </c>
      <c r="AA639" s="147" t="s">
        <v>4</v>
      </c>
    </row>
    <row r="640" spans="1:27" ht="18.600000000000001" customHeight="1">
      <c r="A640" s="140" t="str">
        <f>IF(priority(Main[[#This Row],[Comments]])&lt;&gt;0, priority(Main[[#This Row],[Comments]]),"")</f>
        <v/>
      </c>
      <c r="B640" s="90" t="s">
        <v>1513</v>
      </c>
      <c r="C640" s="72" t="s">
        <v>606</v>
      </c>
      <c r="D640" s="73" t="s">
        <v>607</v>
      </c>
      <c r="E640" s="74"/>
      <c r="F640" s="74"/>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81"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40219</v>
      </c>
      <c r="R640" s="74"/>
      <c r="S640" s="72" t="s">
        <v>11</v>
      </c>
      <c r="T640" s="80" t="s">
        <v>4</v>
      </c>
      <c r="U640" s="72" t="s">
        <v>14</v>
      </c>
      <c r="V640" s="72" t="s">
        <v>1935</v>
      </c>
      <c r="W640" s="72" t="s">
        <v>1934</v>
      </c>
      <c r="X640" s="72" t="s">
        <v>2985</v>
      </c>
      <c r="Y640" s="72" t="s">
        <v>4</v>
      </c>
      <c r="Z640" s="72" t="s">
        <v>4</v>
      </c>
      <c r="AA640" s="147" t="s">
        <v>2985</v>
      </c>
    </row>
    <row r="641" spans="1:27" ht="18.600000000000001" customHeight="1">
      <c r="A641" s="140" t="str">
        <f>IF(priority(Main[[#This Row],[Comments]])&lt;&gt;0, priority(Main[[#This Row],[Comments]]),"")</f>
        <v/>
      </c>
      <c r="B641" s="90" t="s">
        <v>1514</v>
      </c>
      <c r="C641" s="72" t="s">
        <v>4</v>
      </c>
      <c r="D641" s="73" t="s">
        <v>608</v>
      </c>
      <c r="E641" s="74"/>
      <c r="F641" s="74"/>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81</v>
      </c>
      <c r="J641" s="72" t="s">
        <v>4</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40390</v>
      </c>
      <c r="R641" s="74"/>
      <c r="S641" s="72" t="s">
        <v>6</v>
      </c>
      <c r="T641" s="80" t="s">
        <v>4</v>
      </c>
      <c r="U641" s="72" t="s">
        <v>14</v>
      </c>
      <c r="V641" s="72" t="s">
        <v>1935</v>
      </c>
      <c r="W641" s="72" t="s">
        <v>4</v>
      </c>
      <c r="X641" s="72" t="s">
        <v>2910</v>
      </c>
      <c r="Y641" s="72" t="s">
        <v>3027</v>
      </c>
      <c r="Z641" s="72" t="s">
        <v>44</v>
      </c>
      <c r="AA641" s="147" t="s">
        <v>2910</v>
      </c>
    </row>
    <row r="642" spans="1:27" ht="18.600000000000001" customHeight="1">
      <c r="A642" s="140" t="str">
        <f>IF(priority(Main[[#This Row],[Comments]])&lt;&gt;0, priority(Main[[#This Row],[Comments]]),"")</f>
        <v/>
      </c>
      <c r="B642" s="90" t="s">
        <v>1515</v>
      </c>
      <c r="C642" s="72" t="s">
        <v>93</v>
      </c>
      <c r="D642" s="73" t="s">
        <v>609</v>
      </c>
      <c r="E642" s="74"/>
      <c r="F642" s="74">
        <v>40299</v>
      </c>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4</v>
      </c>
      <c r="K642" s="72"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40214</v>
      </c>
      <c r="R642" s="74"/>
      <c r="S642" s="72" t="s">
        <v>11</v>
      </c>
      <c r="T642" s="80" t="s">
        <v>4</v>
      </c>
      <c r="U642" s="72" t="s">
        <v>12</v>
      </c>
      <c r="V642" s="72" t="s">
        <v>1932</v>
      </c>
      <c r="W642" s="72" t="s">
        <v>1938</v>
      </c>
      <c r="X642" s="72" t="s">
        <v>2936</v>
      </c>
      <c r="Y642" s="72" t="s">
        <v>4</v>
      </c>
      <c r="Z642" s="72" t="s">
        <v>4</v>
      </c>
      <c r="AA642" s="147" t="s">
        <v>2936</v>
      </c>
    </row>
    <row r="643" spans="1:27" ht="18.600000000000001" customHeight="1">
      <c r="A643" s="140" t="str">
        <f>IF(priority(Main[[#This Row],[Comments]])&lt;&gt;0, priority(Main[[#This Row],[Comments]]),"")</f>
        <v/>
      </c>
      <c r="B643" s="90" t="s">
        <v>1200</v>
      </c>
      <c r="C643" s="72" t="s">
        <v>4</v>
      </c>
      <c r="D643" s="73" t="s">
        <v>250</v>
      </c>
      <c r="E643" s="74"/>
      <c r="F643" s="74"/>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28</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40480</v>
      </c>
      <c r="R643" s="74"/>
      <c r="S643" s="72" t="s">
        <v>6</v>
      </c>
      <c r="T643" s="80" t="s">
        <v>4</v>
      </c>
      <c r="U643" s="72" t="s">
        <v>14</v>
      </c>
      <c r="V643" s="72" t="s">
        <v>1932</v>
      </c>
      <c r="W643" s="72" t="s">
        <v>1940</v>
      </c>
      <c r="X643" s="72" t="s">
        <v>2986</v>
      </c>
      <c r="Y643" s="72" t="s">
        <v>3155</v>
      </c>
      <c r="Z643" s="72" t="s">
        <v>129</v>
      </c>
      <c r="AA643" s="147" t="s">
        <v>2986</v>
      </c>
    </row>
    <row r="644" spans="1:27" ht="18.600000000000001" customHeight="1">
      <c r="A644" s="140" t="str">
        <f>IF(priority(Main[[#This Row],[Comments]])&lt;&gt;0, priority(Main[[#This Row],[Comments]]),"")</f>
        <v/>
      </c>
      <c r="B644" s="90" t="s">
        <v>1516</v>
      </c>
      <c r="C644" s="72" t="s">
        <v>31</v>
      </c>
      <c r="D644" s="73" t="s">
        <v>610</v>
      </c>
      <c r="E644" s="74"/>
      <c r="F644" s="74">
        <v>40330</v>
      </c>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422</v>
      </c>
      <c r="J644" s="72" t="s">
        <v>4</v>
      </c>
      <c r="K644" s="72"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40210</v>
      </c>
      <c r="R644" s="74"/>
      <c r="S644" s="72" t="s">
        <v>11</v>
      </c>
      <c r="T644" s="80" t="s">
        <v>4</v>
      </c>
      <c r="U644" s="72" t="s">
        <v>14</v>
      </c>
      <c r="V644" s="72" t="s">
        <v>1935</v>
      </c>
      <c r="W644" s="72" t="s">
        <v>1938</v>
      </c>
      <c r="X644" s="72" t="s">
        <v>2915</v>
      </c>
      <c r="Y644" s="72" t="s">
        <v>3038</v>
      </c>
      <c r="Z644" s="72" t="s">
        <v>4</v>
      </c>
      <c r="AA644" s="147" t="s">
        <v>2915</v>
      </c>
    </row>
    <row r="645" spans="1:27" ht="18.600000000000001" customHeight="1">
      <c r="A645" s="140" t="str">
        <f>IF(priority(Main[[#This Row],[Comments]])&lt;&gt;0, priority(Main[[#This Row],[Comments]]),"")</f>
        <v/>
      </c>
      <c r="B645" s="90" t="s">
        <v>2409</v>
      </c>
      <c r="C645" s="72" t="s">
        <v>4</v>
      </c>
      <c r="D645" s="73" t="s">
        <v>2410</v>
      </c>
      <c r="E645" s="74">
        <v>40835.331365740742</v>
      </c>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403</v>
      </c>
      <c r="J645" s="72" t="s">
        <v>75</v>
      </c>
      <c r="K645" s="72" t="s">
        <v>1941</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c r="R645" s="74"/>
      <c r="S645" s="72" t="s">
        <v>6</v>
      </c>
      <c r="T645" s="80" t="s">
        <v>4</v>
      </c>
      <c r="U645" s="72" t="s">
        <v>29</v>
      </c>
      <c r="V645" s="72" t="s">
        <v>1935</v>
      </c>
      <c r="W645" s="72" t="s">
        <v>1936</v>
      </c>
      <c r="X645" s="72" t="s">
        <v>403</v>
      </c>
      <c r="Y645" s="72" t="s">
        <v>4</v>
      </c>
      <c r="Z645" s="72" t="s">
        <v>535</v>
      </c>
      <c r="AA645" s="147" t="s">
        <v>3638</v>
      </c>
    </row>
    <row r="646" spans="1:27" ht="18.600000000000001" customHeight="1">
      <c r="A646" s="140" t="str">
        <f>IF(priority(Main[[#This Row],[Comments]])&lt;&gt;0, priority(Main[[#This Row],[Comments]]),"")</f>
        <v/>
      </c>
      <c r="B646" s="90" t="s">
        <v>1517</v>
      </c>
      <c r="C646" s="72" t="s">
        <v>4</v>
      </c>
      <c r="D646" s="73" t="s">
        <v>611</v>
      </c>
      <c r="E646" s="74">
        <v>40312.431608796294</v>
      </c>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129</v>
      </c>
      <c r="J646" s="72" t="s">
        <v>4</v>
      </c>
      <c r="K646" s="81"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40326</v>
      </c>
      <c r="R646" s="74"/>
      <c r="S646" s="72" t="s">
        <v>6</v>
      </c>
      <c r="T646" s="80" t="s">
        <v>4</v>
      </c>
      <c r="U646" s="72" t="s">
        <v>7</v>
      </c>
      <c r="V646" s="72" t="s">
        <v>1932</v>
      </c>
      <c r="W646" s="72" t="s">
        <v>1936</v>
      </c>
      <c r="X646" s="72" t="s">
        <v>102</v>
      </c>
      <c r="Y646" s="72" t="s">
        <v>3106</v>
      </c>
      <c r="Z646" s="72" t="s">
        <v>4</v>
      </c>
      <c r="AA646" s="147" t="s">
        <v>102</v>
      </c>
    </row>
    <row r="647" spans="1:27" ht="18.600000000000001" customHeight="1">
      <c r="A647" s="140" t="str">
        <f>IF(priority(Main[[#This Row],[Comments]])&lt;&gt;0, priority(Main[[#This Row],[Comments]]),"")</f>
        <v/>
      </c>
      <c r="B647" s="90" t="s">
        <v>2773</v>
      </c>
      <c r="C647" s="72" t="s">
        <v>4</v>
      </c>
      <c r="D647" s="73" t="s">
        <v>2774</v>
      </c>
      <c r="E647" s="74">
        <v>40897.44736111111</v>
      </c>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c r="R647" s="74"/>
      <c r="S647" s="72" t="s">
        <v>23</v>
      </c>
      <c r="T647" s="80" t="s">
        <v>4</v>
      </c>
      <c r="U647" s="72" t="s">
        <v>7</v>
      </c>
      <c r="V647" s="72" t="s">
        <v>1933</v>
      </c>
      <c r="W647" s="72" t="s">
        <v>1936</v>
      </c>
      <c r="X647" s="72" t="s">
        <v>403</v>
      </c>
      <c r="Y647" s="72" t="s">
        <v>4</v>
      </c>
      <c r="Z647" s="72" t="s">
        <v>4</v>
      </c>
      <c r="AA647" s="147" t="s">
        <v>3627</v>
      </c>
    </row>
    <row r="648" spans="1:27" ht="18.600000000000001" customHeight="1">
      <c r="A648" s="140" t="str">
        <f>IF(priority(Main[[#This Row],[Comments]])&lt;&gt;0, priority(Main[[#This Row],[Comments]]),"")</f>
        <v/>
      </c>
      <c r="B648" s="90" t="s">
        <v>1425</v>
      </c>
      <c r="C648" s="72" t="s">
        <v>4</v>
      </c>
      <c r="D648" s="73" t="s">
        <v>497</v>
      </c>
      <c r="E648" s="74"/>
      <c r="F648" s="74"/>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81</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40338</v>
      </c>
      <c r="R648" s="74"/>
      <c r="S648" s="72" t="s">
        <v>6</v>
      </c>
      <c r="T648" s="80" t="s">
        <v>4</v>
      </c>
      <c r="U648" s="72" t="s">
        <v>14</v>
      </c>
      <c r="V648" s="72" t="s">
        <v>1935</v>
      </c>
      <c r="W648" s="72" t="s">
        <v>1936</v>
      </c>
      <c r="X648" s="72" t="s">
        <v>403</v>
      </c>
      <c r="Y648" s="72" t="s">
        <v>3156</v>
      </c>
      <c r="Z648" s="72" t="s">
        <v>4</v>
      </c>
      <c r="AA648" s="147" t="s">
        <v>3659</v>
      </c>
    </row>
    <row r="649" spans="1:27" ht="18.600000000000001" customHeight="1">
      <c r="A649" s="141" t="str">
        <f>IF(priority(Main[[#This Row],[Comments]])&lt;&gt;0, priority(Main[[#This Row],[Comments]]),"")</f>
        <v/>
      </c>
      <c r="B649" s="90" t="s">
        <v>1426</v>
      </c>
      <c r="C649" s="83" t="s">
        <v>498</v>
      </c>
      <c r="D649" s="84" t="s">
        <v>499</v>
      </c>
      <c r="E649" s="85"/>
      <c r="F649" s="85"/>
      <c r="G649" s="83" t="str">
        <f>IF(stdProdLT(Main[[#This Row],[Comments]])=0.1,"N/A",IF(stdProdLT(Main[[#This Row],[Comments]])=0,"",stdProdLT(Main[[#This Row],[Comments]])))</f>
        <v/>
      </c>
      <c r="H649" s="86" t="str">
        <f>IF(AND(Main[[#This Row],[In Stock Date]]&lt;&gt;"",Main[[#This Row],[Revised Due Date]]&lt;&gt;""),Main[[#This Row],[In Stock Date]]-Main[[#This Row],[Revised Due Date]],"")</f>
        <v/>
      </c>
      <c r="I649" s="83" t="s">
        <v>4</v>
      </c>
      <c r="J649" s="83" t="s">
        <v>4</v>
      </c>
      <c r="K649" s="83" t="s">
        <v>4</v>
      </c>
      <c r="L649" s="85"/>
      <c r="M649" s="87" t="str">
        <f>IF(Main[[#This Row],[Tech Start Date]]&lt;1/1/1990,"",IF(Main[[#This Row],[Class]]="C",WORKDAY(Main[[#This Row],[Tech Start Date]],9),IF(Main[[#This Row],[Class]]="B", WORKDAY(Main[[#This Row],[Tech Start Date]],6),IF(Main[[#This Row],[Class]]="A",WORKDAY(Main[[#This Row],[Tech Start Date]],2),""))))</f>
        <v/>
      </c>
      <c r="N649" s="87" t="str">
        <f>IF(Main[[#This Row],[Tech Start Date]]&lt;1/1/1990,"",IF(Main[[#This Row],[Class]]="C",WORKDAY(Main[[#This Row],[Tech Start Date]],19),IF(Main[[#This Row],[Class]]="B", WORKDAY(Main[[#This Row],[Tech Start Date]],12),IF(Main[[#This Row],[Class]]="A",WORKDAY(Main[[#This Row],[Tech Start Date]],4),""))))</f>
        <v/>
      </c>
      <c r="O649" s="87" t="str">
        <f>IF(Main[[#This Row],[Tech Start Date]]&lt;1/1/1990,"",IF(Main[[#This Row],[Class]]="C",WORKDAY(Main[[#This Row],[Tech Start Date]],23),IF(Main[[#This Row],[Class]]="B", WORKDAY(Main[[#This Row],[Tech Start Date]],15),IF(Main[[#This Row],[Class]]="A",WORKDAY(Main[[#This Row],[Tech Start Date]],5),""))))</f>
        <v/>
      </c>
      <c r="P649" s="87" t="str">
        <f>IF(Main[[#This Row],[Tech Start Date]]&lt;1/1/1990,"",IF(Main[[#This Row],[Class]]="C",WORKDAY(Main[[#This Row],[Tech Start Date]],28),IF(Main[[#This Row],[Class]]="B", WORKDAY(Main[[#This Row],[Tech Start Date]],19),IF(Main[[#This Row],[Class]]="A",WORKDAY(Main[[#This Row],[Tech Start Date]],9),""))))</f>
        <v/>
      </c>
      <c r="Q649" s="85">
        <v>40239</v>
      </c>
      <c r="R649" s="85"/>
      <c r="S649" s="83" t="s">
        <v>11</v>
      </c>
      <c r="T649" s="88" t="s">
        <v>4</v>
      </c>
      <c r="U649" s="83" t="s">
        <v>14</v>
      </c>
      <c r="V649" s="83" t="s">
        <v>1935</v>
      </c>
      <c r="W649" s="83" t="s">
        <v>1934</v>
      </c>
      <c r="X649" s="83" t="s">
        <v>2987</v>
      </c>
      <c r="Y649" s="83" t="s">
        <v>4</v>
      </c>
      <c r="Z649" s="83" t="s">
        <v>4</v>
      </c>
      <c r="AA649" s="147" t="s">
        <v>2987</v>
      </c>
    </row>
    <row r="650" spans="1:27" ht="18.600000000000001" customHeight="1">
      <c r="A650" s="140" t="str">
        <f>IF(priority(Main[[#This Row],[Comments]])&lt;&gt;0, priority(Main[[#This Row],[Comments]]),"")</f>
        <v/>
      </c>
      <c r="B650" s="90" t="s">
        <v>3599</v>
      </c>
      <c r="C650" s="72" t="s">
        <v>122</v>
      </c>
      <c r="D650" s="73" t="s">
        <v>3725</v>
      </c>
      <c r="E650" s="74">
        <v>40940.314641203702</v>
      </c>
      <c r="F650" s="74"/>
      <c r="G650" s="75" t="str">
        <f>IF(stdProdLT(Main[[#This Row],[Comments]])=0.1,"N/A",IF(stdProdLT(Main[[#This Row],[Comments]])=0,"",stdProdLT(Main[[#This Row],[Comments]])))</f>
        <v>N/A</v>
      </c>
      <c r="H650" s="76" t="str">
        <f>IF(AND(Main[[#This Row],[In Stock Date]]&lt;&gt;"",Main[[#This Row],[Revised Due Date]]&lt;&gt;""),Main[[#This Row],[In Stock Date]]-Main[[#This Row],[Revised Due Date]],"")</f>
        <v/>
      </c>
      <c r="I650" s="72" t="s">
        <v>923</v>
      </c>
      <c r="J650" s="72" t="s">
        <v>52</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c r="R650" s="74"/>
      <c r="S650" s="72" t="s">
        <v>11</v>
      </c>
      <c r="T650" s="80" t="s">
        <v>3362</v>
      </c>
      <c r="U650" s="72" t="s">
        <v>7</v>
      </c>
      <c r="V650" s="72" t="s">
        <v>1932</v>
      </c>
      <c r="W650" s="72" t="s">
        <v>1934</v>
      </c>
      <c r="X650" s="72" t="s">
        <v>2943</v>
      </c>
      <c r="Y650" s="72" t="s">
        <v>3085</v>
      </c>
      <c r="Z650" s="72" t="s">
        <v>129</v>
      </c>
      <c r="AA650" s="147" t="s">
        <v>2943</v>
      </c>
    </row>
    <row r="651" spans="1:27" ht="18.600000000000001" customHeight="1">
      <c r="A651" s="140" t="str">
        <f>IF(priority(Main[[#This Row],[Comments]])&lt;&gt;0, priority(Main[[#This Row],[Comments]]),"")</f>
        <v/>
      </c>
      <c r="B651" s="90" t="s">
        <v>1427</v>
      </c>
      <c r="C651" s="72" t="s">
        <v>500</v>
      </c>
      <c r="D651" s="73" t="s">
        <v>501</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c r="R651" s="74"/>
      <c r="S651" s="72" t="s">
        <v>11</v>
      </c>
      <c r="T651" s="80" t="s">
        <v>4</v>
      </c>
      <c r="U651" s="72" t="s">
        <v>14</v>
      </c>
      <c r="V651" s="72" t="s">
        <v>1932</v>
      </c>
      <c r="W651" s="72" t="s">
        <v>1940</v>
      </c>
      <c r="X651" s="72" t="s">
        <v>50</v>
      </c>
      <c r="Y651" s="72" t="s">
        <v>3157</v>
      </c>
      <c r="Z651" s="72" t="s">
        <v>4</v>
      </c>
      <c r="AA651" s="147" t="s">
        <v>2951</v>
      </c>
    </row>
    <row r="652" spans="1:27" ht="18.600000000000001" customHeight="1">
      <c r="A652" s="140" t="str">
        <f>IF(priority(Main[[#This Row],[Comments]])&lt;&gt;0, priority(Main[[#This Row],[Comments]]),"")</f>
        <v/>
      </c>
      <c r="B652" s="90" t="s">
        <v>1428</v>
      </c>
      <c r="C652" s="72" t="s">
        <v>93</v>
      </c>
      <c r="D652" s="73" t="s">
        <v>502</v>
      </c>
      <c r="E652" s="74"/>
      <c r="F652" s="74">
        <v>40132</v>
      </c>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40132</v>
      </c>
      <c r="R652" s="74"/>
      <c r="S652" s="72" t="s">
        <v>11</v>
      </c>
      <c r="T652" s="80" t="s">
        <v>4</v>
      </c>
      <c r="U652" s="72" t="s">
        <v>14</v>
      </c>
      <c r="V652" s="72" t="s">
        <v>1942</v>
      </c>
      <c r="W652" s="72" t="s">
        <v>1943</v>
      </c>
      <c r="X652" s="72" t="s">
        <v>2947</v>
      </c>
      <c r="Y652" s="72" t="s">
        <v>4</v>
      </c>
      <c r="Z652" s="72" t="s">
        <v>4</v>
      </c>
      <c r="AA652" s="147" t="s">
        <v>2947</v>
      </c>
    </row>
    <row r="653" spans="1:27" ht="18.600000000000001" customHeight="1">
      <c r="A653" s="140" t="str">
        <f>IF(priority(Main[[#This Row],[Comments]])&lt;&gt;0, priority(Main[[#This Row],[Comments]]),"")</f>
        <v/>
      </c>
      <c r="B653" s="90" t="s">
        <v>1429</v>
      </c>
      <c r="C653" s="72" t="s">
        <v>99</v>
      </c>
      <c r="D653" s="73" t="s">
        <v>503</v>
      </c>
      <c r="E653" s="74"/>
      <c r="F653" s="74">
        <v>40435</v>
      </c>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28</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40435</v>
      </c>
      <c r="R653" s="74"/>
      <c r="S653" s="72" t="s">
        <v>11</v>
      </c>
      <c r="T653" s="80" t="s">
        <v>4</v>
      </c>
      <c r="U653" s="72" t="s">
        <v>14</v>
      </c>
      <c r="V653" s="72" t="s">
        <v>1935</v>
      </c>
      <c r="W653" s="72" t="s">
        <v>1937</v>
      </c>
      <c r="X653" s="72" t="s">
        <v>2928</v>
      </c>
      <c r="Y653" s="72" t="s">
        <v>3061</v>
      </c>
      <c r="Z653" s="72" t="s">
        <v>535</v>
      </c>
      <c r="AA653" s="147" t="s">
        <v>2925</v>
      </c>
    </row>
    <row r="654" spans="1:27" ht="18.600000000000001" customHeight="1">
      <c r="A654" s="140" t="str">
        <f>IF(priority(Main[[#This Row],[Comments]])&lt;&gt;0, priority(Main[[#This Row],[Comments]]),"")</f>
        <v/>
      </c>
      <c r="B654" s="90" t="s">
        <v>1295</v>
      </c>
      <c r="C654" s="72" t="s">
        <v>42</v>
      </c>
      <c r="D654" s="73" t="s">
        <v>359</v>
      </c>
      <c r="E654" s="74"/>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c r="R654" s="74"/>
      <c r="S654" s="72" t="s">
        <v>17</v>
      </c>
      <c r="T654" s="80" t="s">
        <v>4</v>
      </c>
      <c r="U654" s="72" t="s">
        <v>14</v>
      </c>
      <c r="V654" s="72" t="s">
        <v>1935</v>
      </c>
      <c r="W654" s="72" t="s">
        <v>4</v>
      </c>
      <c r="X654" s="72" t="s">
        <v>403</v>
      </c>
      <c r="Y654" s="72" t="s">
        <v>4</v>
      </c>
      <c r="Z654" s="72" t="s">
        <v>4</v>
      </c>
      <c r="AA654" s="147" t="s">
        <v>3660</v>
      </c>
    </row>
    <row r="655" spans="1:27" ht="18.600000000000001" customHeight="1">
      <c r="A655" s="140" t="str">
        <f>IF(priority(Main[[#This Row],[Comments]])&lt;&gt;0, priority(Main[[#This Row],[Comments]]),"")</f>
        <v/>
      </c>
      <c r="B655" s="90" t="s">
        <v>1430</v>
      </c>
      <c r="C655" s="72" t="s">
        <v>504</v>
      </c>
      <c r="D655" s="73" t="s">
        <v>505</v>
      </c>
      <c r="E655" s="74"/>
      <c r="F655" s="74">
        <v>40296</v>
      </c>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4</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c r="R655" s="74"/>
      <c r="S655" s="72" t="s">
        <v>11</v>
      </c>
      <c r="T655" s="80" t="s">
        <v>4</v>
      </c>
      <c r="U655" s="72" t="s">
        <v>14</v>
      </c>
      <c r="V655" s="72" t="s">
        <v>1942</v>
      </c>
      <c r="W655" s="72" t="s">
        <v>1938</v>
      </c>
      <c r="X655" s="72" t="s">
        <v>2959</v>
      </c>
      <c r="Y655" s="72" t="s">
        <v>3107</v>
      </c>
      <c r="Z655" s="72" t="s">
        <v>4</v>
      </c>
      <c r="AA655" s="147" t="s">
        <v>2959</v>
      </c>
    </row>
    <row r="656" spans="1:27" ht="18.600000000000001" customHeight="1">
      <c r="A656" s="140" t="str">
        <f>IF(priority(Main[[#This Row],[Comments]])&lt;&gt;0, priority(Main[[#This Row],[Comments]]),"")</f>
        <v/>
      </c>
      <c r="B656" s="90" t="s">
        <v>1875</v>
      </c>
      <c r="C656" s="72" t="s">
        <v>47</v>
      </c>
      <c r="D656" s="73" t="s">
        <v>925</v>
      </c>
      <c r="E656" s="74">
        <v>39937.592280092591</v>
      </c>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900</v>
      </c>
      <c r="J656" s="72" t="s">
        <v>4</v>
      </c>
      <c r="K656" s="72" t="s">
        <v>1944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40209</v>
      </c>
      <c r="R656" s="74">
        <v>40574</v>
      </c>
      <c r="S656" s="72" t="s">
        <v>17</v>
      </c>
      <c r="T656" s="80" t="s">
        <v>4</v>
      </c>
      <c r="U656" s="72" t="s">
        <v>29</v>
      </c>
      <c r="V656" s="72" t="s">
        <v>1932</v>
      </c>
      <c r="W656" s="72" t="s">
        <v>1936</v>
      </c>
      <c r="X656" s="72" t="s">
        <v>2918</v>
      </c>
      <c r="Y656" s="72" t="s">
        <v>3043</v>
      </c>
      <c r="Z656" s="72" t="s">
        <v>4</v>
      </c>
      <c r="AA656" s="147" t="s">
        <v>2918</v>
      </c>
    </row>
    <row r="657" spans="1:27" ht="18.600000000000001" customHeight="1">
      <c r="A657" s="140" t="str">
        <f>IF(priority(Main[[#This Row],[Comments]])&lt;&gt;0, priority(Main[[#This Row],[Comments]]),"")</f>
        <v/>
      </c>
      <c r="B657" s="90" t="s">
        <v>1431</v>
      </c>
      <c r="C657" s="72" t="s">
        <v>506</v>
      </c>
      <c r="D657" s="73" t="s">
        <v>507</v>
      </c>
      <c r="E657" s="74"/>
      <c r="F657" s="74">
        <v>40848</v>
      </c>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28</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40627</v>
      </c>
      <c r="R657" s="74"/>
      <c r="S657" s="72" t="s">
        <v>11</v>
      </c>
      <c r="T657" s="80" t="s">
        <v>4</v>
      </c>
      <c r="U657" s="72" t="s">
        <v>14</v>
      </c>
      <c r="V657" s="72" t="s">
        <v>1935</v>
      </c>
      <c r="W657" s="72" t="s">
        <v>1938</v>
      </c>
      <c r="X657" s="72" t="s">
        <v>50</v>
      </c>
      <c r="Y657" s="72" t="s">
        <v>3158</v>
      </c>
      <c r="Z657" s="72" t="s">
        <v>81</v>
      </c>
      <c r="AA657" s="147" t="s">
        <v>3661</v>
      </c>
    </row>
    <row r="658" spans="1:27" ht="18.600000000000001" customHeight="1">
      <c r="A658" s="140" t="str">
        <f>IF(priority(Main[[#This Row],[Comments]])&lt;&gt;0, priority(Main[[#This Row],[Comments]]),"")</f>
        <v/>
      </c>
      <c r="B658" s="90" t="s">
        <v>1432</v>
      </c>
      <c r="C658" s="72" t="s">
        <v>4</v>
      </c>
      <c r="D658" s="73" t="s">
        <v>1968</v>
      </c>
      <c r="E658" s="74"/>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v>
      </c>
      <c r="J658" s="72" t="s">
        <v>28</v>
      </c>
      <c r="K658" s="81" t="s">
        <v>1939</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c r="R658" s="74"/>
      <c r="S658" s="72" t="s">
        <v>6</v>
      </c>
      <c r="T658" s="80" t="s">
        <v>4</v>
      </c>
      <c r="U658" s="72" t="s">
        <v>14</v>
      </c>
      <c r="V658" s="72" t="s">
        <v>1933</v>
      </c>
      <c r="W658" s="72" t="s">
        <v>1934</v>
      </c>
      <c r="X658" s="72" t="s">
        <v>2988</v>
      </c>
      <c r="Y658" s="72" t="s">
        <v>3159</v>
      </c>
      <c r="Z658" s="72" t="s">
        <v>4</v>
      </c>
      <c r="AA658" s="147" t="s">
        <v>3662</v>
      </c>
    </row>
    <row r="659" spans="1:27" ht="18.600000000000001" customHeight="1">
      <c r="A659" s="140" t="str">
        <f>IF(priority(Main[[#This Row],[Comments]])&lt;&gt;0, priority(Main[[#This Row],[Comments]]),"")</f>
        <v/>
      </c>
      <c r="B659" s="90" t="s">
        <v>1433</v>
      </c>
      <c r="C659" s="72" t="s">
        <v>83</v>
      </c>
      <c r="D659" s="73" t="s">
        <v>508</v>
      </c>
      <c r="E659" s="74"/>
      <c r="F659" s="74"/>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4</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40259</v>
      </c>
      <c r="R659" s="74"/>
      <c r="S659" s="72" t="s">
        <v>11</v>
      </c>
      <c r="T659" s="80" t="s">
        <v>4</v>
      </c>
      <c r="U659" s="72" t="s">
        <v>14</v>
      </c>
      <c r="V659" s="72" t="s">
        <v>1932</v>
      </c>
      <c r="W659" s="72" t="s">
        <v>1943</v>
      </c>
      <c r="X659" s="72" t="s">
        <v>2908</v>
      </c>
      <c r="Y659" s="72" t="s">
        <v>4</v>
      </c>
      <c r="Z659" s="72" t="s">
        <v>4</v>
      </c>
      <c r="AA659" s="147" t="s">
        <v>2908</v>
      </c>
    </row>
    <row r="660" spans="1:27" ht="18.600000000000001" customHeight="1">
      <c r="A660" s="140" t="str">
        <f>IF(priority(Main[[#This Row],[Comments]])&lt;&gt;0, priority(Main[[#This Row],[Comments]]),"")</f>
        <v/>
      </c>
      <c r="B660" s="90" t="s">
        <v>1434</v>
      </c>
      <c r="C660" s="72" t="s">
        <v>4</v>
      </c>
      <c r="D660" s="73" t="s">
        <v>509</v>
      </c>
      <c r="E660" s="74">
        <v>40582.330949074072</v>
      </c>
      <c r="F660" s="74">
        <v>40664</v>
      </c>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28</v>
      </c>
      <c r="K660" s="72" t="s">
        <v>1939</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40664</v>
      </c>
      <c r="R660" s="74"/>
      <c r="S660" s="72" t="s">
        <v>6</v>
      </c>
      <c r="T660" s="80" t="s">
        <v>4</v>
      </c>
      <c r="U660" s="72" t="s">
        <v>7</v>
      </c>
      <c r="V660" s="72" t="s">
        <v>1932</v>
      </c>
      <c r="W660" s="72" t="s">
        <v>1934</v>
      </c>
      <c r="X660" s="72" t="s">
        <v>2936</v>
      </c>
      <c r="Y660" s="72" t="s">
        <v>3160</v>
      </c>
      <c r="Z660" s="72" t="s">
        <v>129</v>
      </c>
      <c r="AA660" s="147" t="s">
        <v>2936</v>
      </c>
    </row>
    <row r="661" spans="1:27" ht="18.600000000000001" customHeight="1">
      <c r="A661" s="140" t="str">
        <f>IF(priority(Main[[#This Row],[Comments]])&lt;&gt;0, priority(Main[[#This Row],[Comments]]),"")</f>
        <v/>
      </c>
      <c r="B661" s="90" t="s">
        <v>1435</v>
      </c>
      <c r="C661" s="72" t="s">
        <v>4</v>
      </c>
      <c r="D661" s="73" t="s">
        <v>510</v>
      </c>
      <c r="E661" s="74"/>
      <c r="F661" s="74"/>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4</v>
      </c>
      <c r="K661" s="81"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c r="R661" s="74"/>
      <c r="S661" s="72" t="s">
        <v>11</v>
      </c>
      <c r="T661" s="80" t="s">
        <v>4</v>
      </c>
      <c r="U661" s="72" t="s">
        <v>14</v>
      </c>
      <c r="V661" s="72" t="s">
        <v>1935</v>
      </c>
      <c r="W661" s="72" t="s">
        <v>1940</v>
      </c>
      <c r="X661" s="72" t="s">
        <v>2938</v>
      </c>
      <c r="Y661" s="72" t="s">
        <v>3073</v>
      </c>
      <c r="Z661" s="72" t="s">
        <v>4</v>
      </c>
      <c r="AA661" s="147" t="s">
        <v>2938</v>
      </c>
    </row>
    <row r="662" spans="1:27" ht="18.600000000000001" customHeight="1">
      <c r="A662" s="140" t="str">
        <f>IF(priority(Main[[#This Row],[Comments]])&lt;&gt;0, priority(Main[[#This Row],[Comments]]),"")</f>
        <v/>
      </c>
      <c r="B662" s="90" t="s">
        <v>1436</v>
      </c>
      <c r="C662" s="72" t="s">
        <v>511</v>
      </c>
      <c r="D662" s="73" t="s">
        <v>512</v>
      </c>
      <c r="E662" s="74"/>
      <c r="F662" s="74"/>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72"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v>40042</v>
      </c>
      <c r="R662" s="74"/>
      <c r="S662" s="72" t="s">
        <v>11</v>
      </c>
      <c r="T662" s="80" t="s">
        <v>4</v>
      </c>
      <c r="U662" s="72" t="s">
        <v>14</v>
      </c>
      <c r="V662" s="72" t="s">
        <v>1933</v>
      </c>
      <c r="W662" s="72" t="s">
        <v>1946</v>
      </c>
      <c r="X662" s="72" t="s">
        <v>755</v>
      </c>
      <c r="Y662" s="72" t="s">
        <v>3161</v>
      </c>
      <c r="Z662" s="72" t="s">
        <v>4</v>
      </c>
      <c r="AA662" s="147" t="s">
        <v>755</v>
      </c>
    </row>
    <row r="663" spans="1:27" ht="18.600000000000001" customHeight="1">
      <c r="A663" s="140" t="str">
        <f>IF(priority(Main[[#This Row],[Comments]])&lt;&gt;0, priority(Main[[#This Row],[Comments]]),"")</f>
        <v/>
      </c>
      <c r="B663" s="90" t="s">
        <v>1984</v>
      </c>
      <c r="C663" s="72" t="s">
        <v>4</v>
      </c>
      <c r="D663" s="73" t="s">
        <v>1985</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c r="R663" s="74"/>
      <c r="S663" s="72" t="s">
        <v>23</v>
      </c>
      <c r="T663" s="80" t="s">
        <v>4</v>
      </c>
      <c r="U663" s="72" t="s">
        <v>14</v>
      </c>
      <c r="V663" s="72" t="s">
        <v>1932</v>
      </c>
      <c r="W663" s="72" t="s">
        <v>1936</v>
      </c>
      <c r="X663" s="72" t="s">
        <v>102</v>
      </c>
      <c r="Y663" s="72" t="s">
        <v>3162</v>
      </c>
      <c r="Z663" s="72" t="s">
        <v>4</v>
      </c>
      <c r="AA663" s="147" t="s">
        <v>3659</v>
      </c>
    </row>
    <row r="664" spans="1:27" ht="18.600000000000001" customHeight="1">
      <c r="A664" s="140" t="str">
        <f>IF(priority(Main[[#This Row],[Comments]])&lt;&gt;0, priority(Main[[#This Row],[Comments]]),"")</f>
        <v/>
      </c>
      <c r="B664" s="90" t="s">
        <v>1410</v>
      </c>
      <c r="C664" s="72" t="s">
        <v>4</v>
      </c>
      <c r="D664" s="73" t="s">
        <v>485</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c r="R664" s="74"/>
      <c r="S664" s="72" t="s">
        <v>4</v>
      </c>
      <c r="T664" s="80" t="s">
        <v>4</v>
      </c>
      <c r="U664" s="72" t="s">
        <v>14</v>
      </c>
      <c r="V664" s="72" t="s">
        <v>1935</v>
      </c>
      <c r="W664" s="72" t="s">
        <v>4</v>
      </c>
      <c r="X664" s="72" t="s">
        <v>2910</v>
      </c>
      <c r="Y664" s="72" t="s">
        <v>3027</v>
      </c>
      <c r="Z664" s="72" t="s">
        <v>4</v>
      </c>
      <c r="AA664" s="147" t="s">
        <v>2910</v>
      </c>
    </row>
    <row r="665" spans="1:27" ht="18.600000000000001" customHeight="1">
      <c r="A665" s="140" t="str">
        <f>IF(priority(Main[[#This Row],[Comments]])&lt;&gt;0, priority(Main[[#This Row],[Comments]]),"")</f>
        <v/>
      </c>
      <c r="B665" s="90" t="s">
        <v>1165</v>
      </c>
      <c r="C665" s="72" t="s">
        <v>4</v>
      </c>
      <c r="D665" s="73" t="s">
        <v>211</v>
      </c>
      <c r="E665" s="74"/>
      <c r="F665" s="74"/>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28</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c r="R665" s="74"/>
      <c r="S665" s="72" t="s">
        <v>6</v>
      </c>
      <c r="T665" s="80" t="s">
        <v>4</v>
      </c>
      <c r="U665" s="72" t="s">
        <v>14</v>
      </c>
      <c r="V665" s="72" t="s">
        <v>1942</v>
      </c>
      <c r="W665" s="72" t="s">
        <v>1938</v>
      </c>
      <c r="X665" s="72" t="s">
        <v>50</v>
      </c>
      <c r="Y665" s="72" t="s">
        <v>3058</v>
      </c>
      <c r="Z665" s="72" t="s">
        <v>30</v>
      </c>
      <c r="AA665" s="147" t="s">
        <v>894</v>
      </c>
    </row>
    <row r="666" spans="1:27" ht="18.600000000000001" customHeight="1">
      <c r="A666" s="140" t="str">
        <f>IF(priority(Main[[#This Row],[Comments]])&lt;&gt;0, priority(Main[[#This Row],[Comments]]),"")</f>
        <v/>
      </c>
      <c r="B666" s="90" t="s">
        <v>1412</v>
      </c>
      <c r="C666" s="72" t="s">
        <v>47</v>
      </c>
      <c r="D666" s="73" t="s">
        <v>487</v>
      </c>
      <c r="E666" s="74">
        <v>39937.619513888887</v>
      </c>
      <c r="F666" s="74"/>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c r="R666" s="74"/>
      <c r="S666" s="72" t="s">
        <v>17</v>
      </c>
      <c r="T666" s="80" t="s">
        <v>4</v>
      </c>
      <c r="U666" s="72" t="s">
        <v>7</v>
      </c>
      <c r="V666" s="72" t="s">
        <v>1935</v>
      </c>
      <c r="W666" s="72" t="s">
        <v>4</v>
      </c>
      <c r="X666" s="72" t="s">
        <v>2918</v>
      </c>
      <c r="Y666" s="72" t="s">
        <v>3043</v>
      </c>
      <c r="Z666" s="72" t="s">
        <v>4</v>
      </c>
      <c r="AA666" s="147" t="s">
        <v>2918</v>
      </c>
    </row>
    <row r="667" spans="1:27" ht="18.600000000000001" customHeight="1">
      <c r="A667" s="140" t="str">
        <f>IF(priority(Main[[#This Row],[Comments]])&lt;&gt;0, priority(Main[[#This Row],[Comments]]),"")</f>
        <v/>
      </c>
      <c r="B667" s="90" t="s">
        <v>1413</v>
      </c>
      <c r="C667" s="72" t="s">
        <v>93</v>
      </c>
      <c r="D667" s="73" t="s">
        <v>568</v>
      </c>
      <c r="E667" s="74"/>
      <c r="F667" s="74">
        <v>40210</v>
      </c>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40195</v>
      </c>
      <c r="R667" s="74"/>
      <c r="S667" s="72" t="s">
        <v>11</v>
      </c>
      <c r="T667" s="80" t="s">
        <v>4</v>
      </c>
      <c r="U667" s="72" t="s">
        <v>12</v>
      </c>
      <c r="V667" s="72" t="s">
        <v>1942</v>
      </c>
      <c r="W667" s="72" t="s">
        <v>1943</v>
      </c>
      <c r="X667" s="72" t="s">
        <v>2936</v>
      </c>
      <c r="Y667" s="72" t="s">
        <v>4</v>
      </c>
      <c r="Z667" s="72" t="s">
        <v>4</v>
      </c>
      <c r="AA667" s="147" t="s">
        <v>2936</v>
      </c>
    </row>
    <row r="668" spans="1:27" ht="18.600000000000001" customHeight="1">
      <c r="A668" s="140" t="str">
        <f>IF(priority(Main[[#This Row],[Comments]])&lt;&gt;0, priority(Main[[#This Row],[Comments]]),"")</f>
        <v/>
      </c>
      <c r="B668" s="90" t="s">
        <v>1761</v>
      </c>
      <c r="C668" s="72" t="s">
        <v>4</v>
      </c>
      <c r="D668" s="73" t="s">
        <v>803</v>
      </c>
      <c r="E668" s="74">
        <v>40584.406446759262</v>
      </c>
      <c r="F668" s="74">
        <v>40602</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28</v>
      </c>
      <c r="K668" s="72" t="s">
        <v>1944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v>40602</v>
      </c>
      <c r="R668" s="74"/>
      <c r="S668" s="72" t="s">
        <v>17</v>
      </c>
      <c r="T668" s="80" t="s">
        <v>4</v>
      </c>
      <c r="U668" s="72" t="s">
        <v>7</v>
      </c>
      <c r="V668" s="72" t="s">
        <v>1932</v>
      </c>
      <c r="W668" s="72" t="s">
        <v>1940</v>
      </c>
      <c r="X668" s="72" t="s">
        <v>2919</v>
      </c>
      <c r="Y668" s="72" t="s">
        <v>3045</v>
      </c>
      <c r="Z668" s="72" t="s">
        <v>129</v>
      </c>
      <c r="AA668" s="147" t="s">
        <v>2919</v>
      </c>
    </row>
    <row r="669" spans="1:27" ht="18.600000000000001" customHeight="1">
      <c r="A669" s="140" t="str">
        <f>IF(priority(Main[[#This Row],[Comments]])&lt;&gt;0, priority(Main[[#This Row],[Comments]]),"")</f>
        <v/>
      </c>
      <c r="B669" s="90" t="s">
        <v>1416</v>
      </c>
      <c r="C669" s="72" t="s">
        <v>31</v>
      </c>
      <c r="D669" s="73" t="s">
        <v>489</v>
      </c>
      <c r="E669" s="74"/>
      <c r="F669" s="74"/>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40318</v>
      </c>
      <c r="R669" s="74"/>
      <c r="S669" s="72" t="s">
        <v>11</v>
      </c>
      <c r="T669" s="80" t="s">
        <v>4</v>
      </c>
      <c r="U669" s="72" t="s">
        <v>14</v>
      </c>
      <c r="V669" s="72" t="s">
        <v>1935</v>
      </c>
      <c r="W669" s="72" t="s">
        <v>1934</v>
      </c>
      <c r="X669" s="72" t="s">
        <v>2921</v>
      </c>
      <c r="Y669" s="72" t="s">
        <v>4</v>
      </c>
      <c r="Z669" s="72" t="s">
        <v>4</v>
      </c>
      <c r="AA669" s="147" t="s">
        <v>2921</v>
      </c>
    </row>
    <row r="670" spans="1:27" ht="18.600000000000001" customHeight="1">
      <c r="A670" s="140" t="str">
        <f>IF(priority(Main[[#This Row],[Comments]])&lt;&gt;0, priority(Main[[#This Row],[Comments]]),"")</f>
        <v/>
      </c>
      <c r="B670" s="90" t="s">
        <v>2216</v>
      </c>
      <c r="C670" s="72" t="s">
        <v>4</v>
      </c>
      <c r="D670" s="73" t="s">
        <v>2217</v>
      </c>
      <c r="E670" s="74">
        <v>40784.623067129629</v>
      </c>
      <c r="F670" s="74"/>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c r="R670" s="74"/>
      <c r="S670" s="72" t="s">
        <v>17</v>
      </c>
      <c r="T670" s="80" t="s">
        <v>4</v>
      </c>
      <c r="U670" s="72" t="s">
        <v>7</v>
      </c>
      <c r="V670" s="72" t="s">
        <v>1935</v>
      </c>
      <c r="W670" s="72" t="s">
        <v>1937</v>
      </c>
      <c r="X670" s="72" t="s">
        <v>2976</v>
      </c>
      <c r="Y670" s="72" t="s">
        <v>3136</v>
      </c>
      <c r="Z670" s="72" t="s">
        <v>4</v>
      </c>
      <c r="AA670" s="147" t="s">
        <v>2976</v>
      </c>
    </row>
    <row r="671" spans="1:27" ht="18.600000000000001" customHeight="1">
      <c r="A671" s="140" t="str">
        <f>IF(priority(Main[[#This Row],[Comments]])&lt;&gt;0, priority(Main[[#This Row],[Comments]]),"")</f>
        <v/>
      </c>
      <c r="B671" s="90" t="s">
        <v>1418</v>
      </c>
      <c r="C671" s="72" t="s">
        <v>187</v>
      </c>
      <c r="D671" s="73" t="s">
        <v>491</v>
      </c>
      <c r="E671" s="74"/>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4</v>
      </c>
      <c r="J671" s="72" t="s">
        <v>4</v>
      </c>
      <c r="K671" s="72"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40116</v>
      </c>
      <c r="R671" s="74"/>
      <c r="S671" s="72" t="s">
        <v>11</v>
      </c>
      <c r="T671" s="80" t="s">
        <v>4</v>
      </c>
      <c r="U671" s="72" t="s">
        <v>14</v>
      </c>
      <c r="V671" s="72" t="s">
        <v>1935</v>
      </c>
      <c r="W671" s="72" t="s">
        <v>1934</v>
      </c>
      <c r="X671" s="72" t="s">
        <v>2954</v>
      </c>
      <c r="Y671" s="72" t="s">
        <v>4</v>
      </c>
      <c r="Z671" s="72" t="s">
        <v>4</v>
      </c>
      <c r="AA671" s="147" t="s">
        <v>2954</v>
      </c>
    </row>
    <row r="672" spans="1:27" ht="18.600000000000001" customHeight="1">
      <c r="A672" s="140" t="str">
        <f>IF(priority(Main[[#This Row],[Comments]])&lt;&gt;0, priority(Main[[#This Row],[Comments]]),"")</f>
        <v/>
      </c>
      <c r="B672" s="90" t="s">
        <v>1587</v>
      </c>
      <c r="C672" s="72" t="s">
        <v>657</v>
      </c>
      <c r="D672" s="73" t="s">
        <v>658</v>
      </c>
      <c r="E672" s="74">
        <v>40350.419861111113</v>
      </c>
      <c r="F672" s="74">
        <v>40444</v>
      </c>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659</v>
      </c>
      <c r="J672" s="72" t="s">
        <v>28</v>
      </c>
      <c r="K672" s="72" t="s">
        <v>1944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40353</v>
      </c>
      <c r="R672" s="74"/>
      <c r="S672" s="72" t="s">
        <v>17</v>
      </c>
      <c r="T672" s="80" t="s">
        <v>4</v>
      </c>
      <c r="U672" s="72" t="s">
        <v>7</v>
      </c>
      <c r="V672" s="72" t="s">
        <v>1935</v>
      </c>
      <c r="W672" s="72" t="s">
        <v>1937</v>
      </c>
      <c r="X672" s="72" t="s">
        <v>2977</v>
      </c>
      <c r="Y672" s="72" t="s">
        <v>3137</v>
      </c>
      <c r="Z672" s="72" t="s">
        <v>535</v>
      </c>
      <c r="AA672" s="147" t="s">
        <v>3655</v>
      </c>
    </row>
    <row r="673" spans="1:27" ht="18.600000000000001" customHeight="1">
      <c r="A673" s="140" t="str">
        <f>IF(priority(Main[[#This Row],[Comments]])&lt;&gt;0, priority(Main[[#This Row],[Comments]]),"")</f>
        <v/>
      </c>
      <c r="B673" s="90" t="s">
        <v>1421</v>
      </c>
      <c r="C673" s="72" t="s">
        <v>67</v>
      </c>
      <c r="D673" s="73" t="s">
        <v>493</v>
      </c>
      <c r="E673" s="74"/>
      <c r="F673" s="74">
        <v>40561</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c r="R673" s="74"/>
      <c r="S673" s="72" t="s">
        <v>11</v>
      </c>
      <c r="T673" s="80" t="s">
        <v>4</v>
      </c>
      <c r="U673" s="72" t="s">
        <v>14</v>
      </c>
      <c r="V673" s="72" t="s">
        <v>1935</v>
      </c>
      <c r="W673" s="72" t="s">
        <v>1938</v>
      </c>
      <c r="X673" s="72" t="s">
        <v>50</v>
      </c>
      <c r="Y673" s="72" t="s">
        <v>4</v>
      </c>
      <c r="Z673" s="72" t="s">
        <v>4</v>
      </c>
      <c r="AA673" s="147" t="s">
        <v>4</v>
      </c>
    </row>
    <row r="674" spans="1:27" ht="18.600000000000001" customHeight="1">
      <c r="A674" s="140" t="str">
        <f>IF(priority(Main[[#This Row],[Comments]])&lt;&gt;0, priority(Main[[#This Row],[Comments]]),"")</f>
        <v/>
      </c>
      <c r="B674" s="90" t="s">
        <v>1423</v>
      </c>
      <c r="C674" s="72" t="s">
        <v>31</v>
      </c>
      <c r="D674" s="73" t="s">
        <v>495</v>
      </c>
      <c r="E674" s="74"/>
      <c r="F674" s="74">
        <v>40203</v>
      </c>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72"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40063</v>
      </c>
      <c r="R674" s="74"/>
      <c r="S674" s="72" t="s">
        <v>11</v>
      </c>
      <c r="T674" s="80" t="s">
        <v>4</v>
      </c>
      <c r="U674" s="72" t="s">
        <v>14</v>
      </c>
      <c r="V674" s="72" t="s">
        <v>1942</v>
      </c>
      <c r="W674" s="72" t="s">
        <v>1938</v>
      </c>
      <c r="X674" s="72" t="s">
        <v>2962</v>
      </c>
      <c r="Y674" s="72" t="s">
        <v>4</v>
      </c>
      <c r="Z674" s="72" t="s">
        <v>4</v>
      </c>
      <c r="AA674" s="147" t="s">
        <v>2962</v>
      </c>
    </row>
    <row r="675" spans="1:27" ht="18.600000000000001" customHeight="1">
      <c r="A675" s="140" t="str">
        <f>IF(priority(Main[[#This Row],[Comments]])&lt;&gt;0, priority(Main[[#This Row],[Comments]]),"")</f>
        <v/>
      </c>
      <c r="B675" s="90" t="s">
        <v>1424</v>
      </c>
      <c r="C675" s="72" t="s">
        <v>4</v>
      </c>
      <c r="D675" s="73" t="s">
        <v>496</v>
      </c>
      <c r="E675" s="74">
        <v>40381.391886574071</v>
      </c>
      <c r="F675" s="74"/>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4</v>
      </c>
      <c r="J675" s="72" t="s">
        <v>28</v>
      </c>
      <c r="K675" s="72" t="s">
        <v>4</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40451</v>
      </c>
      <c r="R675" s="74"/>
      <c r="S675" s="72" t="s">
        <v>6</v>
      </c>
      <c r="T675" s="80" t="s">
        <v>4</v>
      </c>
      <c r="U675" s="72" t="s">
        <v>7</v>
      </c>
      <c r="V675" s="72" t="s">
        <v>1932</v>
      </c>
      <c r="W675" s="72" t="s">
        <v>1934</v>
      </c>
      <c r="X675" s="72" t="s">
        <v>2978</v>
      </c>
      <c r="Y675" s="72" t="s">
        <v>3138</v>
      </c>
      <c r="Z675" s="72" t="s">
        <v>129</v>
      </c>
      <c r="AA675" s="147" t="s">
        <v>2978</v>
      </c>
    </row>
    <row r="676" spans="1:27" ht="18.600000000000001" customHeight="1">
      <c r="A676" s="140" t="str">
        <f>IF(priority(Main[[#This Row],[Comments]])&lt;&gt;0, priority(Main[[#This Row],[Comments]]),"")</f>
        <v/>
      </c>
      <c r="B676" s="90" t="s">
        <v>1518</v>
      </c>
      <c r="C676" s="72" t="s">
        <v>58</v>
      </c>
      <c r="D676" s="73" t="s">
        <v>582</v>
      </c>
      <c r="E676" s="74"/>
      <c r="F676" s="74">
        <v>40697</v>
      </c>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422</v>
      </c>
      <c r="J676" s="72" t="s">
        <v>75</v>
      </c>
      <c r="K676" s="72" t="s">
        <v>1939</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40539</v>
      </c>
      <c r="R676" s="74"/>
      <c r="S676" s="72" t="s">
        <v>11</v>
      </c>
      <c r="T676" s="80" t="s">
        <v>4</v>
      </c>
      <c r="U676" s="72" t="s">
        <v>14</v>
      </c>
      <c r="V676" s="72" t="s">
        <v>1942</v>
      </c>
      <c r="W676" s="72" t="s">
        <v>1938</v>
      </c>
      <c r="X676" s="72" t="s">
        <v>2920</v>
      </c>
      <c r="Y676" s="72" t="s">
        <v>3046</v>
      </c>
      <c r="Z676" s="72" t="s">
        <v>310</v>
      </c>
      <c r="AA676" s="147" t="s">
        <v>2920</v>
      </c>
    </row>
    <row r="677" spans="1:27" ht="18.600000000000001" customHeight="1">
      <c r="A677" s="140" t="str">
        <f>IF(priority(Main[[#This Row],[Comments]])&lt;&gt;0, priority(Main[[#This Row],[Comments]]),"")</f>
        <v/>
      </c>
      <c r="B677" s="90" t="s">
        <v>1520</v>
      </c>
      <c r="C677" s="72" t="s">
        <v>584</v>
      </c>
      <c r="D677" s="73" t="s">
        <v>585</v>
      </c>
      <c r="E677" s="74"/>
      <c r="F677" s="74">
        <v>40596</v>
      </c>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28</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40414</v>
      </c>
      <c r="R677" s="74"/>
      <c r="S677" s="72" t="s">
        <v>11</v>
      </c>
      <c r="T677" s="80" t="s">
        <v>4</v>
      </c>
      <c r="U677" s="72" t="s">
        <v>14</v>
      </c>
      <c r="V677" s="72" t="s">
        <v>1935</v>
      </c>
      <c r="W677" s="72" t="s">
        <v>1937</v>
      </c>
      <c r="X677" s="72" t="s">
        <v>2917</v>
      </c>
      <c r="Y677" s="72" t="s">
        <v>3041</v>
      </c>
      <c r="Z677" s="72" t="s">
        <v>535</v>
      </c>
      <c r="AA677" s="147" t="s">
        <v>2917</v>
      </c>
    </row>
    <row r="678" spans="1:27" ht="18.600000000000001" customHeight="1">
      <c r="A678" s="140" t="str">
        <f>IF(priority(Main[[#This Row],[Comments]])&lt;&gt;0, priority(Main[[#This Row],[Comments]]),"")</f>
        <v/>
      </c>
      <c r="B678" s="90" t="s">
        <v>1521</v>
      </c>
      <c r="C678" s="72" t="s">
        <v>586</v>
      </c>
      <c r="D678" s="73" t="s">
        <v>587</v>
      </c>
      <c r="E678" s="74"/>
      <c r="F678" s="74"/>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4</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40476</v>
      </c>
      <c r="R678" s="74"/>
      <c r="S678" s="72" t="s">
        <v>11</v>
      </c>
      <c r="T678" s="80" t="s">
        <v>4</v>
      </c>
      <c r="U678" s="72" t="s">
        <v>14</v>
      </c>
      <c r="V678" s="72" t="s">
        <v>1932</v>
      </c>
      <c r="W678" s="72" t="s">
        <v>1940</v>
      </c>
      <c r="X678" s="72" t="s">
        <v>2970</v>
      </c>
      <c r="Y678" s="72" t="s">
        <v>3122</v>
      </c>
      <c r="Z678" s="72" t="s">
        <v>4</v>
      </c>
      <c r="AA678" s="147" t="s">
        <v>2970</v>
      </c>
    </row>
    <row r="679" spans="1:27" ht="18.600000000000001" customHeight="1">
      <c r="A679" s="140" t="str">
        <f>IF(priority(Main[[#This Row],[Comments]])&lt;&gt;0, priority(Main[[#This Row],[Comments]]),"")</f>
        <v/>
      </c>
      <c r="B679" s="90" t="s">
        <v>1522</v>
      </c>
      <c r="C679" s="72" t="s">
        <v>31</v>
      </c>
      <c r="D679" s="73" t="s">
        <v>588</v>
      </c>
      <c r="E679" s="74"/>
      <c r="F679" s="74">
        <v>40330</v>
      </c>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4</v>
      </c>
      <c r="K679" s="72" t="s">
        <v>4</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v>40210</v>
      </c>
      <c r="R679" s="74"/>
      <c r="S679" s="72" t="s">
        <v>11</v>
      </c>
      <c r="T679" s="80" t="s">
        <v>4</v>
      </c>
      <c r="U679" s="72" t="s">
        <v>14</v>
      </c>
      <c r="V679" s="72" t="s">
        <v>1933</v>
      </c>
      <c r="W679" s="72" t="s">
        <v>1938</v>
      </c>
      <c r="X679" s="72" t="s">
        <v>2915</v>
      </c>
      <c r="Y679" s="72" t="s">
        <v>3038</v>
      </c>
      <c r="Z679" s="72" t="s">
        <v>4</v>
      </c>
      <c r="AA679" s="147" t="s">
        <v>2915</v>
      </c>
    </row>
    <row r="680" spans="1:27" ht="18.600000000000001" customHeight="1">
      <c r="A680" s="140" t="str">
        <f>IF(priority(Main[[#This Row],[Comments]])&lt;&gt;0, priority(Main[[#This Row],[Comments]]),"")</f>
        <v/>
      </c>
      <c r="B680" s="90" t="s">
        <v>1523</v>
      </c>
      <c r="C680" s="72" t="s">
        <v>4</v>
      </c>
      <c r="D680" s="73" t="s">
        <v>589</v>
      </c>
      <c r="E680" s="74"/>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40543</v>
      </c>
      <c r="R680" s="74"/>
      <c r="S680" s="72" t="s">
        <v>17</v>
      </c>
      <c r="T680" s="80" t="s">
        <v>4</v>
      </c>
      <c r="U680" s="72" t="s">
        <v>14</v>
      </c>
      <c r="V680" s="72" t="s">
        <v>1947</v>
      </c>
      <c r="W680" s="72" t="s">
        <v>1934</v>
      </c>
      <c r="X680" s="72" t="s">
        <v>129</v>
      </c>
      <c r="Y680" s="72" t="s">
        <v>3028</v>
      </c>
      <c r="Z680" s="72" t="s">
        <v>4</v>
      </c>
      <c r="AA680" s="147" t="s">
        <v>129</v>
      </c>
    </row>
    <row r="681" spans="1:27" ht="18.600000000000001" customHeight="1">
      <c r="A681" s="140" t="str">
        <f>IF(priority(Main[[#This Row],[Comments]])&lt;&gt;0, priority(Main[[#This Row],[Comments]]),"")</f>
        <v/>
      </c>
      <c r="B681" s="90" t="s">
        <v>1524</v>
      </c>
      <c r="C681" s="72" t="s">
        <v>382</v>
      </c>
      <c r="D681" s="73" t="s">
        <v>590</v>
      </c>
      <c r="E681" s="74"/>
      <c r="F681" s="74">
        <v>40228</v>
      </c>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4</v>
      </c>
      <c r="K681" s="81" t="s">
        <v>4</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40153</v>
      </c>
      <c r="R681" s="74"/>
      <c r="S681" s="72" t="s">
        <v>11</v>
      </c>
      <c r="T681" s="80" t="s">
        <v>4</v>
      </c>
      <c r="U681" s="72" t="s">
        <v>14</v>
      </c>
      <c r="V681" s="72" t="s">
        <v>1935</v>
      </c>
      <c r="W681" s="72" t="s">
        <v>1940</v>
      </c>
      <c r="X681" s="72" t="s">
        <v>2954</v>
      </c>
      <c r="Y681" s="72" t="s">
        <v>4</v>
      </c>
      <c r="Z681" s="72" t="s">
        <v>4</v>
      </c>
      <c r="AA681" s="147" t="s">
        <v>2954</v>
      </c>
    </row>
    <row r="682" spans="1:27" ht="18.600000000000001" customHeight="1">
      <c r="A682" s="140" t="str">
        <f>IF(priority(Main[[#This Row],[Comments]])&lt;&gt;0, priority(Main[[#This Row],[Comments]]),"")</f>
        <v/>
      </c>
      <c r="B682" s="90" t="s">
        <v>1525</v>
      </c>
      <c r="C682" s="72" t="s">
        <v>279</v>
      </c>
      <c r="D682" s="73" t="s">
        <v>591</v>
      </c>
      <c r="E682" s="74"/>
      <c r="F682" s="74">
        <v>40186</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72"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40186</v>
      </c>
      <c r="R682" s="74"/>
      <c r="S682" s="72" t="s">
        <v>11</v>
      </c>
      <c r="T682" s="80" t="s">
        <v>4</v>
      </c>
      <c r="U682" s="72" t="s">
        <v>14</v>
      </c>
      <c r="V682" s="72" t="s">
        <v>1935</v>
      </c>
      <c r="W682" s="72" t="s">
        <v>1940</v>
      </c>
      <c r="X682" s="72" t="s">
        <v>2933</v>
      </c>
      <c r="Y682" s="72" t="s">
        <v>4</v>
      </c>
      <c r="Z682" s="72" t="s">
        <v>4</v>
      </c>
      <c r="AA682" s="147" t="s">
        <v>2933</v>
      </c>
    </row>
    <row r="683" spans="1:27" ht="18.600000000000001" customHeight="1">
      <c r="A683" s="140" t="str">
        <f>IF(priority(Main[[#This Row],[Comments]])&lt;&gt;0, priority(Main[[#This Row],[Comments]]),"")</f>
        <v/>
      </c>
      <c r="B683" s="90" t="s">
        <v>2287</v>
      </c>
      <c r="C683" s="72" t="s">
        <v>2283</v>
      </c>
      <c r="D683" s="73" t="s">
        <v>2284</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v>40806</v>
      </c>
      <c r="R683" s="74"/>
      <c r="S683" s="72" t="s">
        <v>6</v>
      </c>
      <c r="T683" s="80" t="s">
        <v>4</v>
      </c>
      <c r="U683" s="72" t="s">
        <v>12</v>
      </c>
      <c r="V683" s="72" t="s">
        <v>1933</v>
      </c>
      <c r="W683" s="72" t="s">
        <v>1940</v>
      </c>
      <c r="X683" s="72" t="s">
        <v>2970</v>
      </c>
      <c r="Y683" s="72" t="s">
        <v>3122</v>
      </c>
      <c r="Z683" s="72" t="s">
        <v>4</v>
      </c>
      <c r="AA683" s="147" t="s">
        <v>2970</v>
      </c>
    </row>
    <row r="684" spans="1:27" ht="18.600000000000001" customHeight="1">
      <c r="A684" s="140" t="str">
        <f>IF(priority(Main[[#This Row],[Comments]])&lt;&gt;0, priority(Main[[#This Row],[Comments]]),"")</f>
        <v/>
      </c>
      <c r="B684" s="90" t="s">
        <v>1530</v>
      </c>
      <c r="C684" s="72" t="s">
        <v>4</v>
      </c>
      <c r="D684" s="73" t="s">
        <v>596</v>
      </c>
      <c r="E684" s="74"/>
      <c r="F684" s="74"/>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c r="R684" s="74"/>
      <c r="S684" s="72" t="s">
        <v>23</v>
      </c>
      <c r="T684" s="80" t="s">
        <v>4</v>
      </c>
      <c r="U684" s="72" t="s">
        <v>14</v>
      </c>
      <c r="V684" s="72" t="s">
        <v>1932</v>
      </c>
      <c r="W684" s="72" t="s">
        <v>1936</v>
      </c>
      <c r="X684" s="72" t="s">
        <v>102</v>
      </c>
      <c r="Y684" s="72" t="s">
        <v>3163</v>
      </c>
      <c r="Z684" s="72" t="s">
        <v>4</v>
      </c>
      <c r="AA684" s="147" t="s">
        <v>3663</v>
      </c>
    </row>
    <row r="685" spans="1:27" ht="18.600000000000001" customHeight="1">
      <c r="A685" s="140" t="str">
        <f>IF(priority(Main[[#This Row],[Comments]])&lt;&gt;0, priority(Main[[#This Row],[Comments]]),"")</f>
        <v/>
      </c>
      <c r="B685" s="90" t="s">
        <v>1531</v>
      </c>
      <c r="C685" s="72" t="s">
        <v>4</v>
      </c>
      <c r="D685" s="73" t="s">
        <v>597</v>
      </c>
      <c r="E685" s="74"/>
      <c r="F685" s="74">
        <v>40047</v>
      </c>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4</v>
      </c>
      <c r="K685" s="72"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c r="R685" s="74"/>
      <c r="S685" s="72" t="s">
        <v>11</v>
      </c>
      <c r="T685" s="80" t="s">
        <v>4</v>
      </c>
      <c r="U685" s="72" t="s">
        <v>14</v>
      </c>
      <c r="V685" s="72" t="s">
        <v>1935</v>
      </c>
      <c r="W685" s="72" t="s">
        <v>1938</v>
      </c>
      <c r="X685" s="72" t="s">
        <v>2954</v>
      </c>
      <c r="Y685" s="72" t="s">
        <v>3164</v>
      </c>
      <c r="Z685" s="72" t="s">
        <v>4</v>
      </c>
      <c r="AA685" s="147" t="s">
        <v>2954</v>
      </c>
    </row>
    <row r="686" spans="1:27" ht="18.600000000000001" customHeight="1">
      <c r="A686" s="140" t="str">
        <f>IF(priority(Main[[#This Row],[Comments]])&lt;&gt;0, priority(Main[[#This Row],[Comments]]),"")</f>
        <v/>
      </c>
      <c r="B686" s="90" t="s">
        <v>1532</v>
      </c>
      <c r="C686" s="72" t="s">
        <v>4</v>
      </c>
      <c r="D686" s="73" t="s">
        <v>598</v>
      </c>
      <c r="E686" s="74"/>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c r="R686" s="74"/>
      <c r="S686" s="72" t="s">
        <v>6</v>
      </c>
      <c r="T686" s="80" t="s">
        <v>4</v>
      </c>
      <c r="U686" s="72" t="s">
        <v>12</v>
      </c>
      <c r="V686" s="72" t="s">
        <v>1932</v>
      </c>
      <c r="W686" s="72" t="s">
        <v>1936</v>
      </c>
      <c r="X686" s="72" t="s">
        <v>718</v>
      </c>
      <c r="Y686" s="72" t="s">
        <v>3165</v>
      </c>
      <c r="Z686" s="72" t="s">
        <v>4</v>
      </c>
      <c r="AA686" s="147" t="s">
        <v>718</v>
      </c>
    </row>
    <row r="687" spans="1:27" ht="18.600000000000001" customHeight="1">
      <c r="A687" s="140" t="str">
        <f>IF(priority(Main[[#This Row],[Comments]])&lt;&gt;0, priority(Main[[#This Row],[Comments]]),"")</f>
        <v/>
      </c>
      <c r="B687" s="90" t="s">
        <v>1533</v>
      </c>
      <c r="C687" s="72" t="s">
        <v>47</v>
      </c>
      <c r="D687" s="73" t="s">
        <v>599</v>
      </c>
      <c r="E687" s="74"/>
      <c r="F687" s="74"/>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c r="R687" s="74"/>
      <c r="S687" s="72" t="s">
        <v>49</v>
      </c>
      <c r="T687" s="80" t="s">
        <v>4</v>
      </c>
      <c r="U687" s="72" t="s">
        <v>14</v>
      </c>
      <c r="V687" s="72" t="s">
        <v>1935</v>
      </c>
      <c r="W687" s="72" t="s">
        <v>1936</v>
      </c>
      <c r="X687" s="72" t="s">
        <v>310</v>
      </c>
      <c r="Y687" s="72" t="s">
        <v>3036</v>
      </c>
      <c r="Z687" s="72" t="s">
        <v>4</v>
      </c>
      <c r="AA687" s="147" t="s">
        <v>3618</v>
      </c>
    </row>
    <row r="688" spans="1:27" ht="18.600000000000001" customHeight="1">
      <c r="A688" s="140" t="str">
        <f>IF(priority(Main[[#This Row],[Comments]])&lt;&gt;0, priority(Main[[#This Row],[Comments]]),"")</f>
        <v/>
      </c>
      <c r="B688" s="90" t="s">
        <v>2016</v>
      </c>
      <c r="C688" s="72" t="s">
        <v>2017</v>
      </c>
      <c r="D688" s="73" t="s">
        <v>2018</v>
      </c>
      <c r="E688" s="74"/>
      <c r="F688" s="74">
        <v>40801</v>
      </c>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c r="R688" s="74"/>
      <c r="S688" s="72" t="s">
        <v>6</v>
      </c>
      <c r="T688" s="80" t="s">
        <v>4</v>
      </c>
      <c r="U688" s="72" t="s">
        <v>12</v>
      </c>
      <c r="V688" s="72" t="s">
        <v>1935</v>
      </c>
      <c r="W688" s="72" t="s">
        <v>1936</v>
      </c>
      <c r="X688" s="72" t="s">
        <v>2990</v>
      </c>
      <c r="Y688" s="72" t="s">
        <v>3166</v>
      </c>
      <c r="Z688" s="72" t="s">
        <v>4</v>
      </c>
      <c r="AA688" s="147" t="s">
        <v>3664</v>
      </c>
    </row>
    <row r="689" spans="1:27" ht="18.600000000000001" customHeight="1">
      <c r="A689" s="140" t="str">
        <f>IF(priority(Main[[#This Row],[Comments]])&lt;&gt;0, priority(Main[[#This Row],[Comments]]),"")</f>
        <v/>
      </c>
      <c r="B689" s="90" t="s">
        <v>1534</v>
      </c>
      <c r="C689" s="72" t="s">
        <v>4</v>
      </c>
      <c r="D689" s="73" t="s">
        <v>600</v>
      </c>
      <c r="E689" s="74">
        <v>40270.342719907407</v>
      </c>
      <c r="F689" s="74"/>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81"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40359</v>
      </c>
      <c r="R689" s="74"/>
      <c r="S689" s="72" t="s">
        <v>6</v>
      </c>
      <c r="T689" s="80" t="s">
        <v>4</v>
      </c>
      <c r="U689" s="72" t="s">
        <v>7</v>
      </c>
      <c r="V689" s="72" t="s">
        <v>1932</v>
      </c>
      <c r="W689" s="72" t="s">
        <v>4</v>
      </c>
      <c r="X689" s="72" t="s">
        <v>2978</v>
      </c>
      <c r="Y689" s="72" t="s">
        <v>3138</v>
      </c>
      <c r="Z689" s="72" t="s">
        <v>4</v>
      </c>
      <c r="AA689" s="147" t="s">
        <v>2978</v>
      </c>
    </row>
    <row r="690" spans="1:27" ht="18.600000000000001" customHeight="1">
      <c r="A690" s="140" t="str">
        <f>IF(priority(Main[[#This Row],[Comments]])&lt;&gt;0, priority(Main[[#This Row],[Comments]]),"")</f>
        <v/>
      </c>
      <c r="B690" s="90" t="s">
        <v>1535</v>
      </c>
      <c r="C690" s="72" t="s">
        <v>355</v>
      </c>
      <c r="D690" s="73" t="s">
        <v>601</v>
      </c>
      <c r="E690" s="74"/>
      <c r="F690" s="74">
        <v>40452</v>
      </c>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v>40344</v>
      </c>
      <c r="R690" s="74"/>
      <c r="S690" s="72" t="s">
        <v>11</v>
      </c>
      <c r="T690" s="80" t="s">
        <v>4</v>
      </c>
      <c r="U690" s="72" t="s">
        <v>14</v>
      </c>
      <c r="V690" s="72" t="s">
        <v>1935</v>
      </c>
      <c r="W690" s="72" t="s">
        <v>1938</v>
      </c>
      <c r="X690" s="72" t="s">
        <v>2963</v>
      </c>
      <c r="Y690" s="72" t="s">
        <v>3091</v>
      </c>
      <c r="Z690" s="72" t="s">
        <v>535</v>
      </c>
      <c r="AA690" s="147" t="s">
        <v>2963</v>
      </c>
    </row>
    <row r="691" spans="1:27" ht="18.600000000000001" customHeight="1">
      <c r="A691" s="140" t="str">
        <f>IF(priority(Main[[#This Row],[Comments]])&lt;&gt;0, priority(Main[[#This Row],[Comments]]),"")</f>
        <v/>
      </c>
      <c r="B691" s="90" t="s">
        <v>1536</v>
      </c>
      <c r="C691" s="72" t="s">
        <v>4</v>
      </c>
      <c r="D691" s="73" t="s">
        <v>602</v>
      </c>
      <c r="E691" s="74">
        <v>40645.435763888891</v>
      </c>
      <c r="F691" s="74"/>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567</v>
      </c>
      <c r="J691" s="72" t="s">
        <v>70</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v>40669</v>
      </c>
      <c r="R691" s="74"/>
      <c r="S691" s="72" t="s">
        <v>6</v>
      </c>
      <c r="T691" s="80" t="s">
        <v>4</v>
      </c>
      <c r="U691" s="72" t="s">
        <v>29</v>
      </c>
      <c r="V691" s="72" t="s">
        <v>1932</v>
      </c>
      <c r="W691" s="72" t="s">
        <v>4</v>
      </c>
      <c r="X691" s="72" t="s">
        <v>126</v>
      </c>
      <c r="Y691" s="72" t="s">
        <v>3128</v>
      </c>
      <c r="Z691" s="72" t="s">
        <v>4</v>
      </c>
      <c r="AA691" s="147" t="s">
        <v>126</v>
      </c>
    </row>
    <row r="692" spans="1:27" ht="18.600000000000001" customHeight="1">
      <c r="A692" s="140" t="str">
        <f>IF(priority(Main[[#This Row],[Comments]])&lt;&gt;0, priority(Main[[#This Row],[Comments]]),"")</f>
        <v/>
      </c>
      <c r="B692" s="90" t="s">
        <v>1538</v>
      </c>
      <c r="C692" s="72" t="s">
        <v>405</v>
      </c>
      <c r="D692" s="73" t="s">
        <v>603</v>
      </c>
      <c r="E692" s="74"/>
      <c r="F692" s="74">
        <v>40447</v>
      </c>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v>40349</v>
      </c>
      <c r="R692" s="74"/>
      <c r="S692" s="72" t="s">
        <v>11</v>
      </c>
      <c r="T692" s="80" t="s">
        <v>4</v>
      </c>
      <c r="U692" s="72" t="s">
        <v>14</v>
      </c>
      <c r="V692" s="72" t="s">
        <v>1942</v>
      </c>
      <c r="W692" s="72" t="s">
        <v>1937</v>
      </c>
      <c r="X692" s="72" t="s">
        <v>2941</v>
      </c>
      <c r="Y692" s="72" t="s">
        <v>4</v>
      </c>
      <c r="Z692" s="72" t="s">
        <v>4</v>
      </c>
      <c r="AA692" s="147" t="s">
        <v>2941</v>
      </c>
    </row>
    <row r="693" spans="1:27" ht="18.600000000000001" customHeight="1">
      <c r="A693" s="140" t="str">
        <f>IF(priority(Main[[#This Row],[Comments]])&lt;&gt;0, priority(Main[[#This Row],[Comments]]),"")</f>
        <v/>
      </c>
      <c r="B693" s="90" t="s">
        <v>1558</v>
      </c>
      <c r="C693" s="72" t="s">
        <v>441</v>
      </c>
      <c r="D693" s="73" t="s">
        <v>631</v>
      </c>
      <c r="E693" s="74"/>
      <c r="F693" s="74">
        <v>40056</v>
      </c>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81"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c r="R693" s="74"/>
      <c r="S693" s="72" t="s">
        <v>11</v>
      </c>
      <c r="T693" s="80" t="s">
        <v>4</v>
      </c>
      <c r="U693" s="72" t="s">
        <v>14</v>
      </c>
      <c r="V693" s="72" t="s">
        <v>1932</v>
      </c>
      <c r="W693" s="72" t="s">
        <v>1940</v>
      </c>
      <c r="X693" s="72" t="s">
        <v>2944</v>
      </c>
      <c r="Y693" s="72" t="s">
        <v>3086</v>
      </c>
      <c r="Z693" s="72" t="s">
        <v>4</v>
      </c>
      <c r="AA693" s="147" t="s">
        <v>2944</v>
      </c>
    </row>
    <row r="694" spans="1:27" ht="18.600000000000001" customHeight="1">
      <c r="A694" s="140" t="str">
        <f>IF(priority(Main[[#This Row],[Comments]])&lt;&gt;0, priority(Main[[#This Row],[Comments]]),"")</f>
        <v/>
      </c>
      <c r="B694" s="90" t="s">
        <v>1559</v>
      </c>
      <c r="C694" s="72" t="s">
        <v>4</v>
      </c>
      <c r="D694" s="73" t="s">
        <v>632</v>
      </c>
      <c r="E694" s="74"/>
      <c r="F694" s="74"/>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81"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c r="R694" s="74"/>
      <c r="S694" s="72" t="s">
        <v>17</v>
      </c>
      <c r="T694" s="80" t="s">
        <v>4</v>
      </c>
      <c r="U694" s="72" t="s">
        <v>12</v>
      </c>
      <c r="V694" s="72" t="s">
        <v>1932</v>
      </c>
      <c r="W694" s="72" t="s">
        <v>1934</v>
      </c>
      <c r="X694" s="72" t="s">
        <v>900</v>
      </c>
      <c r="Y694" s="72" t="s">
        <v>3168</v>
      </c>
      <c r="Z694" s="72" t="s">
        <v>4</v>
      </c>
      <c r="AA694" s="147" t="s">
        <v>900</v>
      </c>
    </row>
    <row r="695" spans="1:27" ht="18.600000000000001" customHeight="1">
      <c r="A695" s="140" t="str">
        <f>IF(priority(Main[[#This Row],[Comments]])&lt;&gt;0, priority(Main[[#This Row],[Comments]]),"")</f>
        <v/>
      </c>
      <c r="B695" s="90" t="s">
        <v>1856</v>
      </c>
      <c r="C695" s="72" t="s">
        <v>500</v>
      </c>
      <c r="D695" s="73" t="s">
        <v>904</v>
      </c>
      <c r="E695" s="74"/>
      <c r="F695" s="74"/>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126</v>
      </c>
      <c r="J695" s="72" t="s">
        <v>28</v>
      </c>
      <c r="K695" s="72" t="s">
        <v>1945</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40469</v>
      </c>
      <c r="R695" s="74">
        <v>40469</v>
      </c>
      <c r="S695" s="72" t="s">
        <v>11</v>
      </c>
      <c r="T695" s="80" t="s">
        <v>4</v>
      </c>
      <c r="U695" s="72" t="s">
        <v>14</v>
      </c>
      <c r="V695" s="72" t="s">
        <v>1932</v>
      </c>
      <c r="W695" s="72" t="s">
        <v>1940</v>
      </c>
      <c r="X695" s="72" t="s">
        <v>50</v>
      </c>
      <c r="Y695" s="72" t="s">
        <v>3157</v>
      </c>
      <c r="Z695" s="72" t="s">
        <v>129</v>
      </c>
      <c r="AA695" s="147" t="s">
        <v>2951</v>
      </c>
    </row>
    <row r="696" spans="1:27" ht="18.600000000000001" customHeight="1">
      <c r="A696" s="140" t="str">
        <f>IF(priority(Main[[#This Row],[Comments]])&lt;&gt;0, priority(Main[[#This Row],[Comments]]),"")</f>
        <v/>
      </c>
      <c r="B696" s="90" t="s">
        <v>1539</v>
      </c>
      <c r="C696" s="72" t="s">
        <v>612</v>
      </c>
      <c r="D696" s="73" t="s">
        <v>613</v>
      </c>
      <c r="E696" s="74"/>
      <c r="F696" s="74">
        <v>41275</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4</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40387</v>
      </c>
      <c r="R696" s="74"/>
      <c r="S696" s="72" t="s">
        <v>11</v>
      </c>
      <c r="T696" s="80" t="s">
        <v>4</v>
      </c>
      <c r="U696" s="72" t="s">
        <v>14</v>
      </c>
      <c r="V696" s="72" t="s">
        <v>1942</v>
      </c>
      <c r="W696" s="72" t="s">
        <v>1937</v>
      </c>
      <c r="X696" s="72" t="s">
        <v>2915</v>
      </c>
      <c r="Y696" s="72" t="s">
        <v>3170</v>
      </c>
      <c r="Z696" s="72" t="s">
        <v>81</v>
      </c>
      <c r="AA696" s="147" t="s">
        <v>3466</v>
      </c>
    </row>
    <row r="697" spans="1:27" ht="18.600000000000001" customHeight="1">
      <c r="A697" s="140" t="str">
        <f>IF(priority(Main[[#This Row],[Comments]])&lt;&gt;0, priority(Main[[#This Row],[Comments]]),"")</f>
        <v/>
      </c>
      <c r="B697" s="90" t="s">
        <v>1540</v>
      </c>
      <c r="C697" s="72" t="s">
        <v>612</v>
      </c>
      <c r="D697" s="73" t="s">
        <v>614</v>
      </c>
      <c r="E697" s="74"/>
      <c r="F697" s="74">
        <v>41275</v>
      </c>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40387</v>
      </c>
      <c r="R697" s="74"/>
      <c r="S697" s="72" t="s">
        <v>11</v>
      </c>
      <c r="T697" s="80" t="s">
        <v>4</v>
      </c>
      <c r="U697" s="72" t="s">
        <v>14</v>
      </c>
      <c r="V697" s="72" t="s">
        <v>1942</v>
      </c>
      <c r="W697" s="72" t="s">
        <v>1937</v>
      </c>
      <c r="X697" s="72" t="s">
        <v>2915</v>
      </c>
      <c r="Y697" s="72" t="s">
        <v>3170</v>
      </c>
      <c r="Z697" s="72" t="s">
        <v>4</v>
      </c>
      <c r="AA697" s="147" t="s">
        <v>3466</v>
      </c>
    </row>
    <row r="698" spans="1:27" ht="18.600000000000001" customHeight="1">
      <c r="A698" s="140" t="str">
        <f>IF(priority(Main[[#This Row],[Comments]])&lt;&gt;0, priority(Main[[#This Row],[Comments]]),"")</f>
        <v/>
      </c>
      <c r="B698" s="90" t="s">
        <v>1541</v>
      </c>
      <c r="C698" s="72" t="s">
        <v>294</v>
      </c>
      <c r="D698" s="73" t="s">
        <v>295</v>
      </c>
      <c r="E698" s="74"/>
      <c r="F698" s="74"/>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4</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40052</v>
      </c>
      <c r="R698" s="74"/>
      <c r="S698" s="72" t="s">
        <v>11</v>
      </c>
      <c r="T698" s="80" t="s">
        <v>4</v>
      </c>
      <c r="U698" s="72" t="s">
        <v>14</v>
      </c>
      <c r="V698" s="72" t="s">
        <v>1935</v>
      </c>
      <c r="W698" s="72" t="s">
        <v>1934</v>
      </c>
      <c r="X698" s="72" t="s">
        <v>2925</v>
      </c>
      <c r="Y698" s="72" t="s">
        <v>4</v>
      </c>
      <c r="Z698" s="72" t="s">
        <v>4</v>
      </c>
      <c r="AA698" s="147" t="s">
        <v>2925</v>
      </c>
    </row>
    <row r="699" spans="1:27" ht="18.600000000000001" customHeight="1">
      <c r="A699" s="140" t="str">
        <f>IF(priority(Main[[#This Row],[Comments]])&lt;&gt;0, priority(Main[[#This Row],[Comments]]),"")</f>
        <v/>
      </c>
      <c r="B699" s="90" t="s">
        <v>1542</v>
      </c>
      <c r="C699" s="72" t="s">
        <v>4</v>
      </c>
      <c r="D699" s="73" t="s">
        <v>615</v>
      </c>
      <c r="E699" s="74">
        <v>40533.617372685185</v>
      </c>
      <c r="F699" s="74">
        <v>40602</v>
      </c>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28</v>
      </c>
      <c r="K699" s="72" t="s">
        <v>1941</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40602</v>
      </c>
      <c r="R699" s="74"/>
      <c r="S699" s="72" t="s">
        <v>6</v>
      </c>
      <c r="T699" s="80" t="s">
        <v>4</v>
      </c>
      <c r="U699" s="72" t="s">
        <v>7</v>
      </c>
      <c r="V699" s="72" t="s">
        <v>1932</v>
      </c>
      <c r="W699" s="72" t="s">
        <v>1934</v>
      </c>
      <c r="X699" s="72" t="s">
        <v>2978</v>
      </c>
      <c r="Y699" s="72" t="s">
        <v>3138</v>
      </c>
      <c r="Z699" s="72" t="s">
        <v>129</v>
      </c>
      <c r="AA699" s="147" t="s">
        <v>2978</v>
      </c>
    </row>
    <row r="700" spans="1:27" ht="18.600000000000001" customHeight="1">
      <c r="A700" s="140" t="str">
        <f>IF(priority(Main[[#This Row],[Comments]])&lt;&gt;0, priority(Main[[#This Row],[Comments]]),"")</f>
        <v/>
      </c>
      <c r="B700" s="90" t="s">
        <v>1543</v>
      </c>
      <c r="C700" s="72" t="s">
        <v>4</v>
      </c>
      <c r="D700" s="73" t="s">
        <v>616</v>
      </c>
      <c r="E700" s="74">
        <v>40387.693402777775</v>
      </c>
      <c r="F700" s="74"/>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28</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40400</v>
      </c>
      <c r="R700" s="74"/>
      <c r="S700" s="72" t="s">
        <v>6</v>
      </c>
      <c r="T700" s="80" t="s">
        <v>4</v>
      </c>
      <c r="U700" s="72" t="s">
        <v>7</v>
      </c>
      <c r="V700" s="72" t="s">
        <v>1932</v>
      </c>
      <c r="W700" s="72" t="s">
        <v>1934</v>
      </c>
      <c r="X700" s="72" t="s">
        <v>102</v>
      </c>
      <c r="Y700" s="72" t="s">
        <v>3127</v>
      </c>
      <c r="Z700" s="72" t="s">
        <v>129</v>
      </c>
      <c r="AA700" s="147" t="s">
        <v>3638</v>
      </c>
    </row>
    <row r="701" spans="1:27" ht="18.600000000000001" customHeight="1">
      <c r="A701" s="140" t="str">
        <f>IF(priority(Main[[#This Row],[Comments]])&lt;&gt;0, priority(Main[[#This Row],[Comments]]),"")</f>
        <v/>
      </c>
      <c r="B701" s="90" t="s">
        <v>1544</v>
      </c>
      <c r="C701" s="72" t="s">
        <v>4</v>
      </c>
      <c r="D701" s="73" t="s">
        <v>617</v>
      </c>
      <c r="E701" s="74">
        <v>40506.643229166664</v>
      </c>
      <c r="F701" s="74"/>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28</v>
      </c>
      <c r="K701" s="81" t="s">
        <v>1939</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40548</v>
      </c>
      <c r="R701" s="74"/>
      <c r="S701" s="72" t="s">
        <v>6</v>
      </c>
      <c r="T701" s="80" t="s">
        <v>4</v>
      </c>
      <c r="U701" s="72" t="s">
        <v>7</v>
      </c>
      <c r="V701" s="72" t="s">
        <v>1932</v>
      </c>
      <c r="W701" s="72" t="s">
        <v>1936</v>
      </c>
      <c r="X701" s="72" t="s">
        <v>2912</v>
      </c>
      <c r="Y701" s="72" t="s">
        <v>3031</v>
      </c>
      <c r="Z701" s="72" t="s">
        <v>129</v>
      </c>
      <c r="AA701" s="147" t="s">
        <v>2912</v>
      </c>
    </row>
    <row r="702" spans="1:27" ht="18.600000000000001" customHeight="1">
      <c r="A702" s="140" t="str">
        <f>IF(priority(Main[[#This Row],[Comments]])&lt;&gt;0, priority(Main[[#This Row],[Comments]]),"")</f>
        <v/>
      </c>
      <c r="B702" s="90" t="s">
        <v>1545</v>
      </c>
      <c r="C702" s="72" t="s">
        <v>4</v>
      </c>
      <c r="D702" s="73" t="s">
        <v>618</v>
      </c>
      <c r="E702" s="74">
        <v>40371.390138888892</v>
      </c>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40385</v>
      </c>
      <c r="R702" s="74"/>
      <c r="S702" s="72" t="s">
        <v>6</v>
      </c>
      <c r="T702" s="80" t="s">
        <v>4</v>
      </c>
      <c r="U702" s="72" t="s">
        <v>7</v>
      </c>
      <c r="V702" s="72" t="s">
        <v>1932</v>
      </c>
      <c r="W702" s="72" t="s">
        <v>1934</v>
      </c>
      <c r="X702" s="72" t="s">
        <v>102</v>
      </c>
      <c r="Y702" s="72" t="s">
        <v>3087</v>
      </c>
      <c r="Z702" s="72" t="s">
        <v>4</v>
      </c>
      <c r="AA702" s="147" t="s">
        <v>129</v>
      </c>
    </row>
    <row r="703" spans="1:27" ht="18.600000000000001" customHeight="1">
      <c r="A703" s="140" t="str">
        <f>IF(priority(Main[[#This Row],[Comments]])&lt;&gt;0, priority(Main[[#This Row],[Comments]]),"")</f>
        <v/>
      </c>
      <c r="B703" s="90" t="s">
        <v>1682</v>
      </c>
      <c r="C703" s="72" t="s">
        <v>4</v>
      </c>
      <c r="D703" s="73" t="s">
        <v>738</v>
      </c>
      <c r="E703" s="74"/>
      <c r="F703" s="74"/>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c r="R703" s="74"/>
      <c r="S703" s="72" t="s">
        <v>23</v>
      </c>
      <c r="T703" s="80" t="s">
        <v>4</v>
      </c>
      <c r="U703" s="72" t="s">
        <v>14</v>
      </c>
      <c r="V703" s="72" t="s">
        <v>1932</v>
      </c>
      <c r="W703" s="72" t="s">
        <v>1936</v>
      </c>
      <c r="X703" s="72" t="s">
        <v>102</v>
      </c>
      <c r="Y703" s="72" t="s">
        <v>3171</v>
      </c>
      <c r="Z703" s="72" t="s">
        <v>4</v>
      </c>
      <c r="AA703" s="147" t="s">
        <v>3665</v>
      </c>
    </row>
    <row r="704" spans="1:27" ht="18.600000000000001" customHeight="1">
      <c r="A704" s="140" t="str">
        <f>IF(priority(Main[[#This Row],[Comments]])&lt;&gt;0, priority(Main[[#This Row],[Comments]]),"")</f>
        <v/>
      </c>
      <c r="B704" s="90" t="s">
        <v>1546</v>
      </c>
      <c r="C704" s="72" t="s">
        <v>33</v>
      </c>
      <c r="D704" s="73" t="s">
        <v>619</v>
      </c>
      <c r="E704" s="74"/>
      <c r="F704" s="74">
        <v>40252</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40227</v>
      </c>
      <c r="R704" s="74"/>
      <c r="S704" s="72" t="s">
        <v>11</v>
      </c>
      <c r="T704" s="80" t="s">
        <v>4</v>
      </c>
      <c r="U704" s="72" t="s">
        <v>14</v>
      </c>
      <c r="V704" s="72" t="s">
        <v>1935</v>
      </c>
      <c r="W704" s="72" t="s">
        <v>1937</v>
      </c>
      <c r="X704" s="72" t="s">
        <v>2941</v>
      </c>
      <c r="Y704" s="72" t="s">
        <v>4</v>
      </c>
      <c r="Z704" s="72" t="s">
        <v>4</v>
      </c>
      <c r="AA704" s="147" t="s">
        <v>2941</v>
      </c>
    </row>
    <row r="705" spans="1:27" ht="18.600000000000001" customHeight="1">
      <c r="A705" s="140" t="str">
        <f>IF(priority(Main[[#This Row],[Comments]])&lt;&gt;0, priority(Main[[#This Row],[Comments]]),"")</f>
        <v/>
      </c>
      <c r="B705" s="90" t="s">
        <v>1547</v>
      </c>
      <c r="C705" s="72" t="s">
        <v>4</v>
      </c>
      <c r="D705" s="73" t="s">
        <v>620</v>
      </c>
      <c r="E705" s="74"/>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28</v>
      </c>
      <c r="K705" s="72" t="s">
        <v>1941</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40387</v>
      </c>
      <c r="R705" s="74"/>
      <c r="S705" s="72" t="s">
        <v>6</v>
      </c>
      <c r="T705" s="80" t="s">
        <v>4</v>
      </c>
      <c r="U705" s="72" t="s">
        <v>14</v>
      </c>
      <c r="V705" s="72" t="s">
        <v>1932</v>
      </c>
      <c r="W705" s="72" t="s">
        <v>1937</v>
      </c>
      <c r="X705" s="72" t="s">
        <v>129</v>
      </c>
      <c r="Y705" s="72" t="s">
        <v>3172</v>
      </c>
      <c r="Z705" s="72" t="s">
        <v>129</v>
      </c>
      <c r="AA705" s="147" t="s">
        <v>129</v>
      </c>
    </row>
    <row r="706" spans="1:27" ht="18.600000000000001" customHeight="1">
      <c r="A706" s="140" t="str">
        <f>IF(priority(Main[[#This Row],[Comments]])&lt;&gt;0, priority(Main[[#This Row],[Comments]]),"")</f>
        <v/>
      </c>
      <c r="B706" s="90" t="s">
        <v>1548</v>
      </c>
      <c r="C706" s="72" t="s">
        <v>214</v>
      </c>
      <c r="D706" s="73" t="s">
        <v>418</v>
      </c>
      <c r="E706" s="74"/>
      <c r="F706" s="74">
        <v>40391</v>
      </c>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v>40296</v>
      </c>
      <c r="R706" s="74"/>
      <c r="S706" s="72" t="s">
        <v>11</v>
      </c>
      <c r="T706" s="80" t="s">
        <v>4</v>
      </c>
      <c r="U706" s="72" t="s">
        <v>12</v>
      </c>
      <c r="V706" s="72" t="s">
        <v>1932</v>
      </c>
      <c r="W706" s="72" t="s">
        <v>1940</v>
      </c>
      <c r="X706" s="72" t="s">
        <v>2924</v>
      </c>
      <c r="Y706" s="72" t="s">
        <v>4</v>
      </c>
      <c r="Z706" s="72" t="s">
        <v>4</v>
      </c>
      <c r="AA706" s="147" t="s">
        <v>2924</v>
      </c>
    </row>
    <row r="707" spans="1:27" ht="18.600000000000001" customHeight="1">
      <c r="A707" s="140" t="str">
        <f>IF(priority(Main[[#This Row],[Comments]])&lt;&gt;0, priority(Main[[#This Row],[Comments]]),"")</f>
        <v/>
      </c>
      <c r="B707" s="90" t="s">
        <v>1549</v>
      </c>
      <c r="C707" s="72" t="s">
        <v>214</v>
      </c>
      <c r="D707" s="73" t="s">
        <v>418</v>
      </c>
      <c r="E707" s="74"/>
      <c r="F707" s="74">
        <v>40452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40357</v>
      </c>
      <c r="R707" s="74"/>
      <c r="S707" s="72" t="s">
        <v>11</v>
      </c>
      <c r="T707" s="80" t="s">
        <v>4</v>
      </c>
      <c r="U707" s="72" t="s">
        <v>12</v>
      </c>
      <c r="V707" s="72" t="s">
        <v>1932</v>
      </c>
      <c r="W707" s="72" t="s">
        <v>1940</v>
      </c>
      <c r="X707" s="72" t="s">
        <v>2924</v>
      </c>
      <c r="Y707" s="72" t="s">
        <v>4</v>
      </c>
      <c r="Z707" s="72" t="s">
        <v>4</v>
      </c>
      <c r="AA707" s="147" t="s">
        <v>2924</v>
      </c>
    </row>
    <row r="708" spans="1:27" ht="18.600000000000001" customHeight="1">
      <c r="A708" s="140" t="str">
        <f>IF(priority(Main[[#This Row],[Comments]])&lt;&gt;0, priority(Main[[#This Row],[Comments]]),"")</f>
        <v/>
      </c>
      <c r="B708" s="90" t="s">
        <v>1550</v>
      </c>
      <c r="C708" s="72" t="s">
        <v>214</v>
      </c>
      <c r="D708" s="73" t="s">
        <v>215</v>
      </c>
      <c r="E708" s="74"/>
      <c r="F708" s="74">
        <v>40452</v>
      </c>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4</v>
      </c>
      <c r="K708" s="72" t="s">
        <v>4</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v>40357</v>
      </c>
      <c r="R708" s="74"/>
      <c r="S708" s="72" t="s">
        <v>11</v>
      </c>
      <c r="T708" s="80" t="s">
        <v>4</v>
      </c>
      <c r="U708" s="72" t="s">
        <v>12</v>
      </c>
      <c r="V708" s="72" t="s">
        <v>1932</v>
      </c>
      <c r="W708" s="72" t="s">
        <v>1940</v>
      </c>
      <c r="X708" s="72" t="s">
        <v>2924</v>
      </c>
      <c r="Y708" s="72" t="s">
        <v>4</v>
      </c>
      <c r="Z708" s="72" t="s">
        <v>4</v>
      </c>
      <c r="AA708" s="147" t="s">
        <v>2924</v>
      </c>
    </row>
    <row r="709" spans="1:27" ht="18.600000000000001" customHeight="1">
      <c r="A709" s="140" t="str">
        <f>IF(priority(Main[[#This Row],[Comments]])&lt;&gt;0, priority(Main[[#This Row],[Comments]]),"")</f>
        <v/>
      </c>
      <c r="B709" s="90" t="s">
        <v>1551</v>
      </c>
      <c r="C709" s="72" t="s">
        <v>214</v>
      </c>
      <c r="D709" s="73" t="s">
        <v>215</v>
      </c>
      <c r="E709" s="74"/>
      <c r="F709" s="74">
        <v>40452</v>
      </c>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v>40357</v>
      </c>
      <c r="R709" s="74"/>
      <c r="S709" s="72" t="s">
        <v>11</v>
      </c>
      <c r="T709" s="80" t="s">
        <v>4</v>
      </c>
      <c r="U709" s="72" t="s">
        <v>12</v>
      </c>
      <c r="V709" s="72" t="s">
        <v>1932</v>
      </c>
      <c r="W709" s="72" t="s">
        <v>1940</v>
      </c>
      <c r="X709" s="72" t="s">
        <v>2924</v>
      </c>
      <c r="Y709" s="72" t="s">
        <v>4</v>
      </c>
      <c r="Z709" s="72" t="s">
        <v>4</v>
      </c>
      <c r="AA709" s="147" t="s">
        <v>2924</v>
      </c>
    </row>
    <row r="710" spans="1:27" ht="18.600000000000001" customHeight="1">
      <c r="A710" s="140" t="str">
        <f>IF(priority(Main[[#This Row],[Comments]])&lt;&gt;0, priority(Main[[#This Row],[Comments]]),"")</f>
        <v/>
      </c>
      <c r="B710" s="90" t="s">
        <v>1552</v>
      </c>
      <c r="C710" s="72" t="s">
        <v>72</v>
      </c>
      <c r="D710" s="73" t="s">
        <v>621</v>
      </c>
      <c r="E710" s="74"/>
      <c r="F710" s="74"/>
      <c r="G710" s="75" t="str">
        <f>IF(stdProdLT(Main[[#This Row],[Comments]])=0.1,"N/A",IF(stdProdLT(Main[[#This Row],[Comments]])=0,"",stdProdLT(Main[[#This Row],[Comments]])))</f>
        <v/>
      </c>
      <c r="H710" s="76" t="str">
        <f>IF(AND(Main[[#This Row],[In Stock Date]]&lt;&gt;"",Main[[#This Row],[Revised Due Date]]&lt;&gt;""),Main[[#This Row],[In Stock Date]]-Main[[#This Row],[Revised Due Date]],"")</f>
        <v/>
      </c>
      <c r="I710" s="72" t="s">
        <v>4</v>
      </c>
      <c r="J710" s="72" t="s">
        <v>4</v>
      </c>
      <c r="K710" s="72" t="s">
        <v>4</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74"/>
      <c r="S710" s="72" t="s">
        <v>11</v>
      </c>
      <c r="T710" s="80" t="s">
        <v>4</v>
      </c>
      <c r="U710" s="72" t="s">
        <v>14</v>
      </c>
      <c r="V710" s="72" t="s">
        <v>1933</v>
      </c>
      <c r="W710" s="72" t="s">
        <v>1940</v>
      </c>
      <c r="X710" s="72" t="s">
        <v>2918</v>
      </c>
      <c r="Y710" s="72" t="s">
        <v>3043</v>
      </c>
      <c r="Z710" s="72" t="s">
        <v>4</v>
      </c>
      <c r="AA710" s="147" t="s">
        <v>2918</v>
      </c>
    </row>
    <row r="711" spans="1:27" ht="18.600000000000001" customHeight="1">
      <c r="A711" s="140" t="str">
        <f>IF(priority(Main[[#This Row],[Comments]])&lt;&gt;0, priority(Main[[#This Row],[Comments]]),"")</f>
        <v/>
      </c>
      <c r="B711" s="90" t="s">
        <v>1553</v>
      </c>
      <c r="C711" s="72" t="s">
        <v>33</v>
      </c>
      <c r="D711" s="73" t="s">
        <v>622</v>
      </c>
      <c r="E711" s="74"/>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c r="R711" s="74"/>
      <c r="S711" s="72" t="s">
        <v>11</v>
      </c>
      <c r="T711" s="80" t="s">
        <v>4</v>
      </c>
      <c r="U711" s="72" t="s">
        <v>14</v>
      </c>
      <c r="V711" s="72" t="s">
        <v>1933</v>
      </c>
      <c r="W711" s="72" t="s">
        <v>1940</v>
      </c>
      <c r="X711" s="72" t="s">
        <v>2918</v>
      </c>
      <c r="Y711" s="72" t="s">
        <v>3043</v>
      </c>
      <c r="Z711" s="72" t="s">
        <v>4</v>
      </c>
      <c r="AA711" s="147" t="s">
        <v>2918</v>
      </c>
    </row>
    <row r="712" spans="1:27" ht="18.600000000000001" customHeight="1">
      <c r="A712" s="140" t="str">
        <f>IF(priority(Main[[#This Row],[Comments]])&lt;&gt;0, priority(Main[[#This Row],[Comments]]),"")</f>
        <v/>
      </c>
      <c r="B712" s="90" t="s">
        <v>1554</v>
      </c>
      <c r="C712" s="72" t="s">
        <v>33</v>
      </c>
      <c r="D712" s="73" t="s">
        <v>623</v>
      </c>
      <c r="E712" s="74"/>
      <c r="F712" s="74"/>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c r="R712" s="74"/>
      <c r="S712" s="72" t="s">
        <v>11</v>
      </c>
      <c r="T712" s="80" t="s">
        <v>4</v>
      </c>
      <c r="U712" s="72" t="s">
        <v>14</v>
      </c>
      <c r="V712" s="72" t="s">
        <v>1933</v>
      </c>
      <c r="W712" s="72" t="s">
        <v>1940</v>
      </c>
      <c r="X712" s="72" t="s">
        <v>2918</v>
      </c>
      <c r="Y712" s="72" t="s">
        <v>3043</v>
      </c>
      <c r="Z712" s="72" t="s">
        <v>4</v>
      </c>
      <c r="AA712" s="147" t="s">
        <v>2918</v>
      </c>
    </row>
    <row r="713" spans="1:27" ht="18.600000000000001" customHeight="1">
      <c r="A713" s="140" t="str">
        <f>IF(priority(Main[[#This Row],[Comments]])&lt;&gt;0, priority(Main[[#This Row],[Comments]]),"")</f>
        <v/>
      </c>
      <c r="B713" s="90" t="s">
        <v>1555</v>
      </c>
      <c r="C713" s="72" t="s">
        <v>4</v>
      </c>
      <c r="D713" s="73" t="s">
        <v>624</v>
      </c>
      <c r="E713" s="74">
        <v>40294.429988425924</v>
      </c>
      <c r="F713" s="74"/>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4</v>
      </c>
      <c r="K713" s="72" t="s">
        <v>4</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v>40390</v>
      </c>
      <c r="R713" s="74"/>
      <c r="S713" s="72" t="s">
        <v>6</v>
      </c>
      <c r="T713" s="80" t="s">
        <v>4</v>
      </c>
      <c r="U713" s="72" t="s">
        <v>7</v>
      </c>
      <c r="V713" s="72" t="s">
        <v>1932</v>
      </c>
      <c r="W713" s="72" t="s">
        <v>4</v>
      </c>
      <c r="X713" s="72" t="s">
        <v>2910</v>
      </c>
      <c r="Y713" s="72" t="s">
        <v>3027</v>
      </c>
      <c r="Z713" s="72" t="s">
        <v>4</v>
      </c>
      <c r="AA713" s="147" t="s">
        <v>2910</v>
      </c>
    </row>
    <row r="714" spans="1:27" ht="18.600000000000001" customHeight="1">
      <c r="A714" s="140" t="str">
        <f>IF(priority(Main[[#This Row],[Comments]])&lt;&gt;0, priority(Main[[#This Row],[Comments]]),"")</f>
        <v/>
      </c>
      <c r="B714" s="90" t="s">
        <v>1556</v>
      </c>
      <c r="C714" s="72" t="s">
        <v>4</v>
      </c>
      <c r="D714" s="73" t="s">
        <v>625</v>
      </c>
      <c r="E714" s="74"/>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c r="R714" s="74"/>
      <c r="S714" s="72" t="s">
        <v>11</v>
      </c>
      <c r="T714" s="80" t="s">
        <v>4</v>
      </c>
      <c r="U714" s="72" t="s">
        <v>14</v>
      </c>
      <c r="V714" s="72" t="s">
        <v>1932</v>
      </c>
      <c r="W714" s="72" t="s">
        <v>1936</v>
      </c>
      <c r="X714" s="72" t="s">
        <v>933</v>
      </c>
      <c r="Y714" s="72" t="s">
        <v>3077</v>
      </c>
      <c r="Z714" s="72" t="s">
        <v>4</v>
      </c>
      <c r="AA714" s="147" t="s">
        <v>933</v>
      </c>
    </row>
    <row r="715" spans="1:27" ht="18.600000000000001" customHeight="1">
      <c r="A715" s="140" t="str">
        <f>IF(priority(Main[[#This Row],[Comments]])&lt;&gt;0, priority(Main[[#This Row],[Comments]]),"")</f>
        <v/>
      </c>
      <c r="B715" s="90" t="s">
        <v>1526</v>
      </c>
      <c r="C715" s="72" t="s">
        <v>93</v>
      </c>
      <c r="D715" s="73" t="s">
        <v>592</v>
      </c>
      <c r="E715" s="74"/>
      <c r="F715" s="74">
        <v>40302</v>
      </c>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4</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v>40190</v>
      </c>
      <c r="R715" s="74"/>
      <c r="S715" s="72" t="s">
        <v>11</v>
      </c>
      <c r="T715" s="80" t="s">
        <v>4</v>
      </c>
      <c r="U715" s="72" t="s">
        <v>12</v>
      </c>
      <c r="V715" s="72" t="s">
        <v>1942</v>
      </c>
      <c r="W715" s="72" t="s">
        <v>1938</v>
      </c>
      <c r="X715" s="72" t="s">
        <v>2989</v>
      </c>
      <c r="Y715" s="72" t="s">
        <v>4</v>
      </c>
      <c r="Z715" s="72" t="s">
        <v>4</v>
      </c>
      <c r="AA715" s="147" t="s">
        <v>2989</v>
      </c>
    </row>
    <row r="716" spans="1:27" ht="18.600000000000001" customHeight="1">
      <c r="A716" s="140" t="str">
        <f>IF(priority(Main[[#This Row],[Comments]])&lt;&gt;0, priority(Main[[#This Row],[Comments]]),"")</f>
        <v/>
      </c>
      <c r="B716" s="90" t="s">
        <v>1527</v>
      </c>
      <c r="C716" s="72" t="s">
        <v>4</v>
      </c>
      <c r="D716" s="73" t="s">
        <v>593</v>
      </c>
      <c r="E716" s="74"/>
      <c r="F716" s="74">
        <v>40330</v>
      </c>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v>
      </c>
      <c r="J716" s="72" t="s">
        <v>4</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40210</v>
      </c>
      <c r="R716" s="74"/>
      <c r="S716" s="72" t="s">
        <v>11</v>
      </c>
      <c r="T716" s="80" t="s">
        <v>4</v>
      </c>
      <c r="U716" s="72" t="s">
        <v>12</v>
      </c>
      <c r="V716" s="72" t="s">
        <v>1933</v>
      </c>
      <c r="W716" s="72" t="s">
        <v>1938</v>
      </c>
      <c r="X716" s="72" t="s">
        <v>2915</v>
      </c>
      <c r="Y716" s="72" t="s">
        <v>3038</v>
      </c>
      <c r="Z716" s="72" t="s">
        <v>4</v>
      </c>
      <c r="AA716" s="147" t="s">
        <v>2915</v>
      </c>
    </row>
    <row r="717" spans="1:27" ht="18.600000000000001" customHeight="1">
      <c r="A717" s="140" t="str">
        <f>IF(priority(Main[[#This Row],[Comments]])&lt;&gt;0, priority(Main[[#This Row],[Comments]]),"")</f>
        <v/>
      </c>
      <c r="B717" s="90" t="s">
        <v>1528</v>
      </c>
      <c r="C717" s="72" t="s">
        <v>4</v>
      </c>
      <c r="D717" s="73" t="s">
        <v>594</v>
      </c>
      <c r="E717" s="74">
        <v>40217.626817129632</v>
      </c>
      <c r="F717" s="74"/>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40229</v>
      </c>
      <c r="R717" s="74"/>
      <c r="S717" s="72" t="s">
        <v>6</v>
      </c>
      <c r="T717" s="80" t="s">
        <v>4</v>
      </c>
      <c r="U717" s="72" t="s">
        <v>7</v>
      </c>
      <c r="V717" s="72" t="s">
        <v>1932</v>
      </c>
      <c r="W717" s="72" t="s">
        <v>1936</v>
      </c>
      <c r="X717" s="72" t="s">
        <v>2912</v>
      </c>
      <c r="Y717" s="72" t="s">
        <v>3031</v>
      </c>
      <c r="Z717" s="72" t="s">
        <v>4</v>
      </c>
      <c r="AA717" s="147" t="s">
        <v>2912</v>
      </c>
    </row>
    <row r="718" spans="1:27" ht="18.600000000000001" customHeight="1">
      <c r="A718" s="140" t="str">
        <f>IF(priority(Main[[#This Row],[Comments]])&lt;&gt;0, priority(Main[[#This Row],[Comments]]),"")</f>
        <v/>
      </c>
      <c r="B718" s="90" t="s">
        <v>1560</v>
      </c>
      <c r="C718" s="72" t="s">
        <v>4</v>
      </c>
      <c r="D718" s="73" t="s">
        <v>633</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6</v>
      </c>
      <c r="T718" s="80" t="s">
        <v>4</v>
      </c>
      <c r="U718" s="72" t="s">
        <v>12</v>
      </c>
      <c r="V718" s="72" t="s">
        <v>1932</v>
      </c>
      <c r="W718" s="72" t="s">
        <v>4</v>
      </c>
      <c r="X718" s="72" t="s">
        <v>718</v>
      </c>
      <c r="Y718" s="72" t="s">
        <v>3173</v>
      </c>
      <c r="Z718" s="72" t="s">
        <v>4</v>
      </c>
      <c r="AA718" s="147" t="s">
        <v>3666</v>
      </c>
    </row>
    <row r="719" spans="1:27" ht="18.600000000000001" customHeight="1">
      <c r="A719" s="140" t="str">
        <f>IF(priority(Main[[#This Row],[Comments]])&lt;&gt;0, priority(Main[[#This Row],[Comments]]),"")</f>
        <v/>
      </c>
      <c r="B719" s="90" t="s">
        <v>1561</v>
      </c>
      <c r="C719" s="72" t="s">
        <v>93</v>
      </c>
      <c r="D719" s="73" t="s">
        <v>634</v>
      </c>
      <c r="E719" s="74"/>
      <c r="F719" s="74">
        <v>40162</v>
      </c>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4</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40147</v>
      </c>
      <c r="R719" s="74"/>
      <c r="S719" s="72" t="s">
        <v>11</v>
      </c>
      <c r="T719" s="80" t="s">
        <v>4</v>
      </c>
      <c r="U719" s="72" t="s">
        <v>14</v>
      </c>
      <c r="V719" s="72" t="s">
        <v>1942</v>
      </c>
      <c r="W719" s="72" t="s">
        <v>1938</v>
      </c>
      <c r="X719" s="72" t="s">
        <v>2936</v>
      </c>
      <c r="Y719" s="72" t="s">
        <v>4</v>
      </c>
      <c r="Z719" s="72" t="s">
        <v>4</v>
      </c>
      <c r="AA719" s="147" t="s">
        <v>2936</v>
      </c>
    </row>
    <row r="720" spans="1:27" ht="18.600000000000001" customHeight="1">
      <c r="A720" s="140" t="str">
        <f>IF(priority(Main[[#This Row],[Comments]])&lt;&gt;0, priority(Main[[#This Row],[Comments]]),"")</f>
        <v/>
      </c>
      <c r="B720" s="90" t="s">
        <v>1562</v>
      </c>
      <c r="C720" s="72" t="s">
        <v>4</v>
      </c>
      <c r="D720" s="73" t="s">
        <v>635</v>
      </c>
      <c r="E720" s="74"/>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28</v>
      </c>
      <c r="K720" s="72" t="s">
        <v>1945</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c r="R720" s="74"/>
      <c r="S720" s="72" t="s">
        <v>11</v>
      </c>
      <c r="T720" s="80" t="s">
        <v>4</v>
      </c>
      <c r="U720" s="72" t="s">
        <v>14</v>
      </c>
      <c r="V720" s="72" t="s">
        <v>1932</v>
      </c>
      <c r="W720" s="72" t="s">
        <v>1936</v>
      </c>
      <c r="X720" s="72" t="s">
        <v>2074</v>
      </c>
      <c r="Y720" s="72" t="s">
        <v>3097</v>
      </c>
      <c r="Z720" s="72" t="s">
        <v>129</v>
      </c>
      <c r="AA720" s="147" t="s">
        <v>2074</v>
      </c>
    </row>
    <row r="721" spans="1:27" ht="18.600000000000001" customHeight="1">
      <c r="A721" s="140" t="str">
        <f>IF(priority(Main[[#This Row],[Comments]])&lt;&gt;0, priority(Main[[#This Row],[Comments]]),"")</f>
        <v/>
      </c>
      <c r="B721" s="90" t="s">
        <v>1132</v>
      </c>
      <c r="C721" s="72" t="s">
        <v>4</v>
      </c>
      <c r="D721" s="73" t="s">
        <v>170</v>
      </c>
      <c r="E721" s="74"/>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40737</v>
      </c>
      <c r="R721" s="74"/>
      <c r="S721" s="72" t="s">
        <v>6</v>
      </c>
      <c r="T721" s="80" t="s">
        <v>4</v>
      </c>
      <c r="U721" s="72" t="s">
        <v>14</v>
      </c>
      <c r="V721" s="72" t="s">
        <v>1935</v>
      </c>
      <c r="W721" s="72" t="s">
        <v>1936</v>
      </c>
      <c r="X721" s="72" t="s">
        <v>2927</v>
      </c>
      <c r="Y721" s="72" t="s">
        <v>3060</v>
      </c>
      <c r="Z721" s="72" t="s">
        <v>4</v>
      </c>
      <c r="AA721" s="147" t="s">
        <v>2927</v>
      </c>
    </row>
    <row r="722" spans="1:27" ht="18.600000000000001" customHeight="1">
      <c r="A722" s="140" t="str">
        <f>IF(priority(Main[[#This Row],[Comments]])&lt;&gt;0, priority(Main[[#This Row],[Comments]]),"")</f>
        <v/>
      </c>
      <c r="B722" s="90" t="s">
        <v>1917</v>
      </c>
      <c r="C722" s="72" t="s">
        <v>72</v>
      </c>
      <c r="D722" s="73" t="s">
        <v>2117</v>
      </c>
      <c r="E722" s="74">
        <v>40469.931226851855</v>
      </c>
      <c r="F722" s="74">
        <v>40487</v>
      </c>
      <c r="G722" s="75" t="str">
        <f>IF(stdProdLT(Main[[#This Row],[Comments]])=0.1,"N/A",IF(stdProdLT(Main[[#This Row],[Comments]])=0,"",stdProdLT(Main[[#This Row],[Comments]])))</f>
        <v/>
      </c>
      <c r="H722" s="76">
        <f>IF(AND(Main[[#This Row],[In Stock Date]]&lt;&gt;"",Main[[#This Row],[Revised Due Date]]&lt;&gt;""),Main[[#This Row],[In Stock Date]]-Main[[#This Row],[Revised Due Date]],"")</f>
        <v>-294</v>
      </c>
      <c r="I722" s="72" t="s">
        <v>2075</v>
      </c>
      <c r="J722" s="72" t="s">
        <v>52</v>
      </c>
      <c r="K722" s="72" t="s">
        <v>1939</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c r="R722" s="74">
        <v>40781</v>
      </c>
      <c r="S722" s="72" t="s">
        <v>6</v>
      </c>
      <c r="T722" s="80" t="s">
        <v>2118</v>
      </c>
      <c r="U722" s="72" t="s">
        <v>29</v>
      </c>
      <c r="V722" s="72" t="s">
        <v>1933</v>
      </c>
      <c r="W722" s="72" t="s">
        <v>1934</v>
      </c>
      <c r="X722" s="72" t="s">
        <v>2992</v>
      </c>
      <c r="Y722" s="72" t="s">
        <v>3174</v>
      </c>
      <c r="Z722" s="72" t="s">
        <v>108</v>
      </c>
      <c r="AA722" s="147" t="s">
        <v>2992</v>
      </c>
    </row>
    <row r="723" spans="1:27" ht="18.600000000000001" customHeight="1">
      <c r="A723" s="140" t="str">
        <f>IF(priority(Main[[#This Row],[Comments]])&lt;&gt;0, priority(Main[[#This Row],[Comments]]),"")</f>
        <v/>
      </c>
      <c r="B723" s="90" t="s">
        <v>1563</v>
      </c>
      <c r="C723" s="72" t="s">
        <v>4</v>
      </c>
      <c r="D723" s="73" t="s">
        <v>39</v>
      </c>
      <c r="E723" s="74"/>
      <c r="F723" s="74"/>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v>
      </c>
      <c r="J723" s="72" t="s">
        <v>4</v>
      </c>
      <c r="K723" s="72"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40669</v>
      </c>
      <c r="R723" s="74"/>
      <c r="S723" s="72" t="s">
        <v>6</v>
      </c>
      <c r="T723" s="80" t="s">
        <v>4</v>
      </c>
      <c r="U723" s="72" t="s">
        <v>14</v>
      </c>
      <c r="V723" s="72" t="s">
        <v>1935</v>
      </c>
      <c r="W723" s="72" t="s">
        <v>4</v>
      </c>
      <c r="X723" s="72" t="s">
        <v>2909</v>
      </c>
      <c r="Y723" s="72" t="s">
        <v>3024</v>
      </c>
      <c r="Z723" s="72" t="s">
        <v>4</v>
      </c>
      <c r="AA723" s="147" t="s">
        <v>2909</v>
      </c>
    </row>
    <row r="724" spans="1:27" ht="18.600000000000001" customHeight="1">
      <c r="A724" s="140" t="str">
        <f>IF(priority(Main[[#This Row],[Comments]])&lt;&gt;0, priority(Main[[#This Row],[Comments]]),"")</f>
        <v/>
      </c>
      <c r="B724" s="90" t="s">
        <v>1568</v>
      </c>
      <c r="C724" s="72" t="s">
        <v>95</v>
      </c>
      <c r="D724" s="73" t="s">
        <v>641</v>
      </c>
      <c r="E724" s="74"/>
      <c r="F724" s="74">
        <v>40195</v>
      </c>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40070</v>
      </c>
      <c r="R724" s="74"/>
      <c r="S724" s="72" t="s">
        <v>11</v>
      </c>
      <c r="T724" s="80" t="s">
        <v>4</v>
      </c>
      <c r="U724" s="72" t="s">
        <v>14</v>
      </c>
      <c r="V724" s="72" t="s">
        <v>1935</v>
      </c>
      <c r="W724" s="72" t="s">
        <v>1938</v>
      </c>
      <c r="X724" s="72" t="s">
        <v>2967</v>
      </c>
      <c r="Y724" s="72" t="s">
        <v>4</v>
      </c>
      <c r="Z724" s="72" t="s">
        <v>4</v>
      </c>
      <c r="AA724" s="147" t="s">
        <v>3648</v>
      </c>
    </row>
    <row r="725" spans="1:27" ht="18.600000000000001" customHeight="1">
      <c r="A725" s="140" t="str">
        <f>IF(priority(Main[[#This Row],[Comments]])&lt;&gt;0, priority(Main[[#This Row],[Comments]]),"")</f>
        <v/>
      </c>
      <c r="B725" s="90" t="s">
        <v>1569</v>
      </c>
      <c r="C725" s="72" t="s">
        <v>4</v>
      </c>
      <c r="D725" s="73" t="s">
        <v>638</v>
      </c>
      <c r="E725" s="74"/>
      <c r="F725" s="74"/>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403</v>
      </c>
      <c r="J725" s="72" t="s">
        <v>75</v>
      </c>
      <c r="K725" s="72" t="s">
        <v>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v>40186</v>
      </c>
      <c r="R725" s="74"/>
      <c r="S725" s="72" t="s">
        <v>6</v>
      </c>
      <c r="T725" s="80" t="s">
        <v>4</v>
      </c>
      <c r="U725" s="72" t="s">
        <v>14</v>
      </c>
      <c r="V725" s="72" t="s">
        <v>1935</v>
      </c>
      <c r="W725" s="72" t="s">
        <v>1943</v>
      </c>
      <c r="X725" s="72" t="s">
        <v>894</v>
      </c>
      <c r="Y725" s="72" t="s">
        <v>3058</v>
      </c>
      <c r="Z725" s="72" t="s">
        <v>310</v>
      </c>
      <c r="AA725" s="147" t="s">
        <v>894</v>
      </c>
    </row>
    <row r="726" spans="1:27" ht="18.600000000000001" customHeight="1">
      <c r="A726" s="140" t="str">
        <f>IF(priority(Main[[#This Row],[Comments]])&lt;&gt;0, priority(Main[[#This Row],[Comments]]),"")</f>
        <v/>
      </c>
      <c r="B726" s="90" t="s">
        <v>1570</v>
      </c>
      <c r="C726" s="72" t="s">
        <v>4</v>
      </c>
      <c r="D726" s="73" t="s">
        <v>639</v>
      </c>
      <c r="E726" s="74"/>
      <c r="F726" s="74"/>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4</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40389</v>
      </c>
      <c r="R726" s="74"/>
      <c r="S726" s="72" t="s">
        <v>6</v>
      </c>
      <c r="T726" s="80" t="s">
        <v>4</v>
      </c>
      <c r="U726" s="72" t="s">
        <v>12</v>
      </c>
      <c r="V726" s="72" t="s">
        <v>1932</v>
      </c>
      <c r="W726" s="72" t="s">
        <v>4</v>
      </c>
      <c r="X726" s="72" t="s">
        <v>918</v>
      </c>
      <c r="Y726" s="72" t="s">
        <v>3112</v>
      </c>
      <c r="Z726" s="72" t="s">
        <v>4</v>
      </c>
      <c r="AA726" s="147" t="s">
        <v>918</v>
      </c>
    </row>
    <row r="727" spans="1:27" ht="18.600000000000001" customHeight="1">
      <c r="A727" s="140" t="str">
        <f>IF(priority(Main[[#This Row],[Comments]])&lt;&gt;0, priority(Main[[#This Row],[Comments]]),"")</f>
        <v/>
      </c>
      <c r="B727" s="90" t="s">
        <v>1595</v>
      </c>
      <c r="C727" s="72" t="s">
        <v>79</v>
      </c>
      <c r="D727" s="73" t="s">
        <v>665</v>
      </c>
      <c r="E727" s="74"/>
      <c r="F727" s="74"/>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28</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c r="R727" s="74"/>
      <c r="S727" s="72" t="s">
        <v>6</v>
      </c>
      <c r="T727" s="80" t="s">
        <v>666</v>
      </c>
      <c r="U727" s="72" t="s">
        <v>14</v>
      </c>
      <c r="V727" s="72" t="s">
        <v>1933</v>
      </c>
      <c r="W727" s="72" t="s">
        <v>1934</v>
      </c>
      <c r="X727" s="72" t="s">
        <v>2952</v>
      </c>
      <c r="Y727" s="72" t="s">
        <v>3100</v>
      </c>
      <c r="Z727" s="72" t="s">
        <v>108</v>
      </c>
      <c r="AA727" s="147" t="s">
        <v>2952</v>
      </c>
    </row>
    <row r="728" spans="1:27" ht="18.600000000000001" customHeight="1">
      <c r="A728" s="140" t="str">
        <f>IF(priority(Main[[#This Row],[Comments]])&lt;&gt;0, priority(Main[[#This Row],[Comments]]),"")</f>
        <v/>
      </c>
      <c r="B728" s="90" t="s">
        <v>1189</v>
      </c>
      <c r="C728" s="72" t="s">
        <v>4</v>
      </c>
      <c r="D728" s="73" t="s">
        <v>1012</v>
      </c>
      <c r="E728" s="74">
        <v>40718.691643518519</v>
      </c>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131</v>
      </c>
      <c r="J728" s="72" t="s">
        <v>70</v>
      </c>
      <c r="K728" s="72" t="s">
        <v>1941</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v>40753</v>
      </c>
      <c r="R728" s="74"/>
      <c r="S728" s="72" t="s">
        <v>6</v>
      </c>
      <c r="T728" s="80" t="s">
        <v>4</v>
      </c>
      <c r="U728" s="72" t="s">
        <v>29</v>
      </c>
      <c r="V728" s="72" t="s">
        <v>1935</v>
      </c>
      <c r="W728" s="72" t="s">
        <v>1936</v>
      </c>
      <c r="X728" s="72" t="s">
        <v>2910</v>
      </c>
      <c r="Y728" s="72" t="s">
        <v>3027</v>
      </c>
      <c r="Z728" s="72" t="s">
        <v>44</v>
      </c>
      <c r="AA728" s="147" t="s">
        <v>2910</v>
      </c>
    </row>
    <row r="729" spans="1:27" ht="18.600000000000001" customHeight="1">
      <c r="A729" s="140" t="str">
        <f>IF(priority(Main[[#This Row],[Comments]])&lt;&gt;0, priority(Main[[#This Row],[Comments]]),"")</f>
        <v/>
      </c>
      <c r="B729" s="90" t="s">
        <v>1571</v>
      </c>
      <c r="C729" s="72" t="s">
        <v>214</v>
      </c>
      <c r="D729" s="73" t="s">
        <v>418</v>
      </c>
      <c r="E729" s="74"/>
      <c r="F729" s="74">
        <v>40452</v>
      </c>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4</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40357</v>
      </c>
      <c r="R729" s="74"/>
      <c r="S729" s="72" t="s">
        <v>11</v>
      </c>
      <c r="T729" s="80" t="s">
        <v>4</v>
      </c>
      <c r="U729" s="72" t="s">
        <v>12</v>
      </c>
      <c r="V729" s="72" t="s">
        <v>1932</v>
      </c>
      <c r="W729" s="72" t="s">
        <v>1940</v>
      </c>
      <c r="X729" s="72" t="s">
        <v>2924</v>
      </c>
      <c r="Y729" s="72" t="s">
        <v>4</v>
      </c>
      <c r="Z729" s="72" t="s">
        <v>4</v>
      </c>
      <c r="AA729" s="147" t="s">
        <v>2924</v>
      </c>
    </row>
    <row r="730" spans="1:27" ht="18.600000000000001" customHeight="1">
      <c r="A730" s="140" t="str">
        <f>IF(priority(Main[[#This Row],[Comments]])&lt;&gt;0, priority(Main[[#This Row],[Comments]]),"")</f>
        <v/>
      </c>
      <c r="B730" s="90" t="s">
        <v>2006</v>
      </c>
      <c r="C730" s="72" t="s">
        <v>4</v>
      </c>
      <c r="D730" s="73" t="s">
        <v>2412</v>
      </c>
      <c r="E730" s="74"/>
      <c r="F730" s="74"/>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c r="R730" s="155"/>
      <c r="S730" s="72" t="s">
        <v>6</v>
      </c>
      <c r="T730" s="80" t="s">
        <v>4</v>
      </c>
      <c r="U730" s="72" t="s">
        <v>14</v>
      </c>
      <c r="V730" s="72" t="s">
        <v>1932</v>
      </c>
      <c r="W730" s="72" t="s">
        <v>1936</v>
      </c>
      <c r="X730" s="72" t="s">
        <v>933</v>
      </c>
      <c r="Y730" s="72" t="s">
        <v>3077</v>
      </c>
      <c r="Z730" s="72" t="s">
        <v>4</v>
      </c>
      <c r="AA730" s="147" t="s">
        <v>933</v>
      </c>
    </row>
    <row r="731" spans="1:27" ht="18.600000000000001" customHeight="1">
      <c r="A731" s="140" t="str">
        <f>IF(priority(Main[[#This Row],[Comments]])&lt;&gt;0, priority(Main[[#This Row],[Comments]]),"")</f>
        <v/>
      </c>
      <c r="B731" s="90" t="s">
        <v>1572</v>
      </c>
      <c r="C731" s="72" t="s">
        <v>4</v>
      </c>
      <c r="D731" s="73" t="s">
        <v>642</v>
      </c>
      <c r="E731" s="74">
        <v>40413.550520833334</v>
      </c>
      <c r="F731" s="74"/>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28</v>
      </c>
      <c r="K731" s="81"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40451</v>
      </c>
      <c r="R731" s="74"/>
      <c r="S731" s="72" t="s">
        <v>6</v>
      </c>
      <c r="T731" s="80" t="s">
        <v>4</v>
      </c>
      <c r="U731" s="72" t="s">
        <v>7</v>
      </c>
      <c r="V731" s="72" t="s">
        <v>1932</v>
      </c>
      <c r="W731" s="72" t="s">
        <v>1934</v>
      </c>
      <c r="X731" s="72" t="s">
        <v>2978</v>
      </c>
      <c r="Y731" s="72" t="s">
        <v>3138</v>
      </c>
      <c r="Z731" s="72" t="s">
        <v>129</v>
      </c>
      <c r="AA731" s="147" t="s">
        <v>2978</v>
      </c>
    </row>
    <row r="732" spans="1:27" ht="18.600000000000001" customHeight="1">
      <c r="A732" s="140" t="str">
        <f>IF(priority(Main[[#This Row],[Comments]])&lt;&gt;0, priority(Main[[#This Row],[Comments]]),"")</f>
        <v/>
      </c>
      <c r="B732" s="90" t="s">
        <v>1357</v>
      </c>
      <c r="C732" s="72" t="s">
        <v>4</v>
      </c>
      <c r="D732" s="73" t="s">
        <v>2039</v>
      </c>
      <c r="E732" s="74"/>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434</v>
      </c>
      <c r="J732" s="72" t="s">
        <v>70</v>
      </c>
      <c r="K732" s="72" t="s">
        <v>1941</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40717</v>
      </c>
      <c r="R732" s="74"/>
      <c r="S732" s="72" t="s">
        <v>6</v>
      </c>
      <c r="T732" s="80" t="s">
        <v>4</v>
      </c>
      <c r="U732" s="72" t="s">
        <v>14</v>
      </c>
      <c r="V732" s="72" t="s">
        <v>1935</v>
      </c>
      <c r="W732" s="72" t="s">
        <v>1936</v>
      </c>
      <c r="X732" s="72" t="s">
        <v>2913</v>
      </c>
      <c r="Y732" s="72" t="s">
        <v>3033</v>
      </c>
      <c r="Z732" s="72" t="s">
        <v>30</v>
      </c>
      <c r="AA732" s="147" t="s">
        <v>2913</v>
      </c>
    </row>
    <row r="733" spans="1:27" ht="18.600000000000001" customHeight="1">
      <c r="A733" s="140" t="str">
        <f>IF(priority(Main[[#This Row],[Comments]])&lt;&gt;0, priority(Main[[#This Row],[Comments]]),"")</f>
        <v/>
      </c>
      <c r="B733" s="90" t="s">
        <v>1574</v>
      </c>
      <c r="C733" s="72" t="s">
        <v>183</v>
      </c>
      <c r="D733" s="73" t="s">
        <v>643</v>
      </c>
      <c r="E733" s="74"/>
      <c r="F733" s="74">
        <v>40389</v>
      </c>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4</v>
      </c>
      <c r="J733" s="72" t="s">
        <v>4</v>
      </c>
      <c r="K733" s="72" t="s">
        <v>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v>40298</v>
      </c>
      <c r="R733" s="74"/>
      <c r="S733" s="72" t="s">
        <v>11</v>
      </c>
      <c r="T733" s="80" t="s">
        <v>4</v>
      </c>
      <c r="U733" s="72" t="s">
        <v>12</v>
      </c>
      <c r="V733" s="72" t="s">
        <v>1932</v>
      </c>
      <c r="W733" s="72" t="s">
        <v>1938</v>
      </c>
      <c r="X733" s="72" t="s">
        <v>2915</v>
      </c>
      <c r="Y733" s="72" t="s">
        <v>3038</v>
      </c>
      <c r="Z733" s="72" t="s">
        <v>4</v>
      </c>
      <c r="AA733" s="147" t="s">
        <v>2915</v>
      </c>
    </row>
    <row r="734" spans="1:27" ht="18.600000000000001" customHeight="1">
      <c r="A734" s="140" t="str">
        <f>IF(priority(Main[[#This Row],[Comments]])&lt;&gt;0, priority(Main[[#This Row],[Comments]]),"")</f>
        <v/>
      </c>
      <c r="B734" s="90" t="s">
        <v>1575</v>
      </c>
      <c r="C734" s="72" t="s">
        <v>294</v>
      </c>
      <c r="D734" s="73" t="s">
        <v>644</v>
      </c>
      <c r="E734" s="74"/>
      <c r="F734" s="74"/>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72"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40052</v>
      </c>
      <c r="R734" s="74"/>
      <c r="S734" s="72" t="s">
        <v>11</v>
      </c>
      <c r="T734" s="80" t="s">
        <v>4</v>
      </c>
      <c r="U734" s="72" t="s">
        <v>14</v>
      </c>
      <c r="V734" s="72" t="s">
        <v>1935</v>
      </c>
      <c r="W734" s="72" t="s">
        <v>1934</v>
      </c>
      <c r="X734" s="72" t="s">
        <v>2925</v>
      </c>
      <c r="Y734" s="72" t="s">
        <v>4</v>
      </c>
      <c r="Z734" s="72" t="s">
        <v>4</v>
      </c>
      <c r="AA734" s="147" t="s">
        <v>2925</v>
      </c>
    </row>
    <row r="735" spans="1:27" ht="18.600000000000001" customHeight="1">
      <c r="A735" s="140" t="str">
        <f>IF(priority(Main[[#This Row],[Comments]])&lt;&gt;0, priority(Main[[#This Row],[Comments]]),"")</f>
        <v/>
      </c>
      <c r="B735" s="90" t="s">
        <v>1737</v>
      </c>
      <c r="C735" s="72" t="s">
        <v>4</v>
      </c>
      <c r="D735" s="73" t="s">
        <v>785</v>
      </c>
      <c r="E735" s="74"/>
      <c r="F735" s="74"/>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c r="R735" s="74"/>
      <c r="S735" s="72" t="s">
        <v>4</v>
      </c>
      <c r="T735" s="80" t="s">
        <v>4</v>
      </c>
      <c r="U735" s="72" t="s">
        <v>14</v>
      </c>
      <c r="V735" s="72" t="s">
        <v>1935</v>
      </c>
      <c r="W735" s="72" t="s">
        <v>4</v>
      </c>
      <c r="X735" s="72" t="s">
        <v>50</v>
      </c>
      <c r="Y735" s="72" t="s">
        <v>4</v>
      </c>
      <c r="Z735" s="72" t="s">
        <v>4</v>
      </c>
      <c r="AA735" s="147" t="s">
        <v>4</v>
      </c>
    </row>
    <row r="736" spans="1:27" ht="18.600000000000001" customHeight="1">
      <c r="A736" s="140" t="str">
        <f>IF(priority(Main[[#This Row],[Comments]])&lt;&gt;0, priority(Main[[#This Row],[Comments]]),"")</f>
        <v/>
      </c>
      <c r="B736" s="90" t="s">
        <v>1582</v>
      </c>
      <c r="C736" s="72" t="s">
        <v>72</v>
      </c>
      <c r="D736" s="73" t="s">
        <v>652</v>
      </c>
      <c r="E736" s="74"/>
      <c r="F736" s="74"/>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4</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c r="R736" s="74"/>
      <c r="S736" s="72" t="s">
        <v>49</v>
      </c>
      <c r="T736" s="80" t="s">
        <v>4</v>
      </c>
      <c r="U736" s="72" t="s">
        <v>12</v>
      </c>
      <c r="V736" s="72" t="s">
        <v>1933</v>
      </c>
      <c r="W736" s="72" t="s">
        <v>1934</v>
      </c>
      <c r="X736" s="72" t="s">
        <v>2992</v>
      </c>
      <c r="Y736" s="72" t="s">
        <v>3174</v>
      </c>
      <c r="Z736" s="72" t="s">
        <v>4</v>
      </c>
      <c r="AA736" s="147" t="s">
        <v>2992</v>
      </c>
    </row>
    <row r="737" spans="1:27" ht="18.600000000000001" customHeight="1">
      <c r="A737" s="140" t="str">
        <f>IF(priority(Main[[#This Row],[Comments]])&lt;&gt;0, priority(Main[[#This Row],[Comments]]),"")</f>
        <v/>
      </c>
      <c r="B737" s="90" t="s">
        <v>1583</v>
      </c>
      <c r="C737" s="72" t="s">
        <v>72</v>
      </c>
      <c r="D737" s="73" t="s">
        <v>653</v>
      </c>
      <c r="E737" s="74"/>
      <c r="F737" s="74">
        <v>40313</v>
      </c>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v>
      </c>
      <c r="J737" s="72" t="s">
        <v>4</v>
      </c>
      <c r="K737" s="72" t="s">
        <v>4</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40233</v>
      </c>
      <c r="R737" s="74"/>
      <c r="S737" s="72" t="s">
        <v>11</v>
      </c>
      <c r="T737" s="80" t="s">
        <v>4</v>
      </c>
      <c r="U737" s="72" t="s">
        <v>14</v>
      </c>
      <c r="V737" s="72" t="s">
        <v>1935</v>
      </c>
      <c r="W737" s="72" t="s">
        <v>1940</v>
      </c>
      <c r="X737" s="72" t="s">
        <v>2915</v>
      </c>
      <c r="Y737" s="72" t="s">
        <v>3038</v>
      </c>
      <c r="Z737" s="72" t="s">
        <v>4</v>
      </c>
      <c r="AA737" s="147" t="s">
        <v>2915</v>
      </c>
    </row>
    <row r="738" spans="1:27" ht="18.600000000000001" customHeight="1">
      <c r="A738" s="140" t="str">
        <f>IF(priority(Main[[#This Row],[Comments]])&lt;&gt;0, priority(Main[[#This Row],[Comments]]),"")</f>
        <v/>
      </c>
      <c r="B738" s="90" t="s">
        <v>1584</v>
      </c>
      <c r="C738" s="72" t="s">
        <v>160</v>
      </c>
      <c r="D738" s="73" t="s">
        <v>654</v>
      </c>
      <c r="E738" s="74"/>
      <c r="F738" s="74">
        <v>40513</v>
      </c>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28</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40382</v>
      </c>
      <c r="R738" s="74"/>
      <c r="S738" s="72" t="s">
        <v>11</v>
      </c>
      <c r="T738" s="80" t="s">
        <v>4</v>
      </c>
      <c r="U738" s="72" t="s">
        <v>14</v>
      </c>
      <c r="V738" s="72" t="s">
        <v>1932</v>
      </c>
      <c r="W738" s="72" t="s">
        <v>1940</v>
      </c>
      <c r="X738" s="72" t="s">
        <v>2946</v>
      </c>
      <c r="Y738" s="72" t="s">
        <v>3089</v>
      </c>
      <c r="Z738" s="72" t="s">
        <v>129</v>
      </c>
      <c r="AA738" s="147" t="s">
        <v>2946</v>
      </c>
    </row>
    <row r="739" spans="1:27" ht="18.600000000000001" customHeight="1">
      <c r="A739" s="140" t="str">
        <f>IF(priority(Main[[#This Row],[Comments]])&lt;&gt;0, priority(Main[[#This Row],[Comments]]),"")</f>
        <v/>
      </c>
      <c r="B739" s="90" t="s">
        <v>1585</v>
      </c>
      <c r="C739" s="72" t="s">
        <v>4</v>
      </c>
      <c r="D739" s="73" t="s">
        <v>655</v>
      </c>
      <c r="E739" s="74">
        <v>40477.486574074072</v>
      </c>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4</v>
      </c>
      <c r="K739" s="81"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v>40511</v>
      </c>
      <c r="R739" s="74"/>
      <c r="S739" s="72" t="s">
        <v>6</v>
      </c>
      <c r="T739" s="80" t="s">
        <v>4</v>
      </c>
      <c r="U739" s="72" t="s">
        <v>7</v>
      </c>
      <c r="V739" s="72" t="s">
        <v>1932</v>
      </c>
      <c r="W739" s="72" t="s">
        <v>4</v>
      </c>
      <c r="X739" s="72" t="s">
        <v>2909</v>
      </c>
      <c r="Y739" s="72" t="s">
        <v>3024</v>
      </c>
      <c r="Z739" s="72" t="s">
        <v>4</v>
      </c>
      <c r="AA739" s="147" t="s">
        <v>2909</v>
      </c>
    </row>
    <row r="740" spans="1:27" ht="18.600000000000001" customHeight="1">
      <c r="A740" s="140" t="str">
        <f>IF(priority(Main[[#This Row],[Comments]])&lt;&gt;0, priority(Main[[#This Row],[Comments]]),"")</f>
        <v/>
      </c>
      <c r="B740" s="90" t="s">
        <v>1586</v>
      </c>
      <c r="C740" s="72" t="s">
        <v>4</v>
      </c>
      <c r="D740" s="73" t="s">
        <v>656</v>
      </c>
      <c r="E740" s="74"/>
      <c r="F740" s="74"/>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v>
      </c>
      <c r="J740" s="72" t="s">
        <v>4</v>
      </c>
      <c r="K740" s="72"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40619</v>
      </c>
      <c r="R740" s="74"/>
      <c r="S740" s="72" t="s">
        <v>6</v>
      </c>
      <c r="T740" s="80" t="s">
        <v>4</v>
      </c>
      <c r="U740" s="72" t="s">
        <v>14</v>
      </c>
      <c r="V740" s="72" t="s">
        <v>1942</v>
      </c>
      <c r="W740" s="72" t="s">
        <v>4</v>
      </c>
      <c r="X740" s="72" t="s">
        <v>2994</v>
      </c>
      <c r="Y740" s="72" t="s">
        <v>3178</v>
      </c>
      <c r="Z740" s="72" t="s">
        <v>4</v>
      </c>
      <c r="AA740" s="147" t="s">
        <v>2994</v>
      </c>
    </row>
    <row r="741" spans="1:27" ht="18.600000000000001" customHeight="1">
      <c r="A741" s="140" t="str">
        <f>IF(priority(Main[[#This Row],[Comments]])&lt;&gt;0, priority(Main[[#This Row],[Comments]]),"")</f>
        <v/>
      </c>
      <c r="B741" s="90" t="s">
        <v>2129</v>
      </c>
      <c r="C741" s="72" t="s">
        <v>4</v>
      </c>
      <c r="D741" s="73" t="s">
        <v>2130</v>
      </c>
      <c r="E741" s="74">
        <v>40772.421967592592</v>
      </c>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923</v>
      </c>
      <c r="J741" s="72" t="s">
        <v>52</v>
      </c>
      <c r="K741" s="72" t="s">
        <v>4</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c r="R741" s="74"/>
      <c r="S741" s="72" t="s">
        <v>6</v>
      </c>
      <c r="T741" s="80" t="s">
        <v>4</v>
      </c>
      <c r="U741" s="72" t="s">
        <v>29</v>
      </c>
      <c r="V741" s="72" t="s">
        <v>1932</v>
      </c>
      <c r="W741" s="72" t="s">
        <v>1936</v>
      </c>
      <c r="X741" s="72" t="s">
        <v>949</v>
      </c>
      <c r="Y741" s="72" t="s">
        <v>3079</v>
      </c>
      <c r="Z741" s="72" t="s">
        <v>129</v>
      </c>
      <c r="AA741" s="147" t="s">
        <v>949</v>
      </c>
    </row>
    <row r="742" spans="1:27" ht="18.600000000000001" customHeight="1">
      <c r="A742" s="140" t="str">
        <f>IF(priority(Main[[#This Row],[Comments]])&lt;&gt;0, priority(Main[[#This Row],[Comments]]),"")</f>
        <v/>
      </c>
      <c r="B742" s="90" t="s">
        <v>1588</v>
      </c>
      <c r="C742" s="72" t="s">
        <v>4</v>
      </c>
      <c r="D742" s="73" t="s">
        <v>660</v>
      </c>
      <c r="E742" s="74">
        <v>40626.478437500002</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374</v>
      </c>
      <c r="J742" s="72" t="s">
        <v>28</v>
      </c>
      <c r="K742" s="72" t="s">
        <v>1941</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c r="R742" s="74"/>
      <c r="S742" s="72" t="s">
        <v>6</v>
      </c>
      <c r="T742" s="80" t="s">
        <v>4</v>
      </c>
      <c r="U742" s="72" t="s">
        <v>29</v>
      </c>
      <c r="V742" s="72" t="s">
        <v>1935</v>
      </c>
      <c r="W742" s="72" t="s">
        <v>1936</v>
      </c>
      <c r="X742" s="72" t="s">
        <v>74</v>
      </c>
      <c r="Y742" s="72" t="s">
        <v>3126</v>
      </c>
      <c r="Z742" s="72" t="s">
        <v>420</v>
      </c>
      <c r="AA742" s="147" t="s">
        <v>74</v>
      </c>
    </row>
    <row r="743" spans="1:27" ht="18.600000000000001" customHeight="1">
      <c r="A743" s="140" t="str">
        <f>IF(priority(Main[[#This Row],[Comments]])&lt;&gt;0, priority(Main[[#This Row],[Comments]]),"")</f>
        <v/>
      </c>
      <c r="B743" s="90" t="s">
        <v>2417</v>
      </c>
      <c r="C743" s="72" t="s">
        <v>47</v>
      </c>
      <c r="D743" s="73" t="s">
        <v>2418</v>
      </c>
      <c r="E743" s="74">
        <v>40847.703090277777</v>
      </c>
      <c r="F743" s="74"/>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69</v>
      </c>
      <c r="J743" s="72" t="s">
        <v>28</v>
      </c>
      <c r="K743" s="72" t="s">
        <v>1941</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v>40862</v>
      </c>
      <c r="R743" s="74"/>
      <c r="S743" s="72" t="s">
        <v>6</v>
      </c>
      <c r="T743" s="80" t="s">
        <v>4</v>
      </c>
      <c r="U743" s="72" t="s">
        <v>29</v>
      </c>
      <c r="V743" s="72" t="s">
        <v>1935</v>
      </c>
      <c r="W743" s="72" t="s">
        <v>1936</v>
      </c>
      <c r="X743" s="72" t="s">
        <v>2956</v>
      </c>
      <c r="Y743" s="72" t="s">
        <v>3105</v>
      </c>
      <c r="Z743" s="72" t="s">
        <v>30</v>
      </c>
      <c r="AA743" s="147" t="s">
        <v>2956</v>
      </c>
    </row>
    <row r="744" spans="1:27" ht="18.600000000000001" customHeight="1">
      <c r="A744" s="140" t="str">
        <f>IF(priority(Main[[#This Row],[Comments]])&lt;&gt;0, priority(Main[[#This Row],[Comments]]),"")</f>
        <v/>
      </c>
      <c r="B744" s="90" t="s">
        <v>1652</v>
      </c>
      <c r="C744" s="72" t="s">
        <v>4</v>
      </c>
      <c r="D744" s="73" t="s">
        <v>2139</v>
      </c>
      <c r="E744" s="74">
        <v>40696.439942129633</v>
      </c>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953</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c r="R744" s="74">
        <v>40815</v>
      </c>
      <c r="S744" s="72" t="s">
        <v>6</v>
      </c>
      <c r="T744" s="80" t="s">
        <v>4</v>
      </c>
      <c r="U744" s="72" t="s">
        <v>29</v>
      </c>
      <c r="V744" s="72" t="s">
        <v>1933</v>
      </c>
      <c r="W744" s="72" t="s">
        <v>1940</v>
      </c>
      <c r="X744" s="72" t="s">
        <v>953</v>
      </c>
      <c r="Y744" s="72" t="s">
        <v>3090</v>
      </c>
      <c r="Z744" s="72" t="s">
        <v>2075</v>
      </c>
      <c r="AA744" s="147" t="s">
        <v>953</v>
      </c>
    </row>
    <row r="745" spans="1:27" ht="18.600000000000001" customHeight="1">
      <c r="A745" s="140" t="str">
        <f>IF(priority(Main[[#This Row],[Comments]])&lt;&gt;0, priority(Main[[#This Row],[Comments]]),"")</f>
        <v/>
      </c>
      <c r="B745" s="90" t="s">
        <v>1440</v>
      </c>
      <c r="C745" s="72" t="s">
        <v>4</v>
      </c>
      <c r="D745" s="73" t="s">
        <v>2419</v>
      </c>
      <c r="E745" s="74">
        <v>40561.285520833335</v>
      </c>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923</v>
      </c>
      <c r="J745" s="72" t="s">
        <v>52</v>
      </c>
      <c r="K745" s="72" t="s">
        <v>1939</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v>40595</v>
      </c>
      <c r="R745" s="74"/>
      <c r="S745" s="72" t="s">
        <v>6</v>
      </c>
      <c r="T745" s="80" t="s">
        <v>4</v>
      </c>
      <c r="U745" s="72" t="s">
        <v>29</v>
      </c>
      <c r="V745" s="72" t="s">
        <v>1932</v>
      </c>
      <c r="W745" s="72" t="s">
        <v>1934</v>
      </c>
      <c r="X745" s="72" t="s">
        <v>2913</v>
      </c>
      <c r="Y745" s="72" t="s">
        <v>3033</v>
      </c>
      <c r="Z745" s="72" t="s">
        <v>129</v>
      </c>
      <c r="AA745" s="147" t="s">
        <v>2913</v>
      </c>
    </row>
    <row r="746" spans="1:27" ht="18.600000000000001" customHeight="1">
      <c r="A746" s="140" t="str">
        <f>IF(priority(Main[[#This Row],[Comments]])&lt;&gt;0, priority(Main[[#This Row],[Comments]]),"")</f>
        <v/>
      </c>
      <c r="B746" s="90" t="s">
        <v>1591</v>
      </c>
      <c r="C746" s="72" t="s">
        <v>4</v>
      </c>
      <c r="D746" s="73" t="s">
        <v>662</v>
      </c>
      <c r="E746" s="74"/>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c r="R746" s="74"/>
      <c r="S746" s="72" t="s">
        <v>6</v>
      </c>
      <c r="T746" s="80" t="s">
        <v>4</v>
      </c>
      <c r="U746" s="72" t="s">
        <v>12</v>
      </c>
      <c r="V746" s="72" t="s">
        <v>1932</v>
      </c>
      <c r="W746" s="72" t="s">
        <v>4</v>
      </c>
      <c r="X746" s="72" t="s">
        <v>718</v>
      </c>
      <c r="Y746" s="72" t="s">
        <v>3165</v>
      </c>
      <c r="Z746" s="72" t="s">
        <v>4</v>
      </c>
      <c r="AA746" s="147" t="s">
        <v>718</v>
      </c>
    </row>
    <row r="747" spans="1:27" ht="18.600000000000001" customHeight="1">
      <c r="A747" s="140" t="str">
        <f>IF(priority(Main[[#This Row],[Comments]])&lt;&gt;0, priority(Main[[#This Row],[Comments]]),"")</f>
        <v/>
      </c>
      <c r="B747" s="90" t="s">
        <v>1592</v>
      </c>
      <c r="C747" s="72" t="s">
        <v>4</v>
      </c>
      <c r="D747" s="73" t="s">
        <v>663</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c r="R747" s="74"/>
      <c r="S747" s="72" t="s">
        <v>6</v>
      </c>
      <c r="T747" s="80" t="s">
        <v>4</v>
      </c>
      <c r="U747" s="72" t="s">
        <v>14</v>
      </c>
      <c r="V747" s="72" t="s">
        <v>1932</v>
      </c>
      <c r="W747" s="72" t="s">
        <v>1940</v>
      </c>
      <c r="X747" s="72" t="s">
        <v>718</v>
      </c>
      <c r="Y747" s="72" t="s">
        <v>3179</v>
      </c>
      <c r="Z747" s="72" t="s">
        <v>4</v>
      </c>
      <c r="AA747" s="147" t="s">
        <v>3667</v>
      </c>
    </row>
    <row r="748" spans="1:27" ht="18.600000000000001" customHeight="1">
      <c r="A748" s="140" t="str">
        <f>IF(priority(Main[[#This Row],[Comments]])&lt;&gt;0, priority(Main[[#This Row],[Comments]]),"")</f>
        <v/>
      </c>
      <c r="B748" s="90" t="s">
        <v>1593</v>
      </c>
      <c r="C748" s="72" t="s">
        <v>4</v>
      </c>
      <c r="D748" s="73" t="s">
        <v>664</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c r="R748" s="74"/>
      <c r="S748" s="72" t="s">
        <v>11</v>
      </c>
      <c r="T748" s="80" t="s">
        <v>4</v>
      </c>
      <c r="U748" s="72" t="s">
        <v>12</v>
      </c>
      <c r="V748" s="72" t="s">
        <v>1932</v>
      </c>
      <c r="W748" s="72" t="s">
        <v>1936</v>
      </c>
      <c r="X748" s="72" t="s">
        <v>933</v>
      </c>
      <c r="Y748" s="72" t="s">
        <v>3087</v>
      </c>
      <c r="Z748" s="72" t="s">
        <v>4</v>
      </c>
      <c r="AA748" s="147" t="s">
        <v>3668</v>
      </c>
    </row>
    <row r="749" spans="1:27" ht="18.600000000000001" customHeight="1">
      <c r="A749" s="140" t="str">
        <f>IF(priority(Main[[#This Row],[Comments]])&lt;&gt;0, priority(Main[[#This Row],[Comments]]),"")</f>
        <v/>
      </c>
      <c r="B749" s="90" t="s">
        <v>1594</v>
      </c>
      <c r="C749" s="72" t="s">
        <v>4</v>
      </c>
      <c r="D749" s="73" t="s">
        <v>97</v>
      </c>
      <c r="E749" s="74"/>
      <c r="F749" s="74"/>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40858</v>
      </c>
      <c r="R749" s="74"/>
      <c r="S749" s="72" t="s">
        <v>17</v>
      </c>
      <c r="T749" s="80" t="s">
        <v>4</v>
      </c>
      <c r="U749" s="72" t="s">
        <v>14</v>
      </c>
      <c r="V749" s="72" t="s">
        <v>1932</v>
      </c>
      <c r="W749" s="72" t="s">
        <v>1937</v>
      </c>
      <c r="X749" s="72" t="s">
        <v>50</v>
      </c>
      <c r="Y749" s="72" t="s">
        <v>3054</v>
      </c>
      <c r="Z749" s="72" t="s">
        <v>4</v>
      </c>
      <c r="AA749" s="147" t="s">
        <v>2919</v>
      </c>
    </row>
    <row r="750" spans="1:27" ht="18.600000000000001" customHeight="1">
      <c r="A750" s="140" t="str">
        <f>IF(priority(Main[[#This Row],[Comments]])&lt;&gt;0, priority(Main[[#This Row],[Comments]]),"")</f>
        <v/>
      </c>
      <c r="B750" s="90" t="s">
        <v>1868</v>
      </c>
      <c r="C750" s="72" t="s">
        <v>67</v>
      </c>
      <c r="D750" s="73" t="s">
        <v>917</v>
      </c>
      <c r="E750" s="74">
        <v>39981.49428240741</v>
      </c>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986</v>
      </c>
      <c r="J750" s="72" t="s">
        <v>4</v>
      </c>
      <c r="K750" s="81" t="s">
        <v>1944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v>40057</v>
      </c>
      <c r="R750" s="74">
        <v>40908</v>
      </c>
      <c r="S750" s="72" t="s">
        <v>17</v>
      </c>
      <c r="T750" s="80" t="s">
        <v>4</v>
      </c>
      <c r="U750" s="72" t="s">
        <v>29</v>
      </c>
      <c r="V750" s="72" t="s">
        <v>1935</v>
      </c>
      <c r="W750" s="72" t="s">
        <v>1937</v>
      </c>
      <c r="X750" s="72" t="s">
        <v>2911</v>
      </c>
      <c r="Y750" s="72" t="s">
        <v>3123</v>
      </c>
      <c r="Z750" s="72" t="s">
        <v>420</v>
      </c>
      <c r="AA750" s="147" t="s">
        <v>2949</v>
      </c>
    </row>
    <row r="751" spans="1:27" ht="18.600000000000001" customHeight="1">
      <c r="A751" s="140" t="str">
        <f>IF(priority(Main[[#This Row],[Comments]])&lt;&gt;0, priority(Main[[#This Row],[Comments]]),"")</f>
        <v/>
      </c>
      <c r="B751" s="90" t="s">
        <v>1850</v>
      </c>
      <c r="C751" s="72" t="s">
        <v>4</v>
      </c>
      <c r="D751" s="73" t="s">
        <v>896</v>
      </c>
      <c r="E751" s="74">
        <v>40045.443194444444</v>
      </c>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897</v>
      </c>
      <c r="J751" s="72" t="s">
        <v>4</v>
      </c>
      <c r="K751" s="81" t="s">
        <v>1944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40359</v>
      </c>
      <c r="R751" s="74">
        <v>40420</v>
      </c>
      <c r="S751" s="72" t="s">
        <v>6</v>
      </c>
      <c r="T751" s="80" t="s">
        <v>4</v>
      </c>
      <c r="U751" s="72" t="s">
        <v>29</v>
      </c>
      <c r="V751" s="72" t="s">
        <v>1932</v>
      </c>
      <c r="W751" s="72" t="s">
        <v>1936</v>
      </c>
      <c r="X751" s="72" t="s">
        <v>981</v>
      </c>
      <c r="Y751" s="72" t="s">
        <v>3180</v>
      </c>
      <c r="Z751" s="72" t="s">
        <v>4</v>
      </c>
      <c r="AA751" s="147" t="s">
        <v>981</v>
      </c>
    </row>
    <row r="752" spans="1:27" ht="18.600000000000001" customHeight="1">
      <c r="A752" s="140" t="str">
        <f>IF(priority(Main[[#This Row],[Comments]])&lt;&gt;0, priority(Main[[#This Row],[Comments]]),"")</f>
        <v/>
      </c>
      <c r="B752" s="90" t="s">
        <v>1596</v>
      </c>
      <c r="C752" s="72" t="s">
        <v>47</v>
      </c>
      <c r="D752" s="73" t="s">
        <v>667</v>
      </c>
      <c r="E752" s="74"/>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4</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c r="R752" s="74"/>
      <c r="S752" s="72" t="s">
        <v>17</v>
      </c>
      <c r="T752" s="80" t="s">
        <v>4</v>
      </c>
      <c r="U752" s="72" t="s">
        <v>14</v>
      </c>
      <c r="V752" s="72" t="s">
        <v>1935</v>
      </c>
      <c r="W752" s="72" t="s">
        <v>4</v>
      </c>
      <c r="X752" s="72" t="s">
        <v>2950</v>
      </c>
      <c r="Y752" s="72" t="s">
        <v>3043</v>
      </c>
      <c r="Z752" s="72" t="s">
        <v>4</v>
      </c>
      <c r="AA752" s="147" t="s">
        <v>2950</v>
      </c>
    </row>
    <row r="753" spans="1:27" ht="18.600000000000001" customHeight="1">
      <c r="A753" s="140" t="str">
        <f>IF(priority(Main[[#This Row],[Comments]])&lt;&gt;0, priority(Main[[#This Row],[Comments]]),"")</f>
        <v/>
      </c>
      <c r="B753" s="90" t="s">
        <v>1597</v>
      </c>
      <c r="C753" s="72" t="s">
        <v>281</v>
      </c>
      <c r="D753" s="73" t="s">
        <v>668</v>
      </c>
      <c r="E753" s="74"/>
      <c r="F753" s="74">
        <v>40567</v>
      </c>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4</v>
      </c>
      <c r="J753" s="72" t="s">
        <v>4</v>
      </c>
      <c r="K753" s="72" t="s">
        <v>4</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40427</v>
      </c>
      <c r="R753" s="74"/>
      <c r="S753" s="72" t="s">
        <v>11</v>
      </c>
      <c r="T753" s="80" t="s">
        <v>4</v>
      </c>
      <c r="U753" s="72" t="s">
        <v>12</v>
      </c>
      <c r="V753" s="72" t="s">
        <v>1932</v>
      </c>
      <c r="W753" s="72" t="s">
        <v>1940</v>
      </c>
      <c r="X753" s="72" t="s">
        <v>2934</v>
      </c>
      <c r="Y753" s="72" t="s">
        <v>4</v>
      </c>
      <c r="Z753" s="72" t="s">
        <v>4</v>
      </c>
      <c r="AA753" s="147" t="s">
        <v>2934</v>
      </c>
    </row>
    <row r="754" spans="1:27" ht="18.600000000000001" customHeight="1">
      <c r="A754" s="140" t="str">
        <f>IF(priority(Main[[#This Row],[Comments]])&lt;&gt;0, priority(Main[[#This Row],[Comments]]),"")</f>
        <v/>
      </c>
      <c r="B754" s="90" t="s">
        <v>2441</v>
      </c>
      <c r="C754" s="72" t="s">
        <v>4</v>
      </c>
      <c r="D754" s="73" t="s">
        <v>2791</v>
      </c>
      <c r="E754" s="74">
        <v>40905.580543981479</v>
      </c>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2066</v>
      </c>
      <c r="J754" s="72" t="s">
        <v>28</v>
      </c>
      <c r="K754" s="81" t="s">
        <v>1941</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v>40967</v>
      </c>
      <c r="R754" s="74"/>
      <c r="S754" s="72" t="s">
        <v>6</v>
      </c>
      <c r="T754" s="80" t="s">
        <v>4</v>
      </c>
      <c r="U754" s="72" t="s">
        <v>29</v>
      </c>
      <c r="V754" s="72" t="s">
        <v>1935</v>
      </c>
      <c r="W754" s="72" t="s">
        <v>1936</v>
      </c>
      <c r="X754" s="72" t="s">
        <v>30</v>
      </c>
      <c r="Y754" s="72" t="s">
        <v>3035</v>
      </c>
      <c r="Z754" s="72" t="s">
        <v>30</v>
      </c>
      <c r="AA754" s="147" t="s">
        <v>30</v>
      </c>
    </row>
    <row r="755" spans="1:27" ht="18.600000000000001" customHeight="1">
      <c r="A755" s="140" t="str">
        <f>IF(priority(Main[[#This Row],[Comments]])&lt;&gt;0, priority(Main[[#This Row],[Comments]]),"")</f>
        <v/>
      </c>
      <c r="B755" s="90" t="s">
        <v>1606</v>
      </c>
      <c r="C755" s="72" t="s">
        <v>4</v>
      </c>
      <c r="D755" s="73" t="s">
        <v>97</v>
      </c>
      <c r="E755" s="74"/>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4</v>
      </c>
      <c r="J755" s="72" t="s">
        <v>4</v>
      </c>
      <c r="K755" s="72" t="s">
        <v>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40858</v>
      </c>
      <c r="R755" s="74"/>
      <c r="S755" s="72" t="s">
        <v>17</v>
      </c>
      <c r="T755" s="80" t="s">
        <v>4</v>
      </c>
      <c r="U755" s="72" t="s">
        <v>14</v>
      </c>
      <c r="V755" s="72" t="s">
        <v>1932</v>
      </c>
      <c r="W755" s="72" t="s">
        <v>1937</v>
      </c>
      <c r="X755" s="72" t="s">
        <v>50</v>
      </c>
      <c r="Y755" s="72" t="s">
        <v>3054</v>
      </c>
      <c r="Z755" s="72" t="s">
        <v>4</v>
      </c>
      <c r="AA755" s="147" t="s">
        <v>2919</v>
      </c>
    </row>
    <row r="756" spans="1:27" ht="18.600000000000001" customHeight="1">
      <c r="A756" s="140" t="str">
        <f>IF(priority(Main[[#This Row],[Comments]])&lt;&gt;0, priority(Main[[#This Row],[Comments]]),"")</f>
        <v/>
      </c>
      <c r="B756" s="90" t="s">
        <v>1609</v>
      </c>
      <c r="C756" s="72" t="s">
        <v>676</v>
      </c>
      <c r="D756" s="73" t="s">
        <v>677</v>
      </c>
      <c r="E756" s="74"/>
      <c r="F756" s="74">
        <v>40633</v>
      </c>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81"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v>40574</v>
      </c>
      <c r="R756" s="74"/>
      <c r="S756" s="72" t="s">
        <v>11</v>
      </c>
      <c r="T756" s="80" t="s">
        <v>4</v>
      </c>
      <c r="U756" s="72" t="s">
        <v>14</v>
      </c>
      <c r="V756" s="72" t="s">
        <v>1935</v>
      </c>
      <c r="W756" s="72" t="s">
        <v>1938</v>
      </c>
      <c r="X756" s="72" t="s">
        <v>2947</v>
      </c>
      <c r="Y756" s="72" t="s">
        <v>3092</v>
      </c>
      <c r="Z756" s="72" t="s">
        <v>4</v>
      </c>
      <c r="AA756" s="147" t="s">
        <v>2947</v>
      </c>
    </row>
    <row r="757" spans="1:27" ht="18.600000000000001" customHeight="1">
      <c r="A757" s="140" t="str">
        <f>IF(priority(Main[[#This Row],[Comments]])&lt;&gt;0, priority(Main[[#This Row],[Comments]]),"")</f>
        <v/>
      </c>
      <c r="B757" s="90" t="s">
        <v>2210</v>
      </c>
      <c r="C757" s="72" t="s">
        <v>2202</v>
      </c>
      <c r="D757" s="73" t="s">
        <v>2211</v>
      </c>
      <c r="E757" s="74"/>
      <c r="F757" s="74">
        <v>40829</v>
      </c>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72"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v>40801</v>
      </c>
      <c r="R757" s="74"/>
      <c r="S757" s="72" t="s">
        <v>11</v>
      </c>
      <c r="T757" s="80" t="s">
        <v>4</v>
      </c>
      <c r="U757" s="72" t="s">
        <v>14</v>
      </c>
      <c r="V757" s="72" t="s">
        <v>1933</v>
      </c>
      <c r="W757" s="72" t="s">
        <v>1940</v>
      </c>
      <c r="X757" s="72" t="s">
        <v>2929</v>
      </c>
      <c r="Y757" s="72" t="s">
        <v>3063</v>
      </c>
      <c r="Z757" s="72" t="s">
        <v>4</v>
      </c>
      <c r="AA757" s="147" t="s">
        <v>2929</v>
      </c>
    </row>
    <row r="758" spans="1:27" ht="18.600000000000001" customHeight="1">
      <c r="A758" s="140" t="str">
        <f>IF(priority(Main[[#This Row],[Comments]])&lt;&gt;0, priority(Main[[#This Row],[Comments]]),"")</f>
        <v/>
      </c>
      <c r="B758" s="90" t="s">
        <v>1610</v>
      </c>
      <c r="C758" s="72" t="s">
        <v>4</v>
      </c>
      <c r="D758" s="73" t="s">
        <v>2334</v>
      </c>
      <c r="E758" s="74">
        <v>40515.590300925927</v>
      </c>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923</v>
      </c>
      <c r="J758" s="72" t="s">
        <v>52</v>
      </c>
      <c r="K758" s="81" t="s">
        <v>1939</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v>40574</v>
      </c>
      <c r="R758" s="74"/>
      <c r="S758" s="72" t="s">
        <v>6</v>
      </c>
      <c r="T758" s="80" t="s">
        <v>4</v>
      </c>
      <c r="U758" s="72" t="s">
        <v>29</v>
      </c>
      <c r="V758" s="72" t="s">
        <v>1932</v>
      </c>
      <c r="W758" s="72" t="s">
        <v>1934</v>
      </c>
      <c r="X758" s="72" t="s">
        <v>2978</v>
      </c>
      <c r="Y758" s="72" t="s">
        <v>3138</v>
      </c>
      <c r="Z758" s="72" t="s">
        <v>129</v>
      </c>
      <c r="AA758" s="147" t="s">
        <v>2978</v>
      </c>
    </row>
    <row r="759" spans="1:27" ht="18.600000000000001" customHeight="1">
      <c r="A759" s="140" t="str">
        <f>IF(priority(Main[[#This Row],[Comments]])&lt;&gt;0, priority(Main[[#This Row],[Comments]]),"")</f>
        <v/>
      </c>
      <c r="B759" s="90" t="s">
        <v>1611</v>
      </c>
      <c r="C759" s="72" t="s">
        <v>441</v>
      </c>
      <c r="D759" s="73" t="s">
        <v>678</v>
      </c>
      <c r="E759" s="74"/>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81"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c r="R759" s="74"/>
      <c r="S759" s="72" t="s">
        <v>11</v>
      </c>
      <c r="T759" s="80" t="s">
        <v>4</v>
      </c>
      <c r="U759" s="72" t="s">
        <v>14</v>
      </c>
      <c r="V759" s="72" t="s">
        <v>1933</v>
      </c>
      <c r="W759" s="72" t="s">
        <v>1940</v>
      </c>
      <c r="X759" s="72" t="s">
        <v>2918</v>
      </c>
      <c r="Y759" s="72" t="s">
        <v>3043</v>
      </c>
      <c r="Z759" s="72" t="s">
        <v>4</v>
      </c>
      <c r="AA759" s="147" t="s">
        <v>2918</v>
      </c>
    </row>
    <row r="760" spans="1:27" ht="18.600000000000001" customHeight="1">
      <c r="A760" s="140" t="str">
        <f>IF(priority(Main[[#This Row],[Comments]])&lt;&gt;0, priority(Main[[#This Row],[Comments]]),"")</f>
        <v/>
      </c>
      <c r="B760" s="90" t="s">
        <v>1612</v>
      </c>
      <c r="C760" s="72" t="s">
        <v>4</v>
      </c>
      <c r="D760" s="73" t="s">
        <v>679</v>
      </c>
      <c r="E760" s="74"/>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28</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40471</v>
      </c>
      <c r="R760" s="74"/>
      <c r="S760" s="72" t="s">
        <v>300</v>
      </c>
      <c r="T760" s="80" t="s">
        <v>4</v>
      </c>
      <c r="U760" s="72" t="s">
        <v>14</v>
      </c>
      <c r="V760" s="72" t="s">
        <v>1942</v>
      </c>
      <c r="W760" s="72" t="s">
        <v>1934</v>
      </c>
      <c r="X760" s="72" t="s">
        <v>2938</v>
      </c>
      <c r="Y760" s="72" t="s">
        <v>3073</v>
      </c>
      <c r="Z760" s="72" t="s">
        <v>535</v>
      </c>
      <c r="AA760" s="147" t="s">
        <v>2938</v>
      </c>
    </row>
    <row r="761" spans="1:27" ht="18.600000000000001" customHeight="1">
      <c r="A761" s="140" t="str">
        <f>IF(priority(Main[[#This Row],[Comments]])&lt;&gt;0, priority(Main[[#This Row],[Comments]]),"")</f>
        <v/>
      </c>
      <c r="B761" s="90" t="s">
        <v>1626</v>
      </c>
      <c r="C761" s="72" t="s">
        <v>4</v>
      </c>
      <c r="D761" s="73" t="s">
        <v>691</v>
      </c>
      <c r="E761" s="74"/>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c r="R761" s="74"/>
      <c r="S761" s="72" t="s">
        <v>23</v>
      </c>
      <c r="T761" s="80" t="s">
        <v>4</v>
      </c>
      <c r="U761" s="72" t="s">
        <v>14</v>
      </c>
      <c r="V761" s="72" t="s">
        <v>1942</v>
      </c>
      <c r="W761" s="72" t="s">
        <v>1936</v>
      </c>
      <c r="X761" s="72" t="s">
        <v>102</v>
      </c>
      <c r="Y761" s="72" t="s">
        <v>3182</v>
      </c>
      <c r="Z761" s="72" t="s">
        <v>4</v>
      </c>
      <c r="AA761" s="147" t="s">
        <v>3669</v>
      </c>
    </row>
    <row r="762" spans="1:27" ht="18.600000000000001" customHeight="1">
      <c r="A762" s="140" t="str">
        <f>IF(priority(Main[[#This Row],[Comments]])&lt;&gt;0, priority(Main[[#This Row],[Comments]]),"")</f>
        <v/>
      </c>
      <c r="B762" s="90" t="s">
        <v>1627</v>
      </c>
      <c r="C762" s="72" t="s">
        <v>4</v>
      </c>
      <c r="D762" s="73" t="s">
        <v>692</v>
      </c>
      <c r="E762" s="74">
        <v>40464.400208333333</v>
      </c>
      <c r="F762" s="74"/>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v>40512</v>
      </c>
      <c r="R762" s="74"/>
      <c r="S762" s="72" t="s">
        <v>6</v>
      </c>
      <c r="T762" s="80" t="s">
        <v>4</v>
      </c>
      <c r="U762" s="72" t="s">
        <v>7</v>
      </c>
      <c r="V762" s="72" t="s">
        <v>1932</v>
      </c>
      <c r="W762" s="72" t="s">
        <v>4</v>
      </c>
      <c r="X762" s="72" t="s">
        <v>2910</v>
      </c>
      <c r="Y762" s="72" t="s">
        <v>3027</v>
      </c>
      <c r="Z762" s="72" t="s">
        <v>4</v>
      </c>
      <c r="AA762" s="147" t="s">
        <v>2910</v>
      </c>
    </row>
    <row r="763" spans="1:27" ht="18.600000000000001" customHeight="1">
      <c r="A763" s="140" t="str">
        <f>IF(priority(Main[[#This Row],[Comments]])&lt;&gt;0, priority(Main[[#This Row],[Comments]]),"")</f>
        <v/>
      </c>
      <c r="B763" s="90" t="s">
        <v>1862</v>
      </c>
      <c r="C763" s="72" t="s">
        <v>67</v>
      </c>
      <c r="D763" s="73" t="s">
        <v>912</v>
      </c>
      <c r="E763" s="74"/>
      <c r="F763" s="74"/>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165</v>
      </c>
      <c r="J763" s="72" t="s">
        <v>4</v>
      </c>
      <c r="K763" s="72" t="s">
        <v>1944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39990</v>
      </c>
      <c r="R763" s="74">
        <v>40497</v>
      </c>
      <c r="S763" s="72" t="s">
        <v>17</v>
      </c>
      <c r="T763" s="80" t="s">
        <v>4</v>
      </c>
      <c r="U763" s="72" t="s">
        <v>14</v>
      </c>
      <c r="V763" s="72" t="s">
        <v>1935</v>
      </c>
      <c r="W763" s="72" t="s">
        <v>1937</v>
      </c>
      <c r="X763" s="72" t="s">
        <v>2911</v>
      </c>
      <c r="Y763" s="72" t="s">
        <v>3029</v>
      </c>
      <c r="Z763" s="72" t="s">
        <v>420</v>
      </c>
      <c r="AA763" s="147" t="s">
        <v>3622</v>
      </c>
    </row>
    <row r="764" spans="1:27" ht="18.600000000000001" customHeight="1">
      <c r="A764" s="140" t="str">
        <f>IF(priority(Main[[#This Row],[Comments]])&lt;&gt;0, priority(Main[[#This Row],[Comments]]),"")</f>
        <v/>
      </c>
      <c r="B764" s="90" t="s">
        <v>1613</v>
      </c>
      <c r="C764" s="72" t="s">
        <v>31</v>
      </c>
      <c r="D764" s="73" t="s">
        <v>680</v>
      </c>
      <c r="E764" s="74"/>
      <c r="F764" s="74">
        <v>40725</v>
      </c>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4</v>
      </c>
      <c r="J764" s="72" t="s">
        <v>4</v>
      </c>
      <c r="K764" s="72" t="s">
        <v>4</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40634</v>
      </c>
      <c r="R764" s="74"/>
      <c r="S764" s="72" t="s">
        <v>11</v>
      </c>
      <c r="T764" s="80" t="s">
        <v>4</v>
      </c>
      <c r="U764" s="72" t="s">
        <v>14</v>
      </c>
      <c r="V764" s="72" t="s">
        <v>1935</v>
      </c>
      <c r="W764" s="72" t="s">
        <v>1938</v>
      </c>
      <c r="X764" s="72" t="s">
        <v>2936</v>
      </c>
      <c r="Y764" s="72" t="s">
        <v>3160</v>
      </c>
      <c r="Z764" s="72" t="s">
        <v>4</v>
      </c>
      <c r="AA764" s="147" t="s">
        <v>2936</v>
      </c>
    </row>
    <row r="765" spans="1:27" ht="18.600000000000001" customHeight="1">
      <c r="A765" s="140" t="str">
        <f>IF(priority(Main[[#This Row],[Comments]])&lt;&gt;0, priority(Main[[#This Row],[Comments]]),"")</f>
        <v/>
      </c>
      <c r="B765" s="90" t="s">
        <v>1726</v>
      </c>
      <c r="C765" s="72" t="s">
        <v>31</v>
      </c>
      <c r="D765" s="73" t="s">
        <v>778</v>
      </c>
      <c r="E765" s="74"/>
      <c r="F765" s="74">
        <v>40664</v>
      </c>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4</v>
      </c>
      <c r="J765" s="72" t="s">
        <v>28</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v>40589</v>
      </c>
      <c r="R765" s="74"/>
      <c r="S765" s="72" t="s">
        <v>11</v>
      </c>
      <c r="T765" s="80" t="s">
        <v>4</v>
      </c>
      <c r="U765" s="72" t="s">
        <v>14</v>
      </c>
      <c r="V765" s="72" t="s">
        <v>1935</v>
      </c>
      <c r="W765" s="72" t="s">
        <v>1938</v>
      </c>
      <c r="X765" s="72" t="s">
        <v>50</v>
      </c>
      <c r="Y765" s="72" t="s">
        <v>3217</v>
      </c>
      <c r="Z765" s="72" t="s">
        <v>30</v>
      </c>
      <c r="AA765" s="147" t="s">
        <v>2916</v>
      </c>
    </row>
    <row r="766" spans="1:27" ht="18.600000000000001" customHeight="1">
      <c r="A766" s="140" t="str">
        <f>IF(priority(Main[[#This Row],[Comments]])&lt;&gt;0, priority(Main[[#This Row],[Comments]]),"")</f>
        <v/>
      </c>
      <c r="B766" s="90" t="s">
        <v>2408</v>
      </c>
      <c r="C766" s="72" t="s">
        <v>4</v>
      </c>
      <c r="D766" s="73" t="s">
        <v>3274</v>
      </c>
      <c r="E766" s="74">
        <v>40861.64230324074</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775</v>
      </c>
      <c r="J766" s="72" t="s">
        <v>52</v>
      </c>
      <c r="K766" s="72" t="s">
        <v>1941</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40897</v>
      </c>
      <c r="R766" s="74"/>
      <c r="S766" s="72" t="s">
        <v>6</v>
      </c>
      <c r="T766" s="80" t="s">
        <v>4</v>
      </c>
      <c r="U766" s="72" t="s">
        <v>29</v>
      </c>
      <c r="V766" s="72" t="s">
        <v>1935</v>
      </c>
      <c r="W766" s="72" t="s">
        <v>1936</v>
      </c>
      <c r="X766" s="72" t="s">
        <v>30</v>
      </c>
      <c r="Y766" s="72" t="s">
        <v>3035</v>
      </c>
      <c r="Z766" s="72" t="s">
        <v>30</v>
      </c>
      <c r="AA766" s="147" t="s">
        <v>30</v>
      </c>
    </row>
    <row r="767" spans="1:27" ht="18.600000000000001" customHeight="1">
      <c r="A767" s="140" t="str">
        <f>IF(priority(Main[[#This Row],[Comments]])&lt;&gt;0, priority(Main[[#This Row],[Comments]]),"")</f>
        <v/>
      </c>
      <c r="B767" s="90" t="s">
        <v>1614</v>
      </c>
      <c r="C767" s="72" t="s">
        <v>4</v>
      </c>
      <c r="D767" s="73" t="s">
        <v>681</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102</v>
      </c>
      <c r="J767" s="72" t="s">
        <v>4</v>
      </c>
      <c r="K767" s="72" t="s">
        <v>1939</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23</v>
      </c>
      <c r="T767" s="80" t="s">
        <v>4</v>
      </c>
      <c r="U767" s="72" t="s">
        <v>14</v>
      </c>
      <c r="V767" s="72" t="s">
        <v>1932</v>
      </c>
      <c r="W767" s="72" t="s">
        <v>1936</v>
      </c>
      <c r="X767" s="72" t="s">
        <v>310</v>
      </c>
      <c r="Y767" s="72" t="s">
        <v>4</v>
      </c>
      <c r="Z767" s="72" t="s">
        <v>4</v>
      </c>
      <c r="AA767" s="147" t="s">
        <v>3669</v>
      </c>
    </row>
    <row r="768" spans="1:27" ht="18.600000000000001" customHeight="1">
      <c r="A768" s="140" t="str">
        <f>IF(priority(Main[[#This Row],[Comments]])&lt;&gt;0, priority(Main[[#This Row],[Comments]]),"")</f>
        <v/>
      </c>
      <c r="B768" s="90" t="s">
        <v>1615</v>
      </c>
      <c r="C768" s="72" t="s">
        <v>4</v>
      </c>
      <c r="D768" s="73" t="s">
        <v>682</v>
      </c>
      <c r="E768" s="74">
        <v>40491.714780092596</v>
      </c>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4</v>
      </c>
      <c r="J768" s="72" t="s">
        <v>28</v>
      </c>
      <c r="K768" s="81" t="s">
        <v>1939</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v>40520</v>
      </c>
      <c r="R768" s="74"/>
      <c r="S768" s="72" t="s">
        <v>6</v>
      </c>
      <c r="T768" s="80" t="s">
        <v>4</v>
      </c>
      <c r="U768" s="72" t="s">
        <v>7</v>
      </c>
      <c r="V768" s="72" t="s">
        <v>1932</v>
      </c>
      <c r="W768" s="72" t="s">
        <v>1934</v>
      </c>
      <c r="X768" s="72" t="s">
        <v>2912</v>
      </c>
      <c r="Y768" s="72" t="s">
        <v>3031</v>
      </c>
      <c r="Z768" s="72" t="s">
        <v>129</v>
      </c>
      <c r="AA768" s="147" t="s">
        <v>2912</v>
      </c>
    </row>
    <row r="769" spans="1:27" ht="18.600000000000001" customHeight="1">
      <c r="A769" s="140" t="str">
        <f>IF(priority(Main[[#This Row],[Comments]])&lt;&gt;0, priority(Main[[#This Row],[Comments]]),"")</f>
        <v/>
      </c>
      <c r="B769" s="90" t="s">
        <v>1616</v>
      </c>
      <c r="C769" s="72" t="s">
        <v>47</v>
      </c>
      <c r="D769" s="73" t="s">
        <v>683</v>
      </c>
      <c r="E769" s="74"/>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4</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c r="S769" s="72" t="s">
        <v>11</v>
      </c>
      <c r="T769" s="80" t="s">
        <v>4</v>
      </c>
      <c r="U769" s="72" t="s">
        <v>14</v>
      </c>
      <c r="V769" s="72" t="s">
        <v>1933</v>
      </c>
      <c r="W769" s="72" t="s">
        <v>1936</v>
      </c>
      <c r="X769" s="72" t="s">
        <v>310</v>
      </c>
      <c r="Y769" s="72" t="s">
        <v>3036</v>
      </c>
      <c r="Z769" s="72" t="s">
        <v>4</v>
      </c>
      <c r="AA769" s="147" t="s">
        <v>3618</v>
      </c>
    </row>
    <row r="770" spans="1:27" ht="18.600000000000001" customHeight="1">
      <c r="A770" s="140" t="str">
        <f>IF(priority(Main[[#This Row],[Comments]])&lt;&gt;0, priority(Main[[#This Row],[Comments]]),"")</f>
        <v/>
      </c>
      <c r="B770" s="90" t="s">
        <v>1617</v>
      </c>
      <c r="C770" s="72" t="s">
        <v>279</v>
      </c>
      <c r="D770" s="73" t="s">
        <v>591</v>
      </c>
      <c r="E770" s="74"/>
      <c r="F770" s="74">
        <v>40186</v>
      </c>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4</v>
      </c>
      <c r="J770" s="72" t="s">
        <v>4</v>
      </c>
      <c r="K770" s="72" t="s">
        <v>4</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40186</v>
      </c>
      <c r="R770" s="74"/>
      <c r="S770" s="72" t="s">
        <v>11</v>
      </c>
      <c r="T770" s="80" t="s">
        <v>4</v>
      </c>
      <c r="U770" s="72" t="s">
        <v>14</v>
      </c>
      <c r="V770" s="72" t="s">
        <v>1935</v>
      </c>
      <c r="W770" s="72" t="s">
        <v>1940</v>
      </c>
      <c r="X770" s="72" t="s">
        <v>2933</v>
      </c>
      <c r="Y770" s="72" t="s">
        <v>4</v>
      </c>
      <c r="Z770" s="72" t="s">
        <v>4</v>
      </c>
      <c r="AA770" s="147" t="s">
        <v>2933</v>
      </c>
    </row>
    <row r="771" spans="1:27" ht="18.600000000000001" customHeight="1">
      <c r="A771" s="140" t="str">
        <f>IF(priority(Main[[#This Row],[Comments]])&lt;&gt;0, priority(Main[[#This Row],[Comments]]),"")</f>
        <v/>
      </c>
      <c r="B771" s="90" t="s">
        <v>1067</v>
      </c>
      <c r="C771" s="72" t="s">
        <v>4</v>
      </c>
      <c r="D771" s="73" t="s">
        <v>39</v>
      </c>
      <c r="E771" s="74"/>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494</v>
      </c>
      <c r="J771" s="72" t="s">
        <v>70</v>
      </c>
      <c r="K771" s="81" t="s">
        <v>1941</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v>40704</v>
      </c>
      <c r="R771" s="74"/>
      <c r="S771" s="72" t="s">
        <v>6</v>
      </c>
      <c r="T771" s="80" t="s">
        <v>4</v>
      </c>
      <c r="U771" s="72" t="s">
        <v>14</v>
      </c>
      <c r="V771" s="72" t="s">
        <v>1935</v>
      </c>
      <c r="W771" s="72" t="s">
        <v>1936</v>
      </c>
      <c r="X771" s="72" t="s">
        <v>2909</v>
      </c>
      <c r="Y771" s="72" t="s">
        <v>3024</v>
      </c>
      <c r="Z771" s="72" t="s">
        <v>30</v>
      </c>
      <c r="AA771" s="147" t="s">
        <v>2909</v>
      </c>
    </row>
    <row r="772" spans="1:27" ht="18.600000000000001" customHeight="1">
      <c r="A772" s="140" t="str">
        <f>IF(priority(Main[[#This Row],[Comments]])&lt;&gt;0, priority(Main[[#This Row],[Comments]]),"")</f>
        <v/>
      </c>
      <c r="B772" s="90" t="s">
        <v>1619</v>
      </c>
      <c r="C772" s="72" t="s">
        <v>4</v>
      </c>
      <c r="D772" s="73" t="s">
        <v>685</v>
      </c>
      <c r="E772" s="74">
        <v>40497.338240740741</v>
      </c>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4</v>
      </c>
      <c r="J772" s="72" t="s">
        <v>4</v>
      </c>
      <c r="K772" s="72" t="s">
        <v>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v>40529</v>
      </c>
      <c r="R772" s="74"/>
      <c r="S772" s="72" t="s">
        <v>4</v>
      </c>
      <c r="T772" s="80" t="s">
        <v>4</v>
      </c>
      <c r="U772" s="72" t="s">
        <v>7</v>
      </c>
      <c r="V772" s="72" t="s">
        <v>1932</v>
      </c>
      <c r="W772" s="72" t="s">
        <v>4</v>
      </c>
      <c r="X772" s="72" t="s">
        <v>2909</v>
      </c>
      <c r="Y772" s="72" t="s">
        <v>3024</v>
      </c>
      <c r="Z772" s="72" t="s">
        <v>4</v>
      </c>
      <c r="AA772" s="147" t="s">
        <v>2909</v>
      </c>
    </row>
    <row r="773" spans="1:27" ht="18.600000000000001" customHeight="1">
      <c r="A773" s="140" t="str">
        <f>IF(priority(Main[[#This Row],[Comments]])&lt;&gt;0, priority(Main[[#This Row],[Comments]]),"")</f>
        <v/>
      </c>
      <c r="B773" s="90" t="s">
        <v>1620</v>
      </c>
      <c r="C773" s="72" t="s">
        <v>72</v>
      </c>
      <c r="D773" s="73" t="s">
        <v>652</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c r="R773" s="74"/>
      <c r="S773" s="72" t="s">
        <v>49</v>
      </c>
      <c r="T773" s="80" t="s">
        <v>4</v>
      </c>
      <c r="U773" s="72" t="s">
        <v>12</v>
      </c>
      <c r="V773" s="72" t="s">
        <v>1933</v>
      </c>
      <c r="W773" s="72" t="s">
        <v>1934</v>
      </c>
      <c r="X773" s="72" t="s">
        <v>2992</v>
      </c>
      <c r="Y773" s="72" t="s">
        <v>3174</v>
      </c>
      <c r="Z773" s="72" t="s">
        <v>4</v>
      </c>
      <c r="AA773" s="147" t="s">
        <v>2992</v>
      </c>
    </row>
    <row r="774" spans="1:27" ht="18.600000000000001" customHeight="1">
      <c r="A774" s="140" t="str">
        <f>IF(priority(Main[[#This Row],[Comments]])&lt;&gt;0, priority(Main[[#This Row],[Comments]]),"")</f>
        <v/>
      </c>
      <c r="B774" s="90" t="s">
        <v>1622</v>
      </c>
      <c r="C774" s="72" t="s">
        <v>4</v>
      </c>
      <c r="D774" s="73" t="s">
        <v>687</v>
      </c>
      <c r="E774" s="74">
        <v>40666.673935185187</v>
      </c>
      <c r="F774" s="74"/>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374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c r="R774" s="74"/>
      <c r="S774" s="72" t="s">
        <v>6</v>
      </c>
      <c r="T774" s="80" t="s">
        <v>4</v>
      </c>
      <c r="U774" s="72" t="s">
        <v>29</v>
      </c>
      <c r="V774" s="72" t="s">
        <v>1935</v>
      </c>
      <c r="W774" s="72" t="s">
        <v>1936</v>
      </c>
      <c r="X774" s="72" t="s">
        <v>74</v>
      </c>
      <c r="Y774" s="72" t="s">
        <v>3126</v>
      </c>
      <c r="Z774" s="72" t="s">
        <v>420</v>
      </c>
      <c r="AA774" s="147" t="s">
        <v>74</v>
      </c>
    </row>
    <row r="775" spans="1:27" ht="18.600000000000001" customHeight="1">
      <c r="A775" s="140" t="str">
        <f>IF(priority(Main[[#This Row],[Comments]])&lt;&gt;0, priority(Main[[#This Row],[Comments]]),"")</f>
        <v/>
      </c>
      <c r="B775" s="90" t="s">
        <v>1623</v>
      </c>
      <c r="C775" s="72" t="s">
        <v>4</v>
      </c>
      <c r="D775" s="73" t="s">
        <v>688</v>
      </c>
      <c r="E775" s="74">
        <v>40603.482094907406</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44</v>
      </c>
      <c r="J775" s="72" t="s">
        <v>28</v>
      </c>
      <c r="K775" s="81" t="s">
        <v>1941</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40637</v>
      </c>
      <c r="R775" s="74"/>
      <c r="S775" s="72" t="s">
        <v>6</v>
      </c>
      <c r="T775" s="80" t="s">
        <v>4</v>
      </c>
      <c r="U775" s="72" t="s">
        <v>7</v>
      </c>
      <c r="V775" s="72" t="s">
        <v>1932</v>
      </c>
      <c r="W775" s="72" t="s">
        <v>1934</v>
      </c>
      <c r="X775" s="72" t="s">
        <v>2913</v>
      </c>
      <c r="Y775" s="72" t="s">
        <v>3033</v>
      </c>
      <c r="Z775" s="72" t="s">
        <v>44</v>
      </c>
      <c r="AA775" s="147" t="s">
        <v>2913</v>
      </c>
    </row>
    <row r="776" spans="1:27" ht="18.600000000000001" customHeight="1">
      <c r="A776" s="140" t="str">
        <f>IF(priority(Main[[#This Row],[Comments]])&lt;&gt;0, priority(Main[[#This Row],[Comments]]),"")</f>
        <v/>
      </c>
      <c r="B776" s="90" t="s">
        <v>1624</v>
      </c>
      <c r="C776" s="72" t="s">
        <v>113</v>
      </c>
      <c r="D776" s="73" t="s">
        <v>689</v>
      </c>
      <c r="E776" s="74"/>
      <c r="F776" s="74">
        <v>40193</v>
      </c>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81"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v>40470</v>
      </c>
      <c r="R776" s="74"/>
      <c r="S776" s="72" t="s">
        <v>11</v>
      </c>
      <c r="T776" s="80" t="s">
        <v>4</v>
      </c>
      <c r="U776" s="72" t="s">
        <v>14</v>
      </c>
      <c r="V776" s="72" t="s">
        <v>1942</v>
      </c>
      <c r="W776" s="72" t="s">
        <v>1938</v>
      </c>
      <c r="X776" s="72" t="s">
        <v>2935</v>
      </c>
      <c r="Y776" s="72" t="s">
        <v>3072</v>
      </c>
      <c r="Z776" s="72" t="s">
        <v>4</v>
      </c>
      <c r="AA776" s="147" t="s">
        <v>2935</v>
      </c>
    </row>
    <row r="777" spans="1:27" ht="18.600000000000001" customHeight="1">
      <c r="A777" s="140" t="str">
        <f>IF(priority(Main[[#This Row],[Comments]])&lt;&gt;0, priority(Main[[#This Row],[Comments]]),"")</f>
        <v/>
      </c>
      <c r="B777" s="90" t="s">
        <v>1625</v>
      </c>
      <c r="C777" s="72" t="s">
        <v>4</v>
      </c>
      <c r="D777" s="73" t="s">
        <v>690</v>
      </c>
      <c r="E777" s="74"/>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422</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c r="R777" s="74"/>
      <c r="S777" s="72" t="s">
        <v>23</v>
      </c>
      <c r="T777" s="80" t="s">
        <v>4</v>
      </c>
      <c r="U777" s="72" t="s">
        <v>14</v>
      </c>
      <c r="V777" s="72" t="s">
        <v>1935</v>
      </c>
      <c r="W777" s="72" t="s">
        <v>1936</v>
      </c>
      <c r="X777" s="72" t="s">
        <v>422</v>
      </c>
      <c r="Y777" s="72" t="s">
        <v>3183</v>
      </c>
      <c r="Z777" s="72" t="s">
        <v>30</v>
      </c>
      <c r="AA777" s="147" t="s">
        <v>3670</v>
      </c>
    </row>
    <row r="778" spans="1:27" ht="18.600000000000001" customHeight="1">
      <c r="A778" s="140" t="str">
        <f>IF(priority(Main[[#This Row],[Comments]])&lt;&gt;0, priority(Main[[#This Row],[Comments]]),"")</f>
        <v/>
      </c>
      <c r="B778" s="90" t="s">
        <v>1629</v>
      </c>
      <c r="C778" s="72" t="s">
        <v>694</v>
      </c>
      <c r="D778" s="73" t="s">
        <v>695</v>
      </c>
      <c r="E778" s="74"/>
      <c r="F778" s="74">
        <v>40527</v>
      </c>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4</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40480</v>
      </c>
      <c r="R778" s="74"/>
      <c r="S778" s="72" t="s">
        <v>11</v>
      </c>
      <c r="T778" s="80" t="s">
        <v>4</v>
      </c>
      <c r="U778" s="72" t="s">
        <v>14</v>
      </c>
      <c r="V778" s="72" t="s">
        <v>1933</v>
      </c>
      <c r="W778" s="72" t="s">
        <v>1938</v>
      </c>
      <c r="X778" s="72" t="s">
        <v>2970</v>
      </c>
      <c r="Y778" s="72" t="s">
        <v>3122</v>
      </c>
      <c r="Z778" s="72" t="s">
        <v>4</v>
      </c>
      <c r="AA778" s="147" t="s">
        <v>2970</v>
      </c>
    </row>
    <row r="779" spans="1:27" ht="18.600000000000001" customHeight="1">
      <c r="A779" s="140" t="str">
        <f>IF(priority(Main[[#This Row],[Comments]])&lt;&gt;0, priority(Main[[#This Row],[Comments]]),"")</f>
        <v/>
      </c>
      <c r="B779" s="90" t="s">
        <v>1630</v>
      </c>
      <c r="C779" s="72" t="s">
        <v>4</v>
      </c>
      <c r="D779" s="73" t="s">
        <v>696</v>
      </c>
      <c r="E779" s="74"/>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72"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6</v>
      </c>
      <c r="T779" s="80" t="s">
        <v>4</v>
      </c>
      <c r="U779" s="72" t="s">
        <v>14</v>
      </c>
      <c r="V779" s="72" t="s">
        <v>1932</v>
      </c>
      <c r="W779" s="72" t="s">
        <v>1940</v>
      </c>
      <c r="X779" s="72" t="s">
        <v>2074</v>
      </c>
      <c r="Y779" s="72" t="s">
        <v>3097</v>
      </c>
      <c r="Z779" s="72" t="s">
        <v>4</v>
      </c>
      <c r="AA779" s="147" t="s">
        <v>2074</v>
      </c>
    </row>
    <row r="780" spans="1:27" ht="18.600000000000001" customHeight="1">
      <c r="A780" s="140" t="str">
        <f>IF(priority(Main[[#This Row],[Comments]])&lt;&gt;0, priority(Main[[#This Row],[Comments]]),"")</f>
        <v/>
      </c>
      <c r="B780" s="90" t="s">
        <v>2413</v>
      </c>
      <c r="C780" s="72" t="s">
        <v>4</v>
      </c>
      <c r="D780" s="73" t="s">
        <v>2414</v>
      </c>
      <c r="E780" s="74"/>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70</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40877</v>
      </c>
      <c r="R780" s="74"/>
      <c r="S780" s="72" t="s">
        <v>6</v>
      </c>
      <c r="T780" s="80" t="s">
        <v>4</v>
      </c>
      <c r="U780" s="72" t="s">
        <v>14</v>
      </c>
      <c r="V780" s="72" t="s">
        <v>1935</v>
      </c>
      <c r="W780" s="72" t="s">
        <v>1936</v>
      </c>
      <c r="X780" s="72" t="s">
        <v>30</v>
      </c>
      <c r="Y780" s="72" t="s">
        <v>3185</v>
      </c>
      <c r="Z780" s="72" t="s">
        <v>30</v>
      </c>
      <c r="AA780" s="147" t="s">
        <v>74</v>
      </c>
    </row>
    <row r="781" spans="1:27" ht="18.600000000000001" customHeight="1">
      <c r="A781" s="140" t="str">
        <f>IF(priority(Main[[#This Row],[Comments]])&lt;&gt;0, priority(Main[[#This Row],[Comments]]),"")</f>
        <v/>
      </c>
      <c r="B781" s="90" t="s">
        <v>1631</v>
      </c>
      <c r="C781" s="72" t="s">
        <v>4</v>
      </c>
      <c r="D781" s="73" t="s">
        <v>697</v>
      </c>
      <c r="E781" s="74"/>
      <c r="F781" s="74"/>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4</v>
      </c>
      <c r="J781" s="72" t="s">
        <v>4</v>
      </c>
      <c r="K781" s="72" t="s">
        <v>4</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c r="R781" s="74"/>
      <c r="S781" s="72" t="s">
        <v>6</v>
      </c>
      <c r="T781" s="80" t="s">
        <v>4</v>
      </c>
      <c r="U781" s="72" t="s">
        <v>14</v>
      </c>
      <c r="V781" s="72" t="s">
        <v>1932</v>
      </c>
      <c r="W781" s="72" t="s">
        <v>4</v>
      </c>
      <c r="X781" s="72" t="s">
        <v>718</v>
      </c>
      <c r="Y781" s="72" t="s">
        <v>3165</v>
      </c>
      <c r="Z781" s="72" t="s">
        <v>4</v>
      </c>
      <c r="AA781" s="147" t="s">
        <v>718</v>
      </c>
    </row>
    <row r="782" spans="1:27" ht="18.600000000000001" customHeight="1">
      <c r="A782" s="140" t="str">
        <f>IF(priority(Main[[#This Row],[Comments]])&lt;&gt;0, priority(Main[[#This Row],[Comments]]),"")</f>
        <v/>
      </c>
      <c r="B782" s="90" t="s">
        <v>1632</v>
      </c>
      <c r="C782" s="72" t="s">
        <v>698</v>
      </c>
      <c r="D782" s="73" t="s">
        <v>699</v>
      </c>
      <c r="E782" s="74"/>
      <c r="F782" s="74">
        <v>40664</v>
      </c>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v>40557</v>
      </c>
      <c r="R782" s="74"/>
      <c r="S782" s="72" t="s">
        <v>11</v>
      </c>
      <c r="T782" s="80" t="s">
        <v>4</v>
      </c>
      <c r="U782" s="72" t="s">
        <v>14</v>
      </c>
      <c r="V782" s="72" t="s">
        <v>1932</v>
      </c>
      <c r="W782" s="72" t="s">
        <v>1940</v>
      </c>
      <c r="X782" s="72" t="s">
        <v>2919</v>
      </c>
      <c r="Y782" s="72" t="s">
        <v>3186</v>
      </c>
      <c r="Z782" s="72" t="s">
        <v>4</v>
      </c>
      <c r="AA782" s="147" t="s">
        <v>2919</v>
      </c>
    </row>
    <row r="783" spans="1:27" ht="18.600000000000001" customHeight="1">
      <c r="A783" s="140" t="str">
        <f>IF(priority(Main[[#This Row],[Comments]])&lt;&gt;0, priority(Main[[#This Row],[Comments]]),"")</f>
        <v/>
      </c>
      <c r="B783" s="90" t="s">
        <v>1633</v>
      </c>
      <c r="C783" s="72" t="s">
        <v>4</v>
      </c>
      <c r="D783" s="73" t="s">
        <v>700</v>
      </c>
      <c r="E783" s="74"/>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c r="R783" s="74"/>
      <c r="S783" s="72" t="s">
        <v>11</v>
      </c>
      <c r="T783" s="80" t="s">
        <v>4</v>
      </c>
      <c r="U783" s="72" t="s">
        <v>14</v>
      </c>
      <c r="V783" s="72" t="s">
        <v>1932</v>
      </c>
      <c r="W783" s="72" t="s">
        <v>4</v>
      </c>
      <c r="X783" s="72" t="s">
        <v>718</v>
      </c>
      <c r="Y783" s="72" t="s">
        <v>3117</v>
      </c>
      <c r="Z783" s="72" t="s">
        <v>4</v>
      </c>
      <c r="AA783" s="147" t="s">
        <v>3643</v>
      </c>
    </row>
    <row r="784" spans="1:27" ht="18.600000000000001" customHeight="1">
      <c r="A784" s="140" t="str">
        <f>IF(priority(Main[[#This Row],[Comments]])&lt;&gt;0, priority(Main[[#This Row],[Comments]]),"")</f>
        <v/>
      </c>
      <c r="B784" s="90" t="s">
        <v>1823</v>
      </c>
      <c r="C784" s="72" t="s">
        <v>4</v>
      </c>
      <c r="D784" s="73" t="s">
        <v>847</v>
      </c>
      <c r="E784" s="74">
        <v>40430.597812499997</v>
      </c>
      <c r="F784" s="74">
        <v>40574</v>
      </c>
      <c r="G784" s="75" t="str">
        <f>IF(stdProdLT(Main[[#This Row],[Comments]])=0.1,"N/A",IF(stdProdLT(Main[[#This Row],[Comments]])=0,"",stdProdLT(Main[[#This Row],[Comments]])))</f>
        <v/>
      </c>
      <c r="H784" s="76">
        <f>IF(AND(Main[[#This Row],[In Stock Date]]&lt;&gt;"",Main[[#This Row],[Revised Due Date]]&lt;&gt;""),Main[[#This Row],[In Stock Date]]-Main[[#This Row],[Revised Due Date]],"")</f>
        <v>384</v>
      </c>
      <c r="I784" s="72" t="s">
        <v>81</v>
      </c>
      <c r="J784" s="72" t="s">
        <v>52</v>
      </c>
      <c r="K784" s="81" t="s">
        <v>1944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v>40190</v>
      </c>
      <c r="R784" s="74">
        <v>40190</v>
      </c>
      <c r="S784" s="72" t="s">
        <v>17</v>
      </c>
      <c r="T784" s="80" t="s">
        <v>4</v>
      </c>
      <c r="U784" s="72" t="s">
        <v>29</v>
      </c>
      <c r="V784" s="72" t="s">
        <v>1935</v>
      </c>
      <c r="W784" s="72" t="s">
        <v>1937</v>
      </c>
      <c r="X784" s="72" t="s">
        <v>50</v>
      </c>
      <c r="Y784" s="72" t="s">
        <v>3080</v>
      </c>
      <c r="Z784" s="72" t="s">
        <v>81</v>
      </c>
      <c r="AA784" s="147" t="s">
        <v>65</v>
      </c>
    </row>
    <row r="785" spans="1:27" ht="18.600000000000001" customHeight="1">
      <c r="A785" s="141" t="str">
        <f>IF(priority(Main[[#This Row],[Comments]])&lt;&gt;0, priority(Main[[#This Row],[Comments]]),"")</f>
        <v/>
      </c>
      <c r="B785" s="90" t="s">
        <v>2126</v>
      </c>
      <c r="C785" s="83" t="s">
        <v>2111</v>
      </c>
      <c r="D785" s="84" t="s">
        <v>2112</v>
      </c>
      <c r="E785" s="85"/>
      <c r="F785" s="85">
        <v>40831</v>
      </c>
      <c r="G785" s="83" t="str">
        <f>IF(stdProdLT(Main[[#This Row],[Comments]])=0.1,"N/A",IF(stdProdLT(Main[[#This Row],[Comments]])=0,"",stdProdLT(Main[[#This Row],[Comments]])))</f>
        <v/>
      </c>
      <c r="H785" s="86" t="str">
        <f>IF(AND(Main[[#This Row],[In Stock Date]]&lt;&gt;"",Main[[#This Row],[Revised Due Date]]&lt;&gt;""),Main[[#This Row],[In Stock Date]]-Main[[#This Row],[Revised Due Date]],"")</f>
        <v/>
      </c>
      <c r="I785" s="83" t="s">
        <v>4</v>
      </c>
      <c r="J785" s="83" t="s">
        <v>4</v>
      </c>
      <c r="K785" s="83" t="s">
        <v>4</v>
      </c>
      <c r="L785" s="85"/>
      <c r="M785" s="87" t="str">
        <f>IF(Main[[#This Row],[Tech Start Date]]&lt;1/1/1990,"",IF(Main[[#This Row],[Class]]="C",WORKDAY(Main[[#This Row],[Tech Start Date]],9),IF(Main[[#This Row],[Class]]="B", WORKDAY(Main[[#This Row],[Tech Start Date]],6),IF(Main[[#This Row],[Class]]="A",WORKDAY(Main[[#This Row],[Tech Start Date]],2),""))))</f>
        <v/>
      </c>
      <c r="N785" s="87" t="str">
        <f>IF(Main[[#This Row],[Tech Start Date]]&lt;1/1/1990,"",IF(Main[[#This Row],[Class]]="C",WORKDAY(Main[[#This Row],[Tech Start Date]],19),IF(Main[[#This Row],[Class]]="B", WORKDAY(Main[[#This Row],[Tech Start Date]],12),IF(Main[[#This Row],[Class]]="A",WORKDAY(Main[[#This Row],[Tech Start Date]],4),""))))</f>
        <v/>
      </c>
      <c r="O785" s="87" t="str">
        <f>IF(Main[[#This Row],[Tech Start Date]]&lt;1/1/1990,"",IF(Main[[#This Row],[Class]]="C",WORKDAY(Main[[#This Row],[Tech Start Date]],23),IF(Main[[#This Row],[Class]]="B", WORKDAY(Main[[#This Row],[Tech Start Date]],15),IF(Main[[#This Row],[Class]]="A",WORKDAY(Main[[#This Row],[Tech Start Date]],5),""))))</f>
        <v/>
      </c>
      <c r="P785" s="87" t="str">
        <f>IF(Main[[#This Row],[Tech Start Date]]&lt;1/1/1990,"",IF(Main[[#This Row],[Class]]="C",WORKDAY(Main[[#This Row],[Tech Start Date]],28),IF(Main[[#This Row],[Class]]="B", WORKDAY(Main[[#This Row],[Tech Start Date]],19),IF(Main[[#This Row],[Class]]="A",WORKDAY(Main[[#This Row],[Tech Start Date]],9),""))))</f>
        <v/>
      </c>
      <c r="Q785" s="85">
        <v>40786</v>
      </c>
      <c r="R785" s="85"/>
      <c r="S785" s="83" t="s">
        <v>11</v>
      </c>
      <c r="T785" s="88" t="s">
        <v>4</v>
      </c>
      <c r="U785" s="83" t="s">
        <v>12</v>
      </c>
      <c r="V785" s="83" t="s">
        <v>1935</v>
      </c>
      <c r="W785" s="83" t="s">
        <v>1940</v>
      </c>
      <c r="X785" s="83" t="s">
        <v>2922</v>
      </c>
      <c r="Y785" s="83" t="s">
        <v>3049</v>
      </c>
      <c r="Z785" s="83" t="s">
        <v>4</v>
      </c>
      <c r="AA785" s="147" t="s">
        <v>2922</v>
      </c>
    </row>
    <row r="786" spans="1:27" ht="18.600000000000001" customHeight="1">
      <c r="A786" s="141" t="str">
        <f>IF(priority(Main[[#This Row],[Comments]])&lt;&gt;0, priority(Main[[#This Row],[Comments]]),"")</f>
        <v/>
      </c>
      <c r="B786" s="90" t="s">
        <v>2104</v>
      </c>
      <c r="C786" s="83" t="s">
        <v>4</v>
      </c>
      <c r="D786" s="84" t="s">
        <v>2105</v>
      </c>
      <c r="E786" s="85"/>
      <c r="F786" s="85"/>
      <c r="G786" s="83" t="str">
        <f>IF(stdProdLT(Main[[#This Row],[Comments]])=0.1,"N/A",IF(stdProdLT(Main[[#This Row],[Comments]])=0,"",stdProdLT(Main[[#This Row],[Comments]])))</f>
        <v/>
      </c>
      <c r="H786" s="86" t="str">
        <f>IF(AND(Main[[#This Row],[In Stock Date]]&lt;&gt;"",Main[[#This Row],[Revised Due Date]]&lt;&gt;""),Main[[#This Row],[In Stock Date]]-Main[[#This Row],[Revised Due Date]],"")</f>
        <v/>
      </c>
      <c r="I786" s="83" t="s">
        <v>535</v>
      </c>
      <c r="J786" s="83" t="s">
        <v>28</v>
      </c>
      <c r="K786" s="83" t="s">
        <v>1941</v>
      </c>
      <c r="L786" s="85"/>
      <c r="M786" s="87" t="str">
        <f>IF(Main[[#This Row],[Tech Start Date]]&lt;1/1/1990,"",IF(Main[[#This Row],[Class]]="C",WORKDAY(Main[[#This Row],[Tech Start Date]],9),IF(Main[[#This Row],[Class]]="B", WORKDAY(Main[[#This Row],[Tech Start Date]],6),IF(Main[[#This Row],[Class]]="A",WORKDAY(Main[[#This Row],[Tech Start Date]],2),""))))</f>
        <v/>
      </c>
      <c r="N786" s="87" t="str">
        <f>IF(Main[[#This Row],[Tech Start Date]]&lt;1/1/1990,"",IF(Main[[#This Row],[Class]]="C",WORKDAY(Main[[#This Row],[Tech Start Date]],19),IF(Main[[#This Row],[Class]]="B", WORKDAY(Main[[#This Row],[Tech Start Date]],12),IF(Main[[#This Row],[Class]]="A",WORKDAY(Main[[#This Row],[Tech Start Date]],4),""))))</f>
        <v/>
      </c>
      <c r="O786" s="87" t="str">
        <f>IF(Main[[#This Row],[Tech Start Date]]&lt;1/1/1990,"",IF(Main[[#This Row],[Class]]="C",WORKDAY(Main[[#This Row],[Tech Start Date]],23),IF(Main[[#This Row],[Class]]="B", WORKDAY(Main[[#This Row],[Tech Start Date]],15),IF(Main[[#This Row],[Class]]="A",WORKDAY(Main[[#This Row],[Tech Start Date]],5),""))))</f>
        <v/>
      </c>
      <c r="P786" s="87" t="str">
        <f>IF(Main[[#This Row],[Tech Start Date]]&lt;1/1/1990,"",IF(Main[[#This Row],[Class]]="C",WORKDAY(Main[[#This Row],[Tech Start Date]],28),IF(Main[[#This Row],[Class]]="B", WORKDAY(Main[[#This Row],[Tech Start Date]],19),IF(Main[[#This Row],[Class]]="A",WORKDAY(Main[[#This Row],[Tech Start Date]],9),""))))</f>
        <v/>
      </c>
      <c r="Q786" s="85"/>
      <c r="R786" s="85"/>
      <c r="S786" s="83" t="s">
        <v>6</v>
      </c>
      <c r="T786" s="88" t="s">
        <v>4</v>
      </c>
      <c r="U786" s="83" t="s">
        <v>14</v>
      </c>
      <c r="V786" s="83" t="s">
        <v>1935</v>
      </c>
      <c r="W786" s="83" t="s">
        <v>1936</v>
      </c>
      <c r="X786" s="83" t="s">
        <v>2957</v>
      </c>
      <c r="Y786" s="83" t="s">
        <v>3095</v>
      </c>
      <c r="Z786" s="83" t="s">
        <v>44</v>
      </c>
      <c r="AA786" s="147" t="s">
        <v>2957</v>
      </c>
    </row>
    <row r="787" spans="1:27" ht="18.600000000000001" customHeight="1">
      <c r="A787" s="141" t="str">
        <f>IF(priority(Main[[#This Row],[Comments]])&lt;&gt;0, priority(Main[[#This Row],[Comments]]),"")</f>
        <v/>
      </c>
      <c r="B787" s="90" t="s">
        <v>1411</v>
      </c>
      <c r="C787" s="83" t="s">
        <v>4</v>
      </c>
      <c r="D787" s="84" t="s">
        <v>486</v>
      </c>
      <c r="E787" s="85">
        <v>40485.329618055555</v>
      </c>
      <c r="F787" s="85"/>
      <c r="G787" s="83" t="str">
        <f>IF(stdProdLT(Main[[#This Row],[Comments]])=0.1,"N/A",IF(stdProdLT(Main[[#This Row],[Comments]])=0,"",stdProdLT(Main[[#This Row],[Comments]])))</f>
        <v/>
      </c>
      <c r="H787" s="86" t="str">
        <f>IF(AND(Main[[#This Row],[In Stock Date]]&lt;&gt;"",Main[[#This Row],[Revised Due Date]]&lt;&gt;""),Main[[#This Row],[In Stock Date]]-Main[[#This Row],[Revised Due Date]],"")</f>
        <v/>
      </c>
      <c r="I787" s="83" t="s">
        <v>4</v>
      </c>
      <c r="J787" s="83" t="s">
        <v>28</v>
      </c>
      <c r="K787" s="83" t="s">
        <v>1944</v>
      </c>
      <c r="L787" s="85"/>
      <c r="M787" s="87" t="str">
        <f>IF(Main[[#This Row],[Tech Start Date]]&lt;1/1/1990,"",IF(Main[[#This Row],[Class]]="C",WORKDAY(Main[[#This Row],[Tech Start Date]],9),IF(Main[[#This Row],[Class]]="B", WORKDAY(Main[[#This Row],[Tech Start Date]],6),IF(Main[[#This Row],[Class]]="A",WORKDAY(Main[[#This Row],[Tech Start Date]],2),""))))</f>
        <v/>
      </c>
      <c r="N787" s="87" t="str">
        <f>IF(Main[[#This Row],[Tech Start Date]]&lt;1/1/1990,"",IF(Main[[#This Row],[Class]]="C",WORKDAY(Main[[#This Row],[Tech Start Date]],19),IF(Main[[#This Row],[Class]]="B", WORKDAY(Main[[#This Row],[Tech Start Date]],12),IF(Main[[#This Row],[Class]]="A",WORKDAY(Main[[#This Row],[Tech Start Date]],4),""))))</f>
        <v/>
      </c>
      <c r="O787" s="87" t="str">
        <f>IF(Main[[#This Row],[Tech Start Date]]&lt;1/1/1990,"",IF(Main[[#This Row],[Class]]="C",WORKDAY(Main[[#This Row],[Tech Start Date]],23),IF(Main[[#This Row],[Class]]="B", WORKDAY(Main[[#This Row],[Tech Start Date]],15),IF(Main[[#This Row],[Class]]="A",WORKDAY(Main[[#This Row],[Tech Start Date]],5),""))))</f>
        <v/>
      </c>
      <c r="P787" s="87" t="str">
        <f>IF(Main[[#This Row],[Tech Start Date]]&lt;1/1/1990,"",IF(Main[[#This Row],[Class]]="C",WORKDAY(Main[[#This Row],[Tech Start Date]],28),IF(Main[[#This Row],[Class]]="B", WORKDAY(Main[[#This Row],[Tech Start Date]],19),IF(Main[[#This Row],[Class]]="A",WORKDAY(Main[[#This Row],[Tech Start Date]],9),""))))</f>
        <v/>
      </c>
      <c r="Q787" s="85"/>
      <c r="R787" s="85"/>
      <c r="S787" s="83" t="s">
        <v>17</v>
      </c>
      <c r="T787" s="88" t="s">
        <v>4</v>
      </c>
      <c r="U787" s="83" t="s">
        <v>29</v>
      </c>
      <c r="V787" s="83" t="s">
        <v>1932</v>
      </c>
      <c r="W787" s="83" t="s">
        <v>1946</v>
      </c>
      <c r="X787" s="83" t="s">
        <v>2074</v>
      </c>
      <c r="Y787" s="83" t="s">
        <v>3097</v>
      </c>
      <c r="Z787" s="83" t="s">
        <v>4</v>
      </c>
      <c r="AA787" s="147" t="s">
        <v>2074</v>
      </c>
    </row>
    <row r="788" spans="1:27" ht="18.600000000000001" customHeight="1">
      <c r="A788" s="141" t="str">
        <f>IF(priority(Main[[#This Row],[Comments]])&lt;&gt;0, priority(Main[[#This Row],[Comments]]),"")</f>
        <v/>
      </c>
      <c r="B788" s="90" t="s">
        <v>1835</v>
      </c>
      <c r="C788" s="83" t="s">
        <v>42</v>
      </c>
      <c r="D788" s="84" t="s">
        <v>880</v>
      </c>
      <c r="E788" s="85">
        <v>39932.455243055556</v>
      </c>
      <c r="F788" s="85"/>
      <c r="G788" s="83" t="str">
        <f>IF(stdProdLT(Main[[#This Row],[Comments]])=0.1,"N/A",IF(stdProdLT(Main[[#This Row],[Comments]])=0,"",stdProdLT(Main[[#This Row],[Comments]])))</f>
        <v/>
      </c>
      <c r="H788" s="86" t="str">
        <f>IF(AND(Main[[#This Row],[In Stock Date]]&lt;&gt;"",Main[[#This Row],[Revised Due Date]]&lt;&gt;""),Main[[#This Row],[In Stock Date]]-Main[[#This Row],[Revised Due Date]],"")</f>
        <v/>
      </c>
      <c r="I788" s="83" t="s">
        <v>4</v>
      </c>
      <c r="J788" s="83" t="s">
        <v>4</v>
      </c>
      <c r="K788" s="83" t="s">
        <v>4</v>
      </c>
      <c r="L788" s="85"/>
      <c r="M788" s="87" t="str">
        <f>IF(Main[[#This Row],[Tech Start Date]]&lt;1/1/1990,"",IF(Main[[#This Row],[Class]]="C",WORKDAY(Main[[#This Row],[Tech Start Date]],9),IF(Main[[#This Row],[Class]]="B", WORKDAY(Main[[#This Row],[Tech Start Date]],6),IF(Main[[#This Row],[Class]]="A",WORKDAY(Main[[#This Row],[Tech Start Date]],2),""))))</f>
        <v/>
      </c>
      <c r="N788" s="87" t="str">
        <f>IF(Main[[#This Row],[Tech Start Date]]&lt;1/1/1990,"",IF(Main[[#This Row],[Class]]="C",WORKDAY(Main[[#This Row],[Tech Start Date]],19),IF(Main[[#This Row],[Class]]="B", WORKDAY(Main[[#This Row],[Tech Start Date]],12),IF(Main[[#This Row],[Class]]="A",WORKDAY(Main[[#This Row],[Tech Start Date]],4),""))))</f>
        <v/>
      </c>
      <c r="O788" s="87" t="str">
        <f>IF(Main[[#This Row],[Tech Start Date]]&lt;1/1/1990,"",IF(Main[[#This Row],[Class]]="C",WORKDAY(Main[[#This Row],[Tech Start Date]],23),IF(Main[[#This Row],[Class]]="B", WORKDAY(Main[[#This Row],[Tech Start Date]],15),IF(Main[[#This Row],[Class]]="A",WORKDAY(Main[[#This Row],[Tech Start Date]],5),""))))</f>
        <v/>
      </c>
      <c r="P788" s="87" t="str">
        <f>IF(Main[[#This Row],[Tech Start Date]]&lt;1/1/1990,"",IF(Main[[#This Row],[Class]]="C",WORKDAY(Main[[#This Row],[Tech Start Date]],28),IF(Main[[#This Row],[Class]]="B", WORKDAY(Main[[#This Row],[Tech Start Date]],19),IF(Main[[#This Row],[Class]]="A",WORKDAY(Main[[#This Row],[Tech Start Date]],9),""))))</f>
        <v/>
      </c>
      <c r="Q788" s="85">
        <v>40165</v>
      </c>
      <c r="R788" s="85">
        <v>40298</v>
      </c>
      <c r="S788" s="83" t="s">
        <v>17</v>
      </c>
      <c r="T788" s="88" t="s">
        <v>4</v>
      </c>
      <c r="U788" s="83" t="s">
        <v>29</v>
      </c>
      <c r="V788" s="83" t="s">
        <v>1933</v>
      </c>
      <c r="W788" s="83" t="s">
        <v>1936</v>
      </c>
      <c r="X788" s="83" t="s">
        <v>403</v>
      </c>
      <c r="Y788" s="83" t="s">
        <v>4</v>
      </c>
      <c r="Z788" s="83" t="s">
        <v>4</v>
      </c>
      <c r="AA788" s="147" t="s">
        <v>3672</v>
      </c>
    </row>
    <row r="789" spans="1:27" ht="18.600000000000001" customHeight="1">
      <c r="A789" s="141" t="str">
        <f>IF(priority(Main[[#This Row],[Comments]])&lt;&gt;0, priority(Main[[#This Row],[Comments]]),"")</f>
        <v/>
      </c>
      <c r="B789" s="90" t="s">
        <v>1576</v>
      </c>
      <c r="C789" s="93" t="s">
        <v>93</v>
      </c>
      <c r="D789" s="84" t="s">
        <v>645</v>
      </c>
      <c r="E789" s="94"/>
      <c r="F789" s="94">
        <v>40132</v>
      </c>
      <c r="G789" s="93" t="str">
        <f>IF(stdProdLT(Main[[#This Row],[Comments]])=0.1,"N/A",IF(stdProdLT(Main[[#This Row],[Comments]])=0,"",stdProdLT(Main[[#This Row],[Comments]])))</f>
        <v/>
      </c>
      <c r="H789" s="95" t="str">
        <f>IF(AND(Main[[#This Row],[In Stock Date]]&lt;&gt;"",Main[[#This Row],[Revised Due Date]]&lt;&gt;""),Main[[#This Row],[In Stock Date]]-Main[[#This Row],[Revised Due Date]],"")</f>
        <v/>
      </c>
      <c r="I789" s="93" t="s">
        <v>4</v>
      </c>
      <c r="J789" s="93" t="s">
        <v>4</v>
      </c>
      <c r="K789" s="93" t="s">
        <v>4</v>
      </c>
      <c r="L789" s="94"/>
      <c r="M789" s="96" t="str">
        <f>IF(Main[[#This Row],[Tech Start Date]]&lt;1/1/1990,"",IF(Main[[#This Row],[Class]]="C",WORKDAY(Main[[#This Row],[Tech Start Date]],9),IF(Main[[#This Row],[Class]]="B", WORKDAY(Main[[#This Row],[Tech Start Date]],6),IF(Main[[#This Row],[Class]]="A",WORKDAY(Main[[#This Row],[Tech Start Date]],2),""))))</f>
        <v/>
      </c>
      <c r="N789" s="96" t="str">
        <f>IF(Main[[#This Row],[Tech Start Date]]&lt;1/1/1990,"",IF(Main[[#This Row],[Class]]="C",WORKDAY(Main[[#This Row],[Tech Start Date]],19),IF(Main[[#This Row],[Class]]="B", WORKDAY(Main[[#This Row],[Tech Start Date]],12),IF(Main[[#This Row],[Class]]="A",WORKDAY(Main[[#This Row],[Tech Start Date]],4),""))))</f>
        <v/>
      </c>
      <c r="O789" s="96" t="str">
        <f>IF(Main[[#This Row],[Tech Start Date]]&lt;1/1/1990,"",IF(Main[[#This Row],[Class]]="C",WORKDAY(Main[[#This Row],[Tech Start Date]],23),IF(Main[[#This Row],[Class]]="B", WORKDAY(Main[[#This Row],[Tech Start Date]],15),IF(Main[[#This Row],[Class]]="A",WORKDAY(Main[[#This Row],[Tech Start Date]],5),""))))</f>
        <v/>
      </c>
      <c r="P789" s="96" t="str">
        <f>IF(Main[[#This Row],[Tech Start Date]]&lt;1/1/1990,"",IF(Main[[#This Row],[Class]]="C",WORKDAY(Main[[#This Row],[Tech Start Date]],28),IF(Main[[#This Row],[Class]]="B", WORKDAY(Main[[#This Row],[Tech Start Date]],19),IF(Main[[#This Row],[Class]]="A",WORKDAY(Main[[#This Row],[Tech Start Date]],9),""))))</f>
        <v/>
      </c>
      <c r="Q789" s="94">
        <v>40132</v>
      </c>
      <c r="R789" s="94"/>
      <c r="S789" s="93" t="s">
        <v>11</v>
      </c>
      <c r="T789" s="97" t="s">
        <v>4</v>
      </c>
      <c r="U789" s="93" t="s">
        <v>14</v>
      </c>
      <c r="V789" s="93" t="s">
        <v>1935</v>
      </c>
      <c r="W789" s="93" t="s">
        <v>1943</v>
      </c>
      <c r="X789" s="83" t="s">
        <v>2947</v>
      </c>
      <c r="Y789" s="83" t="s">
        <v>4</v>
      </c>
      <c r="Z789" s="83" t="s">
        <v>4</v>
      </c>
      <c r="AA789" s="147" t="s">
        <v>2947</v>
      </c>
    </row>
    <row r="790" spans="1:27" ht="18.600000000000001" customHeight="1">
      <c r="A790" s="140" t="str">
        <f>IF(priority(Main[[#This Row],[Comments]])&lt;&gt;0, priority(Main[[#This Row],[Comments]]),"")</f>
        <v/>
      </c>
      <c r="B790" s="90" t="s">
        <v>3390</v>
      </c>
      <c r="C790" s="72" t="s">
        <v>3391</v>
      </c>
      <c r="D790" s="73" t="s">
        <v>3392</v>
      </c>
      <c r="E790" s="74">
        <v>40931.373113425929</v>
      </c>
      <c r="F790" s="74"/>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953</v>
      </c>
      <c r="J790" s="72" t="s">
        <v>28</v>
      </c>
      <c r="K790" s="72" t="s">
        <v>1941</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c r="R790" s="74"/>
      <c r="S790" s="72" t="s">
        <v>6</v>
      </c>
      <c r="T790" s="80" t="s">
        <v>3393</v>
      </c>
      <c r="U790" s="72" t="s">
        <v>29</v>
      </c>
      <c r="V790" s="72" t="s">
        <v>1933</v>
      </c>
      <c r="W790" s="72" t="s">
        <v>1936</v>
      </c>
      <c r="X790" s="72" t="s">
        <v>2906</v>
      </c>
      <c r="Y790" s="72" t="s">
        <v>3088</v>
      </c>
      <c r="Z790" s="72" t="s">
        <v>2075</v>
      </c>
      <c r="AA790" s="147" t="s">
        <v>2906</v>
      </c>
    </row>
    <row r="791" spans="1:27" ht="18.600000000000001" customHeight="1">
      <c r="A791" s="140" t="str">
        <f>IF(priority(Main[[#This Row],[Comments]])&lt;&gt;0, priority(Main[[#This Row],[Comments]]),"")</f>
        <v/>
      </c>
      <c r="B791" s="90" t="s">
        <v>1577</v>
      </c>
      <c r="C791" s="72" t="s">
        <v>4</v>
      </c>
      <c r="D791" s="73" t="s">
        <v>646</v>
      </c>
      <c r="E791" s="74"/>
      <c r="F791" s="74">
        <v>40602</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403</v>
      </c>
      <c r="J791" s="72" t="s">
        <v>75</v>
      </c>
      <c r="K791" s="72" t="s">
        <v>1941</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c r="R791" s="74"/>
      <c r="S791" s="72" t="s">
        <v>11</v>
      </c>
      <c r="T791" s="80" t="s">
        <v>4</v>
      </c>
      <c r="U791" s="72" t="s">
        <v>14</v>
      </c>
      <c r="V791" s="72" t="s">
        <v>1935</v>
      </c>
      <c r="W791" s="72" t="s">
        <v>1938</v>
      </c>
      <c r="X791" s="72" t="s">
        <v>50</v>
      </c>
      <c r="Y791" s="72" t="s">
        <v>3056</v>
      </c>
      <c r="Z791" s="72" t="s">
        <v>310</v>
      </c>
      <c r="AA791" s="147" t="s">
        <v>50</v>
      </c>
    </row>
    <row r="792" spans="1:27" ht="18.600000000000001" customHeight="1">
      <c r="A792" s="140" t="str">
        <f>IF(priority(Main[[#This Row],[Comments]])&lt;&gt;0, priority(Main[[#This Row],[Comments]]),"")</f>
        <v/>
      </c>
      <c r="B792" s="90" t="s">
        <v>1578</v>
      </c>
      <c r="C792" s="72" t="s">
        <v>4</v>
      </c>
      <c r="D792" s="73" t="s">
        <v>647</v>
      </c>
      <c r="E792" s="74"/>
      <c r="F792" s="74">
        <v>40711</v>
      </c>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72"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c r="R792" s="74"/>
      <c r="S792" s="72" t="s">
        <v>11</v>
      </c>
      <c r="T792" s="80" t="s">
        <v>4</v>
      </c>
      <c r="U792" s="72" t="s">
        <v>14</v>
      </c>
      <c r="V792" s="72" t="s">
        <v>1933</v>
      </c>
      <c r="W792" s="72" t="s">
        <v>1937</v>
      </c>
      <c r="X792" s="72" t="s">
        <v>953</v>
      </c>
      <c r="Y792" s="72" t="s">
        <v>3090</v>
      </c>
      <c r="Z792" s="72" t="s">
        <v>4</v>
      </c>
      <c r="AA792" s="147" t="s">
        <v>953</v>
      </c>
    </row>
    <row r="793" spans="1:27" ht="18.600000000000001" customHeight="1">
      <c r="A793" s="140" t="str">
        <f>IF(priority(Main[[#This Row],[Comments]])&lt;&gt;0, priority(Main[[#This Row],[Comments]]),"")</f>
        <v/>
      </c>
      <c r="B793" s="90" t="s">
        <v>1579</v>
      </c>
      <c r="C793" s="72" t="s">
        <v>183</v>
      </c>
      <c r="D793" s="73" t="s">
        <v>648</v>
      </c>
      <c r="E793" s="74"/>
      <c r="F793" s="74">
        <v>40389</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72"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v>40298</v>
      </c>
      <c r="R793" s="74"/>
      <c r="S793" s="72" t="s">
        <v>11</v>
      </c>
      <c r="T793" s="80" t="s">
        <v>4</v>
      </c>
      <c r="U793" s="72" t="s">
        <v>14</v>
      </c>
      <c r="V793" s="72" t="s">
        <v>1932</v>
      </c>
      <c r="W793" s="72" t="s">
        <v>1938</v>
      </c>
      <c r="X793" s="72" t="s">
        <v>2915</v>
      </c>
      <c r="Y793" s="72" t="s">
        <v>3038</v>
      </c>
      <c r="Z793" s="72" t="s">
        <v>4</v>
      </c>
      <c r="AA793" s="147" t="s">
        <v>2915</v>
      </c>
    </row>
    <row r="794" spans="1:27" ht="18.600000000000001" customHeight="1">
      <c r="A794" s="140" t="str">
        <f>IF(priority(Main[[#This Row],[Comments]])&lt;&gt;0, priority(Main[[#This Row],[Comments]]),"")</f>
        <v/>
      </c>
      <c r="B794" s="90" t="s">
        <v>1580</v>
      </c>
      <c r="C794" s="72" t="s">
        <v>4</v>
      </c>
      <c r="D794" s="73" t="s">
        <v>649</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81"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c r="R794" s="74"/>
      <c r="S794" s="72" t="s">
        <v>11</v>
      </c>
      <c r="T794" s="80" t="s">
        <v>4</v>
      </c>
      <c r="U794" s="72" t="s">
        <v>12</v>
      </c>
      <c r="V794" s="72" t="s">
        <v>1932</v>
      </c>
      <c r="W794" s="72" t="s">
        <v>1936</v>
      </c>
      <c r="X794" s="72" t="s">
        <v>897</v>
      </c>
      <c r="Y794" s="72" t="s">
        <v>3177</v>
      </c>
      <c r="Z794" s="72" t="s">
        <v>4</v>
      </c>
      <c r="AA794" s="147" t="s">
        <v>897</v>
      </c>
    </row>
    <row r="795" spans="1:27" ht="18.600000000000001" customHeight="1">
      <c r="A795" s="140" t="str">
        <f>IF(priority(Main[[#This Row],[Comments]])&lt;&gt;0, priority(Main[[#This Row],[Comments]]),"")</f>
        <v/>
      </c>
      <c r="B795" s="90" t="s">
        <v>1581</v>
      </c>
      <c r="C795" s="72" t="s">
        <v>650</v>
      </c>
      <c r="D795" s="73" t="s">
        <v>651</v>
      </c>
      <c r="E795" s="74"/>
      <c r="F795" s="74">
        <v>40632</v>
      </c>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40613</v>
      </c>
      <c r="R795" s="74"/>
      <c r="S795" s="72" t="s">
        <v>11</v>
      </c>
      <c r="T795" s="80" t="s">
        <v>4</v>
      </c>
      <c r="U795" s="72" t="s">
        <v>14</v>
      </c>
      <c r="V795" s="72" t="s">
        <v>1935</v>
      </c>
      <c r="W795" s="72" t="s">
        <v>1940</v>
      </c>
      <c r="X795" s="72" t="s">
        <v>2959</v>
      </c>
      <c r="Y795" s="72" t="s">
        <v>3107</v>
      </c>
      <c r="Z795" s="72" t="s">
        <v>4</v>
      </c>
      <c r="AA795" s="147" t="s">
        <v>2959</v>
      </c>
    </row>
    <row r="796" spans="1:27" ht="18.600000000000001" customHeight="1">
      <c r="A796" s="140" t="str">
        <f>IF(priority(Main[[#This Row],[Comments]])&lt;&gt;0, priority(Main[[#This Row],[Comments]]),"")</f>
        <v/>
      </c>
      <c r="B796" s="90" t="s">
        <v>1600</v>
      </c>
      <c r="C796" s="72" t="s">
        <v>72</v>
      </c>
      <c r="D796" s="73" t="s">
        <v>670</v>
      </c>
      <c r="E796" s="74"/>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c r="R796" s="74"/>
      <c r="S796" s="72" t="s">
        <v>49</v>
      </c>
      <c r="T796" s="80" t="s">
        <v>4</v>
      </c>
      <c r="U796" s="72" t="s">
        <v>12</v>
      </c>
      <c r="V796" s="72" t="s">
        <v>1933</v>
      </c>
      <c r="W796" s="72" t="s">
        <v>1934</v>
      </c>
      <c r="X796" s="72" t="s">
        <v>2992</v>
      </c>
      <c r="Y796" s="72" t="s">
        <v>3174</v>
      </c>
      <c r="Z796" s="72" t="s">
        <v>4</v>
      </c>
      <c r="AA796" s="147" t="s">
        <v>2992</v>
      </c>
    </row>
    <row r="797" spans="1:27" ht="18.600000000000001" customHeight="1">
      <c r="A797" s="140" t="str">
        <f>IF(priority(Main[[#This Row],[Comments]])&lt;&gt;0, priority(Main[[#This Row],[Comments]]),"")</f>
        <v/>
      </c>
      <c r="B797" s="90" t="s">
        <v>1601</v>
      </c>
      <c r="C797" s="72" t="s">
        <v>33</v>
      </c>
      <c r="D797" s="73" t="s">
        <v>671</v>
      </c>
      <c r="E797" s="74"/>
      <c r="F797" s="74">
        <v>40566</v>
      </c>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v>40532</v>
      </c>
      <c r="R797" s="74"/>
      <c r="S797" s="72" t="s">
        <v>11</v>
      </c>
      <c r="T797" s="80" t="s">
        <v>4</v>
      </c>
      <c r="U797" s="72" t="s">
        <v>12</v>
      </c>
      <c r="V797" s="72" t="s">
        <v>1933</v>
      </c>
      <c r="W797" s="72" t="s">
        <v>1940</v>
      </c>
      <c r="X797" s="72" t="s">
        <v>2966</v>
      </c>
      <c r="Y797" s="72" t="s">
        <v>3116</v>
      </c>
      <c r="Z797" s="72" t="s">
        <v>4</v>
      </c>
      <c r="AA797" s="147" t="s">
        <v>2966</v>
      </c>
    </row>
    <row r="798" spans="1:27" ht="18.600000000000001" customHeight="1">
      <c r="A798" s="140" t="str">
        <f>IF(priority(Main[[#This Row],[Comments]])&lt;&gt;0, priority(Main[[#This Row],[Comments]]),"")</f>
        <v/>
      </c>
      <c r="B798" s="90" t="s">
        <v>1602</v>
      </c>
      <c r="C798" s="72" t="s">
        <v>351</v>
      </c>
      <c r="D798" s="73" t="s">
        <v>672</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v>40494</v>
      </c>
      <c r="R798" s="74"/>
      <c r="S798" s="72" t="s">
        <v>11</v>
      </c>
      <c r="T798" s="80" t="s">
        <v>4</v>
      </c>
      <c r="U798" s="72" t="s">
        <v>14</v>
      </c>
      <c r="V798" s="72" t="s">
        <v>1942</v>
      </c>
      <c r="W798" s="72" t="s">
        <v>4</v>
      </c>
      <c r="X798" s="72" t="s">
        <v>2915</v>
      </c>
      <c r="Y798" s="72" t="s">
        <v>3038</v>
      </c>
      <c r="Z798" s="72" t="s">
        <v>4</v>
      </c>
      <c r="AA798" s="147" t="s">
        <v>2915</v>
      </c>
    </row>
    <row r="799" spans="1:27" ht="18.600000000000001" customHeight="1">
      <c r="A799" s="140" t="str">
        <f>IF(priority(Main[[#This Row],[Comments]])&lt;&gt;0, priority(Main[[#This Row],[Comments]]),"")</f>
        <v/>
      </c>
      <c r="B799" s="90" t="s">
        <v>1603</v>
      </c>
      <c r="C799" s="72" t="s">
        <v>4</v>
      </c>
      <c r="D799" s="73" t="s">
        <v>673</v>
      </c>
      <c r="E799" s="74">
        <v>40462.471782407411</v>
      </c>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4</v>
      </c>
      <c r="J799" s="72" t="s">
        <v>4</v>
      </c>
      <c r="K799" s="72" t="s">
        <v>4</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c r="R799" s="74"/>
      <c r="S799" s="72" t="s">
        <v>6</v>
      </c>
      <c r="T799" s="80" t="s">
        <v>4</v>
      </c>
      <c r="U799" s="72" t="s">
        <v>7</v>
      </c>
      <c r="V799" s="72" t="s">
        <v>1932</v>
      </c>
      <c r="W799" s="72" t="s">
        <v>1936</v>
      </c>
      <c r="X799" s="72" t="s">
        <v>2957</v>
      </c>
      <c r="Y799" s="72" t="s">
        <v>3095</v>
      </c>
      <c r="Z799" s="72" t="s">
        <v>4</v>
      </c>
      <c r="AA799" s="147" t="s">
        <v>2957</v>
      </c>
    </row>
    <row r="800" spans="1:27" ht="18.600000000000001" customHeight="1">
      <c r="A800" s="140" t="str">
        <f>IF(priority(Main[[#This Row],[Comments]])&lt;&gt;0, priority(Main[[#This Row],[Comments]]),"")</f>
        <v/>
      </c>
      <c r="B800" s="90" t="s">
        <v>1604</v>
      </c>
      <c r="C800" s="72" t="s">
        <v>4</v>
      </c>
      <c r="D800" s="73" t="s">
        <v>39</v>
      </c>
      <c r="E800" s="74"/>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4</v>
      </c>
      <c r="K800" s="72" t="s">
        <v>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40669</v>
      </c>
      <c r="R800" s="74"/>
      <c r="S800" s="72" t="s">
        <v>6</v>
      </c>
      <c r="T800" s="80" t="s">
        <v>4</v>
      </c>
      <c r="U800" s="72" t="s">
        <v>14</v>
      </c>
      <c r="V800" s="72" t="s">
        <v>1935</v>
      </c>
      <c r="W800" s="72" t="s">
        <v>4</v>
      </c>
      <c r="X800" s="72" t="s">
        <v>2909</v>
      </c>
      <c r="Y800" s="72" t="s">
        <v>3024</v>
      </c>
      <c r="Z800" s="72" t="s">
        <v>4</v>
      </c>
      <c r="AA800" s="147" t="s">
        <v>2909</v>
      </c>
    </row>
    <row r="801" spans="1:27" ht="18.600000000000001" customHeight="1">
      <c r="A801" s="140" t="str">
        <f>IF(priority(Main[[#This Row],[Comments]])&lt;&gt;0, priority(Main[[#This Row],[Comments]]),"")</f>
        <v/>
      </c>
      <c r="B801" s="90" t="s">
        <v>1855</v>
      </c>
      <c r="C801" s="72" t="s">
        <v>4</v>
      </c>
      <c r="D801" s="73" t="s">
        <v>1967</v>
      </c>
      <c r="E801" s="74"/>
      <c r="F801" s="74">
        <v>40445</v>
      </c>
      <c r="G801" s="75" t="str">
        <f>IF(stdProdLT(Main[[#This Row],[Comments]])=0.1,"N/A",IF(stdProdLT(Main[[#This Row],[Comments]])=0,"",stdProdLT(Main[[#This Row],[Comments]])))</f>
        <v/>
      </c>
      <c r="H801" s="76">
        <f>IF(AND(Main[[#This Row],[In Stock Date]]&lt;&gt;"",Main[[#This Row],[Revised Due Date]]&lt;&gt;""),Main[[#This Row],[In Stock Date]]-Main[[#This Row],[Revised Due Date]],"")</f>
        <v>0</v>
      </c>
      <c r="I801" s="72" t="s">
        <v>4</v>
      </c>
      <c r="J801" s="72" t="s">
        <v>28</v>
      </c>
      <c r="K801" s="72" t="s">
        <v>1945</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40445</v>
      </c>
      <c r="R801" s="74">
        <v>40445</v>
      </c>
      <c r="S801" s="72" t="s">
        <v>11</v>
      </c>
      <c r="T801" s="80" t="s">
        <v>4</v>
      </c>
      <c r="U801" s="72" t="s">
        <v>14</v>
      </c>
      <c r="V801" s="72" t="s">
        <v>1933</v>
      </c>
      <c r="W801" s="72" t="s">
        <v>1937</v>
      </c>
      <c r="X801" s="72" t="s">
        <v>2953</v>
      </c>
      <c r="Y801" s="72" t="s">
        <v>3181</v>
      </c>
      <c r="Z801" s="72" t="s">
        <v>3257</v>
      </c>
      <c r="AA801" s="147" t="s">
        <v>2966</v>
      </c>
    </row>
    <row r="802" spans="1:27" ht="18.600000000000001" customHeight="1">
      <c r="A802" s="140" t="str">
        <f>IF(priority(Main[[#This Row],[Comments]])&lt;&gt;0, priority(Main[[#This Row],[Comments]]),"")</f>
        <v/>
      </c>
      <c r="B802" s="90" t="s">
        <v>1605</v>
      </c>
      <c r="C802" s="72" t="s">
        <v>4</v>
      </c>
      <c r="D802" s="73" t="s">
        <v>674</v>
      </c>
      <c r="E802" s="74"/>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4</v>
      </c>
      <c r="K802" s="81"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c r="R802" s="74"/>
      <c r="S802" s="72" t="s">
        <v>6</v>
      </c>
      <c r="T802" s="80" t="s">
        <v>4</v>
      </c>
      <c r="U802" s="72" t="s">
        <v>14</v>
      </c>
      <c r="V802" s="72" t="s">
        <v>1932</v>
      </c>
      <c r="W802" s="72" t="s">
        <v>1936</v>
      </c>
      <c r="X802" s="72" t="s">
        <v>310</v>
      </c>
      <c r="Y802" s="72" t="s">
        <v>4</v>
      </c>
      <c r="Z802" s="72" t="s">
        <v>4</v>
      </c>
      <c r="AA802" s="147" t="s">
        <v>2942</v>
      </c>
    </row>
    <row r="803" spans="1:27" ht="18.600000000000001" customHeight="1">
      <c r="A803" s="140" t="str">
        <f>IF(priority(Main[[#This Row],[Comments]])&lt;&gt;0, priority(Main[[#This Row],[Comments]]),"")</f>
        <v/>
      </c>
      <c r="B803" s="90" t="s">
        <v>1635</v>
      </c>
      <c r="C803" s="72" t="s">
        <v>4</v>
      </c>
      <c r="D803" s="73" t="s">
        <v>704</v>
      </c>
      <c r="E803" s="74"/>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23</v>
      </c>
      <c r="T803" s="80" t="s">
        <v>4</v>
      </c>
      <c r="U803" s="72" t="s">
        <v>14</v>
      </c>
      <c r="V803" s="72" t="s">
        <v>1935</v>
      </c>
      <c r="W803" s="72" t="s">
        <v>1936</v>
      </c>
      <c r="X803" s="72" t="s">
        <v>403</v>
      </c>
      <c r="Y803" s="72" t="s">
        <v>4</v>
      </c>
      <c r="Z803" s="72" t="s">
        <v>4</v>
      </c>
      <c r="AA803" s="147" t="s">
        <v>3673</v>
      </c>
    </row>
    <row r="804" spans="1:27" ht="18.600000000000001" customHeight="1">
      <c r="A804" s="140" t="str">
        <f>IF(priority(Main[[#This Row],[Comments]])&lt;&gt;0, priority(Main[[#This Row],[Comments]]),"")</f>
        <v/>
      </c>
      <c r="B804" s="90" t="s">
        <v>1636</v>
      </c>
      <c r="C804" s="72" t="s">
        <v>122</v>
      </c>
      <c r="D804" s="73" t="s">
        <v>705</v>
      </c>
      <c r="E804" s="74"/>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4</v>
      </c>
      <c r="J804" s="72" t="s">
        <v>4</v>
      </c>
      <c r="K804" s="72" t="s">
        <v>4</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11</v>
      </c>
      <c r="T804" s="80" t="s">
        <v>4</v>
      </c>
      <c r="U804" s="72" t="s">
        <v>14</v>
      </c>
      <c r="V804" s="72" t="s">
        <v>1932</v>
      </c>
      <c r="W804" s="72" t="s">
        <v>1943</v>
      </c>
      <c r="X804" s="72" t="s">
        <v>2911</v>
      </c>
      <c r="Y804" s="72" t="s">
        <v>3187</v>
      </c>
      <c r="Z804" s="72" t="s">
        <v>4</v>
      </c>
      <c r="AA804" s="147" t="s">
        <v>3674</v>
      </c>
    </row>
    <row r="805" spans="1:27" ht="18.600000000000001" customHeight="1">
      <c r="A805" s="140" t="str">
        <f>IF(priority(Main[[#This Row],[Comments]])&lt;&gt;0, priority(Main[[#This Row],[Comments]]),"")</f>
        <v/>
      </c>
      <c r="B805" s="90" t="s">
        <v>1637</v>
      </c>
      <c r="C805" s="72" t="s">
        <v>4</v>
      </c>
      <c r="D805" s="73" t="s">
        <v>706</v>
      </c>
      <c r="E805" s="74">
        <v>40626.478958333333</v>
      </c>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374</v>
      </c>
      <c r="J805" s="72" t="s">
        <v>28</v>
      </c>
      <c r="K805" s="72" t="s">
        <v>1941</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c r="R805" s="74"/>
      <c r="S805" s="72" t="s">
        <v>6</v>
      </c>
      <c r="T805" s="80" t="s">
        <v>4</v>
      </c>
      <c r="U805" s="72" t="s">
        <v>29</v>
      </c>
      <c r="V805" s="72" t="s">
        <v>1935</v>
      </c>
      <c r="W805" s="72" t="s">
        <v>1936</v>
      </c>
      <c r="X805" s="72" t="s">
        <v>74</v>
      </c>
      <c r="Y805" s="72" t="s">
        <v>3126</v>
      </c>
      <c r="Z805" s="72" t="s">
        <v>420</v>
      </c>
      <c r="AA805" s="147" t="s">
        <v>74</v>
      </c>
    </row>
    <row r="806" spans="1:27" ht="18.600000000000001" customHeight="1">
      <c r="A806" s="140" t="str">
        <f>IF(priority(Main[[#This Row],[Comments]])&lt;&gt;0, priority(Main[[#This Row],[Comments]]),"")</f>
        <v/>
      </c>
      <c r="B806" s="90" t="s">
        <v>1638</v>
      </c>
      <c r="C806" s="72" t="s">
        <v>4</v>
      </c>
      <c r="D806" s="73" t="s">
        <v>707</v>
      </c>
      <c r="E806" s="74"/>
      <c r="F806" s="74">
        <v>40598</v>
      </c>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403</v>
      </c>
      <c r="J806" s="72" t="s">
        <v>75</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v>40598</v>
      </c>
      <c r="R806" s="74"/>
      <c r="S806" s="72" t="s">
        <v>6</v>
      </c>
      <c r="T806" s="80" t="s">
        <v>4</v>
      </c>
      <c r="U806" s="72" t="s">
        <v>14</v>
      </c>
      <c r="V806" s="72" t="s">
        <v>1942</v>
      </c>
      <c r="W806" s="72" t="s">
        <v>1938</v>
      </c>
      <c r="X806" s="72" t="s">
        <v>2939</v>
      </c>
      <c r="Y806" s="72" t="s">
        <v>3074</v>
      </c>
      <c r="Z806" s="72" t="s">
        <v>310</v>
      </c>
      <c r="AA806" s="147" t="s">
        <v>2939</v>
      </c>
    </row>
    <row r="807" spans="1:27" ht="18.600000000000001" customHeight="1">
      <c r="A807" s="140" t="str">
        <f>IF(priority(Main[[#This Row],[Comments]])&lt;&gt;0, priority(Main[[#This Row],[Comments]]),"")</f>
        <v/>
      </c>
      <c r="B807" s="90" t="s">
        <v>2191</v>
      </c>
      <c r="C807" s="72" t="s">
        <v>2186</v>
      </c>
      <c r="D807" s="73" t="s">
        <v>2792</v>
      </c>
      <c r="E807" s="74">
        <v>40781.401631944442</v>
      </c>
      <c r="F807" s="74"/>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2073</v>
      </c>
      <c r="J807" s="72" t="s">
        <v>70</v>
      </c>
      <c r="K807" s="72" t="s">
        <v>1941</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40836</v>
      </c>
      <c r="R807" s="74"/>
      <c r="S807" s="72" t="s">
        <v>6</v>
      </c>
      <c r="T807" s="80" t="s">
        <v>4</v>
      </c>
      <c r="U807" s="72" t="s">
        <v>29</v>
      </c>
      <c r="V807" s="72" t="s">
        <v>1935</v>
      </c>
      <c r="W807" s="72" t="s">
        <v>1936</v>
      </c>
      <c r="X807" s="72" t="s">
        <v>2927</v>
      </c>
      <c r="Y807" s="72" t="s">
        <v>3060</v>
      </c>
      <c r="Z807" s="72" t="s">
        <v>30</v>
      </c>
      <c r="AA807" s="147" t="s">
        <v>2927</v>
      </c>
    </row>
    <row r="808" spans="1:27" ht="18.600000000000001" customHeight="1">
      <c r="A808" s="140" t="str">
        <f>IF(priority(Main[[#This Row],[Comments]])&lt;&gt;0, priority(Main[[#This Row],[Comments]]),"")</f>
        <v/>
      </c>
      <c r="B808" s="90" t="s">
        <v>2097</v>
      </c>
      <c r="C808" s="72" t="s">
        <v>4</v>
      </c>
      <c r="D808" s="73" t="s">
        <v>2420</v>
      </c>
      <c r="E808" s="74">
        <v>40760.554780092592</v>
      </c>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6</v>
      </c>
      <c r="T808" s="80" t="s">
        <v>4</v>
      </c>
      <c r="U808" s="72" t="s">
        <v>7</v>
      </c>
      <c r="V808" s="72" t="s">
        <v>1932</v>
      </c>
      <c r="W808" s="72" t="s">
        <v>1936</v>
      </c>
      <c r="X808" s="72" t="s">
        <v>310</v>
      </c>
      <c r="Y808" s="72" t="s">
        <v>4</v>
      </c>
      <c r="Z808" s="72" t="s">
        <v>4</v>
      </c>
      <c r="AA808" s="147" t="s">
        <v>4</v>
      </c>
    </row>
    <row r="809" spans="1:27" ht="18.600000000000001" customHeight="1">
      <c r="A809" s="140" t="str">
        <f>IF(priority(Main[[#This Row],[Comments]])&lt;&gt;0, priority(Main[[#This Row],[Comments]]),"")</f>
        <v/>
      </c>
      <c r="B809" s="90" t="s">
        <v>1639</v>
      </c>
      <c r="C809" s="72" t="s">
        <v>4</v>
      </c>
      <c r="D809" s="73" t="s">
        <v>708</v>
      </c>
      <c r="E809" s="74"/>
      <c r="F809" s="74"/>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c r="R809" s="74"/>
      <c r="S809" s="72" t="s">
        <v>49</v>
      </c>
      <c r="T809" s="80" t="s">
        <v>4</v>
      </c>
      <c r="U809" s="72" t="s">
        <v>14</v>
      </c>
      <c r="V809" s="72" t="s">
        <v>1932</v>
      </c>
      <c r="W809" s="72" t="s">
        <v>1936</v>
      </c>
      <c r="X809" s="72" t="s">
        <v>310</v>
      </c>
      <c r="Y809" s="72" t="s">
        <v>4</v>
      </c>
      <c r="Z809" s="72" t="s">
        <v>4</v>
      </c>
      <c r="AA809" s="147" t="s">
        <v>4</v>
      </c>
    </row>
    <row r="810" spans="1:27" ht="18.600000000000001" customHeight="1">
      <c r="A810" s="140" t="str">
        <f>IF(priority(Main[[#This Row],[Comments]])&lt;&gt;0, priority(Main[[#This Row],[Comments]]),"")</f>
        <v/>
      </c>
      <c r="B810" s="90" t="s">
        <v>1640</v>
      </c>
      <c r="C810" s="72" t="s">
        <v>4</v>
      </c>
      <c r="D810" s="73" t="s">
        <v>709</v>
      </c>
      <c r="E810" s="74"/>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c r="R810" s="74"/>
      <c r="S810" s="72" t="s">
        <v>11</v>
      </c>
      <c r="T810" s="80" t="s">
        <v>4</v>
      </c>
      <c r="U810" s="72" t="s">
        <v>14</v>
      </c>
      <c r="V810" s="72" t="s">
        <v>1935</v>
      </c>
      <c r="W810" s="72" t="s">
        <v>1940</v>
      </c>
      <c r="X810" s="72" t="s">
        <v>310</v>
      </c>
      <c r="Y810" s="72" t="s">
        <v>4</v>
      </c>
      <c r="Z810" s="72" t="s">
        <v>4</v>
      </c>
      <c r="AA810" s="147" t="s">
        <v>4</v>
      </c>
    </row>
    <row r="811" spans="1:27" ht="18.600000000000001" customHeight="1">
      <c r="A811" s="140" t="str">
        <f>IF(priority(Main[[#This Row],[Comments]])&lt;&gt;0, priority(Main[[#This Row],[Comments]]),"")</f>
        <v/>
      </c>
      <c r="B811" s="90" t="s">
        <v>1641</v>
      </c>
      <c r="C811" s="72" t="s">
        <v>214</v>
      </c>
      <c r="D811" s="73" t="s">
        <v>215</v>
      </c>
      <c r="E811" s="74"/>
      <c r="F811" s="74">
        <v>40452</v>
      </c>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v>40357</v>
      </c>
      <c r="R811" s="74"/>
      <c r="S811" s="72" t="s">
        <v>11</v>
      </c>
      <c r="T811" s="80" t="s">
        <v>4</v>
      </c>
      <c r="U811" s="72" t="s">
        <v>12</v>
      </c>
      <c r="V811" s="72" t="s">
        <v>1932</v>
      </c>
      <c r="W811" s="72" t="s">
        <v>1940</v>
      </c>
      <c r="X811" s="72" t="s">
        <v>2924</v>
      </c>
      <c r="Y811" s="72" t="s">
        <v>4</v>
      </c>
      <c r="Z811" s="72" t="s">
        <v>4</v>
      </c>
      <c r="AA811" s="147" t="s">
        <v>2924</v>
      </c>
    </row>
    <row r="812" spans="1:27" ht="18.600000000000001" customHeight="1">
      <c r="A812" s="140" t="str">
        <f>IF(priority(Main[[#This Row],[Comments]])&lt;&gt;0, priority(Main[[#This Row],[Comments]]),"")</f>
        <v/>
      </c>
      <c r="B812" s="90" t="s">
        <v>2254</v>
      </c>
      <c r="C812" s="72" t="s">
        <v>4</v>
      </c>
      <c r="D812" s="73" t="s">
        <v>2255</v>
      </c>
      <c r="E812" s="74">
        <v>40802.257071759261</v>
      </c>
      <c r="F812" s="74"/>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40816</v>
      </c>
      <c r="R812" s="74"/>
      <c r="S812" s="72" t="s">
        <v>6</v>
      </c>
      <c r="T812" s="80" t="s">
        <v>4</v>
      </c>
      <c r="U812" s="72" t="s">
        <v>7</v>
      </c>
      <c r="V812" s="72" t="s">
        <v>1932</v>
      </c>
      <c r="W812" s="72" t="s">
        <v>1940</v>
      </c>
      <c r="X812" s="72" t="s">
        <v>2912</v>
      </c>
      <c r="Y812" s="72" t="s">
        <v>3031</v>
      </c>
      <c r="Z812" s="72" t="s">
        <v>4</v>
      </c>
      <c r="AA812" s="147" t="s">
        <v>2912</v>
      </c>
    </row>
    <row r="813" spans="1:27" ht="18.600000000000001" customHeight="1">
      <c r="A813" s="140" t="str">
        <f>IF(priority(Main[[#This Row],[Comments]])&lt;&gt;0, priority(Main[[#This Row],[Comments]]),"")</f>
        <v/>
      </c>
      <c r="B813" s="90" t="s">
        <v>1643</v>
      </c>
      <c r="C813" s="72" t="s">
        <v>351</v>
      </c>
      <c r="D813" s="73" t="s">
        <v>711</v>
      </c>
      <c r="E813" s="74"/>
      <c r="F813" s="74">
        <v>40664</v>
      </c>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403</v>
      </c>
      <c r="J813" s="72" t="s">
        <v>75</v>
      </c>
      <c r="K813" s="72" t="s">
        <v>1939</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c r="R813" s="74"/>
      <c r="S813" s="72" t="s">
        <v>11</v>
      </c>
      <c r="T813" s="80" t="s">
        <v>4</v>
      </c>
      <c r="U813" s="72" t="s">
        <v>14</v>
      </c>
      <c r="V813" s="72" t="s">
        <v>1935</v>
      </c>
      <c r="W813" s="72" t="s">
        <v>1938</v>
      </c>
      <c r="X813" s="72" t="s">
        <v>50</v>
      </c>
      <c r="Y813" s="72" t="s">
        <v>3188</v>
      </c>
      <c r="Z813" s="72" t="s">
        <v>310</v>
      </c>
      <c r="AA813" s="147" t="s">
        <v>2963</v>
      </c>
    </row>
    <row r="814" spans="1:27" ht="18.600000000000001" customHeight="1">
      <c r="A814" s="140" t="str">
        <f>IF(priority(Main[[#This Row],[Comments]])&lt;&gt;0, priority(Main[[#This Row],[Comments]]),"")</f>
        <v/>
      </c>
      <c r="B814" s="90" t="s">
        <v>1644</v>
      </c>
      <c r="C814" s="72" t="s">
        <v>4</v>
      </c>
      <c r="D814" s="73" t="s">
        <v>97</v>
      </c>
      <c r="E814" s="74"/>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4</v>
      </c>
      <c r="K814" s="72" t="s">
        <v>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v>40858</v>
      </c>
      <c r="R814" s="74"/>
      <c r="S814" s="72" t="s">
        <v>17</v>
      </c>
      <c r="T814" s="80" t="s">
        <v>4</v>
      </c>
      <c r="U814" s="72" t="s">
        <v>14</v>
      </c>
      <c r="V814" s="72" t="s">
        <v>1932</v>
      </c>
      <c r="W814" s="72" t="s">
        <v>1937</v>
      </c>
      <c r="X814" s="72" t="s">
        <v>50</v>
      </c>
      <c r="Y814" s="72" t="s">
        <v>3054</v>
      </c>
      <c r="Z814" s="72" t="s">
        <v>4</v>
      </c>
      <c r="AA814" s="147" t="s">
        <v>2919</v>
      </c>
    </row>
    <row r="815" spans="1:27" ht="18.600000000000001" customHeight="1">
      <c r="A815" s="140" t="str">
        <f>IF(priority(Main[[#This Row],[Comments]])&lt;&gt;0, priority(Main[[#This Row],[Comments]]),"")</f>
        <v/>
      </c>
      <c r="B815" s="90" t="s">
        <v>1645</v>
      </c>
      <c r="C815" s="72" t="s">
        <v>4</v>
      </c>
      <c r="D815" s="73" t="s">
        <v>97</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4</v>
      </c>
      <c r="K815" s="81"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v>40858</v>
      </c>
      <c r="R815" s="74"/>
      <c r="S815" s="72" t="s">
        <v>17</v>
      </c>
      <c r="T815" s="80" t="s">
        <v>4</v>
      </c>
      <c r="U815" s="72" t="s">
        <v>12</v>
      </c>
      <c r="V815" s="72" t="s">
        <v>1932</v>
      </c>
      <c r="W815" s="72" t="s">
        <v>1937</v>
      </c>
      <c r="X815" s="72" t="s">
        <v>50</v>
      </c>
      <c r="Y815" s="72" t="s">
        <v>3054</v>
      </c>
      <c r="Z815" s="72" t="s">
        <v>4</v>
      </c>
      <c r="AA815" s="147" t="s">
        <v>2919</v>
      </c>
    </row>
    <row r="816" spans="1:27" ht="18.600000000000001" customHeight="1">
      <c r="A816" s="140" t="str">
        <f>IF(priority(Main[[#This Row],[Comments]])&lt;&gt;0, priority(Main[[#This Row],[Comments]]),"")</f>
        <v/>
      </c>
      <c r="B816" s="90" t="s">
        <v>1646</v>
      </c>
      <c r="C816" s="72" t="s">
        <v>4</v>
      </c>
      <c r="D816" s="73" t="s">
        <v>712</v>
      </c>
      <c r="E816" s="74">
        <v>40455.919641203705</v>
      </c>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28</v>
      </c>
      <c r="K816" s="81" t="s">
        <v>1944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v>40543</v>
      </c>
      <c r="R816" s="74"/>
      <c r="S816" s="72" t="s">
        <v>17</v>
      </c>
      <c r="T816" s="80" t="s">
        <v>4</v>
      </c>
      <c r="U816" s="72" t="s">
        <v>7</v>
      </c>
      <c r="V816" s="72" t="s">
        <v>1932</v>
      </c>
      <c r="W816" s="72" t="s">
        <v>1936</v>
      </c>
      <c r="X816" s="72" t="s">
        <v>129</v>
      </c>
      <c r="Y816" s="72" t="s">
        <v>3028</v>
      </c>
      <c r="Z816" s="72" t="s">
        <v>129</v>
      </c>
      <c r="AA816" s="147" t="s">
        <v>129</v>
      </c>
    </row>
    <row r="817" spans="1:27" ht="18.600000000000001" customHeight="1">
      <c r="A817" s="140" t="str">
        <f>IF(priority(Main[[#This Row],[Comments]])&lt;&gt;0, priority(Main[[#This Row],[Comments]]),"")</f>
        <v/>
      </c>
      <c r="B817" s="90" t="s">
        <v>1647</v>
      </c>
      <c r="C817" s="72" t="s">
        <v>4</v>
      </c>
      <c r="D817" s="73" t="s">
        <v>713</v>
      </c>
      <c r="E817" s="74">
        <v>40711.477789351855</v>
      </c>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4</v>
      </c>
      <c r="J817" s="72" t="s">
        <v>4</v>
      </c>
      <c r="K817" s="72" t="s">
        <v>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v>40753</v>
      </c>
      <c r="R817" s="74"/>
      <c r="S817" s="72" t="s">
        <v>6</v>
      </c>
      <c r="T817" s="80" t="s">
        <v>4</v>
      </c>
      <c r="U817" s="72" t="s">
        <v>7</v>
      </c>
      <c r="V817" s="72" t="s">
        <v>1932</v>
      </c>
      <c r="W817" s="72" t="s">
        <v>1940</v>
      </c>
      <c r="X817" s="72" t="s">
        <v>2912</v>
      </c>
      <c r="Y817" s="72" t="s">
        <v>3031</v>
      </c>
      <c r="Z817" s="72" t="s">
        <v>4</v>
      </c>
      <c r="AA817" s="147" t="s">
        <v>2912</v>
      </c>
    </row>
    <row r="818" spans="1:27" ht="18.600000000000001" customHeight="1">
      <c r="A818" s="140" t="str">
        <f>IF(priority(Main[[#This Row],[Comments]])&lt;&gt;0, priority(Main[[#This Row],[Comments]]),"")</f>
        <v/>
      </c>
      <c r="B818" s="90" t="s">
        <v>1649</v>
      </c>
      <c r="C818" s="72" t="s">
        <v>47</v>
      </c>
      <c r="D818" s="73" t="s">
        <v>715</v>
      </c>
      <c r="E818" s="74"/>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49</v>
      </c>
      <c r="T818" s="80" t="s">
        <v>4</v>
      </c>
      <c r="U818" s="72" t="s">
        <v>14</v>
      </c>
      <c r="V818" s="72" t="s">
        <v>1935</v>
      </c>
      <c r="W818" s="72" t="s">
        <v>1936</v>
      </c>
      <c r="X818" s="72" t="s">
        <v>310</v>
      </c>
      <c r="Y818" s="72" t="s">
        <v>3036</v>
      </c>
      <c r="Z818" s="72" t="s">
        <v>4</v>
      </c>
      <c r="AA818" s="147" t="s">
        <v>3618</v>
      </c>
    </row>
    <row r="819" spans="1:27" ht="18.600000000000001" customHeight="1">
      <c r="A819" s="140" t="str">
        <f>IF(priority(Main[[#This Row],[Comments]])&lt;&gt;0, priority(Main[[#This Row],[Comments]]),"")</f>
        <v/>
      </c>
      <c r="B819" s="90" t="s">
        <v>1473</v>
      </c>
      <c r="C819" s="72" t="s">
        <v>4</v>
      </c>
      <c r="D819" s="73" t="s">
        <v>529</v>
      </c>
      <c r="E819" s="74">
        <v>40926.590763888889</v>
      </c>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535</v>
      </c>
      <c r="J819" s="72" t="s">
        <v>28</v>
      </c>
      <c r="K819" s="72" t="s">
        <v>1941</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c r="R819" s="74"/>
      <c r="S819" s="72" t="s">
        <v>6</v>
      </c>
      <c r="T819" s="80" t="s">
        <v>4</v>
      </c>
      <c r="U819" s="72" t="s">
        <v>29</v>
      </c>
      <c r="V819" s="72" t="s">
        <v>1935</v>
      </c>
      <c r="W819" s="72" t="s">
        <v>1936</v>
      </c>
      <c r="X819" s="72" t="s">
        <v>2910</v>
      </c>
      <c r="Y819" s="72" t="s">
        <v>3027</v>
      </c>
      <c r="Z819" s="72" t="s">
        <v>30</v>
      </c>
      <c r="AA819" s="147" t="s">
        <v>2910</v>
      </c>
    </row>
    <row r="820" spans="1:27" ht="18.600000000000001" customHeight="1">
      <c r="A820" s="140" t="str">
        <f>IF(priority(Main[[#This Row],[Comments]])&lt;&gt;0, priority(Main[[#This Row],[Comments]]),"")</f>
        <v/>
      </c>
      <c r="B820" s="90" t="s">
        <v>2069</v>
      </c>
      <c r="C820" s="72" t="s">
        <v>4</v>
      </c>
      <c r="D820" s="73" t="s">
        <v>2070</v>
      </c>
      <c r="E820" s="74">
        <v>40753.114606481482</v>
      </c>
      <c r="F820" s="74"/>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v>40786</v>
      </c>
      <c r="R820" s="74"/>
      <c r="S820" s="72" t="s">
        <v>6</v>
      </c>
      <c r="T820" s="80" t="s">
        <v>4</v>
      </c>
      <c r="U820" s="72" t="s">
        <v>7</v>
      </c>
      <c r="V820" s="72" t="s">
        <v>1932</v>
      </c>
      <c r="W820" s="72" t="s">
        <v>4</v>
      </c>
      <c r="X820" s="72" t="s">
        <v>2913</v>
      </c>
      <c r="Y820" s="72" t="s">
        <v>3033</v>
      </c>
      <c r="Z820" s="72" t="s">
        <v>4</v>
      </c>
      <c r="AA820" s="147" t="s">
        <v>2913</v>
      </c>
    </row>
    <row r="821" spans="1:27" ht="18.600000000000001" customHeight="1">
      <c r="A821" s="140" t="str">
        <f>IF(priority(Main[[#This Row],[Comments]])&lt;&gt;0, priority(Main[[#This Row],[Comments]]),"")</f>
        <v/>
      </c>
      <c r="B821" s="90" t="s">
        <v>1657</v>
      </c>
      <c r="C821" s="72" t="s">
        <v>4</v>
      </c>
      <c r="D821" s="73" t="s">
        <v>39</v>
      </c>
      <c r="E821" s="74"/>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40669</v>
      </c>
      <c r="R821" s="74"/>
      <c r="S821" s="72" t="s">
        <v>6</v>
      </c>
      <c r="T821" s="80" t="s">
        <v>4</v>
      </c>
      <c r="U821" s="72" t="s">
        <v>14</v>
      </c>
      <c r="V821" s="72" t="s">
        <v>1935</v>
      </c>
      <c r="W821" s="72" t="s">
        <v>4</v>
      </c>
      <c r="X821" s="72" t="s">
        <v>2909</v>
      </c>
      <c r="Y821" s="72" t="s">
        <v>3024</v>
      </c>
      <c r="Z821" s="72" t="s">
        <v>4</v>
      </c>
      <c r="AA821" s="147" t="s">
        <v>2909</v>
      </c>
    </row>
    <row r="822" spans="1:27" ht="18.600000000000001" customHeight="1">
      <c r="A822" s="140" t="str">
        <f>IF(priority(Main[[#This Row],[Comments]])&lt;&gt;0, priority(Main[[#This Row],[Comments]]),"")</f>
        <v/>
      </c>
      <c r="B822" s="90" t="s">
        <v>1655</v>
      </c>
      <c r="C822" s="72" t="s">
        <v>67</v>
      </c>
      <c r="D822" s="73" t="s">
        <v>719</v>
      </c>
      <c r="E822" s="74"/>
      <c r="F822" s="74">
        <v>40751</v>
      </c>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28</v>
      </c>
      <c r="K822" s="72" t="s">
        <v>1944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v>40581</v>
      </c>
      <c r="R822" s="74"/>
      <c r="S822" s="72" t="s">
        <v>17</v>
      </c>
      <c r="T822" s="80" t="s">
        <v>4</v>
      </c>
      <c r="U822" s="72" t="s">
        <v>14</v>
      </c>
      <c r="V822" s="72" t="s">
        <v>1935</v>
      </c>
      <c r="W822" s="72" t="s">
        <v>1938</v>
      </c>
      <c r="X822" s="72" t="s">
        <v>2920</v>
      </c>
      <c r="Y822" s="72" t="s">
        <v>3046</v>
      </c>
      <c r="Z822" s="72" t="s">
        <v>980</v>
      </c>
      <c r="AA822" s="147" t="s">
        <v>2920</v>
      </c>
    </row>
    <row r="823" spans="1:27" ht="18.600000000000001" customHeight="1">
      <c r="A823" s="140" t="str">
        <f>IF(priority(Main[[#This Row],[Comments]])&lt;&gt;0, priority(Main[[#This Row],[Comments]]),"")</f>
        <v/>
      </c>
      <c r="B823" s="90" t="s">
        <v>2786</v>
      </c>
      <c r="C823" s="72" t="s">
        <v>4</v>
      </c>
      <c r="D823" s="73" t="s">
        <v>3355</v>
      </c>
      <c r="E823" s="74">
        <v>40917.478506944448</v>
      </c>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4</v>
      </c>
      <c r="J823" s="72" t="s">
        <v>4</v>
      </c>
      <c r="K823" s="81" t="s">
        <v>4</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c r="R823" s="74"/>
      <c r="S823" s="72" t="s">
        <v>6</v>
      </c>
      <c r="T823" s="80" t="s">
        <v>4</v>
      </c>
      <c r="U823" s="72" t="s">
        <v>7</v>
      </c>
      <c r="V823" s="72" t="s">
        <v>1932</v>
      </c>
      <c r="W823" s="72" t="s">
        <v>1936</v>
      </c>
      <c r="X823" s="72" t="s">
        <v>102</v>
      </c>
      <c r="Y823" s="72" t="s">
        <v>3175</v>
      </c>
      <c r="Z823" s="72" t="s">
        <v>4</v>
      </c>
      <c r="AA823" s="147" t="s">
        <v>3627</v>
      </c>
    </row>
    <row r="824" spans="1:27" ht="18.600000000000001" customHeight="1">
      <c r="A824" s="140" t="str">
        <f>IF(priority(Main[[#This Row],[Comments]])&lt;&gt;0, priority(Main[[#This Row],[Comments]]),"")</f>
        <v/>
      </c>
      <c r="B824" s="90" t="s">
        <v>1565</v>
      </c>
      <c r="C824" s="72" t="s">
        <v>4</v>
      </c>
      <c r="D824" s="73" t="s">
        <v>636</v>
      </c>
      <c r="E824" s="74">
        <v>40371.35765046296</v>
      </c>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40385</v>
      </c>
      <c r="R824" s="74"/>
      <c r="S824" s="72" t="s">
        <v>6</v>
      </c>
      <c r="T824" s="80" t="s">
        <v>4</v>
      </c>
      <c r="U824" s="72" t="s">
        <v>7</v>
      </c>
      <c r="V824" s="72" t="s">
        <v>1932</v>
      </c>
      <c r="W824" s="72" t="s">
        <v>1934</v>
      </c>
      <c r="X824" s="72" t="s">
        <v>102</v>
      </c>
      <c r="Y824" s="72" t="s">
        <v>3127</v>
      </c>
      <c r="Z824" s="72" t="s">
        <v>4</v>
      </c>
      <c r="AA824" s="147" t="s">
        <v>3638</v>
      </c>
    </row>
    <row r="825" spans="1:27" ht="18.600000000000001" customHeight="1">
      <c r="A825" s="140" t="str">
        <f>IF(priority(Main[[#This Row],[Comments]])&lt;&gt;0, priority(Main[[#This Row],[Comments]]),"")</f>
        <v/>
      </c>
      <c r="B825" s="90" t="s">
        <v>1566</v>
      </c>
      <c r="C825" s="72" t="s">
        <v>4</v>
      </c>
      <c r="D825" s="73" t="s">
        <v>637</v>
      </c>
      <c r="E825" s="74">
        <v>40371.37263888889</v>
      </c>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81"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40385</v>
      </c>
      <c r="R825" s="74"/>
      <c r="S825" s="72" t="s">
        <v>6</v>
      </c>
      <c r="T825" s="80" t="s">
        <v>4</v>
      </c>
      <c r="U825" s="72" t="s">
        <v>7</v>
      </c>
      <c r="V825" s="72" t="s">
        <v>1932</v>
      </c>
      <c r="W825" s="72" t="s">
        <v>1934</v>
      </c>
      <c r="X825" s="72" t="s">
        <v>102</v>
      </c>
      <c r="Y825" s="72" t="s">
        <v>3127</v>
      </c>
      <c r="Z825" s="72" t="s">
        <v>4</v>
      </c>
      <c r="AA825" s="147" t="s">
        <v>3638</v>
      </c>
    </row>
    <row r="826" spans="1:27" ht="18.600000000000001" customHeight="1">
      <c r="A826" s="140" t="str">
        <f>IF(priority(Main[[#This Row],[Comments]])&lt;&gt;0, priority(Main[[#This Row],[Comments]]),"")</f>
        <v/>
      </c>
      <c r="B826" s="90" t="s">
        <v>2011</v>
      </c>
      <c r="C826" s="72" t="s">
        <v>4</v>
      </c>
      <c r="D826" s="73" t="s">
        <v>2012</v>
      </c>
      <c r="E826" s="74">
        <v>40737.450219907405</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4</v>
      </c>
      <c r="J826" s="72" t="s">
        <v>4</v>
      </c>
      <c r="K826" s="81"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v>40759</v>
      </c>
      <c r="R826" s="74"/>
      <c r="S826" s="72" t="s">
        <v>6</v>
      </c>
      <c r="T826" s="80" t="s">
        <v>4</v>
      </c>
      <c r="U826" s="72" t="s">
        <v>7</v>
      </c>
      <c r="V826" s="72" t="s">
        <v>1932</v>
      </c>
      <c r="W826" s="72" t="s">
        <v>1940</v>
      </c>
      <c r="X826" s="72" t="s">
        <v>2912</v>
      </c>
      <c r="Y826" s="72" t="s">
        <v>3031</v>
      </c>
      <c r="Z826" s="72" t="s">
        <v>4</v>
      </c>
      <c r="AA826" s="147" t="s">
        <v>2912</v>
      </c>
    </row>
    <row r="827" spans="1:27" ht="18.600000000000001" customHeight="1">
      <c r="A827" s="140" t="str">
        <f>IF(priority(Main[[#This Row],[Comments]])&lt;&gt;0, priority(Main[[#This Row],[Comments]]),"")</f>
        <v/>
      </c>
      <c r="B827" s="90" t="s">
        <v>1452</v>
      </c>
      <c r="C827" s="72" t="s">
        <v>183</v>
      </c>
      <c r="D827" s="73" t="s">
        <v>520</v>
      </c>
      <c r="E827" s="74"/>
      <c r="F827" s="74">
        <v>40374</v>
      </c>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40298</v>
      </c>
      <c r="R827" s="74"/>
      <c r="S827" s="72" t="s">
        <v>11</v>
      </c>
      <c r="T827" s="80" t="s">
        <v>4</v>
      </c>
      <c r="U827" s="72" t="s">
        <v>14</v>
      </c>
      <c r="V827" s="72" t="s">
        <v>1932</v>
      </c>
      <c r="W827" s="72" t="s">
        <v>1938</v>
      </c>
      <c r="X827" s="72" t="s">
        <v>2915</v>
      </c>
      <c r="Y827" s="72" t="s">
        <v>3038</v>
      </c>
      <c r="Z827" s="72" t="s">
        <v>4</v>
      </c>
      <c r="AA827" s="147" t="s">
        <v>2915</v>
      </c>
    </row>
    <row r="828" spans="1:27" ht="18.600000000000001" customHeight="1">
      <c r="A828" s="140" t="str">
        <f>IF(priority(Main[[#This Row],[Comments]])&lt;&gt;0, priority(Main[[#This Row],[Comments]]),"")</f>
        <v/>
      </c>
      <c r="B828" s="90" t="s">
        <v>1658</v>
      </c>
      <c r="C828" s="72" t="s">
        <v>4</v>
      </c>
      <c r="D828" s="73" t="s">
        <v>720</v>
      </c>
      <c r="E828" s="74"/>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28</v>
      </c>
      <c r="K828" s="81" t="s">
        <v>1941</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v>40647</v>
      </c>
      <c r="R828" s="74"/>
      <c r="S828" s="72" t="s">
        <v>6</v>
      </c>
      <c r="T828" s="80" t="s">
        <v>4</v>
      </c>
      <c r="U828" s="72" t="s">
        <v>14</v>
      </c>
      <c r="V828" s="72" t="s">
        <v>1932</v>
      </c>
      <c r="W828" s="72" t="s">
        <v>1936</v>
      </c>
      <c r="X828" s="72" t="s">
        <v>2912</v>
      </c>
      <c r="Y828" s="72" t="s">
        <v>3031</v>
      </c>
      <c r="Z828" s="72" t="s">
        <v>129</v>
      </c>
      <c r="AA828" s="147" t="s">
        <v>2912</v>
      </c>
    </row>
    <row r="829" spans="1:27" ht="18.600000000000001" customHeight="1">
      <c r="A829" s="140" t="str">
        <f>IF(priority(Main[[#This Row],[Comments]])&lt;&gt;0, priority(Main[[#This Row],[Comments]]),"")</f>
        <v/>
      </c>
      <c r="B829" s="90" t="s">
        <v>1660</v>
      </c>
      <c r="C829" s="72" t="s">
        <v>4</v>
      </c>
      <c r="D829" s="73" t="s">
        <v>722</v>
      </c>
      <c r="E829" s="74"/>
      <c r="F829" s="74"/>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4</v>
      </c>
      <c r="J829" s="72" t="s">
        <v>4</v>
      </c>
      <c r="K829" s="72" t="s">
        <v>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c r="R829" s="74"/>
      <c r="S829" s="72" t="s">
        <v>23</v>
      </c>
      <c r="T829" s="80" t="s">
        <v>4</v>
      </c>
      <c r="U829" s="72" t="s">
        <v>14</v>
      </c>
      <c r="V829" s="72" t="s">
        <v>1935</v>
      </c>
      <c r="W829" s="72" t="s">
        <v>1936</v>
      </c>
      <c r="X829" s="72" t="s">
        <v>403</v>
      </c>
      <c r="Y829" s="72" t="s">
        <v>4</v>
      </c>
      <c r="Z829" s="72" t="s">
        <v>4</v>
      </c>
      <c r="AA829" s="147" t="s">
        <v>3675</v>
      </c>
    </row>
    <row r="830" spans="1:27" ht="18.600000000000001" customHeight="1">
      <c r="A830" s="140" t="str">
        <f>IF(priority(Main[[#This Row],[Comments]])&lt;&gt;0, priority(Main[[#This Row],[Comments]]),"")</f>
        <v/>
      </c>
      <c r="B830" s="90" t="s">
        <v>1871</v>
      </c>
      <c r="C830" s="72" t="s">
        <v>4</v>
      </c>
      <c r="D830" s="73" t="s">
        <v>920</v>
      </c>
      <c r="E830" s="74"/>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863</v>
      </c>
      <c r="J830" s="72" t="s">
        <v>4</v>
      </c>
      <c r="K830" s="81" t="s">
        <v>1944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c r="R830" s="74">
        <v>40543</v>
      </c>
      <c r="S830" s="72" t="s">
        <v>17</v>
      </c>
      <c r="T830" s="80" t="s">
        <v>4</v>
      </c>
      <c r="U830" s="72" t="s">
        <v>14</v>
      </c>
      <c r="V830" s="72" t="s">
        <v>1935</v>
      </c>
      <c r="W830" s="72" t="s">
        <v>1940</v>
      </c>
      <c r="X830" s="72" t="s">
        <v>310</v>
      </c>
      <c r="Y830" s="72" t="s">
        <v>4</v>
      </c>
      <c r="Z830" s="72" t="s">
        <v>420</v>
      </c>
      <c r="AA830" s="147" t="s">
        <v>3676</v>
      </c>
    </row>
    <row r="831" spans="1:27" ht="18.600000000000001" customHeight="1">
      <c r="A831" s="140" t="str">
        <f>IF(priority(Main[[#This Row],[Comments]])&lt;&gt;0, priority(Main[[#This Row],[Comments]]),"")</f>
        <v/>
      </c>
      <c r="B831" s="90" t="s">
        <v>1661</v>
      </c>
      <c r="C831" s="72" t="s">
        <v>113</v>
      </c>
      <c r="D831" s="73" t="s">
        <v>723</v>
      </c>
      <c r="E831" s="74"/>
      <c r="F831" s="74">
        <v>40817</v>
      </c>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28</v>
      </c>
      <c r="K831" s="81" t="s">
        <v>1945</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40634</v>
      </c>
      <c r="R831" s="74"/>
      <c r="S831" s="72" t="s">
        <v>11</v>
      </c>
      <c r="T831" s="80" t="s">
        <v>4</v>
      </c>
      <c r="U831" s="72" t="s">
        <v>14</v>
      </c>
      <c r="V831" s="72" t="s">
        <v>1932</v>
      </c>
      <c r="W831" s="72" t="s">
        <v>1938</v>
      </c>
      <c r="X831" s="72" t="s">
        <v>2924</v>
      </c>
      <c r="Y831" s="72" t="s">
        <v>3034</v>
      </c>
      <c r="Z831" s="72" t="s">
        <v>129</v>
      </c>
      <c r="AA831" s="147" t="s">
        <v>2924</v>
      </c>
    </row>
    <row r="832" spans="1:27" ht="18.600000000000001" customHeight="1">
      <c r="A832" s="140" t="str">
        <f>IF(priority(Main[[#This Row],[Comments]])&lt;&gt;0, priority(Main[[#This Row],[Comments]]),"")</f>
        <v/>
      </c>
      <c r="B832" s="90" t="s">
        <v>1662</v>
      </c>
      <c r="C832" s="72" t="s">
        <v>4</v>
      </c>
      <c r="D832" s="73" t="s">
        <v>39</v>
      </c>
      <c r="E832" s="74"/>
      <c r="F832" s="74"/>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4</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40669</v>
      </c>
      <c r="R832" s="74"/>
      <c r="S832" s="72" t="s">
        <v>6</v>
      </c>
      <c r="T832" s="80" t="s">
        <v>4</v>
      </c>
      <c r="U832" s="72" t="s">
        <v>14</v>
      </c>
      <c r="V832" s="72" t="s">
        <v>1935</v>
      </c>
      <c r="W832" s="72" t="s">
        <v>4</v>
      </c>
      <c r="X832" s="72" t="s">
        <v>2909</v>
      </c>
      <c r="Y832" s="72" t="s">
        <v>3024</v>
      </c>
      <c r="Z832" s="72" t="s">
        <v>4</v>
      </c>
      <c r="AA832" s="147" t="s">
        <v>2909</v>
      </c>
    </row>
    <row r="833" spans="1:27" ht="18.600000000000001" customHeight="1">
      <c r="A833" s="140" t="str">
        <f>IF(priority(Main[[#This Row],[Comments]])&lt;&gt;0, priority(Main[[#This Row],[Comments]]),"")</f>
        <v/>
      </c>
      <c r="B833" s="90" t="s">
        <v>1663</v>
      </c>
      <c r="C833" s="72" t="s">
        <v>4</v>
      </c>
      <c r="D833" s="73" t="s">
        <v>724</v>
      </c>
      <c r="E833" s="74"/>
      <c r="F833" s="74"/>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4</v>
      </c>
      <c r="K833" s="72" t="s">
        <v>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c r="R833" s="74"/>
      <c r="S833" s="72" t="s">
        <v>11</v>
      </c>
      <c r="T833" s="80" t="s">
        <v>4</v>
      </c>
      <c r="U833" s="72" t="s">
        <v>12</v>
      </c>
      <c r="V833" s="72" t="s">
        <v>1933</v>
      </c>
      <c r="W833" s="72" t="s">
        <v>4</v>
      </c>
      <c r="X833" s="72" t="s">
        <v>2953</v>
      </c>
      <c r="Y833" s="72" t="s">
        <v>4</v>
      </c>
      <c r="Z833" s="72" t="s">
        <v>4</v>
      </c>
      <c r="AA833" s="147" t="s">
        <v>4</v>
      </c>
    </row>
    <row r="834" spans="1:27" ht="18.600000000000001" customHeight="1">
      <c r="A834" s="140" t="str">
        <f>IF(priority(Main[[#This Row],[Comments]])&lt;&gt;0, priority(Main[[#This Row],[Comments]]),"")</f>
        <v/>
      </c>
      <c r="B834" s="90" t="s">
        <v>1665</v>
      </c>
      <c r="C834" s="72" t="s">
        <v>4</v>
      </c>
      <c r="D834" s="73" t="s">
        <v>725</v>
      </c>
      <c r="E834" s="74">
        <v>40715.129143518519</v>
      </c>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72"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40717</v>
      </c>
      <c r="R834" s="74"/>
      <c r="S834" s="72" t="s">
        <v>49</v>
      </c>
      <c r="T834" s="80" t="s">
        <v>4</v>
      </c>
      <c r="U834" s="72" t="s">
        <v>7</v>
      </c>
      <c r="V834" s="72" t="s">
        <v>1933</v>
      </c>
      <c r="W834" s="72" t="s">
        <v>1936</v>
      </c>
      <c r="X834" s="72" t="s">
        <v>2948</v>
      </c>
      <c r="Y834" s="72" t="s">
        <v>3093</v>
      </c>
      <c r="Z834" s="72" t="s">
        <v>4</v>
      </c>
      <c r="AA834" s="147" t="s">
        <v>2948</v>
      </c>
    </row>
    <row r="835" spans="1:27" ht="18.600000000000001" customHeight="1">
      <c r="A835" s="140" t="str">
        <f>IF(priority(Main[[#This Row],[Comments]])&lt;&gt;0, priority(Main[[#This Row],[Comments]]),"")</f>
        <v/>
      </c>
      <c r="B835" s="90" t="s">
        <v>2127</v>
      </c>
      <c r="C835" s="72" t="s">
        <v>4</v>
      </c>
      <c r="D835" s="73" t="s">
        <v>2128</v>
      </c>
      <c r="E835" s="74">
        <v>40770.430092592593</v>
      </c>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40791</v>
      </c>
      <c r="R835" s="74"/>
      <c r="S835" s="72" t="s">
        <v>6</v>
      </c>
      <c r="T835" s="80" t="s">
        <v>4</v>
      </c>
      <c r="U835" s="72" t="s">
        <v>7</v>
      </c>
      <c r="V835" s="72" t="s">
        <v>1932</v>
      </c>
      <c r="W835" s="72" t="s">
        <v>4</v>
      </c>
      <c r="X835" s="72" t="s">
        <v>2913</v>
      </c>
      <c r="Y835" s="72" t="s">
        <v>3033</v>
      </c>
      <c r="Z835" s="72" t="s">
        <v>4</v>
      </c>
      <c r="AA835" s="147" t="s">
        <v>2913</v>
      </c>
    </row>
    <row r="836" spans="1:27" ht="18.600000000000001" customHeight="1">
      <c r="A836" s="140" t="str">
        <f>IF(priority(Main[[#This Row],[Comments]])&lt;&gt;0, priority(Main[[#This Row],[Comments]]),"")</f>
        <v/>
      </c>
      <c r="B836" s="90" t="s">
        <v>1666</v>
      </c>
      <c r="C836" s="72" t="s">
        <v>4</v>
      </c>
      <c r="D836" s="73" t="s">
        <v>726</v>
      </c>
      <c r="E836" s="74">
        <v>40651.462372685186</v>
      </c>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30</v>
      </c>
      <c r="J836" s="72" t="s">
        <v>28</v>
      </c>
      <c r="K836" s="72" t="s">
        <v>1941</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40694</v>
      </c>
      <c r="R836" s="74"/>
      <c r="S836" s="72" t="s">
        <v>6</v>
      </c>
      <c r="T836" s="80" t="s">
        <v>4</v>
      </c>
      <c r="U836" s="72" t="s">
        <v>29</v>
      </c>
      <c r="V836" s="72" t="s">
        <v>1935</v>
      </c>
      <c r="W836" s="72" t="s">
        <v>1936</v>
      </c>
      <c r="X836" s="72" t="s">
        <v>30</v>
      </c>
      <c r="Y836" s="72" t="s">
        <v>3052</v>
      </c>
      <c r="Z836" s="72" t="s">
        <v>30</v>
      </c>
      <c r="AA836" s="147" t="s">
        <v>30</v>
      </c>
    </row>
    <row r="837" spans="1:27" ht="18.600000000000001" customHeight="1">
      <c r="A837" s="140" t="str">
        <f>IF(priority(Main[[#This Row],[Comments]])&lt;&gt;0, priority(Main[[#This Row],[Comments]]),"")</f>
        <v/>
      </c>
      <c r="B837" s="90" t="s">
        <v>2150</v>
      </c>
      <c r="C837" s="72" t="s">
        <v>4</v>
      </c>
      <c r="D837" s="73" t="s">
        <v>2151</v>
      </c>
      <c r="E837" s="74">
        <v>40764.690844907411</v>
      </c>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2237</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c r="R837" s="74"/>
      <c r="S837" s="72" t="s">
        <v>6</v>
      </c>
      <c r="T837" s="80" t="s">
        <v>4</v>
      </c>
      <c r="U837" s="72" t="s">
        <v>7</v>
      </c>
      <c r="V837" s="72" t="s">
        <v>1947</v>
      </c>
      <c r="W837" s="72" t="s">
        <v>1934</v>
      </c>
      <c r="X837" s="72" t="s">
        <v>310</v>
      </c>
      <c r="Y837" s="72" t="s">
        <v>4</v>
      </c>
      <c r="Z837" s="72" t="s">
        <v>2237</v>
      </c>
      <c r="AA837" s="147" t="s">
        <v>4</v>
      </c>
    </row>
    <row r="838" spans="1:27" ht="18.600000000000001" customHeight="1">
      <c r="A838" s="140" t="str">
        <f>IF(priority(Main[[#This Row],[Comments]])&lt;&gt;0, priority(Main[[#This Row],[Comments]]),"")</f>
        <v/>
      </c>
      <c r="B838" s="90" t="s">
        <v>1215</v>
      </c>
      <c r="C838" s="72" t="s">
        <v>4</v>
      </c>
      <c r="D838" s="73" t="s">
        <v>263</v>
      </c>
      <c r="E838" s="74">
        <v>40667.612881944442</v>
      </c>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4</v>
      </c>
      <c r="K838" s="72" t="s">
        <v>4</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40858</v>
      </c>
      <c r="R838" s="74"/>
      <c r="S838" s="72" t="s">
        <v>17</v>
      </c>
      <c r="T838" s="80" t="s">
        <v>4</v>
      </c>
      <c r="U838" s="72" t="s">
        <v>7</v>
      </c>
      <c r="V838" s="72" t="s">
        <v>1932</v>
      </c>
      <c r="W838" s="72" t="s">
        <v>1937</v>
      </c>
      <c r="X838" s="72" t="s">
        <v>50</v>
      </c>
      <c r="Y838" s="72" t="s">
        <v>3054</v>
      </c>
      <c r="Z838" s="72" t="s">
        <v>4</v>
      </c>
      <c r="AA838" s="147" t="s">
        <v>2919</v>
      </c>
    </row>
    <row r="839" spans="1:27" ht="18.600000000000001" customHeight="1">
      <c r="A839" s="140" t="str">
        <f>IF(priority(Main[[#This Row],[Comments]])&lt;&gt;0, priority(Main[[#This Row],[Comments]]),"")</f>
        <v/>
      </c>
      <c r="B839" s="90" t="s">
        <v>2084</v>
      </c>
      <c r="C839" s="72" t="s">
        <v>4</v>
      </c>
      <c r="D839" s="73" t="s">
        <v>2085</v>
      </c>
      <c r="E839" s="74">
        <v>40759.465995370374</v>
      </c>
      <c r="F839" s="74"/>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923</v>
      </c>
      <c r="J839" s="72" t="s">
        <v>52</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c r="R839" s="74"/>
      <c r="S839" s="72" t="s">
        <v>6</v>
      </c>
      <c r="T839" s="80" t="s">
        <v>4</v>
      </c>
      <c r="U839" s="72" t="s">
        <v>29</v>
      </c>
      <c r="V839" s="72" t="s">
        <v>1932</v>
      </c>
      <c r="W839" s="72" t="s">
        <v>1936</v>
      </c>
      <c r="X839" s="72" t="s">
        <v>923</v>
      </c>
      <c r="Y839" s="72" t="s">
        <v>3152</v>
      </c>
      <c r="Z839" s="72" t="s">
        <v>4</v>
      </c>
      <c r="AA839" s="147" t="s">
        <v>923</v>
      </c>
    </row>
    <row r="840" spans="1:27" ht="18.600000000000001" customHeight="1">
      <c r="A840" s="140" t="str">
        <f>IF(priority(Main[[#This Row],[Comments]])&lt;&gt;0, priority(Main[[#This Row],[Comments]]),"")</f>
        <v/>
      </c>
      <c r="B840" s="90" t="s">
        <v>1667</v>
      </c>
      <c r="C840" s="72" t="s">
        <v>33</v>
      </c>
      <c r="D840" s="73" t="s">
        <v>727</v>
      </c>
      <c r="E840" s="74"/>
      <c r="F840" s="74">
        <v>40530</v>
      </c>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74</v>
      </c>
      <c r="J840" s="72" t="s">
        <v>28</v>
      </c>
      <c r="K840" s="72" t="s">
        <v>1944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v>40390</v>
      </c>
      <c r="R840" s="74"/>
      <c r="S840" s="72" t="s">
        <v>17</v>
      </c>
      <c r="T840" s="80" t="s">
        <v>4</v>
      </c>
      <c r="U840" s="72" t="s">
        <v>14</v>
      </c>
      <c r="V840" s="72" t="s">
        <v>1935</v>
      </c>
      <c r="W840" s="72" t="s">
        <v>1937</v>
      </c>
      <c r="X840" s="72" t="s">
        <v>2917</v>
      </c>
      <c r="Y840" s="72" t="s">
        <v>4</v>
      </c>
      <c r="Z840" s="72" t="s">
        <v>74</v>
      </c>
      <c r="AA840" s="147" t="s">
        <v>2917</v>
      </c>
    </row>
    <row r="841" spans="1:27" ht="18.600000000000001" customHeight="1">
      <c r="A841" s="140" t="str">
        <f>IF(priority(Main[[#This Row],[Comments]])&lt;&gt;0, priority(Main[[#This Row],[Comments]]),"")</f>
        <v/>
      </c>
      <c r="B841" s="90" t="s">
        <v>1668</v>
      </c>
      <c r="C841" s="72" t="s">
        <v>4</v>
      </c>
      <c r="D841" s="73" t="s">
        <v>542</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72"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40606</v>
      </c>
      <c r="R841" s="74"/>
      <c r="S841" s="72" t="s">
        <v>6</v>
      </c>
      <c r="T841" s="80" t="s">
        <v>4</v>
      </c>
      <c r="U841" s="72" t="s">
        <v>14</v>
      </c>
      <c r="V841" s="72" t="s">
        <v>1935</v>
      </c>
      <c r="W841" s="72" t="s">
        <v>1936</v>
      </c>
      <c r="X841" s="72" t="s">
        <v>2927</v>
      </c>
      <c r="Y841" s="72" t="s">
        <v>3060</v>
      </c>
      <c r="Z841" s="72" t="s">
        <v>4</v>
      </c>
      <c r="AA841" s="147" t="s">
        <v>2927</v>
      </c>
    </row>
    <row r="842" spans="1:27" ht="18.600000000000001" customHeight="1">
      <c r="A842" s="140" t="str">
        <f>IF(priority(Main[[#This Row],[Comments]])&lt;&gt;0, priority(Main[[#This Row],[Comments]]),"")</f>
        <v/>
      </c>
      <c r="B842" s="90" t="s">
        <v>1422</v>
      </c>
      <c r="C842" s="72" t="s">
        <v>4</v>
      </c>
      <c r="D842" s="73" t="s">
        <v>1970</v>
      </c>
      <c r="E842" s="74"/>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72"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c r="R842" s="74"/>
      <c r="S842" s="72" t="s">
        <v>6</v>
      </c>
      <c r="T842" s="80" t="s">
        <v>4</v>
      </c>
      <c r="U842" s="72" t="s">
        <v>14</v>
      </c>
      <c r="V842" s="72" t="s">
        <v>1933</v>
      </c>
      <c r="W842" s="72" t="s">
        <v>1934</v>
      </c>
      <c r="X842" s="72" t="s">
        <v>933</v>
      </c>
      <c r="Y842" s="72" t="s">
        <v>3115</v>
      </c>
      <c r="Z842" s="72" t="s">
        <v>4</v>
      </c>
      <c r="AA842" s="147" t="s">
        <v>3645</v>
      </c>
    </row>
    <row r="843" spans="1:27" ht="18.600000000000001" customHeight="1">
      <c r="A843" s="140" t="str">
        <f>IF(priority(Main[[#This Row],[Comments]])&lt;&gt;0, priority(Main[[#This Row],[Comments]]),"")</f>
        <v/>
      </c>
      <c r="B843" s="90" t="s">
        <v>1695</v>
      </c>
      <c r="C843" s="72" t="s">
        <v>4</v>
      </c>
      <c r="D843" s="73" t="s">
        <v>39</v>
      </c>
      <c r="E843" s="74"/>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40669</v>
      </c>
      <c r="R843" s="74"/>
      <c r="S843" s="72" t="s">
        <v>6</v>
      </c>
      <c r="T843" s="80" t="s">
        <v>4</v>
      </c>
      <c r="U843" s="72" t="s">
        <v>14</v>
      </c>
      <c r="V843" s="72" t="s">
        <v>1935</v>
      </c>
      <c r="W843" s="72" t="s">
        <v>4</v>
      </c>
      <c r="X843" s="72" t="s">
        <v>2909</v>
      </c>
      <c r="Y843" s="72" t="s">
        <v>3024</v>
      </c>
      <c r="Z843" s="72" t="s">
        <v>4</v>
      </c>
      <c r="AA843" s="147" t="s">
        <v>2909</v>
      </c>
    </row>
    <row r="844" spans="1:27" ht="18.600000000000001" customHeight="1">
      <c r="A844" s="140" t="str">
        <f>IF(priority(Main[[#This Row],[Comments]])&lt;&gt;0, priority(Main[[#This Row],[Comments]]),"")</f>
        <v/>
      </c>
      <c r="B844" s="90" t="s">
        <v>1676</v>
      </c>
      <c r="C844" s="72" t="s">
        <v>72</v>
      </c>
      <c r="D844" s="73" t="s">
        <v>733</v>
      </c>
      <c r="E844" s="74"/>
      <c r="F844" s="74"/>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72"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c r="R844" s="74"/>
      <c r="S844" s="72" t="s">
        <v>11</v>
      </c>
      <c r="T844" s="80" t="s">
        <v>4</v>
      </c>
      <c r="U844" s="72" t="s">
        <v>14</v>
      </c>
      <c r="V844" s="72" t="s">
        <v>1933</v>
      </c>
      <c r="W844" s="72" t="s">
        <v>1940</v>
      </c>
      <c r="X844" s="72" t="s">
        <v>2918</v>
      </c>
      <c r="Y844" s="72" t="s">
        <v>3043</v>
      </c>
      <c r="Z844" s="72" t="s">
        <v>4</v>
      </c>
      <c r="AA844" s="147" t="s">
        <v>2918</v>
      </c>
    </row>
    <row r="845" spans="1:27" ht="18.600000000000001" customHeight="1">
      <c r="A845" s="140" t="str">
        <f>IF(priority(Main[[#This Row],[Comments]])&lt;&gt;0, priority(Main[[#This Row],[Comments]]),"")</f>
        <v/>
      </c>
      <c r="B845" s="90" t="s">
        <v>2189</v>
      </c>
      <c r="C845" s="72" t="s">
        <v>4</v>
      </c>
      <c r="D845" s="73" t="s">
        <v>2421</v>
      </c>
      <c r="E845" s="74">
        <v>40780.672893518517</v>
      </c>
      <c r="F845" s="74"/>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923</v>
      </c>
      <c r="J845" s="72" t="s">
        <v>52</v>
      </c>
      <c r="K845" s="72"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40794</v>
      </c>
      <c r="R845" s="74"/>
      <c r="S845" s="72" t="s">
        <v>6</v>
      </c>
      <c r="T845" s="80" t="s">
        <v>4</v>
      </c>
      <c r="U845" s="72" t="s">
        <v>29</v>
      </c>
      <c r="V845" s="72" t="s">
        <v>1932</v>
      </c>
      <c r="W845" s="72" t="s">
        <v>1940</v>
      </c>
      <c r="X845" s="72" t="s">
        <v>2912</v>
      </c>
      <c r="Y845" s="72" t="s">
        <v>3031</v>
      </c>
      <c r="Z845" s="72" t="s">
        <v>129</v>
      </c>
      <c r="AA845" s="147" t="s">
        <v>2912</v>
      </c>
    </row>
    <row r="846" spans="1:27" ht="18.600000000000001" customHeight="1">
      <c r="A846" s="140" t="str">
        <f>IF(priority(Main[[#This Row],[Comments]])&lt;&gt;0, priority(Main[[#This Row],[Comments]]),"")</f>
        <v/>
      </c>
      <c r="B846" s="90" t="s">
        <v>1677</v>
      </c>
      <c r="C846" s="72" t="s">
        <v>4</v>
      </c>
      <c r="D846" s="73" t="s">
        <v>734</v>
      </c>
      <c r="E846" s="74"/>
      <c r="F846" s="74"/>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40403</v>
      </c>
      <c r="R846" s="74"/>
      <c r="S846" s="72" t="s">
        <v>17</v>
      </c>
      <c r="T846" s="80" t="s">
        <v>4</v>
      </c>
      <c r="U846" s="72" t="s">
        <v>14</v>
      </c>
      <c r="V846" s="72" t="s">
        <v>1932</v>
      </c>
      <c r="W846" s="72" t="s">
        <v>1940</v>
      </c>
      <c r="X846" s="72" t="s">
        <v>129</v>
      </c>
      <c r="Y846" s="72" t="s">
        <v>4</v>
      </c>
      <c r="Z846" s="72" t="s">
        <v>4</v>
      </c>
      <c r="AA846" s="147" t="s">
        <v>2919</v>
      </c>
    </row>
    <row r="847" spans="1:27" ht="18.600000000000001" customHeight="1">
      <c r="A847" s="140" t="str">
        <f>IF(priority(Main[[#This Row],[Comments]])&lt;&gt;0, priority(Main[[#This Row],[Comments]]),"")</f>
        <v/>
      </c>
      <c r="B847" s="90" t="s">
        <v>1678</v>
      </c>
      <c r="C847" s="72" t="s">
        <v>58</v>
      </c>
      <c r="D847" s="73" t="s">
        <v>205</v>
      </c>
      <c r="E847" s="74"/>
      <c r="F847" s="74">
        <v>40697</v>
      </c>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v>40539</v>
      </c>
      <c r="R847" s="74"/>
      <c r="S847" s="72" t="s">
        <v>11</v>
      </c>
      <c r="T847" s="80" t="s">
        <v>4</v>
      </c>
      <c r="U847" s="72" t="s">
        <v>14</v>
      </c>
      <c r="V847" s="72" t="s">
        <v>1932</v>
      </c>
      <c r="W847" s="72" t="s">
        <v>1938</v>
      </c>
      <c r="X847" s="72" t="s">
        <v>2920</v>
      </c>
      <c r="Y847" s="72" t="s">
        <v>3046</v>
      </c>
      <c r="Z847" s="72" t="s">
        <v>4</v>
      </c>
      <c r="AA847" s="147" t="s">
        <v>2920</v>
      </c>
    </row>
    <row r="848" spans="1:27" ht="18.600000000000001" customHeight="1">
      <c r="A848" s="140" t="str">
        <f>IF(priority(Main[[#This Row],[Comments]])&lt;&gt;0, priority(Main[[#This Row],[Comments]]),"")</f>
        <v/>
      </c>
      <c r="B848" s="90" t="s">
        <v>1681</v>
      </c>
      <c r="C848" s="72" t="s">
        <v>736</v>
      </c>
      <c r="D848" s="73" t="s">
        <v>737</v>
      </c>
      <c r="E848" s="74"/>
      <c r="F848" s="74">
        <v>40633</v>
      </c>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4</v>
      </c>
      <c r="K848" s="72"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v>40623</v>
      </c>
      <c r="R848" s="74"/>
      <c r="S848" s="72" t="s">
        <v>11</v>
      </c>
      <c r="T848" s="80" t="s">
        <v>4</v>
      </c>
      <c r="U848" s="72" t="s">
        <v>14</v>
      </c>
      <c r="V848" s="72" t="s">
        <v>1933</v>
      </c>
      <c r="W848" s="72" t="s">
        <v>1940</v>
      </c>
      <c r="X848" s="72" t="s">
        <v>2954</v>
      </c>
      <c r="Y848" s="72" t="s">
        <v>4</v>
      </c>
      <c r="Z848" s="72" t="s">
        <v>4</v>
      </c>
      <c r="AA848" s="147" t="s">
        <v>2954</v>
      </c>
    </row>
    <row r="849" spans="1:27" ht="18.600000000000001" customHeight="1">
      <c r="A849" s="140" t="str">
        <f>IF(priority(Main[[#This Row],[Comments]])&lt;&gt;0, priority(Main[[#This Row],[Comments]]),"")</f>
        <v/>
      </c>
      <c r="B849" s="90" t="s">
        <v>1683</v>
      </c>
      <c r="C849" s="72" t="s">
        <v>4</v>
      </c>
      <c r="D849" s="73" t="s">
        <v>97</v>
      </c>
      <c r="E849" s="74"/>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72"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40858</v>
      </c>
      <c r="R849" s="74"/>
      <c r="S849" s="72" t="s">
        <v>17</v>
      </c>
      <c r="T849" s="80" t="s">
        <v>4</v>
      </c>
      <c r="U849" s="72" t="s">
        <v>14</v>
      </c>
      <c r="V849" s="72" t="s">
        <v>1932</v>
      </c>
      <c r="W849" s="72" t="s">
        <v>1937</v>
      </c>
      <c r="X849" s="72" t="s">
        <v>50</v>
      </c>
      <c r="Y849" s="72" t="s">
        <v>3054</v>
      </c>
      <c r="Z849" s="72" t="s">
        <v>4</v>
      </c>
      <c r="AA849" s="147" t="s">
        <v>2919</v>
      </c>
    </row>
    <row r="850" spans="1:27" ht="18.600000000000001" customHeight="1">
      <c r="A850" s="140" t="str">
        <f>IF(priority(Main[[#This Row],[Comments]])&lt;&gt;0, priority(Main[[#This Row],[Comments]]),"")</f>
        <v/>
      </c>
      <c r="B850" s="90" t="s">
        <v>1684</v>
      </c>
      <c r="C850" s="72" t="s">
        <v>4</v>
      </c>
      <c r="D850" s="73" t="s">
        <v>97</v>
      </c>
      <c r="E850" s="74"/>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4</v>
      </c>
      <c r="J850" s="72" t="s">
        <v>4</v>
      </c>
      <c r="K850" s="72" t="s">
        <v>4</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40858</v>
      </c>
      <c r="R850" s="74"/>
      <c r="S850" s="72" t="s">
        <v>17</v>
      </c>
      <c r="T850" s="80" t="s">
        <v>4</v>
      </c>
      <c r="U850" s="72" t="s">
        <v>14</v>
      </c>
      <c r="V850" s="72" t="s">
        <v>1932</v>
      </c>
      <c r="W850" s="72" t="s">
        <v>1937</v>
      </c>
      <c r="X850" s="72" t="s">
        <v>50</v>
      </c>
      <c r="Y850" s="72" t="s">
        <v>3054</v>
      </c>
      <c r="Z850" s="72" t="s">
        <v>4</v>
      </c>
      <c r="AA850" s="147" t="s">
        <v>2919</v>
      </c>
    </row>
    <row r="851" spans="1:27" ht="18.600000000000001" customHeight="1">
      <c r="A851" s="140" t="str">
        <f>IF(priority(Main[[#This Row],[Comments]])&lt;&gt;0, priority(Main[[#This Row],[Comments]]),"")</f>
        <v/>
      </c>
      <c r="B851" s="90" t="s">
        <v>1685</v>
      </c>
      <c r="C851" s="72" t="s">
        <v>4</v>
      </c>
      <c r="D851" s="73" t="s">
        <v>97</v>
      </c>
      <c r="E851" s="74"/>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4</v>
      </c>
      <c r="K851" s="72" t="s">
        <v>4</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40858</v>
      </c>
      <c r="R851" s="74"/>
      <c r="S851" s="72" t="s">
        <v>17</v>
      </c>
      <c r="T851" s="80" t="s">
        <v>4</v>
      </c>
      <c r="U851" s="72" t="s">
        <v>14</v>
      </c>
      <c r="V851" s="72" t="s">
        <v>1932</v>
      </c>
      <c r="W851" s="72" t="s">
        <v>1937</v>
      </c>
      <c r="X851" s="72" t="s">
        <v>50</v>
      </c>
      <c r="Y851" s="72" t="s">
        <v>3054</v>
      </c>
      <c r="Z851" s="72" t="s">
        <v>4</v>
      </c>
      <c r="AA851" s="147" t="s">
        <v>2919</v>
      </c>
    </row>
    <row r="852" spans="1:27" ht="18.600000000000001" customHeight="1">
      <c r="A852" s="140" t="str">
        <f>IF(priority(Main[[#This Row],[Comments]])&lt;&gt;0, priority(Main[[#This Row],[Comments]]),"")</f>
        <v/>
      </c>
      <c r="B852" s="90" t="s">
        <v>1265</v>
      </c>
      <c r="C852" s="72" t="s">
        <v>4</v>
      </c>
      <c r="D852" s="73" t="s">
        <v>320</v>
      </c>
      <c r="E852" s="74"/>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81"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v>40229</v>
      </c>
      <c r="R852" s="74"/>
      <c r="S852" s="72" t="s">
        <v>6</v>
      </c>
      <c r="T852" s="80" t="s">
        <v>4</v>
      </c>
      <c r="U852" s="72" t="s">
        <v>14</v>
      </c>
      <c r="V852" s="72" t="s">
        <v>1932</v>
      </c>
      <c r="W852" s="72" t="s">
        <v>1936</v>
      </c>
      <c r="X852" s="72" t="s">
        <v>2912</v>
      </c>
      <c r="Y852" s="72" t="s">
        <v>3031</v>
      </c>
      <c r="Z852" s="72" t="s">
        <v>4</v>
      </c>
      <c r="AA852" s="147" t="s">
        <v>2912</v>
      </c>
    </row>
    <row r="853" spans="1:27" ht="18.600000000000001" customHeight="1">
      <c r="A853" s="140" t="str">
        <f>IF(priority(Main[[#This Row],[Comments]])&lt;&gt;0, priority(Main[[#This Row],[Comments]]),"")</f>
        <v/>
      </c>
      <c r="B853" s="90" t="s">
        <v>2796</v>
      </c>
      <c r="C853" s="72" t="s">
        <v>4</v>
      </c>
      <c r="D853" s="73" t="s">
        <v>3327</v>
      </c>
      <c r="E853" s="74">
        <v>40912.464259259257</v>
      </c>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30</v>
      </c>
      <c r="J853" s="72" t="s">
        <v>28</v>
      </c>
      <c r="K853" s="72" t="s">
        <v>1941</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40942</v>
      </c>
      <c r="R853" s="74"/>
      <c r="S853" s="72" t="s">
        <v>6</v>
      </c>
      <c r="T853" s="80" t="s">
        <v>4</v>
      </c>
      <c r="U853" s="72" t="s">
        <v>29</v>
      </c>
      <c r="V853" s="72" t="s">
        <v>1935</v>
      </c>
      <c r="W853" s="72" t="s">
        <v>1936</v>
      </c>
      <c r="X853" s="72" t="s">
        <v>2910</v>
      </c>
      <c r="Y853" s="72" t="s">
        <v>3027</v>
      </c>
      <c r="Z853" s="72" t="s">
        <v>30</v>
      </c>
      <c r="AA853" s="147" t="s">
        <v>2910</v>
      </c>
    </row>
    <row r="854" spans="1:27" ht="18.600000000000001" customHeight="1">
      <c r="A854" s="140" t="str">
        <f>IF(priority(Main[[#This Row],[Comments]])&lt;&gt;0, priority(Main[[#This Row],[Comments]]),"")</f>
        <v/>
      </c>
      <c r="B854" s="90" t="s">
        <v>1891</v>
      </c>
      <c r="C854" s="72" t="s">
        <v>4</v>
      </c>
      <c r="D854" s="73" t="s">
        <v>2797</v>
      </c>
      <c r="E854" s="74">
        <v>40624.37060185185</v>
      </c>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888</v>
      </c>
      <c r="J854" s="72" t="s">
        <v>28</v>
      </c>
      <c r="K854" s="72" t="s">
        <v>1945</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40648</v>
      </c>
      <c r="R854" s="74">
        <v>40967</v>
      </c>
      <c r="S854" s="72" t="s">
        <v>6</v>
      </c>
      <c r="T854" s="80" t="s">
        <v>4</v>
      </c>
      <c r="U854" s="72" t="s">
        <v>29</v>
      </c>
      <c r="V854" s="72" t="s">
        <v>1932</v>
      </c>
      <c r="W854" s="72" t="s">
        <v>1936</v>
      </c>
      <c r="X854" s="72" t="s">
        <v>888</v>
      </c>
      <c r="Y854" s="72" t="s">
        <v>4</v>
      </c>
      <c r="Z854" s="72" t="s">
        <v>129</v>
      </c>
      <c r="AA854" s="147" t="s">
        <v>3677</v>
      </c>
    </row>
    <row r="855" spans="1:27" ht="18.600000000000001" customHeight="1">
      <c r="A855" s="140" t="str">
        <f>IF(priority(Main[[#This Row],[Comments]])&lt;&gt;0, priority(Main[[#This Row],[Comments]]),"")</f>
        <v/>
      </c>
      <c r="B855" s="90" t="s">
        <v>1686</v>
      </c>
      <c r="C855" s="72" t="s">
        <v>4</v>
      </c>
      <c r="D855" s="73" t="s">
        <v>739</v>
      </c>
      <c r="E855" s="74"/>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c r="R855" s="74"/>
      <c r="S855" s="72" t="s">
        <v>23</v>
      </c>
      <c r="T855" s="80" t="s">
        <v>4</v>
      </c>
      <c r="U855" s="72" t="s">
        <v>14</v>
      </c>
      <c r="V855" s="72" t="s">
        <v>1932</v>
      </c>
      <c r="W855" s="72" t="s">
        <v>1936</v>
      </c>
      <c r="X855" s="72" t="s">
        <v>403</v>
      </c>
      <c r="Y855" s="72" t="s">
        <v>4</v>
      </c>
      <c r="Z855" s="72" t="s">
        <v>4</v>
      </c>
      <c r="AA855" s="147" t="s">
        <v>3127</v>
      </c>
    </row>
    <row r="856" spans="1:27" ht="18.600000000000001" customHeight="1">
      <c r="A856" s="140" t="str">
        <f>IF(priority(Main[[#This Row],[Comments]])&lt;&gt;0, priority(Main[[#This Row],[Comments]]),"")</f>
        <v/>
      </c>
      <c r="B856" s="90" t="s">
        <v>1688</v>
      </c>
      <c r="C856" s="72" t="s">
        <v>4</v>
      </c>
      <c r="D856" s="73" t="s">
        <v>741</v>
      </c>
      <c r="E856" s="74">
        <v>40679.253067129626</v>
      </c>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4</v>
      </c>
      <c r="K856" s="72"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v>40724</v>
      </c>
      <c r="R856" s="74"/>
      <c r="S856" s="72" t="s">
        <v>6</v>
      </c>
      <c r="T856" s="80" t="s">
        <v>4</v>
      </c>
      <c r="U856" s="72" t="s">
        <v>7</v>
      </c>
      <c r="V856" s="72" t="s">
        <v>1932</v>
      </c>
      <c r="W856" s="72" t="s">
        <v>4</v>
      </c>
      <c r="X856" s="72" t="s">
        <v>2913</v>
      </c>
      <c r="Y856" s="72" t="s">
        <v>3033</v>
      </c>
      <c r="Z856" s="72" t="s">
        <v>4</v>
      </c>
      <c r="AA856" s="147" t="s">
        <v>2913</v>
      </c>
    </row>
    <row r="857" spans="1:27" ht="18.600000000000001" customHeight="1">
      <c r="A857" s="140" t="str">
        <f>IF(priority(Main[[#This Row],[Comments]])&lt;&gt;0, priority(Main[[#This Row],[Comments]]),"")</f>
        <v/>
      </c>
      <c r="B857" s="90" t="s">
        <v>1689</v>
      </c>
      <c r="C857" s="72" t="s">
        <v>4</v>
      </c>
      <c r="D857" s="73" t="s">
        <v>742</v>
      </c>
      <c r="E857" s="74">
        <v>40679.252465277779</v>
      </c>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v>40724</v>
      </c>
      <c r="R857" s="74"/>
      <c r="S857" s="72" t="s">
        <v>6</v>
      </c>
      <c r="T857" s="80" t="s">
        <v>4</v>
      </c>
      <c r="U857" s="72" t="s">
        <v>7</v>
      </c>
      <c r="V857" s="72" t="s">
        <v>1932</v>
      </c>
      <c r="W857" s="72" t="s">
        <v>4</v>
      </c>
      <c r="X857" s="72" t="s">
        <v>2913</v>
      </c>
      <c r="Y857" s="72" t="s">
        <v>3033</v>
      </c>
      <c r="Z857" s="72" t="s">
        <v>4</v>
      </c>
      <c r="AA857" s="147" t="s">
        <v>2913</v>
      </c>
    </row>
    <row r="858" spans="1:27" ht="18.600000000000001" customHeight="1">
      <c r="A858" s="140" t="str">
        <f>IF(priority(Main[[#This Row],[Comments]])&lt;&gt;0, priority(Main[[#This Row],[Comments]]),"")</f>
        <v/>
      </c>
      <c r="B858" s="90" t="s">
        <v>1690</v>
      </c>
      <c r="C858" s="72" t="s">
        <v>4</v>
      </c>
      <c r="D858" s="73" t="s">
        <v>743</v>
      </c>
      <c r="E858" s="74">
        <v>40679.253668981481</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4</v>
      </c>
      <c r="J858" s="72" t="s">
        <v>4</v>
      </c>
      <c r="K858" s="72"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40724</v>
      </c>
      <c r="R858" s="74"/>
      <c r="S858" s="72" t="s">
        <v>6</v>
      </c>
      <c r="T858" s="80" t="s">
        <v>4</v>
      </c>
      <c r="U858" s="72" t="s">
        <v>7</v>
      </c>
      <c r="V858" s="72" t="s">
        <v>1932</v>
      </c>
      <c r="W858" s="72" t="s">
        <v>4</v>
      </c>
      <c r="X858" s="72" t="s">
        <v>2913</v>
      </c>
      <c r="Y858" s="72" t="s">
        <v>3033</v>
      </c>
      <c r="Z858" s="72" t="s">
        <v>4</v>
      </c>
      <c r="AA858" s="147" t="s">
        <v>2913</v>
      </c>
    </row>
    <row r="859" spans="1:27" ht="18.600000000000001" customHeight="1">
      <c r="A859" s="140" t="str">
        <f>IF(priority(Main[[#This Row],[Comments]])&lt;&gt;0, priority(Main[[#This Row],[Comments]]),"")</f>
        <v/>
      </c>
      <c r="B859" s="90" t="s">
        <v>1696</v>
      </c>
      <c r="C859" s="72" t="s">
        <v>4</v>
      </c>
      <c r="D859" s="73" t="s">
        <v>746</v>
      </c>
      <c r="E859" s="74"/>
      <c r="F859" s="74">
        <v>40598</v>
      </c>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4</v>
      </c>
      <c r="K859" s="72" t="s">
        <v>4</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40598</v>
      </c>
      <c r="R859" s="74"/>
      <c r="S859" s="72" t="s">
        <v>11</v>
      </c>
      <c r="T859" s="80" t="s">
        <v>4</v>
      </c>
      <c r="U859" s="72" t="s">
        <v>14</v>
      </c>
      <c r="V859" s="72" t="s">
        <v>1942</v>
      </c>
      <c r="W859" s="72" t="s">
        <v>1938</v>
      </c>
      <c r="X859" s="72" t="s">
        <v>2939</v>
      </c>
      <c r="Y859" s="72" t="s">
        <v>3074</v>
      </c>
      <c r="Z859" s="72" t="s">
        <v>4</v>
      </c>
      <c r="AA859" s="147" t="s">
        <v>2939</v>
      </c>
    </row>
    <row r="860" spans="1:27" ht="18.600000000000001" customHeight="1">
      <c r="A860" s="140" t="str">
        <f>IF(priority(Main[[#This Row],[Comments]])&lt;&gt;0, priority(Main[[#This Row],[Comments]]),"")</f>
        <v/>
      </c>
      <c r="B860" s="90" t="s">
        <v>1699</v>
      </c>
      <c r="C860" s="72" t="s">
        <v>4</v>
      </c>
      <c r="D860" s="73" t="s">
        <v>750</v>
      </c>
      <c r="E860" s="74">
        <v>40591.815474537034</v>
      </c>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131</v>
      </c>
      <c r="J860" s="72" t="s">
        <v>70</v>
      </c>
      <c r="K860" s="72" t="s">
        <v>1941</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40736</v>
      </c>
      <c r="R860" s="74"/>
      <c r="S860" s="72" t="s">
        <v>6</v>
      </c>
      <c r="T860" s="80" t="s">
        <v>4</v>
      </c>
      <c r="U860" s="72" t="s">
        <v>29</v>
      </c>
      <c r="V860" s="72" t="s">
        <v>1935</v>
      </c>
      <c r="W860" s="72" t="s">
        <v>1936</v>
      </c>
      <c r="X860" s="72" t="s">
        <v>30</v>
      </c>
      <c r="Y860" s="72" t="s">
        <v>3052</v>
      </c>
      <c r="Z860" s="72" t="s">
        <v>30</v>
      </c>
      <c r="AA860" s="147" t="s">
        <v>30</v>
      </c>
    </row>
    <row r="861" spans="1:27" ht="18.600000000000001" customHeight="1">
      <c r="A861" s="140" t="str">
        <f>IF(priority(Main[[#This Row],[Comments]])&lt;&gt;0, priority(Main[[#This Row],[Comments]]),"")</f>
        <v/>
      </c>
      <c r="B861" s="90" t="s">
        <v>2056</v>
      </c>
      <c r="C861" s="72" t="s">
        <v>37</v>
      </c>
      <c r="D861" s="73" t="s">
        <v>490</v>
      </c>
      <c r="E861" s="74"/>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21</v>
      </c>
      <c r="K861" s="72"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40696</v>
      </c>
      <c r="R861" s="74"/>
      <c r="S861" s="72" t="s">
        <v>6</v>
      </c>
      <c r="T861" s="80" t="s">
        <v>4</v>
      </c>
      <c r="U861" s="72" t="s">
        <v>12</v>
      </c>
      <c r="V861" s="72" t="s">
        <v>1932</v>
      </c>
      <c r="W861" s="72" t="s">
        <v>1943</v>
      </c>
      <c r="X861" s="72" t="s">
        <v>50</v>
      </c>
      <c r="Y861" s="72" t="s">
        <v>3192</v>
      </c>
      <c r="Z861" s="72" t="s">
        <v>3258</v>
      </c>
      <c r="AA861" s="147" t="s">
        <v>982</v>
      </c>
    </row>
    <row r="862" spans="1:27" ht="18.600000000000001" customHeight="1">
      <c r="A862" s="140" t="str">
        <f>IF(priority(Main[[#This Row],[Comments]])&lt;&gt;0, priority(Main[[#This Row],[Comments]]),"")</f>
        <v/>
      </c>
      <c r="B862" s="90" t="s">
        <v>2218</v>
      </c>
      <c r="C862" s="72" t="s">
        <v>4</v>
      </c>
      <c r="D862" s="73" t="s">
        <v>2219</v>
      </c>
      <c r="E862" s="74"/>
      <c r="F862" s="74">
        <v>40848</v>
      </c>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v>40800</v>
      </c>
      <c r="R862" s="74"/>
      <c r="S862" s="72" t="s">
        <v>11</v>
      </c>
      <c r="T862" s="80" t="s">
        <v>4</v>
      </c>
      <c r="U862" s="72" t="s">
        <v>14</v>
      </c>
      <c r="V862" s="72" t="s">
        <v>1942</v>
      </c>
      <c r="W862" s="72" t="s">
        <v>1940</v>
      </c>
      <c r="X862" s="72" t="s">
        <v>2996</v>
      </c>
      <c r="Y862" s="72" t="s">
        <v>3193</v>
      </c>
      <c r="Z862" s="72" t="s">
        <v>4</v>
      </c>
      <c r="AA862" s="147" t="s">
        <v>2996</v>
      </c>
    </row>
    <row r="863" spans="1:27" ht="18.600000000000001" customHeight="1">
      <c r="A863" s="140" t="str">
        <f>IF(priority(Main[[#This Row],[Comments]])&lt;&gt;0, priority(Main[[#This Row],[Comments]]),"")</f>
        <v/>
      </c>
      <c r="B863" s="90" t="s">
        <v>1700</v>
      </c>
      <c r="C863" s="72" t="s">
        <v>4</v>
      </c>
      <c r="D863" s="73" t="s">
        <v>747</v>
      </c>
      <c r="E863" s="74">
        <v>40520.411597222221</v>
      </c>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28</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v>40571</v>
      </c>
      <c r="R863" s="74"/>
      <c r="S863" s="72" t="s">
        <v>6</v>
      </c>
      <c r="T863" s="80" t="s">
        <v>4</v>
      </c>
      <c r="U863" s="72" t="s">
        <v>7</v>
      </c>
      <c r="V863" s="72" t="s">
        <v>1932</v>
      </c>
      <c r="W863" s="72" t="s">
        <v>1934</v>
      </c>
      <c r="X863" s="72" t="s">
        <v>2909</v>
      </c>
      <c r="Y863" s="72" t="s">
        <v>3024</v>
      </c>
      <c r="Z863" s="72" t="s">
        <v>129</v>
      </c>
      <c r="AA863" s="147" t="s">
        <v>2909</v>
      </c>
    </row>
    <row r="864" spans="1:27" ht="18.600000000000001" customHeight="1">
      <c r="A864" s="140" t="str">
        <f>IF(priority(Main[[#This Row],[Comments]])&lt;&gt;0, priority(Main[[#This Row],[Comments]]),"")</f>
        <v/>
      </c>
      <c r="B864" s="90" t="s">
        <v>1701</v>
      </c>
      <c r="C864" s="72" t="s">
        <v>4</v>
      </c>
      <c r="D864" s="73" t="s">
        <v>748</v>
      </c>
      <c r="E864" s="74"/>
      <c r="F864" s="74"/>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4</v>
      </c>
      <c r="J864" s="72" t="s">
        <v>28</v>
      </c>
      <c r="K864" s="81" t="s">
        <v>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c r="R864" s="74"/>
      <c r="S864" s="72" t="s">
        <v>17</v>
      </c>
      <c r="T864" s="80" t="s">
        <v>4</v>
      </c>
      <c r="U864" s="72" t="s">
        <v>14</v>
      </c>
      <c r="V864" s="72" t="s">
        <v>1932</v>
      </c>
      <c r="W864" s="72" t="s">
        <v>1940</v>
      </c>
      <c r="X864" s="72" t="s">
        <v>933</v>
      </c>
      <c r="Y864" s="72" t="s">
        <v>3077</v>
      </c>
      <c r="Z864" s="72" t="s">
        <v>129</v>
      </c>
      <c r="AA864" s="147" t="s">
        <v>933</v>
      </c>
    </row>
    <row r="865" spans="1:27" ht="18.600000000000001" customHeight="1">
      <c r="A865" s="140" t="str">
        <f>IF(priority(Main[[#This Row],[Comments]])&lt;&gt;0, priority(Main[[#This Row],[Comments]]),"")</f>
        <v/>
      </c>
      <c r="B865" s="90" t="s">
        <v>1704</v>
      </c>
      <c r="C865" s="72" t="s">
        <v>4</v>
      </c>
      <c r="D865" s="73" t="s">
        <v>752</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72"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c r="R865" s="74"/>
      <c r="S865" s="72" t="s">
        <v>23</v>
      </c>
      <c r="T865" s="80" t="s">
        <v>4</v>
      </c>
      <c r="U865" s="72" t="s">
        <v>14</v>
      </c>
      <c r="V865" s="72" t="s">
        <v>1932</v>
      </c>
      <c r="W865" s="72" t="s">
        <v>1936</v>
      </c>
      <c r="X865" s="72" t="s">
        <v>403</v>
      </c>
      <c r="Y865" s="72" t="s">
        <v>4</v>
      </c>
      <c r="Z865" s="72" t="s">
        <v>4</v>
      </c>
      <c r="AA865" s="147" t="s">
        <v>3127</v>
      </c>
    </row>
    <row r="866" spans="1:27" ht="18.600000000000001" customHeight="1">
      <c r="A866" s="140" t="str">
        <f>IF(priority(Main[[#This Row],[Comments]])&lt;&gt;0, priority(Main[[#This Row],[Comments]]),"")</f>
        <v/>
      </c>
      <c r="B866" s="90" t="s">
        <v>1851</v>
      </c>
      <c r="C866" s="72" t="s">
        <v>4</v>
      </c>
      <c r="D866" s="73" t="s">
        <v>898</v>
      </c>
      <c r="E866" s="74">
        <v>40371.599317129629</v>
      </c>
      <c r="F866" s="74"/>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126</v>
      </c>
      <c r="J866" s="72" t="s">
        <v>28</v>
      </c>
      <c r="K866" s="72" t="s">
        <v>1944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40420</v>
      </c>
      <c r="R866" s="74">
        <v>40420</v>
      </c>
      <c r="S866" s="72" t="s">
        <v>17</v>
      </c>
      <c r="T866" s="80" t="s">
        <v>4</v>
      </c>
      <c r="U866" s="72" t="s">
        <v>29</v>
      </c>
      <c r="V866" s="72" t="s">
        <v>1932</v>
      </c>
      <c r="W866" s="72" t="s">
        <v>1940</v>
      </c>
      <c r="X866" s="72" t="s">
        <v>129</v>
      </c>
      <c r="Y866" s="72" t="s">
        <v>3054</v>
      </c>
      <c r="Z866" s="72" t="s">
        <v>129</v>
      </c>
      <c r="AA866" s="147" t="s">
        <v>2919</v>
      </c>
    </row>
    <row r="867" spans="1:27" ht="18.600000000000001" customHeight="1">
      <c r="A867" s="140" t="str">
        <f>IF(priority(Main[[#This Row],[Comments]])&lt;&gt;0, priority(Main[[#This Row],[Comments]]),"")</f>
        <v/>
      </c>
      <c r="B867" s="90" t="s">
        <v>1705</v>
      </c>
      <c r="C867" s="72" t="s">
        <v>4</v>
      </c>
      <c r="D867" s="73" t="s">
        <v>753</v>
      </c>
      <c r="E867" s="74"/>
      <c r="F867" s="74"/>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v>
      </c>
      <c r="J867" s="72" t="s">
        <v>28</v>
      </c>
      <c r="K867" s="72" t="s">
        <v>1939</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c r="R867" s="74"/>
      <c r="S867" s="72" t="s">
        <v>6</v>
      </c>
      <c r="T867" s="80" t="s">
        <v>4</v>
      </c>
      <c r="U867" s="72" t="s">
        <v>14</v>
      </c>
      <c r="V867" s="72" t="s">
        <v>1932</v>
      </c>
      <c r="W867" s="72" t="s">
        <v>1936</v>
      </c>
      <c r="X867" s="72" t="s">
        <v>310</v>
      </c>
      <c r="Y867" s="72" t="s">
        <v>3194</v>
      </c>
      <c r="Z867" s="72" t="s">
        <v>129</v>
      </c>
      <c r="AA867" s="147" t="s">
        <v>3678</v>
      </c>
    </row>
    <row r="868" spans="1:27" ht="18.600000000000001" customHeight="1">
      <c r="A868" s="140" t="str">
        <f>IF(priority(Main[[#This Row],[Comments]])&lt;&gt;0, priority(Main[[#This Row],[Comments]]),"")</f>
        <v/>
      </c>
      <c r="B868" s="90" t="s">
        <v>1707</v>
      </c>
      <c r="C868" s="72" t="s">
        <v>4</v>
      </c>
      <c r="D868" s="73" t="s">
        <v>756</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c r="R868" s="74"/>
      <c r="S868" s="72" t="s">
        <v>11</v>
      </c>
      <c r="T868" s="80" t="s">
        <v>4</v>
      </c>
      <c r="U868" s="72" t="s">
        <v>14</v>
      </c>
      <c r="V868" s="72" t="s">
        <v>1932</v>
      </c>
      <c r="W868" s="72" t="s">
        <v>1936</v>
      </c>
      <c r="X868" s="72" t="s">
        <v>718</v>
      </c>
      <c r="Y868" s="72" t="s">
        <v>3180</v>
      </c>
      <c r="Z868" s="72" t="s">
        <v>4</v>
      </c>
      <c r="AA868" s="147" t="s">
        <v>981</v>
      </c>
    </row>
    <row r="869" spans="1:27" ht="18.600000000000001" customHeight="1">
      <c r="A869" s="140" t="str">
        <f>IF(priority(Main[[#This Row],[Comments]])&lt;&gt;0, priority(Main[[#This Row],[Comments]]),"")</f>
        <v/>
      </c>
      <c r="B869" s="90" t="s">
        <v>1708</v>
      </c>
      <c r="C869" s="72" t="s">
        <v>4</v>
      </c>
      <c r="D869" s="73" t="s">
        <v>757</v>
      </c>
      <c r="E869" s="74"/>
      <c r="F869" s="74"/>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434</v>
      </c>
      <c r="J869" s="72" t="s">
        <v>70</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v>40437</v>
      </c>
      <c r="R869" s="74"/>
      <c r="S869" s="72" t="s">
        <v>6</v>
      </c>
      <c r="T869" s="80" t="s">
        <v>4</v>
      </c>
      <c r="U869" s="72" t="s">
        <v>14</v>
      </c>
      <c r="V869" s="72" t="s">
        <v>1935</v>
      </c>
      <c r="W869" s="72" t="s">
        <v>1934</v>
      </c>
      <c r="X869" s="72" t="s">
        <v>2913</v>
      </c>
      <c r="Y869" s="72" t="s">
        <v>3033</v>
      </c>
      <c r="Z869" s="72" t="s">
        <v>535</v>
      </c>
      <c r="AA869" s="147" t="s">
        <v>2913</v>
      </c>
    </row>
    <row r="870" spans="1:27" ht="18.600000000000001" customHeight="1">
      <c r="A870" s="140" t="str">
        <f>IF(priority(Main[[#This Row],[Comments]])&lt;&gt;0, priority(Main[[#This Row],[Comments]]),"")</f>
        <v/>
      </c>
      <c r="B870" s="90" t="s">
        <v>2798</v>
      </c>
      <c r="C870" s="72" t="s">
        <v>4</v>
      </c>
      <c r="D870" s="73" t="s">
        <v>2799</v>
      </c>
      <c r="E870" s="74">
        <v>40886.69462962963</v>
      </c>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81"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40959</v>
      </c>
      <c r="R870" s="74"/>
      <c r="S870" s="72" t="s">
        <v>17</v>
      </c>
      <c r="T870" s="80" t="s">
        <v>4</v>
      </c>
      <c r="U870" s="72" t="s">
        <v>7</v>
      </c>
      <c r="V870" s="72" t="s">
        <v>1932</v>
      </c>
      <c r="W870" s="72" t="s">
        <v>4</v>
      </c>
      <c r="X870" s="72" t="s">
        <v>968</v>
      </c>
      <c r="Y870" s="72" t="s">
        <v>3189</v>
      </c>
      <c r="Z870" s="72" t="s">
        <v>4</v>
      </c>
      <c r="AA870" s="147" t="s">
        <v>968</v>
      </c>
    </row>
    <row r="871" spans="1:27" ht="18.600000000000001" customHeight="1">
      <c r="A871" s="140" t="str">
        <f>IF(priority(Main[[#This Row],[Comments]])&lt;&gt;0, priority(Main[[#This Row],[Comments]]),"")</f>
        <v/>
      </c>
      <c r="B871" s="90" t="s">
        <v>1712</v>
      </c>
      <c r="C871" s="72" t="s">
        <v>47</v>
      </c>
      <c r="D871" s="73" t="s">
        <v>761</v>
      </c>
      <c r="E871" s="74"/>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4</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c r="R871" s="74"/>
      <c r="S871" s="72" t="s">
        <v>49</v>
      </c>
      <c r="T871" s="80" t="s">
        <v>4</v>
      </c>
      <c r="U871" s="72" t="s">
        <v>14</v>
      </c>
      <c r="V871" s="72" t="s">
        <v>1935</v>
      </c>
      <c r="W871" s="72" t="s">
        <v>1936</v>
      </c>
      <c r="X871" s="72" t="s">
        <v>310</v>
      </c>
      <c r="Y871" s="72" t="s">
        <v>3036</v>
      </c>
      <c r="Z871" s="72" t="s">
        <v>4</v>
      </c>
      <c r="AA871" s="147" t="s">
        <v>3618</v>
      </c>
    </row>
    <row r="872" spans="1:27" ht="18.600000000000001" customHeight="1">
      <c r="A872" s="141" t="str">
        <f>IF(priority(Main[[#This Row],[Comments]])&lt;&gt;0, priority(Main[[#This Row],[Comments]]),"")</f>
        <v/>
      </c>
      <c r="B872" s="92" t="s">
        <v>2120</v>
      </c>
      <c r="C872" s="93" t="s">
        <v>963</v>
      </c>
      <c r="D872" s="84" t="s">
        <v>2121</v>
      </c>
      <c r="E872" s="94"/>
      <c r="F872" s="94">
        <v>40871</v>
      </c>
      <c r="G872" s="93" t="str">
        <f>IF(stdProdLT(Main[[#This Row],[Comments]])=0.1,"N/A",IF(stdProdLT(Main[[#This Row],[Comments]])=0,"",stdProdLT(Main[[#This Row],[Comments]])))</f>
        <v/>
      </c>
      <c r="H872" s="95" t="str">
        <f>IF(AND(Main[[#This Row],[In Stock Date]]&lt;&gt;"",Main[[#This Row],[Revised Due Date]]&lt;&gt;""),Main[[#This Row],[In Stock Date]]-Main[[#This Row],[Revised Due Date]],"")</f>
        <v/>
      </c>
      <c r="I872" s="93" t="s">
        <v>4</v>
      </c>
      <c r="J872" s="93" t="s">
        <v>4</v>
      </c>
      <c r="K872" s="93" t="s">
        <v>4</v>
      </c>
      <c r="L872" s="94"/>
      <c r="M872" s="96" t="str">
        <f>IF(Main[[#This Row],[Tech Start Date]]&lt;1/1/1990,"",IF(Main[[#This Row],[Class]]="C",WORKDAY(Main[[#This Row],[Tech Start Date]],9),IF(Main[[#This Row],[Class]]="B", WORKDAY(Main[[#This Row],[Tech Start Date]],6),IF(Main[[#This Row],[Class]]="A",WORKDAY(Main[[#This Row],[Tech Start Date]],2),""))))</f>
        <v/>
      </c>
      <c r="N872" s="96" t="str">
        <f>IF(Main[[#This Row],[Tech Start Date]]&lt;1/1/1990,"",IF(Main[[#This Row],[Class]]="C",WORKDAY(Main[[#This Row],[Tech Start Date]],19),IF(Main[[#This Row],[Class]]="B", WORKDAY(Main[[#This Row],[Tech Start Date]],12),IF(Main[[#This Row],[Class]]="A",WORKDAY(Main[[#This Row],[Tech Start Date]],4),""))))</f>
        <v/>
      </c>
      <c r="O872" s="96" t="str">
        <f>IF(Main[[#This Row],[Tech Start Date]]&lt;1/1/1990,"",IF(Main[[#This Row],[Class]]="C",WORKDAY(Main[[#This Row],[Tech Start Date]],23),IF(Main[[#This Row],[Class]]="B", WORKDAY(Main[[#This Row],[Tech Start Date]],15),IF(Main[[#This Row],[Class]]="A",WORKDAY(Main[[#This Row],[Tech Start Date]],5),""))))</f>
        <v/>
      </c>
      <c r="P872" s="96" t="str">
        <f>IF(Main[[#This Row],[Tech Start Date]]&lt;1/1/1990,"",IF(Main[[#This Row],[Class]]="C",WORKDAY(Main[[#This Row],[Tech Start Date]],28),IF(Main[[#This Row],[Class]]="B", WORKDAY(Main[[#This Row],[Tech Start Date]],19),IF(Main[[#This Row],[Class]]="A",WORKDAY(Main[[#This Row],[Tech Start Date]],9),""))))</f>
        <v/>
      </c>
      <c r="Q872" s="94"/>
      <c r="R872" s="94"/>
      <c r="S872" s="93" t="s">
        <v>11</v>
      </c>
      <c r="T872" s="97" t="s">
        <v>4</v>
      </c>
      <c r="U872" s="93" t="s">
        <v>14</v>
      </c>
      <c r="V872" s="93" t="s">
        <v>1935</v>
      </c>
      <c r="W872" s="93" t="s">
        <v>1940</v>
      </c>
      <c r="X872" s="83" t="s">
        <v>50</v>
      </c>
      <c r="Y872" s="83" t="s">
        <v>3056</v>
      </c>
      <c r="Z872" s="83" t="s">
        <v>4</v>
      </c>
      <c r="AA872" s="147" t="s">
        <v>50</v>
      </c>
    </row>
    <row r="873" spans="1:27" ht="18.600000000000001" customHeight="1">
      <c r="A873" s="140" t="str">
        <f>IF(priority(Main[[#This Row],[Comments]])&lt;&gt;0, priority(Main[[#This Row],[Comments]]),"")</f>
        <v/>
      </c>
      <c r="B873" s="90" t="s">
        <v>1916</v>
      </c>
      <c r="C873" s="72" t="s">
        <v>72</v>
      </c>
      <c r="D873" s="73" t="s">
        <v>2136</v>
      </c>
      <c r="E873" s="74">
        <v>40469.926608796297</v>
      </c>
      <c r="F873" s="74">
        <v>40487</v>
      </c>
      <c r="G873" s="75">
        <f>IF(stdProdLT(Main[[#This Row],[Comments]])=0.1,"N/A",IF(stdProdLT(Main[[#This Row],[Comments]])=0,"",stdProdLT(Main[[#This Row],[Comments]])))</f>
        <v>42</v>
      </c>
      <c r="H873" s="76">
        <f>IF(AND(Main[[#This Row],[In Stock Date]]&lt;&gt;"",Main[[#This Row],[Revised Due Date]]&lt;&gt;""),Main[[#This Row],[In Stock Date]]-Main[[#This Row],[Revised Due Date]],"")</f>
        <v>-294</v>
      </c>
      <c r="I873" s="72" t="s">
        <v>2075</v>
      </c>
      <c r="J873" s="72" t="s">
        <v>52</v>
      </c>
      <c r="K873" s="72" t="s">
        <v>1945</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c r="R873" s="74">
        <v>40781</v>
      </c>
      <c r="S873" s="72" t="s">
        <v>6</v>
      </c>
      <c r="T873" s="80" t="s">
        <v>2137</v>
      </c>
      <c r="U873" s="72" t="s">
        <v>29</v>
      </c>
      <c r="V873" s="72" t="s">
        <v>1933</v>
      </c>
      <c r="W873" s="72" t="s">
        <v>1934</v>
      </c>
      <c r="X873" s="72" t="s">
        <v>2992</v>
      </c>
      <c r="Y873" s="72" t="s">
        <v>3174</v>
      </c>
      <c r="Z873" s="72" t="s">
        <v>108</v>
      </c>
      <c r="AA873" s="147" t="s">
        <v>2992</v>
      </c>
    </row>
    <row r="874" spans="1:27" ht="18.600000000000001" customHeight="1">
      <c r="A874" s="140" t="str">
        <f>IF(priority(Main[[#This Row],[Comments]])&lt;&gt;0, priority(Main[[#This Row],[Comments]]),"")</f>
        <v/>
      </c>
      <c r="B874" s="90" t="s">
        <v>1880</v>
      </c>
      <c r="C874" s="72" t="s">
        <v>31</v>
      </c>
      <c r="D874" s="73" t="s">
        <v>929</v>
      </c>
      <c r="E874" s="74"/>
      <c r="F874" s="74">
        <v>40664</v>
      </c>
      <c r="G874" s="75" t="str">
        <f>IF(stdProdLT(Main[[#This Row],[Comments]])=0.1,"N/A",IF(stdProdLT(Main[[#This Row],[Comments]])=0,"",stdProdLT(Main[[#This Row],[Comments]])))</f>
        <v/>
      </c>
      <c r="H874" s="76">
        <f>IF(AND(Main[[#This Row],[In Stock Date]]&lt;&gt;"",Main[[#This Row],[Revised Due Date]]&lt;&gt;""),Main[[#This Row],[In Stock Date]]-Main[[#This Row],[Revised Due Date]],"")</f>
        <v>87</v>
      </c>
      <c r="I874" s="72" t="s">
        <v>422</v>
      </c>
      <c r="J874" s="72" t="s">
        <v>75</v>
      </c>
      <c r="K874" s="72" t="s">
        <v>1941</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v>40589</v>
      </c>
      <c r="R874" s="74">
        <v>40577</v>
      </c>
      <c r="S874" s="72" t="s">
        <v>11</v>
      </c>
      <c r="T874" s="80" t="s">
        <v>4</v>
      </c>
      <c r="U874" s="72" t="s">
        <v>14</v>
      </c>
      <c r="V874" s="72" t="s">
        <v>1935</v>
      </c>
      <c r="W874" s="72" t="s">
        <v>1938</v>
      </c>
      <c r="X874" s="72" t="s">
        <v>2916</v>
      </c>
      <c r="Y874" s="72" t="s">
        <v>3062</v>
      </c>
      <c r="Z874" s="72" t="s">
        <v>535</v>
      </c>
      <c r="AA874" s="147" t="s">
        <v>2916</v>
      </c>
    </row>
    <row r="875" spans="1:27" ht="18.600000000000001" customHeight="1">
      <c r="A875" s="140" t="str">
        <f>IF(priority(Main[[#This Row],[Comments]])&lt;&gt;0, priority(Main[[#This Row],[Comments]]),"")</f>
        <v/>
      </c>
      <c r="B875" s="90" t="s">
        <v>1709</v>
      </c>
      <c r="C875" s="72" t="s">
        <v>4</v>
      </c>
      <c r="D875" s="73" t="s">
        <v>758</v>
      </c>
      <c r="E875" s="74"/>
      <c r="F875" s="74"/>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4</v>
      </c>
      <c r="J875" s="72" t="s">
        <v>28</v>
      </c>
      <c r="K875" s="72" t="s">
        <v>1944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v>40522</v>
      </c>
      <c r="R875" s="74"/>
      <c r="S875" s="72" t="s">
        <v>17</v>
      </c>
      <c r="T875" s="80" t="s">
        <v>4</v>
      </c>
      <c r="U875" s="72" t="s">
        <v>14</v>
      </c>
      <c r="V875" s="72" t="s">
        <v>1932</v>
      </c>
      <c r="W875" s="72" t="s">
        <v>1937</v>
      </c>
      <c r="X875" s="72" t="s">
        <v>2953</v>
      </c>
      <c r="Y875" s="72" t="s">
        <v>3101</v>
      </c>
      <c r="Z875" s="72" t="s">
        <v>129</v>
      </c>
      <c r="AA875" s="147" t="s">
        <v>2953</v>
      </c>
    </row>
    <row r="876" spans="1:27" ht="18.600000000000001" customHeight="1">
      <c r="A876" s="140" t="str">
        <f>IF(priority(Main[[#This Row],[Comments]])&lt;&gt;0, priority(Main[[#This Row],[Comments]]),"")</f>
        <v/>
      </c>
      <c r="B876" s="90" t="s">
        <v>1710</v>
      </c>
      <c r="C876" s="72" t="s">
        <v>67</v>
      </c>
      <c r="D876" s="73" t="s">
        <v>759</v>
      </c>
      <c r="E876" s="74"/>
      <c r="F876" s="74"/>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4</v>
      </c>
      <c r="J876" s="72" t="s">
        <v>4</v>
      </c>
      <c r="K876" s="72"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v>40241</v>
      </c>
      <c r="R876" s="74"/>
      <c r="S876" s="72" t="s">
        <v>11</v>
      </c>
      <c r="T876" s="80" t="s">
        <v>4</v>
      </c>
      <c r="U876" s="72" t="s">
        <v>14</v>
      </c>
      <c r="V876" s="72" t="s">
        <v>1942</v>
      </c>
      <c r="W876" s="72" t="s">
        <v>1934</v>
      </c>
      <c r="X876" s="72" t="s">
        <v>559</v>
      </c>
      <c r="Y876" s="72" t="s">
        <v>4</v>
      </c>
      <c r="Z876" s="72" t="s">
        <v>4</v>
      </c>
      <c r="AA876" s="147" t="s">
        <v>2949</v>
      </c>
    </row>
    <row r="877" spans="1:27" ht="18.600000000000001" customHeight="1">
      <c r="A877" s="140" t="str">
        <f>IF(priority(Main[[#This Row],[Comments]])&lt;&gt;0, priority(Main[[#This Row],[Comments]]),"")</f>
        <v/>
      </c>
      <c r="B877" s="90" t="s">
        <v>1711</v>
      </c>
      <c r="C877" s="72" t="s">
        <v>4</v>
      </c>
      <c r="D877" s="73" t="s">
        <v>760</v>
      </c>
      <c r="E877" s="74"/>
      <c r="F877" s="74"/>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v>
      </c>
      <c r="J877" s="72" t="s">
        <v>28</v>
      </c>
      <c r="K877" s="72" t="s">
        <v>4</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v>40471</v>
      </c>
      <c r="R877" s="74"/>
      <c r="S877" s="72" t="s">
        <v>6</v>
      </c>
      <c r="T877" s="80" t="s">
        <v>4</v>
      </c>
      <c r="U877" s="72" t="s">
        <v>14</v>
      </c>
      <c r="V877" s="72" t="s">
        <v>1942</v>
      </c>
      <c r="W877" s="72" t="s">
        <v>1934</v>
      </c>
      <c r="X877" s="72" t="s">
        <v>2938</v>
      </c>
      <c r="Y877" s="72" t="s">
        <v>3073</v>
      </c>
      <c r="Z877" s="72" t="s">
        <v>535</v>
      </c>
      <c r="AA877" s="147" t="s">
        <v>2938</v>
      </c>
    </row>
    <row r="878" spans="1:27" ht="18.600000000000001" customHeight="1">
      <c r="A878" s="140" t="str">
        <f>IF(priority(Main[[#This Row],[Comments]])&lt;&gt;0, priority(Main[[#This Row],[Comments]]),"")</f>
        <v/>
      </c>
      <c r="B878" s="90" t="s">
        <v>1714</v>
      </c>
      <c r="C878" s="72" t="s">
        <v>279</v>
      </c>
      <c r="D878" s="73" t="s">
        <v>763</v>
      </c>
      <c r="E878" s="74"/>
      <c r="F878" s="74">
        <v>40451</v>
      </c>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4</v>
      </c>
      <c r="J878" s="72" t="s">
        <v>4</v>
      </c>
      <c r="K878" s="72" t="s">
        <v>4</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v>40269</v>
      </c>
      <c r="R878" s="74"/>
      <c r="S878" s="72" t="s">
        <v>11</v>
      </c>
      <c r="T878" s="80" t="s">
        <v>4</v>
      </c>
      <c r="U878" s="72" t="s">
        <v>14</v>
      </c>
      <c r="V878" s="72" t="s">
        <v>1935</v>
      </c>
      <c r="W878" s="72" t="s">
        <v>1937</v>
      </c>
      <c r="X878" s="72" t="s">
        <v>65</v>
      </c>
      <c r="Y878" s="72" t="s">
        <v>4</v>
      </c>
      <c r="Z878" s="72" t="s">
        <v>4</v>
      </c>
      <c r="AA878" s="147" t="s">
        <v>65</v>
      </c>
    </row>
    <row r="879" spans="1:27" ht="18.600000000000001" customHeight="1">
      <c r="A879" s="140" t="str">
        <f>IF(priority(Main[[#This Row],[Comments]])&lt;&gt;0, priority(Main[[#This Row],[Comments]]),"")</f>
        <v/>
      </c>
      <c r="B879" s="90" t="s">
        <v>1721</v>
      </c>
      <c r="C879" s="72" t="s">
        <v>31</v>
      </c>
      <c r="D879" s="73" t="s">
        <v>764</v>
      </c>
      <c r="E879" s="74"/>
      <c r="F879" s="74">
        <v>40602</v>
      </c>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403</v>
      </c>
      <c r="J879" s="72" t="s">
        <v>75</v>
      </c>
      <c r="K879" s="72" t="s">
        <v>1941</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c r="R879" s="74"/>
      <c r="S879" s="72" t="s">
        <v>11</v>
      </c>
      <c r="T879" s="80" t="s">
        <v>4</v>
      </c>
      <c r="U879" s="72" t="s">
        <v>14</v>
      </c>
      <c r="V879" s="72" t="s">
        <v>1935</v>
      </c>
      <c r="W879" s="72" t="s">
        <v>1938</v>
      </c>
      <c r="X879" s="72" t="s">
        <v>50</v>
      </c>
      <c r="Y879" s="72" t="s">
        <v>3056</v>
      </c>
      <c r="Z879" s="72" t="s">
        <v>310</v>
      </c>
      <c r="AA879" s="147" t="s">
        <v>50</v>
      </c>
    </row>
    <row r="880" spans="1:27" ht="18.600000000000001" customHeight="1">
      <c r="A880" s="140" t="str">
        <f>IF(priority(Main[[#This Row],[Comments]])&lt;&gt;0, priority(Main[[#This Row],[Comments]]),"")</f>
        <v/>
      </c>
      <c r="B880" s="90" t="s">
        <v>1722</v>
      </c>
      <c r="C880" s="72" t="s">
        <v>93</v>
      </c>
      <c r="D880" s="73" t="s">
        <v>765</v>
      </c>
      <c r="E880" s="74"/>
      <c r="F880" s="74">
        <v>40302</v>
      </c>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v>40190</v>
      </c>
      <c r="R880" s="74"/>
      <c r="S880" s="72" t="s">
        <v>11</v>
      </c>
      <c r="T880" s="80" t="s">
        <v>4</v>
      </c>
      <c r="U880" s="72" t="s">
        <v>12</v>
      </c>
      <c r="V880" s="72" t="s">
        <v>1942</v>
      </c>
      <c r="W880" s="72" t="s">
        <v>1938</v>
      </c>
      <c r="X880" s="72" t="s">
        <v>2989</v>
      </c>
      <c r="Y880" s="72" t="s">
        <v>4</v>
      </c>
      <c r="Z880" s="72" t="s">
        <v>4</v>
      </c>
      <c r="AA880" s="147" t="s">
        <v>2989</v>
      </c>
    </row>
    <row r="881" spans="1:27" ht="18.600000000000001" customHeight="1">
      <c r="A881" s="140" t="str">
        <f>IF(priority(Main[[#This Row],[Comments]])&lt;&gt;0, priority(Main[[#This Row],[Comments]]),"")</f>
        <v/>
      </c>
      <c r="B881" s="90" t="s">
        <v>1878</v>
      </c>
      <c r="C881" s="72" t="s">
        <v>31</v>
      </c>
      <c r="D881" s="73" t="s">
        <v>928</v>
      </c>
      <c r="E881" s="74"/>
      <c r="F881" s="74">
        <v>40664</v>
      </c>
      <c r="G881" s="75" t="str">
        <f>IF(stdProdLT(Main[[#This Row],[Comments]])=0.1,"N/A",IF(stdProdLT(Main[[#This Row],[Comments]])=0,"",stdProdLT(Main[[#This Row],[Comments]])))</f>
        <v/>
      </c>
      <c r="H881" s="76">
        <f>IF(AND(Main[[#This Row],[In Stock Date]]&lt;&gt;"",Main[[#This Row],[Revised Due Date]]&lt;&gt;""),Main[[#This Row],[In Stock Date]]-Main[[#This Row],[Revised Due Date]],"")</f>
        <v>87</v>
      </c>
      <c r="I881" s="72" t="s">
        <v>403</v>
      </c>
      <c r="J881" s="72" t="s">
        <v>75</v>
      </c>
      <c r="K881" s="72" t="s">
        <v>1941</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c r="R881" s="74">
        <v>40577</v>
      </c>
      <c r="S881" s="72" t="s">
        <v>11</v>
      </c>
      <c r="T881" s="80" t="s">
        <v>4</v>
      </c>
      <c r="U881" s="72" t="s">
        <v>14</v>
      </c>
      <c r="V881" s="72" t="s">
        <v>1935</v>
      </c>
      <c r="W881" s="72" t="s">
        <v>1938</v>
      </c>
      <c r="X881" s="72" t="s">
        <v>2916</v>
      </c>
      <c r="Y881" s="72" t="s">
        <v>3062</v>
      </c>
      <c r="Z881" s="72" t="s">
        <v>535</v>
      </c>
      <c r="AA881" s="147" t="s">
        <v>2916</v>
      </c>
    </row>
    <row r="882" spans="1:27" ht="18.600000000000001" customHeight="1">
      <c r="A882" s="140" t="str">
        <f>IF(priority(Main[[#This Row],[Comments]])&lt;&gt;0, priority(Main[[#This Row],[Comments]]),"")</f>
        <v/>
      </c>
      <c r="B882" s="90" t="s">
        <v>1743</v>
      </c>
      <c r="C882" s="72" t="s">
        <v>4</v>
      </c>
      <c r="D882" s="73" t="s">
        <v>792</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c r="R882" s="74"/>
      <c r="S882" s="72" t="s">
        <v>49</v>
      </c>
      <c r="T882" s="80" t="s">
        <v>4</v>
      </c>
      <c r="U882" s="72" t="s">
        <v>103</v>
      </c>
      <c r="V882" s="72" t="s">
        <v>1933</v>
      </c>
      <c r="W882" s="72" t="s">
        <v>1936</v>
      </c>
      <c r="X882" s="72" t="s">
        <v>310</v>
      </c>
      <c r="Y882" s="72" t="s">
        <v>4</v>
      </c>
      <c r="Z882" s="72" t="s">
        <v>4</v>
      </c>
      <c r="AA882" s="147" t="s">
        <v>4</v>
      </c>
    </row>
    <row r="883" spans="1:27" ht="18.600000000000001" customHeight="1">
      <c r="A883" s="140" t="str">
        <f>IF(priority(Main[[#This Row],[Comments]])&lt;&gt;0, priority(Main[[#This Row],[Comments]]),"")</f>
        <v/>
      </c>
      <c r="B883" s="90" t="s">
        <v>2220</v>
      </c>
      <c r="C883" s="72" t="s">
        <v>4</v>
      </c>
      <c r="D883" s="73" t="s">
        <v>2221</v>
      </c>
      <c r="E883" s="74"/>
      <c r="F883" s="74"/>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4</v>
      </c>
      <c r="K883" s="72"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c r="R883" s="74"/>
      <c r="S883" s="72" t="s">
        <v>6</v>
      </c>
      <c r="T883" s="80" t="s">
        <v>4</v>
      </c>
      <c r="U883" s="72" t="s">
        <v>14</v>
      </c>
      <c r="V883" s="72" t="s">
        <v>1947</v>
      </c>
      <c r="W883" s="72" t="s">
        <v>4</v>
      </c>
      <c r="X883" s="72" t="s">
        <v>310</v>
      </c>
      <c r="Y883" s="72" t="s">
        <v>4</v>
      </c>
      <c r="Z883" s="72" t="s">
        <v>4</v>
      </c>
      <c r="AA883" s="147" t="s">
        <v>4</v>
      </c>
    </row>
    <row r="884" spans="1:27" ht="18.600000000000001" customHeight="1">
      <c r="A884" s="140" t="str">
        <f>IF(priority(Main[[#This Row],[Comments]])&lt;&gt;0, priority(Main[[#This Row],[Comments]]),"")</f>
        <v/>
      </c>
      <c r="B884" s="90" t="s">
        <v>1716</v>
      </c>
      <c r="C884" s="72" t="s">
        <v>766</v>
      </c>
      <c r="D884" s="73" t="s">
        <v>767</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4</v>
      </c>
      <c r="K884" s="72" t="s">
        <v>4</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c r="R884" s="74"/>
      <c r="S884" s="72" t="s">
        <v>11</v>
      </c>
      <c r="T884" s="80" t="s">
        <v>4</v>
      </c>
      <c r="U884" s="72" t="s">
        <v>14</v>
      </c>
      <c r="V884" s="72" t="s">
        <v>1933</v>
      </c>
      <c r="W884" s="72" t="s">
        <v>1940</v>
      </c>
      <c r="X884" s="72" t="s">
        <v>2918</v>
      </c>
      <c r="Y884" s="72" t="s">
        <v>3043</v>
      </c>
      <c r="Z884" s="72" t="s">
        <v>4</v>
      </c>
      <c r="AA884" s="147" t="s">
        <v>2918</v>
      </c>
    </row>
    <row r="885" spans="1:27" ht="18.600000000000001" customHeight="1">
      <c r="A885" s="140" t="str">
        <f>IF(priority(Main[[#This Row],[Comments]])&lt;&gt;0, priority(Main[[#This Row],[Comments]]),"")</f>
        <v/>
      </c>
      <c r="B885" s="90" t="s">
        <v>1717</v>
      </c>
      <c r="C885" s="72" t="s">
        <v>4</v>
      </c>
      <c r="D885" s="73" t="s">
        <v>768</v>
      </c>
      <c r="E885" s="74">
        <v>40436.644293981481</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28</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c r="R885" s="74"/>
      <c r="S885" s="72" t="s">
        <v>6</v>
      </c>
      <c r="T885" s="80" t="s">
        <v>4</v>
      </c>
      <c r="U885" s="72" t="s">
        <v>7</v>
      </c>
      <c r="V885" s="72" t="s">
        <v>1932</v>
      </c>
      <c r="W885" s="72" t="s">
        <v>1936</v>
      </c>
      <c r="X885" s="72" t="s">
        <v>933</v>
      </c>
      <c r="Y885" s="72" t="s">
        <v>3077</v>
      </c>
      <c r="Z885" s="72" t="s">
        <v>129</v>
      </c>
      <c r="AA885" s="147" t="s">
        <v>933</v>
      </c>
    </row>
    <row r="886" spans="1:27" ht="18.600000000000001" customHeight="1">
      <c r="A886" s="140" t="str">
        <f>IF(priority(Main[[#This Row],[Comments]])&lt;&gt;0, priority(Main[[#This Row],[Comments]]),"")</f>
        <v/>
      </c>
      <c r="B886" s="90" t="s">
        <v>1718</v>
      </c>
      <c r="C886" s="72" t="s">
        <v>769</v>
      </c>
      <c r="D886" s="73" t="s">
        <v>770</v>
      </c>
      <c r="E886" s="74"/>
      <c r="F886" s="74"/>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165</v>
      </c>
      <c r="J886" s="72" t="s">
        <v>4</v>
      </c>
      <c r="K886" s="72" t="s">
        <v>1939</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v>40421</v>
      </c>
      <c r="R886" s="74"/>
      <c r="S886" s="72" t="s">
        <v>17</v>
      </c>
      <c r="T886" s="80" t="s">
        <v>4</v>
      </c>
      <c r="U886" s="72" t="s">
        <v>14</v>
      </c>
      <c r="V886" s="72" t="s">
        <v>1935</v>
      </c>
      <c r="W886" s="72" t="s">
        <v>1936</v>
      </c>
      <c r="X886" s="72" t="s">
        <v>165</v>
      </c>
      <c r="Y886" s="72" t="s">
        <v>3195</v>
      </c>
      <c r="Z886" s="72" t="s">
        <v>4</v>
      </c>
      <c r="AA886" s="147" t="s">
        <v>165</v>
      </c>
    </row>
    <row r="887" spans="1:27" ht="18.600000000000001" customHeight="1">
      <c r="A887" s="140" t="str">
        <f>IF(priority(Main[[#This Row],[Comments]])&lt;&gt;0, priority(Main[[#This Row],[Comments]]),"")</f>
        <v/>
      </c>
      <c r="B887" s="90" t="s">
        <v>1719</v>
      </c>
      <c r="C887" s="72" t="s">
        <v>4</v>
      </c>
      <c r="D887" s="73" t="s">
        <v>771</v>
      </c>
      <c r="E887" s="74"/>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40500</v>
      </c>
      <c r="R887" s="74"/>
      <c r="S887" s="72" t="s">
        <v>11</v>
      </c>
      <c r="T887" s="80" t="s">
        <v>4</v>
      </c>
      <c r="U887" s="72" t="s">
        <v>14</v>
      </c>
      <c r="V887" s="72" t="s">
        <v>1932</v>
      </c>
      <c r="W887" s="72" t="s">
        <v>4</v>
      </c>
      <c r="X887" s="72" t="s">
        <v>2923</v>
      </c>
      <c r="Y887" s="72" t="s">
        <v>3196</v>
      </c>
      <c r="Z887" s="72" t="s">
        <v>4</v>
      </c>
      <c r="AA887" s="147" t="s">
        <v>2940</v>
      </c>
    </row>
    <row r="888" spans="1:27" ht="18.600000000000001" customHeight="1">
      <c r="A888" s="140" t="str">
        <f>IF(priority(Main[[#This Row],[Comments]])&lt;&gt;0, priority(Main[[#This Row],[Comments]]),"")</f>
        <v/>
      </c>
      <c r="B888" s="90" t="s">
        <v>1720</v>
      </c>
      <c r="C888" s="72" t="s">
        <v>122</v>
      </c>
      <c r="D888" s="73" t="s">
        <v>705</v>
      </c>
      <c r="E888" s="74"/>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4</v>
      </c>
      <c r="K888" s="72" t="s">
        <v>4</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c r="R888" s="74"/>
      <c r="S888" s="72" t="s">
        <v>11</v>
      </c>
      <c r="T888" s="80" t="s">
        <v>4</v>
      </c>
      <c r="U888" s="72" t="s">
        <v>14</v>
      </c>
      <c r="V888" s="72" t="s">
        <v>1932</v>
      </c>
      <c r="W888" s="72" t="s">
        <v>1943</v>
      </c>
      <c r="X888" s="72" t="s">
        <v>2911</v>
      </c>
      <c r="Y888" s="72" t="s">
        <v>3187</v>
      </c>
      <c r="Z888" s="72" t="s">
        <v>4</v>
      </c>
      <c r="AA888" s="147" t="s">
        <v>3674</v>
      </c>
    </row>
    <row r="889" spans="1:27" ht="18.600000000000001" customHeight="1">
      <c r="A889" s="140" t="str">
        <f>IF(priority(Main[[#This Row],[Comments]])&lt;&gt;0, priority(Main[[#This Row],[Comments]]),"")</f>
        <v/>
      </c>
      <c r="B889" s="90" t="s">
        <v>1723</v>
      </c>
      <c r="C889" s="72" t="s">
        <v>4</v>
      </c>
      <c r="D889" s="73" t="s">
        <v>777</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c r="R889" s="74"/>
      <c r="S889" s="72" t="s">
        <v>17</v>
      </c>
      <c r="T889" s="80" t="s">
        <v>4</v>
      </c>
      <c r="U889" s="72" t="s">
        <v>14</v>
      </c>
      <c r="V889" s="72" t="s">
        <v>1935</v>
      </c>
      <c r="W889" s="72" t="s">
        <v>4</v>
      </c>
      <c r="X889" s="72" t="s">
        <v>310</v>
      </c>
      <c r="Y889" s="72" t="s">
        <v>4</v>
      </c>
      <c r="Z889" s="72" t="s">
        <v>4</v>
      </c>
      <c r="AA889" s="147" t="s">
        <v>3679</v>
      </c>
    </row>
    <row r="890" spans="1:27" ht="18.600000000000001" customHeight="1">
      <c r="A890" s="140" t="str">
        <f>IF(priority(Main[[#This Row],[Comments]])&lt;&gt;0, priority(Main[[#This Row],[Comments]]),"")</f>
        <v/>
      </c>
      <c r="B890" s="90" t="s">
        <v>1724</v>
      </c>
      <c r="C890" s="72" t="s">
        <v>58</v>
      </c>
      <c r="D890" s="73" t="s">
        <v>205</v>
      </c>
      <c r="E890" s="74"/>
      <c r="F890" s="74">
        <v>40697</v>
      </c>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4</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40539</v>
      </c>
      <c r="R890" s="74"/>
      <c r="S890" s="72" t="s">
        <v>11</v>
      </c>
      <c r="T890" s="80" t="s">
        <v>4</v>
      </c>
      <c r="U890" s="72" t="s">
        <v>14</v>
      </c>
      <c r="V890" s="72" t="s">
        <v>1932</v>
      </c>
      <c r="W890" s="72" t="s">
        <v>1938</v>
      </c>
      <c r="X890" s="72" t="s">
        <v>2920</v>
      </c>
      <c r="Y890" s="72" t="s">
        <v>3046</v>
      </c>
      <c r="Z890" s="72" t="s">
        <v>4</v>
      </c>
      <c r="AA890" s="147" t="s">
        <v>2920</v>
      </c>
    </row>
    <row r="891" spans="1:27" ht="18.600000000000001" customHeight="1">
      <c r="A891" s="140" t="str">
        <f>IF(priority(Main[[#This Row],[Comments]])&lt;&gt;0, priority(Main[[#This Row],[Comments]]),"")</f>
        <v/>
      </c>
      <c r="B891" s="90" t="s">
        <v>1725</v>
      </c>
      <c r="C891" s="72" t="s">
        <v>4</v>
      </c>
      <c r="D891" s="73" t="s">
        <v>720</v>
      </c>
      <c r="E891" s="74"/>
      <c r="F891" s="74"/>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4</v>
      </c>
      <c r="J891" s="72" t="s">
        <v>28</v>
      </c>
      <c r="K891" s="72" t="s">
        <v>1941</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40647</v>
      </c>
      <c r="R891" s="74"/>
      <c r="S891" s="72" t="s">
        <v>6</v>
      </c>
      <c r="T891" s="80" t="s">
        <v>4</v>
      </c>
      <c r="U891" s="72" t="s">
        <v>14</v>
      </c>
      <c r="V891" s="72" t="s">
        <v>1932</v>
      </c>
      <c r="W891" s="72" t="s">
        <v>1936</v>
      </c>
      <c r="X891" s="72" t="s">
        <v>2912</v>
      </c>
      <c r="Y891" s="72" t="s">
        <v>3031</v>
      </c>
      <c r="Z891" s="72" t="s">
        <v>129</v>
      </c>
      <c r="AA891" s="147" t="s">
        <v>2912</v>
      </c>
    </row>
    <row r="892" spans="1:27" ht="18.600000000000001" customHeight="1">
      <c r="A892" s="140" t="str">
        <f>IF(priority(Main[[#This Row],[Comments]])&lt;&gt;0, priority(Main[[#This Row],[Comments]]),"")</f>
        <v/>
      </c>
      <c r="B892" s="90" t="s">
        <v>2096</v>
      </c>
      <c r="C892" s="72" t="s">
        <v>4</v>
      </c>
      <c r="D892" s="73" t="s">
        <v>2422</v>
      </c>
      <c r="E892" s="74">
        <v>40760.555381944447</v>
      </c>
      <c r="F892" s="74"/>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4</v>
      </c>
      <c r="J892" s="72" t="s">
        <v>4</v>
      </c>
      <c r="K892" s="81" t="s">
        <v>4</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c r="R892" s="74"/>
      <c r="S892" s="72" t="s">
        <v>6</v>
      </c>
      <c r="T892" s="80" t="s">
        <v>4</v>
      </c>
      <c r="U892" s="72" t="s">
        <v>7</v>
      </c>
      <c r="V892" s="72" t="s">
        <v>1932</v>
      </c>
      <c r="W892" s="72" t="s">
        <v>1936</v>
      </c>
      <c r="X892" s="72" t="s">
        <v>310</v>
      </c>
      <c r="Y892" s="72" t="s">
        <v>4</v>
      </c>
      <c r="Z892" s="72" t="s">
        <v>4</v>
      </c>
      <c r="AA892" s="147" t="s">
        <v>4</v>
      </c>
    </row>
    <row r="893" spans="1:27" ht="18.600000000000001" customHeight="1">
      <c r="A893" s="140" t="str">
        <f>IF(priority(Main[[#This Row],[Comments]])&lt;&gt;0, priority(Main[[#This Row],[Comments]]),"")</f>
        <v/>
      </c>
      <c r="B893" s="90" t="s">
        <v>1650</v>
      </c>
      <c r="C893" s="72" t="s">
        <v>4</v>
      </c>
      <c r="D893" s="73" t="s">
        <v>2423</v>
      </c>
      <c r="E893" s="74">
        <v>40567.655532407407</v>
      </c>
      <c r="F893" s="74">
        <v>40602</v>
      </c>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923</v>
      </c>
      <c r="J893" s="72" t="s">
        <v>52</v>
      </c>
      <c r="K893" s="72" t="s">
        <v>1941</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40602</v>
      </c>
      <c r="R893" s="74"/>
      <c r="S893" s="72" t="s">
        <v>6</v>
      </c>
      <c r="T893" s="80" t="s">
        <v>4</v>
      </c>
      <c r="U893" s="72" t="s">
        <v>29</v>
      </c>
      <c r="V893" s="72" t="s">
        <v>1932</v>
      </c>
      <c r="W893" s="72" t="s">
        <v>1934</v>
      </c>
      <c r="X893" s="72" t="s">
        <v>2909</v>
      </c>
      <c r="Y893" s="72" t="s">
        <v>3024</v>
      </c>
      <c r="Z893" s="72" t="s">
        <v>129</v>
      </c>
      <c r="AA893" s="147" t="s">
        <v>2909</v>
      </c>
    </row>
    <row r="894" spans="1:27" ht="18.600000000000001" customHeight="1">
      <c r="A894" s="140" t="str">
        <f>IF(priority(Main[[#This Row],[Comments]])&lt;&gt;0, priority(Main[[#This Row],[Comments]]),"")</f>
        <v/>
      </c>
      <c r="B894" s="90" t="s">
        <v>1727</v>
      </c>
      <c r="C894" s="72" t="s">
        <v>4</v>
      </c>
      <c r="D894" s="73" t="s">
        <v>779</v>
      </c>
      <c r="E894" s="74"/>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81"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c r="R894" s="74"/>
      <c r="S894" s="72" t="s">
        <v>6</v>
      </c>
      <c r="T894" s="80" t="s">
        <v>4</v>
      </c>
      <c r="U894" s="72" t="s">
        <v>12</v>
      </c>
      <c r="V894" s="72" t="s">
        <v>1932</v>
      </c>
      <c r="W894" s="72" t="s">
        <v>1936</v>
      </c>
      <c r="X894" s="72" t="s">
        <v>933</v>
      </c>
      <c r="Y894" s="72" t="s">
        <v>3077</v>
      </c>
      <c r="Z894" s="72" t="s">
        <v>4</v>
      </c>
      <c r="AA894" s="147" t="s">
        <v>933</v>
      </c>
    </row>
    <row r="895" spans="1:27" ht="18.600000000000001" customHeight="1">
      <c r="A895" s="140" t="str">
        <f>IF(priority(Main[[#This Row],[Comments]])&lt;&gt;0, priority(Main[[#This Row],[Comments]]),"")</f>
        <v/>
      </c>
      <c r="B895" s="90" t="s">
        <v>1669</v>
      </c>
      <c r="C895" s="72" t="s">
        <v>4</v>
      </c>
      <c r="D895" s="73" t="s">
        <v>728</v>
      </c>
      <c r="E895" s="74"/>
      <c r="F895" s="74">
        <v>40598</v>
      </c>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310</v>
      </c>
      <c r="J895" s="72" t="s">
        <v>75</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40598</v>
      </c>
      <c r="R895" s="74"/>
      <c r="S895" s="72" t="s">
        <v>6</v>
      </c>
      <c r="T895" s="80" t="s">
        <v>4</v>
      </c>
      <c r="U895" s="72" t="s">
        <v>14</v>
      </c>
      <c r="V895" s="72" t="s">
        <v>1942</v>
      </c>
      <c r="W895" s="72" t="s">
        <v>1938</v>
      </c>
      <c r="X895" s="72" t="s">
        <v>2939</v>
      </c>
      <c r="Y895" s="72" t="s">
        <v>3074</v>
      </c>
      <c r="Z895" s="72" t="s">
        <v>310</v>
      </c>
      <c r="AA895" s="147" t="s">
        <v>2939</v>
      </c>
    </row>
    <row r="896" spans="1:27" ht="18.600000000000001" customHeight="1">
      <c r="A896" s="140" t="str">
        <f>IF(priority(Main[[#This Row],[Comments]])&lt;&gt;0, priority(Main[[#This Row],[Comments]]),"")</f>
        <v/>
      </c>
      <c r="B896" s="90" t="s">
        <v>1670</v>
      </c>
      <c r="C896" s="72" t="s">
        <v>351</v>
      </c>
      <c r="D896" s="73" t="s">
        <v>729</v>
      </c>
      <c r="E896" s="74"/>
      <c r="F896" s="74"/>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28</v>
      </c>
      <c r="K896" s="72" t="s">
        <v>1944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c r="R896" s="74"/>
      <c r="S896" s="72" t="s">
        <v>17</v>
      </c>
      <c r="T896" s="80" t="s">
        <v>4</v>
      </c>
      <c r="U896" s="72" t="s">
        <v>14</v>
      </c>
      <c r="V896" s="72" t="s">
        <v>1935</v>
      </c>
      <c r="W896" s="72" t="s">
        <v>1937</v>
      </c>
      <c r="X896" s="72" t="s">
        <v>50</v>
      </c>
      <c r="Y896" s="72" t="s">
        <v>3188</v>
      </c>
      <c r="Z896" s="72" t="s">
        <v>420</v>
      </c>
      <c r="AA896" s="147" t="s">
        <v>2963</v>
      </c>
    </row>
    <row r="897" spans="1:27" ht="18.600000000000001" customHeight="1">
      <c r="A897" s="140" t="str">
        <f>IF(priority(Main[[#This Row],[Comments]])&lt;&gt;0, priority(Main[[#This Row],[Comments]]),"")</f>
        <v/>
      </c>
      <c r="B897" s="90" t="s">
        <v>1672</v>
      </c>
      <c r="C897" s="72" t="s">
        <v>31</v>
      </c>
      <c r="D897" s="73" t="s">
        <v>392</v>
      </c>
      <c r="E897" s="74"/>
      <c r="F897" s="74">
        <v>40288</v>
      </c>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4</v>
      </c>
      <c r="K897" s="72"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40106</v>
      </c>
      <c r="R897" s="74"/>
      <c r="S897" s="72" t="s">
        <v>11</v>
      </c>
      <c r="T897" s="80" t="s">
        <v>4</v>
      </c>
      <c r="U897" s="72" t="s">
        <v>14</v>
      </c>
      <c r="V897" s="72" t="s">
        <v>1935</v>
      </c>
      <c r="W897" s="72" t="s">
        <v>1943</v>
      </c>
      <c r="X897" s="72" t="s">
        <v>2921</v>
      </c>
      <c r="Y897" s="72" t="s">
        <v>4</v>
      </c>
      <c r="Z897" s="72" t="s">
        <v>4</v>
      </c>
      <c r="AA897" s="147" t="s">
        <v>2921</v>
      </c>
    </row>
    <row r="898" spans="1:27" ht="18.600000000000001" customHeight="1">
      <c r="A898" s="140" t="str">
        <f>IF(priority(Main[[#This Row],[Comments]])&lt;&gt;0, priority(Main[[#This Row],[Comments]]),"")</f>
        <v/>
      </c>
      <c r="B898" s="90" t="s">
        <v>1673</v>
      </c>
      <c r="C898" s="72" t="s">
        <v>4</v>
      </c>
      <c r="D898" s="73" t="s">
        <v>731</v>
      </c>
      <c r="E898" s="74"/>
      <c r="F898" s="74">
        <v>40640</v>
      </c>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28</v>
      </c>
      <c r="K898" s="81" t="s">
        <v>1945</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40640</v>
      </c>
      <c r="R898" s="74"/>
      <c r="S898" s="72" t="s">
        <v>11</v>
      </c>
      <c r="T898" s="80" t="s">
        <v>4</v>
      </c>
      <c r="U898" s="72" t="s">
        <v>14</v>
      </c>
      <c r="V898" s="72" t="s">
        <v>1932</v>
      </c>
      <c r="W898" s="72" t="s">
        <v>1940</v>
      </c>
      <c r="X898" s="72" t="s">
        <v>2952</v>
      </c>
      <c r="Y898" s="72" t="s">
        <v>3100</v>
      </c>
      <c r="Z898" s="72" t="s">
        <v>129</v>
      </c>
      <c r="AA898" s="147" t="s">
        <v>2952</v>
      </c>
    </row>
    <row r="899" spans="1:27" ht="18.600000000000001" customHeight="1">
      <c r="A899" s="140" t="str">
        <f>IF(priority(Main[[#This Row],[Comments]])&lt;&gt;0, priority(Main[[#This Row],[Comments]]),"")</f>
        <v/>
      </c>
      <c r="B899" s="90" t="s">
        <v>1674</v>
      </c>
      <c r="C899" s="72" t="s">
        <v>4</v>
      </c>
      <c r="D899" s="73" t="s">
        <v>732</v>
      </c>
      <c r="E899" s="74"/>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4</v>
      </c>
      <c r="J899" s="72" t="s">
        <v>4</v>
      </c>
      <c r="K899" s="72" t="s">
        <v>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40385</v>
      </c>
      <c r="R899" s="74"/>
      <c r="S899" s="72" t="s">
        <v>6</v>
      </c>
      <c r="T899" s="80" t="s">
        <v>4</v>
      </c>
      <c r="U899" s="72" t="s">
        <v>14</v>
      </c>
      <c r="V899" s="72" t="s">
        <v>1935</v>
      </c>
      <c r="W899" s="72" t="s">
        <v>1934</v>
      </c>
      <c r="X899" s="72" t="s">
        <v>102</v>
      </c>
      <c r="Y899" s="72" t="s">
        <v>3127</v>
      </c>
      <c r="Z899" s="72" t="s">
        <v>4</v>
      </c>
      <c r="AA899" s="147" t="s">
        <v>3638</v>
      </c>
    </row>
    <row r="900" spans="1:27" ht="18.600000000000001" customHeight="1">
      <c r="A900" s="140" t="str">
        <f>IF(priority(Main[[#This Row],[Comments]])&lt;&gt;0, priority(Main[[#This Row],[Comments]]),"")</f>
        <v/>
      </c>
      <c r="B900" s="90" t="s">
        <v>2131</v>
      </c>
      <c r="C900" s="72" t="s">
        <v>2132</v>
      </c>
      <c r="D900" s="73" t="s">
        <v>2133</v>
      </c>
      <c r="E900" s="74">
        <v>40766.692789351851</v>
      </c>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v>40879</v>
      </c>
      <c r="R900" s="74"/>
      <c r="S900" s="72" t="s">
        <v>17</v>
      </c>
      <c r="T900" s="80" t="s">
        <v>4</v>
      </c>
      <c r="U900" s="72" t="s">
        <v>7</v>
      </c>
      <c r="V900" s="72" t="s">
        <v>1947</v>
      </c>
      <c r="W900" s="72" t="s">
        <v>4</v>
      </c>
      <c r="X900" s="72" t="s">
        <v>968</v>
      </c>
      <c r="Y900" s="72" t="s">
        <v>3189</v>
      </c>
      <c r="Z900" s="72" t="s">
        <v>4</v>
      </c>
      <c r="AA900" s="147" t="s">
        <v>968</v>
      </c>
    </row>
    <row r="901" spans="1:27" ht="18.600000000000001" customHeight="1">
      <c r="A901" s="140" t="str">
        <f>IF(priority(Main[[#This Row],[Comments]])&lt;&gt;0, priority(Main[[#This Row],[Comments]]),"")</f>
        <v/>
      </c>
      <c r="B901" s="90" t="s">
        <v>2032</v>
      </c>
      <c r="C901" s="72" t="s">
        <v>4</v>
      </c>
      <c r="D901" s="73" t="s">
        <v>2113</v>
      </c>
      <c r="E901" s="74">
        <v>40745.696377314816</v>
      </c>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436</v>
      </c>
      <c r="J901" s="72" t="s">
        <v>21</v>
      </c>
      <c r="K901" s="72" t="s">
        <v>1941</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40786</v>
      </c>
      <c r="R901" s="74"/>
      <c r="S901" s="72" t="s">
        <v>6</v>
      </c>
      <c r="T901" s="80" t="s">
        <v>4</v>
      </c>
      <c r="U901" s="72" t="s">
        <v>29</v>
      </c>
      <c r="V901" s="72" t="s">
        <v>1935</v>
      </c>
      <c r="W901" s="72" t="s">
        <v>1936</v>
      </c>
      <c r="X901" s="72" t="s">
        <v>30</v>
      </c>
      <c r="Y901" s="72" t="s">
        <v>3190</v>
      </c>
      <c r="Z901" s="72" t="s">
        <v>44</v>
      </c>
      <c r="AA901" s="147" t="s">
        <v>3680</v>
      </c>
    </row>
    <row r="902" spans="1:27" ht="18.600000000000001" customHeight="1">
      <c r="A902" s="140" t="str">
        <f>IF(priority(Main[[#This Row],[Comments]])&lt;&gt;0, priority(Main[[#This Row],[Comments]]),"")</f>
        <v/>
      </c>
      <c r="B902" s="90" t="s">
        <v>2214</v>
      </c>
      <c r="C902" s="72" t="s">
        <v>4</v>
      </c>
      <c r="D902" s="73" t="s">
        <v>2215</v>
      </c>
      <c r="E902" s="74"/>
      <c r="F902" s="74"/>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81"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v>40798</v>
      </c>
      <c r="R902" s="74"/>
      <c r="S902" s="72" t="s">
        <v>49</v>
      </c>
      <c r="T902" s="80" t="s">
        <v>4</v>
      </c>
      <c r="U902" s="72" t="s">
        <v>14</v>
      </c>
      <c r="V902" s="72" t="s">
        <v>1942</v>
      </c>
      <c r="W902" s="72" t="s">
        <v>1940</v>
      </c>
      <c r="X902" s="72" t="s">
        <v>2997</v>
      </c>
      <c r="Y902" s="72" t="s">
        <v>3191</v>
      </c>
      <c r="Z902" s="72" t="s">
        <v>4</v>
      </c>
      <c r="AA902" s="147" t="s">
        <v>2997</v>
      </c>
    </row>
    <row r="903" spans="1:27" ht="18.600000000000001" customHeight="1">
      <c r="A903" s="140" t="str">
        <f>IF(priority(Main[[#This Row],[Comments]])&lt;&gt;0, priority(Main[[#This Row],[Comments]]),"")</f>
        <v/>
      </c>
      <c r="B903" s="90" t="s">
        <v>1694</v>
      </c>
      <c r="C903" s="72" t="s">
        <v>72</v>
      </c>
      <c r="D903" s="73" t="s">
        <v>745</v>
      </c>
      <c r="E903" s="74"/>
      <c r="F903" s="74"/>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28</v>
      </c>
      <c r="K903" s="72" t="s">
        <v>1941</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c r="S903" s="72" t="s">
        <v>6</v>
      </c>
      <c r="T903" s="80" t="s">
        <v>4</v>
      </c>
      <c r="U903" s="72" t="s">
        <v>14</v>
      </c>
      <c r="V903" s="72" t="s">
        <v>1935</v>
      </c>
      <c r="W903" s="72" t="s">
        <v>1934</v>
      </c>
      <c r="X903" s="72" t="s">
        <v>2938</v>
      </c>
      <c r="Y903" s="72" t="s">
        <v>3073</v>
      </c>
      <c r="Z903" s="72" t="s">
        <v>535</v>
      </c>
      <c r="AA903" s="147" t="s">
        <v>2938</v>
      </c>
    </row>
    <row r="904" spans="1:27" ht="18.600000000000001" customHeight="1">
      <c r="A904" s="140" t="str">
        <f>IF(priority(Main[[#This Row],[Comments]])&lt;&gt;0, priority(Main[[#This Row],[Comments]]),"")</f>
        <v/>
      </c>
      <c r="B904" s="90" t="s">
        <v>1730</v>
      </c>
      <c r="C904" s="72" t="s">
        <v>4</v>
      </c>
      <c r="D904" s="73" t="s">
        <v>774</v>
      </c>
      <c r="E904" s="74"/>
      <c r="F904" s="74"/>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403</v>
      </c>
      <c r="J904" s="72" t="s">
        <v>75</v>
      </c>
      <c r="K904" s="81" t="s">
        <v>4</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40401</v>
      </c>
      <c r="R904" s="74"/>
      <c r="S904" s="72" t="s">
        <v>6</v>
      </c>
      <c r="T904" s="80" t="s">
        <v>4</v>
      </c>
      <c r="U904" s="72" t="s">
        <v>14</v>
      </c>
      <c r="V904" s="72" t="s">
        <v>1935</v>
      </c>
      <c r="W904" s="72" t="s">
        <v>1936</v>
      </c>
      <c r="X904" s="72" t="s">
        <v>403</v>
      </c>
      <c r="Y904" s="72" t="s">
        <v>4</v>
      </c>
      <c r="Z904" s="72" t="s">
        <v>310</v>
      </c>
      <c r="AA904" s="147" t="s">
        <v>4</v>
      </c>
    </row>
    <row r="905" spans="1:27" ht="18.600000000000001" customHeight="1">
      <c r="A905" s="140" t="str">
        <f>IF(priority(Main[[#This Row],[Comments]])&lt;&gt;0, priority(Main[[#This Row],[Comments]]),"")</f>
        <v/>
      </c>
      <c r="B905" s="90" t="s">
        <v>1731</v>
      </c>
      <c r="C905" s="72" t="s">
        <v>4</v>
      </c>
      <c r="D905" s="73" t="s">
        <v>776</v>
      </c>
      <c r="E905" s="74">
        <v>40647.40420138889</v>
      </c>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4</v>
      </c>
      <c r="K905" s="72" t="s">
        <v>4</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40676</v>
      </c>
      <c r="R905" s="74"/>
      <c r="S905" s="72" t="s">
        <v>6</v>
      </c>
      <c r="T905" s="80" t="s">
        <v>4</v>
      </c>
      <c r="U905" s="72" t="s">
        <v>7</v>
      </c>
      <c r="V905" s="72" t="s">
        <v>1932</v>
      </c>
      <c r="W905" s="72" t="s">
        <v>4</v>
      </c>
      <c r="X905" s="72" t="s">
        <v>2913</v>
      </c>
      <c r="Y905" s="72" t="s">
        <v>3033</v>
      </c>
      <c r="Z905" s="72" t="s">
        <v>4</v>
      </c>
      <c r="AA905" s="147" t="s">
        <v>2913</v>
      </c>
    </row>
    <row r="906" spans="1:27" ht="18.600000000000001" customHeight="1">
      <c r="A906" s="140" t="str">
        <f>IF(priority(Main[[#This Row],[Comments]])&lt;&gt;0, priority(Main[[#This Row],[Comments]]),"")</f>
        <v/>
      </c>
      <c r="B906" s="90" t="s">
        <v>1843</v>
      </c>
      <c r="C906" s="72" t="s">
        <v>47</v>
      </c>
      <c r="D906" s="73" t="s">
        <v>887</v>
      </c>
      <c r="E906" s="74">
        <v>39937.613564814812</v>
      </c>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888</v>
      </c>
      <c r="J906" s="72" t="s">
        <v>4</v>
      </c>
      <c r="K906" s="81" t="s">
        <v>1944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40267</v>
      </c>
      <c r="R906" s="74">
        <v>40359</v>
      </c>
      <c r="S906" s="72" t="s">
        <v>17</v>
      </c>
      <c r="T906" s="80" t="s">
        <v>4</v>
      </c>
      <c r="U906" s="72" t="s">
        <v>29</v>
      </c>
      <c r="V906" s="72" t="s">
        <v>1932</v>
      </c>
      <c r="W906" s="72" t="s">
        <v>1936</v>
      </c>
      <c r="X906" s="72" t="s">
        <v>310</v>
      </c>
      <c r="Y906" s="72" t="s">
        <v>3036</v>
      </c>
      <c r="Z906" s="72" t="s">
        <v>4</v>
      </c>
      <c r="AA906" s="147" t="s">
        <v>3618</v>
      </c>
    </row>
    <row r="907" spans="1:27" ht="18.600000000000001" customHeight="1">
      <c r="A907" s="140" t="str">
        <f>IF(priority(Main[[#This Row],[Comments]])&lt;&gt;0, priority(Main[[#This Row],[Comments]]),"")</f>
        <v/>
      </c>
      <c r="B907" s="90" t="s">
        <v>1732</v>
      </c>
      <c r="C907" s="72" t="s">
        <v>4</v>
      </c>
      <c r="D907" s="73" t="s">
        <v>514</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4</v>
      </c>
      <c r="K907" s="81"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c r="R907" s="74"/>
      <c r="S907" s="72" t="s">
        <v>4</v>
      </c>
      <c r="T907" s="80" t="s">
        <v>4</v>
      </c>
      <c r="U907" s="72" t="s">
        <v>14</v>
      </c>
      <c r="V907" s="72" t="s">
        <v>1935</v>
      </c>
      <c r="W907" s="72" t="s">
        <v>4</v>
      </c>
      <c r="X907" s="72" t="s">
        <v>2969</v>
      </c>
      <c r="Y907" s="72" t="s">
        <v>3121</v>
      </c>
      <c r="Z907" s="72" t="s">
        <v>4</v>
      </c>
      <c r="AA907" s="147" t="s">
        <v>2969</v>
      </c>
    </row>
    <row r="908" spans="1:27" ht="18.600000000000001" customHeight="1">
      <c r="A908" s="140" t="str">
        <f>IF(priority(Main[[#This Row],[Comments]])&lt;&gt;0, priority(Main[[#This Row],[Comments]]),"")</f>
        <v/>
      </c>
      <c r="B908" s="90" t="s">
        <v>1733</v>
      </c>
      <c r="C908" s="72" t="s">
        <v>281</v>
      </c>
      <c r="D908" s="73" t="s">
        <v>780</v>
      </c>
      <c r="E908" s="74"/>
      <c r="F908" s="74">
        <v>40602</v>
      </c>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v>40602</v>
      </c>
      <c r="R908" s="74"/>
      <c r="S908" s="72" t="s">
        <v>11</v>
      </c>
      <c r="T908" s="80" t="s">
        <v>4</v>
      </c>
      <c r="U908" s="72" t="s">
        <v>12</v>
      </c>
      <c r="V908" s="72" t="s">
        <v>1933</v>
      </c>
      <c r="W908" s="72" t="s">
        <v>1937</v>
      </c>
      <c r="X908" s="72" t="s">
        <v>2951</v>
      </c>
      <c r="Y908" s="72" t="s">
        <v>4</v>
      </c>
      <c r="Z908" s="72" t="s">
        <v>4</v>
      </c>
      <c r="AA908" s="147" t="s">
        <v>2951</v>
      </c>
    </row>
    <row r="909" spans="1:27" ht="18.600000000000001" customHeight="1">
      <c r="A909" s="140" t="str">
        <f>IF(priority(Main[[#This Row],[Comments]])&lt;&gt;0, priority(Main[[#This Row],[Comments]]),"")</f>
        <v/>
      </c>
      <c r="B909" s="90" t="s">
        <v>1734</v>
      </c>
      <c r="C909" s="72" t="s">
        <v>281</v>
      </c>
      <c r="D909" s="73" t="s">
        <v>781</v>
      </c>
      <c r="E909" s="74"/>
      <c r="F909" s="74">
        <v>40602</v>
      </c>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4</v>
      </c>
      <c r="K909" s="81"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v>40602</v>
      </c>
      <c r="R909" s="74"/>
      <c r="S909" s="72" t="s">
        <v>11</v>
      </c>
      <c r="T909" s="80" t="s">
        <v>4</v>
      </c>
      <c r="U909" s="72" t="s">
        <v>12</v>
      </c>
      <c r="V909" s="72" t="s">
        <v>1935</v>
      </c>
      <c r="W909" s="72" t="s">
        <v>1937</v>
      </c>
      <c r="X909" s="72" t="s">
        <v>2951</v>
      </c>
      <c r="Y909" s="72" t="s">
        <v>4</v>
      </c>
      <c r="Z909" s="72" t="s">
        <v>4</v>
      </c>
      <c r="AA909" s="147" t="s">
        <v>2951</v>
      </c>
    </row>
    <row r="910" spans="1:27" ht="18.600000000000001" customHeight="1">
      <c r="A910" s="140" t="str">
        <f>IF(priority(Main[[#This Row],[Comments]])&lt;&gt;0, priority(Main[[#This Row],[Comments]]),"")</f>
        <v/>
      </c>
      <c r="B910" s="90" t="s">
        <v>1879</v>
      </c>
      <c r="C910" s="72" t="s">
        <v>31</v>
      </c>
      <c r="D910" s="73" t="s">
        <v>930</v>
      </c>
      <c r="E910" s="74"/>
      <c r="F910" s="74">
        <v>40664</v>
      </c>
      <c r="G910" s="75" t="str">
        <f>IF(stdProdLT(Main[[#This Row],[Comments]])=0.1,"N/A",IF(stdProdLT(Main[[#This Row],[Comments]])=0,"",stdProdLT(Main[[#This Row],[Comments]])))</f>
        <v/>
      </c>
      <c r="H910" s="76">
        <f>IF(AND(Main[[#This Row],[In Stock Date]]&lt;&gt;"",Main[[#This Row],[Revised Due Date]]&lt;&gt;""),Main[[#This Row],[In Stock Date]]-Main[[#This Row],[Revised Due Date]],"")</f>
        <v>87</v>
      </c>
      <c r="I910" s="72" t="s">
        <v>102</v>
      </c>
      <c r="J910" s="72" t="s">
        <v>75</v>
      </c>
      <c r="K910" s="72" t="s">
        <v>1941</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v>40589</v>
      </c>
      <c r="R910" s="74">
        <v>40577</v>
      </c>
      <c r="S910" s="72" t="s">
        <v>11</v>
      </c>
      <c r="T910" s="80" t="s">
        <v>4</v>
      </c>
      <c r="U910" s="72" t="s">
        <v>14</v>
      </c>
      <c r="V910" s="72" t="s">
        <v>1935</v>
      </c>
      <c r="W910" s="72" t="s">
        <v>1938</v>
      </c>
      <c r="X910" s="72" t="s">
        <v>2916</v>
      </c>
      <c r="Y910" s="72" t="s">
        <v>3062</v>
      </c>
      <c r="Z910" s="72" t="s">
        <v>535</v>
      </c>
      <c r="AA910" s="147" t="s">
        <v>2916</v>
      </c>
    </row>
    <row r="911" spans="1:27" ht="18.600000000000001" customHeight="1">
      <c r="A911" s="140" t="str">
        <f>IF(priority(Main[[#This Row],[Comments]])&lt;&gt;0, priority(Main[[#This Row],[Comments]]),"")</f>
        <v/>
      </c>
      <c r="B911" s="90" t="s">
        <v>1738</v>
      </c>
      <c r="C911" s="72" t="s">
        <v>4</v>
      </c>
      <c r="D911" s="73" t="s">
        <v>786</v>
      </c>
      <c r="E911" s="74"/>
      <c r="F911" s="74">
        <v>40025</v>
      </c>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4</v>
      </c>
      <c r="J911" s="72" t="s">
        <v>4</v>
      </c>
      <c r="K911" s="72" t="s">
        <v>4</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39963</v>
      </c>
      <c r="R911" s="74"/>
      <c r="S911" s="72" t="s">
        <v>11</v>
      </c>
      <c r="T911" s="80" t="s">
        <v>4</v>
      </c>
      <c r="U911" s="72" t="s">
        <v>14</v>
      </c>
      <c r="V911" s="72" t="s">
        <v>1942</v>
      </c>
      <c r="W911" s="72" t="s">
        <v>1940</v>
      </c>
      <c r="X911" s="72" t="s">
        <v>2954</v>
      </c>
      <c r="Y911" s="72" t="s">
        <v>3164</v>
      </c>
      <c r="Z911" s="72" t="s">
        <v>4</v>
      </c>
      <c r="AA911" s="147" t="s">
        <v>2954</v>
      </c>
    </row>
    <row r="912" spans="1:27" ht="18.600000000000001" customHeight="1">
      <c r="A912" s="140" t="str">
        <f>IF(priority(Main[[#This Row],[Comments]])&lt;&gt;0, priority(Main[[#This Row],[Comments]]),"")</f>
        <v/>
      </c>
      <c r="B912" s="90" t="s">
        <v>1739</v>
      </c>
      <c r="C912" s="72" t="s">
        <v>4</v>
      </c>
      <c r="D912" s="73" t="s">
        <v>787</v>
      </c>
      <c r="E912" s="74">
        <v>40506.439513888887</v>
      </c>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4</v>
      </c>
      <c r="J912" s="72" t="s">
        <v>28</v>
      </c>
      <c r="K912" s="81" t="s">
        <v>1939</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v>40555</v>
      </c>
      <c r="R912" s="74"/>
      <c r="S912" s="72" t="s">
        <v>6</v>
      </c>
      <c r="T912" s="80" t="s">
        <v>4</v>
      </c>
      <c r="U912" s="72" t="s">
        <v>7</v>
      </c>
      <c r="V912" s="72" t="s">
        <v>1932</v>
      </c>
      <c r="W912" s="72" t="s">
        <v>1936</v>
      </c>
      <c r="X912" s="72" t="s">
        <v>2912</v>
      </c>
      <c r="Y912" s="72" t="s">
        <v>3031</v>
      </c>
      <c r="Z912" s="72" t="s">
        <v>129</v>
      </c>
      <c r="AA912" s="147" t="s">
        <v>2912</v>
      </c>
    </row>
    <row r="913" spans="1:27" ht="18.600000000000001" customHeight="1">
      <c r="A913" s="140" t="str">
        <f>IF(priority(Main[[#This Row],[Comments]])&lt;&gt;0, priority(Main[[#This Row],[Comments]]),"")</f>
        <v/>
      </c>
      <c r="B913" s="90" t="s">
        <v>1741</v>
      </c>
      <c r="C913" s="72" t="s">
        <v>789</v>
      </c>
      <c r="D913" s="73" t="s">
        <v>790</v>
      </c>
      <c r="E913" s="74"/>
      <c r="F913" s="74">
        <v>40591</v>
      </c>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1944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40514</v>
      </c>
      <c r="R913" s="74"/>
      <c r="S913" s="72" t="s">
        <v>11</v>
      </c>
      <c r="T913" s="80" t="s">
        <v>791</v>
      </c>
      <c r="U913" s="72" t="s">
        <v>14</v>
      </c>
      <c r="V913" s="72" t="s">
        <v>1932</v>
      </c>
      <c r="W913" s="72" t="s">
        <v>1937</v>
      </c>
      <c r="X913" s="72" t="s">
        <v>2995</v>
      </c>
      <c r="Y913" s="72" t="s">
        <v>4</v>
      </c>
      <c r="Z913" s="72" t="s">
        <v>4</v>
      </c>
      <c r="AA913" s="147" t="s">
        <v>2995</v>
      </c>
    </row>
    <row r="914" spans="1:27" ht="18.600000000000001" customHeight="1">
      <c r="A914" s="140" t="str">
        <f>IF(priority(Main[[#This Row],[Comments]])&lt;&gt;0, priority(Main[[#This Row],[Comments]]),"")</f>
        <v/>
      </c>
      <c r="B914" s="90" t="s">
        <v>3298</v>
      </c>
      <c r="C914" s="72" t="s">
        <v>4</v>
      </c>
      <c r="D914" s="73" t="s">
        <v>3299</v>
      </c>
      <c r="E914" s="74">
        <v>40921.403067129628</v>
      </c>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72"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c r="R914" s="74"/>
      <c r="S914" s="72" t="s">
        <v>6</v>
      </c>
      <c r="T914" s="80" t="s">
        <v>4</v>
      </c>
      <c r="U914" s="72" t="s">
        <v>29</v>
      </c>
      <c r="V914" s="72" t="s">
        <v>1935</v>
      </c>
      <c r="W914" s="72" t="s">
        <v>1940</v>
      </c>
      <c r="X914" s="72" t="s">
        <v>310</v>
      </c>
      <c r="Y914" s="72" t="s">
        <v>4</v>
      </c>
      <c r="Z914" s="72" t="s">
        <v>4</v>
      </c>
      <c r="AA914" s="147" t="s">
        <v>4</v>
      </c>
    </row>
    <row r="915" spans="1:27" ht="18.600000000000001" customHeight="1">
      <c r="A915" s="140" t="str">
        <f>IF(priority(Main[[#This Row],[Comments]])&lt;&gt;0, priority(Main[[#This Row],[Comments]]),"")</f>
        <v/>
      </c>
      <c r="B915" s="90" t="s">
        <v>1745</v>
      </c>
      <c r="C915" s="72" t="s">
        <v>4</v>
      </c>
      <c r="D915" s="73" t="s">
        <v>794</v>
      </c>
      <c r="E915" s="74">
        <v>40646.604930555557</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72"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40683</v>
      </c>
      <c r="R915" s="74"/>
      <c r="S915" s="72" t="s">
        <v>6</v>
      </c>
      <c r="T915" s="80" t="s">
        <v>4</v>
      </c>
      <c r="U915" s="72" t="s">
        <v>7</v>
      </c>
      <c r="V915" s="72" t="s">
        <v>1932</v>
      </c>
      <c r="W915" s="72" t="s">
        <v>4</v>
      </c>
      <c r="X915" s="72" t="s">
        <v>2909</v>
      </c>
      <c r="Y915" s="72" t="s">
        <v>3024</v>
      </c>
      <c r="Z915" s="72" t="s">
        <v>4</v>
      </c>
      <c r="AA915" s="147" t="s">
        <v>2909</v>
      </c>
    </row>
    <row r="916" spans="1:27" ht="18.600000000000001" customHeight="1">
      <c r="A916" s="140" t="str">
        <f>IF(priority(Main[[#This Row],[Comments]])&lt;&gt;0, priority(Main[[#This Row],[Comments]]),"")</f>
        <v/>
      </c>
      <c r="B916" s="90" t="s">
        <v>1747</v>
      </c>
      <c r="C916" s="72" t="s">
        <v>4</v>
      </c>
      <c r="D916" s="73" t="s">
        <v>795</v>
      </c>
      <c r="E916" s="74">
        <v>40584.401712962965</v>
      </c>
      <c r="F916" s="74">
        <v>40602</v>
      </c>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28</v>
      </c>
      <c r="K916" s="72" t="s">
        <v>1944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v>40602</v>
      </c>
      <c r="R916" s="74"/>
      <c r="S916" s="72" t="s">
        <v>17</v>
      </c>
      <c r="T916" s="80" t="s">
        <v>4</v>
      </c>
      <c r="U916" s="72" t="s">
        <v>7</v>
      </c>
      <c r="V916" s="72" t="s">
        <v>1932</v>
      </c>
      <c r="W916" s="72" t="s">
        <v>1940</v>
      </c>
      <c r="X916" s="72" t="s">
        <v>2919</v>
      </c>
      <c r="Y916" s="72" t="s">
        <v>3045</v>
      </c>
      <c r="Z916" s="72" t="s">
        <v>129</v>
      </c>
      <c r="AA916" s="147" t="s">
        <v>2919</v>
      </c>
    </row>
    <row r="917" spans="1:27" ht="18.600000000000001" customHeight="1">
      <c r="A917" s="140" t="str">
        <f>IF(priority(Main[[#This Row],[Comments]])&lt;&gt;0, priority(Main[[#This Row],[Comments]]),"")</f>
        <v/>
      </c>
      <c r="B917" s="90" t="s">
        <v>2108</v>
      </c>
      <c r="C917" s="72" t="s">
        <v>4</v>
      </c>
      <c r="D917" s="73" t="s">
        <v>2430</v>
      </c>
      <c r="E917" s="74">
        <v>40764.689201388886</v>
      </c>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72"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c r="R917" s="74"/>
      <c r="S917" s="72" t="s">
        <v>6</v>
      </c>
      <c r="T917" s="80" t="s">
        <v>4</v>
      </c>
      <c r="U917" s="72" t="s">
        <v>7</v>
      </c>
      <c r="V917" s="72" t="s">
        <v>1933</v>
      </c>
      <c r="W917" s="72" t="s">
        <v>1934</v>
      </c>
      <c r="X917" s="72" t="s">
        <v>310</v>
      </c>
      <c r="Y917" s="72" t="s">
        <v>4</v>
      </c>
      <c r="Z917" s="72" t="s">
        <v>4</v>
      </c>
      <c r="AA917" s="147" t="s">
        <v>4</v>
      </c>
    </row>
    <row r="918" spans="1:27" ht="18.600000000000001" customHeight="1">
      <c r="A918" s="140" t="str">
        <f>IF(priority(Main[[#This Row],[Comments]])&lt;&gt;0, priority(Main[[#This Row],[Comments]]),"")</f>
        <v/>
      </c>
      <c r="B918" s="90" t="s">
        <v>1748</v>
      </c>
      <c r="C918" s="72" t="s">
        <v>4</v>
      </c>
      <c r="D918" s="73" t="s">
        <v>796</v>
      </c>
      <c r="E918" s="74">
        <v>40371.351643518516</v>
      </c>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72"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v>40385</v>
      </c>
      <c r="R918" s="74"/>
      <c r="S918" s="72" t="s">
        <v>6</v>
      </c>
      <c r="T918" s="80" t="s">
        <v>4</v>
      </c>
      <c r="U918" s="72" t="s">
        <v>7</v>
      </c>
      <c r="V918" s="72" t="s">
        <v>1932</v>
      </c>
      <c r="W918" s="72" t="s">
        <v>1934</v>
      </c>
      <c r="X918" s="72" t="s">
        <v>102</v>
      </c>
      <c r="Y918" s="72" t="s">
        <v>3127</v>
      </c>
      <c r="Z918" s="72" t="s">
        <v>4</v>
      </c>
      <c r="AA918" s="147" t="s">
        <v>3638</v>
      </c>
    </row>
    <row r="919" spans="1:27" ht="18.600000000000001" customHeight="1">
      <c r="A919" s="140" t="str">
        <f>IF(priority(Main[[#This Row],[Comments]])&lt;&gt;0, priority(Main[[#This Row],[Comments]]),"")</f>
        <v/>
      </c>
      <c r="B919" s="90" t="s">
        <v>1773</v>
      </c>
      <c r="C919" s="72" t="s">
        <v>4</v>
      </c>
      <c r="D919" s="73" t="s">
        <v>804</v>
      </c>
      <c r="E919" s="74"/>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4</v>
      </c>
      <c r="J919" s="72" t="s">
        <v>4</v>
      </c>
      <c r="K919" s="72" t="s">
        <v>4</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c r="R919" s="74"/>
      <c r="S919" s="72" t="s">
        <v>23</v>
      </c>
      <c r="T919" s="80" t="s">
        <v>4</v>
      </c>
      <c r="U919" s="72" t="s">
        <v>14</v>
      </c>
      <c r="V919" s="72" t="s">
        <v>1935</v>
      </c>
      <c r="W919" s="72" t="s">
        <v>1936</v>
      </c>
      <c r="X919" s="72" t="s">
        <v>310</v>
      </c>
      <c r="Y919" s="72" t="s">
        <v>4</v>
      </c>
      <c r="Z919" s="72" t="s">
        <v>4</v>
      </c>
      <c r="AA919" s="147" t="s">
        <v>4</v>
      </c>
    </row>
    <row r="920" spans="1:27" ht="18.600000000000001" customHeight="1">
      <c r="A920" s="140" t="str">
        <f>IF(priority(Main[[#This Row],[Comments]])&lt;&gt;0, priority(Main[[#This Row],[Comments]]),"")</f>
        <v/>
      </c>
      <c r="B920" s="90" t="s">
        <v>1774</v>
      </c>
      <c r="C920" s="72" t="s">
        <v>122</v>
      </c>
      <c r="D920" s="73" t="s">
        <v>805</v>
      </c>
      <c r="E920" s="74"/>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72"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v>40245</v>
      </c>
      <c r="R920" s="74"/>
      <c r="S920" s="72" t="s">
        <v>11</v>
      </c>
      <c r="T920" s="80" t="s">
        <v>4</v>
      </c>
      <c r="U920" s="72" t="s">
        <v>14</v>
      </c>
      <c r="V920" s="72" t="s">
        <v>1935</v>
      </c>
      <c r="W920" s="72" t="s">
        <v>1934</v>
      </c>
      <c r="X920" s="72" t="s">
        <v>2963</v>
      </c>
      <c r="Y920" s="72" t="s">
        <v>4</v>
      </c>
      <c r="Z920" s="72" t="s">
        <v>4</v>
      </c>
      <c r="AA920" s="147" t="s">
        <v>2963</v>
      </c>
    </row>
    <row r="921" spans="1:27" ht="18.600000000000001" customHeight="1">
      <c r="A921" s="140" t="str">
        <f>IF(priority(Main[[#This Row],[Comments]])&lt;&gt;0, priority(Main[[#This Row],[Comments]]),"")</f>
        <v/>
      </c>
      <c r="B921" s="90" t="s">
        <v>1750</v>
      </c>
      <c r="C921" s="72" t="s">
        <v>4</v>
      </c>
      <c r="D921" s="73" t="s">
        <v>797</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28</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v>40466</v>
      </c>
      <c r="R921" s="74"/>
      <c r="S921" s="72" t="s">
        <v>6</v>
      </c>
      <c r="T921" s="80" t="s">
        <v>4</v>
      </c>
      <c r="U921" s="72" t="s">
        <v>14</v>
      </c>
      <c r="V921" s="72" t="s">
        <v>1932</v>
      </c>
      <c r="W921" s="72" t="s">
        <v>1936</v>
      </c>
      <c r="X921" s="72" t="s">
        <v>918</v>
      </c>
      <c r="Y921" s="72" t="s">
        <v>3112</v>
      </c>
      <c r="Z921" s="72" t="s">
        <v>129</v>
      </c>
      <c r="AA921" s="147" t="s">
        <v>918</v>
      </c>
    </row>
    <row r="922" spans="1:27" ht="18.600000000000001" customHeight="1">
      <c r="A922" s="140" t="str">
        <f>IF(priority(Main[[#This Row],[Comments]])&lt;&gt;0, priority(Main[[#This Row],[Comments]]),"")</f>
        <v/>
      </c>
      <c r="B922" s="90" t="s">
        <v>1753</v>
      </c>
      <c r="C922" s="72" t="s">
        <v>4</v>
      </c>
      <c r="D922" s="73" t="s">
        <v>435</v>
      </c>
      <c r="E922" s="74"/>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c r="R922" s="74"/>
      <c r="S922" s="72" t="s">
        <v>6</v>
      </c>
      <c r="T922" s="80" t="s">
        <v>4</v>
      </c>
      <c r="U922" s="72" t="s">
        <v>14</v>
      </c>
      <c r="V922" s="72" t="s">
        <v>1935</v>
      </c>
      <c r="W922" s="72" t="s">
        <v>1936</v>
      </c>
      <c r="X922" s="72" t="s">
        <v>30</v>
      </c>
      <c r="Y922" s="72" t="s">
        <v>3052</v>
      </c>
      <c r="Z922" s="72" t="s">
        <v>4</v>
      </c>
      <c r="AA922" s="147" t="s">
        <v>30</v>
      </c>
    </row>
    <row r="923" spans="1:27" ht="18.600000000000001" customHeight="1">
      <c r="A923" s="140" t="str">
        <f>IF(priority(Main[[#This Row],[Comments]])&lt;&gt;0, priority(Main[[#This Row],[Comments]]),"")</f>
        <v/>
      </c>
      <c r="B923" s="90" t="s">
        <v>1754</v>
      </c>
      <c r="C923" s="72" t="s">
        <v>441</v>
      </c>
      <c r="D923" s="73" t="s">
        <v>799</v>
      </c>
      <c r="E923" s="74"/>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4</v>
      </c>
      <c r="K923" s="72" t="s">
        <v>4</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c r="R923" s="74"/>
      <c r="S923" s="72" t="s">
        <v>11</v>
      </c>
      <c r="T923" s="80" t="s">
        <v>4</v>
      </c>
      <c r="U923" s="72" t="s">
        <v>14</v>
      </c>
      <c r="V923" s="72" t="s">
        <v>1932</v>
      </c>
      <c r="W923" s="72" t="s">
        <v>1940</v>
      </c>
      <c r="X923" s="72" t="s">
        <v>2944</v>
      </c>
      <c r="Y923" s="72" t="s">
        <v>3086</v>
      </c>
      <c r="Z923" s="72" t="s">
        <v>4</v>
      </c>
      <c r="AA923" s="147" t="s">
        <v>2944</v>
      </c>
    </row>
    <row r="924" spans="1:27" ht="18.600000000000001" customHeight="1">
      <c r="A924" s="140" t="str">
        <f>IF(priority(Main[[#This Row],[Comments]])&lt;&gt;0, priority(Main[[#This Row],[Comments]]),"")</f>
        <v/>
      </c>
      <c r="B924" s="90" t="s">
        <v>1755</v>
      </c>
      <c r="C924" s="72" t="s">
        <v>4</v>
      </c>
      <c r="D924" s="73" t="s">
        <v>800</v>
      </c>
      <c r="E924" s="74">
        <v>40479.428263888891</v>
      </c>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30</v>
      </c>
      <c r="J924" s="72" t="s">
        <v>28</v>
      </c>
      <c r="K924" s="72" t="s">
        <v>1941</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40512</v>
      </c>
      <c r="R924" s="74"/>
      <c r="S924" s="72" t="s">
        <v>6</v>
      </c>
      <c r="T924" s="80" t="s">
        <v>4</v>
      </c>
      <c r="U924" s="72" t="s">
        <v>539</v>
      </c>
      <c r="V924" s="72" t="s">
        <v>1935</v>
      </c>
      <c r="W924" s="72" t="s">
        <v>1936</v>
      </c>
      <c r="X924" s="72" t="s">
        <v>2982</v>
      </c>
      <c r="Y924" s="72" t="s">
        <v>3198</v>
      </c>
      <c r="Z924" s="72" t="s">
        <v>30</v>
      </c>
      <c r="AA924" s="147" t="s">
        <v>2982</v>
      </c>
    </row>
    <row r="925" spans="1:27" ht="18.600000000000001" customHeight="1">
      <c r="A925" s="140" t="str">
        <f>IF(priority(Main[[#This Row],[Comments]])&lt;&gt;0, priority(Main[[#This Row],[Comments]]),"")</f>
        <v/>
      </c>
      <c r="B925" s="90" t="s">
        <v>2804</v>
      </c>
      <c r="C925" s="72" t="s">
        <v>4</v>
      </c>
      <c r="D925" s="73" t="s">
        <v>2805</v>
      </c>
      <c r="E925" s="74">
        <v>40897.524594907409</v>
      </c>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69</v>
      </c>
      <c r="J925" s="72" t="s">
        <v>28</v>
      </c>
      <c r="K925" s="81" t="s">
        <v>1941</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v>40966</v>
      </c>
      <c r="R925" s="74"/>
      <c r="S925" s="72" t="s">
        <v>6</v>
      </c>
      <c r="T925" s="80" t="s">
        <v>4</v>
      </c>
      <c r="U925" s="72" t="s">
        <v>29</v>
      </c>
      <c r="V925" s="72" t="s">
        <v>1942</v>
      </c>
      <c r="W925" s="72" t="s">
        <v>1936</v>
      </c>
      <c r="X925" s="72" t="s">
        <v>2957</v>
      </c>
      <c r="Y925" s="72" t="s">
        <v>3095</v>
      </c>
      <c r="Z925" s="72" t="s">
        <v>30</v>
      </c>
      <c r="AA925" s="147" t="s">
        <v>2957</v>
      </c>
    </row>
    <row r="926" spans="1:27" ht="18.600000000000001" customHeight="1">
      <c r="A926" s="140" t="str">
        <f>IF(priority(Main[[#This Row],[Comments]])&lt;&gt;0, priority(Main[[#This Row],[Comments]]),"")</f>
        <v/>
      </c>
      <c r="B926" s="90" t="s">
        <v>1756</v>
      </c>
      <c r="C926" s="72" t="s">
        <v>4</v>
      </c>
      <c r="D926" s="73" t="s">
        <v>39</v>
      </c>
      <c r="E926" s="74"/>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4</v>
      </c>
      <c r="K926" s="72"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40669</v>
      </c>
      <c r="R926" s="74"/>
      <c r="S926" s="72" t="s">
        <v>6</v>
      </c>
      <c r="T926" s="80" t="s">
        <v>4</v>
      </c>
      <c r="U926" s="72" t="s">
        <v>14</v>
      </c>
      <c r="V926" s="72" t="s">
        <v>1935</v>
      </c>
      <c r="W926" s="72" t="s">
        <v>4</v>
      </c>
      <c r="X926" s="72" t="s">
        <v>2909</v>
      </c>
      <c r="Y926" s="72" t="s">
        <v>3024</v>
      </c>
      <c r="Z926" s="72" t="s">
        <v>4</v>
      </c>
      <c r="AA926" s="147" t="s">
        <v>2909</v>
      </c>
    </row>
    <row r="927" spans="1:27" ht="18.600000000000001" customHeight="1">
      <c r="A927" s="140" t="str">
        <f>IF(priority(Main[[#This Row],[Comments]])&lt;&gt;0, priority(Main[[#This Row],[Comments]]),"")</f>
        <v/>
      </c>
      <c r="B927" s="90" t="s">
        <v>1757</v>
      </c>
      <c r="C927" s="72" t="s">
        <v>4</v>
      </c>
      <c r="D927" s="73" t="s">
        <v>801</v>
      </c>
      <c r="E927" s="74"/>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c r="R927" s="74"/>
      <c r="S927" s="72" t="s">
        <v>17</v>
      </c>
      <c r="T927" s="80" t="s">
        <v>4</v>
      </c>
      <c r="U927" s="72" t="s">
        <v>14</v>
      </c>
      <c r="V927" s="72" t="s">
        <v>1935</v>
      </c>
      <c r="W927" s="72" t="s">
        <v>4</v>
      </c>
      <c r="X927" s="72" t="s">
        <v>310</v>
      </c>
      <c r="Y927" s="72" t="s">
        <v>4</v>
      </c>
      <c r="Z927" s="72" t="s">
        <v>4</v>
      </c>
      <c r="AA927" s="147" t="s">
        <v>659</v>
      </c>
    </row>
    <row r="928" spans="1:27" ht="18.600000000000001" customHeight="1">
      <c r="A928" s="140" t="str">
        <f>IF(priority(Main[[#This Row],[Comments]])&lt;&gt;0, priority(Main[[#This Row],[Comments]]),"")</f>
        <v/>
      </c>
      <c r="B928" s="90" t="s">
        <v>1504</v>
      </c>
      <c r="C928" s="72" t="s">
        <v>37</v>
      </c>
      <c r="D928" s="73" t="s">
        <v>2424</v>
      </c>
      <c r="E928" s="74">
        <v>40682.490115740744</v>
      </c>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v>40703</v>
      </c>
      <c r="R928" s="74"/>
      <c r="S928" s="72" t="s">
        <v>6</v>
      </c>
      <c r="T928" s="80" t="s">
        <v>4</v>
      </c>
      <c r="U928" s="72" t="s">
        <v>7</v>
      </c>
      <c r="V928" s="72" t="s">
        <v>1932</v>
      </c>
      <c r="W928" s="72" t="s">
        <v>1943</v>
      </c>
      <c r="X928" s="72" t="s">
        <v>982</v>
      </c>
      <c r="Y928" s="72" t="s">
        <v>3192</v>
      </c>
      <c r="Z928" s="72" t="s">
        <v>4</v>
      </c>
      <c r="AA928" s="147" t="s">
        <v>982</v>
      </c>
    </row>
    <row r="929" spans="1:27" ht="18.600000000000001" customHeight="1">
      <c r="A929" s="140" t="str">
        <f>IF(priority(Main[[#This Row],[Comments]])&lt;&gt;0, priority(Main[[#This Row],[Comments]]),"")</f>
        <v/>
      </c>
      <c r="B929" s="90" t="s">
        <v>1759</v>
      </c>
      <c r="C929" s="72" t="s">
        <v>4</v>
      </c>
      <c r="D929" s="73" t="s">
        <v>690</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4</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c r="R929" s="74"/>
      <c r="S929" s="72" t="s">
        <v>23</v>
      </c>
      <c r="T929" s="80" t="s">
        <v>4</v>
      </c>
      <c r="U929" s="72" t="s">
        <v>14</v>
      </c>
      <c r="V929" s="72" t="s">
        <v>1935</v>
      </c>
      <c r="W929" s="72" t="s">
        <v>1936</v>
      </c>
      <c r="X929" s="72" t="s">
        <v>422</v>
      </c>
      <c r="Y929" s="72" t="s">
        <v>3199</v>
      </c>
      <c r="Z929" s="72" t="s">
        <v>4</v>
      </c>
      <c r="AA929" s="147" t="s">
        <v>3670</v>
      </c>
    </row>
    <row r="930" spans="1:27" ht="18.600000000000001" customHeight="1">
      <c r="A930" s="140" t="str">
        <f>IF(priority(Main[[#This Row],[Comments]])&lt;&gt;0, priority(Main[[#This Row],[Comments]]),"")</f>
        <v/>
      </c>
      <c r="B930" s="90" t="s">
        <v>1760</v>
      </c>
      <c r="C930" s="72" t="s">
        <v>31</v>
      </c>
      <c r="D930" s="73" t="s">
        <v>802</v>
      </c>
      <c r="E930" s="74"/>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40318</v>
      </c>
      <c r="R930" s="74"/>
      <c r="S930" s="72" t="s">
        <v>11</v>
      </c>
      <c r="T930" s="80" t="s">
        <v>4</v>
      </c>
      <c r="U930" s="72" t="s">
        <v>14</v>
      </c>
      <c r="V930" s="72" t="s">
        <v>1942</v>
      </c>
      <c r="W930" s="72" t="s">
        <v>1934</v>
      </c>
      <c r="X930" s="72" t="s">
        <v>2921</v>
      </c>
      <c r="Y930" s="72" t="s">
        <v>4</v>
      </c>
      <c r="Z930" s="72" t="s">
        <v>4</v>
      </c>
      <c r="AA930" s="147" t="s">
        <v>2921</v>
      </c>
    </row>
    <row r="931" spans="1:27" ht="18.600000000000001" customHeight="1">
      <c r="A931" s="140" t="str">
        <f>IF(priority(Main[[#This Row],[Comments]])&lt;&gt;0, priority(Main[[#This Row],[Comments]]),"")</f>
        <v/>
      </c>
      <c r="B931" s="90" t="s">
        <v>1787</v>
      </c>
      <c r="C931" s="72" t="s">
        <v>4</v>
      </c>
      <c r="D931" s="73" t="s">
        <v>815</v>
      </c>
      <c r="E931" s="74"/>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4</v>
      </c>
      <c r="K931" s="72" t="s">
        <v>4</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c r="R931" s="74"/>
      <c r="S931" s="72" t="s">
        <v>49</v>
      </c>
      <c r="T931" s="80" t="s">
        <v>4</v>
      </c>
      <c r="U931" s="72" t="s">
        <v>14</v>
      </c>
      <c r="V931" s="72" t="s">
        <v>1935</v>
      </c>
      <c r="W931" s="72" t="s">
        <v>1936</v>
      </c>
      <c r="X931" s="72" t="s">
        <v>310</v>
      </c>
      <c r="Y931" s="72" t="s">
        <v>3200</v>
      </c>
      <c r="Z931" s="72" t="s">
        <v>4</v>
      </c>
      <c r="AA931" s="147" t="s">
        <v>310</v>
      </c>
    </row>
    <row r="932" spans="1:27" ht="18.600000000000001" customHeight="1">
      <c r="A932" s="140" t="str">
        <f>IF(priority(Main[[#This Row],[Comments]])&lt;&gt;0, priority(Main[[#This Row],[Comments]]),"")</f>
        <v/>
      </c>
      <c r="B932" s="90" t="s">
        <v>3300</v>
      </c>
      <c r="C932" s="72" t="s">
        <v>4</v>
      </c>
      <c r="D932" s="73" t="s">
        <v>3356</v>
      </c>
      <c r="E932" s="74">
        <v>40921.504814814813</v>
      </c>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2073</v>
      </c>
      <c r="J932" s="72" t="s">
        <v>28</v>
      </c>
      <c r="K932" s="72" t="s">
        <v>1941</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v>40939</v>
      </c>
      <c r="R932" s="74"/>
      <c r="S932" s="72" t="s">
        <v>6</v>
      </c>
      <c r="T932" s="80" t="s">
        <v>4</v>
      </c>
      <c r="U932" s="72" t="s">
        <v>29</v>
      </c>
      <c r="V932" s="72" t="s">
        <v>1935</v>
      </c>
      <c r="W932" s="72" t="s">
        <v>1936</v>
      </c>
      <c r="X932" s="72" t="s">
        <v>30</v>
      </c>
      <c r="Y932" s="72" t="s">
        <v>3301</v>
      </c>
      <c r="Z932" s="72" t="s">
        <v>30</v>
      </c>
      <c r="AA932" s="147" t="s">
        <v>2994</v>
      </c>
    </row>
    <row r="933" spans="1:27" ht="18.600000000000001" customHeight="1">
      <c r="A933" s="140" t="str">
        <f>IF(priority(Main[[#This Row],[Comments]])&lt;&gt;0, priority(Main[[#This Row],[Comments]]),"")</f>
        <v/>
      </c>
      <c r="B933" s="90" t="s">
        <v>3397</v>
      </c>
      <c r="C933" s="72" t="s">
        <v>4</v>
      </c>
      <c r="D933" s="73" t="s">
        <v>3398</v>
      </c>
      <c r="E933" s="74"/>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c r="R933" s="74"/>
      <c r="S933" s="72" t="s">
        <v>17</v>
      </c>
      <c r="T933" s="80" t="s">
        <v>4</v>
      </c>
      <c r="U933" s="72" t="s">
        <v>12</v>
      </c>
      <c r="V933" s="72" t="s">
        <v>1935</v>
      </c>
      <c r="W933" s="72" t="s">
        <v>4</v>
      </c>
      <c r="X933" s="72" t="s">
        <v>1996</v>
      </c>
      <c r="Y933" s="72" t="s">
        <v>4</v>
      </c>
      <c r="Z933" s="72" t="s">
        <v>4</v>
      </c>
      <c r="AA933" s="147" t="s">
        <v>4</v>
      </c>
    </row>
    <row r="934" spans="1:27" ht="18.600000000000001" customHeight="1">
      <c r="A934" s="140" t="str">
        <f>IF(priority(Main[[#This Row],[Comments]])&lt;&gt;0, priority(Main[[#This Row],[Comments]]),"")</f>
        <v/>
      </c>
      <c r="B934" s="90" t="s">
        <v>1788</v>
      </c>
      <c r="C934" s="72" t="s">
        <v>4</v>
      </c>
      <c r="D934" s="73" t="s">
        <v>816</v>
      </c>
      <c r="E934" s="74"/>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c r="R934" s="74"/>
      <c r="S934" s="72" t="s">
        <v>6</v>
      </c>
      <c r="T934" s="80" t="s">
        <v>4</v>
      </c>
      <c r="U934" s="72" t="s">
        <v>12</v>
      </c>
      <c r="V934" s="72" t="s">
        <v>1932</v>
      </c>
      <c r="W934" s="72" t="s">
        <v>1936</v>
      </c>
      <c r="X934" s="72" t="s">
        <v>888</v>
      </c>
      <c r="Y934" s="72" t="s">
        <v>3104</v>
      </c>
      <c r="Z934" s="72" t="s">
        <v>4</v>
      </c>
      <c r="AA934" s="147" t="s">
        <v>888</v>
      </c>
    </row>
    <row r="935" spans="1:27" ht="18.600000000000001" customHeight="1">
      <c r="A935" s="140" t="str">
        <f>IF(priority(Main[[#This Row],[Comments]])&lt;&gt;0, priority(Main[[#This Row],[Comments]]),"")</f>
        <v/>
      </c>
      <c r="B935" s="90" t="s">
        <v>1762</v>
      </c>
      <c r="C935" s="72" t="s">
        <v>288</v>
      </c>
      <c r="D935" s="73" t="s">
        <v>806</v>
      </c>
      <c r="E935" s="74"/>
      <c r="F935" s="74"/>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40134</v>
      </c>
      <c r="R935" s="74"/>
      <c r="S935" s="72" t="s">
        <v>11</v>
      </c>
      <c r="T935" s="80" t="s">
        <v>4</v>
      </c>
      <c r="U935" s="72" t="s">
        <v>14</v>
      </c>
      <c r="V935" s="72" t="s">
        <v>1942</v>
      </c>
      <c r="W935" s="72" t="s">
        <v>1940</v>
      </c>
      <c r="X935" s="72" t="s">
        <v>2908</v>
      </c>
      <c r="Y935" s="72" t="s">
        <v>4</v>
      </c>
      <c r="Z935" s="72" t="s">
        <v>4</v>
      </c>
      <c r="AA935" s="147" t="s">
        <v>2908</v>
      </c>
    </row>
    <row r="936" spans="1:27" ht="18.600000000000001" customHeight="1">
      <c r="A936" s="140" t="str">
        <f>IF(priority(Main[[#This Row],[Comments]])&lt;&gt;0, priority(Main[[#This Row],[Comments]]),"")</f>
        <v/>
      </c>
      <c r="B936" s="90" t="s">
        <v>1763</v>
      </c>
      <c r="C936" s="72" t="s">
        <v>4</v>
      </c>
      <c r="D936" s="73" t="s">
        <v>807</v>
      </c>
      <c r="E936" s="74"/>
      <c r="F936" s="74">
        <v>40598</v>
      </c>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4</v>
      </c>
      <c r="K936" s="72" t="s">
        <v>4</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v>40598</v>
      </c>
      <c r="R936" s="74"/>
      <c r="S936" s="72" t="s">
        <v>11</v>
      </c>
      <c r="T936" s="80" t="s">
        <v>4</v>
      </c>
      <c r="U936" s="72" t="s">
        <v>14</v>
      </c>
      <c r="V936" s="72" t="s">
        <v>1942</v>
      </c>
      <c r="W936" s="72" t="s">
        <v>1938</v>
      </c>
      <c r="X936" s="72" t="s">
        <v>2939</v>
      </c>
      <c r="Y936" s="72" t="s">
        <v>3074</v>
      </c>
      <c r="Z936" s="72" t="s">
        <v>4</v>
      </c>
      <c r="AA936" s="147" t="s">
        <v>2939</v>
      </c>
    </row>
    <row r="937" spans="1:27" ht="18.600000000000001" customHeight="1">
      <c r="A937" s="140" t="str">
        <f>IF(priority(Main[[#This Row],[Comments]])&lt;&gt;0, priority(Main[[#This Row],[Comments]]),"")</f>
        <v/>
      </c>
      <c r="B937" s="90" t="s">
        <v>1764</v>
      </c>
      <c r="C937" s="72" t="s">
        <v>441</v>
      </c>
      <c r="D937" s="73" t="s">
        <v>799</v>
      </c>
      <c r="E937" s="74"/>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4</v>
      </c>
      <c r="K937" s="81"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c r="R937" s="74"/>
      <c r="S937" s="72" t="s">
        <v>11</v>
      </c>
      <c r="T937" s="80" t="s">
        <v>4</v>
      </c>
      <c r="U937" s="72" t="s">
        <v>14</v>
      </c>
      <c r="V937" s="72" t="s">
        <v>1932</v>
      </c>
      <c r="W937" s="72" t="s">
        <v>1940</v>
      </c>
      <c r="X937" s="72" t="s">
        <v>2944</v>
      </c>
      <c r="Y937" s="72" t="s">
        <v>3086</v>
      </c>
      <c r="Z937" s="72" t="s">
        <v>4</v>
      </c>
      <c r="AA937" s="147" t="s">
        <v>2944</v>
      </c>
    </row>
    <row r="938" spans="1:27" ht="18.600000000000001" customHeight="1">
      <c r="A938" s="140" t="str">
        <f>IF(priority(Main[[#This Row],[Comments]])&lt;&gt;0, priority(Main[[#This Row],[Comments]]),"")</f>
        <v/>
      </c>
      <c r="B938" s="90" t="s">
        <v>1766</v>
      </c>
      <c r="C938" s="72" t="s">
        <v>4</v>
      </c>
      <c r="D938" s="73" t="s">
        <v>808</v>
      </c>
      <c r="E938" s="74"/>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c r="R938" s="74"/>
      <c r="S938" s="72" t="s">
        <v>23</v>
      </c>
      <c r="T938" s="80" t="s">
        <v>4</v>
      </c>
      <c r="U938" s="72" t="s">
        <v>14</v>
      </c>
      <c r="V938" s="72" t="s">
        <v>1942</v>
      </c>
      <c r="W938" s="72" t="s">
        <v>1936</v>
      </c>
      <c r="X938" s="72" t="s">
        <v>422</v>
      </c>
      <c r="Y938" s="72" t="s">
        <v>3202</v>
      </c>
      <c r="Z938" s="72" t="s">
        <v>4</v>
      </c>
      <c r="AA938" s="147" t="s">
        <v>422</v>
      </c>
    </row>
    <row r="939" spans="1:27" ht="18.600000000000001" customHeight="1">
      <c r="A939" s="140" t="str">
        <f>IF(priority(Main[[#This Row],[Comments]])&lt;&gt;0, priority(Main[[#This Row],[Comments]]),"")</f>
        <v/>
      </c>
      <c r="B939" s="90" t="s">
        <v>1108</v>
      </c>
      <c r="C939" s="72" t="s">
        <v>4</v>
      </c>
      <c r="D939" s="73" t="s">
        <v>146</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4</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c r="R939" s="74"/>
      <c r="S939" s="72" t="s">
        <v>17</v>
      </c>
      <c r="T939" s="80" t="s">
        <v>4</v>
      </c>
      <c r="U939" s="72" t="s">
        <v>14</v>
      </c>
      <c r="V939" s="72" t="s">
        <v>1947</v>
      </c>
      <c r="W939" s="72" t="s">
        <v>1934</v>
      </c>
      <c r="X939" s="72" t="s">
        <v>2998</v>
      </c>
      <c r="Y939" s="72" t="s">
        <v>3201</v>
      </c>
      <c r="Z939" s="72" t="s">
        <v>4</v>
      </c>
      <c r="AA939" s="147" t="s">
        <v>2998</v>
      </c>
    </row>
    <row r="940" spans="1:27" ht="18.600000000000001" customHeight="1">
      <c r="A940" s="140" t="str">
        <f>IF(priority(Main[[#This Row],[Comments]])&lt;&gt;0, priority(Main[[#This Row],[Comments]]),"")</f>
        <v/>
      </c>
      <c r="B940" s="90" t="s">
        <v>1698</v>
      </c>
      <c r="C940" s="72" t="s">
        <v>37</v>
      </c>
      <c r="D940" s="73" t="s">
        <v>2425</v>
      </c>
      <c r="E940" s="74">
        <v>40682.483831018515</v>
      </c>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40700</v>
      </c>
      <c r="R940" s="74"/>
      <c r="S940" s="72" t="s">
        <v>6</v>
      </c>
      <c r="T940" s="80" t="s">
        <v>4</v>
      </c>
      <c r="U940" s="72" t="s">
        <v>539</v>
      </c>
      <c r="V940" s="72" t="s">
        <v>1932</v>
      </c>
      <c r="W940" s="72" t="s">
        <v>1943</v>
      </c>
      <c r="X940" s="72" t="s">
        <v>982</v>
      </c>
      <c r="Y940" s="72" t="s">
        <v>3192</v>
      </c>
      <c r="Z940" s="72" t="s">
        <v>4</v>
      </c>
      <c r="AA940" s="147" t="s">
        <v>982</v>
      </c>
    </row>
    <row r="941" spans="1:27" ht="18.600000000000001" customHeight="1">
      <c r="A941" s="140" t="str">
        <f>IF(priority(Main[[#This Row],[Comments]])&lt;&gt;0, priority(Main[[#This Row],[Comments]]),"")</f>
        <v/>
      </c>
      <c r="B941" s="90" t="s">
        <v>1767</v>
      </c>
      <c r="C941" s="72" t="s">
        <v>701</v>
      </c>
      <c r="D941" s="73" t="s">
        <v>702</v>
      </c>
      <c r="E941" s="74"/>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4</v>
      </c>
      <c r="J941" s="72" t="s">
        <v>4</v>
      </c>
      <c r="K941" s="72" t="s">
        <v>4</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v>40672</v>
      </c>
      <c r="R941" s="74"/>
      <c r="S941" s="72" t="s">
        <v>11</v>
      </c>
      <c r="T941" s="80" t="s">
        <v>4</v>
      </c>
      <c r="U941" s="72" t="s">
        <v>12</v>
      </c>
      <c r="V941" s="72" t="s">
        <v>1932</v>
      </c>
      <c r="W941" s="72" t="s">
        <v>1934</v>
      </c>
      <c r="X941" s="72" t="s">
        <v>2999</v>
      </c>
      <c r="Y941" s="72" t="s">
        <v>4</v>
      </c>
      <c r="Z941" s="72" t="s">
        <v>4</v>
      </c>
      <c r="AA941" s="147" t="s">
        <v>2999</v>
      </c>
    </row>
    <row r="942" spans="1:27" ht="18.600000000000001" customHeight="1">
      <c r="A942" s="140" t="str">
        <f>IF(priority(Main[[#This Row],[Comments]])&lt;&gt;0, priority(Main[[#This Row],[Comments]]),"")</f>
        <v/>
      </c>
      <c r="B942" s="90" t="s">
        <v>1768</v>
      </c>
      <c r="C942" s="72" t="s">
        <v>4</v>
      </c>
      <c r="D942" s="73" t="s">
        <v>809</v>
      </c>
      <c r="E942" s="74"/>
      <c r="F942" s="74"/>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28</v>
      </c>
      <c r="K942" s="72" t="s">
        <v>1941</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40672</v>
      </c>
      <c r="R942" s="74"/>
      <c r="S942" s="72" t="s">
        <v>6</v>
      </c>
      <c r="T942" s="80" t="s">
        <v>4</v>
      </c>
      <c r="U942" s="72" t="s">
        <v>14</v>
      </c>
      <c r="V942" s="72" t="s">
        <v>1935</v>
      </c>
      <c r="W942" s="72" t="s">
        <v>1934</v>
      </c>
      <c r="X942" s="72" t="s">
        <v>2913</v>
      </c>
      <c r="Y942" s="72" t="s">
        <v>3033</v>
      </c>
      <c r="Z942" s="72" t="s">
        <v>535</v>
      </c>
      <c r="AA942" s="147" t="s">
        <v>2913</v>
      </c>
    </row>
    <row r="943" spans="1:27" ht="18.600000000000001" customHeight="1">
      <c r="A943" s="140" t="str">
        <f>IF(priority(Main[[#This Row],[Comments]])&lt;&gt;0, priority(Main[[#This Row],[Comments]]),"")</f>
        <v/>
      </c>
      <c r="B943" s="90" t="s">
        <v>2762</v>
      </c>
      <c r="C943" s="72" t="s">
        <v>47</v>
      </c>
      <c r="D943" s="73" t="s">
        <v>3536</v>
      </c>
      <c r="E943" s="74">
        <v>40893.759675925925</v>
      </c>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v>40924</v>
      </c>
      <c r="R943" s="74"/>
      <c r="S943" s="72" t="s">
        <v>6</v>
      </c>
      <c r="T943" s="80" t="s">
        <v>4</v>
      </c>
      <c r="U943" s="72" t="s">
        <v>29</v>
      </c>
      <c r="V943" s="72" t="s">
        <v>2312</v>
      </c>
      <c r="W943" s="72" t="s">
        <v>4</v>
      </c>
      <c r="X943" s="72" t="s">
        <v>2956</v>
      </c>
      <c r="Y943" s="72" t="s">
        <v>3105</v>
      </c>
      <c r="Z943" s="72" t="s">
        <v>4</v>
      </c>
      <c r="AA943" s="147" t="s">
        <v>2956</v>
      </c>
    </row>
    <row r="944" spans="1:27" ht="18.600000000000001" customHeight="1">
      <c r="A944" s="140" t="str">
        <f>IF(priority(Main[[#This Row],[Comments]])&lt;&gt;0, priority(Main[[#This Row],[Comments]]),"")</f>
        <v/>
      </c>
      <c r="B944" s="90" t="s">
        <v>3537</v>
      </c>
      <c r="C944" s="72" t="s">
        <v>47</v>
      </c>
      <c r="D944" s="73" t="s">
        <v>3538</v>
      </c>
      <c r="E944" s="74">
        <v>40938.416261574072</v>
      </c>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40575</v>
      </c>
      <c r="R944" s="74"/>
      <c r="S944" s="72" t="s">
        <v>6</v>
      </c>
      <c r="T944" s="80" t="s">
        <v>4</v>
      </c>
      <c r="U944" s="72" t="s">
        <v>7</v>
      </c>
      <c r="V944" s="72" t="s">
        <v>2312</v>
      </c>
      <c r="W944" s="72" t="s">
        <v>4</v>
      </c>
      <c r="X944" s="72" t="s">
        <v>2956</v>
      </c>
      <c r="Y944" s="72" t="s">
        <v>3105</v>
      </c>
      <c r="Z944" s="72" t="s">
        <v>4</v>
      </c>
      <c r="AA944" s="147" t="s">
        <v>2956</v>
      </c>
    </row>
    <row r="945" spans="1:27" ht="18.600000000000001" customHeight="1">
      <c r="A945" s="140" t="str">
        <f>IF(priority(Main[[#This Row],[Comments]])&lt;&gt;0, priority(Main[[#This Row],[Comments]]),"")</f>
        <v/>
      </c>
      <c r="B945" s="90" t="s">
        <v>1769</v>
      </c>
      <c r="C945" s="72" t="s">
        <v>72</v>
      </c>
      <c r="D945" s="73" t="s">
        <v>810</v>
      </c>
      <c r="E945" s="74"/>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52</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40482</v>
      </c>
      <c r="R945" s="74"/>
      <c r="S945" s="72" t="s">
        <v>11</v>
      </c>
      <c r="T945" s="80" t="s">
        <v>4</v>
      </c>
      <c r="U945" s="72" t="s">
        <v>14</v>
      </c>
      <c r="V945" s="72" t="s">
        <v>1935</v>
      </c>
      <c r="W945" s="72" t="s">
        <v>1940</v>
      </c>
      <c r="X945" s="72" t="s">
        <v>2992</v>
      </c>
      <c r="Y945" s="72" t="s">
        <v>3073</v>
      </c>
      <c r="Z945" s="72" t="s">
        <v>2073</v>
      </c>
      <c r="AA945" s="147" t="s">
        <v>2938</v>
      </c>
    </row>
    <row r="946" spans="1:27" ht="18.600000000000001" customHeight="1">
      <c r="A946" s="140" t="str">
        <f>IF(priority(Main[[#This Row],[Comments]])&lt;&gt;0, priority(Main[[#This Row],[Comments]]),"")</f>
        <v/>
      </c>
      <c r="B946" s="90" t="s">
        <v>1770</v>
      </c>
      <c r="C946" s="72" t="s">
        <v>4</v>
      </c>
      <c r="D946" s="73" t="s">
        <v>811</v>
      </c>
      <c r="E946" s="74"/>
      <c r="F946" s="74"/>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403</v>
      </c>
      <c r="J946" s="72" t="s">
        <v>4</v>
      </c>
      <c r="K946" s="81"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v>40359</v>
      </c>
      <c r="R946" s="74"/>
      <c r="S946" s="72" t="s">
        <v>11</v>
      </c>
      <c r="T946" s="80" t="s">
        <v>4</v>
      </c>
      <c r="U946" s="72" t="s">
        <v>14</v>
      </c>
      <c r="V946" s="72" t="s">
        <v>1935</v>
      </c>
      <c r="W946" s="72" t="s">
        <v>1938</v>
      </c>
      <c r="X946" s="72" t="s">
        <v>2972</v>
      </c>
      <c r="Y946" s="72" t="s">
        <v>3125</v>
      </c>
      <c r="Z946" s="72" t="s">
        <v>310</v>
      </c>
      <c r="AA946" s="147" t="s">
        <v>2972</v>
      </c>
    </row>
    <row r="947" spans="1:27" ht="18.600000000000001" customHeight="1">
      <c r="A947" s="140" t="str">
        <f>IF(priority(Main[[#This Row],[Comments]])&lt;&gt;0, priority(Main[[#This Row],[Comments]]),"")</f>
        <v/>
      </c>
      <c r="B947" s="90" t="s">
        <v>1771</v>
      </c>
      <c r="C947" s="72" t="s">
        <v>42</v>
      </c>
      <c r="D947" s="73" t="s">
        <v>812</v>
      </c>
      <c r="E947" s="74">
        <v>39932.448611111111</v>
      </c>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17</v>
      </c>
      <c r="T947" s="80" t="s">
        <v>4</v>
      </c>
      <c r="U947" s="72" t="s">
        <v>7</v>
      </c>
      <c r="V947" s="72" t="s">
        <v>1935</v>
      </c>
      <c r="W947" s="72" t="s">
        <v>4</v>
      </c>
      <c r="X947" s="72" t="s">
        <v>403</v>
      </c>
      <c r="Y947" s="72" t="s">
        <v>4</v>
      </c>
      <c r="Z947" s="72" t="s">
        <v>4</v>
      </c>
      <c r="AA947" s="147" t="s">
        <v>4</v>
      </c>
    </row>
    <row r="948" spans="1:27" ht="18.600000000000001" customHeight="1">
      <c r="A948" s="140" t="str">
        <f>IF(priority(Main[[#This Row],[Comments]])&lt;&gt;0, priority(Main[[#This Row],[Comments]]),"")</f>
        <v/>
      </c>
      <c r="B948" s="90" t="s">
        <v>1777</v>
      </c>
      <c r="C948" s="72" t="s">
        <v>72</v>
      </c>
      <c r="D948" s="73" t="s">
        <v>817</v>
      </c>
      <c r="E948" s="74"/>
      <c r="F948" s="74">
        <v>40756</v>
      </c>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28</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c r="R948" s="74"/>
      <c r="S948" s="72" t="s">
        <v>11</v>
      </c>
      <c r="T948" s="80" t="s">
        <v>4</v>
      </c>
      <c r="U948" s="72" t="s">
        <v>14</v>
      </c>
      <c r="V948" s="72" t="s">
        <v>1935</v>
      </c>
      <c r="W948" s="72" t="s">
        <v>1937</v>
      </c>
      <c r="X948" s="72" t="s">
        <v>50</v>
      </c>
      <c r="Y948" s="72" t="s">
        <v>3073</v>
      </c>
      <c r="Z948" s="72" t="s">
        <v>30</v>
      </c>
      <c r="AA948" s="147" t="s">
        <v>2938</v>
      </c>
    </row>
    <row r="949" spans="1:27" ht="18.600000000000001" customHeight="1">
      <c r="A949" s="140" t="str">
        <f>IF(priority(Main[[#This Row],[Comments]])&lt;&gt;0, priority(Main[[#This Row],[Comments]]),"")</f>
        <v/>
      </c>
      <c r="B949" s="90" t="s">
        <v>1778</v>
      </c>
      <c r="C949" s="72" t="s">
        <v>47</v>
      </c>
      <c r="D949" s="73" t="s">
        <v>818</v>
      </c>
      <c r="E949" s="74"/>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72"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c r="R949" s="74"/>
      <c r="S949" s="72" t="s">
        <v>17</v>
      </c>
      <c r="T949" s="80" t="s">
        <v>4</v>
      </c>
      <c r="U949" s="72" t="s">
        <v>14</v>
      </c>
      <c r="V949" s="72" t="s">
        <v>1933</v>
      </c>
      <c r="W949" s="72" t="s">
        <v>1940</v>
      </c>
      <c r="X949" s="72" t="s">
        <v>310</v>
      </c>
      <c r="Y949" s="72" t="s">
        <v>3036</v>
      </c>
      <c r="Z949" s="72" t="s">
        <v>4</v>
      </c>
      <c r="AA949" s="147" t="s">
        <v>3618</v>
      </c>
    </row>
    <row r="950" spans="1:27" ht="18.600000000000001" customHeight="1">
      <c r="A950" s="140" t="str">
        <f>IF(priority(Main[[#This Row],[Comments]])&lt;&gt;0, priority(Main[[#This Row],[Comments]]),"")</f>
        <v/>
      </c>
      <c r="B950" s="90" t="s">
        <v>1779</v>
      </c>
      <c r="C950" s="72" t="s">
        <v>4</v>
      </c>
      <c r="D950" s="73" t="s">
        <v>819</v>
      </c>
      <c r="E950" s="74">
        <v>40634.342361111114</v>
      </c>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4</v>
      </c>
      <c r="J950" s="72" t="s">
        <v>4</v>
      </c>
      <c r="K950" s="72" t="s">
        <v>4</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v>40676</v>
      </c>
      <c r="R950" s="74"/>
      <c r="S950" s="72" t="s">
        <v>6</v>
      </c>
      <c r="T950" s="80" t="s">
        <v>4</v>
      </c>
      <c r="U950" s="72" t="s">
        <v>7</v>
      </c>
      <c r="V950" s="72" t="s">
        <v>1933</v>
      </c>
      <c r="W950" s="72" t="s">
        <v>4</v>
      </c>
      <c r="X950" s="72" t="s">
        <v>2909</v>
      </c>
      <c r="Y950" s="72" t="s">
        <v>3024</v>
      </c>
      <c r="Z950" s="72" t="s">
        <v>4</v>
      </c>
      <c r="AA950" s="147" t="s">
        <v>2909</v>
      </c>
    </row>
    <row r="951" spans="1:27" ht="18.600000000000001" customHeight="1">
      <c r="A951" s="140" t="str">
        <f>IF(priority(Main[[#This Row],[Comments]])&lt;&gt;0, priority(Main[[#This Row],[Comments]]),"")</f>
        <v/>
      </c>
      <c r="B951" s="90" t="s">
        <v>1780</v>
      </c>
      <c r="C951" s="72" t="s">
        <v>31</v>
      </c>
      <c r="D951" s="73" t="s">
        <v>820</v>
      </c>
      <c r="E951" s="74"/>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40318</v>
      </c>
      <c r="R951" s="74"/>
      <c r="S951" s="72" t="s">
        <v>11</v>
      </c>
      <c r="T951" s="80" t="s">
        <v>4</v>
      </c>
      <c r="U951" s="72" t="s">
        <v>14</v>
      </c>
      <c r="V951" s="72" t="s">
        <v>1935</v>
      </c>
      <c r="W951" s="72" t="s">
        <v>1934</v>
      </c>
      <c r="X951" s="72" t="s">
        <v>2921</v>
      </c>
      <c r="Y951" s="72" t="s">
        <v>4</v>
      </c>
      <c r="Z951" s="72" t="s">
        <v>4</v>
      </c>
      <c r="AA951" s="147" t="s">
        <v>2921</v>
      </c>
    </row>
    <row r="952" spans="1:27" ht="18.600000000000001" customHeight="1">
      <c r="A952" s="140" t="str">
        <f>IF(priority(Main[[#This Row],[Comments]])&lt;&gt;0, priority(Main[[#This Row],[Comments]]),"")</f>
        <v/>
      </c>
      <c r="B952" s="90" t="s">
        <v>1781</v>
      </c>
      <c r="C952" s="72" t="s">
        <v>4</v>
      </c>
      <c r="D952" s="73" t="s">
        <v>120</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c r="R952" s="74"/>
      <c r="S952" s="72" t="s">
        <v>11</v>
      </c>
      <c r="T952" s="80" t="s">
        <v>4</v>
      </c>
      <c r="U952" s="72" t="s">
        <v>14</v>
      </c>
      <c r="V952" s="72" t="s">
        <v>1935</v>
      </c>
      <c r="W952" s="72" t="s">
        <v>1946</v>
      </c>
      <c r="X952" s="72" t="s">
        <v>2933</v>
      </c>
      <c r="Y952" s="72" t="s">
        <v>3069</v>
      </c>
      <c r="Z952" s="72" t="s">
        <v>4</v>
      </c>
      <c r="AA952" s="147" t="s">
        <v>2933</v>
      </c>
    </row>
    <row r="953" spans="1:27" ht="18.600000000000001" customHeight="1">
      <c r="A953" s="140" t="str">
        <f>IF(priority(Main[[#This Row],[Comments]])&lt;&gt;0, priority(Main[[#This Row],[Comments]]),"")</f>
        <v/>
      </c>
      <c r="B953" s="90" t="s">
        <v>1782</v>
      </c>
      <c r="C953" s="72" t="s">
        <v>4</v>
      </c>
      <c r="D953" s="73" t="s">
        <v>821</v>
      </c>
      <c r="E953" s="74">
        <v>40687.166759259257</v>
      </c>
      <c r="F953" s="74"/>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72"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40724</v>
      </c>
      <c r="R953" s="74"/>
      <c r="S953" s="72" t="s">
        <v>6</v>
      </c>
      <c r="T953" s="80" t="s">
        <v>4</v>
      </c>
      <c r="U953" s="72" t="s">
        <v>7</v>
      </c>
      <c r="V953" s="72" t="s">
        <v>1932</v>
      </c>
      <c r="W953" s="72" t="s">
        <v>4</v>
      </c>
      <c r="X953" s="72" t="s">
        <v>2913</v>
      </c>
      <c r="Y953" s="72" t="s">
        <v>3033</v>
      </c>
      <c r="Z953" s="72" t="s">
        <v>4</v>
      </c>
      <c r="AA953" s="147" t="s">
        <v>2913</v>
      </c>
    </row>
    <row r="954" spans="1:27" ht="18.600000000000001" customHeight="1">
      <c r="A954" s="140" t="str">
        <f>IF(priority(Main[[#This Row],[Comments]])&lt;&gt;0, priority(Main[[#This Row],[Comments]]),"")</f>
        <v/>
      </c>
      <c r="B954" s="90" t="s">
        <v>2592</v>
      </c>
      <c r="C954" s="72" t="s">
        <v>4</v>
      </c>
      <c r="D954" s="73" t="s">
        <v>2593</v>
      </c>
      <c r="E954" s="74">
        <v>40876.548576388886</v>
      </c>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6</v>
      </c>
      <c r="T954" s="80" t="s">
        <v>4</v>
      </c>
      <c r="U954" s="72" t="s">
        <v>29</v>
      </c>
      <c r="V954" s="72" t="s">
        <v>1935</v>
      </c>
      <c r="W954" s="72" t="s">
        <v>1936</v>
      </c>
      <c r="X954" s="72" t="s">
        <v>102</v>
      </c>
      <c r="Y954" s="72" t="s">
        <v>3204</v>
      </c>
      <c r="Z954" s="72" t="s">
        <v>4</v>
      </c>
      <c r="AA954" s="147" t="s">
        <v>2994</v>
      </c>
    </row>
    <row r="955" spans="1:27" ht="18.600000000000001" customHeight="1">
      <c r="A955" s="140" t="str">
        <f>IF(priority(Main[[#This Row],[Comments]])&lt;&gt;0, priority(Main[[#This Row],[Comments]]),"")</f>
        <v/>
      </c>
      <c r="B955" s="90" t="s">
        <v>1784</v>
      </c>
      <c r="C955" s="72" t="s">
        <v>4</v>
      </c>
      <c r="D955" s="73" t="s">
        <v>822</v>
      </c>
      <c r="E955" s="74"/>
      <c r="F955" s="74">
        <v>40598</v>
      </c>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81"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v>40598</v>
      </c>
      <c r="R955" s="74"/>
      <c r="S955" s="72" t="s">
        <v>11</v>
      </c>
      <c r="T955" s="80" t="s">
        <v>4</v>
      </c>
      <c r="U955" s="72" t="s">
        <v>14</v>
      </c>
      <c r="V955" s="72" t="s">
        <v>1942</v>
      </c>
      <c r="W955" s="72" t="s">
        <v>1938</v>
      </c>
      <c r="X955" s="72" t="s">
        <v>2939</v>
      </c>
      <c r="Y955" s="72" t="s">
        <v>3074</v>
      </c>
      <c r="Z955" s="72" t="s">
        <v>4</v>
      </c>
      <c r="AA955" s="147" t="s">
        <v>2939</v>
      </c>
    </row>
    <row r="956" spans="1:27" ht="18.600000000000001" customHeight="1">
      <c r="A956" s="140" t="str">
        <f>IF(priority(Main[[#This Row],[Comments]])&lt;&gt;0, priority(Main[[#This Row],[Comments]]),"")</f>
        <v/>
      </c>
      <c r="B956" s="90" t="s">
        <v>1776</v>
      </c>
      <c r="C956" s="72" t="s">
        <v>4</v>
      </c>
      <c r="D956" s="73" t="s">
        <v>814</v>
      </c>
      <c r="E956" s="74">
        <v>40626.476493055554</v>
      </c>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374</v>
      </c>
      <c r="J956" s="72" t="s">
        <v>28</v>
      </c>
      <c r="K956" s="72" t="s">
        <v>1941</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c r="R956" s="74"/>
      <c r="S956" s="72" t="s">
        <v>6</v>
      </c>
      <c r="T956" s="80" t="s">
        <v>4</v>
      </c>
      <c r="U956" s="72" t="s">
        <v>29</v>
      </c>
      <c r="V956" s="72" t="s">
        <v>1935</v>
      </c>
      <c r="W956" s="72" t="s">
        <v>1936</v>
      </c>
      <c r="X956" s="72" t="s">
        <v>74</v>
      </c>
      <c r="Y956" s="72" t="s">
        <v>3126</v>
      </c>
      <c r="Z956" s="72" t="s">
        <v>420</v>
      </c>
      <c r="AA956" s="147" t="s">
        <v>74</v>
      </c>
    </row>
    <row r="957" spans="1:27" ht="18.600000000000001" customHeight="1">
      <c r="A957" s="140" t="str">
        <f>IF(priority(Main[[#This Row],[Comments]])&lt;&gt;0, priority(Main[[#This Row],[Comments]]),"")</f>
        <v/>
      </c>
      <c r="B957" s="90" t="s">
        <v>1219</v>
      </c>
      <c r="C957" s="72" t="s">
        <v>116</v>
      </c>
      <c r="D957" s="73" t="s">
        <v>267</v>
      </c>
      <c r="E957" s="74">
        <v>40681.362476851849</v>
      </c>
      <c r="F957" s="74">
        <v>40734</v>
      </c>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40724</v>
      </c>
      <c r="R957" s="74"/>
      <c r="S957" s="72" t="s">
        <v>17</v>
      </c>
      <c r="T957" s="80" t="s">
        <v>4</v>
      </c>
      <c r="U957" s="72" t="s">
        <v>7</v>
      </c>
      <c r="V957" s="72" t="s">
        <v>1935</v>
      </c>
      <c r="W957" s="72" t="s">
        <v>1936</v>
      </c>
      <c r="X957" s="72" t="s">
        <v>50</v>
      </c>
      <c r="Y957" s="72" t="s">
        <v>3056</v>
      </c>
      <c r="Z957" s="72" t="s">
        <v>4</v>
      </c>
      <c r="AA957" s="147" t="s">
        <v>50</v>
      </c>
    </row>
    <row r="958" spans="1:27" ht="18.600000000000001" customHeight="1">
      <c r="A958" s="140" t="str">
        <f>IF(priority(Main[[#This Row],[Comments]])&lt;&gt;0, priority(Main[[#This Row],[Comments]]),"")</f>
        <v/>
      </c>
      <c r="B958" s="90" t="s">
        <v>2428</v>
      </c>
      <c r="C958" s="72" t="s">
        <v>4</v>
      </c>
      <c r="D958" s="73" t="s">
        <v>2429</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v>
      </c>
      <c r="J958" s="72" t="s">
        <v>4</v>
      </c>
      <c r="K958" s="72" t="s">
        <v>4</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c r="R958" s="74"/>
      <c r="S958" s="72" t="s">
        <v>11</v>
      </c>
      <c r="T958" s="80" t="s">
        <v>4</v>
      </c>
      <c r="U958" s="72" t="s">
        <v>14</v>
      </c>
      <c r="V958" s="72" t="s">
        <v>1933</v>
      </c>
      <c r="W958" s="72" t="s">
        <v>4</v>
      </c>
      <c r="X958" s="72" t="s">
        <v>2278</v>
      </c>
      <c r="Y958" s="72" t="s">
        <v>4</v>
      </c>
      <c r="Z958" s="72" t="s">
        <v>4</v>
      </c>
      <c r="AA958" s="147" t="s">
        <v>4</v>
      </c>
    </row>
    <row r="959" spans="1:27" ht="18.600000000000001" customHeight="1">
      <c r="A959" s="140" t="str">
        <f>IF(priority(Main[[#This Row],[Comments]])&lt;&gt;0, priority(Main[[#This Row],[Comments]]),"")</f>
        <v/>
      </c>
      <c r="B959" s="90" t="s">
        <v>1845</v>
      </c>
      <c r="C959" s="72" t="s">
        <v>369</v>
      </c>
      <c r="D959" s="73" t="s">
        <v>2143</v>
      </c>
      <c r="E959" s="74">
        <v>40002.664317129631</v>
      </c>
      <c r="F959" s="74">
        <v>40074</v>
      </c>
      <c r="G959" s="75">
        <f>IF(stdProdLT(Main[[#This Row],[Comments]])=0.1,"N/A",IF(stdProdLT(Main[[#This Row],[Comments]])=0,"",stdProdLT(Main[[#This Row],[Comments]])))</f>
        <v>126</v>
      </c>
      <c r="H959" s="76">
        <f>IF(AND(Main[[#This Row],[In Stock Date]]&lt;&gt;"",Main[[#This Row],[Revised Due Date]]&lt;&gt;""),Main[[#This Row],[In Stock Date]]-Main[[#This Row],[Revised Due Date]],"")</f>
        <v>-399</v>
      </c>
      <c r="I959" s="72" t="s">
        <v>2075</v>
      </c>
      <c r="J959" s="72" t="s">
        <v>28</v>
      </c>
      <c r="K959" s="72" t="s">
        <v>1945</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v>40057</v>
      </c>
      <c r="R959" s="74">
        <v>40473</v>
      </c>
      <c r="S959" s="72" t="s">
        <v>6</v>
      </c>
      <c r="T959" s="80" t="s">
        <v>2144</v>
      </c>
      <c r="U959" s="72" t="s">
        <v>29</v>
      </c>
      <c r="V959" s="72" t="s">
        <v>1933</v>
      </c>
      <c r="W959" s="72" t="s">
        <v>1936</v>
      </c>
      <c r="X959" s="72" t="s">
        <v>2959</v>
      </c>
      <c r="Y959" s="72" t="s">
        <v>3203</v>
      </c>
      <c r="Z959" s="72" t="s">
        <v>2075</v>
      </c>
      <c r="AA959" s="147" t="s">
        <v>3681</v>
      </c>
    </row>
    <row r="960" spans="1:27" ht="18.600000000000001" customHeight="1">
      <c r="A960" s="140" t="str">
        <f>IF(priority(Main[[#This Row],[Comments]])&lt;&gt;0, priority(Main[[#This Row],[Comments]]),"")</f>
        <v/>
      </c>
      <c r="B960" s="90" t="s">
        <v>3370</v>
      </c>
      <c r="C960" s="72" t="s">
        <v>4</v>
      </c>
      <c r="D960" s="73" t="s">
        <v>3371</v>
      </c>
      <c r="E960" s="74">
        <v>40927.617210648146</v>
      </c>
      <c r="F960" s="74"/>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4</v>
      </c>
      <c r="J960" s="72" t="s">
        <v>4</v>
      </c>
      <c r="K960" s="72" t="s">
        <v>4</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c r="R960" s="74"/>
      <c r="S960" s="72" t="s">
        <v>6</v>
      </c>
      <c r="T960" s="80" t="s">
        <v>4</v>
      </c>
      <c r="U960" s="72" t="s">
        <v>29</v>
      </c>
      <c r="V960" s="72" t="s">
        <v>1933</v>
      </c>
      <c r="W960" s="72" t="s">
        <v>1936</v>
      </c>
      <c r="X960" s="72" t="s">
        <v>102</v>
      </c>
      <c r="Y960" s="72" t="s">
        <v>3372</v>
      </c>
      <c r="Z960" s="72" t="s">
        <v>4</v>
      </c>
      <c r="AA960" s="147" t="s">
        <v>2075</v>
      </c>
    </row>
    <row r="961" spans="1:27" ht="18.600000000000001" customHeight="1">
      <c r="A961" s="140" t="str">
        <f>IF(priority(Main[[#This Row],[Comments]])&lt;&gt;0, priority(Main[[#This Row],[Comments]]),"")</f>
        <v/>
      </c>
      <c r="B961" s="90" t="s">
        <v>1785</v>
      </c>
      <c r="C961" s="72" t="s">
        <v>4</v>
      </c>
      <c r="D961" s="73" t="s">
        <v>823</v>
      </c>
      <c r="E961" s="74"/>
      <c r="F961" s="74"/>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72"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v>40209</v>
      </c>
      <c r="R961" s="74"/>
      <c r="S961" s="72" t="s">
        <v>6</v>
      </c>
      <c r="T961" s="80" t="s">
        <v>4</v>
      </c>
      <c r="U961" s="72" t="s">
        <v>14</v>
      </c>
      <c r="V961" s="72" t="s">
        <v>1935</v>
      </c>
      <c r="W961" s="72" t="s">
        <v>4</v>
      </c>
      <c r="X961" s="72" t="s">
        <v>2978</v>
      </c>
      <c r="Y961" s="72" t="s">
        <v>3138</v>
      </c>
      <c r="Z961" s="72" t="s">
        <v>4</v>
      </c>
      <c r="AA961" s="147" t="s">
        <v>2978</v>
      </c>
    </row>
    <row r="962" spans="1:27" ht="18.600000000000001" customHeight="1">
      <c r="A962" s="140" t="str">
        <f>IF(priority(Main[[#This Row],[Comments]])&lt;&gt;0, priority(Main[[#This Row],[Comments]]),"")</f>
        <v/>
      </c>
      <c r="B962" s="90" t="s">
        <v>1786</v>
      </c>
      <c r="C962" s="72" t="s">
        <v>824</v>
      </c>
      <c r="D962" s="73" t="s">
        <v>825</v>
      </c>
      <c r="E962" s="74"/>
      <c r="F962" s="74">
        <v>40678</v>
      </c>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4</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40602</v>
      </c>
      <c r="R962" s="74"/>
      <c r="S962" s="72" t="s">
        <v>11</v>
      </c>
      <c r="T962" s="80" t="s">
        <v>4</v>
      </c>
      <c r="U962" s="72" t="s">
        <v>14</v>
      </c>
      <c r="V962" s="72" t="s">
        <v>1932</v>
      </c>
      <c r="W962" s="72" t="s">
        <v>1938</v>
      </c>
      <c r="X962" s="72" t="s">
        <v>2915</v>
      </c>
      <c r="Y962" s="72" t="s">
        <v>3038</v>
      </c>
      <c r="Z962" s="72" t="s">
        <v>4</v>
      </c>
      <c r="AA962" s="147" t="s">
        <v>2915</v>
      </c>
    </row>
    <row r="963" spans="1:27" ht="18.600000000000001" customHeight="1">
      <c r="A963" s="140" t="str">
        <f>IF(priority(Main[[#This Row],[Comments]])&lt;&gt;0, priority(Main[[#This Row],[Comments]]),"")</f>
        <v/>
      </c>
      <c r="B963" s="90" t="s">
        <v>1789</v>
      </c>
      <c r="C963" s="72" t="s">
        <v>826</v>
      </c>
      <c r="D963" s="73" t="s">
        <v>827</v>
      </c>
      <c r="E963" s="74"/>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v>40715</v>
      </c>
      <c r="R963" s="74"/>
      <c r="S963" s="72" t="s">
        <v>11</v>
      </c>
      <c r="T963" s="80" t="s">
        <v>4</v>
      </c>
      <c r="U963" s="72" t="s">
        <v>14</v>
      </c>
      <c r="V963" s="72" t="s">
        <v>1933</v>
      </c>
      <c r="W963" s="72" t="s">
        <v>1934</v>
      </c>
      <c r="X963" s="72" t="s">
        <v>2906</v>
      </c>
      <c r="Y963" s="72" t="s">
        <v>4</v>
      </c>
      <c r="Z963" s="72" t="s">
        <v>4</v>
      </c>
      <c r="AA963" s="147" t="s">
        <v>2906</v>
      </c>
    </row>
    <row r="964" spans="1:27" ht="18.600000000000001" customHeight="1">
      <c r="A964" s="140" t="str">
        <f>IF(priority(Main[[#This Row],[Comments]])&lt;&gt;0, priority(Main[[#This Row],[Comments]]),"")</f>
        <v/>
      </c>
      <c r="B964" s="90" t="s">
        <v>1790</v>
      </c>
      <c r="C964" s="72" t="s">
        <v>4</v>
      </c>
      <c r="D964" s="73" t="s">
        <v>2145</v>
      </c>
      <c r="E964" s="74"/>
      <c r="F964" s="74"/>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434</v>
      </c>
      <c r="J964" s="72" t="s">
        <v>70</v>
      </c>
      <c r="K964" s="81" t="s">
        <v>1941</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40714</v>
      </c>
      <c r="R964" s="74"/>
      <c r="S964" s="72" t="s">
        <v>6</v>
      </c>
      <c r="T964" s="80" t="s">
        <v>4</v>
      </c>
      <c r="U964" s="72" t="s">
        <v>14</v>
      </c>
      <c r="V964" s="72" t="s">
        <v>1935</v>
      </c>
      <c r="W964" s="72" t="s">
        <v>1936</v>
      </c>
      <c r="X964" s="72" t="s">
        <v>2994</v>
      </c>
      <c r="Y964" s="72" t="s">
        <v>3178</v>
      </c>
      <c r="Z964" s="72" t="s">
        <v>30</v>
      </c>
      <c r="AA964" s="147" t="s">
        <v>2994</v>
      </c>
    </row>
    <row r="965" spans="1:27" ht="18.600000000000001" customHeight="1">
      <c r="A965" s="140" t="str">
        <f>IF(priority(Main[[#This Row],[Comments]])&lt;&gt;0, priority(Main[[#This Row],[Comments]]),"")</f>
        <v/>
      </c>
      <c r="B965" s="90" t="s">
        <v>1791</v>
      </c>
      <c r="C965" s="72" t="s">
        <v>4</v>
      </c>
      <c r="D965" s="73" t="s">
        <v>828</v>
      </c>
      <c r="E965" s="74"/>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4</v>
      </c>
      <c r="K965" s="72" t="s">
        <v>4</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c r="R965" s="74"/>
      <c r="S965" s="72" t="s">
        <v>6</v>
      </c>
      <c r="T965" s="80" t="s">
        <v>4</v>
      </c>
      <c r="U965" s="72" t="s">
        <v>14</v>
      </c>
      <c r="V965" s="72" t="s">
        <v>1932</v>
      </c>
      <c r="W965" s="72" t="s">
        <v>1936</v>
      </c>
      <c r="X965" s="72" t="s">
        <v>923</v>
      </c>
      <c r="Y965" s="72" t="s">
        <v>3152</v>
      </c>
      <c r="Z965" s="72" t="s">
        <v>4</v>
      </c>
      <c r="AA965" s="147" t="s">
        <v>923</v>
      </c>
    </row>
    <row r="966" spans="1:27" ht="18.600000000000001" customHeight="1">
      <c r="A966" s="140" t="str">
        <f>IF(priority(Main[[#This Row],[Comments]])&lt;&gt;0, priority(Main[[#This Row],[Comments]]),"")</f>
        <v/>
      </c>
      <c r="B966" s="90" t="s">
        <v>1628</v>
      </c>
      <c r="C966" s="72" t="s">
        <v>4</v>
      </c>
      <c r="D966" s="73" t="s">
        <v>693</v>
      </c>
      <c r="E966" s="74">
        <v>40031.45721064815</v>
      </c>
      <c r="F966" s="74"/>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2066</v>
      </c>
      <c r="J966" s="72" t="s">
        <v>21</v>
      </c>
      <c r="K966" s="72" t="s">
        <v>1941</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c r="R966" s="74"/>
      <c r="S966" s="72" t="s">
        <v>6</v>
      </c>
      <c r="T966" s="80" t="s">
        <v>4</v>
      </c>
      <c r="U966" s="72" t="s">
        <v>29</v>
      </c>
      <c r="V966" s="72" t="s">
        <v>1935</v>
      </c>
      <c r="W966" s="72" t="s">
        <v>1936</v>
      </c>
      <c r="X966" s="72" t="s">
        <v>2978</v>
      </c>
      <c r="Y966" s="72" t="s">
        <v>3138</v>
      </c>
      <c r="Z966" s="72" t="s">
        <v>30</v>
      </c>
      <c r="AA966" s="147" t="s">
        <v>2978</v>
      </c>
    </row>
    <row r="967" spans="1:27" ht="18.600000000000001" customHeight="1">
      <c r="A967" s="140" t="str">
        <f>IF(priority(Main[[#This Row],[Comments]])&lt;&gt;0, priority(Main[[#This Row],[Comments]]),"")</f>
        <v/>
      </c>
      <c r="B967" s="90" t="s">
        <v>1792</v>
      </c>
      <c r="C967" s="72" t="s">
        <v>829</v>
      </c>
      <c r="D967" s="73" t="s">
        <v>830</v>
      </c>
      <c r="E967" s="74"/>
      <c r="F967" s="74">
        <v>40421</v>
      </c>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c r="R967" s="74"/>
      <c r="S967" s="72" t="s">
        <v>11</v>
      </c>
      <c r="T967" s="80" t="s">
        <v>4</v>
      </c>
      <c r="U967" s="72" t="s">
        <v>12</v>
      </c>
      <c r="V967" s="72" t="s">
        <v>1942</v>
      </c>
      <c r="W967" s="72" t="s">
        <v>1938</v>
      </c>
      <c r="X967" s="72" t="s">
        <v>2963</v>
      </c>
      <c r="Y967" s="72" t="s">
        <v>3091</v>
      </c>
      <c r="Z967" s="72" t="s">
        <v>4</v>
      </c>
      <c r="AA967" s="147" t="s">
        <v>2963</v>
      </c>
    </row>
    <row r="968" spans="1:27" ht="18.600000000000001" customHeight="1">
      <c r="A968" s="140" t="str">
        <f>IF(priority(Main[[#This Row],[Comments]])&lt;&gt;0, priority(Main[[#This Row],[Comments]]),"")</f>
        <v/>
      </c>
      <c r="B968" s="90" t="s">
        <v>1793</v>
      </c>
      <c r="C968" s="72" t="s">
        <v>4</v>
      </c>
      <c r="D968" s="73" t="s">
        <v>831</v>
      </c>
      <c r="E968" s="74"/>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422</v>
      </c>
      <c r="J968" s="72" t="s">
        <v>75</v>
      </c>
      <c r="K968" s="72" t="s">
        <v>1939</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40529</v>
      </c>
      <c r="R968" s="74"/>
      <c r="S968" s="72" t="s">
        <v>6</v>
      </c>
      <c r="T968" s="80" t="s">
        <v>4</v>
      </c>
      <c r="U968" s="72" t="s">
        <v>14</v>
      </c>
      <c r="V968" s="72" t="s">
        <v>1935</v>
      </c>
      <c r="W968" s="72" t="s">
        <v>1943</v>
      </c>
      <c r="X968" s="72" t="s">
        <v>894</v>
      </c>
      <c r="Y968" s="72" t="s">
        <v>3058</v>
      </c>
      <c r="Z968" s="72" t="s">
        <v>310</v>
      </c>
      <c r="AA968" s="147" t="s">
        <v>894</v>
      </c>
    </row>
    <row r="969" spans="1:27" ht="18.600000000000001" customHeight="1">
      <c r="A969" s="140" t="str">
        <f>IF(priority(Main[[#This Row],[Comments]])&lt;&gt;0, priority(Main[[#This Row],[Comments]]),"")</f>
        <v/>
      </c>
      <c r="B969" s="90" t="s">
        <v>3727</v>
      </c>
      <c r="C969" s="72" t="s">
        <v>4</v>
      </c>
      <c r="D969" s="73" t="s">
        <v>3728</v>
      </c>
      <c r="E969" s="74">
        <v>40941.34952546296</v>
      </c>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41001</v>
      </c>
      <c r="R969" s="74"/>
      <c r="S969" s="72" t="s">
        <v>6</v>
      </c>
      <c r="T969" s="80" t="s">
        <v>4</v>
      </c>
      <c r="U969" s="72" t="s">
        <v>7</v>
      </c>
      <c r="V969" s="72" t="s">
        <v>1935</v>
      </c>
      <c r="W969" s="72" t="s">
        <v>4</v>
      </c>
      <c r="X969" s="72" t="s">
        <v>2913</v>
      </c>
      <c r="Y969" s="72" t="s">
        <v>3033</v>
      </c>
      <c r="Z969" s="72" t="s">
        <v>4</v>
      </c>
      <c r="AA969" s="147" t="s">
        <v>2913</v>
      </c>
    </row>
    <row r="970" spans="1:27" ht="18.600000000000001" customHeight="1">
      <c r="A970" s="140" t="str">
        <f>IF(priority(Main[[#This Row],[Comments]])&lt;&gt;0, priority(Main[[#This Row],[Comments]]),"")</f>
        <v/>
      </c>
      <c r="B970" s="90" t="s">
        <v>1794</v>
      </c>
      <c r="C970" s="72" t="s">
        <v>4</v>
      </c>
      <c r="D970" s="73" t="s">
        <v>832</v>
      </c>
      <c r="E970" s="74"/>
      <c r="F970" s="74">
        <v>40602</v>
      </c>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28</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v>40612</v>
      </c>
      <c r="R970" s="74"/>
      <c r="S970" s="72" t="s">
        <v>6</v>
      </c>
      <c r="T970" s="80" t="s">
        <v>4</v>
      </c>
      <c r="U970" s="72" t="s">
        <v>14</v>
      </c>
      <c r="V970" s="72" t="s">
        <v>1942</v>
      </c>
      <c r="W970" s="72" t="s">
        <v>1936</v>
      </c>
      <c r="X970" s="72" t="s">
        <v>50</v>
      </c>
      <c r="Y970" s="72" t="s">
        <v>3205</v>
      </c>
      <c r="Z970" s="72" t="s">
        <v>30</v>
      </c>
      <c r="AA970" s="147" t="s">
        <v>3616</v>
      </c>
    </row>
    <row r="971" spans="1:27" ht="18.600000000000001" customHeight="1">
      <c r="A971" s="140" t="str">
        <f>IF(priority(Main[[#This Row],[Comments]])&lt;&gt;0, priority(Main[[#This Row],[Comments]]),"")</f>
        <v/>
      </c>
      <c r="B971" s="90" t="s">
        <v>2481</v>
      </c>
      <c r="C971" s="72" t="s">
        <v>4</v>
      </c>
      <c r="D971" s="73" t="s">
        <v>3338</v>
      </c>
      <c r="E971" s="74">
        <v>40820.793587962966</v>
      </c>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2073</v>
      </c>
      <c r="J971" s="72" t="s">
        <v>28</v>
      </c>
      <c r="K971" s="81" t="s">
        <v>1941</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40847</v>
      </c>
      <c r="R971" s="74"/>
      <c r="S971" s="72" t="s">
        <v>6</v>
      </c>
      <c r="T971" s="80" t="s">
        <v>4</v>
      </c>
      <c r="U971" s="72" t="s">
        <v>29</v>
      </c>
      <c r="V971" s="72" t="s">
        <v>1935</v>
      </c>
      <c r="W971" s="72" t="s">
        <v>1936</v>
      </c>
      <c r="X971" s="72" t="s">
        <v>30</v>
      </c>
      <c r="Y971" s="72" t="s">
        <v>3229</v>
      </c>
      <c r="Z971" s="72" t="s">
        <v>30</v>
      </c>
      <c r="AA971" s="147" t="s">
        <v>3682</v>
      </c>
    </row>
    <row r="972" spans="1:27" ht="18.600000000000001" customHeight="1">
      <c r="A972" s="140" t="str">
        <f>IF(priority(Main[[#This Row],[Comments]])&lt;&gt;0, priority(Main[[#This Row],[Comments]]),"")</f>
        <v/>
      </c>
      <c r="B972" s="90" t="s">
        <v>1819</v>
      </c>
      <c r="C972" s="72" t="s">
        <v>355</v>
      </c>
      <c r="D972" s="73" t="s">
        <v>833</v>
      </c>
      <c r="E972" s="74"/>
      <c r="F972" s="74">
        <v>40360</v>
      </c>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v>40329</v>
      </c>
      <c r="R972" s="74"/>
      <c r="S972" s="72" t="s">
        <v>11</v>
      </c>
      <c r="T972" s="80" t="s">
        <v>4</v>
      </c>
      <c r="U972" s="72" t="s">
        <v>12</v>
      </c>
      <c r="V972" s="72" t="s">
        <v>1942</v>
      </c>
      <c r="W972" s="72" t="s">
        <v>1938</v>
      </c>
      <c r="X972" s="72" t="s">
        <v>2963</v>
      </c>
      <c r="Y972" s="72" t="s">
        <v>3091</v>
      </c>
      <c r="Z972" s="72" t="s">
        <v>4</v>
      </c>
      <c r="AA972" s="147" t="s">
        <v>2963</v>
      </c>
    </row>
    <row r="973" spans="1:27" ht="18.600000000000001" customHeight="1">
      <c r="A973" s="140" t="str">
        <f>IF(priority(Main[[#This Row],[Comments]])&lt;&gt;0, priority(Main[[#This Row],[Comments]]),"")</f>
        <v/>
      </c>
      <c r="B973" s="90" t="s">
        <v>1796</v>
      </c>
      <c r="C973" s="72" t="s">
        <v>4</v>
      </c>
      <c r="D973" s="73" t="s">
        <v>857</v>
      </c>
      <c r="E973" s="74"/>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72"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c r="R973" s="74"/>
      <c r="S973" s="72" t="s">
        <v>49</v>
      </c>
      <c r="T973" s="80" t="s">
        <v>4</v>
      </c>
      <c r="U973" s="72" t="s">
        <v>14</v>
      </c>
      <c r="V973" s="72" t="s">
        <v>1935</v>
      </c>
      <c r="W973" s="72" t="s">
        <v>1936</v>
      </c>
      <c r="X973" s="72" t="s">
        <v>310</v>
      </c>
      <c r="Y973" s="72" t="s">
        <v>4</v>
      </c>
      <c r="Z973" s="72" t="s">
        <v>4</v>
      </c>
      <c r="AA973" s="147" t="s">
        <v>4</v>
      </c>
    </row>
    <row r="974" spans="1:27" ht="18.600000000000001" customHeight="1">
      <c r="A974" s="140" t="str">
        <f>IF(priority(Main[[#This Row],[Comments]])&lt;&gt;0, priority(Main[[#This Row],[Comments]]),"")</f>
        <v/>
      </c>
      <c r="B974" s="90" t="s">
        <v>1797</v>
      </c>
      <c r="C974" s="72" t="s">
        <v>4</v>
      </c>
      <c r="D974" s="73" t="s">
        <v>858</v>
      </c>
      <c r="E974" s="74"/>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c r="R974" s="74"/>
      <c r="S974" s="72" t="s">
        <v>23</v>
      </c>
      <c r="T974" s="80" t="s">
        <v>4</v>
      </c>
      <c r="U974" s="72" t="s">
        <v>14</v>
      </c>
      <c r="V974" s="72" t="s">
        <v>1935</v>
      </c>
      <c r="W974" s="72" t="s">
        <v>1936</v>
      </c>
      <c r="X974" s="72" t="s">
        <v>403</v>
      </c>
      <c r="Y974" s="72" t="s">
        <v>4</v>
      </c>
      <c r="Z974" s="72" t="s">
        <v>775</v>
      </c>
      <c r="AA974" s="147" t="s">
        <v>3632</v>
      </c>
    </row>
    <row r="975" spans="1:27" ht="18.600000000000001" customHeight="1">
      <c r="A975" s="140" t="str">
        <f>IF(priority(Main[[#This Row],[Comments]])&lt;&gt;0, priority(Main[[#This Row],[Comments]]),"")</f>
        <v/>
      </c>
      <c r="B975" s="90" t="s">
        <v>1804</v>
      </c>
      <c r="C975" s="72" t="s">
        <v>841</v>
      </c>
      <c r="D975" s="73" t="s">
        <v>842</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c r="R975" s="74"/>
      <c r="S975" s="72" t="s">
        <v>11</v>
      </c>
      <c r="T975" s="80" t="s">
        <v>4</v>
      </c>
      <c r="U975" s="72" t="s">
        <v>14</v>
      </c>
      <c r="V975" s="72" t="s">
        <v>1933</v>
      </c>
      <c r="W975" s="72" t="s">
        <v>1940</v>
      </c>
      <c r="X975" s="72" t="s">
        <v>2938</v>
      </c>
      <c r="Y975" s="72" t="s">
        <v>3073</v>
      </c>
      <c r="Z975" s="72" t="s">
        <v>4</v>
      </c>
      <c r="AA975" s="147" t="s">
        <v>2938</v>
      </c>
    </row>
    <row r="976" spans="1:27" ht="18.600000000000001" customHeight="1">
      <c r="A976" s="140" t="str">
        <f>IF(priority(Main[[#This Row],[Comments]])&lt;&gt;0, priority(Main[[#This Row],[Comments]]),"")</f>
        <v/>
      </c>
      <c r="B976" s="90" t="s">
        <v>1805</v>
      </c>
      <c r="C976" s="72" t="s">
        <v>93</v>
      </c>
      <c r="D976" s="73" t="s">
        <v>843</v>
      </c>
      <c r="E976" s="74"/>
      <c r="F976" s="74">
        <v>40299</v>
      </c>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v>
      </c>
      <c r="J976" s="72" t="s">
        <v>4</v>
      </c>
      <c r="K976" s="72" t="s">
        <v>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40171</v>
      </c>
      <c r="R976" s="74"/>
      <c r="S976" s="72" t="s">
        <v>11</v>
      </c>
      <c r="T976" s="80" t="s">
        <v>4</v>
      </c>
      <c r="U976" s="72" t="s">
        <v>14</v>
      </c>
      <c r="V976" s="72" t="s">
        <v>1935</v>
      </c>
      <c r="W976" s="72" t="s">
        <v>1938</v>
      </c>
      <c r="X976" s="72" t="s">
        <v>535</v>
      </c>
      <c r="Y976" s="72" t="s">
        <v>3148</v>
      </c>
      <c r="Z976" s="72" t="s">
        <v>4</v>
      </c>
      <c r="AA976" s="147" t="s">
        <v>3658</v>
      </c>
    </row>
    <row r="977" spans="1:27" ht="18.600000000000001" customHeight="1">
      <c r="A977" s="140" t="str">
        <f>IF(priority(Main[[#This Row],[Comments]])&lt;&gt;0, priority(Main[[#This Row],[Comments]]),"")</f>
        <v/>
      </c>
      <c r="B977" s="90" t="s">
        <v>1806</v>
      </c>
      <c r="C977" s="72" t="s">
        <v>4</v>
      </c>
      <c r="D977" s="73" t="s">
        <v>844</v>
      </c>
      <c r="E977" s="74">
        <v>40682.311319444445</v>
      </c>
      <c r="F977" s="74"/>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40724</v>
      </c>
      <c r="R977" s="74"/>
      <c r="S977" s="72" t="s">
        <v>6</v>
      </c>
      <c r="T977" s="80" t="s">
        <v>4</v>
      </c>
      <c r="U977" s="72" t="s">
        <v>7</v>
      </c>
      <c r="V977" s="72" t="s">
        <v>1932</v>
      </c>
      <c r="W977" s="72" t="s">
        <v>4</v>
      </c>
      <c r="X977" s="72" t="s">
        <v>2913</v>
      </c>
      <c r="Y977" s="72" t="s">
        <v>3033</v>
      </c>
      <c r="Z977" s="72" t="s">
        <v>4</v>
      </c>
      <c r="AA977" s="147" t="s">
        <v>2913</v>
      </c>
    </row>
    <row r="978" spans="1:27" ht="18.600000000000001" customHeight="1">
      <c r="A978" s="140" t="str">
        <f>IF(priority(Main[[#This Row],[Comments]])&lt;&gt;0, priority(Main[[#This Row],[Comments]]),"")</f>
        <v/>
      </c>
      <c r="B978" s="90" t="s">
        <v>1807</v>
      </c>
      <c r="C978" s="72" t="s">
        <v>4</v>
      </c>
      <c r="D978" s="73" t="s">
        <v>845</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81"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c r="R978" s="74"/>
      <c r="S978" s="72" t="s">
        <v>6</v>
      </c>
      <c r="T978" s="80" t="s">
        <v>4</v>
      </c>
      <c r="U978" s="72" t="s">
        <v>14</v>
      </c>
      <c r="V978" s="72" t="s">
        <v>1935</v>
      </c>
      <c r="W978" s="72" t="s">
        <v>1936</v>
      </c>
      <c r="X978" s="72" t="s">
        <v>50</v>
      </c>
      <c r="Y978" s="72" t="s">
        <v>4</v>
      </c>
      <c r="Z978" s="72" t="s">
        <v>4</v>
      </c>
      <c r="AA978" s="147" t="s">
        <v>4</v>
      </c>
    </row>
    <row r="979" spans="1:27" ht="18.600000000000001" customHeight="1">
      <c r="A979" s="140" t="str">
        <f>IF(priority(Main[[#This Row],[Comments]])&lt;&gt;0, priority(Main[[#This Row],[Comments]]),"")</f>
        <v/>
      </c>
      <c r="B979" s="90" t="s">
        <v>1808</v>
      </c>
      <c r="C979" s="72" t="s">
        <v>4</v>
      </c>
      <c r="D979" s="73" t="s">
        <v>846</v>
      </c>
      <c r="E979" s="74">
        <v>40686.396180555559</v>
      </c>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v>40704</v>
      </c>
      <c r="R979" s="74"/>
      <c r="S979" s="72" t="s">
        <v>6</v>
      </c>
      <c r="T979" s="80" t="s">
        <v>4</v>
      </c>
      <c r="U979" s="72" t="s">
        <v>7</v>
      </c>
      <c r="V979" s="72" t="s">
        <v>1932</v>
      </c>
      <c r="W979" s="72" t="s">
        <v>1936</v>
      </c>
      <c r="X979" s="72" t="s">
        <v>2957</v>
      </c>
      <c r="Y979" s="72" t="s">
        <v>3095</v>
      </c>
      <c r="Z979" s="72" t="s">
        <v>4</v>
      </c>
      <c r="AA979" s="147" t="s">
        <v>2957</v>
      </c>
    </row>
    <row r="980" spans="1:27" ht="18.600000000000001" customHeight="1">
      <c r="A980" s="140" t="str">
        <f>IF(priority(Main[[#This Row],[Comments]])&lt;&gt;0, priority(Main[[#This Row],[Comments]]),"")</f>
        <v/>
      </c>
      <c r="B980" s="90" t="s">
        <v>1166</v>
      </c>
      <c r="C980" s="72" t="s">
        <v>4</v>
      </c>
      <c r="D980" s="73" t="s">
        <v>97</v>
      </c>
      <c r="E980" s="74">
        <v>40667.587465277778</v>
      </c>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v>40858</v>
      </c>
      <c r="R980" s="74"/>
      <c r="S980" s="72" t="s">
        <v>17</v>
      </c>
      <c r="T980" s="80" t="s">
        <v>4</v>
      </c>
      <c r="U980" s="72" t="s">
        <v>7</v>
      </c>
      <c r="V980" s="72" t="s">
        <v>1932</v>
      </c>
      <c r="W980" s="72" t="s">
        <v>1937</v>
      </c>
      <c r="X980" s="72" t="s">
        <v>50</v>
      </c>
      <c r="Y980" s="72" t="s">
        <v>3054</v>
      </c>
      <c r="Z980" s="72" t="s">
        <v>4</v>
      </c>
      <c r="AA980" s="147" t="s">
        <v>2919</v>
      </c>
    </row>
    <row r="981" spans="1:27" ht="18.600000000000001" customHeight="1">
      <c r="A981" s="140" t="str">
        <f>IF(priority(Main[[#This Row],[Comments]])&lt;&gt;0, priority(Main[[#This Row],[Comments]]),"")</f>
        <v/>
      </c>
      <c r="B981" s="90" t="s">
        <v>1809</v>
      </c>
      <c r="C981" s="72" t="s">
        <v>4</v>
      </c>
      <c r="D981" s="73" t="s">
        <v>97</v>
      </c>
      <c r="E981" s="74"/>
      <c r="F981" s="74"/>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40858</v>
      </c>
      <c r="R981" s="74"/>
      <c r="S981" s="72" t="s">
        <v>17</v>
      </c>
      <c r="T981" s="80" t="s">
        <v>4</v>
      </c>
      <c r="U981" s="72" t="s">
        <v>14</v>
      </c>
      <c r="V981" s="72" t="s">
        <v>1932</v>
      </c>
      <c r="W981" s="72" t="s">
        <v>1937</v>
      </c>
      <c r="X981" s="72" t="s">
        <v>50</v>
      </c>
      <c r="Y981" s="72" t="s">
        <v>3054</v>
      </c>
      <c r="Z981" s="72" t="s">
        <v>4</v>
      </c>
      <c r="AA981" s="147" t="s">
        <v>2919</v>
      </c>
    </row>
    <row r="982" spans="1:27" ht="18.600000000000001" customHeight="1">
      <c r="A982" s="140" t="str">
        <f>IF(priority(Main[[#This Row],[Comments]])&lt;&gt;0, priority(Main[[#This Row],[Comments]]),"")</f>
        <v/>
      </c>
      <c r="B982" s="90" t="s">
        <v>3018</v>
      </c>
      <c r="C982" s="72" t="s">
        <v>4</v>
      </c>
      <c r="D982" s="73" t="s">
        <v>3275</v>
      </c>
      <c r="E982" s="74">
        <v>40918.708495370367</v>
      </c>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129</v>
      </c>
      <c r="J982" s="72" t="s">
        <v>21</v>
      </c>
      <c r="K982" s="72" t="s">
        <v>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c r="R982" s="74"/>
      <c r="S982" s="72" t="s">
        <v>6</v>
      </c>
      <c r="T982" s="80" t="s">
        <v>4</v>
      </c>
      <c r="U982" s="72" t="s">
        <v>29</v>
      </c>
      <c r="V982" s="72" t="s">
        <v>1932</v>
      </c>
      <c r="W982" s="72" t="s">
        <v>1934</v>
      </c>
      <c r="X982" s="72" t="s">
        <v>129</v>
      </c>
      <c r="Y982" s="72" t="s">
        <v>3028</v>
      </c>
      <c r="Z982" s="72" t="s">
        <v>129</v>
      </c>
      <c r="AA982" s="147" t="s">
        <v>129</v>
      </c>
    </row>
    <row r="983" spans="1:27" ht="18.600000000000001" customHeight="1">
      <c r="A983" s="140" t="str">
        <f>IF(priority(Main[[#This Row],[Comments]])&lt;&gt;0, priority(Main[[#This Row],[Comments]]),"")</f>
        <v/>
      </c>
      <c r="B983" s="90" t="s">
        <v>1810</v>
      </c>
      <c r="C983" s="72" t="s">
        <v>4</v>
      </c>
      <c r="D983" s="73" t="s">
        <v>847</v>
      </c>
      <c r="E983" s="74"/>
      <c r="F983" s="74">
        <v>40574</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4</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17</v>
      </c>
      <c r="T983" s="80" t="s">
        <v>4</v>
      </c>
      <c r="U983" s="72" t="s">
        <v>14</v>
      </c>
      <c r="V983" s="72" t="s">
        <v>1935</v>
      </c>
      <c r="W983" s="72" t="s">
        <v>1937</v>
      </c>
      <c r="X983" s="72" t="s">
        <v>50</v>
      </c>
      <c r="Y983" s="72" t="s">
        <v>3080</v>
      </c>
      <c r="Z983" s="72" t="s">
        <v>4</v>
      </c>
      <c r="AA983" s="147" t="s">
        <v>65</v>
      </c>
    </row>
    <row r="984" spans="1:27" ht="18.600000000000001" customHeight="1">
      <c r="A984" s="140" t="str">
        <f>IF(priority(Main[[#This Row],[Comments]])&lt;&gt;0, priority(Main[[#This Row],[Comments]]),"")</f>
        <v/>
      </c>
      <c r="B984" s="90" t="s">
        <v>1811</v>
      </c>
      <c r="C984" s="72" t="s">
        <v>93</v>
      </c>
      <c r="D984" s="73" t="s">
        <v>848</v>
      </c>
      <c r="E984" s="74"/>
      <c r="F984" s="74">
        <v>40132</v>
      </c>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v>40132</v>
      </c>
      <c r="R984" s="74"/>
      <c r="S984" s="72" t="s">
        <v>11</v>
      </c>
      <c r="T984" s="80" t="s">
        <v>4</v>
      </c>
      <c r="U984" s="72" t="s">
        <v>14</v>
      </c>
      <c r="V984" s="72" t="s">
        <v>1935</v>
      </c>
      <c r="W984" s="72" t="s">
        <v>1943</v>
      </c>
      <c r="X984" s="72" t="s">
        <v>2947</v>
      </c>
      <c r="Y984" s="72" t="s">
        <v>4</v>
      </c>
      <c r="Z984" s="72" t="s">
        <v>4</v>
      </c>
      <c r="AA984" s="147" t="s">
        <v>2947</v>
      </c>
    </row>
    <row r="985" spans="1:27" ht="18.600000000000001" customHeight="1">
      <c r="A985" s="140" t="str">
        <f>IF(priority(Main[[#This Row],[Comments]])&lt;&gt;0, priority(Main[[#This Row],[Comments]]),"")</f>
        <v/>
      </c>
      <c r="B985" s="90" t="s">
        <v>1812</v>
      </c>
      <c r="C985" s="72" t="s">
        <v>113</v>
      </c>
      <c r="D985" s="73" t="s">
        <v>849</v>
      </c>
      <c r="E985" s="74"/>
      <c r="F985" s="74"/>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28</v>
      </c>
      <c r="K985" s="72" t="s">
        <v>1944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c r="R985" s="74"/>
      <c r="S985" s="72" t="s">
        <v>17</v>
      </c>
      <c r="T985" s="80" t="s">
        <v>4</v>
      </c>
      <c r="U985" s="72" t="s">
        <v>14</v>
      </c>
      <c r="V985" s="72" t="s">
        <v>1933</v>
      </c>
      <c r="W985" s="72" t="s">
        <v>1940</v>
      </c>
      <c r="X985" s="72" t="s">
        <v>50</v>
      </c>
      <c r="Y985" s="72" t="s">
        <v>3206</v>
      </c>
      <c r="Z985" s="72" t="s">
        <v>987</v>
      </c>
      <c r="AA985" s="147" t="s">
        <v>50</v>
      </c>
    </row>
    <row r="986" spans="1:27" ht="18.600000000000001" customHeight="1">
      <c r="A986" s="140" t="str">
        <f>IF(priority(Main[[#This Row],[Comments]])&lt;&gt;0, priority(Main[[#This Row],[Comments]]),"")</f>
        <v/>
      </c>
      <c r="B986" s="90" t="s">
        <v>1814</v>
      </c>
      <c r="C986" s="72" t="s">
        <v>4</v>
      </c>
      <c r="D986" s="73" t="s">
        <v>851</v>
      </c>
      <c r="E986" s="74"/>
      <c r="F986" s="74">
        <v>40435</v>
      </c>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28</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c r="R986" s="74"/>
      <c r="S986" s="72" t="s">
        <v>11</v>
      </c>
      <c r="T986" s="80" t="s">
        <v>4</v>
      </c>
      <c r="U986" s="72" t="s">
        <v>14</v>
      </c>
      <c r="V986" s="72" t="s">
        <v>1935</v>
      </c>
      <c r="W986" s="72" t="s">
        <v>1937</v>
      </c>
      <c r="X986" s="72" t="s">
        <v>2928</v>
      </c>
      <c r="Y986" s="72" t="s">
        <v>3061</v>
      </c>
      <c r="Z986" s="72" t="s">
        <v>535</v>
      </c>
      <c r="AA986" s="147" t="s">
        <v>2925</v>
      </c>
    </row>
    <row r="987" spans="1:27" ht="18.600000000000001" customHeight="1">
      <c r="A987" s="140" t="str">
        <f>IF(priority(Main[[#This Row],[Comments]])&lt;&gt;0, priority(Main[[#This Row],[Comments]]),"")</f>
        <v/>
      </c>
      <c r="B987" s="90" t="s">
        <v>1815</v>
      </c>
      <c r="C987" s="72" t="s">
        <v>99</v>
      </c>
      <c r="D987" s="73" t="s">
        <v>852</v>
      </c>
      <c r="E987" s="74"/>
      <c r="F987" s="74">
        <v>40435</v>
      </c>
      <c r="G987" s="75" t="str">
        <f>IF(stdProdLT(Main[[#This Row],[Comments]])=0.1,"N/A",IF(stdProdLT(Main[[#This Row],[Comments]])=0,"",stdProdLT(Main[[#This Row],[Comments]])))</f>
        <v/>
      </c>
      <c r="H987" s="76" t="str">
        <f>IF(AND(Main[[#This Row],[In Stock Date]]&lt;&gt;"",Main[[#This Row],[Revised Due Date]]&lt;&gt;""),Main[[#This Row],[In Stock Date]]-Main[[#This Row],[Revised Due Date]],"")</f>
        <v/>
      </c>
      <c r="I987" s="72" t="s">
        <v>4</v>
      </c>
      <c r="J987" s="72" t="s">
        <v>28</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40435</v>
      </c>
      <c r="R987" s="74"/>
      <c r="S987" s="72" t="s">
        <v>11</v>
      </c>
      <c r="T987" s="80" t="s">
        <v>4</v>
      </c>
      <c r="U987" s="72" t="s">
        <v>14</v>
      </c>
      <c r="V987" s="72" t="s">
        <v>1935</v>
      </c>
      <c r="W987" s="72" t="s">
        <v>1937</v>
      </c>
      <c r="X987" s="72" t="s">
        <v>2928</v>
      </c>
      <c r="Y987" s="72" t="s">
        <v>3061</v>
      </c>
      <c r="Z987" s="72" t="s">
        <v>535</v>
      </c>
      <c r="AA987" s="147" t="s">
        <v>3652</v>
      </c>
    </row>
    <row r="988" spans="1:27" ht="18.600000000000001" customHeight="1">
      <c r="A988" s="140" t="str">
        <f>IF(priority(Main[[#This Row],[Comments]])&lt;&gt;0, priority(Main[[#This Row],[Comments]]),"")</f>
        <v/>
      </c>
      <c r="B988" s="90" t="s">
        <v>1801</v>
      </c>
      <c r="C988" s="72" t="s">
        <v>837</v>
      </c>
      <c r="D988" s="73" t="s">
        <v>838</v>
      </c>
      <c r="E988" s="74"/>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4</v>
      </c>
      <c r="J988" s="72" t="s">
        <v>4</v>
      </c>
      <c r="K988" s="81" t="s">
        <v>4</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c r="R988" s="74"/>
      <c r="S988" s="72" t="s">
        <v>11</v>
      </c>
      <c r="T988" s="80" t="s">
        <v>4</v>
      </c>
      <c r="U988" s="72" t="s">
        <v>14</v>
      </c>
      <c r="V988" s="72" t="s">
        <v>1933</v>
      </c>
      <c r="W988" s="72" t="s">
        <v>1937</v>
      </c>
      <c r="X988" s="72" t="s">
        <v>2980</v>
      </c>
      <c r="Y988" s="72" t="s">
        <v>4</v>
      </c>
      <c r="Z988" s="72" t="s">
        <v>4</v>
      </c>
      <c r="AA988" s="147" t="s">
        <v>3688</v>
      </c>
    </row>
    <row r="989" spans="1:27" ht="18.600000000000001" customHeight="1">
      <c r="A989" s="140" t="str">
        <f>IF(priority(Main[[#This Row],[Comments]])&lt;&gt;0, priority(Main[[#This Row],[Comments]]),"")</f>
        <v/>
      </c>
      <c r="B989" s="90" t="s">
        <v>2152</v>
      </c>
      <c r="C989" s="72" t="s">
        <v>4</v>
      </c>
      <c r="D989" s="73" t="s">
        <v>2153</v>
      </c>
      <c r="E989" s="74">
        <v>40760.662685185183</v>
      </c>
      <c r="F989" s="74"/>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81"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6</v>
      </c>
      <c r="T989" s="80" t="s">
        <v>4</v>
      </c>
      <c r="U989" s="72" t="s">
        <v>7</v>
      </c>
      <c r="V989" s="72" t="s">
        <v>1932</v>
      </c>
      <c r="W989" s="72" t="s">
        <v>4</v>
      </c>
      <c r="X989" s="72" t="s">
        <v>310</v>
      </c>
      <c r="Y989" s="72" t="s">
        <v>4</v>
      </c>
      <c r="Z989" s="72" t="s">
        <v>4</v>
      </c>
      <c r="AA989" s="147" t="s">
        <v>3632</v>
      </c>
    </row>
    <row r="990" spans="1:27" ht="18.600000000000001" customHeight="1">
      <c r="A990" s="140" t="str">
        <f>IF(priority(Main[[#This Row],[Comments]])&lt;&gt;0, priority(Main[[#This Row],[Comments]]),"")</f>
        <v/>
      </c>
      <c r="B990" s="90" t="s">
        <v>2812</v>
      </c>
      <c r="C990" s="72" t="s">
        <v>2813</v>
      </c>
      <c r="D990" s="73" t="s">
        <v>2814</v>
      </c>
      <c r="E990" s="74">
        <v>40883.362615740742</v>
      </c>
      <c r="F990" s="74"/>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v>
      </c>
      <c r="J990" s="72" t="s">
        <v>4</v>
      </c>
      <c r="K990" s="72" t="s">
        <v>4</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c r="R990" s="74"/>
      <c r="S990" s="72" t="s">
        <v>17</v>
      </c>
      <c r="T990" s="80" t="s">
        <v>4</v>
      </c>
      <c r="U990" s="72" t="s">
        <v>7</v>
      </c>
      <c r="V990" s="72" t="s">
        <v>1935</v>
      </c>
      <c r="W990" s="72" t="s">
        <v>1937</v>
      </c>
      <c r="X990" s="72" t="s">
        <v>659</v>
      </c>
      <c r="Y990" s="72" t="s">
        <v>3223</v>
      </c>
      <c r="Z990" s="72" t="s">
        <v>4</v>
      </c>
      <c r="AA990" s="147" t="s">
        <v>659</v>
      </c>
    </row>
    <row r="991" spans="1:27" ht="18.600000000000001" customHeight="1">
      <c r="A991" s="140" t="str">
        <f>IF(priority(Main[[#This Row],[Comments]])&lt;&gt;0, priority(Main[[#This Row],[Comments]]),"")</f>
        <v/>
      </c>
      <c r="B991" s="90" t="s">
        <v>1816</v>
      </c>
      <c r="C991" s="72" t="s">
        <v>4</v>
      </c>
      <c r="D991" s="73" t="s">
        <v>853</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50</v>
      </c>
      <c r="J991" s="72" t="s">
        <v>28</v>
      </c>
      <c r="K991" s="72" t="s">
        <v>1941</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c r="R991" s="74"/>
      <c r="S991" s="72" t="s">
        <v>6</v>
      </c>
      <c r="T991" s="80" t="s">
        <v>4</v>
      </c>
      <c r="U991" s="72" t="s">
        <v>14</v>
      </c>
      <c r="V991" s="72" t="s">
        <v>1935</v>
      </c>
      <c r="W991" s="72" t="s">
        <v>1936</v>
      </c>
      <c r="X991" s="72" t="s">
        <v>2957</v>
      </c>
      <c r="Y991" s="72" t="s">
        <v>3095</v>
      </c>
      <c r="Z991" s="72" t="s">
        <v>44</v>
      </c>
      <c r="AA991" s="147" t="s">
        <v>2957</v>
      </c>
    </row>
    <row r="992" spans="1:27" ht="18.600000000000001" customHeight="1">
      <c r="A992" s="140" t="str">
        <f>IF(priority(Main[[#This Row],[Comments]])&lt;&gt;0, priority(Main[[#This Row],[Comments]]),"")</f>
        <v/>
      </c>
      <c r="B992" s="90" t="s">
        <v>1817</v>
      </c>
      <c r="C992" s="72" t="s">
        <v>498</v>
      </c>
      <c r="D992" s="73" t="s">
        <v>854</v>
      </c>
      <c r="E992" s="74"/>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4</v>
      </c>
      <c r="K992" s="72"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v>40239</v>
      </c>
      <c r="R992" s="74"/>
      <c r="S992" s="72" t="s">
        <v>11</v>
      </c>
      <c r="T992" s="80" t="s">
        <v>4</v>
      </c>
      <c r="U992" s="72" t="s">
        <v>14</v>
      </c>
      <c r="V992" s="72" t="s">
        <v>1935</v>
      </c>
      <c r="W992" s="72" t="s">
        <v>1934</v>
      </c>
      <c r="X992" s="72" t="s">
        <v>2987</v>
      </c>
      <c r="Y992" s="72" t="s">
        <v>4</v>
      </c>
      <c r="Z992" s="72" t="s">
        <v>4</v>
      </c>
      <c r="AA992" s="147" t="s">
        <v>2987</v>
      </c>
    </row>
    <row r="993" spans="1:27" ht="18.600000000000001" customHeight="1">
      <c r="A993" s="140" t="str">
        <f>IF(priority(Main[[#This Row],[Comments]])&lt;&gt;0, priority(Main[[#This Row],[Comments]]),"")</f>
        <v/>
      </c>
      <c r="B993" s="90" t="s">
        <v>2594</v>
      </c>
      <c r="C993" s="72" t="s">
        <v>4</v>
      </c>
      <c r="D993" s="73" t="s">
        <v>2595</v>
      </c>
      <c r="E993" s="74">
        <v>40861.17015046296</v>
      </c>
      <c r="F993" s="74"/>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69</v>
      </c>
      <c r="J993" s="72" t="s">
        <v>70</v>
      </c>
      <c r="K993" s="72" t="s">
        <v>1941</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40891</v>
      </c>
      <c r="R993" s="74"/>
      <c r="S993" s="72" t="s">
        <v>6</v>
      </c>
      <c r="T993" s="80" t="s">
        <v>4</v>
      </c>
      <c r="U993" s="72" t="s">
        <v>29</v>
      </c>
      <c r="V993" s="72" t="s">
        <v>1935</v>
      </c>
      <c r="W993" s="72" t="s">
        <v>1936</v>
      </c>
      <c r="X993" s="72" t="s">
        <v>2913</v>
      </c>
      <c r="Y993" s="72" t="s">
        <v>3033</v>
      </c>
      <c r="Z993" s="72" t="s">
        <v>30</v>
      </c>
      <c r="AA993" s="147" t="s">
        <v>2913</v>
      </c>
    </row>
    <row r="994" spans="1:27" ht="18.600000000000001" customHeight="1">
      <c r="A994" s="140" t="str">
        <f>IF(priority(Main[[#This Row],[Comments]])&lt;&gt;0, priority(Main[[#This Row],[Comments]]),"")</f>
        <v/>
      </c>
      <c r="B994" s="90" t="s">
        <v>1818</v>
      </c>
      <c r="C994" s="72" t="s">
        <v>4</v>
      </c>
      <c r="D994" s="73" t="s">
        <v>855</v>
      </c>
      <c r="E994" s="74"/>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4</v>
      </c>
      <c r="J994" s="72" t="s">
        <v>4</v>
      </c>
      <c r="K994" s="72" t="s">
        <v>4</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40349</v>
      </c>
      <c r="R994" s="74"/>
      <c r="S994" s="72" t="s">
        <v>6</v>
      </c>
      <c r="T994" s="80" t="s">
        <v>4</v>
      </c>
      <c r="U994" s="72" t="s">
        <v>14</v>
      </c>
      <c r="V994" s="72" t="s">
        <v>1935</v>
      </c>
      <c r="W994" s="72" t="s">
        <v>4</v>
      </c>
      <c r="X994" s="72" t="s">
        <v>2910</v>
      </c>
      <c r="Y994" s="72" t="s">
        <v>3027</v>
      </c>
      <c r="Z994" s="72" t="s">
        <v>4</v>
      </c>
      <c r="AA994" s="147" t="s">
        <v>2910</v>
      </c>
    </row>
    <row r="995" spans="1:27" ht="18.600000000000001" customHeight="1">
      <c r="A995" s="140" t="str">
        <f>IF(priority(Main[[#This Row],[Comments]])&lt;&gt;0, priority(Main[[#This Row],[Comments]]),"")</f>
        <v/>
      </c>
      <c r="B995" s="90" t="s">
        <v>2223</v>
      </c>
      <c r="C995" s="72" t="s">
        <v>4</v>
      </c>
      <c r="D995" s="73" t="s">
        <v>2224</v>
      </c>
      <c r="E995" s="74"/>
      <c r="F995" s="74"/>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c r="R995" s="74"/>
      <c r="S995" s="72" t="s">
        <v>6</v>
      </c>
      <c r="T995" s="80" t="s">
        <v>4</v>
      </c>
      <c r="U995" s="72" t="s">
        <v>14</v>
      </c>
      <c r="V995" s="72" t="s">
        <v>1933</v>
      </c>
      <c r="W995" s="72" t="s">
        <v>4</v>
      </c>
      <c r="X995" s="72" t="s">
        <v>310</v>
      </c>
      <c r="Y995" s="72" t="s">
        <v>4</v>
      </c>
      <c r="Z995" s="72" t="s">
        <v>4</v>
      </c>
      <c r="AA995" s="147" t="s">
        <v>4</v>
      </c>
    </row>
    <row r="996" spans="1:27" ht="18.600000000000001" customHeight="1">
      <c r="A996" s="140" t="str">
        <f>IF(priority(Main[[#This Row],[Comments]])&lt;&gt;0, priority(Main[[#This Row],[Comments]]),"")</f>
        <v/>
      </c>
      <c r="B996" s="90" t="s">
        <v>1820</v>
      </c>
      <c r="C996" s="72" t="s">
        <v>47</v>
      </c>
      <c r="D996" s="73" t="s">
        <v>860</v>
      </c>
      <c r="E996" s="74"/>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v>
      </c>
      <c r="J996" s="72" t="s">
        <v>4</v>
      </c>
      <c r="K996" s="81"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17</v>
      </c>
      <c r="T996" s="80" t="s">
        <v>4</v>
      </c>
      <c r="U996" s="72" t="s">
        <v>14</v>
      </c>
      <c r="V996" s="72" t="s">
        <v>1935</v>
      </c>
      <c r="W996" s="72" t="s">
        <v>1937</v>
      </c>
      <c r="X996" s="72" t="s">
        <v>2918</v>
      </c>
      <c r="Y996" s="72" t="s">
        <v>3207</v>
      </c>
      <c r="Z996" s="72" t="s">
        <v>4</v>
      </c>
      <c r="AA996" s="147" t="s">
        <v>2918</v>
      </c>
    </row>
    <row r="997" spans="1:27" ht="18.600000000000001" customHeight="1">
      <c r="A997" s="140" t="str">
        <f>IF(priority(Main[[#This Row],[Comments]])&lt;&gt;0, priority(Main[[#This Row],[Comments]]),"")</f>
        <v/>
      </c>
      <c r="B997" s="90" t="s">
        <v>1744</v>
      </c>
      <c r="C997" s="72" t="s">
        <v>4</v>
      </c>
      <c r="D997" s="73" t="s">
        <v>793</v>
      </c>
      <c r="E997" s="74">
        <v>40584.407268518517</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v>
      </c>
      <c r="J997" s="72" t="s">
        <v>4</v>
      </c>
      <c r="K997" s="72" t="s">
        <v>4</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v>40602</v>
      </c>
      <c r="R997" s="74"/>
      <c r="S997" s="72" t="s">
        <v>17</v>
      </c>
      <c r="T997" s="80" t="s">
        <v>4</v>
      </c>
      <c r="U997" s="72" t="s">
        <v>7</v>
      </c>
      <c r="V997" s="72" t="s">
        <v>1932</v>
      </c>
      <c r="W997" s="72" t="s">
        <v>1940</v>
      </c>
      <c r="X997" s="72" t="s">
        <v>2919</v>
      </c>
      <c r="Y997" s="72" t="s">
        <v>3045</v>
      </c>
      <c r="Z997" s="72" t="s">
        <v>4</v>
      </c>
      <c r="AA997" s="147" t="s">
        <v>2919</v>
      </c>
    </row>
    <row r="998" spans="1:27" ht="18.600000000000001" customHeight="1">
      <c r="A998" s="140" t="str">
        <f>IF(priority(Main[[#This Row],[Comments]])&lt;&gt;0, priority(Main[[#This Row],[Comments]]),"")</f>
        <v/>
      </c>
      <c r="B998" s="90" t="s">
        <v>1803</v>
      </c>
      <c r="C998" s="72" t="s">
        <v>4</v>
      </c>
      <c r="D998" s="73" t="s">
        <v>840</v>
      </c>
      <c r="E998" s="74"/>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4</v>
      </c>
      <c r="J998" s="72" t="s">
        <v>4</v>
      </c>
      <c r="K998" s="72" t="s">
        <v>4</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23</v>
      </c>
      <c r="T998" s="80" t="s">
        <v>4</v>
      </c>
      <c r="U998" s="72" t="s">
        <v>14</v>
      </c>
      <c r="V998" s="72" t="s">
        <v>1932</v>
      </c>
      <c r="W998" s="72" t="s">
        <v>1936</v>
      </c>
      <c r="X998" s="72" t="s">
        <v>310</v>
      </c>
      <c r="Y998" s="72" t="s">
        <v>4</v>
      </c>
      <c r="Z998" s="72" t="s">
        <v>4</v>
      </c>
      <c r="AA998" s="147" t="s">
        <v>3684</v>
      </c>
    </row>
    <row r="999" spans="1:27" ht="18.600000000000001" customHeight="1">
      <c r="A999" s="140" t="str">
        <f>IF(priority(Main[[#This Row],[Comments]])&lt;&gt;0, priority(Main[[#This Row],[Comments]]),"")</f>
        <v/>
      </c>
      <c r="B999" s="90" t="s">
        <v>1822</v>
      </c>
      <c r="C999" s="72" t="s">
        <v>95</v>
      </c>
      <c r="D999" s="73" t="s">
        <v>862</v>
      </c>
      <c r="E999" s="74">
        <v>40060.34884259259</v>
      </c>
      <c r="F999" s="74">
        <v>40195</v>
      </c>
      <c r="G999" s="75" t="str">
        <f>IF(stdProdLT(Main[[#This Row],[Comments]])=0.1,"N/A",IF(stdProdLT(Main[[#This Row],[Comments]])=0,"",stdProdLT(Main[[#This Row],[Comments]])))</f>
        <v/>
      </c>
      <c r="H999" s="76">
        <f>IF(AND(Main[[#This Row],[In Stock Date]]&lt;&gt;"",Main[[#This Row],[Revised Due Date]]&lt;&gt;""),Main[[#This Row],[In Stock Date]]-Main[[#This Row],[Revised Due Date]],"")</f>
        <v>17</v>
      </c>
      <c r="I999" s="72" t="s">
        <v>863</v>
      </c>
      <c r="J999" s="72" t="s">
        <v>4</v>
      </c>
      <c r="K999" s="81"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40080</v>
      </c>
      <c r="R999" s="74">
        <v>40178</v>
      </c>
      <c r="S999" s="72" t="s">
        <v>17</v>
      </c>
      <c r="T999" s="80" t="s">
        <v>4</v>
      </c>
      <c r="U999" s="72" t="s">
        <v>29</v>
      </c>
      <c r="V999" s="72" t="s">
        <v>1935</v>
      </c>
      <c r="W999" s="72" t="s">
        <v>1940</v>
      </c>
      <c r="X999" s="72" t="s">
        <v>2967</v>
      </c>
      <c r="Y999" s="72" t="s">
        <v>4</v>
      </c>
      <c r="Z999" s="72" t="s">
        <v>81</v>
      </c>
      <c r="AA999" s="147" t="s">
        <v>3648</v>
      </c>
    </row>
    <row r="1000" spans="1:27" ht="18.600000000000001" customHeight="1">
      <c r="A1000" s="140" t="str">
        <f>IF(priority(Main[[#This Row],[Comments]])&lt;&gt;0, priority(Main[[#This Row],[Comments]]),"")</f>
        <v/>
      </c>
      <c r="B1000" s="90" t="s">
        <v>3279</v>
      </c>
      <c r="C1000" s="72" t="s">
        <v>4</v>
      </c>
      <c r="D1000" s="73" t="s">
        <v>3399</v>
      </c>
      <c r="E1000" s="74">
        <v>40919.388969907406</v>
      </c>
      <c r="F1000" s="74"/>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30</v>
      </c>
      <c r="J1000" s="72" t="s">
        <v>28</v>
      </c>
      <c r="K1000" s="72" t="s">
        <v>1941</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v>40928</v>
      </c>
      <c r="R1000" s="74"/>
      <c r="S1000" s="72" t="s">
        <v>6</v>
      </c>
      <c r="T1000" s="80" t="s">
        <v>4</v>
      </c>
      <c r="U1000" s="72" t="s">
        <v>29</v>
      </c>
      <c r="V1000" s="72" t="s">
        <v>1935</v>
      </c>
      <c r="W1000" s="72" t="s">
        <v>1936</v>
      </c>
      <c r="X1000" s="72" t="s">
        <v>2994</v>
      </c>
      <c r="Y1000" s="72" t="s">
        <v>3178</v>
      </c>
      <c r="Z1000" s="72" t="s">
        <v>30</v>
      </c>
      <c r="AA1000" s="147" t="s">
        <v>2994</v>
      </c>
    </row>
    <row r="1001" spans="1:27" ht="18.600000000000001" customHeight="1">
      <c r="A1001" s="140" t="str">
        <f>IF(priority(Main[[#This Row],[Comments]])&lt;&gt;0, priority(Main[[#This Row],[Comments]]),"")</f>
        <v/>
      </c>
      <c r="B1001" s="90" t="s">
        <v>2154</v>
      </c>
      <c r="C1001" s="72" t="s">
        <v>963</v>
      </c>
      <c r="D1001" s="73" t="s">
        <v>2155</v>
      </c>
      <c r="E1001" s="74"/>
      <c r="F1001" s="74">
        <v>40871</v>
      </c>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403</v>
      </c>
      <c r="J1001" s="72" t="s">
        <v>51</v>
      </c>
      <c r="K1001" s="72" t="s">
        <v>1941</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c r="R1001" s="74"/>
      <c r="S1001" s="72" t="s">
        <v>11</v>
      </c>
      <c r="T1001" s="80" t="s">
        <v>4</v>
      </c>
      <c r="U1001" s="72" t="s">
        <v>14</v>
      </c>
      <c r="V1001" s="72" t="s">
        <v>1932</v>
      </c>
      <c r="W1001" s="72" t="s">
        <v>1938</v>
      </c>
      <c r="X1001" s="72" t="s">
        <v>50</v>
      </c>
      <c r="Y1001" s="72" t="s">
        <v>3056</v>
      </c>
      <c r="Z1001" s="72" t="s">
        <v>310</v>
      </c>
      <c r="AA1001" s="147" t="s">
        <v>50</v>
      </c>
    </row>
    <row r="1002" spans="1:27" ht="18.600000000000001" customHeight="1">
      <c r="A1002" s="140" t="str">
        <f>IF(priority(Main[[#This Row],[Comments]])&lt;&gt;0, priority(Main[[#This Row],[Comments]]),"")</f>
        <v/>
      </c>
      <c r="B1002" s="90" t="s">
        <v>2156</v>
      </c>
      <c r="C1002" s="72" t="s">
        <v>963</v>
      </c>
      <c r="D1002" s="73" t="s">
        <v>2157</v>
      </c>
      <c r="E1002" s="74"/>
      <c r="F1002" s="74">
        <v>40871</v>
      </c>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4</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11</v>
      </c>
      <c r="T1002" s="80" t="s">
        <v>4</v>
      </c>
      <c r="U1002" s="72" t="s">
        <v>14</v>
      </c>
      <c r="V1002" s="72" t="s">
        <v>1935</v>
      </c>
      <c r="W1002" s="72" t="s">
        <v>1940</v>
      </c>
      <c r="X1002" s="72" t="s">
        <v>50</v>
      </c>
      <c r="Y1002" s="72" t="s">
        <v>3056</v>
      </c>
      <c r="Z1002" s="72" t="s">
        <v>4</v>
      </c>
      <c r="AA1002" s="147" t="s">
        <v>50</v>
      </c>
    </row>
    <row r="1003" spans="1:27" ht="18.600000000000001" customHeight="1">
      <c r="A1003" s="140" t="str">
        <f>IF(priority(Main[[#This Row],[Comments]])&lt;&gt;0, priority(Main[[#This Row],[Comments]]),"")</f>
        <v/>
      </c>
      <c r="B1003" s="90" t="s">
        <v>3729</v>
      </c>
      <c r="C1003" s="72" t="s">
        <v>31</v>
      </c>
      <c r="D1003" s="73" t="s">
        <v>3730</v>
      </c>
      <c r="E1003" s="74">
        <v>40940.670439814814</v>
      </c>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40942</v>
      </c>
      <c r="R1003" s="74"/>
      <c r="S1003" s="72" t="s">
        <v>11</v>
      </c>
      <c r="T1003" s="80" t="s">
        <v>4</v>
      </c>
      <c r="U1003" s="72" t="s">
        <v>7</v>
      </c>
      <c r="V1003" s="72" t="s">
        <v>1942</v>
      </c>
      <c r="W1003" s="72" t="s">
        <v>1938</v>
      </c>
      <c r="X1003" s="72" t="s">
        <v>2961</v>
      </c>
      <c r="Y1003" s="72" t="s">
        <v>3111</v>
      </c>
      <c r="Z1003" s="72" t="s">
        <v>4</v>
      </c>
      <c r="AA1003" s="147" t="s">
        <v>2961</v>
      </c>
    </row>
    <row r="1004" spans="1:27" ht="18.600000000000001" customHeight="1">
      <c r="A1004" s="140" t="str">
        <f>IF(priority(Main[[#This Row],[Comments]])&lt;&gt;0, priority(Main[[#This Row],[Comments]]),"")</f>
        <v/>
      </c>
      <c r="B1004" s="90" t="s">
        <v>2550</v>
      </c>
      <c r="C1004" s="72" t="s">
        <v>47</v>
      </c>
      <c r="D1004" s="73" t="s">
        <v>3772</v>
      </c>
      <c r="E1004" s="74">
        <v>40857.653622685182</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4</v>
      </c>
      <c r="J1004" s="72" t="s">
        <v>4</v>
      </c>
      <c r="K1004" s="72" t="s">
        <v>4</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40892</v>
      </c>
      <c r="R1004" s="74"/>
      <c r="S1004" s="72" t="s">
        <v>6</v>
      </c>
      <c r="T1004" s="80" t="s">
        <v>4</v>
      </c>
      <c r="U1004" s="72" t="s">
        <v>29</v>
      </c>
      <c r="V1004" s="72" t="s">
        <v>2312</v>
      </c>
      <c r="W1004" s="72" t="s">
        <v>4</v>
      </c>
      <c r="X1004" s="72" t="s">
        <v>2956</v>
      </c>
      <c r="Y1004" s="72" t="s">
        <v>3105</v>
      </c>
      <c r="Z1004" s="72" t="s">
        <v>4</v>
      </c>
      <c r="AA1004" s="147" t="s">
        <v>2956</v>
      </c>
    </row>
    <row r="1005" spans="1:27" ht="18.600000000000001" customHeight="1">
      <c r="A1005" s="140" t="str">
        <f>IF(priority(Main[[#This Row],[Comments]])&lt;&gt;0, priority(Main[[#This Row],[Comments]]),"")</f>
        <v/>
      </c>
      <c r="B1005" s="90" t="s">
        <v>3400</v>
      </c>
      <c r="C1005" s="72" t="s">
        <v>3401</v>
      </c>
      <c r="D1005" s="73" t="s">
        <v>3539</v>
      </c>
      <c r="E1005" s="74">
        <v>40934.707789351851</v>
      </c>
      <c r="F1005" s="74">
        <v>41065</v>
      </c>
      <c r="G1005" s="75">
        <f>IF(stdProdLT(Main[[#This Row],[Comments]])=0.1,"N/A",IF(stdProdLT(Main[[#This Row],[Comments]])=0,"",stdProdLT(Main[[#This Row],[Comments]])))</f>
        <v>84</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v>40945</v>
      </c>
      <c r="R1005" s="74"/>
      <c r="S1005" s="72" t="s">
        <v>11</v>
      </c>
      <c r="T1005" s="80" t="s">
        <v>3402</v>
      </c>
      <c r="U1005" s="72" t="s">
        <v>7</v>
      </c>
      <c r="V1005" s="72" t="s">
        <v>1932</v>
      </c>
      <c r="W1005" s="72" t="s">
        <v>1940</v>
      </c>
      <c r="X1005" s="72" t="s">
        <v>2920</v>
      </c>
      <c r="Y1005" s="72" t="s">
        <v>3046</v>
      </c>
      <c r="Z1005" s="72" t="s">
        <v>4</v>
      </c>
      <c r="AA1005" s="147" t="s">
        <v>2920</v>
      </c>
    </row>
    <row r="1006" spans="1:27" ht="18.600000000000001" customHeight="1">
      <c r="A1006" s="140" t="str">
        <f>IF(priority(Main[[#This Row],[Comments]])&lt;&gt;0, priority(Main[[#This Row],[Comments]]),"")</f>
        <v/>
      </c>
      <c r="B1006" s="90" t="s">
        <v>2140</v>
      </c>
      <c r="C1006" s="72" t="s">
        <v>4</v>
      </c>
      <c r="D1006" s="73" t="s">
        <v>2141</v>
      </c>
      <c r="E1006" s="74"/>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69</v>
      </c>
      <c r="J1006" s="72" t="s">
        <v>70</v>
      </c>
      <c r="K1006" s="72" t="s">
        <v>1941</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v>40816</v>
      </c>
      <c r="R1006" s="74"/>
      <c r="S1006" s="72" t="s">
        <v>6</v>
      </c>
      <c r="T1006" s="80" t="s">
        <v>4</v>
      </c>
      <c r="U1006" s="72" t="s">
        <v>14</v>
      </c>
      <c r="V1006" s="72" t="s">
        <v>1935</v>
      </c>
      <c r="W1006" s="72" t="s">
        <v>1936</v>
      </c>
      <c r="X1006" s="72" t="s">
        <v>310</v>
      </c>
      <c r="Y1006" s="72" t="s">
        <v>3208</v>
      </c>
      <c r="Z1006" s="72" t="s">
        <v>30</v>
      </c>
      <c r="AA1006" s="147" t="s">
        <v>3628</v>
      </c>
    </row>
    <row r="1007" spans="1:27" ht="18.600000000000001" customHeight="1">
      <c r="A1007" s="140" t="str">
        <f>IF(priority(Main[[#This Row],[Comments]])&lt;&gt;0, priority(Main[[#This Row],[Comments]]),"")</f>
        <v/>
      </c>
      <c r="B1007" s="90" t="s">
        <v>2208</v>
      </c>
      <c r="C1007" s="72" t="s">
        <v>4</v>
      </c>
      <c r="D1007" s="73" t="s">
        <v>2209</v>
      </c>
      <c r="E1007" s="74">
        <v>40784.630833333336</v>
      </c>
      <c r="F1007" s="74">
        <v>41153</v>
      </c>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72"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17</v>
      </c>
      <c r="T1007" s="80" t="s">
        <v>4</v>
      </c>
      <c r="U1007" s="72" t="s">
        <v>7</v>
      </c>
      <c r="V1007" s="72" t="s">
        <v>1935</v>
      </c>
      <c r="W1007" s="72" t="s">
        <v>1937</v>
      </c>
      <c r="X1007" s="72" t="s">
        <v>2976</v>
      </c>
      <c r="Y1007" s="72" t="s">
        <v>3136</v>
      </c>
      <c r="Z1007" s="72" t="s">
        <v>4</v>
      </c>
      <c r="AA1007" s="147" t="s">
        <v>2976</v>
      </c>
    </row>
    <row r="1008" spans="1:27" ht="18.600000000000001" customHeight="1">
      <c r="A1008" s="140" t="str">
        <f>IF(priority(Main[[#This Row],[Comments]])&lt;&gt;0, priority(Main[[#This Row],[Comments]]),"")</f>
        <v/>
      </c>
      <c r="B1008" s="90" t="s">
        <v>2081</v>
      </c>
      <c r="C1008" s="72" t="s">
        <v>4</v>
      </c>
      <c r="D1008" s="73" t="s">
        <v>2082</v>
      </c>
      <c r="E1008" s="74">
        <v>40758.348310185182</v>
      </c>
      <c r="F1008" s="74"/>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420</v>
      </c>
      <c r="J1008" s="72" t="s">
        <v>28</v>
      </c>
      <c r="K1008" s="72" t="s">
        <v>1939</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6</v>
      </c>
      <c r="T1008" s="80" t="s">
        <v>4</v>
      </c>
      <c r="U1008" s="72" t="s">
        <v>29</v>
      </c>
      <c r="V1008" s="72" t="s">
        <v>1935</v>
      </c>
      <c r="W1008" s="72" t="s">
        <v>1934</v>
      </c>
      <c r="X1008" s="72" t="s">
        <v>2957</v>
      </c>
      <c r="Y1008" s="72" t="s">
        <v>3095</v>
      </c>
      <c r="Z1008" s="72" t="s">
        <v>420</v>
      </c>
      <c r="AA1008" s="147" t="s">
        <v>2957</v>
      </c>
    </row>
    <row r="1009" spans="1:27" ht="18.600000000000001" customHeight="1">
      <c r="A1009" s="140" t="str">
        <f>IF(priority(Main[[#This Row],[Comments]])&lt;&gt;0, priority(Main[[#This Row],[Comments]]),"")</f>
        <v/>
      </c>
      <c r="B1009" s="90" t="s">
        <v>2225</v>
      </c>
      <c r="C1009" s="72" t="s">
        <v>4</v>
      </c>
      <c r="D1009" s="73" t="s">
        <v>2226</v>
      </c>
      <c r="E1009" s="74">
        <v>40784.953148148146</v>
      </c>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494</v>
      </c>
      <c r="J1009" s="72" t="s">
        <v>70</v>
      </c>
      <c r="K1009" s="72" t="s">
        <v>1941</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40847</v>
      </c>
      <c r="R1009" s="74"/>
      <c r="S1009" s="72" t="s">
        <v>6</v>
      </c>
      <c r="T1009" s="80" t="s">
        <v>4</v>
      </c>
      <c r="U1009" s="72" t="s">
        <v>29</v>
      </c>
      <c r="V1009" s="72" t="s">
        <v>1935</v>
      </c>
      <c r="W1009" s="72" t="s">
        <v>1936</v>
      </c>
      <c r="X1009" s="72" t="s">
        <v>30</v>
      </c>
      <c r="Y1009" s="72" t="s">
        <v>3209</v>
      </c>
      <c r="Z1009" s="72" t="s">
        <v>30</v>
      </c>
      <c r="AA1009" s="147" t="s">
        <v>3685</v>
      </c>
    </row>
    <row r="1010" spans="1:27" ht="18.600000000000001" customHeight="1">
      <c r="A1010" s="140" t="str">
        <f>IF(priority(Main[[#This Row],[Comments]])&lt;&gt;0, priority(Main[[#This Row],[Comments]]),"")</f>
        <v/>
      </c>
      <c r="B1010" s="90" t="s">
        <v>2002</v>
      </c>
      <c r="C1010" s="72" t="s">
        <v>4</v>
      </c>
      <c r="D1010" s="73" t="s">
        <v>2038</v>
      </c>
      <c r="E1010" s="74">
        <v>40737.35056712963</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2035</v>
      </c>
      <c r="J1010" s="72" t="s">
        <v>28</v>
      </c>
      <c r="K1010" s="72" t="s">
        <v>4</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c r="R1010" s="74"/>
      <c r="S1010" s="72" t="s">
        <v>17</v>
      </c>
      <c r="T1010" s="80" t="s">
        <v>4</v>
      </c>
      <c r="U1010" s="72" t="s">
        <v>7</v>
      </c>
      <c r="V1010" s="72" t="s">
        <v>1947</v>
      </c>
      <c r="W1010" s="72" t="s">
        <v>1936</v>
      </c>
      <c r="X1010" s="72" t="s">
        <v>933</v>
      </c>
      <c r="Y1010" s="72" t="s">
        <v>3210</v>
      </c>
      <c r="Z1010" s="72" t="s">
        <v>2237</v>
      </c>
      <c r="AA1010" s="147" t="s">
        <v>3686</v>
      </c>
    </row>
    <row r="1011" spans="1:27" ht="18.600000000000001" customHeight="1">
      <c r="A1011" s="140" t="str">
        <f>IF(priority(Main[[#This Row],[Comments]])&lt;&gt;0, priority(Main[[#This Row],[Comments]]),"")</f>
        <v/>
      </c>
      <c r="B1011" s="90" t="s">
        <v>1090</v>
      </c>
      <c r="C1011" s="72" t="s">
        <v>4</v>
      </c>
      <c r="D1011" s="73" t="s">
        <v>2188</v>
      </c>
      <c r="E1011" s="74">
        <v>40696.780057870368</v>
      </c>
      <c r="F1011" s="74"/>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494</v>
      </c>
      <c r="J1011" s="72" t="s">
        <v>52</v>
      </c>
      <c r="K1011" s="72" t="s">
        <v>1941</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v>40753</v>
      </c>
      <c r="R1011" s="74"/>
      <c r="S1011" s="72" t="s">
        <v>6</v>
      </c>
      <c r="T1011" s="80" t="s">
        <v>4</v>
      </c>
      <c r="U1011" s="72" t="s">
        <v>29</v>
      </c>
      <c r="V1011" s="72" t="s">
        <v>1942</v>
      </c>
      <c r="W1011" s="72" t="s">
        <v>1936</v>
      </c>
      <c r="X1011" s="72" t="s">
        <v>30</v>
      </c>
      <c r="Y1011" s="72" t="s">
        <v>3052</v>
      </c>
      <c r="Z1011" s="72" t="s">
        <v>44</v>
      </c>
      <c r="AA1011" s="147" t="s">
        <v>30</v>
      </c>
    </row>
    <row r="1012" spans="1:27" ht="18.600000000000001" customHeight="1">
      <c r="A1012" s="140" t="str">
        <f>IF(priority(Main[[#This Row],[Comments]])&lt;&gt;0, priority(Main[[#This Row],[Comments]]),"")</f>
        <v/>
      </c>
      <c r="B1012" s="90" t="s">
        <v>1830</v>
      </c>
      <c r="C1012" s="72" t="s">
        <v>67</v>
      </c>
      <c r="D1012" s="73" t="s">
        <v>872</v>
      </c>
      <c r="E1012" s="74">
        <v>39981.506990740738</v>
      </c>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863</v>
      </c>
      <c r="J1012" s="72" t="s">
        <v>4</v>
      </c>
      <c r="K1012" s="72" t="s">
        <v>1945</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40142</v>
      </c>
      <c r="R1012" s="74">
        <v>40259</v>
      </c>
      <c r="S1012" s="72" t="s">
        <v>17</v>
      </c>
      <c r="T1012" s="80" t="s">
        <v>4</v>
      </c>
      <c r="U1012" s="72" t="s">
        <v>29</v>
      </c>
      <c r="V1012" s="72" t="s">
        <v>1942</v>
      </c>
      <c r="W1012" s="72" t="s">
        <v>1937</v>
      </c>
      <c r="X1012" s="72" t="s">
        <v>2911</v>
      </c>
      <c r="Y1012" s="72" t="s">
        <v>3123</v>
      </c>
      <c r="Z1012" s="72" t="s">
        <v>81</v>
      </c>
      <c r="AA1012" s="147" t="s">
        <v>3651</v>
      </c>
    </row>
    <row r="1013" spans="1:27" ht="18.600000000000001" customHeight="1">
      <c r="A1013" s="140" t="str">
        <f>IF(priority(Main[[#This Row],[Comments]])&lt;&gt;0, priority(Main[[#This Row],[Comments]]),"")</f>
        <v/>
      </c>
      <c r="B1013" s="90" t="s">
        <v>2281</v>
      </c>
      <c r="C1013" s="72" t="s">
        <v>4</v>
      </c>
      <c r="D1013" s="73" t="s">
        <v>2282</v>
      </c>
      <c r="E1013" s="74">
        <v>40806.34847222222</v>
      </c>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4</v>
      </c>
      <c r="K1013" s="72"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v>40820</v>
      </c>
      <c r="R1013" s="74"/>
      <c r="S1013" s="72" t="s">
        <v>6</v>
      </c>
      <c r="T1013" s="80" t="s">
        <v>4</v>
      </c>
      <c r="U1013" s="72" t="s">
        <v>7</v>
      </c>
      <c r="V1013" s="72" t="s">
        <v>1932</v>
      </c>
      <c r="W1013" s="72" t="s">
        <v>4</v>
      </c>
      <c r="X1013" s="72" t="s">
        <v>2942</v>
      </c>
      <c r="Y1013" s="72" t="s">
        <v>3081</v>
      </c>
      <c r="Z1013" s="72" t="s">
        <v>4</v>
      </c>
      <c r="AA1013" s="147" t="s">
        <v>2942</v>
      </c>
    </row>
    <row r="1014" spans="1:27" ht="18.600000000000001" customHeight="1">
      <c r="A1014" s="140" t="str">
        <f>IF(priority(Main[[#This Row],[Comments]])&lt;&gt;0, priority(Main[[#This Row],[Comments]]),"")</f>
        <v/>
      </c>
      <c r="B1014" s="90" t="s">
        <v>2146</v>
      </c>
      <c r="C1014" s="72" t="s">
        <v>4</v>
      </c>
      <c r="D1014" s="73" t="s">
        <v>2147</v>
      </c>
      <c r="E1014" s="74">
        <v>40764.689583333333</v>
      </c>
      <c r="F1014" s="74"/>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888</v>
      </c>
      <c r="J1014" s="72" t="s">
        <v>4</v>
      </c>
      <c r="K1014" s="72" t="s">
        <v>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6</v>
      </c>
      <c r="T1014" s="80" t="s">
        <v>4</v>
      </c>
      <c r="U1014" s="72" t="s">
        <v>7</v>
      </c>
      <c r="V1014" s="72" t="s">
        <v>1932</v>
      </c>
      <c r="W1014" s="72" t="s">
        <v>1934</v>
      </c>
      <c r="X1014" s="72" t="s">
        <v>310</v>
      </c>
      <c r="Y1014" s="72" t="s">
        <v>4</v>
      </c>
      <c r="Z1014" s="72" t="s">
        <v>888</v>
      </c>
      <c r="AA1014" s="147" t="s">
        <v>4</v>
      </c>
    </row>
    <row r="1015" spans="1:27" ht="18.600000000000001" customHeight="1">
      <c r="A1015" s="140" t="str">
        <f>IF(priority(Main[[#This Row],[Comments]])&lt;&gt;0, priority(Main[[#This Row],[Comments]]),"")</f>
        <v/>
      </c>
      <c r="B1015" s="90" t="s">
        <v>2727</v>
      </c>
      <c r="C1015" s="72" t="s">
        <v>4</v>
      </c>
      <c r="D1015" s="73" t="s">
        <v>2728</v>
      </c>
      <c r="E1015" s="74">
        <v>40882.142546296294</v>
      </c>
      <c r="F1015" s="74"/>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69</v>
      </c>
      <c r="J1015" s="72" t="s">
        <v>70</v>
      </c>
      <c r="K1015" s="72" t="s">
        <v>1941</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v>40913</v>
      </c>
      <c r="R1015" s="74"/>
      <c r="S1015" s="72" t="s">
        <v>6</v>
      </c>
      <c r="T1015" s="80" t="s">
        <v>4</v>
      </c>
      <c r="U1015" s="72" t="s">
        <v>29</v>
      </c>
      <c r="V1015" s="72" t="s">
        <v>1935</v>
      </c>
      <c r="W1015" s="72" t="s">
        <v>1936</v>
      </c>
      <c r="X1015" s="72" t="s">
        <v>2913</v>
      </c>
      <c r="Y1015" s="72" t="s">
        <v>3033</v>
      </c>
      <c r="Z1015" s="72" t="s">
        <v>30</v>
      </c>
      <c r="AA1015" s="147" t="s">
        <v>2913</v>
      </c>
    </row>
    <row r="1016" spans="1:27" ht="18.600000000000001" customHeight="1">
      <c r="A1016" s="140" t="str">
        <f>IF(priority(Main[[#This Row],[Comments]])&lt;&gt;0, priority(Main[[#This Row],[Comments]]),"")</f>
        <v/>
      </c>
      <c r="B1016" s="90" t="s">
        <v>1088</v>
      </c>
      <c r="C1016" s="72" t="s">
        <v>4</v>
      </c>
      <c r="D1016" s="73" t="s">
        <v>2261</v>
      </c>
      <c r="E1016" s="74">
        <v>40659.528229166666</v>
      </c>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102</v>
      </c>
      <c r="J1016" s="72" t="s">
        <v>51</v>
      </c>
      <c r="K1016" s="72" t="s">
        <v>1941</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c r="R1016" s="74"/>
      <c r="S1016" s="72" t="s">
        <v>6</v>
      </c>
      <c r="T1016" s="80" t="s">
        <v>4</v>
      </c>
      <c r="U1016" s="72" t="s">
        <v>29</v>
      </c>
      <c r="V1016" s="72" t="s">
        <v>1935</v>
      </c>
      <c r="W1016" s="72" t="s">
        <v>1936</v>
      </c>
      <c r="X1016" s="72" t="s">
        <v>102</v>
      </c>
      <c r="Y1016" s="72" t="s">
        <v>3211</v>
      </c>
      <c r="Z1016" s="72" t="s">
        <v>310</v>
      </c>
      <c r="AA1016" s="147" t="s">
        <v>3687</v>
      </c>
    </row>
    <row r="1017" spans="1:27" ht="18.600000000000001" customHeight="1">
      <c r="A1017" s="140" t="str">
        <f>IF(priority(Main[[#This Row],[Comments]])&lt;&gt;0, priority(Main[[#This Row],[Comments]]),"")</f>
        <v/>
      </c>
      <c r="B1017" s="90" t="s">
        <v>2192</v>
      </c>
      <c r="C1017" s="72" t="s">
        <v>2186</v>
      </c>
      <c r="D1017" s="73" t="s">
        <v>2187</v>
      </c>
      <c r="E1017" s="74">
        <v>40781.39603009259</v>
      </c>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69</v>
      </c>
      <c r="J1017" s="72" t="s">
        <v>1998</v>
      </c>
      <c r="K1017" s="72" t="s">
        <v>1941</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v>40836</v>
      </c>
      <c r="R1017" s="74"/>
      <c r="S1017" s="72" t="s">
        <v>6</v>
      </c>
      <c r="T1017" s="80" t="s">
        <v>4</v>
      </c>
      <c r="U1017" s="72" t="s">
        <v>29</v>
      </c>
      <c r="V1017" s="72" t="s">
        <v>1935</v>
      </c>
      <c r="W1017" s="72" t="s">
        <v>1936</v>
      </c>
      <c r="X1017" s="72" t="s">
        <v>2927</v>
      </c>
      <c r="Y1017" s="72" t="s">
        <v>3060</v>
      </c>
      <c r="Z1017" s="72" t="s">
        <v>30</v>
      </c>
      <c r="AA1017" s="147" t="s">
        <v>2927</v>
      </c>
    </row>
    <row r="1018" spans="1:27" ht="18.600000000000001" customHeight="1">
      <c r="A1018" s="140" t="str">
        <f>IF(priority(Main[[#This Row],[Comments]])&lt;&gt;0, priority(Main[[#This Row],[Comments]]),"")</f>
        <v/>
      </c>
      <c r="B1018" s="90" t="s">
        <v>1799</v>
      </c>
      <c r="C1018" s="72" t="s">
        <v>183</v>
      </c>
      <c r="D1018" s="73" t="s">
        <v>834</v>
      </c>
      <c r="E1018" s="74"/>
      <c r="F1018" s="74">
        <v>40389</v>
      </c>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4</v>
      </c>
      <c r="J1018" s="72" t="s">
        <v>4</v>
      </c>
      <c r="K1018" s="72" t="s">
        <v>4</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40298</v>
      </c>
      <c r="R1018" s="74"/>
      <c r="S1018" s="72" t="s">
        <v>11</v>
      </c>
      <c r="T1018" s="80" t="s">
        <v>4</v>
      </c>
      <c r="U1018" s="72" t="s">
        <v>14</v>
      </c>
      <c r="V1018" s="72" t="s">
        <v>1932</v>
      </c>
      <c r="W1018" s="72" t="s">
        <v>1938</v>
      </c>
      <c r="X1018" s="72" t="s">
        <v>2915</v>
      </c>
      <c r="Y1018" s="72" t="s">
        <v>3038</v>
      </c>
      <c r="Z1018" s="72" t="s">
        <v>4</v>
      </c>
      <c r="AA1018" s="147" t="s">
        <v>2915</v>
      </c>
    </row>
    <row r="1019" spans="1:27" ht="18.600000000000001" customHeight="1">
      <c r="A1019" s="140" t="str">
        <f>IF(priority(Main[[#This Row],[Comments]])&lt;&gt;0, priority(Main[[#This Row],[Comments]]),"")</f>
        <v/>
      </c>
      <c r="B1019" s="90" t="s">
        <v>1800</v>
      </c>
      <c r="C1019" s="72" t="s">
        <v>835</v>
      </c>
      <c r="D1019" s="73" t="s">
        <v>836</v>
      </c>
      <c r="E1019" s="74"/>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4</v>
      </c>
      <c r="J1019" s="72" t="s">
        <v>4</v>
      </c>
      <c r="K1019" s="72" t="s">
        <v>4</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c r="R1019" s="74"/>
      <c r="S1019" s="72" t="s">
        <v>11</v>
      </c>
      <c r="T1019" s="80" t="s">
        <v>4</v>
      </c>
      <c r="U1019" s="72" t="s">
        <v>14</v>
      </c>
      <c r="V1019" s="72" t="s">
        <v>1935</v>
      </c>
      <c r="W1019" s="72" t="s">
        <v>1943</v>
      </c>
      <c r="X1019" s="72" t="s">
        <v>2959</v>
      </c>
      <c r="Y1019" s="72" t="s">
        <v>3107</v>
      </c>
      <c r="Z1019" s="72" t="s">
        <v>4</v>
      </c>
      <c r="AA1019" s="147" t="s">
        <v>3683</v>
      </c>
    </row>
    <row r="1020" spans="1:27" ht="18.600000000000001" customHeight="1">
      <c r="A1020" s="140" t="str">
        <f>IF(priority(Main[[#This Row],[Comments]])&lt;&gt;0, priority(Main[[#This Row],[Comments]]),"")</f>
        <v/>
      </c>
      <c r="B1020" s="90" t="s">
        <v>1802</v>
      </c>
      <c r="C1020" s="72" t="s">
        <v>4</v>
      </c>
      <c r="D1020" s="73" t="s">
        <v>839</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c r="R1020" s="74"/>
      <c r="S1020" s="72" t="s">
        <v>11</v>
      </c>
      <c r="T1020" s="80" t="s">
        <v>4</v>
      </c>
      <c r="U1020" s="72" t="s">
        <v>12</v>
      </c>
      <c r="V1020" s="72" t="s">
        <v>1933</v>
      </c>
      <c r="W1020" s="72" t="s">
        <v>1937</v>
      </c>
      <c r="X1020" s="72" t="s">
        <v>981</v>
      </c>
      <c r="Y1020" s="72" t="s">
        <v>3180</v>
      </c>
      <c r="Z1020" s="72" t="s">
        <v>4</v>
      </c>
      <c r="AA1020" s="147" t="s">
        <v>981</v>
      </c>
    </row>
    <row r="1021" spans="1:27" ht="18.600000000000001" customHeight="1">
      <c r="A1021" s="140" t="str">
        <f>IF(priority(Main[[#This Row],[Comments]])&lt;&gt;0, priority(Main[[#This Row],[Comments]]),"")</f>
        <v/>
      </c>
      <c r="B1021" s="90" t="s">
        <v>3396</v>
      </c>
      <c r="C1021" s="72" t="s">
        <v>4</v>
      </c>
      <c r="D1021" s="73" t="s">
        <v>3541</v>
      </c>
      <c r="E1021" s="74">
        <v>40931.598935185182</v>
      </c>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c r="R1021" s="74"/>
      <c r="S1021" s="72" t="s">
        <v>17</v>
      </c>
      <c r="T1021" s="80" t="s">
        <v>4</v>
      </c>
      <c r="U1021" s="72" t="s">
        <v>29</v>
      </c>
      <c r="V1021" s="72" t="s">
        <v>1935</v>
      </c>
      <c r="W1021" s="72" t="s">
        <v>1937</v>
      </c>
      <c r="X1021" s="72" t="s">
        <v>1996</v>
      </c>
      <c r="Y1021" s="72" t="s">
        <v>4</v>
      </c>
      <c r="Z1021" s="72" t="s">
        <v>4</v>
      </c>
      <c r="AA1021" s="147" t="s">
        <v>1996</v>
      </c>
    </row>
    <row r="1022" spans="1:27" ht="18.600000000000001" customHeight="1">
      <c r="A1022" s="140" t="str">
        <f>IF(priority(Main[[#This Row],[Comments]])&lt;&gt;0, priority(Main[[#This Row],[Comments]]),"")</f>
        <v/>
      </c>
      <c r="B1022" s="90" t="s">
        <v>1659</v>
      </c>
      <c r="C1022" s="72" t="s">
        <v>4</v>
      </c>
      <c r="D1022" s="73" t="s">
        <v>721</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4</v>
      </c>
      <c r="J1022" s="72" t="s">
        <v>4</v>
      </c>
      <c r="K1022" s="72"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v>40672</v>
      </c>
      <c r="R1022" s="74"/>
      <c r="S1022" s="72" t="s">
        <v>6</v>
      </c>
      <c r="T1022" s="80" t="s">
        <v>4</v>
      </c>
      <c r="U1022" s="72" t="s">
        <v>14</v>
      </c>
      <c r="V1022" s="72" t="s">
        <v>1935</v>
      </c>
      <c r="W1022" s="72" t="s">
        <v>4</v>
      </c>
      <c r="X1022" s="72" t="s">
        <v>2913</v>
      </c>
      <c r="Y1022" s="72" t="s">
        <v>3033</v>
      </c>
      <c r="Z1022" s="72" t="s">
        <v>4</v>
      </c>
      <c r="AA1022" s="147" t="s">
        <v>2913</v>
      </c>
    </row>
    <row r="1023" spans="1:27" ht="18.600000000000001" customHeight="1">
      <c r="A1023" s="140" t="str">
        <f>IF(priority(Main[[#This Row],[Comments]])&lt;&gt;0, priority(Main[[#This Row],[Comments]]),"")</f>
        <v/>
      </c>
      <c r="B1023" s="90" t="s">
        <v>2533</v>
      </c>
      <c r="C1023" s="72" t="s">
        <v>47</v>
      </c>
      <c r="D1023" s="73" t="s">
        <v>3540</v>
      </c>
      <c r="E1023" s="74">
        <v>40865.812858796293</v>
      </c>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4</v>
      </c>
      <c r="J1023" s="72" t="s">
        <v>4</v>
      </c>
      <c r="K1023" s="72" t="s">
        <v>4</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40906</v>
      </c>
      <c r="R1023" s="74"/>
      <c r="S1023" s="72" t="s">
        <v>6</v>
      </c>
      <c r="T1023" s="80" t="s">
        <v>4</v>
      </c>
      <c r="U1023" s="72" t="s">
        <v>29</v>
      </c>
      <c r="V1023" s="72" t="s">
        <v>2312</v>
      </c>
      <c r="W1023" s="72" t="s">
        <v>4</v>
      </c>
      <c r="X1023" s="72" t="s">
        <v>2956</v>
      </c>
      <c r="Y1023" s="72" t="s">
        <v>3105</v>
      </c>
      <c r="Z1023" s="72" t="s">
        <v>4</v>
      </c>
      <c r="AA1023" s="147" t="s">
        <v>2956</v>
      </c>
    </row>
    <row r="1024" spans="1:27" ht="18.600000000000001" customHeight="1">
      <c r="A1024" s="140" t="str">
        <f>IF(priority(Main[[#This Row],[Comments]])&lt;&gt;0, priority(Main[[#This Row],[Comments]]),"")</f>
        <v/>
      </c>
      <c r="B1024" s="90" t="s">
        <v>1529</v>
      </c>
      <c r="C1024" s="72" t="s">
        <v>4</v>
      </c>
      <c r="D1024" s="73" t="s">
        <v>595</v>
      </c>
      <c r="E1024" s="74"/>
      <c r="F1024" s="74"/>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310</v>
      </c>
      <c r="J1024" s="72" t="s">
        <v>28</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c r="R1024" s="74"/>
      <c r="S1024" s="72" t="s">
        <v>6</v>
      </c>
      <c r="T1024" s="80" t="s">
        <v>4</v>
      </c>
      <c r="U1024" s="72" t="s">
        <v>14</v>
      </c>
      <c r="V1024" s="72" t="s">
        <v>1935</v>
      </c>
      <c r="W1024" s="72" t="s">
        <v>1934</v>
      </c>
      <c r="X1024" s="72" t="s">
        <v>310</v>
      </c>
      <c r="Y1024" s="72" t="s">
        <v>3200</v>
      </c>
      <c r="Z1024" s="72" t="s">
        <v>310</v>
      </c>
      <c r="AA1024" s="147" t="s">
        <v>310</v>
      </c>
    </row>
    <row r="1025" spans="1:27" ht="18.600000000000001" customHeight="1">
      <c r="A1025" s="140" t="str">
        <f>IF(priority(Main[[#This Row],[Comments]])&lt;&gt;0, priority(Main[[#This Row],[Comments]]),"")</f>
        <v/>
      </c>
      <c r="B1025" s="90" t="s">
        <v>1772</v>
      </c>
      <c r="C1025" s="72" t="s">
        <v>4</v>
      </c>
      <c r="D1025" s="73" t="s">
        <v>813</v>
      </c>
      <c r="E1025" s="74">
        <v>40584.403622685182</v>
      </c>
      <c r="F1025" s="74">
        <v>40602</v>
      </c>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28</v>
      </c>
      <c r="K1025" s="81" t="s">
        <v>1944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v>40602</v>
      </c>
      <c r="R1025" s="74"/>
      <c r="S1025" s="72" t="s">
        <v>17</v>
      </c>
      <c r="T1025" s="80" t="s">
        <v>4</v>
      </c>
      <c r="U1025" s="72" t="s">
        <v>7</v>
      </c>
      <c r="V1025" s="72" t="s">
        <v>1932</v>
      </c>
      <c r="W1025" s="72" t="s">
        <v>1940</v>
      </c>
      <c r="X1025" s="72" t="s">
        <v>2919</v>
      </c>
      <c r="Y1025" s="72" t="s">
        <v>3045</v>
      </c>
      <c r="Z1025" s="72" t="s">
        <v>129</v>
      </c>
      <c r="AA1025" s="147" t="s">
        <v>2919</v>
      </c>
    </row>
    <row r="1026" spans="1:27" ht="18.600000000000001" customHeight="1">
      <c r="A1026" s="140" t="str">
        <f>IF(priority(Main[[#This Row],[Comments]])&lt;&gt;0, priority(Main[[#This Row],[Comments]]),"")</f>
        <v/>
      </c>
      <c r="B1026" s="90" t="s">
        <v>1749</v>
      </c>
      <c r="C1026" s="72" t="s">
        <v>4</v>
      </c>
      <c r="D1026" s="73" t="s">
        <v>2256</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923</v>
      </c>
      <c r="J1026" s="72" t="s">
        <v>21</v>
      </c>
      <c r="K1026" s="72" t="s">
        <v>1941</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c r="R1026" s="74"/>
      <c r="S1026" s="72" t="s">
        <v>23</v>
      </c>
      <c r="T1026" s="80" t="s">
        <v>4</v>
      </c>
      <c r="U1026" s="72" t="s">
        <v>14</v>
      </c>
      <c r="V1026" s="72" t="s">
        <v>1932</v>
      </c>
      <c r="W1026" s="72" t="s">
        <v>1936</v>
      </c>
      <c r="X1026" s="72" t="s">
        <v>403</v>
      </c>
      <c r="Y1026" s="72" t="s">
        <v>4</v>
      </c>
      <c r="Z1026" s="72" t="s">
        <v>923</v>
      </c>
      <c r="AA1026" s="147" t="s">
        <v>3689</v>
      </c>
    </row>
    <row r="1027" spans="1:27" ht="18.600000000000001" customHeight="1">
      <c r="A1027" s="140" t="str">
        <f>IF(priority(Main[[#This Row],[Comments]])&lt;&gt;0, priority(Main[[#This Row],[Comments]]),"")</f>
        <v/>
      </c>
      <c r="B1027" s="90" t="s">
        <v>1415</v>
      </c>
      <c r="C1027" s="72" t="s">
        <v>4</v>
      </c>
      <c r="D1027" s="73" t="s">
        <v>2222</v>
      </c>
      <c r="E1027" s="74"/>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535</v>
      </c>
      <c r="J1027" s="72" t="s">
        <v>52</v>
      </c>
      <c r="K1027" s="72" t="s">
        <v>1941</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40390</v>
      </c>
      <c r="R1027" s="74"/>
      <c r="S1027" s="72" t="s">
        <v>6</v>
      </c>
      <c r="T1027" s="80" t="s">
        <v>4</v>
      </c>
      <c r="U1027" s="72" t="s">
        <v>14</v>
      </c>
      <c r="V1027" s="72" t="s">
        <v>1935</v>
      </c>
      <c r="W1027" s="72" t="s">
        <v>1936</v>
      </c>
      <c r="X1027" s="72" t="s">
        <v>2910</v>
      </c>
      <c r="Y1027" s="72" t="s">
        <v>3027</v>
      </c>
      <c r="Z1027" s="72" t="s">
        <v>44</v>
      </c>
      <c r="AA1027" s="147" t="s">
        <v>2910</v>
      </c>
    </row>
    <row r="1028" spans="1:27" ht="18.600000000000001" customHeight="1">
      <c r="A1028" s="140" t="str">
        <f>IF(priority(Main[[#This Row],[Comments]])&lt;&gt;0, priority(Main[[#This Row],[Comments]]),"")</f>
        <v/>
      </c>
      <c r="B1028" s="90" t="s">
        <v>1664</v>
      </c>
      <c r="C1028" s="72" t="s">
        <v>504</v>
      </c>
      <c r="D1028" s="73" t="s">
        <v>2200</v>
      </c>
      <c r="E1028" s="74">
        <v>40655.401631944442</v>
      </c>
      <c r="F1028" s="74"/>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50</v>
      </c>
      <c r="J1028" s="72" t="s">
        <v>52</v>
      </c>
      <c r="K1028" s="81" t="s">
        <v>1941</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c r="R1028" s="74"/>
      <c r="S1028" s="72" t="s">
        <v>6</v>
      </c>
      <c r="T1028" s="80" t="s">
        <v>4</v>
      </c>
      <c r="U1028" s="72" t="s">
        <v>539</v>
      </c>
      <c r="V1028" s="72" t="s">
        <v>1932</v>
      </c>
      <c r="W1028" s="72" t="s">
        <v>1938</v>
      </c>
      <c r="X1028" s="72" t="s">
        <v>403</v>
      </c>
      <c r="Y1028" s="72" t="s">
        <v>4</v>
      </c>
      <c r="Z1028" s="72" t="s">
        <v>129</v>
      </c>
      <c r="AA1028" s="147" t="s">
        <v>3690</v>
      </c>
    </row>
    <row r="1029" spans="1:27" ht="18.600000000000001" customHeight="1">
      <c r="A1029" s="140" t="str">
        <f>IF(priority(Main[[#This Row],[Comments]])&lt;&gt;0, priority(Main[[#This Row],[Comments]]),"")</f>
        <v/>
      </c>
      <c r="B1029" s="90" t="s">
        <v>1881</v>
      </c>
      <c r="C1029" s="72" t="s">
        <v>4</v>
      </c>
      <c r="D1029" s="73" t="s">
        <v>2722</v>
      </c>
      <c r="E1029" s="74">
        <v>40501.677928240744</v>
      </c>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918</v>
      </c>
      <c r="J1029" s="72" t="s">
        <v>28</v>
      </c>
      <c r="K1029" s="81" t="s">
        <v>1944</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v>41274</v>
      </c>
      <c r="R1029" s="74">
        <v>41274</v>
      </c>
      <c r="S1029" s="72" t="s">
        <v>17</v>
      </c>
      <c r="T1029" s="80" t="s">
        <v>4</v>
      </c>
      <c r="U1029" s="72" t="s">
        <v>29</v>
      </c>
      <c r="V1029" s="72" t="s">
        <v>1932</v>
      </c>
      <c r="W1029" s="72" t="s">
        <v>1937</v>
      </c>
      <c r="X1029" s="72" t="s">
        <v>918</v>
      </c>
      <c r="Y1029" s="72" t="s">
        <v>4</v>
      </c>
      <c r="Z1029" s="72" t="s">
        <v>129</v>
      </c>
      <c r="AA1029" s="147" t="s">
        <v>2919</v>
      </c>
    </row>
    <row r="1030" spans="1:27" ht="18.600000000000001" customHeight="1">
      <c r="A1030" s="140" t="str">
        <f>IF(priority(Main[[#This Row],[Comments]])&lt;&gt;0, priority(Main[[#This Row],[Comments]]),"")</f>
        <v/>
      </c>
      <c r="B1030" s="90" t="s">
        <v>2262</v>
      </c>
      <c r="C1030" s="72" t="s">
        <v>4</v>
      </c>
      <c r="D1030" s="73" t="s">
        <v>2263</v>
      </c>
      <c r="E1030" s="74"/>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4</v>
      </c>
      <c r="J1030" s="72" t="s">
        <v>4</v>
      </c>
      <c r="K1030" s="72" t="s">
        <v>4</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c r="R1030" s="74"/>
      <c r="S1030" s="72" t="s">
        <v>49</v>
      </c>
      <c r="T1030" s="80" t="s">
        <v>4</v>
      </c>
      <c r="U1030" s="72" t="s">
        <v>14</v>
      </c>
      <c r="V1030" s="72" t="s">
        <v>1947</v>
      </c>
      <c r="W1030" s="72" t="s">
        <v>1936</v>
      </c>
      <c r="X1030" s="72" t="s">
        <v>310</v>
      </c>
      <c r="Y1030" s="72" t="s">
        <v>4</v>
      </c>
      <c r="Z1030" s="72" t="s">
        <v>4</v>
      </c>
      <c r="AA1030" s="147" t="s">
        <v>4</v>
      </c>
    </row>
    <row r="1031" spans="1:27" ht="18.600000000000001" customHeight="1">
      <c r="A1031" s="140" t="str">
        <f>IF(priority(Main[[#This Row],[Comments]])&lt;&gt;0, priority(Main[[#This Row],[Comments]]),"")</f>
        <v/>
      </c>
      <c r="B1031" s="90" t="s">
        <v>2440</v>
      </c>
      <c r="C1031" s="72" t="s">
        <v>2029</v>
      </c>
      <c r="D1031" s="73" t="s">
        <v>2411</v>
      </c>
      <c r="E1031" s="74"/>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4</v>
      </c>
      <c r="J1031" s="72" t="s">
        <v>4</v>
      </c>
      <c r="K1031" s="72" t="s">
        <v>4</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v>40908</v>
      </c>
      <c r="R1031" s="74"/>
      <c r="S1031" s="72" t="s">
        <v>11</v>
      </c>
      <c r="T1031" s="80" t="s">
        <v>4</v>
      </c>
      <c r="U1031" s="72" t="s">
        <v>14</v>
      </c>
      <c r="V1031" s="72" t="s">
        <v>1935</v>
      </c>
      <c r="W1031" s="72" t="s">
        <v>1934</v>
      </c>
      <c r="X1031" s="72" t="s">
        <v>559</v>
      </c>
      <c r="Y1031" s="72" t="s">
        <v>3047</v>
      </c>
      <c r="Z1031" s="72" t="s">
        <v>4</v>
      </c>
      <c r="AA1031" s="147" t="s">
        <v>559</v>
      </c>
    </row>
    <row r="1032" spans="1:27" ht="18.600000000000001" customHeight="1">
      <c r="A1032" s="140" t="str">
        <f>IF(priority(Main[[#This Row],[Comments]])&lt;&gt;0, priority(Main[[#This Row],[Comments]]),"")</f>
        <v/>
      </c>
      <c r="B1032" s="90" t="s">
        <v>1567</v>
      </c>
      <c r="C1032" s="72" t="s">
        <v>4</v>
      </c>
      <c r="D1032" s="73" t="s">
        <v>640</v>
      </c>
      <c r="E1032" s="74">
        <v>40711.765081018515</v>
      </c>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2075</v>
      </c>
      <c r="J1032" s="72" t="s">
        <v>21</v>
      </c>
      <c r="K1032" s="72" t="s">
        <v>1941</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v>40732</v>
      </c>
      <c r="R1032" s="74"/>
      <c r="S1032" s="72" t="s">
        <v>6</v>
      </c>
      <c r="T1032" s="80" t="s">
        <v>4</v>
      </c>
      <c r="U1032" s="72" t="s">
        <v>29</v>
      </c>
      <c r="V1032" s="72" t="s">
        <v>1933</v>
      </c>
      <c r="W1032" s="72" t="s">
        <v>1936</v>
      </c>
      <c r="X1032" s="72" t="s">
        <v>30</v>
      </c>
      <c r="Y1032" s="72" t="s">
        <v>3213</v>
      </c>
      <c r="Z1032" s="72" t="s">
        <v>30</v>
      </c>
      <c r="AA1032" s="147" t="s">
        <v>3632</v>
      </c>
    </row>
    <row r="1033" spans="1:27" ht="18.600000000000001" customHeight="1">
      <c r="A1033" s="141" t="str">
        <f>IF(priority(Main[[#This Row],[Comments]])&lt;&gt;0, priority(Main[[#This Row],[Comments]]),"")</f>
        <v/>
      </c>
      <c r="B1033" s="92" t="s">
        <v>2309</v>
      </c>
      <c r="C1033" s="93" t="s">
        <v>2307</v>
      </c>
      <c r="D1033" s="84" t="s">
        <v>2310</v>
      </c>
      <c r="E1033" s="94"/>
      <c r="F1033" s="94">
        <v>40907</v>
      </c>
      <c r="G1033" s="93" t="str">
        <f>IF(stdProdLT(Main[[#This Row],[Comments]])=0.1,"N/A",IF(stdProdLT(Main[[#This Row],[Comments]])=0,"",stdProdLT(Main[[#This Row],[Comments]])))</f>
        <v/>
      </c>
      <c r="H1033" s="95" t="str">
        <f>IF(AND(Main[[#This Row],[In Stock Date]]&lt;&gt;"",Main[[#This Row],[Revised Due Date]]&lt;&gt;""),Main[[#This Row],[In Stock Date]]-Main[[#This Row],[Revised Due Date]],"")</f>
        <v/>
      </c>
      <c r="I1033" s="93" t="s">
        <v>4</v>
      </c>
      <c r="J1033" s="93" t="s">
        <v>4</v>
      </c>
      <c r="K1033" s="93" t="s">
        <v>4</v>
      </c>
      <c r="L1033" s="94"/>
      <c r="M1033" s="96" t="str">
        <f>IF(Main[[#This Row],[Tech Start Date]]&lt;1/1/1990,"",IF(Main[[#This Row],[Class]]="C",WORKDAY(Main[[#This Row],[Tech Start Date]],9),IF(Main[[#This Row],[Class]]="B", WORKDAY(Main[[#This Row],[Tech Start Date]],6),IF(Main[[#This Row],[Class]]="A",WORKDAY(Main[[#This Row],[Tech Start Date]],2),""))))</f>
        <v/>
      </c>
      <c r="N1033" s="96" t="str">
        <f>IF(Main[[#This Row],[Tech Start Date]]&lt;1/1/1990,"",IF(Main[[#This Row],[Class]]="C",WORKDAY(Main[[#This Row],[Tech Start Date]],19),IF(Main[[#This Row],[Class]]="B", WORKDAY(Main[[#This Row],[Tech Start Date]],12),IF(Main[[#This Row],[Class]]="A",WORKDAY(Main[[#This Row],[Tech Start Date]],4),""))))</f>
        <v/>
      </c>
      <c r="O1033" s="96" t="str">
        <f>IF(Main[[#This Row],[Tech Start Date]]&lt;1/1/1990,"",IF(Main[[#This Row],[Class]]="C",WORKDAY(Main[[#This Row],[Tech Start Date]],23),IF(Main[[#This Row],[Class]]="B", WORKDAY(Main[[#This Row],[Tech Start Date]],15),IF(Main[[#This Row],[Class]]="A",WORKDAY(Main[[#This Row],[Tech Start Date]],5),""))))</f>
        <v/>
      </c>
      <c r="P1033" s="96" t="str">
        <f>IF(Main[[#This Row],[Tech Start Date]]&lt;1/1/1990,"",IF(Main[[#This Row],[Class]]="C",WORKDAY(Main[[#This Row],[Tech Start Date]],28),IF(Main[[#This Row],[Class]]="B", WORKDAY(Main[[#This Row],[Tech Start Date]],19),IF(Main[[#This Row],[Class]]="A",WORKDAY(Main[[#This Row],[Tech Start Date]],9),""))))</f>
        <v/>
      </c>
      <c r="Q1033" s="94">
        <v>40816</v>
      </c>
      <c r="R1033" s="94"/>
      <c r="S1033" s="93" t="s">
        <v>300</v>
      </c>
      <c r="T1033" s="97" t="s">
        <v>4</v>
      </c>
      <c r="U1033" s="93" t="s">
        <v>14</v>
      </c>
      <c r="V1033" s="93" t="s">
        <v>1942</v>
      </c>
      <c r="W1033" s="93" t="s">
        <v>1940</v>
      </c>
      <c r="X1033" s="83" t="s">
        <v>3001</v>
      </c>
      <c r="Y1033" s="83" t="s">
        <v>3214</v>
      </c>
      <c r="Z1033" s="83" t="s">
        <v>4</v>
      </c>
      <c r="AA1033" s="147" t="s">
        <v>3691</v>
      </c>
    </row>
    <row r="1034" spans="1:27" ht="18.600000000000001" customHeight="1">
      <c r="A1034" s="140" t="str">
        <f>IF(priority(Main[[#This Row],[Comments]])&lt;&gt;0, priority(Main[[#This Row],[Comments]]),"")</f>
        <v/>
      </c>
      <c r="B1034" s="90" t="s">
        <v>2303</v>
      </c>
      <c r="C1034" s="72" t="s">
        <v>523</v>
      </c>
      <c r="D1034" s="73" t="s">
        <v>2304</v>
      </c>
      <c r="E1034" s="74"/>
      <c r="F1034" s="74">
        <v>40854</v>
      </c>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4</v>
      </c>
      <c r="J1034" s="72" t="s">
        <v>4</v>
      </c>
      <c r="K1034" s="72" t="s">
        <v>4</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v>40816</v>
      </c>
      <c r="R1034" s="74"/>
      <c r="S1034" s="72" t="s">
        <v>300</v>
      </c>
      <c r="T1034" s="80" t="s">
        <v>4</v>
      </c>
      <c r="U1034" s="72" t="s">
        <v>14</v>
      </c>
      <c r="V1034" s="72" t="s">
        <v>1942</v>
      </c>
      <c r="W1034" s="72" t="s">
        <v>1940</v>
      </c>
      <c r="X1034" s="72" t="s">
        <v>3001</v>
      </c>
      <c r="Y1034" s="72" t="s">
        <v>3215</v>
      </c>
      <c r="Z1034" s="72" t="s">
        <v>4</v>
      </c>
      <c r="AA1034" s="147" t="s">
        <v>3691</v>
      </c>
    </row>
    <row r="1035" spans="1:27" ht="18.600000000000001" customHeight="1">
      <c r="A1035" s="140" t="str">
        <f>IF(priority(Main[[#This Row],[Comments]])&lt;&gt;0, priority(Main[[#This Row],[Comments]]),"")</f>
        <v/>
      </c>
      <c r="B1035" s="90" t="s">
        <v>2264</v>
      </c>
      <c r="C1035" s="72" t="s">
        <v>4</v>
      </c>
      <c r="D1035" s="73" t="s">
        <v>2265</v>
      </c>
      <c r="E1035" s="74"/>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49</v>
      </c>
      <c r="T1035" s="80" t="s">
        <v>4</v>
      </c>
      <c r="U1035" s="72" t="s">
        <v>14</v>
      </c>
      <c r="V1035" s="72" t="s">
        <v>1932</v>
      </c>
      <c r="W1035" s="72" t="s">
        <v>1936</v>
      </c>
      <c r="X1035" s="72" t="s">
        <v>310</v>
      </c>
      <c r="Y1035" s="72" t="s">
        <v>4</v>
      </c>
      <c r="Z1035" s="72" t="s">
        <v>4</v>
      </c>
      <c r="AA1035" s="147" t="s">
        <v>4</v>
      </c>
    </row>
    <row r="1036" spans="1:27" ht="18.600000000000001" customHeight="1">
      <c r="A1036" s="140" t="str">
        <f>IF(priority(Main[[#This Row],[Comments]])&lt;&gt;0, priority(Main[[#This Row],[Comments]]),"")</f>
        <v/>
      </c>
      <c r="B1036" s="90" t="s">
        <v>1360</v>
      </c>
      <c r="C1036" s="72" t="s">
        <v>438</v>
      </c>
      <c r="D1036" s="73" t="s">
        <v>439</v>
      </c>
      <c r="E1036" s="74">
        <v>40505.653032407405</v>
      </c>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30</v>
      </c>
      <c r="J1036" s="72" t="s">
        <v>28</v>
      </c>
      <c r="K1036" s="72" t="s">
        <v>1944</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v>40620</v>
      </c>
      <c r="R1036" s="74"/>
      <c r="S1036" s="72" t="s">
        <v>17</v>
      </c>
      <c r="T1036" s="80" t="s">
        <v>4</v>
      </c>
      <c r="U1036" s="72" t="s">
        <v>29</v>
      </c>
      <c r="V1036" s="72" t="s">
        <v>1935</v>
      </c>
      <c r="W1036" s="72" t="s">
        <v>1937</v>
      </c>
      <c r="X1036" s="72" t="s">
        <v>775</v>
      </c>
      <c r="Y1036" s="72" t="s">
        <v>3216</v>
      </c>
      <c r="Z1036" s="72" t="s">
        <v>30</v>
      </c>
      <c r="AA1036" s="147" t="s">
        <v>3692</v>
      </c>
    </row>
    <row r="1037" spans="1:27" ht="18.600000000000001" customHeight="1">
      <c r="A1037" s="140" t="str">
        <f>IF(priority(Main[[#This Row],[Comments]])&lt;&gt;0, priority(Main[[#This Row],[Comments]]),"")</f>
        <v/>
      </c>
      <c r="B1037" s="90" t="s">
        <v>1489</v>
      </c>
      <c r="C1037" s="72" t="s">
        <v>4</v>
      </c>
      <c r="D1037" s="73" t="s">
        <v>2442</v>
      </c>
      <c r="E1037" s="74">
        <v>40627.399282407408</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923</v>
      </c>
      <c r="J1037" s="72" t="s">
        <v>52</v>
      </c>
      <c r="K1037" s="72" t="s">
        <v>1941</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40632</v>
      </c>
      <c r="R1037" s="74"/>
      <c r="S1037" s="72" t="s">
        <v>6</v>
      </c>
      <c r="T1037" s="80" t="s">
        <v>4</v>
      </c>
      <c r="U1037" s="72" t="s">
        <v>29</v>
      </c>
      <c r="V1037" s="72" t="s">
        <v>1932</v>
      </c>
      <c r="W1037" s="72" t="s">
        <v>1936</v>
      </c>
      <c r="X1037" s="72" t="s">
        <v>949</v>
      </c>
      <c r="Y1037" s="72" t="s">
        <v>3079</v>
      </c>
      <c r="Z1037" s="72" t="s">
        <v>129</v>
      </c>
      <c r="AA1037" s="147" t="s">
        <v>949</v>
      </c>
    </row>
    <row r="1038" spans="1:27" ht="18.600000000000001" customHeight="1">
      <c r="A1038" s="140" t="str">
        <f>IF(priority(Main[[#This Row],[Comments]])&lt;&gt;0, priority(Main[[#This Row],[Comments]]),"")</f>
        <v/>
      </c>
      <c r="B1038" s="90" t="s">
        <v>1397</v>
      </c>
      <c r="C1038" s="72" t="s">
        <v>4</v>
      </c>
      <c r="D1038" s="73" t="s">
        <v>2443</v>
      </c>
      <c r="E1038" s="74">
        <v>40555.34138888889</v>
      </c>
      <c r="F1038" s="74">
        <v>40592</v>
      </c>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923</v>
      </c>
      <c r="J1038" s="72" t="s">
        <v>52</v>
      </c>
      <c r="K1038" s="72" t="s">
        <v>1939</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v>40592</v>
      </c>
      <c r="R1038" s="74"/>
      <c r="S1038" s="72" t="s">
        <v>6</v>
      </c>
      <c r="T1038" s="80" t="s">
        <v>4</v>
      </c>
      <c r="U1038" s="72" t="s">
        <v>29</v>
      </c>
      <c r="V1038" s="72" t="s">
        <v>1932</v>
      </c>
      <c r="W1038" s="72" t="s">
        <v>1934</v>
      </c>
      <c r="X1038" s="72" t="s">
        <v>2909</v>
      </c>
      <c r="Y1038" s="72" t="s">
        <v>3024</v>
      </c>
      <c r="Z1038" s="72" t="s">
        <v>129</v>
      </c>
      <c r="AA1038" s="147" t="s">
        <v>2909</v>
      </c>
    </row>
    <row r="1039" spans="1:27" ht="18.600000000000001" customHeight="1">
      <c r="A1039" s="140" t="str">
        <f>IF(priority(Main[[#This Row],[Comments]])&lt;&gt;0, priority(Main[[#This Row],[Comments]]),"")</f>
        <v/>
      </c>
      <c r="B1039" s="90" t="s">
        <v>2083</v>
      </c>
      <c r="C1039" s="72" t="s">
        <v>4</v>
      </c>
      <c r="D1039" s="73" t="s">
        <v>2330</v>
      </c>
      <c r="E1039" s="74">
        <v>40758.6172337963</v>
      </c>
      <c r="F1039" s="74"/>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535</v>
      </c>
      <c r="J1039" s="72" t="s">
        <v>21</v>
      </c>
      <c r="K1039" s="81" t="s">
        <v>1941</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c r="R1039" s="74"/>
      <c r="S1039" s="72" t="s">
        <v>6</v>
      </c>
      <c r="T1039" s="80" t="s">
        <v>4</v>
      </c>
      <c r="U1039" s="72" t="s">
        <v>29</v>
      </c>
      <c r="V1039" s="72" t="s">
        <v>1935</v>
      </c>
      <c r="W1039" s="72" t="s">
        <v>1936</v>
      </c>
      <c r="X1039" s="72" t="s">
        <v>102</v>
      </c>
      <c r="Y1039" s="72" t="s">
        <v>3218</v>
      </c>
      <c r="Z1039" s="72" t="s">
        <v>535</v>
      </c>
      <c r="AA1039" s="147" t="s">
        <v>3693</v>
      </c>
    </row>
    <row r="1040" spans="1:27" ht="18.600000000000001" customHeight="1">
      <c r="A1040" s="140" t="str">
        <f>IF(priority(Main[[#This Row],[Comments]])&lt;&gt;0, priority(Main[[#This Row],[Comments]]),"")</f>
        <v/>
      </c>
      <c r="B1040" s="90" t="s">
        <v>2246</v>
      </c>
      <c r="C1040" s="72" t="s">
        <v>4</v>
      </c>
      <c r="D1040" s="73" t="s">
        <v>2444</v>
      </c>
      <c r="E1040" s="74">
        <v>40798.679803240739</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775</v>
      </c>
      <c r="J1040" s="72" t="s">
        <v>52</v>
      </c>
      <c r="K1040" s="72" t="s">
        <v>1941</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40847</v>
      </c>
      <c r="R1040" s="74"/>
      <c r="S1040" s="72" t="s">
        <v>6</v>
      </c>
      <c r="T1040" s="80" t="s">
        <v>4</v>
      </c>
      <c r="U1040" s="72" t="s">
        <v>29</v>
      </c>
      <c r="V1040" s="72" t="s">
        <v>1935</v>
      </c>
      <c r="W1040" s="72" t="s">
        <v>1936</v>
      </c>
      <c r="X1040" s="72" t="s">
        <v>30</v>
      </c>
      <c r="Y1040" s="72" t="s">
        <v>3035</v>
      </c>
      <c r="Z1040" s="72" t="s">
        <v>30</v>
      </c>
      <c r="AA1040" s="147" t="s">
        <v>30</v>
      </c>
    </row>
    <row r="1041" spans="1:27" ht="18.600000000000001" customHeight="1">
      <c r="A1041" s="140" t="str">
        <f>IF(priority(Main[[#This Row],[Comments]])&lt;&gt;0, priority(Main[[#This Row],[Comments]]),"")</f>
        <v/>
      </c>
      <c r="B1041" s="90" t="s">
        <v>2445</v>
      </c>
      <c r="C1041" s="72" t="s">
        <v>4</v>
      </c>
      <c r="D1041" s="73" t="s">
        <v>2446</v>
      </c>
      <c r="E1041" s="74">
        <v>40843.719166666669</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4</v>
      </c>
      <c r="J1041" s="72" t="s">
        <v>51</v>
      </c>
      <c r="K1041" s="72" t="s">
        <v>4</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c r="R1041" s="74"/>
      <c r="S1041" s="72" t="s">
        <v>6</v>
      </c>
      <c r="T1041" s="80" t="s">
        <v>2447</v>
      </c>
      <c r="U1041" s="72" t="s">
        <v>539</v>
      </c>
      <c r="V1041" s="72" t="s">
        <v>1932</v>
      </c>
      <c r="W1041" s="72" t="s">
        <v>1938</v>
      </c>
      <c r="X1041" s="72" t="s">
        <v>310</v>
      </c>
      <c r="Y1041" s="72" t="s">
        <v>4</v>
      </c>
      <c r="Z1041" s="72" t="s">
        <v>4</v>
      </c>
      <c r="AA1041" s="147" t="s">
        <v>2930</v>
      </c>
    </row>
    <row r="1042" spans="1:27" ht="18.600000000000001" customHeight="1">
      <c r="A1042" s="140" t="str">
        <f>IF(priority(Main[[#This Row],[Comments]])&lt;&gt;0, priority(Main[[#This Row],[Comments]]),"")</f>
        <v/>
      </c>
      <c r="B1042" s="90" t="s">
        <v>2100</v>
      </c>
      <c r="C1042" s="72" t="s">
        <v>4</v>
      </c>
      <c r="D1042" s="73" t="s">
        <v>2101</v>
      </c>
      <c r="E1042" s="74"/>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4</v>
      </c>
      <c r="J1042" s="72" t="s">
        <v>4</v>
      </c>
      <c r="K1042" s="72" t="s">
        <v>4</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c r="R1042" s="74"/>
      <c r="S1042" s="72" t="s">
        <v>6</v>
      </c>
      <c r="T1042" s="80" t="s">
        <v>4</v>
      </c>
      <c r="U1042" s="72" t="s">
        <v>14</v>
      </c>
      <c r="V1042" s="72" t="s">
        <v>1932</v>
      </c>
      <c r="W1042" s="72" t="s">
        <v>1936</v>
      </c>
      <c r="X1042" s="72" t="s">
        <v>310</v>
      </c>
      <c r="Y1042" s="72" t="s">
        <v>4</v>
      </c>
      <c r="Z1042" s="72" t="s">
        <v>4</v>
      </c>
      <c r="AA1042" s="147" t="s">
        <v>4</v>
      </c>
    </row>
    <row r="1043" spans="1:27" ht="18.600000000000001" customHeight="1">
      <c r="A1043" s="140" t="str">
        <f>IF(priority(Main[[#This Row],[Comments]])&lt;&gt;0, priority(Main[[#This Row],[Comments]]),"")</f>
        <v/>
      </c>
      <c r="B1043" s="90" t="s">
        <v>1775</v>
      </c>
      <c r="C1043" s="72" t="s">
        <v>4</v>
      </c>
      <c r="D1043" s="73" t="s">
        <v>2448</v>
      </c>
      <c r="E1043" s="74">
        <v>40616.425347222219</v>
      </c>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923</v>
      </c>
      <c r="J1043" s="72" t="s">
        <v>52</v>
      </c>
      <c r="K1043" s="81" t="s">
        <v>1941</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c r="R1043" s="74"/>
      <c r="S1043" s="72" t="s">
        <v>6</v>
      </c>
      <c r="T1043" s="80" t="s">
        <v>4</v>
      </c>
      <c r="U1043" s="72" t="s">
        <v>29</v>
      </c>
      <c r="V1043" s="72" t="s">
        <v>1932</v>
      </c>
      <c r="W1043" s="72" t="s">
        <v>1936</v>
      </c>
      <c r="X1043" s="72" t="s">
        <v>2994</v>
      </c>
      <c r="Y1043" s="72" t="s">
        <v>3178</v>
      </c>
      <c r="Z1043" s="72" t="s">
        <v>535</v>
      </c>
      <c r="AA1043" s="147" t="s">
        <v>2994</v>
      </c>
    </row>
    <row r="1044" spans="1:27" ht="18.600000000000001" customHeight="1">
      <c r="A1044" s="140" t="str">
        <f>IF(priority(Main[[#This Row],[Comments]])&lt;&gt;0, priority(Main[[#This Row],[Comments]]),"")</f>
        <v/>
      </c>
      <c r="B1044" s="90" t="s">
        <v>2295</v>
      </c>
      <c r="C1044" s="72" t="s">
        <v>4</v>
      </c>
      <c r="D1044" s="73" t="s">
        <v>2296</v>
      </c>
      <c r="E1044" s="74">
        <v>40808.345057870371</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4</v>
      </c>
      <c r="J1044" s="72" t="s">
        <v>4</v>
      </c>
      <c r="K1044" s="72" t="s">
        <v>4</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c r="R1044" s="74"/>
      <c r="S1044" s="72" t="s">
        <v>17</v>
      </c>
      <c r="T1044" s="80" t="s">
        <v>4</v>
      </c>
      <c r="U1044" s="72" t="s">
        <v>7</v>
      </c>
      <c r="V1044" s="72" t="s">
        <v>1942</v>
      </c>
      <c r="W1044" s="72" t="s">
        <v>1934</v>
      </c>
      <c r="X1044" s="72" t="s">
        <v>2957</v>
      </c>
      <c r="Y1044" s="72" t="s">
        <v>3095</v>
      </c>
      <c r="Z1044" s="72" t="s">
        <v>4</v>
      </c>
      <c r="AA1044" s="147" t="s">
        <v>2957</v>
      </c>
    </row>
    <row r="1045" spans="1:27" ht="18.600000000000001" customHeight="1">
      <c r="A1045" s="140" t="str">
        <f>IF(priority(Main[[#This Row],[Comments]])&lt;&gt;0, priority(Main[[#This Row],[Comments]]),"")</f>
        <v/>
      </c>
      <c r="B1045" s="90" t="s">
        <v>2266</v>
      </c>
      <c r="C1045" s="72" t="s">
        <v>4</v>
      </c>
      <c r="D1045" s="73" t="s">
        <v>2267</v>
      </c>
      <c r="E1045" s="74"/>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4</v>
      </c>
      <c r="J1045" s="72" t="s">
        <v>4</v>
      </c>
      <c r="K1045" s="72" t="s">
        <v>4</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c r="R1045" s="74"/>
      <c r="S1045" s="72" t="s">
        <v>6</v>
      </c>
      <c r="T1045" s="80" t="s">
        <v>4</v>
      </c>
      <c r="U1045" s="72" t="s">
        <v>14</v>
      </c>
      <c r="V1045" s="72" t="s">
        <v>1935</v>
      </c>
      <c r="W1045" s="72" t="s">
        <v>1936</v>
      </c>
      <c r="X1045" s="72" t="s">
        <v>102</v>
      </c>
      <c r="Y1045" s="72" t="s">
        <v>4</v>
      </c>
      <c r="Z1045" s="72" t="s">
        <v>4</v>
      </c>
      <c r="AA1045" s="147" t="s">
        <v>3694</v>
      </c>
    </row>
    <row r="1046" spans="1:27" ht="18.600000000000001" customHeight="1">
      <c r="A1046" s="140" t="str">
        <f>IF(priority(Main[[#This Row],[Comments]])&lt;&gt;0, priority(Main[[#This Row],[Comments]]),"")</f>
        <v/>
      </c>
      <c r="B1046" s="90" t="s">
        <v>2268</v>
      </c>
      <c r="C1046" s="72" t="s">
        <v>4</v>
      </c>
      <c r="D1046" s="73" t="s">
        <v>2269</v>
      </c>
      <c r="E1046" s="74">
        <v>40801.476770833331</v>
      </c>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4</v>
      </c>
      <c r="J1046" s="72" t="s">
        <v>4</v>
      </c>
      <c r="K1046" s="72" t="s">
        <v>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v>40828</v>
      </c>
      <c r="R1046" s="74"/>
      <c r="S1046" s="72" t="s">
        <v>6</v>
      </c>
      <c r="T1046" s="80" t="s">
        <v>4</v>
      </c>
      <c r="U1046" s="72" t="s">
        <v>7</v>
      </c>
      <c r="V1046" s="72" t="s">
        <v>1932</v>
      </c>
      <c r="W1046" s="72" t="s">
        <v>1940</v>
      </c>
      <c r="X1046" s="72" t="s">
        <v>2912</v>
      </c>
      <c r="Y1046" s="72" t="s">
        <v>3031</v>
      </c>
      <c r="Z1046" s="72" t="s">
        <v>4</v>
      </c>
      <c r="AA1046" s="147" t="s">
        <v>2912</v>
      </c>
    </row>
    <row r="1047" spans="1:27" ht="18.600000000000001" customHeight="1">
      <c r="A1047" s="140" t="str">
        <f>IF(priority(Main[[#This Row],[Comments]])&lt;&gt;0, priority(Main[[#This Row],[Comments]]),"")</f>
        <v/>
      </c>
      <c r="B1047" s="90" t="s">
        <v>1188</v>
      </c>
      <c r="C1047" s="72" t="s">
        <v>4</v>
      </c>
      <c r="D1047" s="73" t="s">
        <v>232</v>
      </c>
      <c r="E1047" s="74">
        <v>40847.6950462963</v>
      </c>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4</v>
      </c>
      <c r="J1047" s="72" t="s">
        <v>4</v>
      </c>
      <c r="K1047" s="81" t="s">
        <v>4</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49</v>
      </c>
      <c r="T1047" s="80" t="s">
        <v>4</v>
      </c>
      <c r="U1047" s="72" t="s">
        <v>7</v>
      </c>
      <c r="V1047" s="72" t="s">
        <v>1932</v>
      </c>
      <c r="W1047" s="72" t="s">
        <v>1936</v>
      </c>
      <c r="X1047" s="72" t="s">
        <v>918</v>
      </c>
      <c r="Y1047" s="72" t="s">
        <v>3112</v>
      </c>
      <c r="Z1047" s="72" t="s">
        <v>4</v>
      </c>
      <c r="AA1047" s="147" t="s">
        <v>918</v>
      </c>
    </row>
    <row r="1048" spans="1:27" ht="18.600000000000001" customHeight="1">
      <c r="A1048" s="140" t="str">
        <f>IF(priority(Main[[#This Row],[Comments]])&lt;&gt;0, priority(Main[[#This Row],[Comments]]),"")</f>
        <v/>
      </c>
      <c r="B1048" s="90" t="s">
        <v>2252</v>
      </c>
      <c r="C1048" s="72" t="s">
        <v>4</v>
      </c>
      <c r="D1048" s="73" t="s">
        <v>2253</v>
      </c>
      <c r="E1048" s="74">
        <v>40802.356851851851</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102</v>
      </c>
      <c r="J1048" s="72" t="s">
        <v>75</v>
      </c>
      <c r="K1048" s="81" t="s">
        <v>1945</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c r="R1048" s="74"/>
      <c r="S1048" s="72" t="s">
        <v>6</v>
      </c>
      <c r="T1048" s="80" t="s">
        <v>4</v>
      </c>
      <c r="U1048" s="72" t="s">
        <v>29</v>
      </c>
      <c r="V1048" s="72" t="s">
        <v>1935</v>
      </c>
      <c r="W1048" s="72" t="s">
        <v>1936</v>
      </c>
      <c r="X1048" s="72" t="s">
        <v>102</v>
      </c>
      <c r="Y1048" s="72" t="s">
        <v>3219</v>
      </c>
      <c r="Z1048" s="72" t="s">
        <v>310</v>
      </c>
      <c r="AA1048" s="147" t="s">
        <v>3687</v>
      </c>
    </row>
    <row r="1049" spans="1:27" ht="18.600000000000001" customHeight="1">
      <c r="A1049" s="140" t="str">
        <f>IF(priority(Main[[#This Row],[Comments]])&lt;&gt;0, priority(Main[[#This Row],[Comments]]),"")</f>
        <v/>
      </c>
      <c r="B1049" s="90" t="s">
        <v>2134</v>
      </c>
      <c r="C1049" s="72" t="s">
        <v>4</v>
      </c>
      <c r="D1049" s="73" t="s">
        <v>2135</v>
      </c>
      <c r="E1049" s="74">
        <v>40777.376608796294</v>
      </c>
      <c r="F1049" s="74"/>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2449</v>
      </c>
      <c r="J1049" s="72" t="s">
        <v>70</v>
      </c>
      <c r="K1049" s="72" t="s">
        <v>1941</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v>40816</v>
      </c>
      <c r="R1049" s="74"/>
      <c r="S1049" s="72" t="s">
        <v>6</v>
      </c>
      <c r="T1049" s="80" t="s">
        <v>4</v>
      </c>
      <c r="U1049" s="72" t="s">
        <v>29</v>
      </c>
      <c r="V1049" s="72" t="s">
        <v>1935</v>
      </c>
      <c r="W1049" s="72" t="s">
        <v>1936</v>
      </c>
      <c r="X1049" s="72" t="s">
        <v>2909</v>
      </c>
      <c r="Y1049" s="72" t="s">
        <v>3024</v>
      </c>
      <c r="Z1049" s="72" t="s">
        <v>30</v>
      </c>
      <c r="AA1049" s="147" t="s">
        <v>2909</v>
      </c>
    </row>
    <row r="1050" spans="1:27" ht="18.600000000000001" customHeight="1">
      <c r="A1050" s="140" t="str">
        <f>IF(priority(Main[[#This Row],[Comments]])&lt;&gt;0, priority(Main[[#This Row],[Comments]]),"")</f>
        <v/>
      </c>
      <c r="B1050" s="90" t="s">
        <v>1859</v>
      </c>
      <c r="C1050" s="72" t="s">
        <v>4</v>
      </c>
      <c r="D1050" s="73" t="s">
        <v>908</v>
      </c>
      <c r="E1050" s="74">
        <v>40080.410775462966</v>
      </c>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909</v>
      </c>
      <c r="J1050" s="72" t="s">
        <v>28</v>
      </c>
      <c r="K1050" s="81" t="s">
        <v>1941</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c r="R1050" s="74">
        <v>40494</v>
      </c>
      <c r="S1050" s="72" t="s">
        <v>6</v>
      </c>
      <c r="T1050" s="80" t="s">
        <v>4</v>
      </c>
      <c r="U1050" s="72" t="s">
        <v>29</v>
      </c>
      <c r="V1050" s="72" t="s">
        <v>1935</v>
      </c>
      <c r="W1050" s="72" t="s">
        <v>1936</v>
      </c>
      <c r="X1050" s="72" t="s">
        <v>2978</v>
      </c>
      <c r="Y1050" s="72" t="s">
        <v>3138</v>
      </c>
      <c r="Z1050" s="72" t="s">
        <v>420</v>
      </c>
      <c r="AA1050" s="147" t="s">
        <v>2978</v>
      </c>
    </row>
    <row r="1051" spans="1:27" ht="18.600000000000001" customHeight="1">
      <c r="A1051" s="140" t="str">
        <f>IF(priority(Main[[#This Row],[Comments]])&lt;&gt;0, priority(Main[[#This Row],[Comments]]),"")</f>
        <v/>
      </c>
      <c r="B1051" s="90" t="s">
        <v>1813</v>
      </c>
      <c r="C1051" s="72" t="s">
        <v>4</v>
      </c>
      <c r="D1051" s="73" t="s">
        <v>850</v>
      </c>
      <c r="E1051" s="74">
        <v>40639.681793981479</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131</v>
      </c>
      <c r="J1051" s="72" t="s">
        <v>70</v>
      </c>
      <c r="K1051" s="72" t="s">
        <v>1941</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40669</v>
      </c>
      <c r="R1051" s="74"/>
      <c r="S1051" s="72" t="s">
        <v>6</v>
      </c>
      <c r="T1051" s="80" t="s">
        <v>4</v>
      </c>
      <c r="U1051" s="72" t="s">
        <v>29</v>
      </c>
      <c r="V1051" s="72" t="s">
        <v>1935</v>
      </c>
      <c r="W1051" s="72" t="s">
        <v>1936</v>
      </c>
      <c r="X1051" s="72" t="s">
        <v>2910</v>
      </c>
      <c r="Y1051" s="72" t="s">
        <v>3027</v>
      </c>
      <c r="Z1051" s="72" t="s">
        <v>535</v>
      </c>
      <c r="AA1051" s="147" t="s">
        <v>2910</v>
      </c>
    </row>
    <row r="1052" spans="1:27" ht="18.600000000000001" customHeight="1">
      <c r="A1052" s="140" t="str">
        <f>IF(priority(Main[[#This Row],[Comments]])&lt;&gt;0, priority(Main[[#This Row],[Comments]]),"")</f>
        <v/>
      </c>
      <c r="B1052" s="90" t="s">
        <v>1909</v>
      </c>
      <c r="C1052" s="72" t="s">
        <v>116</v>
      </c>
      <c r="D1052" s="73" t="s">
        <v>2342</v>
      </c>
      <c r="E1052" s="74">
        <v>40673.421898148146</v>
      </c>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949</v>
      </c>
      <c r="J1052" s="72" t="s">
        <v>28</v>
      </c>
      <c r="K1052" s="81" t="s">
        <v>1944</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v>40724</v>
      </c>
      <c r="R1052" s="74">
        <v>40847</v>
      </c>
      <c r="S1052" s="72" t="s">
        <v>6</v>
      </c>
      <c r="T1052" s="80" t="s">
        <v>2450</v>
      </c>
      <c r="U1052" s="72" t="s">
        <v>29</v>
      </c>
      <c r="V1052" s="72" t="s">
        <v>1932</v>
      </c>
      <c r="W1052" s="72" t="s">
        <v>1936</v>
      </c>
      <c r="X1052" s="72" t="s">
        <v>923</v>
      </c>
      <c r="Y1052" s="72" t="s">
        <v>3152</v>
      </c>
      <c r="Z1052" s="72" t="s">
        <v>129</v>
      </c>
      <c r="AA1052" s="147" t="s">
        <v>923</v>
      </c>
    </row>
    <row r="1053" spans="1:27" ht="18.600000000000001" customHeight="1">
      <c r="A1053" s="140" t="str">
        <f>IF(priority(Main[[#This Row],[Comments]])&lt;&gt;0, priority(Main[[#This Row],[Comments]]),"")</f>
        <v/>
      </c>
      <c r="B1053" s="90" t="s">
        <v>2451</v>
      </c>
      <c r="C1053" s="72" t="s">
        <v>216</v>
      </c>
      <c r="D1053" s="73" t="s">
        <v>2452</v>
      </c>
      <c r="E1053" s="74">
        <v>40861.655509259261</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4</v>
      </c>
      <c r="J1053" s="72" t="s">
        <v>4</v>
      </c>
      <c r="K1053" s="72" t="s">
        <v>4</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40967</v>
      </c>
      <c r="R1053" s="74"/>
      <c r="S1053" s="72" t="s">
        <v>17</v>
      </c>
      <c r="T1053" s="80" t="s">
        <v>4</v>
      </c>
      <c r="U1053" s="72" t="s">
        <v>7</v>
      </c>
      <c r="V1053" s="72" t="s">
        <v>1942</v>
      </c>
      <c r="W1053" s="72" t="s">
        <v>1937</v>
      </c>
      <c r="X1053" s="72" t="s">
        <v>436</v>
      </c>
      <c r="Y1053" s="72" t="s">
        <v>3220</v>
      </c>
      <c r="Z1053" s="72" t="s">
        <v>4</v>
      </c>
      <c r="AA1053" s="147" t="s">
        <v>436</v>
      </c>
    </row>
    <row r="1054" spans="1:27" ht="18.600000000000001" customHeight="1">
      <c r="A1054" s="140" t="str">
        <f>IF(priority(Main[[#This Row],[Comments]])&lt;&gt;0, priority(Main[[#This Row],[Comments]]),"")</f>
        <v/>
      </c>
      <c r="B1054" s="90" t="s">
        <v>2306</v>
      </c>
      <c r="C1054" s="72" t="s">
        <v>2307</v>
      </c>
      <c r="D1054" s="73" t="s">
        <v>2308</v>
      </c>
      <c r="E1054" s="74"/>
      <c r="F1054" s="74">
        <v>40816</v>
      </c>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40816</v>
      </c>
      <c r="R1054" s="74"/>
      <c r="S1054" s="72" t="s">
        <v>300</v>
      </c>
      <c r="T1054" s="80" t="s">
        <v>4</v>
      </c>
      <c r="U1054" s="72" t="s">
        <v>14</v>
      </c>
      <c r="V1054" s="72" t="s">
        <v>1942</v>
      </c>
      <c r="W1054" s="72" t="s">
        <v>1940</v>
      </c>
      <c r="X1054" s="72" t="s">
        <v>3001</v>
      </c>
      <c r="Y1054" s="72" t="s">
        <v>3221</v>
      </c>
      <c r="Z1054" s="72" t="s">
        <v>4</v>
      </c>
      <c r="AA1054" s="147" t="s">
        <v>3691</v>
      </c>
    </row>
    <row r="1055" spans="1:27" ht="18.600000000000001" customHeight="1">
      <c r="A1055" s="140" t="str">
        <f>IF(priority(Main[[#This Row],[Comments]])&lt;&gt;0, priority(Main[[#This Row],[Comments]]),"")</f>
        <v/>
      </c>
      <c r="B1055" s="90" t="s">
        <v>2453</v>
      </c>
      <c r="C1055" s="72" t="s">
        <v>4</v>
      </c>
      <c r="D1055" s="73" t="s">
        <v>2454</v>
      </c>
      <c r="E1055" s="74">
        <v>40826.139097222222</v>
      </c>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4</v>
      </c>
      <c r="J1055" s="72" t="s">
        <v>4</v>
      </c>
      <c r="K1055" s="81" t="s">
        <v>4</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40847</v>
      </c>
      <c r="R1055" s="74"/>
      <c r="S1055" s="72" t="s">
        <v>6</v>
      </c>
      <c r="T1055" s="80" t="s">
        <v>4</v>
      </c>
      <c r="U1055" s="72" t="s">
        <v>7</v>
      </c>
      <c r="V1055" s="72" t="s">
        <v>1932</v>
      </c>
      <c r="W1055" s="72" t="s">
        <v>4</v>
      </c>
      <c r="X1055" s="72" t="s">
        <v>2942</v>
      </c>
      <c r="Y1055" s="72" t="s">
        <v>3081</v>
      </c>
      <c r="Z1055" s="72" t="s">
        <v>4</v>
      </c>
      <c r="AA1055" s="147" t="s">
        <v>2942</v>
      </c>
    </row>
    <row r="1056" spans="1:27" ht="18.600000000000001" customHeight="1">
      <c r="A1056" s="140" t="str">
        <f>IF(priority(Main[[#This Row],[Comments]])&lt;&gt;0, priority(Main[[#This Row],[Comments]]),"")</f>
        <v/>
      </c>
      <c r="B1056" s="90" t="s">
        <v>2426</v>
      </c>
      <c r="C1056" s="72" t="s">
        <v>4</v>
      </c>
      <c r="D1056" s="73" t="s">
        <v>2427</v>
      </c>
      <c r="E1056" s="74"/>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4</v>
      </c>
      <c r="J1056" s="72" t="s">
        <v>4</v>
      </c>
      <c r="K1056" s="81" t="s">
        <v>4</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c r="R1056" s="74"/>
      <c r="S1056" s="72" t="s">
        <v>6</v>
      </c>
      <c r="T1056" s="80" t="s">
        <v>4</v>
      </c>
      <c r="U1056" s="72" t="s">
        <v>14</v>
      </c>
      <c r="V1056" s="72" t="s">
        <v>1932</v>
      </c>
      <c r="W1056" s="72" t="s">
        <v>1936</v>
      </c>
      <c r="X1056" s="72" t="s">
        <v>403</v>
      </c>
      <c r="Y1056" s="72" t="s">
        <v>4</v>
      </c>
      <c r="Z1056" s="72" t="s">
        <v>4</v>
      </c>
      <c r="AA1056" s="147" t="s">
        <v>3695</v>
      </c>
    </row>
    <row r="1057" spans="1:27" ht="18.600000000000001" customHeight="1">
      <c r="A1057" s="140" t="str">
        <f>IF(priority(Main[[#This Row],[Comments]])&lt;&gt;0, priority(Main[[#This Row],[Comments]]),"")</f>
        <v/>
      </c>
      <c r="B1057" s="90" t="s">
        <v>3542</v>
      </c>
      <c r="C1057" s="72" t="s">
        <v>4</v>
      </c>
      <c r="D1057" s="73" t="s">
        <v>3543</v>
      </c>
      <c r="E1057" s="74">
        <v>40938.727824074071</v>
      </c>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4</v>
      </c>
      <c r="J1057" s="72" t="s">
        <v>4</v>
      </c>
      <c r="K1057" s="72" t="s">
        <v>4</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40970</v>
      </c>
      <c r="R1057" s="74"/>
      <c r="S1057" s="72" t="s">
        <v>6</v>
      </c>
      <c r="T1057" s="80" t="s">
        <v>4</v>
      </c>
      <c r="U1057" s="72" t="s">
        <v>7</v>
      </c>
      <c r="V1057" s="72" t="s">
        <v>1935</v>
      </c>
      <c r="W1057" s="72" t="s">
        <v>4</v>
      </c>
      <c r="X1057" s="72" t="s">
        <v>2910</v>
      </c>
      <c r="Y1057" s="72" t="s">
        <v>3027</v>
      </c>
      <c r="Z1057" s="72" t="s">
        <v>4</v>
      </c>
      <c r="AA1057" s="147" t="s">
        <v>2910</v>
      </c>
    </row>
    <row r="1058" spans="1:27" ht="18.600000000000001" customHeight="1">
      <c r="A1058" s="140" t="str">
        <f>IF(priority(Main[[#This Row],[Comments]])&lt;&gt;0, priority(Main[[#This Row],[Comments]]),"")</f>
        <v/>
      </c>
      <c r="B1058" s="90" t="s">
        <v>1648</v>
      </c>
      <c r="C1058" s="72" t="s">
        <v>79</v>
      </c>
      <c r="D1058" s="73" t="s">
        <v>714</v>
      </c>
      <c r="E1058" s="74">
        <v>40610.683993055558</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535</v>
      </c>
      <c r="J1058" s="72" t="s">
        <v>28</v>
      </c>
      <c r="K1058" s="72" t="s">
        <v>1944</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40725</v>
      </c>
      <c r="R1058" s="74"/>
      <c r="S1058" s="72" t="s">
        <v>6</v>
      </c>
      <c r="T1058" s="80" t="s">
        <v>4</v>
      </c>
      <c r="U1058" s="72" t="s">
        <v>29</v>
      </c>
      <c r="V1058" s="72" t="s">
        <v>1935</v>
      </c>
      <c r="W1058" s="72" t="s">
        <v>1934</v>
      </c>
      <c r="X1058" s="72" t="s">
        <v>559</v>
      </c>
      <c r="Y1058" s="72" t="s">
        <v>3047</v>
      </c>
      <c r="Z1058" s="72" t="s">
        <v>30</v>
      </c>
      <c r="AA1058" s="147" t="s">
        <v>559</v>
      </c>
    </row>
    <row r="1059" spans="1:27" ht="18.600000000000001" customHeight="1">
      <c r="A1059" s="140" t="str">
        <f>IF(priority(Main[[#This Row],[Comments]])&lt;&gt;0, priority(Main[[#This Row],[Comments]]),"")</f>
        <v/>
      </c>
      <c r="B1059" s="90" t="s">
        <v>1185</v>
      </c>
      <c r="C1059" s="72" t="s">
        <v>4</v>
      </c>
      <c r="D1059" s="73" t="s">
        <v>2458</v>
      </c>
      <c r="E1059" s="74">
        <v>40567.661041666666</v>
      </c>
      <c r="F1059" s="74">
        <v>40602</v>
      </c>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923</v>
      </c>
      <c r="J1059" s="72" t="s">
        <v>52</v>
      </c>
      <c r="K1059" s="72" t="s">
        <v>1941</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40602</v>
      </c>
      <c r="R1059" s="74"/>
      <c r="S1059" s="72" t="s">
        <v>6</v>
      </c>
      <c r="T1059" s="80" t="s">
        <v>4</v>
      </c>
      <c r="U1059" s="72" t="s">
        <v>29</v>
      </c>
      <c r="V1059" s="72" t="s">
        <v>1932</v>
      </c>
      <c r="W1059" s="72" t="s">
        <v>1934</v>
      </c>
      <c r="X1059" s="72" t="s">
        <v>2909</v>
      </c>
      <c r="Y1059" s="72" t="s">
        <v>3024</v>
      </c>
      <c r="Z1059" s="72" t="s">
        <v>129</v>
      </c>
      <c r="AA1059" s="147" t="s">
        <v>2909</v>
      </c>
    </row>
    <row r="1060" spans="1:27" ht="18.600000000000001" customHeight="1">
      <c r="A1060" s="140" t="str">
        <f>IF(priority(Main[[#This Row],[Comments]])&lt;&gt;0, priority(Main[[#This Row],[Comments]]),"")</f>
        <v/>
      </c>
      <c r="B1060" s="90" t="s">
        <v>1590</v>
      </c>
      <c r="C1060" s="72" t="s">
        <v>4</v>
      </c>
      <c r="D1060" s="73" t="s">
        <v>2459</v>
      </c>
      <c r="E1060" s="74">
        <v>40463.34134259259</v>
      </c>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923</v>
      </c>
      <c r="J1060" s="72" t="s">
        <v>52</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v>40497</v>
      </c>
      <c r="R1060" s="74"/>
      <c r="S1060" s="72" t="s">
        <v>6</v>
      </c>
      <c r="T1060" s="80" t="s">
        <v>4</v>
      </c>
      <c r="U1060" s="72" t="s">
        <v>29</v>
      </c>
      <c r="V1060" s="72" t="s">
        <v>1932</v>
      </c>
      <c r="W1060" s="72" t="s">
        <v>1936</v>
      </c>
      <c r="X1060" s="72" t="s">
        <v>2909</v>
      </c>
      <c r="Y1060" s="72" t="s">
        <v>3024</v>
      </c>
      <c r="Z1060" s="72" t="s">
        <v>129</v>
      </c>
      <c r="AA1060" s="147" t="s">
        <v>2909</v>
      </c>
    </row>
    <row r="1061" spans="1:27" ht="18.600000000000001" customHeight="1">
      <c r="A1061" s="140" t="str">
        <f>IF(priority(Main[[#This Row],[Comments]])&lt;&gt;0, priority(Main[[#This Row],[Comments]]),"")</f>
        <v/>
      </c>
      <c r="B1061" s="90" t="s">
        <v>2460</v>
      </c>
      <c r="C1061" s="72" t="s">
        <v>4</v>
      </c>
      <c r="D1061" s="73" t="s">
        <v>2461</v>
      </c>
      <c r="E1061" s="74">
        <v>40833.65898148148</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535</v>
      </c>
      <c r="J1061" s="72" t="s">
        <v>28</v>
      </c>
      <c r="K1061" s="81" t="s">
        <v>1941</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v>40923</v>
      </c>
      <c r="R1061" s="74"/>
      <c r="S1061" s="72" t="s">
        <v>6</v>
      </c>
      <c r="T1061" s="80" t="s">
        <v>4</v>
      </c>
      <c r="U1061" s="72" t="s">
        <v>29</v>
      </c>
      <c r="V1061" s="72" t="s">
        <v>1935</v>
      </c>
      <c r="W1061" s="72" t="s">
        <v>1936</v>
      </c>
      <c r="X1061" s="72" t="s">
        <v>559</v>
      </c>
      <c r="Y1061" s="72" t="s">
        <v>3047</v>
      </c>
      <c r="Z1061" s="72" t="s">
        <v>30</v>
      </c>
      <c r="AA1061" s="147" t="s">
        <v>559</v>
      </c>
    </row>
    <row r="1062" spans="1:27" ht="18.600000000000001" customHeight="1">
      <c r="A1062" s="140" t="str">
        <f>IF(priority(Main[[#This Row],[Comments]])&lt;&gt;0, priority(Main[[#This Row],[Comments]]),"")</f>
        <v/>
      </c>
      <c r="B1062" s="90" t="s">
        <v>1783</v>
      </c>
      <c r="C1062" s="72" t="s">
        <v>4</v>
      </c>
      <c r="D1062" s="73" t="s">
        <v>2340</v>
      </c>
      <c r="E1062" s="74">
        <v>40660.402291666665</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567</v>
      </c>
      <c r="J1062" s="72" t="s">
        <v>21</v>
      </c>
      <c r="K1062" s="72" t="s">
        <v>4</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v>40676</v>
      </c>
      <c r="R1062" s="74"/>
      <c r="S1062" s="72" t="s">
        <v>6</v>
      </c>
      <c r="T1062" s="80" t="s">
        <v>4</v>
      </c>
      <c r="U1062" s="72" t="s">
        <v>29</v>
      </c>
      <c r="V1062" s="72" t="s">
        <v>1932</v>
      </c>
      <c r="W1062" s="72" t="s">
        <v>1936</v>
      </c>
      <c r="X1062" s="72" t="s">
        <v>2912</v>
      </c>
      <c r="Y1062" s="72" t="s">
        <v>3031</v>
      </c>
      <c r="Z1062" s="72" t="s">
        <v>4</v>
      </c>
      <c r="AA1062" s="147" t="s">
        <v>2912</v>
      </c>
    </row>
    <row r="1063" spans="1:27" ht="18.600000000000001" customHeight="1">
      <c r="A1063" s="140" t="str">
        <f>IF(priority(Main[[#This Row],[Comments]])&lt;&gt;0, priority(Main[[#This Row],[Comments]]),"")</f>
        <v/>
      </c>
      <c r="B1063" s="90" t="s">
        <v>2536</v>
      </c>
      <c r="C1063" s="72" t="s">
        <v>4</v>
      </c>
      <c r="D1063" s="73" t="s">
        <v>2537</v>
      </c>
      <c r="E1063" s="74"/>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535</v>
      </c>
      <c r="J1063" s="72" t="s">
        <v>28</v>
      </c>
      <c r="K1063" s="72" t="s">
        <v>1941</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40939</v>
      </c>
      <c r="R1063" s="74"/>
      <c r="S1063" s="72" t="s">
        <v>6</v>
      </c>
      <c r="T1063" s="80" t="s">
        <v>4</v>
      </c>
      <c r="U1063" s="72" t="s">
        <v>14</v>
      </c>
      <c r="V1063" s="72" t="s">
        <v>1935</v>
      </c>
      <c r="W1063" s="72" t="s">
        <v>1936</v>
      </c>
      <c r="X1063" s="72" t="s">
        <v>559</v>
      </c>
      <c r="Y1063" s="72" t="s">
        <v>3047</v>
      </c>
      <c r="Z1063" s="72" t="s">
        <v>30</v>
      </c>
      <c r="AA1063" s="147" t="s">
        <v>559</v>
      </c>
    </row>
    <row r="1064" spans="1:27" ht="18.600000000000001" customHeight="1">
      <c r="A1064" s="140" t="str">
        <f>IF(priority(Main[[#This Row],[Comments]])&lt;&gt;0, priority(Main[[#This Row],[Comments]]),"")</f>
        <v/>
      </c>
      <c r="B1064" s="90" t="s">
        <v>1925</v>
      </c>
      <c r="C1064" s="72" t="s">
        <v>4</v>
      </c>
      <c r="D1064" s="73" t="s">
        <v>969</v>
      </c>
      <c r="E1064" s="74">
        <v>40140.581273148149</v>
      </c>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436</v>
      </c>
      <c r="J1064" s="72" t="s">
        <v>28</v>
      </c>
      <c r="K1064" s="72" t="s">
        <v>1944</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40326</v>
      </c>
      <c r="R1064" s="74">
        <v>40966</v>
      </c>
      <c r="S1064" s="72" t="s">
        <v>17</v>
      </c>
      <c r="T1064" s="80" t="s">
        <v>4</v>
      </c>
      <c r="U1064" s="72" t="s">
        <v>29</v>
      </c>
      <c r="V1064" s="72" t="s">
        <v>1935</v>
      </c>
      <c r="W1064" s="72" t="s">
        <v>1937</v>
      </c>
      <c r="X1064" s="72" t="s">
        <v>420</v>
      </c>
      <c r="Y1064" s="72" t="s">
        <v>3070</v>
      </c>
      <c r="Z1064" s="72" t="s">
        <v>420</v>
      </c>
      <c r="AA1064" s="147" t="s">
        <v>420</v>
      </c>
    </row>
    <row r="1065" spans="1:27" ht="18.600000000000001" customHeight="1">
      <c r="A1065" s="140" t="str">
        <f>IF(priority(Main[[#This Row],[Comments]])&lt;&gt;0, priority(Main[[#This Row],[Comments]]),"")</f>
        <v/>
      </c>
      <c r="B1065" s="90" t="s">
        <v>2149</v>
      </c>
      <c r="C1065" s="72" t="s">
        <v>4</v>
      </c>
      <c r="D1065" s="73" t="s">
        <v>2456</v>
      </c>
      <c r="E1065" s="74"/>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2073</v>
      </c>
      <c r="J1065" s="72" t="s">
        <v>28</v>
      </c>
      <c r="K1065" s="72" t="s">
        <v>1941</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40816</v>
      </c>
      <c r="R1065" s="74"/>
      <c r="S1065" s="72" t="s">
        <v>6</v>
      </c>
      <c r="T1065" s="80" t="s">
        <v>4</v>
      </c>
      <c r="U1065" s="72" t="s">
        <v>14</v>
      </c>
      <c r="V1065" s="72" t="s">
        <v>1942</v>
      </c>
      <c r="W1065" s="72" t="s">
        <v>1936</v>
      </c>
      <c r="X1065" s="72" t="s">
        <v>2994</v>
      </c>
      <c r="Y1065" s="72" t="s">
        <v>3178</v>
      </c>
      <c r="Z1065" s="72" t="s">
        <v>44</v>
      </c>
      <c r="AA1065" s="147" t="s">
        <v>2994</v>
      </c>
    </row>
    <row r="1066" spans="1:27" ht="18.600000000000001" customHeight="1">
      <c r="A1066" s="140" t="str">
        <f>IF(priority(Main[[#This Row],[Comments]])&lt;&gt;0, priority(Main[[#This Row],[Comments]]),"")</f>
        <v/>
      </c>
      <c r="B1066" s="90" t="s">
        <v>2499</v>
      </c>
      <c r="C1066" s="72" t="s">
        <v>95</v>
      </c>
      <c r="D1066" s="73" t="s">
        <v>2743</v>
      </c>
      <c r="E1066" s="74">
        <v>40876.601030092592</v>
      </c>
      <c r="F1066" s="74"/>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535</v>
      </c>
      <c r="J1066" s="72" t="s">
        <v>28</v>
      </c>
      <c r="K1066" s="72" t="s">
        <v>1941</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40900</v>
      </c>
      <c r="R1066" s="74"/>
      <c r="S1066" s="72" t="s">
        <v>6</v>
      </c>
      <c r="T1066" s="80" t="s">
        <v>4</v>
      </c>
      <c r="U1066" s="72" t="s">
        <v>29</v>
      </c>
      <c r="V1066" s="72" t="s">
        <v>1942</v>
      </c>
      <c r="W1066" s="72" t="s">
        <v>1940</v>
      </c>
      <c r="X1066" s="72" t="s">
        <v>894</v>
      </c>
      <c r="Y1066" s="72" t="s">
        <v>3058</v>
      </c>
      <c r="Z1066" s="72" t="s">
        <v>30</v>
      </c>
      <c r="AA1066" s="147" t="s">
        <v>894</v>
      </c>
    </row>
    <row r="1067" spans="1:27" ht="18.600000000000001" customHeight="1">
      <c r="A1067" s="140" t="str">
        <f>IF(priority(Main[[#This Row],[Comments]])&lt;&gt;0, priority(Main[[#This Row],[Comments]]),"")</f>
        <v/>
      </c>
      <c r="B1067" s="90" t="s">
        <v>2616</v>
      </c>
      <c r="C1067" s="72" t="s">
        <v>4</v>
      </c>
      <c r="D1067" s="73" t="s">
        <v>2617</v>
      </c>
      <c r="E1067" s="74"/>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v>
      </c>
      <c r="J1067" s="72" t="s">
        <v>4</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c r="R1067" s="74"/>
      <c r="S1067" s="72" t="s">
        <v>6</v>
      </c>
      <c r="T1067" s="80" t="s">
        <v>4</v>
      </c>
      <c r="U1067" s="72" t="s">
        <v>14</v>
      </c>
      <c r="V1067" s="72" t="s">
        <v>1935</v>
      </c>
      <c r="W1067" s="72" t="s">
        <v>1936</v>
      </c>
      <c r="X1067" s="72" t="s">
        <v>310</v>
      </c>
      <c r="Y1067" s="72" t="s">
        <v>3036</v>
      </c>
      <c r="Z1067" s="72" t="s">
        <v>4</v>
      </c>
      <c r="AA1067" s="147" t="s">
        <v>310</v>
      </c>
    </row>
    <row r="1068" spans="1:27" ht="18.600000000000001" customHeight="1">
      <c r="A1068" s="140" t="str">
        <f>IF(priority(Main[[#This Row],[Comments]])&lt;&gt;0, priority(Main[[#This Row],[Comments]]),"")</f>
        <v/>
      </c>
      <c r="B1068" s="90" t="s">
        <v>2301</v>
      </c>
      <c r="C1068" s="72" t="s">
        <v>4</v>
      </c>
      <c r="D1068" s="73" t="s">
        <v>2302</v>
      </c>
      <c r="E1068" s="74">
        <v>40809.888067129628</v>
      </c>
      <c r="F1068" s="74"/>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81</v>
      </c>
      <c r="J1068" s="72" t="s">
        <v>52</v>
      </c>
      <c r="K1068" s="81" t="s">
        <v>1941</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c r="R1068" s="74"/>
      <c r="S1068" s="72" t="s">
        <v>6</v>
      </c>
      <c r="T1068" s="80" t="s">
        <v>4</v>
      </c>
      <c r="U1068" s="72" t="s">
        <v>29</v>
      </c>
      <c r="V1068" s="72" t="s">
        <v>1942</v>
      </c>
      <c r="W1068" s="72" t="s">
        <v>1936</v>
      </c>
      <c r="X1068" s="72" t="s">
        <v>2956</v>
      </c>
      <c r="Y1068" s="72" t="s">
        <v>3105</v>
      </c>
      <c r="Z1068" s="72" t="s">
        <v>30</v>
      </c>
      <c r="AA1068" s="147" t="s">
        <v>2956</v>
      </c>
    </row>
    <row r="1069" spans="1:27" ht="18.600000000000001" customHeight="1">
      <c r="A1069" s="140" t="str">
        <f>IF(priority(Main[[#This Row],[Comments]])&lt;&gt;0, priority(Main[[#This Row],[Comments]]),"")</f>
        <v/>
      </c>
      <c r="B1069" s="90" t="s">
        <v>2279</v>
      </c>
      <c r="C1069" s="72" t="s">
        <v>4</v>
      </c>
      <c r="D1069" s="73" t="s">
        <v>2280</v>
      </c>
      <c r="E1069" s="74">
        <v>40806.354490740741</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4</v>
      </c>
      <c r="J1069" s="72" t="s">
        <v>4</v>
      </c>
      <c r="K1069" s="72" t="s">
        <v>4</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c r="R1069" s="74"/>
      <c r="S1069" s="72" t="s">
        <v>17</v>
      </c>
      <c r="T1069" s="80" t="s">
        <v>4</v>
      </c>
      <c r="U1069" s="72" t="s">
        <v>7</v>
      </c>
      <c r="V1069" s="72" t="s">
        <v>1933</v>
      </c>
      <c r="W1069" s="72" t="s">
        <v>1934</v>
      </c>
      <c r="X1069" s="72" t="s">
        <v>2957</v>
      </c>
      <c r="Y1069" s="72" t="s">
        <v>3095</v>
      </c>
      <c r="Z1069" s="72" t="s">
        <v>4</v>
      </c>
      <c r="AA1069" s="147" t="s">
        <v>2957</v>
      </c>
    </row>
    <row r="1070" spans="1:27" ht="18.600000000000001" customHeight="1">
      <c r="A1070" s="140" t="str">
        <f>IF(priority(Main[[#This Row],[Comments]])&lt;&gt;0, priority(Main[[#This Row],[Comments]]),"")</f>
        <v/>
      </c>
      <c r="B1070" s="90" t="s">
        <v>2810</v>
      </c>
      <c r="C1070" s="72" t="s">
        <v>4</v>
      </c>
      <c r="D1070" s="73" t="s">
        <v>2811</v>
      </c>
      <c r="E1070" s="74">
        <v>40911.721898148149</v>
      </c>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4</v>
      </c>
      <c r="J1070" s="72" t="s">
        <v>4</v>
      </c>
      <c r="K1070" s="72" t="s">
        <v>4</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41015</v>
      </c>
      <c r="R1070" s="74"/>
      <c r="S1070" s="72" t="s">
        <v>6</v>
      </c>
      <c r="T1070" s="80" t="s">
        <v>4</v>
      </c>
      <c r="U1070" s="72" t="s">
        <v>7</v>
      </c>
      <c r="V1070" s="72" t="s">
        <v>1947</v>
      </c>
      <c r="W1070" s="72" t="s">
        <v>1936</v>
      </c>
      <c r="X1070" s="72" t="s">
        <v>888</v>
      </c>
      <c r="Y1070" s="72" t="s">
        <v>3104</v>
      </c>
      <c r="Z1070" s="72" t="s">
        <v>4</v>
      </c>
      <c r="AA1070" s="147" t="s">
        <v>888</v>
      </c>
    </row>
    <row r="1071" spans="1:27" ht="18.600000000000001" customHeight="1">
      <c r="A1071" s="140" t="str">
        <f>IF(priority(Main[[#This Row],[Comments]])&lt;&gt;0, priority(Main[[#This Row],[Comments]]),"")</f>
        <v/>
      </c>
      <c r="B1071" s="90" t="s">
        <v>3407</v>
      </c>
      <c r="C1071" s="72" t="s">
        <v>4</v>
      </c>
      <c r="D1071" s="73" t="s">
        <v>3408</v>
      </c>
      <c r="E1071" s="74">
        <v>40934.394444444442</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4</v>
      </c>
      <c r="J1071" s="72" t="s">
        <v>4</v>
      </c>
      <c r="K1071" s="72" t="s">
        <v>4</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40968</v>
      </c>
      <c r="R1071" s="74"/>
      <c r="S1071" s="72" t="s">
        <v>6</v>
      </c>
      <c r="T1071" s="80" t="s">
        <v>4</v>
      </c>
      <c r="U1071" s="72" t="s">
        <v>7</v>
      </c>
      <c r="V1071" s="72" t="s">
        <v>1935</v>
      </c>
      <c r="W1071" s="72" t="s">
        <v>4</v>
      </c>
      <c r="X1071" s="72" t="s">
        <v>2909</v>
      </c>
      <c r="Y1071" s="72" t="s">
        <v>3024</v>
      </c>
      <c r="Z1071" s="72" t="s">
        <v>4</v>
      </c>
      <c r="AA1071" s="147" t="s">
        <v>2909</v>
      </c>
    </row>
    <row r="1072" spans="1:27" ht="18.600000000000001" customHeight="1">
      <c r="A1072" s="140" t="str">
        <f>IF(priority(Main[[#This Row],[Comments]])&lt;&gt;0, priority(Main[[#This Row],[Comments]]),"")</f>
        <v/>
      </c>
      <c r="B1072" s="90" t="s">
        <v>2372</v>
      </c>
      <c r="C1072" s="72" t="s">
        <v>4</v>
      </c>
      <c r="D1072" s="73" t="s">
        <v>2373</v>
      </c>
      <c r="E1072" s="74">
        <v>40826.635983796295</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30</v>
      </c>
      <c r="J1072" s="72" t="s">
        <v>21</v>
      </c>
      <c r="K1072" s="72" t="s">
        <v>1941</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v>40886</v>
      </c>
      <c r="R1072" s="74"/>
      <c r="S1072" s="72" t="s">
        <v>6</v>
      </c>
      <c r="T1072" s="80" t="s">
        <v>4</v>
      </c>
      <c r="U1072" s="72" t="s">
        <v>29</v>
      </c>
      <c r="V1072" s="72" t="s">
        <v>1935</v>
      </c>
      <c r="W1072" s="72" t="s">
        <v>1934</v>
      </c>
      <c r="X1072" s="72" t="s">
        <v>102</v>
      </c>
      <c r="Y1072" s="72" t="s">
        <v>3222</v>
      </c>
      <c r="Z1072" s="72" t="s">
        <v>420</v>
      </c>
      <c r="AA1072" s="147" t="s">
        <v>3696</v>
      </c>
    </row>
    <row r="1073" spans="1:27" ht="18.600000000000001" customHeight="1">
      <c r="A1073" s="140" t="str">
        <f>IF(priority(Main[[#This Row],[Comments]])&lt;&gt;0, priority(Main[[#This Row],[Comments]]),"")</f>
        <v/>
      </c>
      <c r="B1073" s="90" t="s">
        <v>3782</v>
      </c>
      <c r="C1073" s="72" t="s">
        <v>4</v>
      </c>
      <c r="D1073" s="73" t="s">
        <v>3783</v>
      </c>
      <c r="E1073" s="74">
        <v>40942.135775462964</v>
      </c>
      <c r="F1073" s="74"/>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4</v>
      </c>
      <c r="J1073" s="72" t="s">
        <v>4</v>
      </c>
      <c r="K1073" s="81" t="s">
        <v>4</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41001</v>
      </c>
      <c r="R1073" s="74"/>
      <c r="S1073" s="72" t="s">
        <v>6</v>
      </c>
      <c r="T1073" s="80" t="s">
        <v>4</v>
      </c>
      <c r="U1073" s="72" t="s">
        <v>7</v>
      </c>
      <c r="V1073" s="72" t="s">
        <v>1935</v>
      </c>
      <c r="W1073" s="72" t="s">
        <v>4</v>
      </c>
      <c r="X1073" s="72" t="s">
        <v>2913</v>
      </c>
      <c r="Y1073" s="72" t="s">
        <v>3033</v>
      </c>
      <c r="Z1073" s="72" t="s">
        <v>4</v>
      </c>
      <c r="AA1073" s="147" t="s">
        <v>2913</v>
      </c>
    </row>
    <row r="1074" spans="1:27" ht="18.600000000000001" customHeight="1">
      <c r="A1074" s="140" t="str">
        <f>IF(priority(Main[[#This Row],[Comments]])&lt;&gt;0, priority(Main[[#This Row],[Comments]]),"")</f>
        <v/>
      </c>
      <c r="B1074" s="90" t="s">
        <v>2462</v>
      </c>
      <c r="C1074" s="72" t="s">
        <v>4</v>
      </c>
      <c r="D1074" s="73" t="s">
        <v>2463</v>
      </c>
      <c r="E1074" s="74"/>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4</v>
      </c>
      <c r="J1074" s="72" t="s">
        <v>4</v>
      </c>
      <c r="K1074" s="72" t="s">
        <v>4</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40907</v>
      </c>
      <c r="R1074" s="74"/>
      <c r="S1074" s="72" t="s">
        <v>6</v>
      </c>
      <c r="T1074" s="80" t="s">
        <v>4</v>
      </c>
      <c r="U1074" s="72" t="s">
        <v>14</v>
      </c>
      <c r="V1074" s="72" t="s">
        <v>1932</v>
      </c>
      <c r="W1074" s="72" t="s">
        <v>1936</v>
      </c>
      <c r="X1074" s="72" t="s">
        <v>2912</v>
      </c>
      <c r="Y1074" s="72" t="s">
        <v>3031</v>
      </c>
      <c r="Z1074" s="72" t="s">
        <v>4</v>
      </c>
      <c r="AA1074" s="147" t="s">
        <v>2912</v>
      </c>
    </row>
    <row r="1075" spans="1:27" ht="18.600000000000001" customHeight="1">
      <c r="A1075" s="140" t="str">
        <f>IF(priority(Main[[#This Row],[Comments]])&lt;&gt;0, priority(Main[[#This Row],[Comments]]),"")</f>
        <v/>
      </c>
      <c r="B1075" s="90" t="s">
        <v>1453</v>
      </c>
      <c r="C1075" s="72" t="s">
        <v>4</v>
      </c>
      <c r="D1075" s="73" t="s">
        <v>521</v>
      </c>
      <c r="E1075" s="74">
        <v>40584.460439814815</v>
      </c>
      <c r="F1075" s="74">
        <v>40599</v>
      </c>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242</v>
      </c>
      <c r="J1075" s="72" t="s">
        <v>21</v>
      </c>
      <c r="K1075" s="72" t="s">
        <v>1941</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40599</v>
      </c>
      <c r="R1075" s="74"/>
      <c r="S1075" s="72" t="s">
        <v>6</v>
      </c>
      <c r="T1075" s="80" t="s">
        <v>4</v>
      </c>
      <c r="U1075" s="72" t="s">
        <v>29</v>
      </c>
      <c r="V1075" s="72" t="s">
        <v>1942</v>
      </c>
      <c r="W1075" s="72" t="s">
        <v>1934</v>
      </c>
      <c r="X1075" s="72" t="s">
        <v>420</v>
      </c>
      <c r="Y1075" s="72" t="s">
        <v>3070</v>
      </c>
      <c r="Z1075" s="72" t="s">
        <v>420</v>
      </c>
      <c r="AA1075" s="147" t="s">
        <v>420</v>
      </c>
    </row>
    <row r="1076" spans="1:27" ht="18.600000000000001" customHeight="1">
      <c r="A1076" s="140" t="str">
        <f>IF(priority(Main[[#This Row],[Comments]])&lt;&gt;0, priority(Main[[#This Row],[Comments]]),"")</f>
        <v/>
      </c>
      <c r="B1076" s="90" t="s">
        <v>2821</v>
      </c>
      <c r="C1076" s="72" t="s">
        <v>4</v>
      </c>
      <c r="D1076" s="73" t="s">
        <v>2822</v>
      </c>
      <c r="E1076" s="74">
        <v>40905.635960648149</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535</v>
      </c>
      <c r="J1076" s="72" t="s">
        <v>52</v>
      </c>
      <c r="K1076" s="81" t="s">
        <v>1941</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v>41027</v>
      </c>
      <c r="R1076" s="74"/>
      <c r="S1076" s="72" t="s">
        <v>6</v>
      </c>
      <c r="T1076" s="80" t="s">
        <v>4</v>
      </c>
      <c r="U1076" s="72" t="s">
        <v>29</v>
      </c>
      <c r="V1076" s="72" t="s">
        <v>1935</v>
      </c>
      <c r="W1076" s="72" t="s">
        <v>1936</v>
      </c>
      <c r="X1076" s="72" t="s">
        <v>30</v>
      </c>
      <c r="Y1076" s="72" t="s">
        <v>3035</v>
      </c>
      <c r="Z1076" s="72" t="s">
        <v>30</v>
      </c>
      <c r="AA1076" s="147" t="s">
        <v>30</v>
      </c>
    </row>
    <row r="1077" spans="1:27" ht="18.600000000000001" customHeight="1">
      <c r="A1077" s="140" t="str">
        <f>IF(priority(Main[[#This Row],[Comments]])&lt;&gt;0, priority(Main[[#This Row],[Comments]]),"")</f>
        <v/>
      </c>
      <c r="B1077" s="90" t="s">
        <v>2477</v>
      </c>
      <c r="C1077" s="72" t="s">
        <v>4</v>
      </c>
      <c r="D1077" s="73" t="s">
        <v>2478</v>
      </c>
      <c r="E1077" s="74">
        <v>40820.810810185183</v>
      </c>
      <c r="F1077" s="74"/>
      <c r="G1077" s="75" t="str">
        <f>IF(stdProdLT(Main[[#This Row],[Comments]])=0.1,"N/A",IF(stdProdLT(Main[[#This Row],[Comments]])=0,"",stdProdLT(Main[[#This Row],[Comments]])))</f>
        <v/>
      </c>
      <c r="H1077" s="76" t="str">
        <f>IF(AND(Main[[#This Row],[In Stock Date]]&lt;&gt;"",Main[[#This Row],[Revised Due Date]]&lt;&gt;""),Main[[#This Row],[In Stock Date]]-Main[[#This Row],[Revised Due Date]],"")</f>
        <v/>
      </c>
      <c r="I1077" s="72" t="s">
        <v>434</v>
      </c>
      <c r="J1077" s="72" t="s">
        <v>1998</v>
      </c>
      <c r="K1077" s="72" t="s">
        <v>1941</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40847</v>
      </c>
      <c r="R1077" s="74"/>
      <c r="S1077" s="72" t="s">
        <v>6</v>
      </c>
      <c r="T1077" s="80" t="s">
        <v>4</v>
      </c>
      <c r="U1077" s="72" t="s">
        <v>29</v>
      </c>
      <c r="V1077" s="72" t="s">
        <v>1935</v>
      </c>
      <c r="W1077" s="72" t="s">
        <v>1936</v>
      </c>
      <c r="X1077" s="72" t="s">
        <v>30</v>
      </c>
      <c r="Y1077" s="72" t="s">
        <v>3035</v>
      </c>
      <c r="Z1077" s="72" t="s">
        <v>30</v>
      </c>
      <c r="AA1077" s="147" t="s">
        <v>30</v>
      </c>
    </row>
    <row r="1078" spans="1:27" ht="18.600000000000001" customHeight="1">
      <c r="A1078" s="140" t="str">
        <f>IF(priority(Main[[#This Row],[Comments]])&lt;&gt;0, priority(Main[[#This Row],[Comments]]),"")</f>
        <v/>
      </c>
      <c r="B1078" s="90" t="s">
        <v>2479</v>
      </c>
      <c r="C1078" s="72" t="s">
        <v>4</v>
      </c>
      <c r="D1078" s="73" t="s">
        <v>2480</v>
      </c>
      <c r="E1078" s="74">
        <v>40834.538703703707</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81"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c r="R1078" s="74"/>
      <c r="S1078" s="72" t="s">
        <v>6</v>
      </c>
      <c r="T1078" s="80" t="s">
        <v>4</v>
      </c>
      <c r="U1078" s="72" t="s">
        <v>29</v>
      </c>
      <c r="V1078" s="72" t="s">
        <v>1932</v>
      </c>
      <c r="W1078" s="72" t="s">
        <v>1934</v>
      </c>
      <c r="X1078" s="72" t="s">
        <v>310</v>
      </c>
      <c r="Y1078" s="72" t="s">
        <v>4</v>
      </c>
      <c r="Z1078" s="72" t="s">
        <v>4</v>
      </c>
      <c r="AA1078" s="147" t="s">
        <v>4</v>
      </c>
    </row>
    <row r="1079" spans="1:27" ht="18.600000000000001" customHeight="1">
      <c r="A1079" s="140" t="str">
        <f>IF(priority(Main[[#This Row],[Comments]])&lt;&gt;0, priority(Main[[#This Row],[Comments]]),"")</f>
        <v/>
      </c>
      <c r="B1079" s="90" t="s">
        <v>2482</v>
      </c>
      <c r="C1079" s="72" t="s">
        <v>2385</v>
      </c>
      <c r="D1079" s="73" t="s">
        <v>2483</v>
      </c>
      <c r="E1079" s="74"/>
      <c r="F1079" s="74">
        <v>40940</v>
      </c>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4</v>
      </c>
      <c r="K1079" s="81"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v>40878</v>
      </c>
      <c r="R1079" s="74"/>
      <c r="S1079" s="72" t="s">
        <v>11</v>
      </c>
      <c r="T1079" s="80" t="s">
        <v>4</v>
      </c>
      <c r="U1079" s="72" t="s">
        <v>14</v>
      </c>
      <c r="V1079" s="72" t="s">
        <v>1942</v>
      </c>
      <c r="W1079" s="72" t="s">
        <v>1940</v>
      </c>
      <c r="X1079" s="72" t="s">
        <v>2939</v>
      </c>
      <c r="Y1079" s="72" t="s">
        <v>3074</v>
      </c>
      <c r="Z1079" s="72" t="s">
        <v>4</v>
      </c>
      <c r="AA1079" s="147" t="s">
        <v>2939</v>
      </c>
    </row>
    <row r="1080" spans="1:27" ht="18.600000000000001" customHeight="1">
      <c r="A1080" s="140" t="str">
        <f>IF(priority(Main[[#This Row],[Comments]])&lt;&gt;0, priority(Main[[#This Row],[Comments]]),"")</f>
        <v/>
      </c>
      <c r="B1080" s="90" t="s">
        <v>2005</v>
      </c>
      <c r="C1080" s="72" t="s">
        <v>4</v>
      </c>
      <c r="D1080" s="73" t="s">
        <v>2485</v>
      </c>
      <c r="E1080" s="74">
        <v>40737.702951388892</v>
      </c>
      <c r="F1080" s="74">
        <v>40755</v>
      </c>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535</v>
      </c>
      <c r="J1080" s="72" t="s">
        <v>21</v>
      </c>
      <c r="K1080" s="72" t="s">
        <v>1941</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v>40770</v>
      </c>
      <c r="R1080" s="74"/>
      <c r="S1080" s="72" t="s">
        <v>6</v>
      </c>
      <c r="T1080" s="80" t="s">
        <v>4</v>
      </c>
      <c r="U1080" s="72" t="s">
        <v>29</v>
      </c>
      <c r="V1080" s="72" t="s">
        <v>1942</v>
      </c>
      <c r="W1080" s="72" t="s">
        <v>1936</v>
      </c>
      <c r="X1080" s="72" t="s">
        <v>2932</v>
      </c>
      <c r="Y1080" s="72" t="s">
        <v>3066</v>
      </c>
      <c r="Z1080" s="72" t="s">
        <v>30</v>
      </c>
      <c r="AA1080" s="147" t="s">
        <v>2932</v>
      </c>
    </row>
    <row r="1081" spans="1:27" ht="18.600000000000001" customHeight="1">
      <c r="A1081" s="140" t="str">
        <f>IF(priority(Main[[#This Row],[Comments]])&lt;&gt;0, priority(Main[[#This Row],[Comments]]),"")</f>
        <v/>
      </c>
      <c r="B1081" s="90" t="s">
        <v>2089</v>
      </c>
      <c r="C1081" s="72" t="s">
        <v>4</v>
      </c>
      <c r="D1081" s="73" t="s">
        <v>2486</v>
      </c>
      <c r="E1081" s="74">
        <v>40772.422800925924</v>
      </c>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923</v>
      </c>
      <c r="J1081" s="72" t="s">
        <v>52</v>
      </c>
      <c r="K1081" s="81" t="s">
        <v>4</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c r="R1081" s="74"/>
      <c r="S1081" s="72" t="s">
        <v>6</v>
      </c>
      <c r="T1081" s="80" t="s">
        <v>4</v>
      </c>
      <c r="U1081" s="72" t="s">
        <v>29</v>
      </c>
      <c r="V1081" s="72" t="s">
        <v>1932</v>
      </c>
      <c r="W1081" s="72" t="s">
        <v>1936</v>
      </c>
      <c r="X1081" s="72" t="s">
        <v>949</v>
      </c>
      <c r="Y1081" s="72" t="s">
        <v>3079</v>
      </c>
      <c r="Z1081" s="72" t="s">
        <v>129</v>
      </c>
      <c r="AA1081" s="147" t="s">
        <v>949</v>
      </c>
    </row>
    <row r="1082" spans="1:27" ht="18.600000000000001" customHeight="1">
      <c r="A1082" s="140" t="str">
        <f>IF(priority(Main[[#This Row],[Comments]])&lt;&gt;0, priority(Main[[#This Row],[Comments]]),"")</f>
        <v/>
      </c>
      <c r="B1082" s="90" t="s">
        <v>2487</v>
      </c>
      <c r="C1082" s="72" t="s">
        <v>4</v>
      </c>
      <c r="D1082" s="73" t="s">
        <v>2488</v>
      </c>
      <c r="E1082" s="74">
        <v>40834.417719907404</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4</v>
      </c>
      <c r="J1082" s="72" t="s">
        <v>4</v>
      </c>
      <c r="K1082" s="72" t="s">
        <v>4</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c r="R1082" s="74"/>
      <c r="S1082" s="72" t="s">
        <v>6</v>
      </c>
      <c r="T1082" s="80" t="s">
        <v>4</v>
      </c>
      <c r="U1082" s="72" t="s">
        <v>29</v>
      </c>
      <c r="V1082" s="72" t="s">
        <v>1935</v>
      </c>
      <c r="W1082" s="72" t="s">
        <v>1936</v>
      </c>
      <c r="X1082" s="72" t="s">
        <v>310</v>
      </c>
      <c r="Y1082" s="72" t="s">
        <v>4</v>
      </c>
      <c r="Z1082" s="72" t="s">
        <v>4</v>
      </c>
      <c r="AA1082" s="147" t="s">
        <v>4</v>
      </c>
    </row>
    <row r="1083" spans="1:27" ht="18.600000000000001" customHeight="1">
      <c r="A1083" s="140" t="str">
        <f>IF(priority(Main[[#This Row],[Comments]])&lt;&gt;0, priority(Main[[#This Row],[Comments]]),"")</f>
        <v/>
      </c>
      <c r="B1083" s="90" t="s">
        <v>2270</v>
      </c>
      <c r="C1083" s="72" t="s">
        <v>4</v>
      </c>
      <c r="D1083" s="73" t="s">
        <v>2489</v>
      </c>
      <c r="E1083" s="74">
        <v>40798.432673611111</v>
      </c>
      <c r="F1083" s="74"/>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923</v>
      </c>
      <c r="J1083" s="72" t="s">
        <v>52</v>
      </c>
      <c r="K1083" s="81" t="s">
        <v>4</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c r="R1083" s="74"/>
      <c r="S1083" s="72" t="s">
        <v>6</v>
      </c>
      <c r="T1083" s="80" t="s">
        <v>4</v>
      </c>
      <c r="U1083" s="72" t="s">
        <v>29</v>
      </c>
      <c r="V1083" s="72" t="s">
        <v>1932</v>
      </c>
      <c r="W1083" s="72" t="s">
        <v>1936</v>
      </c>
      <c r="X1083" s="72" t="s">
        <v>567</v>
      </c>
      <c r="Y1083" s="72" t="s">
        <v>4</v>
      </c>
      <c r="Z1083" s="72" t="s">
        <v>129</v>
      </c>
      <c r="AA1083" s="147" t="s">
        <v>4</v>
      </c>
    </row>
    <row r="1084" spans="1:27" ht="18.600000000000001" customHeight="1">
      <c r="A1084" s="140" t="str">
        <f>IF(priority(Main[[#This Row],[Comments]])&lt;&gt;0, priority(Main[[#This Row],[Comments]]),"")</f>
        <v/>
      </c>
      <c r="B1084" s="90" t="s">
        <v>2490</v>
      </c>
      <c r="C1084" s="72" t="s">
        <v>4</v>
      </c>
      <c r="D1084" s="73" t="s">
        <v>2491</v>
      </c>
      <c r="E1084" s="74">
        <v>40841.609861111108</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4</v>
      </c>
      <c r="J1084" s="72" t="s">
        <v>4</v>
      </c>
      <c r="K1084" s="72" t="s">
        <v>4</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c r="R1084" s="74"/>
      <c r="S1084" s="72" t="s">
        <v>6</v>
      </c>
      <c r="T1084" s="80" t="s">
        <v>4</v>
      </c>
      <c r="U1084" s="72" t="s">
        <v>7</v>
      </c>
      <c r="V1084" s="72" t="s">
        <v>1932</v>
      </c>
      <c r="W1084" s="72" t="s">
        <v>4</v>
      </c>
      <c r="X1084" s="72" t="s">
        <v>923</v>
      </c>
      <c r="Y1084" s="72" t="s">
        <v>3152</v>
      </c>
      <c r="Z1084" s="72" t="s">
        <v>4</v>
      </c>
      <c r="AA1084" s="147" t="s">
        <v>923</v>
      </c>
    </row>
    <row r="1085" spans="1:27" ht="18.600000000000001" customHeight="1">
      <c r="A1085" s="140" t="str">
        <f>IF(priority(Main[[#This Row],[Comments]])&lt;&gt;0, priority(Main[[#This Row],[Comments]]),"")</f>
        <v/>
      </c>
      <c r="B1085" s="90" t="s">
        <v>3546</v>
      </c>
      <c r="C1085" s="72" t="s">
        <v>2387</v>
      </c>
      <c r="D1085" s="73" t="s">
        <v>3547</v>
      </c>
      <c r="E1085" s="74">
        <v>40939.118807870371</v>
      </c>
      <c r="F1085" s="74">
        <v>41030</v>
      </c>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4</v>
      </c>
      <c r="K1085" s="72" t="s">
        <v>4</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40890</v>
      </c>
      <c r="R1085" s="74"/>
      <c r="S1085" s="72" t="s">
        <v>11</v>
      </c>
      <c r="T1085" s="80" t="s">
        <v>4</v>
      </c>
      <c r="U1085" s="72" t="s">
        <v>7</v>
      </c>
      <c r="V1085" s="72" t="s">
        <v>1942</v>
      </c>
      <c r="W1085" s="72" t="s">
        <v>1940</v>
      </c>
      <c r="X1085" s="72" t="s">
        <v>2934</v>
      </c>
      <c r="Y1085" s="72" t="s">
        <v>4</v>
      </c>
      <c r="Z1085" s="72" t="s">
        <v>4</v>
      </c>
      <c r="AA1085" s="147" t="s">
        <v>2934</v>
      </c>
    </row>
    <row r="1086" spans="1:27" ht="18.600000000000001" customHeight="1">
      <c r="A1086" s="140" t="str">
        <f>IF(priority(Main[[#This Row],[Comments]])&lt;&gt;0, priority(Main[[#This Row],[Comments]]),"")</f>
        <v/>
      </c>
      <c r="B1086" s="90" t="s">
        <v>1653</v>
      </c>
      <c r="C1086" s="72" t="s">
        <v>4</v>
      </c>
      <c r="D1086" s="73" t="s">
        <v>717</v>
      </c>
      <c r="E1086" s="74">
        <v>40634.328217592592</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923</v>
      </c>
      <c r="J1086" s="72" t="s">
        <v>4</v>
      </c>
      <c r="K1086" s="72" t="s">
        <v>4</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c r="R1086" s="74"/>
      <c r="S1086" s="72" t="s">
        <v>6</v>
      </c>
      <c r="T1086" s="80" t="s">
        <v>4</v>
      </c>
      <c r="U1086" s="72" t="s">
        <v>7</v>
      </c>
      <c r="V1086" s="72" t="s">
        <v>1932</v>
      </c>
      <c r="W1086" s="72" t="s">
        <v>1936</v>
      </c>
      <c r="X1086" s="72" t="s">
        <v>403</v>
      </c>
      <c r="Y1086" s="72" t="s">
        <v>4</v>
      </c>
      <c r="Z1086" s="72" t="s">
        <v>4</v>
      </c>
      <c r="AA1086" s="147" t="s">
        <v>3697</v>
      </c>
    </row>
    <row r="1087" spans="1:27" ht="18.600000000000001" customHeight="1">
      <c r="A1087" s="140" t="str">
        <f>IF(priority(Main[[#This Row],[Comments]])&lt;&gt;0, priority(Main[[#This Row],[Comments]]),"")</f>
        <v/>
      </c>
      <c r="B1087" s="90" t="s">
        <v>1853</v>
      </c>
      <c r="C1087" s="72" t="s">
        <v>4</v>
      </c>
      <c r="D1087" s="73" t="s">
        <v>901</v>
      </c>
      <c r="E1087" s="74">
        <v>40351.730219907404</v>
      </c>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2075</v>
      </c>
      <c r="J1087" s="72" t="s">
        <v>28</v>
      </c>
      <c r="K1087" s="72" t="s">
        <v>1944</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40906</v>
      </c>
      <c r="R1087" s="74">
        <v>40436</v>
      </c>
      <c r="S1087" s="72" t="s">
        <v>17</v>
      </c>
      <c r="T1087" s="80" t="s">
        <v>4</v>
      </c>
      <c r="U1087" s="72" t="s">
        <v>29</v>
      </c>
      <c r="V1087" s="72" t="s">
        <v>1933</v>
      </c>
      <c r="W1087" s="72" t="s">
        <v>1937</v>
      </c>
      <c r="X1087" s="72" t="s">
        <v>2953</v>
      </c>
      <c r="Y1087" s="72" t="s">
        <v>3101</v>
      </c>
      <c r="Z1087" s="72" t="s">
        <v>108</v>
      </c>
      <c r="AA1087" s="147" t="s">
        <v>2953</v>
      </c>
    </row>
    <row r="1088" spans="1:27" ht="18.600000000000001" customHeight="1">
      <c r="A1088" s="140" t="str">
        <f>IF(priority(Main[[#This Row],[Comments]])&lt;&gt;0, priority(Main[[#This Row],[Comments]]),"")</f>
        <v/>
      </c>
      <c r="B1088" s="90" t="s">
        <v>2438</v>
      </c>
      <c r="C1088" s="72" t="s">
        <v>4</v>
      </c>
      <c r="D1088" s="73" t="s">
        <v>2439</v>
      </c>
      <c r="E1088" s="74">
        <v>40820.81591435185</v>
      </c>
      <c r="F1088" s="74"/>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242</v>
      </c>
      <c r="J1088" s="72" t="s">
        <v>28</v>
      </c>
      <c r="K1088" s="72" t="s">
        <v>1941</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40847</v>
      </c>
      <c r="R1088" s="74"/>
      <c r="S1088" s="72" t="s">
        <v>6</v>
      </c>
      <c r="T1088" s="80" t="s">
        <v>4</v>
      </c>
      <c r="U1088" s="72" t="s">
        <v>29</v>
      </c>
      <c r="V1088" s="72" t="s">
        <v>1935</v>
      </c>
      <c r="W1088" s="72" t="s">
        <v>1936</v>
      </c>
      <c r="X1088" s="72" t="s">
        <v>30</v>
      </c>
      <c r="Y1088" s="72" t="s">
        <v>3035</v>
      </c>
      <c r="Z1088" s="72" t="s">
        <v>30</v>
      </c>
      <c r="AA1088" s="147" t="s">
        <v>30</v>
      </c>
    </row>
    <row r="1089" spans="1:27" ht="18.600000000000001" customHeight="1">
      <c r="A1089" s="140" t="str">
        <f>IF(priority(Main[[#This Row],[Comments]])&lt;&gt;0, priority(Main[[#This Row],[Comments]]),"")</f>
        <v/>
      </c>
      <c r="B1089" s="90" t="s">
        <v>2318</v>
      </c>
      <c r="C1089" s="72" t="s">
        <v>67</v>
      </c>
      <c r="D1089" s="73" t="s">
        <v>2314</v>
      </c>
      <c r="E1089" s="74">
        <v>40813.66920138889</v>
      </c>
      <c r="F1089" s="74">
        <v>41075</v>
      </c>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242</v>
      </c>
      <c r="J1089" s="72" t="s">
        <v>28</v>
      </c>
      <c r="K1089" s="72" t="s">
        <v>1944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v>41258</v>
      </c>
      <c r="R1089" s="74"/>
      <c r="S1089" s="72" t="s">
        <v>17</v>
      </c>
      <c r="T1089" s="80" t="s">
        <v>4</v>
      </c>
      <c r="U1089" s="72" t="s">
        <v>29</v>
      </c>
      <c r="V1089" s="72" t="s">
        <v>1942</v>
      </c>
      <c r="W1089" s="72" t="s">
        <v>1943</v>
      </c>
      <c r="X1089" s="72" t="s">
        <v>559</v>
      </c>
      <c r="Y1089" s="72" t="s">
        <v>3047</v>
      </c>
      <c r="Z1089" s="72" t="s">
        <v>242</v>
      </c>
      <c r="AA1089" s="147" t="s">
        <v>559</v>
      </c>
    </row>
    <row r="1090" spans="1:27" ht="18.600000000000001" customHeight="1">
      <c r="A1090" s="140" t="str">
        <f>IF(priority(Main[[#This Row],[Comments]])&lt;&gt;0, priority(Main[[#This Row],[Comments]]),"")</f>
        <v/>
      </c>
      <c r="B1090" s="90" t="s">
        <v>2185</v>
      </c>
      <c r="C1090" s="72" t="s">
        <v>2186</v>
      </c>
      <c r="D1090" s="73" t="s">
        <v>2371</v>
      </c>
      <c r="E1090" s="74">
        <v>40781.400787037041</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4</v>
      </c>
      <c r="J1090" s="72" t="s">
        <v>28</v>
      </c>
      <c r="K1090" s="72" t="s">
        <v>1941</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v>40836</v>
      </c>
      <c r="R1090" s="74"/>
      <c r="S1090" s="72" t="s">
        <v>6</v>
      </c>
      <c r="T1090" s="80" t="s">
        <v>4</v>
      </c>
      <c r="U1090" s="72" t="s">
        <v>29</v>
      </c>
      <c r="V1090" s="72" t="s">
        <v>1935</v>
      </c>
      <c r="W1090" s="72" t="s">
        <v>1936</v>
      </c>
      <c r="X1090" s="72" t="s">
        <v>2927</v>
      </c>
      <c r="Y1090" s="72" t="s">
        <v>3060</v>
      </c>
      <c r="Z1090" s="72" t="s">
        <v>30</v>
      </c>
      <c r="AA1090" s="147" t="s">
        <v>2927</v>
      </c>
    </row>
    <row r="1091" spans="1:27" ht="18.600000000000001" customHeight="1">
      <c r="A1091" s="140" t="str">
        <f>IF(priority(Main[[#This Row],[Comments]])&lt;&gt;0, priority(Main[[#This Row],[Comments]]),"")</f>
        <v/>
      </c>
      <c r="B1091" s="90" t="s">
        <v>2815</v>
      </c>
      <c r="C1091" s="72" t="s">
        <v>4</v>
      </c>
      <c r="D1091" s="73" t="s">
        <v>2816</v>
      </c>
      <c r="E1091" s="74">
        <v>40883.642361111109</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74</v>
      </c>
      <c r="J1091" s="72" t="s">
        <v>4</v>
      </c>
      <c r="K1091" s="72" t="s">
        <v>1944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c r="S1091" s="72" t="s">
        <v>17</v>
      </c>
      <c r="T1091" s="80" t="s">
        <v>4</v>
      </c>
      <c r="U1091" s="72" t="s">
        <v>29</v>
      </c>
      <c r="V1091" s="72" t="s">
        <v>1935</v>
      </c>
      <c r="W1091" s="72" t="s">
        <v>1937</v>
      </c>
      <c r="X1091" s="72" t="s">
        <v>420</v>
      </c>
      <c r="Y1091" s="72" t="s">
        <v>3070</v>
      </c>
      <c r="Z1091" s="72" t="s">
        <v>420</v>
      </c>
      <c r="AA1091" s="147" t="s">
        <v>420</v>
      </c>
    </row>
    <row r="1092" spans="1:27" ht="18.600000000000001" customHeight="1">
      <c r="A1092" s="140" t="str">
        <f>IF(priority(Main[[#This Row],[Comments]])&lt;&gt;0, priority(Main[[#This Row],[Comments]]),"")</f>
        <v/>
      </c>
      <c r="B1092" s="90" t="s">
        <v>2543</v>
      </c>
      <c r="C1092" s="72" t="s">
        <v>4</v>
      </c>
      <c r="D1092" s="73" t="s">
        <v>2544</v>
      </c>
      <c r="E1092" s="74">
        <v>40849.455775462964</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69</v>
      </c>
      <c r="J1092" s="72" t="s">
        <v>70</v>
      </c>
      <c r="K1092" s="72" t="s">
        <v>1941</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v>40879</v>
      </c>
      <c r="R1092" s="74"/>
      <c r="S1092" s="72" t="s">
        <v>6</v>
      </c>
      <c r="T1092" s="80" t="s">
        <v>4</v>
      </c>
      <c r="U1092" s="72" t="s">
        <v>29</v>
      </c>
      <c r="V1092" s="72" t="s">
        <v>1935</v>
      </c>
      <c r="W1092" s="72" t="s">
        <v>1936</v>
      </c>
      <c r="X1092" s="72" t="s">
        <v>2994</v>
      </c>
      <c r="Y1092" s="72" t="s">
        <v>3178</v>
      </c>
      <c r="Z1092" s="72" t="s">
        <v>30</v>
      </c>
      <c r="AA1092" s="147" t="s">
        <v>2994</v>
      </c>
    </row>
    <row r="1093" spans="1:27" ht="18.600000000000001" customHeight="1">
      <c r="A1093" s="140" t="str">
        <f>IF(priority(Main[[#This Row],[Comments]])&lt;&gt;0, priority(Main[[#This Row],[Comments]]),"")</f>
        <v/>
      </c>
      <c r="B1093" s="90" t="s">
        <v>3342</v>
      </c>
      <c r="C1093" s="72" t="s">
        <v>4</v>
      </c>
      <c r="D1093" s="73" t="s">
        <v>3343</v>
      </c>
      <c r="E1093" s="74">
        <v>40924.459930555553</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v>
      </c>
      <c r="J1093" s="72" t="s">
        <v>28</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c r="R1093" s="74"/>
      <c r="S1093" s="72" t="s">
        <v>6</v>
      </c>
      <c r="T1093" s="80" t="s">
        <v>4</v>
      </c>
      <c r="U1093" s="72" t="s">
        <v>29</v>
      </c>
      <c r="V1093" s="72" t="s">
        <v>1935</v>
      </c>
      <c r="W1093" s="72" t="s">
        <v>1936</v>
      </c>
      <c r="X1093" s="72" t="s">
        <v>102</v>
      </c>
      <c r="Y1093" s="72" t="s">
        <v>3344</v>
      </c>
      <c r="Z1093" s="72" t="s">
        <v>30</v>
      </c>
      <c r="AA1093" s="147" t="s">
        <v>3698</v>
      </c>
    </row>
    <row r="1094" spans="1:27" ht="18.600000000000001" customHeight="1">
      <c r="A1094" s="140" t="str">
        <f>IF(priority(Main[[#This Row],[Comments]])&lt;&gt;0, priority(Main[[#This Row],[Comments]]),"")</f>
        <v/>
      </c>
      <c r="B1094" s="90" t="s">
        <v>3325</v>
      </c>
      <c r="C1094" s="72" t="s">
        <v>4</v>
      </c>
      <c r="D1094" s="73" t="s">
        <v>3326</v>
      </c>
      <c r="E1094" s="74">
        <v>40921.629143518519</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4</v>
      </c>
      <c r="J1094" s="72" t="s">
        <v>4</v>
      </c>
      <c r="K1094" s="72" t="s">
        <v>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c r="R1094" s="74"/>
      <c r="S1094" s="72" t="s">
        <v>6</v>
      </c>
      <c r="T1094" s="80" t="s">
        <v>4</v>
      </c>
      <c r="U1094" s="72" t="s">
        <v>29</v>
      </c>
      <c r="V1094" s="72" t="s">
        <v>1942</v>
      </c>
      <c r="W1094" s="72" t="s">
        <v>1936</v>
      </c>
      <c r="X1094" s="72" t="s">
        <v>310</v>
      </c>
      <c r="Y1094" s="72" t="s">
        <v>4</v>
      </c>
      <c r="Z1094" s="72" t="s">
        <v>4</v>
      </c>
      <c r="AA1094" s="147" t="s">
        <v>4</v>
      </c>
    </row>
    <row r="1095" spans="1:27" ht="18.600000000000001" customHeight="1">
      <c r="A1095" s="140" t="str">
        <f>IF(priority(Main[[#This Row],[Comments]])&lt;&gt;0, priority(Main[[#This Row],[Comments]]),"")</f>
        <v/>
      </c>
      <c r="B1095" s="90" t="s">
        <v>2783</v>
      </c>
      <c r="C1095" s="72" t="s">
        <v>4</v>
      </c>
      <c r="D1095" s="73" t="s">
        <v>3322</v>
      </c>
      <c r="E1095" s="74">
        <v>40899.185671296298</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69</v>
      </c>
      <c r="J1095" s="72" t="s">
        <v>28</v>
      </c>
      <c r="K1095" s="72" t="s">
        <v>1941</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40931</v>
      </c>
      <c r="R1095" s="74"/>
      <c r="S1095" s="72" t="s">
        <v>6</v>
      </c>
      <c r="T1095" s="80" t="s">
        <v>4</v>
      </c>
      <c r="U1095" s="72" t="s">
        <v>29</v>
      </c>
      <c r="V1095" s="72" t="s">
        <v>1935</v>
      </c>
      <c r="W1095" s="72" t="s">
        <v>1936</v>
      </c>
      <c r="X1095" s="72" t="s">
        <v>2913</v>
      </c>
      <c r="Y1095" s="72" t="s">
        <v>3033</v>
      </c>
      <c r="Z1095" s="72" t="s">
        <v>30</v>
      </c>
      <c r="AA1095" s="147" t="s">
        <v>2913</v>
      </c>
    </row>
    <row r="1096" spans="1:27" ht="18.600000000000001" customHeight="1">
      <c r="A1096" s="140" t="str">
        <f>IF(priority(Main[[#This Row],[Comments]])&lt;&gt;0, priority(Main[[#This Row],[Comments]]),"")</f>
        <v/>
      </c>
      <c r="B1096" s="90" t="s">
        <v>3411</v>
      </c>
      <c r="C1096" s="72" t="s">
        <v>3318</v>
      </c>
      <c r="D1096" s="73" t="s">
        <v>3412</v>
      </c>
      <c r="E1096" s="74">
        <v>40935.321921296294</v>
      </c>
      <c r="F1096" s="74">
        <v>41153</v>
      </c>
      <c r="G1096" s="75">
        <f>IF(stdProdLT(Main[[#This Row],[Comments]])=0.1,"N/A",IF(stdProdLT(Main[[#This Row],[Comments]])=0,"",stdProdLT(Main[[#This Row],[Comments]])))</f>
        <v>168</v>
      </c>
      <c r="H1096" s="76" t="str">
        <f>IF(AND(Main[[#This Row],[In Stock Date]]&lt;&gt;"",Main[[#This Row],[Revised Due Date]]&lt;&gt;""),Main[[#This Row],[In Stock Date]]-Main[[#This Row],[Revised Due Date]],"")</f>
        <v/>
      </c>
      <c r="I1096" s="72" t="s">
        <v>4</v>
      </c>
      <c r="J1096" s="72" t="s">
        <v>28</v>
      </c>
      <c r="K1096" s="72" t="s">
        <v>4</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40983</v>
      </c>
      <c r="R1096" s="74"/>
      <c r="S1096" s="72" t="s">
        <v>11</v>
      </c>
      <c r="T1096" s="80" t="s">
        <v>3413</v>
      </c>
      <c r="U1096" s="72" t="s">
        <v>7</v>
      </c>
      <c r="V1096" s="72" t="s">
        <v>1935</v>
      </c>
      <c r="W1096" s="72" t="s">
        <v>1938</v>
      </c>
      <c r="X1096" s="72" t="s">
        <v>2939</v>
      </c>
      <c r="Y1096" s="72" t="s">
        <v>3074</v>
      </c>
      <c r="Z1096" s="72" t="s">
        <v>535</v>
      </c>
      <c r="AA1096" s="147" t="s">
        <v>2939</v>
      </c>
    </row>
    <row r="1097" spans="1:27" ht="18.600000000000001" customHeight="1">
      <c r="A1097" s="140" t="str">
        <f>IF(priority(Main[[#This Row],[Comments]])&lt;&gt;0, priority(Main[[#This Row],[Comments]]),"")</f>
        <v/>
      </c>
      <c r="B1097" s="90" t="s">
        <v>2741</v>
      </c>
      <c r="C1097" s="72" t="s">
        <v>4</v>
      </c>
      <c r="D1097" s="73" t="s">
        <v>2742</v>
      </c>
      <c r="E1097" s="74">
        <v>40890.683576388888</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242</v>
      </c>
      <c r="J1097" s="72" t="s">
        <v>21</v>
      </c>
      <c r="K1097" s="72" t="s">
        <v>1941</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40939</v>
      </c>
      <c r="R1097" s="74"/>
      <c r="S1097" s="72" t="s">
        <v>6</v>
      </c>
      <c r="T1097" s="80" t="s">
        <v>4</v>
      </c>
      <c r="U1097" s="72" t="s">
        <v>29</v>
      </c>
      <c r="V1097" s="72" t="s">
        <v>1935</v>
      </c>
      <c r="W1097" s="72" t="s">
        <v>1936</v>
      </c>
      <c r="X1097" s="72" t="s">
        <v>775</v>
      </c>
      <c r="Y1097" s="72" t="s">
        <v>3030</v>
      </c>
      <c r="Z1097" s="72" t="s">
        <v>30</v>
      </c>
      <c r="AA1097" s="147" t="s">
        <v>775</v>
      </c>
    </row>
    <row r="1098" spans="1:27" ht="18.600000000000001" customHeight="1">
      <c r="A1098" s="140" t="str">
        <f>IF(priority(Main[[#This Row],[Comments]])&lt;&gt;0, priority(Main[[#This Row],[Comments]]),"")</f>
        <v/>
      </c>
      <c r="B1098" s="90" t="s">
        <v>2122</v>
      </c>
      <c r="C1098" s="72" t="s">
        <v>4</v>
      </c>
      <c r="D1098" s="73" t="s">
        <v>3414</v>
      </c>
      <c r="E1098" s="74">
        <v>40763.171296296299</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535</v>
      </c>
      <c r="J1098" s="72" t="s">
        <v>3415</v>
      </c>
      <c r="K1098" s="72" t="s">
        <v>1941</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v>40784</v>
      </c>
      <c r="R1098" s="74"/>
      <c r="S1098" s="72" t="s">
        <v>6</v>
      </c>
      <c r="T1098" s="80" t="s">
        <v>4</v>
      </c>
      <c r="U1098" s="72" t="s">
        <v>29</v>
      </c>
      <c r="V1098" s="72" t="s">
        <v>1935</v>
      </c>
      <c r="W1098" s="72" t="s">
        <v>1936</v>
      </c>
      <c r="X1098" s="72" t="s">
        <v>2942</v>
      </c>
      <c r="Y1098" s="72" t="s">
        <v>3081</v>
      </c>
      <c r="Z1098" s="72" t="s">
        <v>30</v>
      </c>
      <c r="AA1098" s="147" t="s">
        <v>2942</v>
      </c>
    </row>
    <row r="1099" spans="1:27" ht="18.600000000000001" customHeight="1">
      <c r="A1099" s="140" t="str">
        <f>IF(priority(Main[[#This Row],[Comments]])&lt;&gt;0, priority(Main[[#This Row],[Comments]]),"")</f>
        <v/>
      </c>
      <c r="B1099" s="90" t="s">
        <v>2492</v>
      </c>
      <c r="C1099" s="72" t="s">
        <v>4</v>
      </c>
      <c r="D1099" s="73" t="s">
        <v>2493</v>
      </c>
      <c r="E1099" s="74"/>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535</v>
      </c>
      <c r="J1099" s="72" t="s">
        <v>28</v>
      </c>
      <c r="K1099" s="72" t="s">
        <v>1941</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v>40954</v>
      </c>
      <c r="R1099" s="74"/>
      <c r="S1099" s="72" t="s">
        <v>6</v>
      </c>
      <c r="T1099" s="80" t="s">
        <v>4</v>
      </c>
      <c r="U1099" s="72" t="s">
        <v>14</v>
      </c>
      <c r="V1099" s="72" t="s">
        <v>1935</v>
      </c>
      <c r="W1099" s="72" t="s">
        <v>1936</v>
      </c>
      <c r="X1099" s="72" t="s">
        <v>559</v>
      </c>
      <c r="Y1099" s="72" t="s">
        <v>3047</v>
      </c>
      <c r="Z1099" s="72" t="s">
        <v>30</v>
      </c>
      <c r="AA1099" s="147" t="s">
        <v>559</v>
      </c>
    </row>
    <row r="1100" spans="1:27" ht="18.600000000000001" customHeight="1">
      <c r="A1100" s="140" t="str">
        <f>IF(priority(Main[[#This Row],[Comments]])&lt;&gt;0, priority(Main[[#This Row],[Comments]]),"")</f>
        <v/>
      </c>
      <c r="B1100" s="90" t="s">
        <v>2494</v>
      </c>
      <c r="C1100" s="72" t="s">
        <v>113</v>
      </c>
      <c r="D1100" s="73" t="s">
        <v>2495</v>
      </c>
      <c r="E1100" s="74"/>
      <c r="F1100" s="74">
        <v>40841</v>
      </c>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4</v>
      </c>
      <c r="J1100" s="72" t="s">
        <v>4</v>
      </c>
      <c r="K1100" s="72" t="s">
        <v>4</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c r="R1100" s="74"/>
      <c r="S1100" s="72" t="s">
        <v>11</v>
      </c>
      <c r="T1100" s="80" t="s">
        <v>4</v>
      </c>
      <c r="U1100" s="72" t="s">
        <v>12</v>
      </c>
      <c r="V1100" s="72" t="s">
        <v>1932</v>
      </c>
      <c r="W1100" s="72" t="s">
        <v>1934</v>
      </c>
      <c r="X1100" s="72" t="s">
        <v>2924</v>
      </c>
      <c r="Y1100" s="72" t="s">
        <v>3034</v>
      </c>
      <c r="Z1100" s="72" t="s">
        <v>4</v>
      </c>
      <c r="AA1100" s="147" t="s">
        <v>2924</v>
      </c>
    </row>
    <row r="1101" spans="1:27" ht="18.600000000000001" customHeight="1">
      <c r="A1101" s="140" t="str">
        <f>IF(priority(Main[[#This Row],[Comments]])&lt;&gt;0, priority(Main[[#This Row],[Comments]]),"")</f>
        <v/>
      </c>
      <c r="B1101" s="90" t="s">
        <v>2635</v>
      </c>
      <c r="C1101" s="72" t="s">
        <v>31</v>
      </c>
      <c r="D1101" s="73" t="s">
        <v>2636</v>
      </c>
      <c r="E1101" s="74">
        <v>40820.728263888886</v>
      </c>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933</v>
      </c>
      <c r="J1101" s="72" t="s">
        <v>4</v>
      </c>
      <c r="K1101" s="72" t="s">
        <v>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40841</v>
      </c>
      <c r="R1101" s="74"/>
      <c r="S1101" s="72" t="s">
        <v>11</v>
      </c>
      <c r="T1101" s="80" t="s">
        <v>2637</v>
      </c>
      <c r="U1101" s="72" t="s">
        <v>7</v>
      </c>
      <c r="V1101" s="72" t="s">
        <v>1947</v>
      </c>
      <c r="W1101" s="72" t="s">
        <v>1940</v>
      </c>
      <c r="X1101" s="72" t="s">
        <v>2912</v>
      </c>
      <c r="Y1101" s="72" t="s">
        <v>3031</v>
      </c>
      <c r="Z1101" s="72" t="s">
        <v>4</v>
      </c>
      <c r="AA1101" s="147" t="s">
        <v>2912</v>
      </c>
    </row>
    <row r="1102" spans="1:27" ht="18.600000000000001" customHeight="1">
      <c r="A1102" s="140" t="str">
        <f>IF(priority(Main[[#This Row],[Comments]])&lt;&gt;0, priority(Main[[#This Row],[Comments]]),"")</f>
        <v/>
      </c>
      <c r="B1102" s="90" t="s">
        <v>1864</v>
      </c>
      <c r="C1102" s="72" t="s">
        <v>67</v>
      </c>
      <c r="D1102" s="73" t="s">
        <v>913</v>
      </c>
      <c r="E1102" s="74">
        <v>39937.597453703704</v>
      </c>
      <c r="F1102" s="74">
        <v>40533</v>
      </c>
      <c r="G1102" s="75" t="str">
        <f>IF(stdProdLT(Main[[#This Row],[Comments]])=0.1,"N/A",IF(stdProdLT(Main[[#This Row],[Comments]])=0,"",stdProdLT(Main[[#This Row],[Comments]])))</f>
        <v/>
      </c>
      <c r="H1102" s="76">
        <f>IF(AND(Main[[#This Row],[In Stock Date]]&lt;&gt;"",Main[[#This Row],[Revised Due Date]]&lt;&gt;""),Main[[#This Row],[In Stock Date]]-Main[[#This Row],[Revised Due Date]],"")</f>
        <v>-342</v>
      </c>
      <c r="I1102" s="72" t="s">
        <v>74</v>
      </c>
      <c r="J1102" s="72" t="s">
        <v>28</v>
      </c>
      <c r="K1102" s="72" t="s">
        <v>1944</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c r="R1102" s="74">
        <v>40875</v>
      </c>
      <c r="S1102" s="72" t="s">
        <v>17</v>
      </c>
      <c r="T1102" s="80" t="s">
        <v>4</v>
      </c>
      <c r="U1102" s="72" t="s">
        <v>29</v>
      </c>
      <c r="V1102" s="72" t="s">
        <v>1935</v>
      </c>
      <c r="W1102" s="72" t="s">
        <v>1940</v>
      </c>
      <c r="X1102" s="72" t="s">
        <v>403</v>
      </c>
      <c r="Y1102" s="72" t="s">
        <v>4</v>
      </c>
      <c r="Z1102" s="72" t="s">
        <v>420</v>
      </c>
      <c r="AA1102" s="147" t="s">
        <v>3700</v>
      </c>
    </row>
    <row r="1103" spans="1:27" ht="18.600000000000001" customHeight="1">
      <c r="A1103" s="140" t="str">
        <f>IF(priority(Main[[#This Row],[Comments]])&lt;&gt;0, priority(Main[[#This Row],[Comments]]),"")</f>
        <v/>
      </c>
      <c r="B1103" s="90" t="s">
        <v>1923</v>
      </c>
      <c r="C1103" s="72" t="s">
        <v>31</v>
      </c>
      <c r="D1103" s="73" t="s">
        <v>967</v>
      </c>
      <c r="E1103" s="74">
        <v>40528.412233796298</v>
      </c>
      <c r="F1103" s="74">
        <v>40634</v>
      </c>
      <c r="G1103" s="75" t="str">
        <f>IF(stdProdLT(Main[[#This Row],[Comments]])=0.1,"N/A",IF(stdProdLT(Main[[#This Row],[Comments]])=0,"",stdProdLT(Main[[#This Row],[Comments]])))</f>
        <v/>
      </c>
      <c r="H1103" s="76">
        <f>IF(AND(Main[[#This Row],[In Stock Date]]&lt;&gt;"",Main[[#This Row],[Revised Due Date]]&lt;&gt;""),Main[[#This Row],[In Stock Date]]-Main[[#This Row],[Revised Due Date]],"")</f>
        <v>-255</v>
      </c>
      <c r="I1103" s="72" t="s">
        <v>436</v>
      </c>
      <c r="J1103" s="72" t="s">
        <v>28</v>
      </c>
      <c r="K1103" s="72" t="s">
        <v>1944</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40634</v>
      </c>
      <c r="R1103" s="74">
        <v>40889</v>
      </c>
      <c r="S1103" s="72" t="s">
        <v>17</v>
      </c>
      <c r="T1103" s="80" t="s">
        <v>4</v>
      </c>
      <c r="U1103" s="72" t="s">
        <v>29</v>
      </c>
      <c r="V1103" s="72" t="s">
        <v>1935</v>
      </c>
      <c r="W1103" s="72" t="s">
        <v>1943</v>
      </c>
      <c r="X1103" s="72" t="s">
        <v>559</v>
      </c>
      <c r="Y1103" s="72" t="s">
        <v>3124</v>
      </c>
      <c r="Z1103" s="72" t="s">
        <v>420</v>
      </c>
      <c r="AA1103" s="147" t="s">
        <v>2983</v>
      </c>
    </row>
    <row r="1104" spans="1:27" ht="18.600000000000001" customHeight="1">
      <c r="A1104" s="140" t="str">
        <f>IF(priority(Main[[#This Row],[Comments]])&lt;&gt;0, priority(Main[[#This Row],[Comments]]),"")</f>
        <v/>
      </c>
      <c r="B1104" s="90" t="s">
        <v>2466</v>
      </c>
      <c r="C1104" s="72" t="s">
        <v>4</v>
      </c>
      <c r="D1104" s="73" t="s">
        <v>2467</v>
      </c>
      <c r="E1104" s="74">
        <v>40822.361354166664</v>
      </c>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4</v>
      </c>
      <c r="J1104" s="72" t="s">
        <v>4</v>
      </c>
      <c r="K1104" s="72" t="s">
        <v>4</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v>40872</v>
      </c>
      <c r="R1104" s="74"/>
      <c r="S1104" s="72" t="s">
        <v>6</v>
      </c>
      <c r="T1104" s="80" t="s">
        <v>4</v>
      </c>
      <c r="U1104" s="72" t="s">
        <v>7</v>
      </c>
      <c r="V1104" s="72" t="s">
        <v>1932</v>
      </c>
      <c r="W1104" s="72" t="s">
        <v>4</v>
      </c>
      <c r="X1104" s="72" t="s">
        <v>2913</v>
      </c>
      <c r="Y1104" s="72" t="s">
        <v>3033</v>
      </c>
      <c r="Z1104" s="72" t="s">
        <v>4</v>
      </c>
      <c r="AA1104" s="147" t="s">
        <v>2913</v>
      </c>
    </row>
    <row r="1105" spans="1:27" ht="18.600000000000001" customHeight="1">
      <c r="A1105" s="140" t="str">
        <f>IF(priority(Main[[#This Row],[Comments]])&lt;&gt;0, priority(Main[[#This Row],[Comments]]),"")</f>
        <v/>
      </c>
      <c r="B1105" s="90" t="s">
        <v>2468</v>
      </c>
      <c r="C1105" s="72" t="s">
        <v>4</v>
      </c>
      <c r="D1105" s="73" t="s">
        <v>2469</v>
      </c>
      <c r="E1105" s="74">
        <v>40861.647233796299</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775</v>
      </c>
      <c r="J1105" s="72" t="s">
        <v>52</v>
      </c>
      <c r="K1105" s="72" t="s">
        <v>1941</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v>40897</v>
      </c>
      <c r="R1105" s="74"/>
      <c r="S1105" s="72" t="s">
        <v>6</v>
      </c>
      <c r="T1105" s="80" t="s">
        <v>4</v>
      </c>
      <c r="U1105" s="72" t="s">
        <v>29</v>
      </c>
      <c r="V1105" s="72" t="s">
        <v>1935</v>
      </c>
      <c r="W1105" s="72" t="s">
        <v>1936</v>
      </c>
      <c r="X1105" s="72" t="s">
        <v>30</v>
      </c>
      <c r="Y1105" s="72" t="s">
        <v>3035</v>
      </c>
      <c r="Z1105" s="72" t="s">
        <v>30</v>
      </c>
      <c r="AA1105" s="147" t="s">
        <v>30</v>
      </c>
    </row>
    <row r="1106" spans="1:27" ht="18.600000000000001" customHeight="1">
      <c r="A1106" s="140" t="str">
        <f>IF(priority(Main[[#This Row],[Comments]])&lt;&gt;0, priority(Main[[#This Row],[Comments]]),"")</f>
        <v/>
      </c>
      <c r="B1106" s="90" t="s">
        <v>1861</v>
      </c>
      <c r="C1106" s="72" t="s">
        <v>4</v>
      </c>
      <c r="D1106" s="73" t="s">
        <v>911</v>
      </c>
      <c r="E1106" s="74">
        <v>40478.709317129629</v>
      </c>
      <c r="F1106" s="74">
        <v>40492</v>
      </c>
      <c r="G1106" s="75" t="str">
        <f>IF(stdProdLT(Main[[#This Row],[Comments]])=0.1,"N/A",IF(stdProdLT(Main[[#This Row],[Comments]])=0,"",stdProdLT(Main[[#This Row],[Comments]])))</f>
        <v/>
      </c>
      <c r="H1106" s="76">
        <f>IF(AND(Main[[#This Row],[In Stock Date]]&lt;&gt;"",Main[[#This Row],[Revised Due Date]]&lt;&gt;""),Main[[#This Row],[In Stock Date]]-Main[[#This Row],[Revised Due Date]],"")</f>
        <v>-3</v>
      </c>
      <c r="I1106" s="72" t="s">
        <v>4</v>
      </c>
      <c r="J1106" s="72" t="s">
        <v>28</v>
      </c>
      <c r="K1106" s="72" t="s">
        <v>1939</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v>40908</v>
      </c>
      <c r="R1106" s="74">
        <v>40495</v>
      </c>
      <c r="S1106" s="72" t="s">
        <v>17</v>
      </c>
      <c r="T1106" s="80" t="s">
        <v>2470</v>
      </c>
      <c r="U1106" s="72" t="s">
        <v>29</v>
      </c>
      <c r="V1106" s="72" t="s">
        <v>1933</v>
      </c>
      <c r="W1106" s="72" t="s">
        <v>1934</v>
      </c>
      <c r="X1106" s="72" t="s">
        <v>50</v>
      </c>
      <c r="Y1106" s="72" t="s">
        <v>4</v>
      </c>
      <c r="Z1106" s="72" t="s">
        <v>4</v>
      </c>
      <c r="AA1106" s="147" t="s">
        <v>987</v>
      </c>
    </row>
    <row r="1107" spans="1:27" ht="18.600000000000001" customHeight="1">
      <c r="A1107" s="140" t="str">
        <f>IF(priority(Main[[#This Row],[Comments]])&lt;&gt;0, priority(Main[[#This Row],[Comments]]),"")</f>
        <v/>
      </c>
      <c r="B1107" s="90" t="s">
        <v>1137</v>
      </c>
      <c r="C1107" s="72" t="s">
        <v>4</v>
      </c>
      <c r="D1107" s="73" t="s">
        <v>2471</v>
      </c>
      <c r="E1107" s="74">
        <v>40581.512430555558</v>
      </c>
      <c r="F1107" s="74">
        <v>40627</v>
      </c>
      <c r="G1107" s="75" t="str">
        <f>IF(stdProdLT(Main[[#This Row],[Comments]])=0.1,"N/A",IF(stdProdLT(Main[[#This Row],[Comments]])=0,"",stdProdLT(Main[[#This Row],[Comments]])))</f>
        <v/>
      </c>
      <c r="H1107" s="76" t="str">
        <f>IF(AND(Main[[#This Row],[In Stock Date]]&lt;&gt;"",Main[[#This Row],[Revised Due Date]]&lt;&gt;""),Main[[#This Row],[In Stock Date]]-Main[[#This Row],[Revised Due Date]],"")</f>
        <v/>
      </c>
      <c r="I1107" s="72" t="s">
        <v>923</v>
      </c>
      <c r="J1107" s="72" t="s">
        <v>52</v>
      </c>
      <c r="K1107" s="72" t="s">
        <v>1939</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v>40627</v>
      </c>
      <c r="R1107" s="74"/>
      <c r="S1107" s="72" t="s">
        <v>6</v>
      </c>
      <c r="T1107" s="80" t="s">
        <v>4</v>
      </c>
      <c r="U1107" s="72" t="s">
        <v>29</v>
      </c>
      <c r="V1107" s="72" t="s">
        <v>1932</v>
      </c>
      <c r="W1107" s="72" t="s">
        <v>1934</v>
      </c>
      <c r="X1107" s="72" t="s">
        <v>2909</v>
      </c>
      <c r="Y1107" s="72" t="s">
        <v>3024</v>
      </c>
      <c r="Z1107" s="72" t="s">
        <v>129</v>
      </c>
      <c r="AA1107" s="147" t="s">
        <v>2909</v>
      </c>
    </row>
    <row r="1108" spans="1:27" ht="18.600000000000001" customHeight="1">
      <c r="A1108" s="140" t="str">
        <f>IF(priority(Main[[#This Row],[Comments]])&lt;&gt;0, priority(Main[[#This Row],[Comments]]),"")</f>
        <v/>
      </c>
      <c r="B1108" s="90" t="s">
        <v>2472</v>
      </c>
      <c r="C1108" s="72" t="s">
        <v>4</v>
      </c>
      <c r="D1108" s="73" t="s">
        <v>2473</v>
      </c>
      <c r="E1108" s="74">
        <v>40843.415925925925</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4</v>
      </c>
      <c r="J1108" s="72" t="s">
        <v>4</v>
      </c>
      <c r="K1108" s="72" t="s">
        <v>4</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c r="R1108" s="74"/>
      <c r="S1108" s="72" t="s">
        <v>6</v>
      </c>
      <c r="T1108" s="80" t="s">
        <v>4</v>
      </c>
      <c r="U1108" s="72" t="s">
        <v>29</v>
      </c>
      <c r="V1108" s="72" t="s">
        <v>1942</v>
      </c>
      <c r="W1108" s="72" t="s">
        <v>1934</v>
      </c>
      <c r="X1108" s="72" t="s">
        <v>420</v>
      </c>
      <c r="Y1108" s="72" t="s">
        <v>3070</v>
      </c>
      <c r="Z1108" s="72" t="s">
        <v>4</v>
      </c>
      <c r="AA1108" s="147" t="s">
        <v>420</v>
      </c>
    </row>
    <row r="1109" spans="1:27" ht="18.600000000000001" customHeight="1">
      <c r="A1109" s="140" t="str">
        <f>IF(priority(Main[[#This Row],[Comments]])&lt;&gt;0, priority(Main[[#This Row],[Comments]]),"")</f>
        <v/>
      </c>
      <c r="B1109" s="90" t="s">
        <v>2193</v>
      </c>
      <c r="C1109" s="72" t="s">
        <v>2186</v>
      </c>
      <c r="D1109" s="73" t="s">
        <v>2187</v>
      </c>
      <c r="E1109" s="74">
        <v>40781.399756944447</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4</v>
      </c>
      <c r="J1109" s="72" t="s">
        <v>28</v>
      </c>
      <c r="K1109" s="72" t="s">
        <v>1941</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v>40836</v>
      </c>
      <c r="R1109" s="74"/>
      <c r="S1109" s="72" t="s">
        <v>6</v>
      </c>
      <c r="T1109" s="80" t="s">
        <v>4</v>
      </c>
      <c r="U1109" s="72" t="s">
        <v>29</v>
      </c>
      <c r="V1109" s="72" t="s">
        <v>1935</v>
      </c>
      <c r="W1109" s="72" t="s">
        <v>1936</v>
      </c>
      <c r="X1109" s="72" t="s">
        <v>2927</v>
      </c>
      <c r="Y1109" s="72" t="s">
        <v>3060</v>
      </c>
      <c r="Z1109" s="72" t="s">
        <v>30</v>
      </c>
      <c r="AA1109" s="147" t="s">
        <v>2927</v>
      </c>
    </row>
    <row r="1110" spans="1:27" ht="18.600000000000001" customHeight="1">
      <c r="A1110" s="140" t="str">
        <f>IF(priority(Main[[#This Row],[Comments]])&lt;&gt;0, priority(Main[[#This Row],[Comments]]),"")</f>
        <v/>
      </c>
      <c r="B1110" s="90" t="s">
        <v>1327</v>
      </c>
      <c r="C1110" s="72" t="s">
        <v>4</v>
      </c>
      <c r="D1110" s="73" t="s">
        <v>2333</v>
      </c>
      <c r="E1110" s="74">
        <v>40627.285358796296</v>
      </c>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567</v>
      </c>
      <c r="J1110" s="72" t="s">
        <v>21</v>
      </c>
      <c r="K1110" s="72" t="s">
        <v>1941</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40658</v>
      </c>
      <c r="R1110" s="74"/>
      <c r="S1110" s="72" t="s">
        <v>6</v>
      </c>
      <c r="T1110" s="80" t="s">
        <v>4</v>
      </c>
      <c r="U1110" s="72" t="s">
        <v>29</v>
      </c>
      <c r="V1110" s="72" t="s">
        <v>1932</v>
      </c>
      <c r="W1110" s="72" t="s">
        <v>1934</v>
      </c>
      <c r="X1110" s="72" t="s">
        <v>2909</v>
      </c>
      <c r="Y1110" s="72" t="s">
        <v>3024</v>
      </c>
      <c r="Z1110" s="72" t="s">
        <v>535</v>
      </c>
      <c r="AA1110" s="147" t="s">
        <v>2909</v>
      </c>
    </row>
    <row r="1111" spans="1:27" ht="18.600000000000001" customHeight="1">
      <c r="A1111" s="140" t="str">
        <f>IF(priority(Main[[#This Row],[Comments]])&lt;&gt;0, priority(Main[[#This Row],[Comments]]),"")</f>
        <v/>
      </c>
      <c r="B1111" s="90" t="s">
        <v>2474</v>
      </c>
      <c r="C1111" s="72" t="s">
        <v>4</v>
      </c>
      <c r="D1111" s="73" t="s">
        <v>2475</v>
      </c>
      <c r="E1111" s="74"/>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4</v>
      </c>
      <c r="K1111" s="72" t="s">
        <v>4</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40877</v>
      </c>
      <c r="R1111" s="74"/>
      <c r="S1111" s="72" t="s">
        <v>6</v>
      </c>
      <c r="T1111" s="80" t="s">
        <v>4</v>
      </c>
      <c r="U1111" s="72" t="s">
        <v>14</v>
      </c>
      <c r="V1111" s="72" t="s">
        <v>1932</v>
      </c>
      <c r="W1111" s="72" t="s">
        <v>1936</v>
      </c>
      <c r="X1111" s="72" t="s">
        <v>2912</v>
      </c>
      <c r="Y1111" s="72" t="s">
        <v>3031</v>
      </c>
      <c r="Z1111" s="72" t="s">
        <v>4</v>
      </c>
      <c r="AA1111" s="147" t="s">
        <v>2912</v>
      </c>
    </row>
    <row r="1112" spans="1:27" ht="18.600000000000001" customHeight="1">
      <c r="A1112" s="140" t="str">
        <f>IF(priority(Main[[#This Row],[Comments]])&lt;&gt;0, priority(Main[[#This Row],[Comments]]),"")</f>
        <v/>
      </c>
      <c r="B1112" s="90" t="s">
        <v>2476</v>
      </c>
      <c r="C1112" s="72" t="s">
        <v>2387</v>
      </c>
      <c r="D1112" s="73" t="s">
        <v>2388</v>
      </c>
      <c r="E1112" s="74"/>
      <c r="F1112" s="74">
        <v>41008</v>
      </c>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4</v>
      </c>
      <c r="J1112" s="72" t="s">
        <v>4</v>
      </c>
      <c r="K1112" s="81" t="s">
        <v>4</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v>40826</v>
      </c>
      <c r="R1112" s="74"/>
      <c r="S1112" s="72" t="s">
        <v>11</v>
      </c>
      <c r="T1112" s="80" t="s">
        <v>4</v>
      </c>
      <c r="U1112" s="72" t="s">
        <v>12</v>
      </c>
      <c r="V1112" s="72" t="s">
        <v>1935</v>
      </c>
      <c r="W1112" s="72" t="s">
        <v>1938</v>
      </c>
      <c r="X1112" s="72" t="s">
        <v>2934</v>
      </c>
      <c r="Y1112" s="72" t="s">
        <v>4</v>
      </c>
      <c r="Z1112" s="72" t="s">
        <v>4</v>
      </c>
      <c r="AA1112" s="147" t="s">
        <v>2934</v>
      </c>
    </row>
    <row r="1113" spans="1:27" ht="18.600000000000001" customHeight="1">
      <c r="A1113" s="140" t="str">
        <f>IF(priority(Main[[#This Row],[Comments]])&lt;&gt;0, priority(Main[[#This Row],[Comments]]),"")</f>
        <v/>
      </c>
      <c r="B1113" s="90" t="s">
        <v>1104</v>
      </c>
      <c r="C1113" s="72" t="s">
        <v>4</v>
      </c>
      <c r="D1113" s="73" t="s">
        <v>3545</v>
      </c>
      <c r="E1113" s="74">
        <v>40086.707800925928</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918</v>
      </c>
      <c r="J1113" s="72" t="s">
        <v>4</v>
      </c>
      <c r="K1113" s="72" t="s">
        <v>1944</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41005</v>
      </c>
      <c r="R1113" s="74">
        <v>41005</v>
      </c>
      <c r="S1113" s="72" t="s">
        <v>17</v>
      </c>
      <c r="T1113" s="80" t="s">
        <v>4</v>
      </c>
      <c r="U1113" s="72" t="s">
        <v>29</v>
      </c>
      <c r="V1113" s="72" t="s">
        <v>1932</v>
      </c>
      <c r="W1113" s="72" t="s">
        <v>1937</v>
      </c>
      <c r="X1113" s="72" t="s">
        <v>129</v>
      </c>
      <c r="Y1113" s="72" t="s">
        <v>3028</v>
      </c>
      <c r="Z1113" s="72" t="s">
        <v>888</v>
      </c>
      <c r="AA1113" s="147" t="s">
        <v>129</v>
      </c>
    </row>
    <row r="1114" spans="1:27" ht="18.600000000000001" customHeight="1">
      <c r="A1114" s="140" t="str">
        <f>IF(priority(Main[[#This Row],[Comments]])&lt;&gt;0, priority(Main[[#This Row],[Comments]]),"")</f>
        <v/>
      </c>
      <c r="B1114" s="90" t="s">
        <v>3463</v>
      </c>
      <c r="C1114" s="72" t="s">
        <v>3401</v>
      </c>
      <c r="D1114" s="73" t="s">
        <v>3731</v>
      </c>
      <c r="E1114" s="74">
        <v>40934.65960648148</v>
      </c>
      <c r="F1114" s="74">
        <v>41065</v>
      </c>
      <c r="G1114" s="75">
        <f>IF(stdProdLT(Main[[#This Row],[Comments]])=0.1,"N/A",IF(stdProdLT(Main[[#This Row],[Comments]])=0,"",stdProdLT(Main[[#This Row],[Comments]])))</f>
        <v>84</v>
      </c>
      <c r="H1114" s="76" t="str">
        <f>IF(AND(Main[[#This Row],[In Stock Date]]&lt;&gt;"",Main[[#This Row],[Revised Due Date]]&lt;&gt;""),Main[[#This Row],[In Stock Date]]-Main[[#This Row],[Revised Due Date]],"")</f>
        <v/>
      </c>
      <c r="I1114" s="72" t="s">
        <v>4</v>
      </c>
      <c r="J1114" s="72" t="s">
        <v>4</v>
      </c>
      <c r="K1114" s="72" t="s">
        <v>4</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v>40945</v>
      </c>
      <c r="R1114" s="74"/>
      <c r="S1114" s="72" t="s">
        <v>11</v>
      </c>
      <c r="T1114" s="80" t="s">
        <v>3402</v>
      </c>
      <c r="U1114" s="72" t="s">
        <v>7</v>
      </c>
      <c r="V1114" s="72" t="s">
        <v>1932</v>
      </c>
      <c r="W1114" s="72" t="s">
        <v>1940</v>
      </c>
      <c r="X1114" s="72" t="s">
        <v>2920</v>
      </c>
      <c r="Y1114" s="72" t="s">
        <v>3046</v>
      </c>
      <c r="Z1114" s="72" t="s">
        <v>4</v>
      </c>
      <c r="AA1114" s="147" t="s">
        <v>2920</v>
      </c>
    </row>
    <row r="1115" spans="1:27" ht="18.600000000000001" customHeight="1">
      <c r="A1115" s="140" t="str">
        <f>IF(priority(Main[[#This Row],[Comments]])&lt;&gt;0, priority(Main[[#This Row],[Comments]]),"")</f>
        <v/>
      </c>
      <c r="B1115" s="90" t="s">
        <v>2529</v>
      </c>
      <c r="C1115" s="72" t="s">
        <v>4</v>
      </c>
      <c r="D1115" s="73" t="s">
        <v>2530</v>
      </c>
      <c r="E1115" s="74">
        <v>40833.637280092589</v>
      </c>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535</v>
      </c>
      <c r="J1115" s="72" t="s">
        <v>21</v>
      </c>
      <c r="K1115" s="72" t="s">
        <v>1941</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40939</v>
      </c>
      <c r="R1115" s="74"/>
      <c r="S1115" s="72" t="s">
        <v>6</v>
      </c>
      <c r="T1115" s="80" t="s">
        <v>4</v>
      </c>
      <c r="U1115" s="72" t="s">
        <v>29</v>
      </c>
      <c r="V1115" s="72" t="s">
        <v>1935</v>
      </c>
      <c r="W1115" s="72" t="s">
        <v>1936</v>
      </c>
      <c r="X1115" s="72" t="s">
        <v>559</v>
      </c>
      <c r="Y1115" s="72" t="s">
        <v>3047</v>
      </c>
      <c r="Z1115" s="72" t="s">
        <v>30</v>
      </c>
      <c r="AA1115" s="147" t="s">
        <v>559</v>
      </c>
    </row>
    <row r="1116" spans="1:27" ht="18.600000000000001" customHeight="1">
      <c r="A1116" s="140" t="str">
        <f>IF(priority(Main[[#This Row],[Comments]])&lt;&gt;0, priority(Main[[#This Row],[Comments]]),"")</f>
        <v/>
      </c>
      <c r="B1116" s="90" t="s">
        <v>2498</v>
      </c>
      <c r="C1116" s="72" t="s">
        <v>4</v>
      </c>
      <c r="D1116" s="73" t="s">
        <v>2723</v>
      </c>
      <c r="E1116" s="74">
        <v>40865.334965277776</v>
      </c>
      <c r="F1116" s="74"/>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4</v>
      </c>
      <c r="J1116" s="72" t="s">
        <v>4</v>
      </c>
      <c r="K1116" s="72" t="s">
        <v>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c r="R1116" s="74"/>
      <c r="S1116" s="72" t="s">
        <v>6</v>
      </c>
      <c r="T1116" s="80" t="s">
        <v>4</v>
      </c>
      <c r="U1116" s="72" t="s">
        <v>7</v>
      </c>
      <c r="V1116" s="72" t="s">
        <v>1932</v>
      </c>
      <c r="W1116" s="72" t="s">
        <v>1936</v>
      </c>
      <c r="X1116" s="72" t="s">
        <v>102</v>
      </c>
      <c r="Y1116" s="72" t="s">
        <v>3175</v>
      </c>
      <c r="Z1116" s="72" t="s">
        <v>4</v>
      </c>
      <c r="AA1116" s="147" t="s">
        <v>3627</v>
      </c>
    </row>
    <row r="1117" spans="1:27" ht="18.600000000000001" customHeight="1">
      <c r="A1117" s="140" t="str">
        <f>IF(priority(Main[[#This Row],[Comments]])&lt;&gt;0, priority(Main[[#This Row],[Comments]]),"")</f>
        <v/>
      </c>
      <c r="B1117" s="90" t="s">
        <v>2415</v>
      </c>
      <c r="C1117" s="72" t="s">
        <v>72</v>
      </c>
      <c r="D1117" s="73" t="s">
        <v>2416</v>
      </c>
      <c r="E1117" s="74">
        <v>40856.064849537041</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4</v>
      </c>
      <c r="J1117" s="72" t="s">
        <v>4</v>
      </c>
      <c r="K1117" s="72" t="s">
        <v>4</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c r="R1117" s="74"/>
      <c r="S1117" s="72" t="s">
        <v>17</v>
      </c>
      <c r="T1117" s="80" t="s">
        <v>4</v>
      </c>
      <c r="U1117" s="72" t="s">
        <v>7</v>
      </c>
      <c r="V1117" s="72" t="s">
        <v>1933</v>
      </c>
      <c r="W1117" s="72" t="s">
        <v>1934</v>
      </c>
      <c r="X1117" s="72" t="s">
        <v>2981</v>
      </c>
      <c r="Y1117" s="72" t="s">
        <v>3142</v>
      </c>
      <c r="Z1117" s="72" t="s">
        <v>4</v>
      </c>
      <c r="AA1117" s="147" t="s">
        <v>2981</v>
      </c>
    </row>
    <row r="1118" spans="1:27" ht="18.600000000000001" customHeight="1">
      <c r="A1118" s="140" t="str">
        <f>IF(priority(Main[[#This Row],[Comments]])&lt;&gt;0, priority(Main[[#This Row],[Comments]]),"")</f>
        <v/>
      </c>
      <c r="B1118" s="90" t="s">
        <v>2505</v>
      </c>
      <c r="C1118" s="72" t="s">
        <v>47</v>
      </c>
      <c r="D1118" s="73" t="s">
        <v>2506</v>
      </c>
      <c r="E1118" s="74">
        <v>40847.703182870369</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69</v>
      </c>
      <c r="J1118" s="72" t="s">
        <v>28</v>
      </c>
      <c r="K1118" s="72" t="s">
        <v>1941</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v>40862</v>
      </c>
      <c r="R1118" s="74"/>
      <c r="S1118" s="72" t="s">
        <v>6</v>
      </c>
      <c r="T1118" s="80" t="s">
        <v>4</v>
      </c>
      <c r="U1118" s="72" t="s">
        <v>29</v>
      </c>
      <c r="V1118" s="72" t="s">
        <v>1935</v>
      </c>
      <c r="W1118" s="72" t="s">
        <v>1936</v>
      </c>
      <c r="X1118" s="72" t="s">
        <v>2956</v>
      </c>
      <c r="Y1118" s="72" t="s">
        <v>3105</v>
      </c>
      <c r="Z1118" s="72" t="s">
        <v>30</v>
      </c>
      <c r="AA1118" s="147" t="s">
        <v>2956</v>
      </c>
    </row>
    <row r="1119" spans="1:27" ht="18.600000000000001" customHeight="1">
      <c r="A1119" s="140" t="str">
        <f>IF(priority(Main[[#This Row],[Comments]])&lt;&gt;0, priority(Main[[#This Row],[Comments]]),"")</f>
        <v/>
      </c>
      <c r="B1119" s="90" t="s">
        <v>2729</v>
      </c>
      <c r="C1119" s="72" t="s">
        <v>4</v>
      </c>
      <c r="D1119" s="73" t="s">
        <v>2730</v>
      </c>
      <c r="E1119" s="74">
        <v>40882.367037037038</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69</v>
      </c>
      <c r="J1119" s="72" t="s">
        <v>70</v>
      </c>
      <c r="K1119" s="72" t="s">
        <v>1941</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40928</v>
      </c>
      <c r="R1119" s="74"/>
      <c r="S1119" s="72" t="s">
        <v>6</v>
      </c>
      <c r="T1119" s="80" t="s">
        <v>4</v>
      </c>
      <c r="U1119" s="72" t="s">
        <v>29</v>
      </c>
      <c r="V1119" s="72" t="s">
        <v>1935</v>
      </c>
      <c r="W1119" s="72" t="s">
        <v>1936</v>
      </c>
      <c r="X1119" s="72" t="s">
        <v>2909</v>
      </c>
      <c r="Y1119" s="72" t="s">
        <v>3024</v>
      </c>
      <c r="Z1119" s="72" t="s">
        <v>30</v>
      </c>
      <c r="AA1119" s="147" t="s">
        <v>2909</v>
      </c>
    </row>
    <row r="1120" spans="1:27" ht="18.600000000000001" customHeight="1">
      <c r="A1120" s="140" t="str">
        <f>IF(priority(Main[[#This Row],[Comments]])&lt;&gt;0, priority(Main[[#This Row],[Comments]]),"")</f>
        <v/>
      </c>
      <c r="B1120" s="90" t="s">
        <v>2507</v>
      </c>
      <c r="C1120" s="72" t="s">
        <v>4</v>
      </c>
      <c r="D1120" s="73" t="s">
        <v>2508</v>
      </c>
      <c r="E1120" s="74"/>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72"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c r="R1120" s="74"/>
      <c r="S1120" s="72" t="s">
        <v>11</v>
      </c>
      <c r="T1120" s="80" t="s">
        <v>4</v>
      </c>
      <c r="U1120" s="72" t="s">
        <v>14</v>
      </c>
      <c r="V1120" s="72" t="s">
        <v>1933</v>
      </c>
      <c r="W1120" s="72" t="s">
        <v>4</v>
      </c>
      <c r="X1120" s="72" t="s">
        <v>2278</v>
      </c>
      <c r="Y1120" s="72" t="s">
        <v>4</v>
      </c>
      <c r="Z1120" s="72" t="s">
        <v>4</v>
      </c>
      <c r="AA1120" s="147" t="s">
        <v>4</v>
      </c>
    </row>
    <row r="1121" spans="1:27" ht="18.600000000000001" customHeight="1">
      <c r="A1121" s="140" t="str">
        <f>IF(priority(Main[[#This Row],[Comments]])&lt;&gt;0, priority(Main[[#This Row],[Comments]]),"")</f>
        <v/>
      </c>
      <c r="B1121" s="90" t="s">
        <v>2509</v>
      </c>
      <c r="C1121" s="72" t="s">
        <v>2455</v>
      </c>
      <c r="D1121" s="73" t="s">
        <v>2510</v>
      </c>
      <c r="E1121" s="74"/>
      <c r="F1121" s="74">
        <v>40969</v>
      </c>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4</v>
      </c>
      <c r="K1121" s="81"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c r="R1121" s="74"/>
      <c r="S1121" s="72" t="s">
        <v>4</v>
      </c>
      <c r="T1121" s="80" t="s">
        <v>2511</v>
      </c>
      <c r="U1121" s="72" t="s">
        <v>14</v>
      </c>
      <c r="V1121" s="72" t="s">
        <v>1935</v>
      </c>
      <c r="W1121" s="72" t="s">
        <v>4</v>
      </c>
      <c r="X1121" s="72" t="s">
        <v>2947</v>
      </c>
      <c r="Y1121" s="72" t="s">
        <v>4</v>
      </c>
      <c r="Z1121" s="72" t="s">
        <v>4</v>
      </c>
      <c r="AA1121" s="147" t="s">
        <v>4</v>
      </c>
    </row>
    <row r="1122" spans="1:27" ht="18.600000000000001" customHeight="1">
      <c r="A1122" s="140" t="str">
        <f>IF(priority(Main[[#This Row],[Comments]])&lt;&gt;0, priority(Main[[#This Row],[Comments]]),"")</f>
        <v/>
      </c>
      <c r="B1122" s="90" t="s">
        <v>2514</v>
      </c>
      <c r="C1122" s="72" t="s">
        <v>4</v>
      </c>
      <c r="D1122" s="73" t="s">
        <v>2515</v>
      </c>
      <c r="E1122" s="74">
        <v>40834.323900462965</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c r="R1122" s="74"/>
      <c r="S1122" s="72" t="s">
        <v>6</v>
      </c>
      <c r="T1122" s="80" t="s">
        <v>4</v>
      </c>
      <c r="U1122" s="72" t="s">
        <v>7</v>
      </c>
      <c r="V1122" s="72" t="s">
        <v>1932</v>
      </c>
      <c r="W1122" s="72" t="s">
        <v>1936</v>
      </c>
      <c r="X1122" s="72" t="s">
        <v>403</v>
      </c>
      <c r="Y1122" s="72" t="s">
        <v>4</v>
      </c>
      <c r="Z1122" s="72" t="s">
        <v>4</v>
      </c>
      <c r="AA1122" s="147" t="s">
        <v>3627</v>
      </c>
    </row>
    <row r="1123" spans="1:27" ht="18.600000000000001" customHeight="1">
      <c r="A1123" s="140" t="str">
        <f>IF(priority(Main[[#This Row],[Comments]])&lt;&gt;0, priority(Main[[#This Row],[Comments]]),"")</f>
        <v/>
      </c>
      <c r="B1123" s="90" t="s">
        <v>2516</v>
      </c>
      <c r="C1123" s="72" t="s">
        <v>351</v>
      </c>
      <c r="D1123" s="73" t="s">
        <v>2366</v>
      </c>
      <c r="E1123" s="74">
        <v>40827.600601851853</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v>40847</v>
      </c>
      <c r="R1123" s="74"/>
      <c r="S1123" s="72" t="s">
        <v>4</v>
      </c>
      <c r="T1123" s="80" t="s">
        <v>4</v>
      </c>
      <c r="U1123" s="72" t="s">
        <v>7</v>
      </c>
      <c r="V1123" s="72" t="s">
        <v>1932</v>
      </c>
      <c r="W1123" s="72" t="s">
        <v>4</v>
      </c>
      <c r="X1123" s="72" t="s">
        <v>2940</v>
      </c>
      <c r="Y1123" s="72" t="s">
        <v>3078</v>
      </c>
      <c r="Z1123" s="72" t="s">
        <v>4</v>
      </c>
      <c r="AA1123" s="147" t="s">
        <v>2940</v>
      </c>
    </row>
    <row r="1124" spans="1:27" ht="18.600000000000001" customHeight="1">
      <c r="A1124" s="140" t="str">
        <f>IF(priority(Main[[#This Row],[Comments]])&lt;&gt;0, priority(Main[[#This Row],[Comments]]),"")</f>
        <v/>
      </c>
      <c r="B1124" s="90" t="s">
        <v>2517</v>
      </c>
      <c r="C1124" s="72" t="s">
        <v>351</v>
      </c>
      <c r="D1124" s="73" t="s">
        <v>2518</v>
      </c>
      <c r="E1124" s="74">
        <v>40827.603530092594</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72"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40847</v>
      </c>
      <c r="R1124" s="74"/>
      <c r="S1124" s="72" t="s">
        <v>11</v>
      </c>
      <c r="T1124" s="80" t="s">
        <v>4</v>
      </c>
      <c r="U1124" s="72" t="s">
        <v>7</v>
      </c>
      <c r="V1124" s="72" t="s">
        <v>1932</v>
      </c>
      <c r="W1124" s="72" t="s">
        <v>4</v>
      </c>
      <c r="X1124" s="72" t="s">
        <v>2940</v>
      </c>
      <c r="Y1124" s="72" t="s">
        <v>3078</v>
      </c>
      <c r="Z1124" s="72" t="s">
        <v>4</v>
      </c>
      <c r="AA1124" s="147" t="s">
        <v>2940</v>
      </c>
    </row>
    <row r="1125" spans="1:27" ht="18.600000000000001" customHeight="1">
      <c r="A1125" s="140" t="str">
        <f>IF(priority(Main[[#This Row],[Comments]])&lt;&gt;0, priority(Main[[#This Row],[Comments]]),"")</f>
        <v/>
      </c>
      <c r="B1125" s="90" t="s">
        <v>2519</v>
      </c>
      <c r="C1125" s="72" t="s">
        <v>4</v>
      </c>
      <c r="D1125" s="73" t="s">
        <v>2520</v>
      </c>
      <c r="E1125" s="74"/>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4</v>
      </c>
      <c r="J1125" s="72" t="s">
        <v>4</v>
      </c>
      <c r="K1125" s="72"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c r="R1125" s="74"/>
      <c r="S1125" s="72" t="s">
        <v>11</v>
      </c>
      <c r="T1125" s="80" t="s">
        <v>4</v>
      </c>
      <c r="U1125" s="72" t="s">
        <v>14</v>
      </c>
      <c r="V1125" s="72" t="s">
        <v>1933</v>
      </c>
      <c r="W1125" s="72" t="s">
        <v>4</v>
      </c>
      <c r="X1125" s="72" t="s">
        <v>2278</v>
      </c>
      <c r="Y1125" s="72" t="s">
        <v>4</v>
      </c>
      <c r="Z1125" s="72" t="s">
        <v>4</v>
      </c>
      <c r="AA1125" s="147" t="s">
        <v>4</v>
      </c>
    </row>
    <row r="1126" spans="1:27" ht="18.600000000000001" customHeight="1">
      <c r="A1126" s="140" t="str">
        <f>IF(priority(Main[[#This Row],[Comments]])&lt;&gt;0, priority(Main[[#This Row],[Comments]]),"")</f>
        <v/>
      </c>
      <c r="B1126" s="90" t="s">
        <v>1297</v>
      </c>
      <c r="C1126" s="72" t="s">
        <v>37</v>
      </c>
      <c r="D1126" s="73" t="s">
        <v>2521</v>
      </c>
      <c r="E1126" s="74">
        <v>40767.457106481481</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4</v>
      </c>
      <c r="J1126" s="72" t="s">
        <v>4</v>
      </c>
      <c r="K1126" s="72" t="s">
        <v>4</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40715</v>
      </c>
      <c r="R1126" s="74"/>
      <c r="S1126" s="72" t="s">
        <v>6</v>
      </c>
      <c r="T1126" s="80" t="s">
        <v>4</v>
      </c>
      <c r="U1126" s="72" t="s">
        <v>7</v>
      </c>
      <c r="V1126" s="72" t="s">
        <v>1932</v>
      </c>
      <c r="W1126" s="72" t="s">
        <v>1943</v>
      </c>
      <c r="X1126" s="72" t="s">
        <v>982</v>
      </c>
      <c r="Y1126" s="72" t="s">
        <v>3192</v>
      </c>
      <c r="Z1126" s="72" t="s">
        <v>4</v>
      </c>
      <c r="AA1126" s="147" t="s">
        <v>982</v>
      </c>
    </row>
    <row r="1127" spans="1:27" ht="18.600000000000001" customHeight="1">
      <c r="A1127" s="140" t="str">
        <f>IF(priority(Main[[#This Row],[Comments]])&lt;&gt;0, priority(Main[[#This Row],[Comments]]),"")</f>
        <v/>
      </c>
      <c r="B1127" s="90" t="s">
        <v>1126</v>
      </c>
      <c r="C1127" s="72" t="s">
        <v>37</v>
      </c>
      <c r="D1127" s="73" t="s">
        <v>2522</v>
      </c>
      <c r="E1127" s="74">
        <v>40767.459861111114</v>
      </c>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81"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40716</v>
      </c>
      <c r="R1127" s="74"/>
      <c r="S1127" s="72" t="s">
        <v>6</v>
      </c>
      <c r="T1127" s="80" t="s">
        <v>4</v>
      </c>
      <c r="U1127" s="72" t="s">
        <v>7</v>
      </c>
      <c r="V1127" s="72" t="s">
        <v>1932</v>
      </c>
      <c r="W1127" s="72" t="s">
        <v>1943</v>
      </c>
      <c r="X1127" s="72" t="s">
        <v>982</v>
      </c>
      <c r="Y1127" s="72" t="s">
        <v>3192</v>
      </c>
      <c r="Z1127" s="72" t="s">
        <v>4</v>
      </c>
      <c r="AA1127" s="147" t="s">
        <v>982</v>
      </c>
    </row>
    <row r="1128" spans="1:27" ht="18.600000000000001" customHeight="1">
      <c r="A1128" s="140" t="str">
        <f>IF(priority(Main[[#This Row],[Comments]])&lt;&gt;0, priority(Main[[#This Row],[Comments]]),"")</f>
        <v/>
      </c>
      <c r="B1128" s="90" t="s">
        <v>2525</v>
      </c>
      <c r="C1128" s="72" t="s">
        <v>4</v>
      </c>
      <c r="D1128" s="73" t="s">
        <v>2526</v>
      </c>
      <c r="E1128" s="74">
        <v>40857.542858796296</v>
      </c>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72"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c r="R1128" s="74"/>
      <c r="S1128" s="72" t="s">
        <v>11</v>
      </c>
      <c r="T1128" s="80" t="s">
        <v>4</v>
      </c>
      <c r="U1128" s="72" t="s">
        <v>29</v>
      </c>
      <c r="V1128" s="72" t="s">
        <v>1933</v>
      </c>
      <c r="W1128" s="72" t="s">
        <v>4</v>
      </c>
      <c r="X1128" s="72" t="s">
        <v>2278</v>
      </c>
      <c r="Y1128" s="72" t="s">
        <v>4</v>
      </c>
      <c r="Z1128" s="72" t="s">
        <v>4</v>
      </c>
      <c r="AA1128" s="147" t="s">
        <v>4</v>
      </c>
    </row>
    <row r="1129" spans="1:27" ht="18.600000000000001" customHeight="1">
      <c r="A1129" s="140" t="str">
        <f>IF(priority(Main[[#This Row],[Comments]])&lt;&gt;0, priority(Main[[#This Row],[Comments]]),"")</f>
        <v/>
      </c>
      <c r="B1129" s="90" t="s">
        <v>2527</v>
      </c>
      <c r="C1129" s="72" t="s">
        <v>4</v>
      </c>
      <c r="D1129" s="73" t="s">
        <v>2528</v>
      </c>
      <c r="E1129" s="74">
        <v>40820.695763888885</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c r="R1129" s="74"/>
      <c r="S1129" s="72" t="s">
        <v>6</v>
      </c>
      <c r="T1129" s="80" t="s">
        <v>4</v>
      </c>
      <c r="U1129" s="72" t="s">
        <v>29</v>
      </c>
      <c r="V1129" s="72" t="s">
        <v>1935</v>
      </c>
      <c r="W1129" s="72" t="s">
        <v>1936</v>
      </c>
      <c r="X1129" s="72" t="s">
        <v>102</v>
      </c>
      <c r="Y1129" s="72" t="s">
        <v>3211</v>
      </c>
      <c r="Z1129" s="72" t="s">
        <v>4</v>
      </c>
      <c r="AA1129" s="147" t="s">
        <v>894</v>
      </c>
    </row>
    <row r="1130" spans="1:27" ht="18.600000000000001" customHeight="1">
      <c r="A1130" s="140" t="str">
        <f>IF(priority(Main[[#This Row],[Comments]])&lt;&gt;0, priority(Main[[#This Row],[Comments]]),"")</f>
        <v/>
      </c>
      <c r="B1130" s="90" t="s">
        <v>2531</v>
      </c>
      <c r="C1130" s="72" t="s">
        <v>4</v>
      </c>
      <c r="D1130" s="73" t="s">
        <v>2532</v>
      </c>
      <c r="E1130" s="74">
        <v>40855.647002314814</v>
      </c>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72"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v>40892</v>
      </c>
      <c r="R1130" s="74"/>
      <c r="S1130" s="72" t="s">
        <v>6</v>
      </c>
      <c r="T1130" s="80" t="s">
        <v>4</v>
      </c>
      <c r="U1130" s="72" t="s">
        <v>7</v>
      </c>
      <c r="V1130" s="72" t="s">
        <v>1932</v>
      </c>
      <c r="W1130" s="72" t="s">
        <v>1940</v>
      </c>
      <c r="X1130" s="72" t="s">
        <v>2912</v>
      </c>
      <c r="Y1130" s="72" t="s">
        <v>3031</v>
      </c>
      <c r="Z1130" s="72" t="s">
        <v>4</v>
      </c>
      <c r="AA1130" s="147" t="s">
        <v>2912</v>
      </c>
    </row>
    <row r="1131" spans="1:27" ht="18.600000000000001" customHeight="1">
      <c r="A1131" s="140" t="str">
        <f>IF(priority(Main[[#This Row],[Comments]])&lt;&gt;0, priority(Main[[#This Row],[Comments]]),"")</f>
        <v/>
      </c>
      <c r="B1131" s="90" t="s">
        <v>2394</v>
      </c>
      <c r="C1131" s="72" t="s">
        <v>4</v>
      </c>
      <c r="D1131" s="73" t="s">
        <v>3774</v>
      </c>
      <c r="E1131" s="74">
        <v>40854.718263888892</v>
      </c>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4</v>
      </c>
      <c r="J1131" s="72" t="s">
        <v>4</v>
      </c>
      <c r="K1131" s="81"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40884</v>
      </c>
      <c r="R1131" s="74"/>
      <c r="S1131" s="72" t="s">
        <v>6</v>
      </c>
      <c r="T1131" s="80" t="s">
        <v>4</v>
      </c>
      <c r="U1131" s="72" t="s">
        <v>7</v>
      </c>
      <c r="V1131" s="72" t="s">
        <v>2312</v>
      </c>
      <c r="W1131" s="72" t="s">
        <v>4</v>
      </c>
      <c r="X1131" s="72" t="s">
        <v>2956</v>
      </c>
      <c r="Y1131" s="72" t="s">
        <v>3105</v>
      </c>
      <c r="Z1131" s="72" t="s">
        <v>4</v>
      </c>
      <c r="AA1131" s="147" t="s">
        <v>2956</v>
      </c>
    </row>
    <row r="1132" spans="1:27" ht="18.600000000000001" customHeight="1">
      <c r="A1132" s="140" t="str">
        <f>IF(priority(Main[[#This Row],[Comments]])&lt;&gt;0, priority(Main[[#This Row],[Comments]]),"")</f>
        <v/>
      </c>
      <c r="B1132" s="90" t="s">
        <v>2538</v>
      </c>
      <c r="C1132" s="72" t="s">
        <v>4</v>
      </c>
      <c r="D1132" s="73" t="s">
        <v>2539</v>
      </c>
      <c r="E1132" s="74"/>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4</v>
      </c>
      <c r="J1132" s="72" t="s">
        <v>4</v>
      </c>
      <c r="K1132" s="72"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c r="R1132" s="74"/>
      <c r="S1132" s="72" t="s">
        <v>11</v>
      </c>
      <c r="T1132" s="80" t="s">
        <v>4</v>
      </c>
      <c r="U1132" s="72" t="s">
        <v>14</v>
      </c>
      <c r="V1132" s="72" t="s">
        <v>1932</v>
      </c>
      <c r="W1132" s="72" t="s">
        <v>1940</v>
      </c>
      <c r="X1132" s="72" t="s">
        <v>2997</v>
      </c>
      <c r="Y1132" s="72" t="s">
        <v>3191</v>
      </c>
      <c r="Z1132" s="72" t="s">
        <v>888</v>
      </c>
      <c r="AA1132" s="147" t="s">
        <v>2997</v>
      </c>
    </row>
    <row r="1133" spans="1:27" ht="18.600000000000001" customHeight="1">
      <c r="A1133" s="140" t="str">
        <f>IF(priority(Main[[#This Row],[Comments]])&lt;&gt;0, priority(Main[[#This Row],[Comments]]),"")</f>
        <v/>
      </c>
      <c r="B1133" s="90" t="s">
        <v>2545</v>
      </c>
      <c r="C1133" s="72" t="s">
        <v>4</v>
      </c>
      <c r="D1133" s="73" t="s">
        <v>2546</v>
      </c>
      <c r="E1133" s="74"/>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4</v>
      </c>
      <c r="J1133" s="72" t="s">
        <v>4</v>
      </c>
      <c r="K1133" s="72" t="s">
        <v>4</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v>40837</v>
      </c>
      <c r="R1133" s="74"/>
      <c r="S1133" s="72" t="s">
        <v>11</v>
      </c>
      <c r="T1133" s="80" t="s">
        <v>4</v>
      </c>
      <c r="U1133" s="72" t="s">
        <v>14</v>
      </c>
      <c r="V1133" s="72" t="s">
        <v>1933</v>
      </c>
      <c r="W1133" s="72" t="s">
        <v>1940</v>
      </c>
      <c r="X1133" s="72" t="s">
        <v>2997</v>
      </c>
      <c r="Y1133" s="72" t="s">
        <v>3191</v>
      </c>
      <c r="Z1133" s="72" t="s">
        <v>4</v>
      </c>
      <c r="AA1133" s="147" t="s">
        <v>2997</v>
      </c>
    </row>
    <row r="1134" spans="1:27" ht="18.600000000000001" customHeight="1">
      <c r="A1134" s="140" t="str">
        <f>IF(priority(Main[[#This Row],[Comments]])&lt;&gt;0, priority(Main[[#This Row],[Comments]]),"")</f>
        <v/>
      </c>
      <c r="B1134" s="90" t="s">
        <v>1395</v>
      </c>
      <c r="C1134" s="72" t="s">
        <v>4</v>
      </c>
      <c r="D1134" s="73" t="s">
        <v>2036</v>
      </c>
      <c r="E1134" s="74"/>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4</v>
      </c>
      <c r="J1134" s="72" t="s">
        <v>4</v>
      </c>
      <c r="K1134" s="72" t="s">
        <v>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v>40310</v>
      </c>
      <c r="R1134" s="74"/>
      <c r="S1134" s="72" t="s">
        <v>6</v>
      </c>
      <c r="T1134" s="80" t="s">
        <v>4</v>
      </c>
      <c r="U1134" s="72" t="s">
        <v>14</v>
      </c>
      <c r="V1134" s="72" t="s">
        <v>1932</v>
      </c>
      <c r="W1134" s="72" t="s">
        <v>1937</v>
      </c>
      <c r="X1134" s="72" t="s">
        <v>894</v>
      </c>
      <c r="Y1134" s="72" t="s">
        <v>3058</v>
      </c>
      <c r="Z1134" s="72" t="s">
        <v>4</v>
      </c>
      <c r="AA1134" s="147" t="s">
        <v>894</v>
      </c>
    </row>
    <row r="1135" spans="1:27" ht="18.600000000000001" customHeight="1">
      <c r="A1135" s="140" t="str">
        <f>IF(priority(Main[[#This Row],[Comments]])&lt;&gt;0, priority(Main[[#This Row],[Comments]]),"")</f>
        <v/>
      </c>
      <c r="B1135" s="90" t="s">
        <v>2628</v>
      </c>
      <c r="C1135" s="72" t="s">
        <v>4</v>
      </c>
      <c r="D1135" s="73" t="s">
        <v>2834</v>
      </c>
      <c r="E1135" s="74"/>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242</v>
      </c>
      <c r="J1135" s="72" t="s">
        <v>28</v>
      </c>
      <c r="K1135" s="72" t="s">
        <v>1941</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40907</v>
      </c>
      <c r="R1135" s="74"/>
      <c r="S1135" s="72" t="s">
        <v>6</v>
      </c>
      <c r="T1135" s="80" t="s">
        <v>4</v>
      </c>
      <c r="U1135" s="72" t="s">
        <v>14</v>
      </c>
      <c r="V1135" s="72" t="s">
        <v>1935</v>
      </c>
      <c r="W1135" s="72" t="s">
        <v>1936</v>
      </c>
      <c r="X1135" s="72" t="s">
        <v>2910</v>
      </c>
      <c r="Y1135" s="72" t="s">
        <v>3027</v>
      </c>
      <c r="Z1135" s="72" t="s">
        <v>30</v>
      </c>
      <c r="AA1135" s="147" t="s">
        <v>2910</v>
      </c>
    </row>
    <row r="1136" spans="1:27" ht="18.600000000000001" customHeight="1">
      <c r="A1136" s="140" t="str">
        <f>IF(priority(Main[[#This Row],[Comments]])&lt;&gt;0, priority(Main[[#This Row],[Comments]]),"")</f>
        <v/>
      </c>
      <c r="B1136" s="90" t="s">
        <v>2850</v>
      </c>
      <c r="C1136" s="72" t="s">
        <v>2851</v>
      </c>
      <c r="D1136" s="73" t="s">
        <v>3418</v>
      </c>
      <c r="E1136" s="74">
        <v>40892.924444444441</v>
      </c>
      <c r="F1136" s="74"/>
      <c r="G1136" s="75">
        <f>IF(stdProdLT(Main[[#This Row],[Comments]])=0.1,"N/A",IF(stdProdLT(Main[[#This Row],[Comments]])=0,"",stdProdLT(Main[[#This Row],[Comments]])))</f>
        <v>112</v>
      </c>
      <c r="H1136" s="76" t="str">
        <f>IF(AND(Main[[#This Row],[In Stock Date]]&lt;&gt;"",Main[[#This Row],[Revised Due Date]]&lt;&gt;""),Main[[#This Row],[In Stock Date]]-Main[[#This Row],[Revised Due Date]],"")</f>
        <v/>
      </c>
      <c r="I1136" s="72" t="s">
        <v>4</v>
      </c>
      <c r="J1136" s="72" t="s">
        <v>4</v>
      </c>
      <c r="K1136" s="72" t="s">
        <v>4</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c r="R1136" s="74"/>
      <c r="S1136" s="72" t="s">
        <v>11</v>
      </c>
      <c r="T1136" s="80" t="s">
        <v>3278</v>
      </c>
      <c r="U1136" s="72" t="s">
        <v>539</v>
      </c>
      <c r="V1136" s="72" t="s">
        <v>1935</v>
      </c>
      <c r="W1136" s="72" t="s">
        <v>1940</v>
      </c>
      <c r="X1136" s="72" t="s">
        <v>310</v>
      </c>
      <c r="Y1136" s="72" t="s">
        <v>4</v>
      </c>
      <c r="Z1136" s="72" t="s">
        <v>4</v>
      </c>
      <c r="AA1136" s="147" t="s">
        <v>4</v>
      </c>
    </row>
    <row r="1137" spans="1:27" ht="18.600000000000001" customHeight="1">
      <c r="A1137" s="140" t="str">
        <f>IF(priority(Main[[#This Row],[Comments]])&lt;&gt;0, priority(Main[[#This Row],[Comments]]),"")</f>
        <v/>
      </c>
      <c r="B1137" s="90" t="s">
        <v>3345</v>
      </c>
      <c r="C1137" s="72" t="s">
        <v>4</v>
      </c>
      <c r="D1137" s="73" t="s">
        <v>3346</v>
      </c>
      <c r="E1137" s="74">
        <v>40924.344918981478</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535</v>
      </c>
      <c r="J1137" s="72" t="s">
        <v>28</v>
      </c>
      <c r="K1137" s="72" t="s">
        <v>1941</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40952</v>
      </c>
      <c r="R1137" s="74"/>
      <c r="S1137" s="72" t="s">
        <v>6</v>
      </c>
      <c r="T1137" s="80" t="s">
        <v>4</v>
      </c>
      <c r="U1137" s="72" t="s">
        <v>7</v>
      </c>
      <c r="V1137" s="72" t="s">
        <v>1935</v>
      </c>
      <c r="W1137" s="72" t="s">
        <v>1936</v>
      </c>
      <c r="X1137" s="72" t="s">
        <v>2913</v>
      </c>
      <c r="Y1137" s="72" t="s">
        <v>3033</v>
      </c>
      <c r="Z1137" s="72" t="s">
        <v>30</v>
      </c>
      <c r="AA1137" s="147" t="s">
        <v>2913</v>
      </c>
    </row>
    <row r="1138" spans="1:27" ht="18.600000000000001" customHeight="1">
      <c r="A1138" s="140" t="str">
        <f>IF(priority(Main[[#This Row],[Comments]])&lt;&gt;0, priority(Main[[#This Row],[Comments]]),"")</f>
        <v/>
      </c>
      <c r="B1138" s="90" t="s">
        <v>2547</v>
      </c>
      <c r="C1138" s="72" t="s">
        <v>2548</v>
      </c>
      <c r="D1138" s="73" t="s">
        <v>2549</v>
      </c>
      <c r="E1138" s="74"/>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c r="R1138" s="74"/>
      <c r="S1138" s="72" t="s">
        <v>11</v>
      </c>
      <c r="T1138" s="80" t="s">
        <v>4</v>
      </c>
      <c r="U1138" s="72" t="s">
        <v>14</v>
      </c>
      <c r="V1138" s="72" t="s">
        <v>1933</v>
      </c>
      <c r="W1138" s="72" t="s">
        <v>1940</v>
      </c>
      <c r="X1138" s="72" t="s">
        <v>2278</v>
      </c>
      <c r="Y1138" s="72" t="s">
        <v>4</v>
      </c>
      <c r="Z1138" s="72" t="s">
        <v>4</v>
      </c>
      <c r="AA1138" s="147" t="s">
        <v>3701</v>
      </c>
    </row>
    <row r="1139" spans="1:27" ht="18.600000000000001" customHeight="1">
      <c r="A1139" s="140" t="str">
        <f>IF(priority(Main[[#This Row],[Comments]])&lt;&gt;0, priority(Main[[#This Row],[Comments]]),"")</f>
        <v/>
      </c>
      <c r="B1139" s="90" t="s">
        <v>2551</v>
      </c>
      <c r="C1139" s="72" t="s">
        <v>4</v>
      </c>
      <c r="D1139" s="73" t="s">
        <v>2552</v>
      </c>
      <c r="E1139" s="74"/>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4</v>
      </c>
      <c r="J1139" s="72" t="s">
        <v>4</v>
      </c>
      <c r="K1139" s="72" t="s">
        <v>4</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v>40878</v>
      </c>
      <c r="R1139" s="74"/>
      <c r="S1139" s="72" t="s">
        <v>6</v>
      </c>
      <c r="T1139" s="80" t="s">
        <v>4</v>
      </c>
      <c r="U1139" s="72" t="s">
        <v>12</v>
      </c>
      <c r="V1139" s="72" t="s">
        <v>2312</v>
      </c>
      <c r="W1139" s="72" t="s">
        <v>4</v>
      </c>
      <c r="X1139" s="72" t="s">
        <v>2927</v>
      </c>
      <c r="Y1139" s="72" t="s">
        <v>3060</v>
      </c>
      <c r="Z1139" s="72" t="s">
        <v>4</v>
      </c>
      <c r="AA1139" s="147" t="s">
        <v>2927</v>
      </c>
    </row>
    <row r="1140" spans="1:27" ht="18.600000000000001" customHeight="1">
      <c r="A1140" s="140" t="str">
        <f>IF(priority(Main[[#This Row],[Comments]])&lt;&gt;0, priority(Main[[#This Row],[Comments]]),"")</f>
        <v/>
      </c>
      <c r="B1140" s="90" t="s">
        <v>3419</v>
      </c>
      <c r="C1140" s="72" t="s">
        <v>4</v>
      </c>
      <c r="D1140" s="73" t="s">
        <v>3420</v>
      </c>
      <c r="E1140" s="74">
        <v>40935.663275462961</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4</v>
      </c>
      <c r="J1140" s="72" t="s">
        <v>4</v>
      </c>
      <c r="K1140" s="72" t="s">
        <v>4</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4</v>
      </c>
      <c r="T1140" s="80" t="s">
        <v>4</v>
      </c>
      <c r="U1140" s="72" t="s">
        <v>7</v>
      </c>
      <c r="V1140" s="72" t="s">
        <v>1935</v>
      </c>
      <c r="W1140" s="72" t="s">
        <v>4</v>
      </c>
      <c r="X1140" s="72" t="s">
        <v>2932</v>
      </c>
      <c r="Y1140" s="72" t="s">
        <v>3066</v>
      </c>
      <c r="Z1140" s="72" t="s">
        <v>4</v>
      </c>
      <c r="AA1140" s="147" t="s">
        <v>2932</v>
      </c>
    </row>
    <row r="1141" spans="1:27" ht="18.600000000000001" customHeight="1">
      <c r="A1141" s="140" t="str">
        <f>IF(priority(Main[[#This Row],[Comments]])&lt;&gt;0, priority(Main[[#This Row],[Comments]]),"")</f>
        <v/>
      </c>
      <c r="B1141" s="90" t="s">
        <v>3549</v>
      </c>
      <c r="C1141" s="72" t="s">
        <v>3550</v>
      </c>
      <c r="D1141" s="73" t="s">
        <v>3551</v>
      </c>
      <c r="E1141" s="74"/>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2234</v>
      </c>
      <c r="J1141" s="72" t="s">
        <v>75</v>
      </c>
      <c r="K1141" s="72" t="s">
        <v>1941</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c r="R1141" s="74"/>
      <c r="S1141" s="72" t="s">
        <v>6</v>
      </c>
      <c r="T1141" s="80" t="s">
        <v>4</v>
      </c>
      <c r="U1141" s="72" t="s">
        <v>14</v>
      </c>
      <c r="V1141" s="72" t="s">
        <v>1932</v>
      </c>
      <c r="W1141" s="72" t="s">
        <v>1936</v>
      </c>
      <c r="X1141" s="72" t="s">
        <v>2234</v>
      </c>
      <c r="Y1141" s="72" t="s">
        <v>3552</v>
      </c>
      <c r="Z1141" s="72" t="s">
        <v>310</v>
      </c>
      <c r="AA1141" s="147" t="s">
        <v>3702</v>
      </c>
    </row>
    <row r="1142" spans="1:27" ht="18.600000000000001" customHeight="1">
      <c r="A1142" s="140" t="str">
        <f>IF(priority(Main[[#This Row],[Comments]])&lt;&gt;0, priority(Main[[#This Row],[Comments]]),"")</f>
        <v/>
      </c>
      <c r="B1142" s="90" t="s">
        <v>2830</v>
      </c>
      <c r="C1142" s="72" t="s">
        <v>4</v>
      </c>
      <c r="D1142" s="73" t="s">
        <v>2831</v>
      </c>
      <c r="E1142" s="74">
        <v>40911.566932870373</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535</v>
      </c>
      <c r="J1142" s="72" t="s">
        <v>28</v>
      </c>
      <c r="K1142" s="72" t="s">
        <v>1941</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40963</v>
      </c>
      <c r="R1142" s="74"/>
      <c r="S1142" s="72" t="s">
        <v>6</v>
      </c>
      <c r="T1142" s="80" t="s">
        <v>4</v>
      </c>
      <c r="U1142" s="72" t="s">
        <v>29</v>
      </c>
      <c r="V1142" s="72" t="s">
        <v>1935</v>
      </c>
      <c r="W1142" s="72" t="s">
        <v>1936</v>
      </c>
      <c r="X1142" s="72" t="s">
        <v>775</v>
      </c>
      <c r="Y1142" s="72" t="s">
        <v>3030</v>
      </c>
      <c r="Z1142" s="72" t="s">
        <v>30</v>
      </c>
      <c r="AA1142" s="147" t="s">
        <v>775</v>
      </c>
    </row>
    <row r="1143" spans="1:27" ht="18.600000000000001" customHeight="1">
      <c r="A1143" s="140" t="str">
        <f>IF(priority(Main[[#This Row],[Comments]])&lt;&gt;0, priority(Main[[#This Row],[Comments]]),"")</f>
        <v/>
      </c>
      <c r="B1143" s="90" t="s">
        <v>3771</v>
      </c>
      <c r="C1143" s="72" t="s">
        <v>47</v>
      </c>
      <c r="D1143" s="73" t="s">
        <v>3773</v>
      </c>
      <c r="E1143" s="74">
        <v>40941.662106481483</v>
      </c>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72"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v>40968</v>
      </c>
      <c r="R1143" s="74"/>
      <c r="S1143" s="72" t="s">
        <v>6</v>
      </c>
      <c r="T1143" s="80" t="s">
        <v>4</v>
      </c>
      <c r="U1143" s="72" t="s">
        <v>29</v>
      </c>
      <c r="V1143" s="72" t="s">
        <v>2312</v>
      </c>
      <c r="W1143" s="72" t="s">
        <v>4</v>
      </c>
      <c r="X1143" s="72" t="s">
        <v>2956</v>
      </c>
      <c r="Y1143" s="72" t="s">
        <v>3105</v>
      </c>
      <c r="Z1143" s="72" t="s">
        <v>4</v>
      </c>
      <c r="AA1143" s="147" t="s">
        <v>2956</v>
      </c>
    </row>
    <row r="1144" spans="1:27" ht="18.600000000000001" customHeight="1">
      <c r="A1144" s="140" t="str">
        <f>IF(priority(Main[[#This Row],[Comments]])&lt;&gt;0, priority(Main[[#This Row],[Comments]]),"")</f>
        <v/>
      </c>
      <c r="B1144" s="90" t="s">
        <v>2825</v>
      </c>
      <c r="C1144" s="72" t="s">
        <v>4</v>
      </c>
      <c r="D1144" s="73" t="s">
        <v>3364</v>
      </c>
      <c r="E1144" s="74">
        <v>40885.513043981482</v>
      </c>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310</v>
      </c>
      <c r="J1144" s="72" t="s">
        <v>51</v>
      </c>
      <c r="K1144" s="72" t="s">
        <v>1941</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c r="R1144" s="74"/>
      <c r="S1144" s="72" t="s">
        <v>11</v>
      </c>
      <c r="T1144" s="80" t="s">
        <v>3328</v>
      </c>
      <c r="U1144" s="72" t="s">
        <v>29</v>
      </c>
      <c r="V1144" s="72" t="s">
        <v>1935</v>
      </c>
      <c r="W1144" s="72" t="s">
        <v>1938</v>
      </c>
      <c r="X1144" s="72" t="s">
        <v>310</v>
      </c>
      <c r="Y1144" s="72" t="s">
        <v>4</v>
      </c>
      <c r="Z1144" s="72" t="s">
        <v>310</v>
      </c>
      <c r="AA1144" s="147" t="s">
        <v>894</v>
      </c>
    </row>
    <row r="1145" spans="1:27" ht="18.600000000000001" customHeight="1">
      <c r="A1145" s="140" t="str">
        <f>IF(priority(Main[[#This Row],[Comments]])&lt;&gt;0, priority(Main[[#This Row],[Comments]]),"")</f>
        <v/>
      </c>
      <c r="B1145" s="90" t="s">
        <v>3421</v>
      </c>
      <c r="C1145" s="72" t="s">
        <v>4</v>
      </c>
      <c r="D1145" s="73" t="s">
        <v>3422</v>
      </c>
      <c r="E1145" s="74">
        <v>40932.302083333336</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c r="R1145" s="74"/>
      <c r="S1145" s="72" t="s">
        <v>6</v>
      </c>
      <c r="T1145" s="80" t="s">
        <v>4</v>
      </c>
      <c r="U1145" s="72" t="s">
        <v>7</v>
      </c>
      <c r="V1145" s="72" t="s">
        <v>1935</v>
      </c>
      <c r="W1145" s="72" t="s">
        <v>4</v>
      </c>
      <c r="X1145" s="72" t="s">
        <v>2994</v>
      </c>
      <c r="Y1145" s="72" t="s">
        <v>3178</v>
      </c>
      <c r="Z1145" s="72" t="s">
        <v>4</v>
      </c>
      <c r="AA1145" s="147" t="s">
        <v>2994</v>
      </c>
    </row>
    <row r="1146" spans="1:27" ht="18.600000000000001" customHeight="1">
      <c r="A1146" s="140" t="str">
        <f>IF(priority(Main[[#This Row],[Comments]])&lt;&gt;0, priority(Main[[#This Row],[Comments]]),"")</f>
        <v/>
      </c>
      <c r="B1146" s="90" t="s">
        <v>2554</v>
      </c>
      <c r="C1146" s="72" t="s">
        <v>4</v>
      </c>
      <c r="D1146" s="73" t="s">
        <v>2555</v>
      </c>
      <c r="E1146" s="74">
        <v>40840.652592592596</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c r="R1146" s="155"/>
      <c r="S1146" s="72" t="s">
        <v>6</v>
      </c>
      <c r="T1146" s="80" t="s">
        <v>4</v>
      </c>
      <c r="U1146" s="72" t="s">
        <v>29</v>
      </c>
      <c r="V1146" s="72" t="s">
        <v>1932</v>
      </c>
      <c r="W1146" s="72" t="s">
        <v>4</v>
      </c>
      <c r="X1146" s="72" t="s">
        <v>949</v>
      </c>
      <c r="Y1146" s="72" t="s">
        <v>3079</v>
      </c>
      <c r="Z1146" s="72" t="s">
        <v>4</v>
      </c>
      <c r="AA1146" s="147" t="s">
        <v>949</v>
      </c>
    </row>
    <row r="1147" spans="1:27" ht="18.600000000000001" customHeight="1">
      <c r="A1147" s="140" t="str">
        <f>IF(priority(Main[[#This Row],[Comments]])&lt;&gt;0, priority(Main[[#This Row],[Comments]]),"")</f>
        <v/>
      </c>
      <c r="B1147" s="90" t="s">
        <v>2344</v>
      </c>
      <c r="C1147" s="72" t="s">
        <v>4</v>
      </c>
      <c r="D1147" s="73" t="s">
        <v>2345</v>
      </c>
      <c r="E1147" s="74">
        <v>40819.669872685183</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242</v>
      </c>
      <c r="J1147" s="72" t="s">
        <v>28</v>
      </c>
      <c r="K1147" s="72" t="s">
        <v>1941</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40847</v>
      </c>
      <c r="R1147" s="74"/>
      <c r="S1147" s="72" t="s">
        <v>6</v>
      </c>
      <c r="T1147" s="80" t="s">
        <v>4</v>
      </c>
      <c r="U1147" s="72" t="s">
        <v>29</v>
      </c>
      <c r="V1147" s="72" t="s">
        <v>1935</v>
      </c>
      <c r="W1147" s="72" t="s">
        <v>1936</v>
      </c>
      <c r="X1147" s="72" t="s">
        <v>30</v>
      </c>
      <c r="Y1147" s="72" t="s">
        <v>3035</v>
      </c>
      <c r="Z1147" s="72" t="s">
        <v>30</v>
      </c>
      <c r="AA1147" s="147" t="s">
        <v>30</v>
      </c>
    </row>
    <row r="1148" spans="1:27" ht="18.600000000000001" customHeight="1">
      <c r="A1148" s="140" t="str">
        <f>IF(priority(Main[[#This Row],[Comments]])&lt;&gt;0, priority(Main[[#This Row],[Comments]]),"")</f>
        <v/>
      </c>
      <c r="B1148" s="90" t="s">
        <v>2557</v>
      </c>
      <c r="C1148" s="72" t="s">
        <v>2548</v>
      </c>
      <c r="D1148" s="73" t="s">
        <v>2558</v>
      </c>
      <c r="E1148" s="74"/>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4</v>
      </c>
      <c r="J1148" s="72" t="s">
        <v>4</v>
      </c>
      <c r="K1148" s="81" t="s">
        <v>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c r="R1148" s="74"/>
      <c r="S1148" s="72" t="s">
        <v>11</v>
      </c>
      <c r="T1148" s="80" t="s">
        <v>4</v>
      </c>
      <c r="U1148" s="72" t="s">
        <v>14</v>
      </c>
      <c r="V1148" s="72" t="s">
        <v>1933</v>
      </c>
      <c r="W1148" s="72" t="s">
        <v>1940</v>
      </c>
      <c r="X1148" s="72" t="s">
        <v>310</v>
      </c>
      <c r="Y1148" s="72" t="s">
        <v>4</v>
      </c>
      <c r="Z1148" s="72" t="s">
        <v>4</v>
      </c>
      <c r="AA1148" s="147" t="s">
        <v>3701</v>
      </c>
    </row>
    <row r="1149" spans="1:27" ht="18.600000000000001" customHeight="1">
      <c r="A1149" s="140" t="str">
        <f>IF(priority(Main[[#This Row],[Comments]])&lt;&gt;0, priority(Main[[#This Row],[Comments]]),"")</f>
        <v/>
      </c>
      <c r="B1149" s="90" t="s">
        <v>2559</v>
      </c>
      <c r="C1149" s="72" t="s">
        <v>2356</v>
      </c>
      <c r="D1149" s="73" t="s">
        <v>2560</v>
      </c>
      <c r="E1149" s="74">
        <v>40843.623680555553</v>
      </c>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81"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c r="R1149" s="74"/>
      <c r="S1149" s="72" t="s">
        <v>6</v>
      </c>
      <c r="T1149" s="80" t="s">
        <v>4</v>
      </c>
      <c r="U1149" s="72" t="s">
        <v>7</v>
      </c>
      <c r="V1149" s="72" t="s">
        <v>1932</v>
      </c>
      <c r="W1149" s="72" t="s">
        <v>1936</v>
      </c>
      <c r="X1149" s="72" t="s">
        <v>2970</v>
      </c>
      <c r="Y1149" s="72" t="s">
        <v>3122</v>
      </c>
      <c r="Z1149" s="72" t="s">
        <v>4</v>
      </c>
      <c r="AA1149" s="147" t="s">
        <v>2970</v>
      </c>
    </row>
    <row r="1150" spans="1:27" ht="18.600000000000001" customHeight="1">
      <c r="A1150" s="140" t="str">
        <f>IF(priority(Main[[#This Row],[Comments]])&lt;&gt;0, priority(Main[[#This Row],[Comments]]),"")</f>
        <v/>
      </c>
      <c r="B1150" s="90" t="s">
        <v>3553</v>
      </c>
      <c r="C1150" s="72" t="s">
        <v>4</v>
      </c>
      <c r="D1150" s="73" t="s">
        <v>3554</v>
      </c>
      <c r="E1150" s="74">
        <v>40938.474212962959</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81"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c r="R1150" s="74"/>
      <c r="S1150" s="72" t="s">
        <v>6</v>
      </c>
      <c r="T1150" s="80" t="s">
        <v>4</v>
      </c>
      <c r="U1150" s="72" t="s">
        <v>7</v>
      </c>
      <c r="V1150" s="72" t="s">
        <v>1935</v>
      </c>
      <c r="W1150" s="72" t="s">
        <v>4</v>
      </c>
      <c r="X1150" s="72" t="s">
        <v>2932</v>
      </c>
      <c r="Y1150" s="72" t="s">
        <v>3066</v>
      </c>
      <c r="Z1150" s="72" t="s">
        <v>4</v>
      </c>
      <c r="AA1150" s="147" t="s">
        <v>2932</v>
      </c>
    </row>
    <row r="1151" spans="1:27" ht="18.600000000000001" customHeight="1">
      <c r="A1151" s="140" t="str">
        <f>IF(priority(Main[[#This Row],[Comments]])&lt;&gt;0, priority(Main[[#This Row],[Comments]]),"")</f>
        <v/>
      </c>
      <c r="B1151" s="90" t="s">
        <v>2828</v>
      </c>
      <c r="C1151" s="72" t="s">
        <v>4</v>
      </c>
      <c r="D1151" s="73" t="s">
        <v>2829</v>
      </c>
      <c r="E1151" s="74">
        <v>40907.447002314817</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72"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40921</v>
      </c>
      <c r="R1151" s="74"/>
      <c r="S1151" s="72" t="s">
        <v>6</v>
      </c>
      <c r="T1151" s="80" t="s">
        <v>4</v>
      </c>
      <c r="U1151" s="72" t="s">
        <v>7</v>
      </c>
      <c r="V1151" s="72" t="s">
        <v>1935</v>
      </c>
      <c r="W1151" s="72" t="s">
        <v>1940</v>
      </c>
      <c r="X1151" s="72" t="s">
        <v>2976</v>
      </c>
      <c r="Y1151" s="72" t="s">
        <v>3136</v>
      </c>
      <c r="Z1151" s="72" t="s">
        <v>4</v>
      </c>
      <c r="AA1151" s="147" t="s">
        <v>2976</v>
      </c>
    </row>
    <row r="1152" spans="1:27" ht="18.600000000000001" customHeight="1">
      <c r="A1152" s="140" t="str">
        <f>IF(priority(Main[[#This Row],[Comments]])&lt;&gt;0, priority(Main[[#This Row],[Comments]]),"")</f>
        <v/>
      </c>
      <c r="B1152" s="90" t="s">
        <v>2803</v>
      </c>
      <c r="C1152" s="72" t="s">
        <v>4</v>
      </c>
      <c r="D1152" s="73" t="s">
        <v>3365</v>
      </c>
      <c r="E1152" s="74"/>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2234</v>
      </c>
      <c r="J1152" s="72" t="s">
        <v>75</v>
      </c>
      <c r="K1152" s="72" t="s">
        <v>1941</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v>40935</v>
      </c>
      <c r="R1152" s="74"/>
      <c r="S1152" s="72" t="s">
        <v>6</v>
      </c>
      <c r="T1152" s="80" t="s">
        <v>4</v>
      </c>
      <c r="U1152" s="72" t="s">
        <v>14</v>
      </c>
      <c r="V1152" s="72" t="s">
        <v>1935</v>
      </c>
      <c r="W1152" s="72" t="s">
        <v>1936</v>
      </c>
      <c r="X1152" s="72" t="s">
        <v>2910</v>
      </c>
      <c r="Y1152" s="72" t="s">
        <v>3027</v>
      </c>
      <c r="Z1152" s="72" t="s">
        <v>30</v>
      </c>
      <c r="AA1152" s="147" t="s">
        <v>2910</v>
      </c>
    </row>
    <row r="1153" spans="1:27" ht="18.600000000000001" customHeight="1">
      <c r="A1153" s="140" t="str">
        <f>IF(priority(Main[[#This Row],[Comments]])&lt;&gt;0, priority(Main[[#This Row],[Comments]]),"")</f>
        <v/>
      </c>
      <c r="B1153" s="90" t="s">
        <v>3339</v>
      </c>
      <c r="C1153" s="72" t="s">
        <v>138</v>
      </c>
      <c r="D1153" s="73" t="s">
        <v>3340</v>
      </c>
      <c r="E1153" s="74">
        <v>40924.463275462964</v>
      </c>
      <c r="F1153" s="74">
        <v>41008</v>
      </c>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v>40945</v>
      </c>
      <c r="R1153" s="74"/>
      <c r="S1153" s="72" t="s">
        <v>49</v>
      </c>
      <c r="T1153" s="80" t="s">
        <v>3341</v>
      </c>
      <c r="U1153" s="72" t="s">
        <v>7</v>
      </c>
      <c r="V1153" s="72" t="s">
        <v>1942</v>
      </c>
      <c r="W1153" s="72" t="s">
        <v>1940</v>
      </c>
      <c r="X1153" s="72" t="s">
        <v>2997</v>
      </c>
      <c r="Y1153" s="72" t="s">
        <v>3191</v>
      </c>
      <c r="Z1153" s="72" t="s">
        <v>4</v>
      </c>
      <c r="AA1153" s="147" t="s">
        <v>2997</v>
      </c>
    </row>
    <row r="1154" spans="1:27" ht="18.600000000000001" customHeight="1">
      <c r="A1154" s="140" t="str">
        <f>IF(priority(Main[[#This Row],[Comments]])&lt;&gt;0, priority(Main[[#This Row],[Comments]]),"")</f>
        <v/>
      </c>
      <c r="B1154" s="90" t="s">
        <v>2823</v>
      </c>
      <c r="C1154" s="72" t="s">
        <v>4</v>
      </c>
      <c r="D1154" s="73" t="s">
        <v>2824</v>
      </c>
      <c r="E1154" s="74">
        <v>40911.432222222225</v>
      </c>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949</v>
      </c>
      <c r="J1154" s="72" t="s">
        <v>52</v>
      </c>
      <c r="K1154" s="72" t="s">
        <v>1941</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c r="R1154" s="74"/>
      <c r="S1154" s="72" t="s">
        <v>6</v>
      </c>
      <c r="T1154" s="80" t="s">
        <v>4</v>
      </c>
      <c r="U1154" s="72" t="s">
        <v>29</v>
      </c>
      <c r="V1154" s="72" t="s">
        <v>1932</v>
      </c>
      <c r="W1154" s="72" t="s">
        <v>1936</v>
      </c>
      <c r="X1154" s="72" t="s">
        <v>2234</v>
      </c>
      <c r="Y1154" s="72" t="s">
        <v>3224</v>
      </c>
      <c r="Z1154" s="72" t="s">
        <v>923</v>
      </c>
      <c r="AA1154" s="147" t="s">
        <v>2234</v>
      </c>
    </row>
    <row r="1155" spans="1:27" ht="18.600000000000001" customHeight="1">
      <c r="A1155" s="140" t="str">
        <f>IF(priority(Main[[#This Row],[Comments]])&lt;&gt;0, priority(Main[[#This Row],[Comments]]),"")</f>
        <v/>
      </c>
      <c r="B1155" s="90" t="s">
        <v>2718</v>
      </c>
      <c r="C1155" s="72" t="s">
        <v>4</v>
      </c>
      <c r="D1155" s="73" t="s">
        <v>2719</v>
      </c>
      <c r="E1155" s="74">
        <v>40879.618761574071</v>
      </c>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c r="R1155" s="74"/>
      <c r="S1155" s="72" t="s">
        <v>17</v>
      </c>
      <c r="T1155" s="80" t="s">
        <v>4</v>
      </c>
      <c r="U1155" s="72" t="s">
        <v>7</v>
      </c>
      <c r="V1155" s="72" t="s">
        <v>1935</v>
      </c>
      <c r="W1155" s="72" t="s">
        <v>1937</v>
      </c>
      <c r="X1155" s="72" t="s">
        <v>559</v>
      </c>
      <c r="Y1155" s="72" t="s">
        <v>3047</v>
      </c>
      <c r="Z1155" s="72" t="s">
        <v>4</v>
      </c>
      <c r="AA1155" s="147" t="s">
        <v>559</v>
      </c>
    </row>
    <row r="1156" spans="1:27" ht="18.600000000000001" customHeight="1">
      <c r="A1156" s="140" t="str">
        <f>IF(priority(Main[[#This Row],[Comments]])&lt;&gt;0, priority(Main[[#This Row],[Comments]]),"")</f>
        <v/>
      </c>
      <c r="B1156" s="90" t="s">
        <v>1893</v>
      </c>
      <c r="C1156" s="72" t="s">
        <v>99</v>
      </c>
      <c r="D1156" s="73" t="s">
        <v>939</v>
      </c>
      <c r="E1156" s="74"/>
      <c r="F1156" s="74">
        <v>40644</v>
      </c>
      <c r="G1156" s="75" t="str">
        <f>IF(stdProdLT(Main[[#This Row],[Comments]])=0.1,"N/A",IF(stdProdLT(Main[[#This Row],[Comments]])=0,"",stdProdLT(Main[[#This Row],[Comments]])))</f>
        <v/>
      </c>
      <c r="H1156" s="76">
        <f>IF(AND(Main[[#This Row],[In Stock Date]]&lt;&gt;"",Main[[#This Row],[Revised Due Date]]&lt;&gt;""),Main[[#This Row],[In Stock Date]]-Main[[#This Row],[Revised Due Date]],"")</f>
        <v>-19</v>
      </c>
      <c r="I1156" s="72" t="s">
        <v>4</v>
      </c>
      <c r="J1156" s="72" t="s">
        <v>21</v>
      </c>
      <c r="K1156" s="72" t="s">
        <v>1944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40663</v>
      </c>
      <c r="R1156" s="74">
        <v>40663</v>
      </c>
      <c r="S1156" s="72" t="s">
        <v>11</v>
      </c>
      <c r="T1156" s="80" t="s">
        <v>4</v>
      </c>
      <c r="U1156" s="72" t="s">
        <v>14</v>
      </c>
      <c r="V1156" s="72" t="s">
        <v>1932</v>
      </c>
      <c r="W1156" s="72" t="s">
        <v>1937</v>
      </c>
      <c r="X1156" s="72" t="s">
        <v>2928</v>
      </c>
      <c r="Y1156" s="72" t="s">
        <v>3061</v>
      </c>
      <c r="Z1156" s="72" t="s">
        <v>129</v>
      </c>
      <c r="AA1156" s="147" t="s">
        <v>2925</v>
      </c>
    </row>
    <row r="1157" spans="1:27" ht="18.600000000000001" customHeight="1">
      <c r="A1157" s="140" t="str">
        <f>IF(priority(Main[[#This Row],[Comments]])&lt;&gt;0, priority(Main[[#This Row],[Comments]]),"")</f>
        <v/>
      </c>
      <c r="B1157" s="90" t="s">
        <v>2561</v>
      </c>
      <c r="C1157" s="72" t="s">
        <v>4</v>
      </c>
      <c r="D1157" s="73" t="s">
        <v>2562</v>
      </c>
      <c r="E1157" s="74"/>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4</v>
      </c>
      <c r="K1157" s="81"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40858</v>
      </c>
      <c r="R1157" s="74"/>
      <c r="S1157" s="72" t="s">
        <v>6</v>
      </c>
      <c r="T1157" s="80" t="s">
        <v>4</v>
      </c>
      <c r="U1157" s="72" t="s">
        <v>14</v>
      </c>
      <c r="V1157" s="72" t="s">
        <v>1935</v>
      </c>
      <c r="W1157" s="72" t="s">
        <v>4</v>
      </c>
      <c r="X1157" s="72" t="s">
        <v>2910</v>
      </c>
      <c r="Y1157" s="72" t="s">
        <v>3027</v>
      </c>
      <c r="Z1157" s="72" t="s">
        <v>4</v>
      </c>
      <c r="AA1157" s="147" t="s">
        <v>2910</v>
      </c>
    </row>
    <row r="1158" spans="1:27" ht="18.600000000000001" customHeight="1">
      <c r="A1158" s="140" t="str">
        <f>IF(priority(Main[[#This Row],[Comments]])&lt;&gt;0, priority(Main[[#This Row],[Comments]]),"")</f>
        <v/>
      </c>
      <c r="B1158" s="90" t="s">
        <v>2565</v>
      </c>
      <c r="C1158" s="72" t="s">
        <v>4</v>
      </c>
      <c r="D1158" s="73" t="s">
        <v>2566</v>
      </c>
      <c r="E1158" s="74"/>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4</v>
      </c>
      <c r="J1158" s="72" t="s">
        <v>4</v>
      </c>
      <c r="K1158" s="72" t="s">
        <v>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c r="R1158" s="74"/>
      <c r="S1158" s="72" t="s">
        <v>11</v>
      </c>
      <c r="T1158" s="80" t="s">
        <v>4</v>
      </c>
      <c r="U1158" s="72" t="s">
        <v>14</v>
      </c>
      <c r="V1158" s="72" t="s">
        <v>1933</v>
      </c>
      <c r="W1158" s="72" t="s">
        <v>4</v>
      </c>
      <c r="X1158" s="72" t="s">
        <v>2278</v>
      </c>
      <c r="Y1158" s="72" t="s">
        <v>4</v>
      </c>
      <c r="Z1158" s="72" t="s">
        <v>4</v>
      </c>
      <c r="AA1158" s="147" t="s">
        <v>4</v>
      </c>
    </row>
    <row r="1159" spans="1:27" ht="18.600000000000001" customHeight="1">
      <c r="A1159" s="140" t="str">
        <f>IF(priority(Main[[#This Row],[Comments]])&lt;&gt;0, priority(Main[[#This Row],[Comments]]),"")</f>
        <v/>
      </c>
      <c r="B1159" s="90" t="s">
        <v>2399</v>
      </c>
      <c r="C1159" s="72" t="s">
        <v>4</v>
      </c>
      <c r="D1159" s="73" t="s">
        <v>3555</v>
      </c>
      <c r="E1159" s="74">
        <v>40842.639374999999</v>
      </c>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69</v>
      </c>
      <c r="J1159" s="72" t="s">
        <v>70</v>
      </c>
      <c r="K1159" s="81" t="s">
        <v>1941</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40872</v>
      </c>
      <c r="R1159" s="74"/>
      <c r="S1159" s="72" t="s">
        <v>6</v>
      </c>
      <c r="T1159" s="80" t="s">
        <v>4</v>
      </c>
      <c r="U1159" s="72" t="s">
        <v>29</v>
      </c>
      <c r="V1159" s="72" t="s">
        <v>1935</v>
      </c>
      <c r="W1159" s="72" t="s">
        <v>1936</v>
      </c>
      <c r="X1159" s="72" t="s">
        <v>2910</v>
      </c>
      <c r="Y1159" s="72" t="s">
        <v>3027</v>
      </c>
      <c r="Z1159" s="72" t="s">
        <v>30</v>
      </c>
      <c r="AA1159" s="147" t="s">
        <v>2910</v>
      </c>
    </row>
    <row r="1160" spans="1:27" ht="18.600000000000001" customHeight="1">
      <c r="A1160" s="140" t="str">
        <f>IF(priority(Main[[#This Row],[Comments]])&lt;&gt;0, priority(Main[[#This Row],[Comments]]),"")</f>
        <v/>
      </c>
      <c r="B1160" s="90" t="s">
        <v>3556</v>
      </c>
      <c r="C1160" s="72" t="s">
        <v>4</v>
      </c>
      <c r="D1160" s="73" t="s">
        <v>3557</v>
      </c>
      <c r="E1160" s="74">
        <v>40939.631828703707</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4</v>
      </c>
      <c r="J1160" s="72" t="s">
        <v>4</v>
      </c>
      <c r="K1160" s="81"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c r="R1160" s="74"/>
      <c r="S1160" s="72" t="s">
        <v>6</v>
      </c>
      <c r="T1160" s="80" t="s">
        <v>4</v>
      </c>
      <c r="U1160" s="72" t="s">
        <v>7</v>
      </c>
      <c r="V1160" s="72" t="s">
        <v>1932</v>
      </c>
      <c r="W1160" s="72" t="s">
        <v>1936</v>
      </c>
      <c r="X1160" s="72" t="s">
        <v>310</v>
      </c>
      <c r="Y1160" s="72" t="s">
        <v>4</v>
      </c>
      <c r="Z1160" s="72" t="s">
        <v>4</v>
      </c>
      <c r="AA1160" s="147" t="s">
        <v>4</v>
      </c>
    </row>
    <row r="1161" spans="1:27" ht="18.600000000000001" customHeight="1">
      <c r="A1161" s="140" t="str">
        <f>IF(priority(Main[[#This Row],[Comments]])&lt;&gt;0, priority(Main[[#This Row],[Comments]]),"")</f>
        <v/>
      </c>
      <c r="B1161" s="90" t="s">
        <v>3291</v>
      </c>
      <c r="C1161" s="72" t="s">
        <v>4</v>
      </c>
      <c r="D1161" s="73" t="s">
        <v>3292</v>
      </c>
      <c r="E1161" s="74">
        <v>40919.097627314812</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72"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c r="R1161" s="74"/>
      <c r="S1161" s="72" t="s">
        <v>11</v>
      </c>
      <c r="T1161" s="80" t="s">
        <v>4</v>
      </c>
      <c r="U1161" s="72" t="s">
        <v>7</v>
      </c>
      <c r="V1161" s="72" t="s">
        <v>1942</v>
      </c>
      <c r="W1161" s="72" t="s">
        <v>4</v>
      </c>
      <c r="X1161" s="72" t="s">
        <v>3003</v>
      </c>
      <c r="Y1161" s="72" t="s">
        <v>3293</v>
      </c>
      <c r="Z1161" s="72" t="s">
        <v>4</v>
      </c>
      <c r="AA1161" s="147" t="s">
        <v>3003</v>
      </c>
    </row>
    <row r="1162" spans="1:27" ht="18.600000000000001" customHeight="1">
      <c r="A1162" s="140" t="str">
        <f>IF(priority(Main[[#This Row],[Comments]])&lt;&gt;0, priority(Main[[#This Row],[Comments]]),"")</f>
        <v/>
      </c>
      <c r="B1162" s="90" t="s">
        <v>2541</v>
      </c>
      <c r="C1162" s="72" t="s">
        <v>2542</v>
      </c>
      <c r="D1162" s="73" t="s">
        <v>2712</v>
      </c>
      <c r="E1162" s="74">
        <v>40871.220509259256</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v>40875</v>
      </c>
      <c r="R1162" s="74"/>
      <c r="S1162" s="72" t="s">
        <v>11</v>
      </c>
      <c r="T1162" s="80" t="s">
        <v>2713</v>
      </c>
      <c r="U1162" s="72" t="s">
        <v>703</v>
      </c>
      <c r="V1162" s="72" t="s">
        <v>1935</v>
      </c>
      <c r="W1162" s="72" t="s">
        <v>1940</v>
      </c>
      <c r="X1162" s="72" t="s">
        <v>3002</v>
      </c>
      <c r="Y1162" s="72" t="s">
        <v>3225</v>
      </c>
      <c r="Z1162" s="72" t="s">
        <v>4</v>
      </c>
      <c r="AA1162" s="147" t="s">
        <v>3703</v>
      </c>
    </row>
    <row r="1163" spans="1:27" ht="18.600000000000001" customHeight="1">
      <c r="A1163" s="140" t="str">
        <f>IF(priority(Main[[#This Row],[Comments]])&lt;&gt;0, priority(Main[[#This Row],[Comments]]),"")</f>
        <v/>
      </c>
      <c r="B1163" s="90" t="s">
        <v>1414</v>
      </c>
      <c r="C1163" s="72" t="s">
        <v>488</v>
      </c>
      <c r="D1163" s="73" t="s">
        <v>2570</v>
      </c>
      <c r="E1163" s="74"/>
      <c r="F1163" s="74">
        <v>40452</v>
      </c>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81"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v>40391</v>
      </c>
      <c r="R1163" s="74"/>
      <c r="S1163" s="72" t="s">
        <v>6</v>
      </c>
      <c r="T1163" s="80" t="s">
        <v>4</v>
      </c>
      <c r="U1163" s="72" t="s">
        <v>14</v>
      </c>
      <c r="V1163" s="72" t="s">
        <v>1932</v>
      </c>
      <c r="W1163" s="72" t="s">
        <v>1937</v>
      </c>
      <c r="X1163" s="72" t="s">
        <v>2915</v>
      </c>
      <c r="Y1163" s="72" t="s">
        <v>3038</v>
      </c>
      <c r="Z1163" s="72" t="s">
        <v>4</v>
      </c>
      <c r="AA1163" s="147" t="s">
        <v>2915</v>
      </c>
    </row>
    <row r="1164" spans="1:27" ht="18.600000000000001" customHeight="1">
      <c r="A1164" s="140" t="str">
        <f>IF(priority(Main[[#This Row],[Comments]])&lt;&gt;0, priority(Main[[#This Row],[Comments]]),"")</f>
        <v/>
      </c>
      <c r="B1164" s="90" t="s">
        <v>2563</v>
      </c>
      <c r="C1164" s="72" t="s">
        <v>4</v>
      </c>
      <c r="D1164" s="73" t="s">
        <v>2564</v>
      </c>
      <c r="E1164" s="74"/>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4</v>
      </c>
      <c r="J1164" s="72" t="s">
        <v>4</v>
      </c>
      <c r="K1164" s="72" t="s">
        <v>4</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c r="R1164" s="74"/>
      <c r="S1164" s="72" t="s">
        <v>23</v>
      </c>
      <c r="T1164" s="80" t="s">
        <v>4</v>
      </c>
      <c r="U1164" s="72" t="s">
        <v>14</v>
      </c>
      <c r="V1164" s="72" t="s">
        <v>1932</v>
      </c>
      <c r="W1164" s="72" t="s">
        <v>1938</v>
      </c>
      <c r="X1164" s="72" t="s">
        <v>403</v>
      </c>
      <c r="Y1164" s="72" t="s">
        <v>4</v>
      </c>
      <c r="Z1164" s="72" t="s">
        <v>4</v>
      </c>
      <c r="AA1164" s="147" t="s">
        <v>3665</v>
      </c>
    </row>
    <row r="1165" spans="1:27" ht="18.600000000000001" customHeight="1">
      <c r="A1165" s="140" t="str">
        <f>IF(priority(Main[[#This Row],[Comments]])&lt;&gt;0, priority(Main[[#This Row],[Comments]]),"")</f>
        <v/>
      </c>
      <c r="B1165" s="90" t="s">
        <v>3784</v>
      </c>
      <c r="C1165" s="72" t="s">
        <v>4</v>
      </c>
      <c r="D1165" s="73" t="s">
        <v>3785</v>
      </c>
      <c r="E1165" s="74">
        <v>40942.690023148149</v>
      </c>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40970</v>
      </c>
      <c r="R1165" s="74"/>
      <c r="S1165" s="72" t="s">
        <v>6</v>
      </c>
      <c r="T1165" s="80" t="s">
        <v>4</v>
      </c>
      <c r="U1165" s="72" t="s">
        <v>7</v>
      </c>
      <c r="V1165" s="72" t="s">
        <v>1935</v>
      </c>
      <c r="W1165" s="72" t="s">
        <v>4</v>
      </c>
      <c r="X1165" s="72" t="s">
        <v>2910</v>
      </c>
      <c r="Y1165" s="72" t="s">
        <v>3027</v>
      </c>
      <c r="Z1165" s="72" t="s">
        <v>4</v>
      </c>
      <c r="AA1165" s="147" t="s">
        <v>2910</v>
      </c>
    </row>
    <row r="1166" spans="1:27" ht="18.600000000000001" customHeight="1">
      <c r="A1166" s="140" t="str">
        <f>IF(priority(Main[[#This Row],[Comments]])&lt;&gt;0, priority(Main[[#This Row],[Comments]]),"")</f>
        <v/>
      </c>
      <c r="B1166" s="90" t="s">
        <v>2077</v>
      </c>
      <c r="C1166" s="72" t="s">
        <v>4</v>
      </c>
      <c r="D1166" s="73" t="s">
        <v>2078</v>
      </c>
      <c r="E1166" s="74">
        <v>40757.464699074073</v>
      </c>
      <c r="F1166" s="74"/>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72"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c r="R1166" s="74"/>
      <c r="S1166" s="72" t="s">
        <v>17</v>
      </c>
      <c r="T1166" s="80" t="s">
        <v>4</v>
      </c>
      <c r="U1166" s="72" t="s">
        <v>29</v>
      </c>
      <c r="V1166" s="72" t="s">
        <v>1935</v>
      </c>
      <c r="W1166" s="72" t="s">
        <v>4</v>
      </c>
      <c r="X1166" s="72" t="s">
        <v>659</v>
      </c>
      <c r="Y1166" s="72" t="s">
        <v>3223</v>
      </c>
      <c r="Z1166" s="72" t="s">
        <v>4</v>
      </c>
      <c r="AA1166" s="147" t="s">
        <v>659</v>
      </c>
    </row>
    <row r="1167" spans="1:27" ht="18.600000000000001" customHeight="1">
      <c r="A1167" s="140" t="str">
        <f>IF(priority(Main[[#This Row],[Comments]])&lt;&gt;0, priority(Main[[#This Row],[Comments]]),"")</f>
        <v/>
      </c>
      <c r="B1167" s="90" t="s">
        <v>2578</v>
      </c>
      <c r="C1167" s="72" t="s">
        <v>4</v>
      </c>
      <c r="D1167" s="73" t="s">
        <v>2579</v>
      </c>
      <c r="E1167" s="74"/>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c r="R1167" s="74"/>
      <c r="S1167" s="72" t="s">
        <v>6</v>
      </c>
      <c r="T1167" s="80" t="s">
        <v>4</v>
      </c>
      <c r="U1167" s="72" t="s">
        <v>14</v>
      </c>
      <c r="V1167" s="72" t="s">
        <v>1942</v>
      </c>
      <c r="W1167" s="72" t="s">
        <v>1936</v>
      </c>
      <c r="X1167" s="72" t="s">
        <v>102</v>
      </c>
      <c r="Y1167" s="72" t="s">
        <v>3226</v>
      </c>
      <c r="Z1167" s="72" t="s">
        <v>4</v>
      </c>
      <c r="AA1167" s="147" t="s">
        <v>3665</v>
      </c>
    </row>
    <row r="1168" spans="1:27" ht="18.600000000000001" customHeight="1">
      <c r="A1168" s="140" t="str">
        <f>IF(priority(Main[[#This Row],[Comments]])&lt;&gt;0, priority(Main[[#This Row],[Comments]]),"")</f>
        <v/>
      </c>
      <c r="B1168" s="90" t="s">
        <v>1752</v>
      </c>
      <c r="C1168" s="72" t="s">
        <v>4</v>
      </c>
      <c r="D1168" s="73" t="s">
        <v>3424</v>
      </c>
      <c r="E1168" s="74">
        <v>40540.606365740743</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1996</v>
      </c>
      <c r="J1168" s="72" t="s">
        <v>28</v>
      </c>
      <c r="K1168" s="72" t="s">
        <v>1944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c r="R1168" s="74">
        <v>40875</v>
      </c>
      <c r="S1168" s="72" t="s">
        <v>17</v>
      </c>
      <c r="T1168" s="80" t="s">
        <v>4</v>
      </c>
      <c r="U1168" s="72" t="s">
        <v>29</v>
      </c>
      <c r="V1168" s="72" t="s">
        <v>1935</v>
      </c>
      <c r="W1168" s="72" t="s">
        <v>1937</v>
      </c>
      <c r="X1168" s="72" t="s">
        <v>559</v>
      </c>
      <c r="Y1168" s="72" t="s">
        <v>3047</v>
      </c>
      <c r="Z1168" s="72" t="s">
        <v>659</v>
      </c>
      <c r="AA1168" s="147" t="s">
        <v>559</v>
      </c>
    </row>
    <row r="1169" spans="1:27" ht="18.600000000000001" customHeight="1">
      <c r="A1169" s="140" t="str">
        <f>IF(priority(Main[[#This Row],[Comments]])&lt;&gt;0, priority(Main[[#This Row],[Comments]]),"")</f>
        <v/>
      </c>
      <c r="B1169" s="90" t="s">
        <v>2583</v>
      </c>
      <c r="C1169" s="72" t="s">
        <v>4</v>
      </c>
      <c r="D1169" s="73" t="s">
        <v>2584</v>
      </c>
      <c r="E1169" s="74">
        <v>40834.332835648151</v>
      </c>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c r="R1169" s="74"/>
      <c r="S1169" s="72" t="s">
        <v>6</v>
      </c>
      <c r="T1169" s="80" t="s">
        <v>4</v>
      </c>
      <c r="U1169" s="72" t="s">
        <v>29</v>
      </c>
      <c r="V1169" s="72" t="s">
        <v>1935</v>
      </c>
      <c r="W1169" s="72" t="s">
        <v>1936</v>
      </c>
      <c r="X1169" s="72" t="s">
        <v>403</v>
      </c>
      <c r="Y1169" s="72" t="s">
        <v>4</v>
      </c>
      <c r="Z1169" s="72" t="s">
        <v>4</v>
      </c>
      <c r="AA1169" s="147" t="s">
        <v>310</v>
      </c>
    </row>
    <row r="1170" spans="1:27" ht="18.600000000000001" customHeight="1">
      <c r="A1170" s="140" t="str">
        <f>IF(priority(Main[[#This Row],[Comments]])&lt;&gt;0, priority(Main[[#This Row],[Comments]]),"")</f>
        <v/>
      </c>
      <c r="B1170" s="90" t="s">
        <v>1310</v>
      </c>
      <c r="C1170" s="72" t="s">
        <v>4</v>
      </c>
      <c r="D1170" s="73" t="s">
        <v>373</v>
      </c>
      <c r="E1170" s="74">
        <v>40610.689421296294</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242</v>
      </c>
      <c r="J1170" s="72" t="s">
        <v>28</v>
      </c>
      <c r="K1170" s="72" t="s">
        <v>1941</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v>40695</v>
      </c>
      <c r="R1170" s="74"/>
      <c r="S1170" s="72" t="s">
        <v>6</v>
      </c>
      <c r="T1170" s="80" t="s">
        <v>4</v>
      </c>
      <c r="U1170" s="72" t="s">
        <v>29</v>
      </c>
      <c r="V1170" s="72" t="s">
        <v>1935</v>
      </c>
      <c r="W1170" s="72" t="s">
        <v>1934</v>
      </c>
      <c r="X1170" s="72" t="s">
        <v>559</v>
      </c>
      <c r="Y1170" s="72" t="s">
        <v>3047</v>
      </c>
      <c r="Z1170" s="72" t="s">
        <v>310</v>
      </c>
      <c r="AA1170" s="147" t="s">
        <v>559</v>
      </c>
    </row>
    <row r="1171" spans="1:27" ht="18.600000000000001" customHeight="1">
      <c r="A1171" s="140" t="str">
        <f>IF(priority(Main[[#This Row],[Comments]])&lt;&gt;0, priority(Main[[#This Row],[Comments]]),"")</f>
        <v/>
      </c>
      <c r="B1171" s="90" t="s">
        <v>2585</v>
      </c>
      <c r="C1171" s="72" t="s">
        <v>2586</v>
      </c>
      <c r="D1171" s="73" t="s">
        <v>2587</v>
      </c>
      <c r="E1171" s="74"/>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72"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c r="R1171" s="74"/>
      <c r="S1171" s="72" t="s">
        <v>11</v>
      </c>
      <c r="T1171" s="80" t="s">
        <v>4</v>
      </c>
      <c r="U1171" s="72" t="s">
        <v>14</v>
      </c>
      <c r="V1171" s="72" t="s">
        <v>1933</v>
      </c>
      <c r="W1171" s="72" t="s">
        <v>1934</v>
      </c>
      <c r="X1171" s="72" t="s">
        <v>2906</v>
      </c>
      <c r="Y1171" s="72" t="s">
        <v>3088</v>
      </c>
      <c r="Z1171" s="72" t="s">
        <v>4</v>
      </c>
      <c r="AA1171" s="147" t="s">
        <v>3704</v>
      </c>
    </row>
    <row r="1172" spans="1:27" ht="18.600000000000001" customHeight="1">
      <c r="A1172" s="140" t="str">
        <f>IF(priority(Main[[#This Row],[Comments]])&lt;&gt;0, priority(Main[[#This Row],[Comments]]),"")</f>
        <v/>
      </c>
      <c r="B1172" s="90" t="s">
        <v>2800</v>
      </c>
      <c r="C1172" s="72" t="s">
        <v>4</v>
      </c>
      <c r="D1172" s="73" t="s">
        <v>3304</v>
      </c>
      <c r="E1172" s="74">
        <v>40890.414641203701</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30</v>
      </c>
      <c r="J1172" s="72" t="s">
        <v>28</v>
      </c>
      <c r="K1172" s="72" t="s">
        <v>1941</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v>40909</v>
      </c>
      <c r="R1172" s="74"/>
      <c r="S1172" s="72" t="s">
        <v>322</v>
      </c>
      <c r="T1172" s="80" t="s">
        <v>4</v>
      </c>
      <c r="U1172" s="72" t="s">
        <v>29</v>
      </c>
      <c r="V1172" s="72" t="s">
        <v>1935</v>
      </c>
      <c r="W1172" s="72" t="s">
        <v>1936</v>
      </c>
      <c r="X1172" s="72" t="s">
        <v>2907</v>
      </c>
      <c r="Y1172" s="72" t="s">
        <v>3023</v>
      </c>
      <c r="Z1172" s="72" t="s">
        <v>30</v>
      </c>
      <c r="AA1172" s="147" t="s">
        <v>2907</v>
      </c>
    </row>
    <row r="1173" spans="1:27" ht="18.600000000000001" customHeight="1">
      <c r="A1173" s="140" t="str">
        <f>IF(priority(Main[[#This Row],[Comments]])&lt;&gt;0, priority(Main[[#This Row],[Comments]]),"")</f>
        <v/>
      </c>
      <c r="B1173" s="90" t="s">
        <v>2363</v>
      </c>
      <c r="C1173" s="72" t="s">
        <v>4</v>
      </c>
      <c r="D1173" s="73" t="s">
        <v>2364</v>
      </c>
      <c r="E1173" s="74"/>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11</v>
      </c>
      <c r="T1173" s="80" t="s">
        <v>4</v>
      </c>
      <c r="U1173" s="72" t="s">
        <v>14</v>
      </c>
      <c r="V1173" s="72" t="s">
        <v>1932</v>
      </c>
      <c r="W1173" s="72" t="s">
        <v>1940</v>
      </c>
      <c r="X1173" s="72" t="s">
        <v>310</v>
      </c>
      <c r="Y1173" s="72" t="s">
        <v>3036</v>
      </c>
      <c r="Z1173" s="72" t="s">
        <v>4</v>
      </c>
      <c r="AA1173" s="147" t="s">
        <v>310</v>
      </c>
    </row>
    <row r="1174" spans="1:27" ht="18.600000000000001" customHeight="1">
      <c r="A1174" s="140" t="str">
        <f>IF(priority(Main[[#This Row],[Comments]])&lt;&gt;0, priority(Main[[#This Row],[Comments]]),"")</f>
        <v/>
      </c>
      <c r="B1174" s="90" t="s">
        <v>2588</v>
      </c>
      <c r="C1174" s="72" t="s">
        <v>4</v>
      </c>
      <c r="D1174" s="73" t="s">
        <v>2846</v>
      </c>
      <c r="E1174" s="74">
        <v>40870.465879629628</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434</v>
      </c>
      <c r="J1174" s="72" t="s">
        <v>28</v>
      </c>
      <c r="K1174" s="72" t="s">
        <v>1941</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40905</v>
      </c>
      <c r="R1174" s="74"/>
      <c r="S1174" s="72" t="s">
        <v>6</v>
      </c>
      <c r="T1174" s="80" t="s">
        <v>4</v>
      </c>
      <c r="U1174" s="72" t="s">
        <v>29</v>
      </c>
      <c r="V1174" s="72" t="s">
        <v>1935</v>
      </c>
      <c r="W1174" s="72" t="s">
        <v>1936</v>
      </c>
      <c r="X1174" s="72" t="s">
        <v>2073</v>
      </c>
      <c r="Y1174" s="72" t="s">
        <v>3155</v>
      </c>
      <c r="Z1174" s="72" t="s">
        <v>30</v>
      </c>
      <c r="AA1174" s="147" t="s">
        <v>2986</v>
      </c>
    </row>
    <row r="1175" spans="1:27" ht="18.600000000000001" customHeight="1">
      <c r="A1175" s="140" t="str">
        <f>IF(priority(Main[[#This Row],[Comments]])&lt;&gt;0, priority(Main[[#This Row],[Comments]]),"")</f>
        <v/>
      </c>
      <c r="B1175" s="90" t="s">
        <v>2553</v>
      </c>
      <c r="C1175" s="72" t="s">
        <v>4</v>
      </c>
      <c r="D1175" s="73" t="s">
        <v>2847</v>
      </c>
      <c r="E1175" s="74">
        <v>40870.466527777775</v>
      </c>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434</v>
      </c>
      <c r="J1175" s="72" t="s">
        <v>28</v>
      </c>
      <c r="K1175" s="72" t="s">
        <v>1941</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v>40905</v>
      </c>
      <c r="R1175" s="74"/>
      <c r="S1175" s="72" t="s">
        <v>6</v>
      </c>
      <c r="T1175" s="80" t="s">
        <v>4</v>
      </c>
      <c r="U1175" s="72" t="s">
        <v>29</v>
      </c>
      <c r="V1175" s="72" t="s">
        <v>1935</v>
      </c>
      <c r="W1175" s="72" t="s">
        <v>1936</v>
      </c>
      <c r="X1175" s="72" t="s">
        <v>2073</v>
      </c>
      <c r="Y1175" s="72" t="s">
        <v>3155</v>
      </c>
      <c r="Z1175" s="72" t="s">
        <v>30</v>
      </c>
      <c r="AA1175" s="147" t="s">
        <v>2986</v>
      </c>
    </row>
    <row r="1176" spans="1:27" ht="18.600000000000001" customHeight="1">
      <c r="A1176" s="140" t="str">
        <f>IF(priority(Main[[#This Row],[Comments]])&lt;&gt;0, priority(Main[[#This Row],[Comments]]),"")</f>
        <v/>
      </c>
      <c r="B1176" s="90" t="s">
        <v>3558</v>
      </c>
      <c r="C1176" s="72" t="s">
        <v>149</v>
      </c>
      <c r="D1176" s="73" t="s">
        <v>3559</v>
      </c>
      <c r="E1176" s="74">
        <v>40939.433923611112</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4</v>
      </c>
      <c r="J1176" s="72" t="s">
        <v>4</v>
      </c>
      <c r="K1176" s="72" t="s">
        <v>4</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c r="R1176" s="74"/>
      <c r="S1176" s="72" t="s">
        <v>11</v>
      </c>
      <c r="T1176" s="80" t="s">
        <v>4</v>
      </c>
      <c r="U1176" s="72" t="s">
        <v>7</v>
      </c>
      <c r="V1176" s="72" t="s">
        <v>1935</v>
      </c>
      <c r="W1176" s="72" t="s">
        <v>1940</v>
      </c>
      <c r="X1176" s="72" t="s">
        <v>2984</v>
      </c>
      <c r="Y1176" s="72" t="s">
        <v>3150</v>
      </c>
      <c r="Z1176" s="72" t="s">
        <v>4</v>
      </c>
      <c r="AA1176" s="147" t="s">
        <v>2984</v>
      </c>
    </row>
    <row r="1177" spans="1:27" ht="18.600000000000001" customHeight="1">
      <c r="A1177" s="140" t="str">
        <f>IF(priority(Main[[#This Row],[Comments]])&lt;&gt;0, priority(Main[[#This Row],[Comments]]),"")</f>
        <v/>
      </c>
      <c r="B1177" s="90" t="s">
        <v>3786</v>
      </c>
      <c r="C1177" s="72" t="s">
        <v>4</v>
      </c>
      <c r="D1177" s="73" t="s">
        <v>3787</v>
      </c>
      <c r="E1177" s="74">
        <v>40942.368715277778</v>
      </c>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v>40977</v>
      </c>
      <c r="R1177" s="74"/>
      <c r="S1177" s="72" t="s">
        <v>6</v>
      </c>
      <c r="T1177" s="80" t="s">
        <v>4</v>
      </c>
      <c r="U1177" s="72" t="s">
        <v>7</v>
      </c>
      <c r="V1177" s="72" t="s">
        <v>1935</v>
      </c>
      <c r="W1177" s="72" t="s">
        <v>4</v>
      </c>
      <c r="X1177" s="72" t="s">
        <v>2909</v>
      </c>
      <c r="Y1177" s="72" t="s">
        <v>3024</v>
      </c>
      <c r="Z1177" s="72" t="s">
        <v>4</v>
      </c>
      <c r="AA1177" s="147" t="s">
        <v>2909</v>
      </c>
    </row>
    <row r="1178" spans="1:27" ht="18.600000000000001" customHeight="1">
      <c r="A1178" s="140" t="str">
        <f>IF(priority(Main[[#This Row],[Comments]])&lt;&gt;0, priority(Main[[#This Row],[Comments]]),"")</f>
        <v/>
      </c>
      <c r="B1178" s="90" t="s">
        <v>2596</v>
      </c>
      <c r="C1178" s="72" t="s">
        <v>4</v>
      </c>
      <c r="D1178" s="73" t="s">
        <v>2595</v>
      </c>
      <c r="E1178" s="74"/>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v>
      </c>
      <c r="J1178" s="72" t="s">
        <v>4</v>
      </c>
      <c r="K1178" s="72" t="s">
        <v>4</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40891</v>
      </c>
      <c r="R1178" s="74"/>
      <c r="S1178" s="72" t="s">
        <v>6</v>
      </c>
      <c r="T1178" s="80" t="s">
        <v>4</v>
      </c>
      <c r="U1178" s="72" t="s">
        <v>12</v>
      </c>
      <c r="V1178" s="72" t="s">
        <v>1935</v>
      </c>
      <c r="W1178" s="72" t="s">
        <v>4</v>
      </c>
      <c r="X1178" s="72" t="s">
        <v>2913</v>
      </c>
      <c r="Y1178" s="72" t="s">
        <v>3033</v>
      </c>
      <c r="Z1178" s="72" t="s">
        <v>4</v>
      </c>
      <c r="AA1178" s="147" t="s">
        <v>2913</v>
      </c>
    </row>
    <row r="1179" spans="1:27" ht="18.600000000000001" customHeight="1">
      <c r="A1179" s="140" t="str">
        <f>IF(priority(Main[[#This Row],[Comments]])&lt;&gt;0, priority(Main[[#This Row],[Comments]]),"")</f>
        <v/>
      </c>
      <c r="B1179" s="90" t="s">
        <v>2212</v>
      </c>
      <c r="C1179" s="72" t="s">
        <v>4</v>
      </c>
      <c r="D1179" s="73" t="s">
        <v>2213</v>
      </c>
      <c r="E1179" s="74">
        <v>40792.385717592595</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81</v>
      </c>
      <c r="J1179" s="72" t="s">
        <v>70</v>
      </c>
      <c r="K1179" s="72" t="s">
        <v>1941</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40823</v>
      </c>
      <c r="R1179" s="74"/>
      <c r="S1179" s="72" t="s">
        <v>6</v>
      </c>
      <c r="T1179" s="80" t="s">
        <v>4</v>
      </c>
      <c r="U1179" s="72" t="s">
        <v>29</v>
      </c>
      <c r="V1179" s="72" t="s">
        <v>1935</v>
      </c>
      <c r="W1179" s="72" t="s">
        <v>1936</v>
      </c>
      <c r="X1179" s="72" t="s">
        <v>2909</v>
      </c>
      <c r="Y1179" s="72" t="s">
        <v>3024</v>
      </c>
      <c r="Z1179" s="72" t="s">
        <v>30</v>
      </c>
      <c r="AA1179" s="147" t="s">
        <v>2909</v>
      </c>
    </row>
    <row r="1180" spans="1:27" ht="18.600000000000001" customHeight="1">
      <c r="A1180" s="140" t="str">
        <f>IF(priority(Main[[#This Row],[Comments]])&lt;&gt;0, priority(Main[[#This Row],[Comments]]),"")</f>
        <v/>
      </c>
      <c r="B1180" s="90" t="s">
        <v>3560</v>
      </c>
      <c r="C1180" s="72" t="s">
        <v>4</v>
      </c>
      <c r="D1180" s="73" t="s">
        <v>3561</v>
      </c>
      <c r="E1180" s="74">
        <v>40939.297210648147</v>
      </c>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72"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v>40968</v>
      </c>
      <c r="R1180" s="74"/>
      <c r="S1180" s="72" t="s">
        <v>6</v>
      </c>
      <c r="T1180" s="80" t="s">
        <v>4</v>
      </c>
      <c r="U1180" s="72" t="s">
        <v>7</v>
      </c>
      <c r="V1180" s="72" t="s">
        <v>1935</v>
      </c>
      <c r="W1180" s="72" t="s">
        <v>4</v>
      </c>
      <c r="X1180" s="72" t="s">
        <v>2913</v>
      </c>
      <c r="Y1180" s="72" t="s">
        <v>3033</v>
      </c>
      <c r="Z1180" s="72" t="s">
        <v>4</v>
      </c>
      <c r="AA1180" s="147" t="s">
        <v>2913</v>
      </c>
    </row>
    <row r="1181" spans="1:27" ht="18.600000000000001" customHeight="1">
      <c r="A1181" s="140" t="str">
        <f>IF(priority(Main[[#This Row],[Comments]])&lt;&gt;0, priority(Main[[#This Row],[Comments]]),"")</f>
        <v/>
      </c>
      <c r="B1181" s="90" t="s">
        <v>2873</v>
      </c>
      <c r="C1181" s="72" t="s">
        <v>4</v>
      </c>
      <c r="D1181" s="73" t="s">
        <v>2874</v>
      </c>
      <c r="E1181" s="74">
        <v>40913.314733796295</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69</v>
      </c>
      <c r="J1181" s="72" t="s">
        <v>70</v>
      </c>
      <c r="K1181" s="72" t="s">
        <v>1941</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v>40945</v>
      </c>
      <c r="R1181" s="74"/>
      <c r="S1181" s="72" t="s">
        <v>6</v>
      </c>
      <c r="T1181" s="80" t="s">
        <v>4</v>
      </c>
      <c r="U1181" s="72" t="s">
        <v>29</v>
      </c>
      <c r="V1181" s="72" t="s">
        <v>1935</v>
      </c>
      <c r="W1181" s="72" t="s">
        <v>1936</v>
      </c>
      <c r="X1181" s="72" t="s">
        <v>2913</v>
      </c>
      <c r="Y1181" s="72" t="s">
        <v>3033</v>
      </c>
      <c r="Z1181" s="72" t="s">
        <v>30</v>
      </c>
      <c r="AA1181" s="147" t="s">
        <v>2913</v>
      </c>
    </row>
    <row r="1182" spans="1:27" ht="18.600000000000001" customHeight="1">
      <c r="A1182" s="140" t="str">
        <f>IF(priority(Main[[#This Row],[Comments]])&lt;&gt;0, priority(Main[[#This Row],[Comments]]),"")</f>
        <v/>
      </c>
      <c r="B1182" s="90" t="s">
        <v>1888</v>
      </c>
      <c r="C1182" s="72" t="s">
        <v>4</v>
      </c>
      <c r="D1182" s="73" t="s">
        <v>3427</v>
      </c>
      <c r="E1182" s="74">
        <v>40352.443437499998</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718</v>
      </c>
      <c r="J1182" s="72" t="s">
        <v>28</v>
      </c>
      <c r="K1182" s="72" t="s">
        <v>1944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v>40633</v>
      </c>
      <c r="R1182" s="74">
        <v>41060</v>
      </c>
      <c r="S1182" s="72" t="s">
        <v>17</v>
      </c>
      <c r="T1182" s="80" t="s">
        <v>2504</v>
      </c>
      <c r="U1182" s="72" t="s">
        <v>29</v>
      </c>
      <c r="V1182" s="72" t="s">
        <v>1932</v>
      </c>
      <c r="W1182" s="72" t="s">
        <v>1937</v>
      </c>
      <c r="X1182" s="72" t="s">
        <v>129</v>
      </c>
      <c r="Y1182" s="72" t="s">
        <v>3028</v>
      </c>
      <c r="Z1182" s="72" t="s">
        <v>129</v>
      </c>
      <c r="AA1182" s="147" t="s">
        <v>129</v>
      </c>
    </row>
    <row r="1183" spans="1:27" ht="18.600000000000001" customHeight="1">
      <c r="A1183" s="140" t="str">
        <f>IF(priority(Main[[#This Row],[Comments]])&lt;&gt;0, priority(Main[[#This Row],[Comments]]),"")</f>
        <v/>
      </c>
      <c r="B1183" s="90" t="s">
        <v>2848</v>
      </c>
      <c r="C1183" s="72" t="s">
        <v>4</v>
      </c>
      <c r="D1183" s="73" t="s">
        <v>2849</v>
      </c>
      <c r="E1183" s="74">
        <v>40914.408773148149</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4</v>
      </c>
      <c r="J1183" s="72" t="s">
        <v>4</v>
      </c>
      <c r="K1183" s="72" t="s">
        <v>4</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c r="R1183" s="74"/>
      <c r="S1183" s="72" t="s">
        <v>6</v>
      </c>
      <c r="T1183" s="80" t="s">
        <v>4</v>
      </c>
      <c r="U1183" s="72" t="s">
        <v>29</v>
      </c>
      <c r="V1183" s="72" t="s">
        <v>1932</v>
      </c>
      <c r="W1183" s="72" t="s">
        <v>1936</v>
      </c>
      <c r="X1183" s="72" t="s">
        <v>949</v>
      </c>
      <c r="Y1183" s="72" t="s">
        <v>3079</v>
      </c>
      <c r="Z1183" s="72" t="s">
        <v>4</v>
      </c>
      <c r="AA1183" s="147" t="s">
        <v>949</v>
      </c>
    </row>
    <row r="1184" spans="1:27" ht="18.600000000000001" customHeight="1">
      <c r="A1184" s="140" t="str">
        <f>IF(priority(Main[[#This Row],[Comments]])&lt;&gt;0, priority(Main[[#This Row],[Comments]]),"")</f>
        <v/>
      </c>
      <c r="B1184" s="90" t="s">
        <v>3570</v>
      </c>
      <c r="C1184" s="72" t="s">
        <v>4</v>
      </c>
      <c r="D1184" s="73" t="s">
        <v>3571</v>
      </c>
      <c r="E1184" s="74"/>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4</v>
      </c>
      <c r="J1184" s="72" t="s">
        <v>4</v>
      </c>
      <c r="K1184" s="72" t="s">
        <v>4</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c r="R1184" s="74"/>
      <c r="S1184" s="72" t="s">
        <v>11</v>
      </c>
      <c r="T1184" s="80" t="s">
        <v>4</v>
      </c>
      <c r="U1184" s="72" t="s">
        <v>14</v>
      </c>
      <c r="V1184" s="72" t="s">
        <v>1947</v>
      </c>
      <c r="W1184" s="72" t="s">
        <v>1936</v>
      </c>
      <c r="X1184" s="72" t="s">
        <v>933</v>
      </c>
      <c r="Y1184" s="72" t="s">
        <v>3077</v>
      </c>
      <c r="Z1184" s="72" t="s">
        <v>4</v>
      </c>
      <c r="AA1184" s="147" t="s">
        <v>933</v>
      </c>
    </row>
    <row r="1185" spans="1:27" ht="18.600000000000001" customHeight="1">
      <c r="A1185" s="140" t="str">
        <f>IF(priority(Main[[#This Row],[Comments]])&lt;&gt;0, priority(Main[[#This Row],[Comments]]),"")</f>
        <v/>
      </c>
      <c r="B1185" s="90" t="s">
        <v>3572</v>
      </c>
      <c r="C1185" s="72" t="s">
        <v>47</v>
      </c>
      <c r="D1185" s="73" t="s">
        <v>3573</v>
      </c>
      <c r="E1185" s="74"/>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4</v>
      </c>
      <c r="J1185" s="72" t="s">
        <v>4</v>
      </c>
      <c r="K1185" s="72" t="s">
        <v>4</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40964</v>
      </c>
      <c r="R1185" s="74"/>
      <c r="S1185" s="72" t="s">
        <v>6</v>
      </c>
      <c r="T1185" s="80" t="s">
        <v>4</v>
      </c>
      <c r="U1185" s="72" t="s">
        <v>12</v>
      </c>
      <c r="V1185" s="72" t="s">
        <v>2312</v>
      </c>
      <c r="W1185" s="72" t="s">
        <v>4</v>
      </c>
      <c r="X1185" s="72" t="s">
        <v>2956</v>
      </c>
      <c r="Y1185" s="72" t="s">
        <v>4</v>
      </c>
      <c r="Z1185" s="72" t="s">
        <v>4</v>
      </c>
      <c r="AA1185" s="147" t="s">
        <v>2956</v>
      </c>
    </row>
    <row r="1186" spans="1:27" ht="18.600000000000001" customHeight="1">
      <c r="A1186" s="140" t="str">
        <f>IF(priority(Main[[#This Row],[Comments]])&lt;&gt;0, priority(Main[[#This Row],[Comments]]),"")</f>
        <v/>
      </c>
      <c r="B1186" s="90" t="s">
        <v>3428</v>
      </c>
      <c r="C1186" s="72" t="s">
        <v>3429</v>
      </c>
      <c r="D1186" s="73" t="s">
        <v>3430</v>
      </c>
      <c r="E1186" s="74"/>
      <c r="F1186" s="74">
        <v>41117</v>
      </c>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4</v>
      </c>
      <c r="J1186" s="72" t="s">
        <v>4</v>
      </c>
      <c r="K1186" s="72" t="s">
        <v>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40935</v>
      </c>
      <c r="R1186" s="74"/>
      <c r="S1186" s="72" t="s">
        <v>11</v>
      </c>
      <c r="T1186" s="80" t="s">
        <v>3431</v>
      </c>
      <c r="U1186" s="72" t="s">
        <v>14</v>
      </c>
      <c r="V1186" s="72" t="s">
        <v>1932</v>
      </c>
      <c r="W1186" s="72" t="s">
        <v>1940</v>
      </c>
      <c r="X1186" s="72" t="s">
        <v>2997</v>
      </c>
      <c r="Y1186" s="72" t="s">
        <v>3191</v>
      </c>
      <c r="Z1186" s="72" t="s">
        <v>4</v>
      </c>
      <c r="AA1186" s="147" t="s">
        <v>2997</v>
      </c>
    </row>
    <row r="1187" spans="1:27" ht="18.600000000000001" customHeight="1">
      <c r="A1187" s="140" t="str">
        <f>IF(priority(Main[[#This Row],[Comments]])&lt;&gt;0, priority(Main[[#This Row],[Comments]]),"")</f>
        <v/>
      </c>
      <c r="B1187" s="90" t="s">
        <v>2784</v>
      </c>
      <c r="C1187" s="72" t="s">
        <v>4</v>
      </c>
      <c r="D1187" s="73" t="s">
        <v>2785</v>
      </c>
      <c r="E1187" s="74">
        <v>40884.635914351849</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v>41000</v>
      </c>
      <c r="R1187" s="74"/>
      <c r="S1187" s="72" t="s">
        <v>11</v>
      </c>
      <c r="T1187" s="80" t="s">
        <v>4</v>
      </c>
      <c r="U1187" s="72" t="s">
        <v>7</v>
      </c>
      <c r="V1187" s="72" t="s">
        <v>1947</v>
      </c>
      <c r="W1187" s="72" t="s">
        <v>1937</v>
      </c>
      <c r="X1187" s="72" t="s">
        <v>933</v>
      </c>
      <c r="Y1187" s="72" t="s">
        <v>3167</v>
      </c>
      <c r="Z1187" s="72" t="s">
        <v>4</v>
      </c>
      <c r="AA1187" s="147" t="s">
        <v>918</v>
      </c>
    </row>
    <row r="1188" spans="1:27" ht="18.600000000000001" customHeight="1">
      <c r="A1188" s="140" t="str">
        <f>IF(priority(Main[[#This Row],[Comments]])&lt;&gt;0, priority(Main[[#This Row],[Comments]]),"")</f>
        <v/>
      </c>
      <c r="B1188" s="90" t="s">
        <v>3565</v>
      </c>
      <c r="C1188" s="72" t="s">
        <v>149</v>
      </c>
      <c r="D1188" s="73" t="s">
        <v>3566</v>
      </c>
      <c r="E1188" s="74">
        <v>40937.926724537036</v>
      </c>
      <c r="F1188" s="74">
        <v>41045</v>
      </c>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4</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v>40939</v>
      </c>
      <c r="R1188" s="74"/>
      <c r="S1188" s="72" t="s">
        <v>49</v>
      </c>
      <c r="T1188" s="80" t="s">
        <v>4</v>
      </c>
      <c r="U1188" s="72" t="s">
        <v>7</v>
      </c>
      <c r="V1188" s="72" t="s">
        <v>1942</v>
      </c>
      <c r="W1188" s="72" t="s">
        <v>1940</v>
      </c>
      <c r="X1188" s="72" t="s">
        <v>3567</v>
      </c>
      <c r="Y1188" s="72" t="s">
        <v>3568</v>
      </c>
      <c r="Z1188" s="72" t="s">
        <v>4</v>
      </c>
      <c r="AA1188" s="147" t="s">
        <v>3567</v>
      </c>
    </row>
    <row r="1189" spans="1:27" ht="18.600000000000001" customHeight="1">
      <c r="A1189" s="140" t="str">
        <f>IF(priority(Main[[#This Row],[Comments]])&lt;&gt;0, priority(Main[[#This Row],[Comments]]),"")</f>
        <v/>
      </c>
      <c r="B1189" s="90" t="s">
        <v>1049</v>
      </c>
      <c r="C1189" s="72" t="s">
        <v>33</v>
      </c>
      <c r="D1189" s="73" t="s">
        <v>2901</v>
      </c>
      <c r="E1189" s="74">
        <v>40345.428090277775</v>
      </c>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981</v>
      </c>
      <c r="J1189" s="72" t="s">
        <v>28</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40384</v>
      </c>
      <c r="R1189" s="74">
        <v>41029</v>
      </c>
      <c r="S1189" s="72" t="s">
        <v>17</v>
      </c>
      <c r="T1189" s="80" t="s">
        <v>2349</v>
      </c>
      <c r="U1189" s="72" t="s">
        <v>29</v>
      </c>
      <c r="V1189" s="72" t="s">
        <v>1932</v>
      </c>
      <c r="W1189" s="72" t="s">
        <v>1937</v>
      </c>
      <c r="X1189" s="72" t="s">
        <v>2966</v>
      </c>
      <c r="Y1189" s="72" t="s">
        <v>3116</v>
      </c>
      <c r="Z1189" s="72" t="s">
        <v>129</v>
      </c>
      <c r="AA1189" s="147" t="s">
        <v>2966</v>
      </c>
    </row>
    <row r="1190" spans="1:27" ht="18.600000000000001" customHeight="1">
      <c r="A1190" s="140" t="str">
        <f>IF(priority(Main[[#This Row],[Comments]])&lt;&gt;0, priority(Main[[#This Row],[Comments]]),"")</f>
        <v/>
      </c>
      <c r="B1190" s="90" t="s">
        <v>2795</v>
      </c>
      <c r="C1190" s="72" t="s">
        <v>4</v>
      </c>
      <c r="D1190" s="73" t="s">
        <v>3569</v>
      </c>
      <c r="E1190" s="74">
        <v>40891.136469907404</v>
      </c>
      <c r="F1190" s="74"/>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69</v>
      </c>
      <c r="J1190" s="72" t="s">
        <v>70</v>
      </c>
      <c r="K1190" s="81" t="s">
        <v>1941</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40914</v>
      </c>
      <c r="R1190" s="74"/>
      <c r="S1190" s="72" t="s">
        <v>6</v>
      </c>
      <c r="T1190" s="80" t="s">
        <v>4</v>
      </c>
      <c r="U1190" s="72" t="s">
        <v>29</v>
      </c>
      <c r="V1190" s="72" t="s">
        <v>1935</v>
      </c>
      <c r="W1190" s="72" t="s">
        <v>1936</v>
      </c>
      <c r="X1190" s="72" t="s">
        <v>2942</v>
      </c>
      <c r="Y1190" s="72" t="s">
        <v>3081</v>
      </c>
      <c r="Z1190" s="72" t="s">
        <v>30</v>
      </c>
      <c r="AA1190" s="147" t="s">
        <v>2942</v>
      </c>
    </row>
    <row r="1191" spans="1:27" ht="18.600000000000001" customHeight="1">
      <c r="A1191" s="140" t="str">
        <f>IF(priority(Main[[#This Row],[Comments]])&lt;&gt;0, priority(Main[[#This Row],[Comments]]),"")</f>
        <v/>
      </c>
      <c r="B1191" s="90" t="s">
        <v>2600</v>
      </c>
      <c r="C1191" s="72" t="s">
        <v>4</v>
      </c>
      <c r="D1191" s="73" t="s">
        <v>2601</v>
      </c>
      <c r="E1191" s="74">
        <v>40835.766481481478</v>
      </c>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v>40858</v>
      </c>
      <c r="R1191" s="74"/>
      <c r="S1191" s="72" t="s">
        <v>6</v>
      </c>
      <c r="T1191" s="80" t="s">
        <v>4</v>
      </c>
      <c r="U1191" s="72" t="s">
        <v>7</v>
      </c>
      <c r="V1191" s="72" t="s">
        <v>1935</v>
      </c>
      <c r="W1191" s="72" t="s">
        <v>4</v>
      </c>
      <c r="X1191" s="72" t="s">
        <v>2910</v>
      </c>
      <c r="Y1191" s="72" t="s">
        <v>3027</v>
      </c>
      <c r="Z1191" s="72" t="s">
        <v>4</v>
      </c>
      <c r="AA1191" s="147" t="s">
        <v>2910</v>
      </c>
    </row>
    <row r="1192" spans="1:27" ht="18.600000000000001" customHeight="1">
      <c r="A1192" s="140" t="str">
        <f>IF(priority(Main[[#This Row],[Comments]])&lt;&gt;0, priority(Main[[#This Row],[Comments]]),"")</f>
        <v/>
      </c>
      <c r="B1192" s="90" t="s">
        <v>3425</v>
      </c>
      <c r="C1192" s="72" t="s">
        <v>4</v>
      </c>
      <c r="D1192" s="73" t="s">
        <v>3426</v>
      </c>
      <c r="E1192" s="74">
        <v>40934.381273148145</v>
      </c>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v>
      </c>
      <c r="J1192" s="72" t="s">
        <v>4</v>
      </c>
      <c r="K1192" s="72" t="s">
        <v>4</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v>40968</v>
      </c>
      <c r="R1192" s="74"/>
      <c r="S1192" s="72" t="s">
        <v>6</v>
      </c>
      <c r="T1192" s="80" t="s">
        <v>4</v>
      </c>
      <c r="U1192" s="72" t="s">
        <v>7</v>
      </c>
      <c r="V1192" s="72" t="s">
        <v>1935</v>
      </c>
      <c r="W1192" s="72" t="s">
        <v>4</v>
      </c>
      <c r="X1192" s="72" t="s">
        <v>2909</v>
      </c>
      <c r="Y1192" s="72" t="s">
        <v>3024</v>
      </c>
      <c r="Z1192" s="72" t="s">
        <v>4</v>
      </c>
      <c r="AA1192" s="147" t="s">
        <v>2909</v>
      </c>
    </row>
    <row r="1193" spans="1:27" ht="18.600000000000001" customHeight="1">
      <c r="A1193" s="140" t="str">
        <f>IF(priority(Main[[#This Row],[Comments]])&lt;&gt;0, priority(Main[[#This Row],[Comments]]),"")</f>
        <v/>
      </c>
      <c r="B1193" s="90" t="s">
        <v>2602</v>
      </c>
      <c r="C1193" s="72" t="s">
        <v>4</v>
      </c>
      <c r="D1193" s="73" t="s">
        <v>2603</v>
      </c>
      <c r="E1193" s="74"/>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4</v>
      </c>
      <c r="J1193" s="72" t="s">
        <v>4</v>
      </c>
      <c r="K1193" s="72" t="s">
        <v>4</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c r="R1193" s="74"/>
      <c r="S1193" s="72" t="s">
        <v>11</v>
      </c>
      <c r="T1193" s="80" t="s">
        <v>4</v>
      </c>
      <c r="U1193" s="72" t="s">
        <v>14</v>
      </c>
      <c r="V1193" s="72" t="s">
        <v>1933</v>
      </c>
      <c r="W1193" s="72" t="s">
        <v>4</v>
      </c>
      <c r="X1193" s="72" t="s">
        <v>2278</v>
      </c>
      <c r="Y1193" s="72" t="s">
        <v>4</v>
      </c>
      <c r="Z1193" s="72" t="s">
        <v>4</v>
      </c>
      <c r="AA1193" s="147" t="s">
        <v>4</v>
      </c>
    </row>
    <row r="1194" spans="1:27" ht="18.600000000000001" customHeight="1">
      <c r="A1194" s="140" t="str">
        <f>IF(priority(Main[[#This Row],[Comments]])&lt;&gt;0, priority(Main[[#This Row],[Comments]]),"")</f>
        <v/>
      </c>
      <c r="B1194" s="90" t="s">
        <v>2323</v>
      </c>
      <c r="C1194" s="72" t="s">
        <v>4</v>
      </c>
      <c r="D1194" s="73" t="s">
        <v>2604</v>
      </c>
      <c r="E1194" s="74">
        <v>40814.667314814818</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403</v>
      </c>
      <c r="J1194" s="72" t="s">
        <v>75</v>
      </c>
      <c r="K1194" s="81" t="s">
        <v>1941</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c r="R1194" s="74"/>
      <c r="S1194" s="72" t="s">
        <v>6</v>
      </c>
      <c r="T1194" s="80" t="s">
        <v>4</v>
      </c>
      <c r="U1194" s="72" t="s">
        <v>29</v>
      </c>
      <c r="V1194" s="72" t="s">
        <v>1935</v>
      </c>
      <c r="W1194" s="72" t="s">
        <v>1936</v>
      </c>
      <c r="X1194" s="72" t="s">
        <v>403</v>
      </c>
      <c r="Y1194" s="72" t="s">
        <v>3058</v>
      </c>
      <c r="Z1194" s="72" t="s">
        <v>310</v>
      </c>
      <c r="AA1194" s="147" t="s">
        <v>894</v>
      </c>
    </row>
    <row r="1195" spans="1:27" ht="18.600000000000001" customHeight="1">
      <c r="A1195" s="140" t="str">
        <f>IF(priority(Main[[#This Row],[Comments]])&lt;&gt;0, priority(Main[[#This Row],[Comments]]),"")</f>
        <v/>
      </c>
      <c r="B1195" s="90" t="s">
        <v>1715</v>
      </c>
      <c r="C1195" s="72" t="s">
        <v>4</v>
      </c>
      <c r="D1195" s="73" t="s">
        <v>2138</v>
      </c>
      <c r="E1195" s="74"/>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69</v>
      </c>
      <c r="J1195" s="72" t="s">
        <v>70</v>
      </c>
      <c r="K1195" s="72" t="s">
        <v>1941</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v>40816</v>
      </c>
      <c r="R1195" s="74"/>
      <c r="S1195" s="72" t="s">
        <v>6</v>
      </c>
      <c r="T1195" s="80" t="s">
        <v>4</v>
      </c>
      <c r="U1195" s="72" t="s">
        <v>14</v>
      </c>
      <c r="V1195" s="72" t="s">
        <v>1935</v>
      </c>
      <c r="W1195" s="72" t="s">
        <v>1937</v>
      </c>
      <c r="X1195" s="72" t="s">
        <v>535</v>
      </c>
      <c r="Y1195" s="72" t="s">
        <v>4</v>
      </c>
      <c r="Z1195" s="72" t="s">
        <v>30</v>
      </c>
      <c r="AA1195" s="147" t="s">
        <v>535</v>
      </c>
    </row>
    <row r="1196" spans="1:27" ht="18.600000000000001" customHeight="1">
      <c r="A1196" s="140" t="str">
        <f>IF(priority(Main[[#This Row],[Comments]])&lt;&gt;0, priority(Main[[#This Row],[Comments]]),"")</f>
        <v/>
      </c>
      <c r="B1196" s="90" t="s">
        <v>2316</v>
      </c>
      <c r="C1196" s="72" t="s">
        <v>4</v>
      </c>
      <c r="D1196" s="73" t="s">
        <v>2608</v>
      </c>
      <c r="E1196" s="74"/>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2234</v>
      </c>
      <c r="J1196" s="72" t="s">
        <v>75</v>
      </c>
      <c r="K1196" s="72" t="s">
        <v>1941</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c r="R1196" s="74"/>
      <c r="S1196" s="72" t="s">
        <v>6</v>
      </c>
      <c r="T1196" s="80" t="s">
        <v>4</v>
      </c>
      <c r="U1196" s="72" t="s">
        <v>14</v>
      </c>
      <c r="V1196" s="72" t="s">
        <v>1942</v>
      </c>
      <c r="W1196" s="72" t="s">
        <v>1936</v>
      </c>
      <c r="X1196" s="72" t="s">
        <v>2234</v>
      </c>
      <c r="Y1196" s="72" t="s">
        <v>3224</v>
      </c>
      <c r="Z1196" s="72" t="s">
        <v>310</v>
      </c>
      <c r="AA1196" s="147" t="s">
        <v>2234</v>
      </c>
    </row>
    <row r="1197" spans="1:27" ht="18.600000000000001" customHeight="1">
      <c r="A1197" s="140" t="str">
        <f>IF(priority(Main[[#This Row],[Comments]])&lt;&gt;0, priority(Main[[#This Row],[Comments]]),"")</f>
        <v/>
      </c>
      <c r="B1197" s="90" t="s">
        <v>1607</v>
      </c>
      <c r="C1197" s="72" t="s">
        <v>4</v>
      </c>
      <c r="D1197" s="73" t="s">
        <v>675</v>
      </c>
      <c r="E1197" s="74"/>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c r="R1197" s="74"/>
      <c r="S1197" s="72" t="s">
        <v>6</v>
      </c>
      <c r="T1197" s="80" t="s">
        <v>4</v>
      </c>
      <c r="U1197" s="72" t="s">
        <v>14</v>
      </c>
      <c r="V1197" s="72" t="s">
        <v>1932</v>
      </c>
      <c r="W1197" s="72" t="s">
        <v>1940</v>
      </c>
      <c r="X1197" s="72" t="s">
        <v>2074</v>
      </c>
      <c r="Y1197" s="72" t="s">
        <v>3097</v>
      </c>
      <c r="Z1197" s="72" t="s">
        <v>4</v>
      </c>
      <c r="AA1197" s="147" t="s">
        <v>2074</v>
      </c>
    </row>
    <row r="1198" spans="1:27" ht="18.600000000000001" customHeight="1">
      <c r="A1198" s="140" t="str">
        <f>IF(priority(Main[[#This Row],[Comments]])&lt;&gt;0, priority(Main[[#This Row],[Comments]]),"")</f>
        <v/>
      </c>
      <c r="B1198" s="90" t="s">
        <v>2714</v>
      </c>
      <c r="C1198" s="72" t="s">
        <v>4</v>
      </c>
      <c r="D1198" s="73" t="s">
        <v>2715</v>
      </c>
      <c r="E1198" s="74"/>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v>
      </c>
      <c r="J1198" s="72" t="s">
        <v>4</v>
      </c>
      <c r="K1198" s="81" t="s">
        <v>4</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c r="R1198" s="74"/>
      <c r="S1198" s="72" t="s">
        <v>11</v>
      </c>
      <c r="T1198" s="80" t="s">
        <v>4</v>
      </c>
      <c r="U1198" s="72" t="s">
        <v>14</v>
      </c>
      <c r="V1198" s="72" t="s">
        <v>1942</v>
      </c>
      <c r="W1198" s="72" t="s">
        <v>1940</v>
      </c>
      <c r="X1198" s="72" t="s">
        <v>2948</v>
      </c>
      <c r="Y1198" s="72" t="s">
        <v>3093</v>
      </c>
      <c r="Z1198" s="72" t="s">
        <v>4</v>
      </c>
      <c r="AA1198" s="147" t="s">
        <v>2948</v>
      </c>
    </row>
    <row r="1199" spans="1:27" ht="18.600000000000001" customHeight="1">
      <c r="A1199" s="140" t="str">
        <f>IF(priority(Main[[#This Row],[Comments]])&lt;&gt;0, priority(Main[[#This Row],[Comments]]),"")</f>
        <v/>
      </c>
      <c r="B1199" s="90" t="s">
        <v>2300</v>
      </c>
      <c r="C1199" s="72" t="s">
        <v>4</v>
      </c>
      <c r="D1199" s="73" t="s">
        <v>2597</v>
      </c>
      <c r="E1199" s="74">
        <v>40809.3827662037</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923</v>
      </c>
      <c r="J1199" s="72" t="s">
        <v>52</v>
      </c>
      <c r="K1199" s="81" t="s">
        <v>4</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c r="R1199" s="74">
        <v>40840</v>
      </c>
      <c r="S1199" s="72" t="s">
        <v>6</v>
      </c>
      <c r="T1199" s="80" t="s">
        <v>4</v>
      </c>
      <c r="U1199" s="72" t="s">
        <v>29</v>
      </c>
      <c r="V1199" s="72" t="s">
        <v>1932</v>
      </c>
      <c r="W1199" s="72" t="s">
        <v>1936</v>
      </c>
      <c r="X1199" s="72" t="s">
        <v>310</v>
      </c>
      <c r="Y1199" s="72" t="s">
        <v>4</v>
      </c>
      <c r="Z1199" s="72" t="s">
        <v>129</v>
      </c>
      <c r="AA1199" s="147" t="s">
        <v>50</v>
      </c>
    </row>
    <row r="1200" spans="1:27" ht="18.600000000000001" customHeight="1">
      <c r="A1200" s="140" t="str">
        <f>IF(priority(Main[[#This Row],[Comments]])&lt;&gt;0, priority(Main[[#This Row],[Comments]]),"")</f>
        <v/>
      </c>
      <c r="B1200" s="90" t="s">
        <v>1858</v>
      </c>
      <c r="C1200" s="72" t="s">
        <v>4</v>
      </c>
      <c r="D1200" s="73" t="s">
        <v>907</v>
      </c>
      <c r="E1200" s="74">
        <v>40241.453090277777</v>
      </c>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74</v>
      </c>
      <c r="J1200" s="72" t="s">
        <v>4</v>
      </c>
      <c r="K1200" s="72" t="s">
        <v>1944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c r="R1200" s="74">
        <v>40967</v>
      </c>
      <c r="S1200" s="72" t="s">
        <v>17</v>
      </c>
      <c r="T1200" s="80" t="s">
        <v>4</v>
      </c>
      <c r="U1200" s="72" t="s">
        <v>29</v>
      </c>
      <c r="V1200" s="72" t="s">
        <v>1935</v>
      </c>
      <c r="W1200" s="72" t="s">
        <v>4</v>
      </c>
      <c r="X1200" s="72" t="s">
        <v>310</v>
      </c>
      <c r="Y1200" s="72" t="s">
        <v>3044</v>
      </c>
      <c r="Z1200" s="72" t="s">
        <v>420</v>
      </c>
      <c r="AA1200" s="147" t="s">
        <v>3676</v>
      </c>
    </row>
    <row r="1201" spans="1:27" ht="18.600000000000001" customHeight="1">
      <c r="A1201" s="140" t="str">
        <f>IF(priority(Main[[#This Row],[Comments]])&lt;&gt;0, priority(Main[[#This Row],[Comments]]),"")</f>
        <v/>
      </c>
      <c r="B1201" s="90" t="s">
        <v>2716</v>
      </c>
      <c r="C1201" s="72" t="s">
        <v>47</v>
      </c>
      <c r="D1201" s="73" t="s">
        <v>3562</v>
      </c>
      <c r="E1201" s="74">
        <v>40938.399201388886</v>
      </c>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4</v>
      </c>
      <c r="K1201" s="72" t="s">
        <v>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v>40913</v>
      </c>
      <c r="R1201" s="74"/>
      <c r="S1201" s="72" t="s">
        <v>6</v>
      </c>
      <c r="T1201" s="80" t="s">
        <v>4</v>
      </c>
      <c r="U1201" s="72" t="s">
        <v>7</v>
      </c>
      <c r="V1201" s="72" t="s">
        <v>2312</v>
      </c>
      <c r="W1201" s="72" t="s">
        <v>4</v>
      </c>
      <c r="X1201" s="72" t="s">
        <v>2956</v>
      </c>
      <c r="Y1201" s="72" t="s">
        <v>3105</v>
      </c>
      <c r="Z1201" s="72" t="s">
        <v>4</v>
      </c>
      <c r="AA1201" s="147" t="s">
        <v>2956</v>
      </c>
    </row>
    <row r="1202" spans="1:27" ht="18.600000000000001" customHeight="1">
      <c r="A1202" s="140" t="str">
        <f>IF(priority(Main[[#This Row],[Comments]])&lt;&gt;0, priority(Main[[#This Row],[Comments]]),"")</f>
        <v/>
      </c>
      <c r="B1202" s="90" t="s">
        <v>3563</v>
      </c>
      <c r="C1202" s="72" t="s">
        <v>4</v>
      </c>
      <c r="D1202" s="73" t="s">
        <v>3564</v>
      </c>
      <c r="E1202" s="74">
        <v>40938.460613425923</v>
      </c>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v>
      </c>
      <c r="J1202" s="72" t="s">
        <v>4</v>
      </c>
      <c r="K1202" s="81" t="s">
        <v>4</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c r="S1202" s="72" t="s">
        <v>6</v>
      </c>
      <c r="T1202" s="80" t="s">
        <v>4</v>
      </c>
      <c r="U1202" s="72" t="s">
        <v>7</v>
      </c>
      <c r="V1202" s="72" t="s">
        <v>1935</v>
      </c>
      <c r="W1202" s="72" t="s">
        <v>4</v>
      </c>
      <c r="X1202" s="72" t="s">
        <v>2932</v>
      </c>
      <c r="Y1202" s="72" t="s">
        <v>3066</v>
      </c>
      <c r="Z1202" s="72" t="s">
        <v>4</v>
      </c>
      <c r="AA1202" s="147" t="s">
        <v>2932</v>
      </c>
    </row>
    <row r="1203" spans="1:27" ht="18.600000000000001" customHeight="1">
      <c r="A1203" s="140" t="str">
        <f>IF(priority(Main[[#This Row],[Comments]])&lt;&gt;0, priority(Main[[#This Row],[Comments]]),"")</f>
        <v/>
      </c>
      <c r="B1203" s="90" t="s">
        <v>2400</v>
      </c>
      <c r="C1203" s="72" t="s">
        <v>4</v>
      </c>
      <c r="D1203" s="73" t="s">
        <v>2401</v>
      </c>
      <c r="E1203" s="74">
        <v>40856.690810185188</v>
      </c>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4</v>
      </c>
      <c r="J1203" s="72" t="s">
        <v>4</v>
      </c>
      <c r="K1203" s="72" t="s">
        <v>4</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6</v>
      </c>
      <c r="T1203" s="80" t="s">
        <v>4</v>
      </c>
      <c r="U1203" s="72" t="s">
        <v>7</v>
      </c>
      <c r="V1203" s="72" t="s">
        <v>1932</v>
      </c>
      <c r="W1203" s="72" t="s">
        <v>1936</v>
      </c>
      <c r="X1203" s="72" t="s">
        <v>2908</v>
      </c>
      <c r="Y1203" s="72" t="s">
        <v>3227</v>
      </c>
      <c r="Z1203" s="72" t="s">
        <v>4</v>
      </c>
      <c r="AA1203" s="147" t="s">
        <v>2908</v>
      </c>
    </row>
    <row r="1204" spans="1:27" ht="18.600000000000001" customHeight="1">
      <c r="A1204" s="140" t="str">
        <f>IF(priority(Main[[#This Row],[Comments]])&lt;&gt;0, priority(Main[[#This Row],[Comments]]),"")</f>
        <v/>
      </c>
      <c r="B1204" s="90" t="s">
        <v>3574</v>
      </c>
      <c r="C1204" s="72" t="s">
        <v>47</v>
      </c>
      <c r="D1204" s="73" t="s">
        <v>3575</v>
      </c>
      <c r="E1204" s="74">
        <v>40938.378252314818</v>
      </c>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4</v>
      </c>
      <c r="J1204" s="72" t="s">
        <v>4</v>
      </c>
      <c r="K1204" s="72" t="s">
        <v>4</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40939</v>
      </c>
      <c r="R1204" s="74"/>
      <c r="S1204" s="72" t="s">
        <v>6</v>
      </c>
      <c r="T1204" s="80" t="s">
        <v>4</v>
      </c>
      <c r="U1204" s="72" t="s">
        <v>7</v>
      </c>
      <c r="V1204" s="72" t="s">
        <v>2312</v>
      </c>
      <c r="W1204" s="72" t="s">
        <v>4</v>
      </c>
      <c r="X1204" s="72" t="s">
        <v>2956</v>
      </c>
      <c r="Y1204" s="72" t="s">
        <v>3105</v>
      </c>
      <c r="Z1204" s="72" t="s">
        <v>4</v>
      </c>
      <c r="AA1204" s="147" t="s">
        <v>2956</v>
      </c>
    </row>
    <row r="1205" spans="1:27" ht="18.600000000000001" customHeight="1">
      <c r="A1205" s="140" t="str">
        <f>IF(priority(Main[[#This Row],[Comments]])&lt;&gt;0, priority(Main[[#This Row],[Comments]]),"")</f>
        <v/>
      </c>
      <c r="B1205" s="90" t="s">
        <v>2710</v>
      </c>
      <c r="C1205" s="72" t="s">
        <v>4</v>
      </c>
      <c r="D1205" s="73" t="s">
        <v>2711</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72"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v>40884</v>
      </c>
      <c r="R1205" s="74"/>
      <c r="S1205" s="72" t="s">
        <v>4</v>
      </c>
      <c r="T1205" s="80" t="s">
        <v>4</v>
      </c>
      <c r="U1205" s="72" t="s">
        <v>14</v>
      </c>
      <c r="V1205" s="72" t="s">
        <v>1942</v>
      </c>
      <c r="W1205" s="72" t="s">
        <v>1940</v>
      </c>
      <c r="X1205" s="72" t="s">
        <v>2948</v>
      </c>
      <c r="Y1205" s="72" t="s">
        <v>3093</v>
      </c>
      <c r="Z1205" s="72" t="s">
        <v>4</v>
      </c>
      <c r="AA1205" s="147" t="s">
        <v>2948</v>
      </c>
    </row>
    <row r="1206" spans="1:27" ht="18.600000000000001" customHeight="1">
      <c r="A1206" s="140" t="str">
        <f>IF(priority(Main[[#This Row],[Comments]])&lt;&gt;0, priority(Main[[#This Row],[Comments]]),"")</f>
        <v/>
      </c>
      <c r="B1206" s="90" t="s">
        <v>2574</v>
      </c>
      <c r="C1206" s="72" t="s">
        <v>4</v>
      </c>
      <c r="D1206" s="73" t="s">
        <v>2575</v>
      </c>
      <c r="E1206" s="74">
        <v>40861.6484837963</v>
      </c>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81"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v>41372</v>
      </c>
      <c r="R1206" s="74"/>
      <c r="S1206" s="72" t="s">
        <v>17</v>
      </c>
      <c r="T1206" s="80" t="s">
        <v>4</v>
      </c>
      <c r="U1206" s="72" t="s">
        <v>29</v>
      </c>
      <c r="V1206" s="72" t="s">
        <v>1935</v>
      </c>
      <c r="W1206" s="72" t="s">
        <v>1937</v>
      </c>
      <c r="X1206" s="72" t="s">
        <v>659</v>
      </c>
      <c r="Y1206" s="72" t="s">
        <v>3223</v>
      </c>
      <c r="Z1206" s="72" t="s">
        <v>4</v>
      </c>
      <c r="AA1206" s="147" t="s">
        <v>659</v>
      </c>
    </row>
    <row r="1207" spans="1:27" ht="18.600000000000001" customHeight="1">
      <c r="A1207" s="140" t="str">
        <f>IF(priority(Main[[#This Row],[Comments]])&lt;&gt;0, priority(Main[[#This Row],[Comments]]),"")</f>
        <v/>
      </c>
      <c r="B1207" s="90" t="s">
        <v>1599</v>
      </c>
      <c r="C1207" s="72" t="s">
        <v>4</v>
      </c>
      <c r="D1207" s="73" t="s">
        <v>2726</v>
      </c>
      <c r="E1207" s="74">
        <v>40455.90111111111</v>
      </c>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28</v>
      </c>
      <c r="K1207" s="72" t="s">
        <v>1944</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v>41060</v>
      </c>
      <c r="R1207" s="74"/>
      <c r="S1207" s="72" t="s">
        <v>17</v>
      </c>
      <c r="T1207" s="80" t="s">
        <v>4</v>
      </c>
      <c r="U1207" s="72" t="s">
        <v>7</v>
      </c>
      <c r="V1207" s="72" t="s">
        <v>1932</v>
      </c>
      <c r="W1207" s="72" t="s">
        <v>1934</v>
      </c>
      <c r="X1207" s="72" t="s">
        <v>129</v>
      </c>
      <c r="Y1207" s="72" t="s">
        <v>3028</v>
      </c>
      <c r="Z1207" s="72" t="s">
        <v>129</v>
      </c>
      <c r="AA1207" s="147" t="s">
        <v>129</v>
      </c>
    </row>
    <row r="1208" spans="1:27" ht="18.600000000000001" customHeight="1">
      <c r="A1208" s="140" t="str">
        <f>IF(priority(Main[[#This Row],[Comments]])&lt;&gt;0, priority(Main[[#This Row],[Comments]]),"")</f>
        <v/>
      </c>
      <c r="B1208" s="90" t="s">
        <v>2756</v>
      </c>
      <c r="C1208" s="72" t="s">
        <v>4</v>
      </c>
      <c r="D1208" s="73" t="s">
        <v>3436</v>
      </c>
      <c r="E1208" s="74">
        <v>40917.540925925925</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2073</v>
      </c>
      <c r="J1208" s="72" t="s">
        <v>21</v>
      </c>
      <c r="K1208" s="72" t="s">
        <v>1941</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v>40949</v>
      </c>
      <c r="R1208" s="74"/>
      <c r="S1208" s="72" t="s">
        <v>6</v>
      </c>
      <c r="T1208" s="80" t="s">
        <v>4</v>
      </c>
      <c r="U1208" s="72" t="s">
        <v>29</v>
      </c>
      <c r="V1208" s="72" t="s">
        <v>1935</v>
      </c>
      <c r="W1208" s="72" t="s">
        <v>1936</v>
      </c>
      <c r="X1208" s="72" t="s">
        <v>2910</v>
      </c>
      <c r="Y1208" s="72" t="s">
        <v>3027</v>
      </c>
      <c r="Z1208" s="72" t="s">
        <v>30</v>
      </c>
      <c r="AA1208" s="147" t="s">
        <v>2910</v>
      </c>
    </row>
    <row r="1209" spans="1:27" ht="18.600000000000001" customHeight="1">
      <c r="A1209" s="140" t="str">
        <f>IF(priority(Main[[#This Row],[Comments]])&lt;&gt;0, priority(Main[[#This Row],[Comments]]),"")</f>
        <v/>
      </c>
      <c r="B1209" s="90" t="s">
        <v>1912</v>
      </c>
      <c r="C1209" s="72" t="s">
        <v>4</v>
      </c>
      <c r="D1209" s="73" t="s">
        <v>3576</v>
      </c>
      <c r="E1209" s="74">
        <v>40203.692094907405</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897</v>
      </c>
      <c r="J1209" s="72" t="s">
        <v>28</v>
      </c>
      <c r="K1209" s="81" t="s">
        <v>1944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v>40724</v>
      </c>
      <c r="R1209" s="74">
        <v>41152</v>
      </c>
      <c r="S1209" s="72" t="s">
        <v>17</v>
      </c>
      <c r="T1209" s="80" t="s">
        <v>2502</v>
      </c>
      <c r="U1209" s="72" t="s">
        <v>29</v>
      </c>
      <c r="V1209" s="72" t="s">
        <v>1932</v>
      </c>
      <c r="W1209" s="72" t="s">
        <v>1937</v>
      </c>
      <c r="X1209" s="72" t="s">
        <v>129</v>
      </c>
      <c r="Y1209" s="72" t="s">
        <v>3028</v>
      </c>
      <c r="Z1209" s="72" t="s">
        <v>129</v>
      </c>
      <c r="AA1209" s="147" t="s">
        <v>129</v>
      </c>
    </row>
    <row r="1210" spans="1:27" ht="18.600000000000001" customHeight="1">
      <c r="A1210" s="140" t="str">
        <f>IF(priority(Main[[#This Row],[Comments]])&lt;&gt;0, priority(Main[[#This Row],[Comments]]),"")</f>
        <v/>
      </c>
      <c r="B1210" s="90" t="s">
        <v>1608</v>
      </c>
      <c r="C1210" s="72" t="s">
        <v>4</v>
      </c>
      <c r="D1210" s="73" t="s">
        <v>3577</v>
      </c>
      <c r="E1210" s="74">
        <v>40352.416608796295</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718</v>
      </c>
      <c r="J1210" s="72" t="s">
        <v>28</v>
      </c>
      <c r="K1210" s="72" t="s">
        <v>1944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40387</v>
      </c>
      <c r="R1210" s="74">
        <v>41011</v>
      </c>
      <c r="S1210" s="72" t="s">
        <v>17</v>
      </c>
      <c r="T1210" s="80" t="s">
        <v>2503</v>
      </c>
      <c r="U1210" s="72" t="s">
        <v>29</v>
      </c>
      <c r="V1210" s="72" t="s">
        <v>1932</v>
      </c>
      <c r="W1210" s="72" t="s">
        <v>1937</v>
      </c>
      <c r="X1210" s="72" t="s">
        <v>718</v>
      </c>
      <c r="Y1210" s="72" t="s">
        <v>3026</v>
      </c>
      <c r="Z1210" s="72" t="s">
        <v>129</v>
      </c>
      <c r="AA1210" s="147" t="s">
        <v>718</v>
      </c>
    </row>
    <row r="1211" spans="1:27" ht="18.600000000000001" customHeight="1">
      <c r="A1211" s="140" t="str">
        <f>IF(priority(Main[[#This Row],[Comments]])&lt;&gt;0, priority(Main[[#This Row],[Comments]]),"")</f>
        <v/>
      </c>
      <c r="B1211" s="90" t="s">
        <v>1885</v>
      </c>
      <c r="C1211" s="72" t="s">
        <v>4</v>
      </c>
      <c r="D1211" s="73" t="s">
        <v>935</v>
      </c>
      <c r="E1211" s="74">
        <v>39968.4141087963</v>
      </c>
      <c r="F1211" s="74">
        <v>40298</v>
      </c>
      <c r="G1211" s="75" t="str">
        <f>IF(stdProdLT(Main[[#This Row],[Comments]])=0.1,"N/A",IF(stdProdLT(Main[[#This Row],[Comments]])=0,"",stdProdLT(Main[[#This Row],[Comments]])))</f>
        <v/>
      </c>
      <c r="H1211" s="76">
        <f>IF(AND(Main[[#This Row],[In Stock Date]]&lt;&gt;"",Main[[#This Row],[Revised Due Date]]&lt;&gt;""),Main[[#This Row],[In Stock Date]]-Main[[#This Row],[Revised Due Date]],"")</f>
        <v>-697</v>
      </c>
      <c r="I1211" s="72" t="s">
        <v>986</v>
      </c>
      <c r="J1211" s="72" t="s">
        <v>4</v>
      </c>
      <c r="K1211" s="72" t="s">
        <v>1944</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40165</v>
      </c>
      <c r="R1211" s="74">
        <v>40995</v>
      </c>
      <c r="S1211" s="72" t="s">
        <v>17</v>
      </c>
      <c r="T1211" s="80" t="s">
        <v>4</v>
      </c>
      <c r="U1211" s="72" t="s">
        <v>29</v>
      </c>
      <c r="V1211" s="72" t="s">
        <v>1935</v>
      </c>
      <c r="W1211" s="72" t="s">
        <v>1940</v>
      </c>
      <c r="X1211" s="72" t="s">
        <v>980</v>
      </c>
      <c r="Y1211" s="72" t="s">
        <v>3212</v>
      </c>
      <c r="Z1211" s="72" t="s">
        <v>420</v>
      </c>
      <c r="AA1211" s="147" t="s">
        <v>980</v>
      </c>
    </row>
    <row r="1212" spans="1:27" ht="18.600000000000001" customHeight="1">
      <c r="A1212" s="140" t="str">
        <f>IF(priority(Main[[#This Row],[Comments]])&lt;&gt;0, priority(Main[[#This Row],[Comments]]),"")</f>
        <v/>
      </c>
      <c r="B1212" s="90" t="s">
        <v>1654</v>
      </c>
      <c r="C1212" s="72" t="s">
        <v>4</v>
      </c>
      <c r="D1212" s="73" t="s">
        <v>2613</v>
      </c>
      <c r="E1212" s="74"/>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28</v>
      </c>
      <c r="K1212" s="72" t="s">
        <v>1939</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40611</v>
      </c>
      <c r="R1212" s="74"/>
      <c r="S1212" s="72" t="s">
        <v>6</v>
      </c>
      <c r="T1212" s="80" t="s">
        <v>4</v>
      </c>
      <c r="U1212" s="72" t="s">
        <v>14</v>
      </c>
      <c r="V1212" s="72" t="s">
        <v>1932</v>
      </c>
      <c r="W1212" s="72" t="s">
        <v>1936</v>
      </c>
      <c r="X1212" s="72" t="s">
        <v>2912</v>
      </c>
      <c r="Y1212" s="72" t="s">
        <v>3031</v>
      </c>
      <c r="Z1212" s="72" t="s">
        <v>129</v>
      </c>
      <c r="AA1212" s="147" t="s">
        <v>2912</v>
      </c>
    </row>
    <row r="1213" spans="1:27" ht="18.600000000000001" customHeight="1">
      <c r="A1213" s="140" t="str">
        <f>IF(priority(Main[[#This Row],[Comments]])&lt;&gt;0, priority(Main[[#This Row],[Comments]]),"")</f>
        <v/>
      </c>
      <c r="B1213" s="90" t="s">
        <v>1842</v>
      </c>
      <c r="C1213" s="72" t="s">
        <v>47</v>
      </c>
      <c r="D1213" s="73" t="s">
        <v>886</v>
      </c>
      <c r="E1213" s="74"/>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4</v>
      </c>
      <c r="K1213" s="72" t="s">
        <v>1944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c r="R1213" s="74">
        <v>40359</v>
      </c>
      <c r="S1213" s="72" t="s">
        <v>17</v>
      </c>
      <c r="T1213" s="80" t="s">
        <v>4</v>
      </c>
      <c r="U1213" s="72" t="s">
        <v>14</v>
      </c>
      <c r="V1213" s="72" t="s">
        <v>1932</v>
      </c>
      <c r="W1213" s="72" t="s">
        <v>1937</v>
      </c>
      <c r="X1213" s="72" t="s">
        <v>2912</v>
      </c>
      <c r="Y1213" s="72" t="s">
        <v>3031</v>
      </c>
      <c r="Z1213" s="72" t="s">
        <v>4</v>
      </c>
      <c r="AA1213" s="147" t="s">
        <v>2912</v>
      </c>
    </row>
    <row r="1214" spans="1:27" ht="18.600000000000001" customHeight="1">
      <c r="A1214" s="140" t="str">
        <f>IF(priority(Main[[#This Row],[Comments]])&lt;&gt;0, priority(Main[[#This Row],[Comments]]),"")</f>
        <v/>
      </c>
      <c r="B1214" s="90" t="s">
        <v>1651</v>
      </c>
      <c r="C1214" s="72" t="s">
        <v>4</v>
      </c>
      <c r="D1214" s="73" t="s">
        <v>716</v>
      </c>
      <c r="E1214" s="74"/>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28</v>
      </c>
      <c r="K1214" s="72" t="s">
        <v>1941</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c r="R1214" s="74"/>
      <c r="S1214" s="72" t="s">
        <v>6</v>
      </c>
      <c r="T1214" s="80" t="s">
        <v>4</v>
      </c>
      <c r="U1214" s="72" t="s">
        <v>14</v>
      </c>
      <c r="V1214" s="72" t="s">
        <v>1932</v>
      </c>
      <c r="W1214" s="72" t="s">
        <v>1936</v>
      </c>
      <c r="X1214" s="72" t="s">
        <v>310</v>
      </c>
      <c r="Y1214" s="72" t="s">
        <v>3230</v>
      </c>
      <c r="Z1214" s="72" t="s">
        <v>129</v>
      </c>
      <c r="AA1214" s="147" t="s">
        <v>3699</v>
      </c>
    </row>
    <row r="1215" spans="1:27" ht="18.600000000000001" customHeight="1">
      <c r="A1215" s="140" t="str">
        <f>IF(priority(Main[[#This Row],[Comments]])&lt;&gt;0, priority(Main[[#This Row],[Comments]]),"")</f>
        <v/>
      </c>
      <c r="B1215" s="90" t="s">
        <v>2315</v>
      </c>
      <c r="C1215" s="72" t="s">
        <v>4</v>
      </c>
      <c r="D1215" s="73" t="s">
        <v>2793</v>
      </c>
      <c r="E1215" s="74">
        <v>40814.080497685187</v>
      </c>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374</v>
      </c>
      <c r="J1215" s="72" t="s">
        <v>28</v>
      </c>
      <c r="K1215" s="72" t="s">
        <v>1941</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40905</v>
      </c>
      <c r="R1215" s="74"/>
      <c r="S1215" s="72" t="s">
        <v>6</v>
      </c>
      <c r="T1215" s="80" t="s">
        <v>4</v>
      </c>
      <c r="U1215" s="72" t="s">
        <v>29</v>
      </c>
      <c r="V1215" s="72" t="s">
        <v>1935</v>
      </c>
      <c r="W1215" s="72" t="s">
        <v>1936</v>
      </c>
      <c r="X1215" s="72" t="s">
        <v>2986</v>
      </c>
      <c r="Y1215" s="72" t="s">
        <v>3155</v>
      </c>
      <c r="Z1215" s="72" t="s">
        <v>30</v>
      </c>
      <c r="AA1215" s="147" t="s">
        <v>2986</v>
      </c>
    </row>
    <row r="1216" spans="1:27" ht="18.600000000000001" customHeight="1">
      <c r="A1216" s="140" t="str">
        <f>IF(priority(Main[[#This Row],[Comments]])&lt;&gt;0, priority(Main[[#This Row],[Comments]]),"")</f>
        <v/>
      </c>
      <c r="B1216" s="90" t="s">
        <v>3433</v>
      </c>
      <c r="C1216" s="72" t="s">
        <v>4</v>
      </c>
      <c r="D1216" s="73" t="s">
        <v>3434</v>
      </c>
      <c r="E1216" s="74">
        <v>40932.643865740742</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4</v>
      </c>
      <c r="J1216" s="72" t="s">
        <v>4</v>
      </c>
      <c r="K1216" s="72" t="s">
        <v>4</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40968</v>
      </c>
      <c r="R1216" s="74"/>
      <c r="S1216" s="72" t="s">
        <v>6</v>
      </c>
      <c r="T1216" s="80" t="s">
        <v>4</v>
      </c>
      <c r="U1216" s="72" t="s">
        <v>7</v>
      </c>
      <c r="V1216" s="72" t="s">
        <v>1935</v>
      </c>
      <c r="W1216" s="72" t="s">
        <v>4</v>
      </c>
      <c r="X1216" s="72" t="s">
        <v>2910</v>
      </c>
      <c r="Y1216" s="72" t="s">
        <v>3027</v>
      </c>
      <c r="Z1216" s="72" t="s">
        <v>4</v>
      </c>
      <c r="AA1216" s="147" t="s">
        <v>2910</v>
      </c>
    </row>
    <row r="1217" spans="1:27" ht="18.600000000000001" customHeight="1">
      <c r="A1217" s="140" t="str">
        <f>IF(priority(Main[[#This Row],[Comments]])&lt;&gt;0, priority(Main[[#This Row],[Comments]]),"")</f>
        <v/>
      </c>
      <c r="B1217" s="90" t="s">
        <v>2591</v>
      </c>
      <c r="C1217" s="72" t="s">
        <v>4</v>
      </c>
      <c r="D1217" s="73" t="s">
        <v>3435</v>
      </c>
      <c r="E1217" s="74">
        <v>40876.276597222219</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69</v>
      </c>
      <c r="J1217" s="72" t="s">
        <v>70</v>
      </c>
      <c r="K1217" s="72" t="s">
        <v>1941</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40907</v>
      </c>
      <c r="R1217" s="74"/>
      <c r="S1217" s="72" t="s">
        <v>6</v>
      </c>
      <c r="T1217" s="80" t="s">
        <v>4</v>
      </c>
      <c r="U1217" s="72" t="s">
        <v>29</v>
      </c>
      <c r="V1217" s="72" t="s">
        <v>1942</v>
      </c>
      <c r="W1217" s="72" t="s">
        <v>1936</v>
      </c>
      <c r="X1217" s="72" t="s">
        <v>2909</v>
      </c>
      <c r="Y1217" s="72" t="s">
        <v>3024</v>
      </c>
      <c r="Z1217" s="72" t="s">
        <v>30</v>
      </c>
      <c r="AA1217" s="147" t="s">
        <v>2909</v>
      </c>
    </row>
    <row r="1218" spans="1:27" ht="18.600000000000001" customHeight="1">
      <c r="A1218" s="140" t="str">
        <f>IF(priority(Main[[#This Row],[Comments]])&lt;&gt;0, priority(Main[[#This Row],[Comments]]),"")</f>
        <v/>
      </c>
      <c r="B1218" s="90" t="s">
        <v>3464</v>
      </c>
      <c r="C1218" s="72" t="s">
        <v>3465</v>
      </c>
      <c r="D1218" s="73" t="s">
        <v>3733</v>
      </c>
      <c r="E1218" s="74">
        <v>40935.148761574077</v>
      </c>
      <c r="F1218" s="74">
        <v>41033</v>
      </c>
      <c r="G1218" s="75">
        <f>IF(stdProdLT(Main[[#This Row],[Comments]])=0.1,"N/A",IF(stdProdLT(Main[[#This Row],[Comments]])=0,"",stdProdLT(Main[[#This Row],[Comments]])))</f>
        <v>126</v>
      </c>
      <c r="H1218" s="76" t="str">
        <f>IF(AND(Main[[#This Row],[In Stock Date]]&lt;&gt;"",Main[[#This Row],[Revised Due Date]]&lt;&gt;""),Main[[#This Row],[In Stock Date]]-Main[[#This Row],[Revised Due Date]],"")</f>
        <v/>
      </c>
      <c r="I1218" s="72" t="s">
        <v>923</v>
      </c>
      <c r="J1218" s="72" t="s">
        <v>52</v>
      </c>
      <c r="K1218" s="72" t="s">
        <v>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40984</v>
      </c>
      <c r="R1218" s="74"/>
      <c r="S1218" s="72" t="s">
        <v>11</v>
      </c>
      <c r="T1218" s="80" t="s">
        <v>3595</v>
      </c>
      <c r="U1218" s="72" t="s">
        <v>7</v>
      </c>
      <c r="V1218" s="72" t="s">
        <v>1932</v>
      </c>
      <c r="W1218" s="72" t="s">
        <v>1937</v>
      </c>
      <c r="X1218" s="72" t="s">
        <v>3466</v>
      </c>
      <c r="Y1218" s="72" t="s">
        <v>4</v>
      </c>
      <c r="Z1218" s="72" t="s">
        <v>129</v>
      </c>
      <c r="AA1218" s="147" t="s">
        <v>3466</v>
      </c>
    </row>
    <row r="1219" spans="1:27" ht="18.600000000000001" customHeight="1">
      <c r="A1219" s="140" t="str">
        <f>IF(priority(Main[[#This Row],[Comments]])&lt;&gt;0, priority(Main[[#This Row],[Comments]]),"")</f>
        <v/>
      </c>
      <c r="B1219" s="90" t="s">
        <v>2855</v>
      </c>
      <c r="C1219" s="72" t="s">
        <v>47</v>
      </c>
      <c r="D1219" s="73" t="s">
        <v>2856</v>
      </c>
      <c r="E1219" s="74"/>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4</v>
      </c>
      <c r="K1219" s="72" t="s">
        <v>4</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40907</v>
      </c>
      <c r="R1219" s="74"/>
      <c r="S1219" s="72" t="s">
        <v>6</v>
      </c>
      <c r="T1219" s="80" t="s">
        <v>4</v>
      </c>
      <c r="U1219" s="72" t="s">
        <v>12</v>
      </c>
      <c r="V1219" s="72" t="s">
        <v>1935</v>
      </c>
      <c r="W1219" s="72" t="s">
        <v>4</v>
      </c>
      <c r="X1219" s="72" t="s">
        <v>2956</v>
      </c>
      <c r="Y1219" s="72" t="s">
        <v>3105</v>
      </c>
      <c r="Z1219" s="72" t="s">
        <v>4</v>
      </c>
      <c r="AA1219" s="147" t="s">
        <v>2956</v>
      </c>
    </row>
    <row r="1220" spans="1:27" ht="18.600000000000001" customHeight="1">
      <c r="A1220" s="140" t="str">
        <f>IF(priority(Main[[#This Row],[Comments]])&lt;&gt;0, priority(Main[[#This Row],[Comments]]),"")</f>
        <v/>
      </c>
      <c r="B1220" s="90" t="s">
        <v>3437</v>
      </c>
      <c r="C1220" s="72" t="s">
        <v>4</v>
      </c>
      <c r="D1220" s="73" t="s">
        <v>3438</v>
      </c>
      <c r="E1220" s="74">
        <v>40933.367569444446</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4</v>
      </c>
      <c r="J1220" s="72" t="s">
        <v>4</v>
      </c>
      <c r="K1220" s="72" t="s">
        <v>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c r="R1220" s="74"/>
      <c r="S1220" s="72" t="s">
        <v>6</v>
      </c>
      <c r="T1220" s="80" t="s">
        <v>4</v>
      </c>
      <c r="U1220" s="72" t="s">
        <v>7</v>
      </c>
      <c r="V1220" s="72" t="s">
        <v>1935</v>
      </c>
      <c r="W1220" s="72" t="s">
        <v>1936</v>
      </c>
      <c r="X1220" s="72" t="s">
        <v>2957</v>
      </c>
      <c r="Y1220" s="72" t="s">
        <v>3095</v>
      </c>
      <c r="Z1220" s="72" t="s">
        <v>4</v>
      </c>
      <c r="AA1220" s="147" t="s">
        <v>2957</v>
      </c>
    </row>
    <row r="1221" spans="1:27" ht="18.600000000000001" customHeight="1">
      <c r="A1221" s="140" t="str">
        <f>IF(priority(Main[[#This Row],[Comments]])&lt;&gt;0, priority(Main[[#This Row],[Comments]]),"")</f>
        <v/>
      </c>
      <c r="B1221" s="90" t="s">
        <v>1874</v>
      </c>
      <c r="C1221" s="72" t="s">
        <v>95</v>
      </c>
      <c r="D1221" s="73" t="s">
        <v>924</v>
      </c>
      <c r="E1221" s="74">
        <v>40428.412002314813</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420</v>
      </c>
      <c r="J1221" s="72" t="s">
        <v>28</v>
      </c>
      <c r="K1221" s="72" t="s">
        <v>1944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40574</v>
      </c>
      <c r="R1221" s="74">
        <v>41046</v>
      </c>
      <c r="S1221" s="72" t="s">
        <v>17</v>
      </c>
      <c r="T1221" s="80" t="s">
        <v>4</v>
      </c>
      <c r="U1221" s="72" t="s">
        <v>29</v>
      </c>
      <c r="V1221" s="72" t="s">
        <v>1935</v>
      </c>
      <c r="W1221" s="72" t="s">
        <v>1938</v>
      </c>
      <c r="X1221" s="72" t="s">
        <v>420</v>
      </c>
      <c r="Y1221" s="72" t="s">
        <v>3070</v>
      </c>
      <c r="Z1221" s="72" t="s">
        <v>980</v>
      </c>
      <c r="AA1221" s="147" t="s">
        <v>420</v>
      </c>
    </row>
    <row r="1222" spans="1:27" ht="18.600000000000001" customHeight="1">
      <c r="A1222" s="140" t="str">
        <f>IF(priority(Main[[#This Row],[Comments]])&lt;&gt;0, priority(Main[[#This Row],[Comments]]),"")</f>
        <v/>
      </c>
      <c r="B1222" s="90" t="s">
        <v>3439</v>
      </c>
      <c r="C1222" s="72" t="s">
        <v>4</v>
      </c>
      <c r="D1222" s="73" t="s">
        <v>3440</v>
      </c>
      <c r="E1222" s="74">
        <v>40931.434317129628</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4</v>
      </c>
      <c r="J1222" s="72" t="s">
        <v>4</v>
      </c>
      <c r="K1222" s="72"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c r="R1222" s="74"/>
      <c r="S1222" s="72" t="s">
        <v>6</v>
      </c>
      <c r="T1222" s="80" t="s">
        <v>4</v>
      </c>
      <c r="U1222" s="72" t="s">
        <v>7</v>
      </c>
      <c r="V1222" s="72" t="s">
        <v>1932</v>
      </c>
      <c r="W1222" s="72" t="s">
        <v>1936</v>
      </c>
      <c r="X1222" s="72" t="s">
        <v>2993</v>
      </c>
      <c r="Y1222" s="72" t="s">
        <v>3176</v>
      </c>
      <c r="Z1222" s="72" t="s">
        <v>4</v>
      </c>
      <c r="AA1222" s="147" t="s">
        <v>2993</v>
      </c>
    </row>
    <row r="1223" spans="1:27" ht="18.600000000000001" customHeight="1">
      <c r="A1223" s="140" t="str">
        <f>IF(priority(Main[[#This Row],[Comments]])&lt;&gt;0, priority(Main[[#This Row],[Comments]]),"")</f>
        <v/>
      </c>
      <c r="B1223" s="90" t="s">
        <v>1121</v>
      </c>
      <c r="C1223" s="72" t="s">
        <v>4</v>
      </c>
      <c r="D1223" s="73" t="s">
        <v>155</v>
      </c>
      <c r="E1223" s="74"/>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4</v>
      </c>
      <c r="J1223" s="72" t="s">
        <v>4</v>
      </c>
      <c r="K1223" s="72" t="s">
        <v>4</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v>40619</v>
      </c>
      <c r="R1223" s="74"/>
      <c r="S1223" s="72" t="s">
        <v>49</v>
      </c>
      <c r="T1223" s="80" t="s">
        <v>4</v>
      </c>
      <c r="U1223" s="72" t="s">
        <v>14</v>
      </c>
      <c r="V1223" s="72" t="s">
        <v>1935</v>
      </c>
      <c r="W1223" s="72" t="s">
        <v>1940</v>
      </c>
      <c r="X1223" s="72" t="s">
        <v>50</v>
      </c>
      <c r="Y1223" s="72" t="s">
        <v>3091</v>
      </c>
      <c r="Z1223" s="72" t="s">
        <v>4</v>
      </c>
      <c r="AA1223" s="147" t="s">
        <v>2963</v>
      </c>
    </row>
    <row r="1224" spans="1:27" ht="18.600000000000001" customHeight="1">
      <c r="A1224" s="140" t="str">
        <f>IF(priority(Main[[#This Row],[Comments]])&lt;&gt;0, priority(Main[[#This Row],[Comments]]),"")</f>
        <v/>
      </c>
      <c r="B1224" s="90" t="s">
        <v>3597</v>
      </c>
      <c r="C1224" s="72" t="s">
        <v>122</v>
      </c>
      <c r="D1224" s="73" t="s">
        <v>3598</v>
      </c>
      <c r="E1224" s="74">
        <v>40940.308703703704</v>
      </c>
      <c r="F1224" s="74"/>
      <c r="G1224" s="75" t="str">
        <f>IF(stdProdLT(Main[[#This Row],[Comments]])=0.1,"N/A",IF(stdProdLT(Main[[#This Row],[Comments]])=0,"",stdProdLT(Main[[#This Row],[Comments]])))</f>
        <v>N/A</v>
      </c>
      <c r="H1224" s="76" t="str">
        <f>IF(AND(Main[[#This Row],[In Stock Date]]&lt;&gt;"",Main[[#This Row],[Revised Due Date]]&lt;&gt;""),Main[[#This Row],[In Stock Date]]-Main[[#This Row],[Revised Due Date]],"")</f>
        <v/>
      </c>
      <c r="I1224" s="72" t="s">
        <v>4</v>
      </c>
      <c r="J1224" s="72" t="s">
        <v>4</v>
      </c>
      <c r="K1224" s="81" t="s">
        <v>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c r="S1224" s="72" t="s">
        <v>11</v>
      </c>
      <c r="T1224" s="80" t="s">
        <v>3362</v>
      </c>
      <c r="U1224" s="72" t="s">
        <v>7</v>
      </c>
      <c r="V1224" s="72" t="s">
        <v>1932</v>
      </c>
      <c r="W1224" s="72" t="s">
        <v>1934</v>
      </c>
      <c r="X1224" s="72" t="s">
        <v>2943</v>
      </c>
      <c r="Y1224" s="72" t="s">
        <v>3085</v>
      </c>
      <c r="Z1224" s="72" t="s">
        <v>4</v>
      </c>
      <c r="AA1224" s="147" t="s">
        <v>2943</v>
      </c>
    </row>
    <row r="1225" spans="1:27" ht="18.600000000000001" customHeight="1">
      <c r="A1225" s="140" t="str">
        <f>IF(priority(Main[[#This Row],[Comments]])&lt;&gt;0, priority(Main[[#This Row],[Comments]]),"")</f>
        <v/>
      </c>
      <c r="B1225" s="90" t="s">
        <v>2869</v>
      </c>
      <c r="C1225" s="72" t="s">
        <v>4</v>
      </c>
      <c r="D1225" s="73" t="s">
        <v>2870</v>
      </c>
      <c r="E1225" s="74">
        <v>40883.621099537035</v>
      </c>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165</v>
      </c>
      <c r="J1225" s="72" t="s">
        <v>4</v>
      </c>
      <c r="K1225" s="72" t="s">
        <v>1944</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c r="R1225" s="74"/>
      <c r="S1225" s="72" t="s">
        <v>17</v>
      </c>
      <c r="T1225" s="80" t="s">
        <v>4</v>
      </c>
      <c r="U1225" s="72" t="s">
        <v>29</v>
      </c>
      <c r="V1225" s="72" t="s">
        <v>1935</v>
      </c>
      <c r="W1225" s="72" t="s">
        <v>1937</v>
      </c>
      <c r="X1225" s="72" t="s">
        <v>420</v>
      </c>
      <c r="Y1225" s="72" t="s">
        <v>3070</v>
      </c>
      <c r="Z1225" s="72" t="s">
        <v>420</v>
      </c>
      <c r="AA1225" s="147" t="s">
        <v>420</v>
      </c>
    </row>
    <row r="1226" spans="1:27" ht="18.600000000000001" customHeight="1">
      <c r="A1226" s="140" t="str">
        <f>IF(priority(Main[[#This Row],[Comments]])&lt;&gt;0, priority(Main[[#This Row],[Comments]]),"")</f>
        <v/>
      </c>
      <c r="B1226" s="90" t="s">
        <v>1038</v>
      </c>
      <c r="C1226" s="72" t="s">
        <v>4</v>
      </c>
      <c r="D1226" s="73" t="s">
        <v>2871</v>
      </c>
      <c r="E1226" s="74">
        <v>40294.37054398148</v>
      </c>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173</v>
      </c>
      <c r="J1226" s="72" t="s">
        <v>21</v>
      </c>
      <c r="K1226" s="72" t="s">
        <v>1941</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40909</v>
      </c>
      <c r="R1226" s="74"/>
      <c r="S1226" s="72" t="s">
        <v>6</v>
      </c>
      <c r="T1226" s="80" t="s">
        <v>4</v>
      </c>
      <c r="U1226" s="72" t="s">
        <v>29</v>
      </c>
      <c r="V1226" s="72" t="s">
        <v>1935</v>
      </c>
      <c r="W1226" s="72" t="s">
        <v>1936</v>
      </c>
      <c r="X1226" s="72" t="s">
        <v>2910</v>
      </c>
      <c r="Y1226" s="72" t="s">
        <v>3027</v>
      </c>
      <c r="Z1226" s="72" t="s">
        <v>242</v>
      </c>
      <c r="AA1226" s="147" t="s">
        <v>2910</v>
      </c>
    </row>
    <row r="1227" spans="1:27" ht="18.600000000000001" customHeight="1">
      <c r="A1227" s="140" t="str">
        <f>IF(priority(Main[[#This Row],[Comments]])&lt;&gt;0, priority(Main[[#This Row],[Comments]]),"")</f>
        <v/>
      </c>
      <c r="B1227" s="137" t="s">
        <v>1869</v>
      </c>
      <c r="C1227" s="130" t="s">
        <v>4</v>
      </c>
      <c r="D1227" s="131" t="s">
        <v>2902</v>
      </c>
      <c r="E1227" s="132">
        <v>40365.451284722221</v>
      </c>
      <c r="F1227" s="132"/>
      <c r="G1227" s="133" t="str">
        <f>IF(stdProdLT(Main[[#This Row],[Comments]])=0.1,"N/A",IF(stdProdLT(Main[[#This Row],[Comments]])=0,"",stdProdLT(Main[[#This Row],[Comments]])))</f>
        <v/>
      </c>
      <c r="H1227" s="134" t="str">
        <f>IF(AND(Main[[#This Row],[In Stock Date]]&lt;&gt;"",Main[[#This Row],[Revised Due Date]]&lt;&gt;""),Main[[#This Row],[In Stock Date]]-Main[[#This Row],[Revised Due Date]],"")</f>
        <v/>
      </c>
      <c r="I1227" s="130" t="s">
        <v>918</v>
      </c>
      <c r="J1227" s="130" t="s">
        <v>28</v>
      </c>
      <c r="K1227" s="130" t="s">
        <v>1944</v>
      </c>
      <c r="L1227" s="132"/>
      <c r="M1227" s="135" t="str">
        <f>IF(Main[[#This Row],[Tech Start Date]]&lt;1/1/1990,"",IF(Main[[#This Row],[Class]]="C",WORKDAY(Main[[#This Row],[Tech Start Date]],9),IF(Main[[#This Row],[Class]]="B", WORKDAY(Main[[#This Row],[Tech Start Date]],6),IF(Main[[#This Row],[Class]]="A",WORKDAY(Main[[#This Row],[Tech Start Date]],2),""))))</f>
        <v/>
      </c>
      <c r="N1227" s="135" t="str">
        <f>IF(Main[[#This Row],[Tech Start Date]]&lt;1/1/1990,"",IF(Main[[#This Row],[Class]]="C",WORKDAY(Main[[#This Row],[Tech Start Date]],19),IF(Main[[#This Row],[Class]]="B", WORKDAY(Main[[#This Row],[Tech Start Date]],12),IF(Main[[#This Row],[Class]]="A",WORKDAY(Main[[#This Row],[Tech Start Date]],4),""))))</f>
        <v/>
      </c>
      <c r="O1227" s="135" t="str">
        <f>IF(Main[[#This Row],[Tech Start Date]]&lt;1/1/1990,"",IF(Main[[#This Row],[Class]]="C",WORKDAY(Main[[#This Row],[Tech Start Date]],23),IF(Main[[#This Row],[Class]]="B", WORKDAY(Main[[#This Row],[Tech Start Date]],15),IF(Main[[#This Row],[Class]]="A",WORKDAY(Main[[#This Row],[Tech Start Date]],5),""))))</f>
        <v/>
      </c>
      <c r="P1227" s="135" t="str">
        <f>IF(Main[[#This Row],[Tech Start Date]]&lt;1/1/1990,"",IF(Main[[#This Row],[Class]]="C",WORKDAY(Main[[#This Row],[Tech Start Date]],28),IF(Main[[#This Row],[Class]]="B", WORKDAY(Main[[#This Row],[Tech Start Date]],19),IF(Main[[#This Row],[Class]]="A",WORKDAY(Main[[#This Row],[Tech Start Date]],9),""))))</f>
        <v/>
      </c>
      <c r="Q1227" s="132">
        <v>40968</v>
      </c>
      <c r="R1227" s="132">
        <v>40939</v>
      </c>
      <c r="S1227" s="130" t="s">
        <v>17</v>
      </c>
      <c r="T1227" s="136" t="s">
        <v>2639</v>
      </c>
      <c r="U1227" s="130" t="s">
        <v>29</v>
      </c>
      <c r="V1227" s="130" t="s">
        <v>1932</v>
      </c>
      <c r="W1227" s="130" t="s">
        <v>1937</v>
      </c>
      <c r="X1227" s="130" t="s">
        <v>129</v>
      </c>
      <c r="Y1227" s="130" t="s">
        <v>4</v>
      </c>
      <c r="Z1227" s="130" t="s">
        <v>129</v>
      </c>
      <c r="AA1227" s="147" t="s">
        <v>2919</v>
      </c>
    </row>
    <row r="1228" spans="1:27" ht="18.600000000000001" customHeight="1">
      <c r="A1228" s="140" t="str">
        <f>IF(priority(Main[[#This Row],[Comments]])&lt;&gt;0, priority(Main[[#This Row],[Comments]]),"")</f>
        <v/>
      </c>
      <c r="B1228" s="90" t="s">
        <v>1214</v>
      </c>
      <c r="C1228" s="72" t="s">
        <v>4</v>
      </c>
      <c r="D1228" s="73" t="s">
        <v>3462</v>
      </c>
      <c r="E1228" s="74">
        <v>40926.591296296298</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2073</v>
      </c>
      <c r="J1228" s="72" t="s">
        <v>28</v>
      </c>
      <c r="K1228" s="81" t="s">
        <v>1941</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c r="R1228" s="74"/>
      <c r="S1228" s="72" t="s">
        <v>6</v>
      </c>
      <c r="T1228" s="80" t="s">
        <v>4</v>
      </c>
      <c r="U1228" s="72" t="s">
        <v>29</v>
      </c>
      <c r="V1228" s="72" t="s">
        <v>1935</v>
      </c>
      <c r="W1228" s="72" t="s">
        <v>1936</v>
      </c>
      <c r="X1228" s="72" t="s">
        <v>2910</v>
      </c>
      <c r="Y1228" s="72" t="s">
        <v>3027</v>
      </c>
      <c r="Z1228" s="72" t="s">
        <v>30</v>
      </c>
      <c r="AA1228" s="147" t="s">
        <v>2910</v>
      </c>
    </row>
    <row r="1229" spans="1:27" ht="18.600000000000001" customHeight="1">
      <c r="A1229" s="140" t="str">
        <f>IF(priority(Main[[#This Row],[Comments]])&lt;&gt;0, priority(Main[[#This Row],[Comments]]),"")</f>
        <v/>
      </c>
      <c r="B1229" s="90" t="s">
        <v>3416</v>
      </c>
      <c r="C1229" s="72" t="s">
        <v>4</v>
      </c>
      <c r="D1229" s="73" t="s">
        <v>3788</v>
      </c>
      <c r="E1229" s="74">
        <v>40932.457638888889</v>
      </c>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949</v>
      </c>
      <c r="J1229" s="72" t="s">
        <v>28</v>
      </c>
      <c r="K1229" s="72"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6</v>
      </c>
      <c r="T1229" s="80" t="s">
        <v>4</v>
      </c>
      <c r="U1229" s="72" t="s">
        <v>29</v>
      </c>
      <c r="V1229" s="72" t="s">
        <v>1932</v>
      </c>
      <c r="W1229" s="72" t="s">
        <v>1936</v>
      </c>
      <c r="X1229" s="72" t="s">
        <v>949</v>
      </c>
      <c r="Y1229" s="72" t="s">
        <v>3417</v>
      </c>
      <c r="Z1229" s="72" t="s">
        <v>129</v>
      </c>
      <c r="AA1229" s="147" t="s">
        <v>3699</v>
      </c>
    </row>
    <row r="1230" spans="1:27" ht="18.600000000000001" customHeight="1">
      <c r="A1230" s="140" t="str">
        <f>IF(priority(Main[[#This Row],[Comments]])&lt;&gt;0, priority(Main[[#This Row],[Comments]]),"")</f>
        <v/>
      </c>
      <c r="B1230" s="90" t="s">
        <v>2142</v>
      </c>
      <c r="C1230" s="72" t="s">
        <v>4</v>
      </c>
      <c r="D1230" s="73" t="s">
        <v>3789</v>
      </c>
      <c r="E1230" s="74">
        <v>40780.253831018519</v>
      </c>
      <c r="F1230" s="74"/>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30</v>
      </c>
      <c r="J1230" s="72" t="s">
        <v>52</v>
      </c>
      <c r="K1230" s="81" t="s">
        <v>1941</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40800</v>
      </c>
      <c r="R1230" s="74"/>
      <c r="S1230" s="72" t="s">
        <v>6</v>
      </c>
      <c r="T1230" s="80" t="s">
        <v>4</v>
      </c>
      <c r="U1230" s="72" t="s">
        <v>29</v>
      </c>
      <c r="V1230" s="72" t="s">
        <v>1935</v>
      </c>
      <c r="W1230" s="72" t="s">
        <v>1936</v>
      </c>
      <c r="X1230" s="72" t="s">
        <v>2913</v>
      </c>
      <c r="Y1230" s="72" t="s">
        <v>3033</v>
      </c>
      <c r="Z1230" s="72" t="s">
        <v>30</v>
      </c>
      <c r="AA1230" s="147" t="s">
        <v>2913</v>
      </c>
    </row>
    <row r="1231" spans="1:27" ht="18.600000000000001" customHeight="1">
      <c r="A1231" s="140" t="str">
        <f>IF(priority(Main[[#This Row],[Comments]])&lt;&gt;0, priority(Main[[#This Row],[Comments]]),"")</f>
        <v/>
      </c>
      <c r="B1231" s="90" t="s">
        <v>2512</v>
      </c>
      <c r="C1231" s="72" t="s">
        <v>4</v>
      </c>
      <c r="D1231" s="73" t="s">
        <v>2513</v>
      </c>
      <c r="E1231" s="74">
        <v>40849.40829861111</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2066</v>
      </c>
      <c r="J1231" s="72" t="s">
        <v>21</v>
      </c>
      <c r="K1231" s="72" t="s">
        <v>1941</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40856</v>
      </c>
      <c r="R1231" s="74"/>
      <c r="S1231" s="72" t="s">
        <v>6</v>
      </c>
      <c r="T1231" s="80" t="s">
        <v>4</v>
      </c>
      <c r="U1231" s="72" t="s">
        <v>29</v>
      </c>
      <c r="V1231" s="72" t="s">
        <v>1935</v>
      </c>
      <c r="W1231" s="72" t="s">
        <v>1936</v>
      </c>
      <c r="X1231" s="72" t="s">
        <v>2994</v>
      </c>
      <c r="Y1231" s="72" t="s">
        <v>3178</v>
      </c>
      <c r="Z1231" s="72" t="s">
        <v>4</v>
      </c>
      <c r="AA1231" s="147" t="s">
        <v>2994</v>
      </c>
    </row>
    <row r="1232" spans="1:27" ht="18.600000000000001" customHeight="1">
      <c r="A1232" s="140" t="str">
        <f>IF(priority(Main[[#This Row],[Comments]])&lt;&gt;0, priority(Main[[#This Row],[Comments]]),"")</f>
        <v/>
      </c>
      <c r="B1232" s="90" t="s">
        <v>3732</v>
      </c>
      <c r="C1232" s="72" t="s">
        <v>31</v>
      </c>
      <c r="D1232" s="73" t="s">
        <v>3790</v>
      </c>
      <c r="E1232" s="74">
        <v>40940.638229166667</v>
      </c>
      <c r="F1232" s="74">
        <v>40990</v>
      </c>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2234</v>
      </c>
      <c r="J1232" s="72" t="s">
        <v>75</v>
      </c>
      <c r="K1232" s="72" t="s">
        <v>1939</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40942</v>
      </c>
      <c r="R1232" s="74"/>
      <c r="S1232" s="72" t="s">
        <v>6</v>
      </c>
      <c r="T1232" s="80" t="s">
        <v>4</v>
      </c>
      <c r="U1232" s="72" t="s">
        <v>29</v>
      </c>
      <c r="V1232" s="72" t="s">
        <v>1942</v>
      </c>
      <c r="W1232" s="72" t="s">
        <v>1938</v>
      </c>
      <c r="X1232" s="72" t="s">
        <v>2915</v>
      </c>
      <c r="Y1232" s="72" t="s">
        <v>3038</v>
      </c>
      <c r="Z1232" s="72" t="s">
        <v>310</v>
      </c>
      <c r="AA1232" s="147" t="s">
        <v>2915</v>
      </c>
    </row>
    <row r="1233" spans="1:27" ht="18.600000000000001" customHeight="1">
      <c r="A1233" s="140" t="str">
        <f>IF(priority(Main[[#This Row],[Comments]])&lt;&gt;0, priority(Main[[#This Row],[Comments]]),"")</f>
        <v/>
      </c>
      <c r="B1233" s="90" t="s">
        <v>3446</v>
      </c>
      <c r="C1233" s="72" t="s">
        <v>4</v>
      </c>
      <c r="D1233" s="73" t="s">
        <v>3447</v>
      </c>
      <c r="E1233" s="74">
        <v>40932.426516203705</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4</v>
      </c>
      <c r="J1233" s="72" t="s">
        <v>4</v>
      </c>
      <c r="K1233" s="72" t="s">
        <v>4</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c r="R1233" s="74"/>
      <c r="S1233" s="72" t="s">
        <v>6</v>
      </c>
      <c r="T1233" s="80" t="s">
        <v>4</v>
      </c>
      <c r="U1233" s="72" t="s">
        <v>7</v>
      </c>
      <c r="V1233" s="72" t="s">
        <v>1935</v>
      </c>
      <c r="W1233" s="72" t="s">
        <v>1936</v>
      </c>
      <c r="X1233" s="72" t="s">
        <v>2957</v>
      </c>
      <c r="Y1233" s="72" t="s">
        <v>3095</v>
      </c>
      <c r="Z1233" s="72" t="s">
        <v>4</v>
      </c>
      <c r="AA1233" s="147" t="s">
        <v>2957</v>
      </c>
    </row>
    <row r="1234" spans="1:27" ht="18.600000000000001" customHeight="1">
      <c r="A1234" s="140" t="str">
        <f>IF(priority(Main[[#This Row],[Comments]])&lt;&gt;0, priority(Main[[#This Row],[Comments]]),"")</f>
        <v/>
      </c>
      <c r="B1234" s="90" t="s">
        <v>1866</v>
      </c>
      <c r="C1234" s="72" t="s">
        <v>4</v>
      </c>
      <c r="D1234" s="73" t="s">
        <v>915</v>
      </c>
      <c r="E1234" s="74">
        <v>39968.569513888891</v>
      </c>
      <c r="F1234" s="74">
        <v>40298</v>
      </c>
      <c r="G1234" s="75" t="str">
        <f>IF(stdProdLT(Main[[#This Row],[Comments]])=0.1,"N/A",IF(stdProdLT(Main[[#This Row],[Comments]])=0,"",stdProdLT(Main[[#This Row],[Comments]])))</f>
        <v/>
      </c>
      <c r="H1234" s="76">
        <f>IF(AND(Main[[#This Row],[In Stock Date]]&lt;&gt;"",Main[[#This Row],[Revised Due Date]]&lt;&gt;""),Main[[#This Row],[In Stock Date]]-Main[[#This Row],[Revised Due Date]],"")</f>
        <v>-704</v>
      </c>
      <c r="I1234" s="72" t="s">
        <v>986</v>
      </c>
      <c r="J1234" s="72" t="s">
        <v>4</v>
      </c>
      <c r="K1234" s="72" t="s">
        <v>1944</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40165</v>
      </c>
      <c r="R1234" s="74">
        <v>41002</v>
      </c>
      <c r="S1234" s="72" t="s">
        <v>17</v>
      </c>
      <c r="T1234" s="80" t="s">
        <v>4</v>
      </c>
      <c r="U1234" s="72" t="s">
        <v>29</v>
      </c>
      <c r="V1234" s="72" t="s">
        <v>1935</v>
      </c>
      <c r="W1234" s="72" t="s">
        <v>1937</v>
      </c>
      <c r="X1234" s="72" t="s">
        <v>980</v>
      </c>
      <c r="Y1234" s="72" t="s">
        <v>3212</v>
      </c>
      <c r="Z1234" s="72" t="s">
        <v>420</v>
      </c>
      <c r="AA1234" s="147" t="s">
        <v>980</v>
      </c>
    </row>
    <row r="1235" spans="1:27" ht="18.600000000000001" customHeight="1">
      <c r="A1235" s="140" t="str">
        <f>IF(priority(Main[[#This Row],[Comments]])&lt;&gt;0, priority(Main[[#This Row],[Comments]]),"")</f>
        <v/>
      </c>
      <c r="B1235" s="90" t="s">
        <v>2864</v>
      </c>
      <c r="C1235" s="72" t="s">
        <v>4</v>
      </c>
      <c r="D1235" s="73" t="s">
        <v>2865</v>
      </c>
      <c r="E1235" s="74">
        <v>40905.712777777779</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81"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v>40939</v>
      </c>
      <c r="R1235" s="74"/>
      <c r="S1235" s="72" t="s">
        <v>6</v>
      </c>
      <c r="T1235" s="80" t="s">
        <v>4</v>
      </c>
      <c r="U1235" s="72" t="s">
        <v>7</v>
      </c>
      <c r="V1235" s="72" t="s">
        <v>1932</v>
      </c>
      <c r="W1235" s="72" t="s">
        <v>4</v>
      </c>
      <c r="X1235" s="72" t="s">
        <v>2910</v>
      </c>
      <c r="Y1235" s="72" t="s">
        <v>3027</v>
      </c>
      <c r="Z1235" s="72" t="s">
        <v>4</v>
      </c>
      <c r="AA1235" s="147" t="s">
        <v>2910</v>
      </c>
    </row>
    <row r="1236" spans="1:27" ht="18.600000000000001" customHeight="1">
      <c r="A1236" s="140" t="str">
        <f>IF(priority(Main[[#This Row],[Comments]])&lt;&gt;0, priority(Main[[#This Row],[Comments]]),"")</f>
        <v/>
      </c>
      <c r="B1236" s="90" t="s">
        <v>2618</v>
      </c>
      <c r="C1236" s="72" t="s">
        <v>4</v>
      </c>
      <c r="D1236" s="73" t="s">
        <v>2866</v>
      </c>
      <c r="E1236" s="74">
        <v>40870.473611111112</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434</v>
      </c>
      <c r="J1236" s="72" t="s">
        <v>28</v>
      </c>
      <c r="K1236" s="72" t="s">
        <v>1941</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40905</v>
      </c>
      <c r="R1236" s="74"/>
      <c r="S1236" s="72" t="s">
        <v>6</v>
      </c>
      <c r="T1236" s="80" t="s">
        <v>4</v>
      </c>
      <c r="U1236" s="72" t="s">
        <v>29</v>
      </c>
      <c r="V1236" s="72" t="s">
        <v>1935</v>
      </c>
      <c r="W1236" s="72" t="s">
        <v>1936</v>
      </c>
      <c r="X1236" s="72" t="s">
        <v>2073</v>
      </c>
      <c r="Y1236" s="72" t="s">
        <v>3155</v>
      </c>
      <c r="Z1236" s="72" t="s">
        <v>30</v>
      </c>
      <c r="AA1236" s="147" t="s">
        <v>2986</v>
      </c>
    </row>
    <row r="1237" spans="1:27" ht="18.600000000000001" customHeight="1">
      <c r="A1237" s="140" t="str">
        <f>IF(priority(Main[[#This Row],[Comments]])&lt;&gt;0, priority(Main[[#This Row],[Comments]]),"")</f>
        <v/>
      </c>
      <c r="B1237" s="90" t="s">
        <v>1140</v>
      </c>
      <c r="C1237" s="72" t="s">
        <v>4</v>
      </c>
      <c r="D1237" s="73" t="s">
        <v>180</v>
      </c>
      <c r="E1237" s="74">
        <v>40430.633981481478</v>
      </c>
      <c r="F1237" s="74">
        <v>40522</v>
      </c>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242</v>
      </c>
      <c r="J1237" s="72" t="s">
        <v>21</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v>40522</v>
      </c>
      <c r="R1237" s="74"/>
      <c r="S1237" s="72" t="s">
        <v>6</v>
      </c>
      <c r="T1237" s="80" t="s">
        <v>4</v>
      </c>
      <c r="U1237" s="72" t="s">
        <v>29</v>
      </c>
      <c r="V1237" s="72" t="s">
        <v>1935</v>
      </c>
      <c r="W1237" s="72" t="s">
        <v>1936</v>
      </c>
      <c r="X1237" s="72" t="s">
        <v>2910</v>
      </c>
      <c r="Y1237" s="72" t="s">
        <v>3027</v>
      </c>
      <c r="Z1237" s="72" t="s">
        <v>30</v>
      </c>
      <c r="AA1237" s="147" t="s">
        <v>2910</v>
      </c>
    </row>
    <row r="1238" spans="1:27" ht="18.600000000000001" customHeight="1">
      <c r="A1238" s="140" t="str">
        <f>IF(priority(Main[[#This Row],[Comments]])&lt;&gt;0, priority(Main[[#This Row],[Comments]]),"")</f>
        <v/>
      </c>
      <c r="B1238" s="90" t="s">
        <v>1863</v>
      </c>
      <c r="C1238" s="72" t="s">
        <v>67</v>
      </c>
      <c r="D1238" s="73" t="s">
        <v>2623</v>
      </c>
      <c r="E1238" s="74">
        <v>40343.573750000003</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74</v>
      </c>
      <c r="J1238" s="72" t="s">
        <v>28</v>
      </c>
      <c r="K1238" s="72" t="s">
        <v>1944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v>40466</v>
      </c>
      <c r="R1238" s="74">
        <v>40868</v>
      </c>
      <c r="S1238" s="72" t="s">
        <v>17</v>
      </c>
      <c r="T1238" s="80" t="s">
        <v>4</v>
      </c>
      <c r="U1238" s="72" t="s">
        <v>29</v>
      </c>
      <c r="V1238" s="72" t="s">
        <v>1935</v>
      </c>
      <c r="W1238" s="72" t="s">
        <v>1938</v>
      </c>
      <c r="X1238" s="72" t="s">
        <v>310</v>
      </c>
      <c r="Y1238" s="72" t="s">
        <v>3044</v>
      </c>
      <c r="Z1238" s="72" t="s">
        <v>420</v>
      </c>
      <c r="AA1238" s="147" t="s">
        <v>420</v>
      </c>
    </row>
    <row r="1239" spans="1:27" ht="18.600000000000001" customHeight="1">
      <c r="A1239" s="140" t="str">
        <f>IF(priority(Main[[#This Row],[Comments]])&lt;&gt;0, priority(Main[[#This Row],[Comments]]),"")</f>
        <v/>
      </c>
      <c r="B1239" s="90" t="s">
        <v>3791</v>
      </c>
      <c r="C1239" s="72" t="s">
        <v>3792</v>
      </c>
      <c r="D1239" s="73" t="s">
        <v>3793</v>
      </c>
      <c r="E1239" s="74">
        <v>40942.38244212963</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2234</v>
      </c>
      <c r="J1239" s="72" t="s">
        <v>75</v>
      </c>
      <c r="K1239" s="81" t="s">
        <v>1939</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c r="R1239" s="74"/>
      <c r="S1239" s="72" t="s">
        <v>6</v>
      </c>
      <c r="T1239" s="80" t="s">
        <v>4</v>
      </c>
      <c r="U1239" s="72" t="s">
        <v>29</v>
      </c>
      <c r="V1239" s="72" t="s">
        <v>1935</v>
      </c>
      <c r="W1239" s="72" t="s">
        <v>1938</v>
      </c>
      <c r="X1239" s="72" t="s">
        <v>2234</v>
      </c>
      <c r="Y1239" s="72" t="s">
        <v>3552</v>
      </c>
      <c r="Z1239" s="72" t="s">
        <v>310</v>
      </c>
      <c r="AA1239" s="147" t="s">
        <v>3702</v>
      </c>
    </row>
    <row r="1240" spans="1:27" ht="18.600000000000001" customHeight="1">
      <c r="A1240" s="140" t="str">
        <f>IF(priority(Main[[#This Row],[Comments]])&lt;&gt;0, priority(Main[[#This Row],[Comments]]),"")</f>
        <v/>
      </c>
      <c r="B1240" s="90" t="s">
        <v>2087</v>
      </c>
      <c r="C1240" s="72" t="s">
        <v>4</v>
      </c>
      <c r="D1240" s="73" t="s">
        <v>2088</v>
      </c>
      <c r="E1240" s="74">
        <v>40926.59207175926</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535</v>
      </c>
      <c r="J1240" s="72" t="s">
        <v>52</v>
      </c>
      <c r="K1240" s="72" t="s">
        <v>1941</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40798</v>
      </c>
      <c r="R1240" s="74"/>
      <c r="S1240" s="72" t="s">
        <v>6</v>
      </c>
      <c r="T1240" s="80" t="s">
        <v>4</v>
      </c>
      <c r="U1240" s="72" t="s">
        <v>29</v>
      </c>
      <c r="V1240" s="72" t="s">
        <v>1935</v>
      </c>
      <c r="W1240" s="72" t="s">
        <v>1936</v>
      </c>
      <c r="X1240" s="72" t="s">
        <v>2910</v>
      </c>
      <c r="Y1240" s="72" t="s">
        <v>3027</v>
      </c>
      <c r="Z1240" s="72" t="s">
        <v>30</v>
      </c>
      <c r="AA1240" s="147" t="s">
        <v>2910</v>
      </c>
    </row>
    <row r="1241" spans="1:27" ht="18.600000000000001" customHeight="1">
      <c r="A1241" s="140" t="str">
        <f>IF(priority(Main[[#This Row],[Comments]])&lt;&gt;0, priority(Main[[#This Row],[Comments]]),"")</f>
        <v/>
      </c>
      <c r="B1241" s="90" t="s">
        <v>1474</v>
      </c>
      <c r="C1241" s="72" t="s">
        <v>200</v>
      </c>
      <c r="D1241" s="73" t="s">
        <v>2556</v>
      </c>
      <c r="E1241" s="74">
        <v>40711.410266203704</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v>
      </c>
      <c r="J1241" s="72" t="s">
        <v>4</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40846</v>
      </c>
      <c r="R1241" s="74"/>
      <c r="S1241" s="72" t="s">
        <v>17</v>
      </c>
      <c r="T1241" s="80" t="s">
        <v>4</v>
      </c>
      <c r="U1241" s="72" t="s">
        <v>29</v>
      </c>
      <c r="V1241" s="72" t="s">
        <v>1935</v>
      </c>
      <c r="W1241" s="72" t="s">
        <v>1940</v>
      </c>
      <c r="X1241" s="72" t="s">
        <v>559</v>
      </c>
      <c r="Y1241" s="72" t="s">
        <v>3047</v>
      </c>
      <c r="Z1241" s="72" t="s">
        <v>4</v>
      </c>
      <c r="AA1241" s="147" t="s">
        <v>559</v>
      </c>
    </row>
    <row r="1242" spans="1:27" ht="18.600000000000001" customHeight="1">
      <c r="A1242" s="140" t="str">
        <f>IF(priority(Main[[#This Row],[Comments]])&lt;&gt;0, priority(Main[[#This Row],[Comments]]),"")</f>
        <v/>
      </c>
      <c r="B1242" s="90" t="s">
        <v>3334</v>
      </c>
      <c r="C1242" s="72" t="s">
        <v>138</v>
      </c>
      <c r="D1242" s="73" t="s">
        <v>3335</v>
      </c>
      <c r="E1242" s="74">
        <v>40924.465787037036</v>
      </c>
      <c r="F1242" s="74">
        <v>41008</v>
      </c>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535</v>
      </c>
      <c r="J1242" s="72" t="s">
        <v>28</v>
      </c>
      <c r="K1242" s="81" t="s">
        <v>1941</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40935</v>
      </c>
      <c r="R1242" s="74"/>
      <c r="S1242" s="72" t="s">
        <v>49</v>
      </c>
      <c r="T1242" s="80" t="s">
        <v>3336</v>
      </c>
      <c r="U1242" s="72" t="s">
        <v>7</v>
      </c>
      <c r="V1242" s="72" t="s">
        <v>1942</v>
      </c>
      <c r="W1242" s="72" t="s">
        <v>1940</v>
      </c>
      <c r="X1242" s="72" t="s">
        <v>2997</v>
      </c>
      <c r="Y1242" s="72" t="s">
        <v>3191</v>
      </c>
      <c r="Z1242" s="72" t="s">
        <v>30</v>
      </c>
      <c r="AA1242" s="147" t="s">
        <v>2997</v>
      </c>
    </row>
    <row r="1243" spans="1:27" ht="18.600000000000001" customHeight="1">
      <c r="A1243" s="140" t="str">
        <f>IF(priority(Main[[#This Row],[Comments]])&lt;&gt;0, priority(Main[[#This Row],[Comments]]),"")</f>
        <v/>
      </c>
      <c r="B1243" s="90" t="s">
        <v>1882</v>
      </c>
      <c r="C1243" s="72" t="s">
        <v>47</v>
      </c>
      <c r="D1243" s="73" t="s">
        <v>931</v>
      </c>
      <c r="E1243" s="74">
        <v>39937.596770833334</v>
      </c>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986</v>
      </c>
      <c r="J1243" s="72" t="s">
        <v>4</v>
      </c>
      <c r="K1243" s="81" t="s">
        <v>1944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c r="R1243" s="74">
        <v>40999</v>
      </c>
      <c r="S1243" s="72" t="s">
        <v>17</v>
      </c>
      <c r="T1243" s="80" t="s">
        <v>4</v>
      </c>
      <c r="U1243" s="72" t="s">
        <v>29</v>
      </c>
      <c r="V1243" s="72" t="s">
        <v>1935</v>
      </c>
      <c r="W1243" s="72" t="s">
        <v>1937</v>
      </c>
      <c r="X1243" s="72" t="s">
        <v>2918</v>
      </c>
      <c r="Y1243" s="72" t="s">
        <v>3043</v>
      </c>
      <c r="Z1243" s="72" t="s">
        <v>420</v>
      </c>
      <c r="AA1243" s="147" t="s">
        <v>2918</v>
      </c>
    </row>
    <row r="1244" spans="1:27" ht="18.600000000000001" customHeight="1">
      <c r="A1244" s="140" t="str">
        <f>IF(priority(Main[[#This Row],[Comments]])&lt;&gt;0, priority(Main[[#This Row],[Comments]]),"")</f>
        <v/>
      </c>
      <c r="B1244" s="90" t="s">
        <v>3582</v>
      </c>
      <c r="C1244" s="72" t="s">
        <v>2387</v>
      </c>
      <c r="D1244" s="73" t="s">
        <v>3547</v>
      </c>
      <c r="E1244" s="74"/>
      <c r="F1244" s="74">
        <v>41030</v>
      </c>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4</v>
      </c>
      <c r="J1244" s="72" t="s">
        <v>4</v>
      </c>
      <c r="K1244" s="72" t="s">
        <v>4</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v>40890</v>
      </c>
      <c r="R1244" s="74"/>
      <c r="S1244" s="72" t="s">
        <v>11</v>
      </c>
      <c r="T1244" s="80" t="s">
        <v>4</v>
      </c>
      <c r="U1244" s="72" t="s">
        <v>12</v>
      </c>
      <c r="V1244" s="72" t="s">
        <v>1942</v>
      </c>
      <c r="W1244" s="72" t="s">
        <v>1940</v>
      </c>
      <c r="X1244" s="72" t="s">
        <v>2934</v>
      </c>
      <c r="Y1244" s="72" t="s">
        <v>4</v>
      </c>
      <c r="Z1244" s="72" t="s">
        <v>4</v>
      </c>
      <c r="AA1244" s="147" t="s">
        <v>2934</v>
      </c>
    </row>
    <row r="1245" spans="1:27" ht="18.600000000000001" customHeight="1">
      <c r="A1245" s="140" t="str">
        <f>IF(priority(Main[[#This Row],[Comments]])&lt;&gt;0, priority(Main[[#This Row],[Comments]]),"")</f>
        <v/>
      </c>
      <c r="B1245" s="90" t="s">
        <v>2190</v>
      </c>
      <c r="C1245" s="72" t="s">
        <v>4</v>
      </c>
      <c r="D1245" s="73" t="s">
        <v>2630</v>
      </c>
      <c r="E1245" s="74">
        <v>40780.676446759258</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4</v>
      </c>
      <c r="J1245" s="72" t="s">
        <v>4</v>
      </c>
      <c r="K1245" s="72" t="s">
        <v>4</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v>40787</v>
      </c>
      <c r="R1245" s="74"/>
      <c r="S1245" s="72" t="s">
        <v>6</v>
      </c>
      <c r="T1245" s="80" t="s">
        <v>4</v>
      </c>
      <c r="U1245" s="72" t="s">
        <v>7</v>
      </c>
      <c r="V1245" s="72" t="s">
        <v>1932</v>
      </c>
      <c r="W1245" s="72" t="s">
        <v>1940</v>
      </c>
      <c r="X1245" s="72" t="s">
        <v>2912</v>
      </c>
      <c r="Y1245" s="72" t="s">
        <v>3031</v>
      </c>
      <c r="Z1245" s="72" t="s">
        <v>4</v>
      </c>
      <c r="AA1245" s="147" t="s">
        <v>2912</v>
      </c>
    </row>
    <row r="1246" spans="1:27" ht="18.600000000000001" customHeight="1">
      <c r="A1246" s="140" t="str">
        <f>IF(priority(Main[[#This Row],[Comments]])&lt;&gt;0, priority(Main[[#This Row],[Comments]]),"")</f>
        <v/>
      </c>
      <c r="B1246" s="90" t="s">
        <v>3734</v>
      </c>
      <c r="C1246" s="72" t="s">
        <v>3735</v>
      </c>
      <c r="D1246" s="73" t="s">
        <v>3736</v>
      </c>
      <c r="E1246" s="74">
        <v>40940.978842592594</v>
      </c>
      <c r="F1246" s="74">
        <v>41116</v>
      </c>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4</v>
      </c>
      <c r="J1246" s="72" t="s">
        <v>4</v>
      </c>
      <c r="K1246" s="72" t="s">
        <v>4</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40976</v>
      </c>
      <c r="R1246" s="74"/>
      <c r="S1246" s="72" t="s">
        <v>11</v>
      </c>
      <c r="T1246" s="80" t="s">
        <v>4</v>
      </c>
      <c r="U1246" s="72" t="s">
        <v>7</v>
      </c>
      <c r="V1246" s="72" t="s">
        <v>1942</v>
      </c>
      <c r="W1246" s="72" t="s">
        <v>1940</v>
      </c>
      <c r="X1246" s="72" t="s">
        <v>3737</v>
      </c>
      <c r="Y1246" s="72" t="s">
        <v>4</v>
      </c>
      <c r="Z1246" s="72" t="s">
        <v>4</v>
      </c>
      <c r="AA1246" s="147" t="s">
        <v>3737</v>
      </c>
    </row>
    <row r="1247" spans="1:27" ht="18.600000000000001" customHeight="1">
      <c r="A1247" s="140" t="str">
        <f>IF(priority(Main[[#This Row],[Comments]])&lt;&gt;0, priority(Main[[#This Row],[Comments]]),"")</f>
        <v/>
      </c>
      <c r="B1247" s="90" t="s">
        <v>2619</v>
      </c>
      <c r="C1247" s="72" t="s">
        <v>4</v>
      </c>
      <c r="D1247" s="73" t="s">
        <v>2859</v>
      </c>
      <c r="E1247" s="74">
        <v>40870.475462962961</v>
      </c>
      <c r="F1247" s="74"/>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434</v>
      </c>
      <c r="J1247" s="72" t="s">
        <v>28</v>
      </c>
      <c r="K1247" s="72" t="s">
        <v>1939</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40905</v>
      </c>
      <c r="R1247" s="74"/>
      <c r="S1247" s="72" t="s">
        <v>6</v>
      </c>
      <c r="T1247" s="80" t="s">
        <v>4</v>
      </c>
      <c r="U1247" s="72" t="s">
        <v>29</v>
      </c>
      <c r="V1247" s="72" t="s">
        <v>1935</v>
      </c>
      <c r="W1247" s="72" t="s">
        <v>1936</v>
      </c>
      <c r="X1247" s="72" t="s">
        <v>2073</v>
      </c>
      <c r="Y1247" s="72" t="s">
        <v>3155</v>
      </c>
      <c r="Z1247" s="72" t="s">
        <v>30</v>
      </c>
      <c r="AA1247" s="147" t="s">
        <v>2986</v>
      </c>
    </row>
    <row r="1248" spans="1:27" ht="18.600000000000001" customHeight="1">
      <c r="A1248" s="140" t="str">
        <f>IF(priority(Main[[#This Row],[Comments]])&lt;&gt;0, priority(Main[[#This Row],[Comments]]),"")</f>
        <v/>
      </c>
      <c r="B1248" s="90" t="s">
        <v>2242</v>
      </c>
      <c r="C1248" s="72" t="s">
        <v>4</v>
      </c>
      <c r="D1248" s="73" t="s">
        <v>2243</v>
      </c>
      <c r="E1248" s="74"/>
      <c r="F1248" s="74"/>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535</v>
      </c>
      <c r="J1248" s="72" t="s">
        <v>28</v>
      </c>
      <c r="K1248" s="81" t="s">
        <v>1941</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c r="R1248" s="74"/>
      <c r="S1248" s="72" t="s">
        <v>6</v>
      </c>
      <c r="T1248" s="80" t="s">
        <v>4</v>
      </c>
      <c r="U1248" s="72" t="s">
        <v>14</v>
      </c>
      <c r="V1248" s="72" t="s">
        <v>1935</v>
      </c>
      <c r="W1248" s="72" t="s">
        <v>1936</v>
      </c>
      <c r="X1248" s="72" t="s">
        <v>2910</v>
      </c>
      <c r="Y1248" s="72" t="s">
        <v>3027</v>
      </c>
      <c r="Z1248" s="72" t="s">
        <v>30</v>
      </c>
      <c r="AA1248" s="147" t="s">
        <v>2910</v>
      </c>
    </row>
    <row r="1249" spans="1:27" ht="18.600000000000001" customHeight="1">
      <c r="A1249" s="140" t="str">
        <f>IF(priority(Main[[#This Row],[Comments]])&lt;&gt;0, priority(Main[[#This Row],[Comments]]),"")</f>
        <v/>
      </c>
      <c r="B1249" s="90" t="s">
        <v>2621</v>
      </c>
      <c r="C1249" s="72" t="s">
        <v>4</v>
      </c>
      <c r="D1249" s="73" t="s">
        <v>2622</v>
      </c>
      <c r="E1249" s="74"/>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v>
      </c>
      <c r="J1249" s="72" t="s">
        <v>4</v>
      </c>
      <c r="K1249" s="72" t="s">
        <v>4</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c r="S1249" s="72" t="s">
        <v>6</v>
      </c>
      <c r="T1249" s="80" t="s">
        <v>4</v>
      </c>
      <c r="U1249" s="72" t="s">
        <v>12</v>
      </c>
      <c r="V1249" s="72" t="s">
        <v>1935</v>
      </c>
      <c r="W1249" s="72" t="s">
        <v>1937</v>
      </c>
      <c r="X1249" s="72" t="s">
        <v>2932</v>
      </c>
      <c r="Y1249" s="72" t="s">
        <v>3066</v>
      </c>
      <c r="Z1249" s="72" t="s">
        <v>4</v>
      </c>
      <c r="AA1249" s="147" t="s">
        <v>2932</v>
      </c>
    </row>
    <row r="1250" spans="1:27" ht="18.600000000000001" customHeight="1">
      <c r="A1250" s="140" t="str">
        <f>IF(priority(Main[[#This Row],[Comments]])&lt;&gt;0, priority(Main[[#This Row],[Comments]]),"")</f>
        <v/>
      </c>
      <c r="B1250" s="90" t="s">
        <v>3448</v>
      </c>
      <c r="C1250" s="72" t="s">
        <v>4</v>
      </c>
      <c r="D1250" s="73" t="s">
        <v>3449</v>
      </c>
      <c r="E1250" s="74">
        <v>40934.462071759262</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c r="R1250" s="74"/>
      <c r="S1250" s="72" t="s">
        <v>6</v>
      </c>
      <c r="T1250" s="80" t="s">
        <v>4</v>
      </c>
      <c r="U1250" s="72" t="s">
        <v>29</v>
      </c>
      <c r="V1250" s="72" t="s">
        <v>1932</v>
      </c>
      <c r="W1250" s="72" t="s">
        <v>1936</v>
      </c>
      <c r="X1250" s="72" t="s">
        <v>949</v>
      </c>
      <c r="Y1250" s="72" t="s">
        <v>3079</v>
      </c>
      <c r="Z1250" s="72" t="s">
        <v>4</v>
      </c>
      <c r="AA1250" s="147" t="s">
        <v>949</v>
      </c>
    </row>
    <row r="1251" spans="1:27" ht="18.600000000000001" customHeight="1">
      <c r="A1251" s="140" t="str">
        <f>IF(priority(Main[[#This Row],[Comments]])&lt;&gt;0, priority(Main[[#This Row],[Comments]]),"")</f>
        <v/>
      </c>
      <c r="B1251" s="90" t="s">
        <v>1758</v>
      </c>
      <c r="C1251" s="72" t="s">
        <v>37</v>
      </c>
      <c r="D1251" s="73" t="s">
        <v>2624</v>
      </c>
      <c r="E1251" s="74">
        <v>40682.487210648149</v>
      </c>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4</v>
      </c>
      <c r="J1251" s="72" t="s">
        <v>4</v>
      </c>
      <c r="K1251" s="72" t="s">
        <v>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v>40701</v>
      </c>
      <c r="R1251" s="74"/>
      <c r="S1251" s="72" t="s">
        <v>6</v>
      </c>
      <c r="T1251" s="80" t="s">
        <v>4</v>
      </c>
      <c r="U1251" s="72" t="s">
        <v>7</v>
      </c>
      <c r="V1251" s="72" t="s">
        <v>1932</v>
      </c>
      <c r="W1251" s="72" t="s">
        <v>1943</v>
      </c>
      <c r="X1251" s="72" t="s">
        <v>982</v>
      </c>
      <c r="Y1251" s="72" t="s">
        <v>3192</v>
      </c>
      <c r="Z1251" s="72" t="s">
        <v>4</v>
      </c>
      <c r="AA1251" s="147" t="s">
        <v>982</v>
      </c>
    </row>
    <row r="1252" spans="1:27" ht="18.600000000000001" customHeight="1">
      <c r="A1252" s="140" t="str">
        <f>IF(priority(Main[[#This Row],[Comments]])&lt;&gt;0, priority(Main[[#This Row],[Comments]]),"")</f>
        <v/>
      </c>
      <c r="B1252" s="90" t="s">
        <v>1642</v>
      </c>
      <c r="C1252" s="72" t="s">
        <v>4</v>
      </c>
      <c r="D1252" s="73" t="s">
        <v>710</v>
      </c>
      <c r="E1252" s="74">
        <v>40218.669039351851</v>
      </c>
      <c r="F1252" s="74"/>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40237</v>
      </c>
      <c r="R1252" s="74"/>
      <c r="S1252" s="72" t="s">
        <v>17</v>
      </c>
      <c r="T1252" s="80" t="s">
        <v>4</v>
      </c>
      <c r="U1252" s="72" t="s">
        <v>29</v>
      </c>
      <c r="V1252" s="72" t="s">
        <v>1935</v>
      </c>
      <c r="W1252" s="72" t="s">
        <v>4</v>
      </c>
      <c r="X1252" s="72" t="s">
        <v>659</v>
      </c>
      <c r="Y1252" s="72" t="s">
        <v>3223</v>
      </c>
      <c r="Z1252" s="72" t="s">
        <v>4</v>
      </c>
      <c r="AA1252" s="147" t="s">
        <v>659</v>
      </c>
    </row>
    <row r="1253" spans="1:27" ht="18.600000000000001" customHeight="1">
      <c r="A1253" s="140" t="str">
        <f>IF(priority(Main[[#This Row],[Comments]])&lt;&gt;0, priority(Main[[#This Row],[Comments]]),"")</f>
        <v/>
      </c>
      <c r="B1253" s="90" t="s">
        <v>1196</v>
      </c>
      <c r="C1253" s="72" t="s">
        <v>42</v>
      </c>
      <c r="D1253" s="73" t="s">
        <v>245</v>
      </c>
      <c r="E1253" s="74">
        <v>39937.598217592589</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c r="R1253" s="74">
        <v>41289</v>
      </c>
      <c r="S1253" s="72" t="s">
        <v>17</v>
      </c>
      <c r="T1253" s="80" t="s">
        <v>4</v>
      </c>
      <c r="U1253" s="72" t="s">
        <v>29</v>
      </c>
      <c r="V1253" s="72" t="s">
        <v>1935</v>
      </c>
      <c r="W1253" s="72" t="s">
        <v>4</v>
      </c>
      <c r="X1253" s="72" t="s">
        <v>403</v>
      </c>
      <c r="Y1253" s="72" t="s">
        <v>4</v>
      </c>
      <c r="Z1253" s="72" t="s">
        <v>659</v>
      </c>
      <c r="AA1253" s="147" t="s">
        <v>4</v>
      </c>
    </row>
    <row r="1254" spans="1:27" ht="18.600000000000001" customHeight="1">
      <c r="A1254" s="140" t="str">
        <f>IF(priority(Main[[#This Row],[Comments]])&lt;&gt;0, priority(Main[[#This Row],[Comments]]),"")</f>
        <v/>
      </c>
      <c r="B1254" s="90" t="s">
        <v>1847</v>
      </c>
      <c r="C1254" s="72" t="s">
        <v>4</v>
      </c>
      <c r="D1254" s="73" t="s">
        <v>892</v>
      </c>
      <c r="E1254" s="74">
        <v>40284.719155092593</v>
      </c>
      <c r="F1254" s="74"/>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52</v>
      </c>
      <c r="K1254" s="72" t="s">
        <v>1944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40389</v>
      </c>
      <c r="R1254" s="74">
        <v>40403</v>
      </c>
      <c r="S1254" s="72" t="s">
        <v>17</v>
      </c>
      <c r="T1254" s="80" t="s">
        <v>4</v>
      </c>
      <c r="U1254" s="72" t="s">
        <v>29</v>
      </c>
      <c r="V1254" s="72" t="s">
        <v>1932</v>
      </c>
      <c r="W1254" s="72" t="s">
        <v>1946</v>
      </c>
      <c r="X1254" s="72" t="s">
        <v>2912</v>
      </c>
      <c r="Y1254" s="72" t="s">
        <v>3031</v>
      </c>
      <c r="Z1254" s="72" t="s">
        <v>129</v>
      </c>
      <c r="AA1254" s="147" t="s">
        <v>2912</v>
      </c>
    </row>
    <row r="1255" spans="1:27" ht="18.600000000000001" customHeight="1">
      <c r="A1255" s="140" t="str">
        <f>IF(priority(Main[[#This Row],[Comments]])&lt;&gt;0, priority(Main[[#This Row],[Comments]]),"")</f>
        <v/>
      </c>
      <c r="B1255" s="90" t="s">
        <v>1519</v>
      </c>
      <c r="C1255" s="72" t="s">
        <v>583</v>
      </c>
      <c r="D1255" s="73" t="s">
        <v>2625</v>
      </c>
      <c r="E1255" s="74"/>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v>
      </c>
      <c r="J1255" s="72" t="s">
        <v>28</v>
      </c>
      <c r="K1255" s="72" t="s">
        <v>1939</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40486</v>
      </c>
      <c r="R1255" s="74"/>
      <c r="S1255" s="72" t="s">
        <v>6</v>
      </c>
      <c r="T1255" s="80" t="s">
        <v>4</v>
      </c>
      <c r="U1255" s="72" t="s">
        <v>14</v>
      </c>
      <c r="V1255" s="72" t="s">
        <v>1932</v>
      </c>
      <c r="W1255" s="72" t="s">
        <v>1936</v>
      </c>
      <c r="X1255" s="72" t="s">
        <v>2912</v>
      </c>
      <c r="Y1255" s="72" t="s">
        <v>3031</v>
      </c>
      <c r="Z1255" s="72" t="s">
        <v>129</v>
      </c>
      <c r="AA1255" s="147" t="s">
        <v>2912</v>
      </c>
    </row>
    <row r="1256" spans="1:27" ht="18.600000000000001" customHeight="1">
      <c r="A1256" s="140" t="str">
        <f>IF(priority(Main[[#This Row],[Comments]])&lt;&gt;0, priority(Main[[#This Row],[Comments]]),"")</f>
        <v/>
      </c>
      <c r="B1256" s="90" t="s">
        <v>2114</v>
      </c>
      <c r="C1256" s="72" t="s">
        <v>4</v>
      </c>
      <c r="D1256" s="73" t="s">
        <v>2626</v>
      </c>
      <c r="E1256" s="74">
        <v>40760.553842592592</v>
      </c>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4</v>
      </c>
      <c r="J1256" s="72" t="s">
        <v>4</v>
      </c>
      <c r="K1256" s="81" t="s">
        <v>4</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6</v>
      </c>
      <c r="T1256" s="80" t="s">
        <v>4</v>
      </c>
      <c r="U1256" s="72" t="s">
        <v>7</v>
      </c>
      <c r="V1256" s="72" t="s">
        <v>1932</v>
      </c>
      <c r="W1256" s="72" t="s">
        <v>1936</v>
      </c>
      <c r="X1256" s="72" t="s">
        <v>310</v>
      </c>
      <c r="Y1256" s="72" t="s">
        <v>4</v>
      </c>
      <c r="Z1256" s="72" t="s">
        <v>4</v>
      </c>
      <c r="AA1256" s="147" t="s">
        <v>4</v>
      </c>
    </row>
    <row r="1257" spans="1:27" ht="18.600000000000001" customHeight="1">
      <c r="A1257" s="140" t="str">
        <f>IF(priority(Main[[#This Row],[Comments]])&lt;&gt;0, priority(Main[[#This Row],[Comments]]),"")</f>
        <v/>
      </c>
      <c r="B1257" s="90" t="s">
        <v>2627</v>
      </c>
      <c r="C1257" s="72" t="s">
        <v>4</v>
      </c>
      <c r="D1257" s="73" t="s">
        <v>2867</v>
      </c>
      <c r="E1257" s="74">
        <v>40861.654675925929</v>
      </c>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535</v>
      </c>
      <c r="J1257" s="72" t="s">
        <v>52</v>
      </c>
      <c r="K1257" s="81" t="s">
        <v>1941</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v>40897</v>
      </c>
      <c r="R1257" s="74"/>
      <c r="S1257" s="72" t="s">
        <v>6</v>
      </c>
      <c r="T1257" s="80" t="s">
        <v>4</v>
      </c>
      <c r="U1257" s="72" t="s">
        <v>29</v>
      </c>
      <c r="V1257" s="72" t="s">
        <v>1935</v>
      </c>
      <c r="W1257" s="72" t="s">
        <v>1936</v>
      </c>
      <c r="X1257" s="72" t="s">
        <v>30</v>
      </c>
      <c r="Y1257" s="72" t="s">
        <v>3035</v>
      </c>
      <c r="Z1257" s="72" t="s">
        <v>30</v>
      </c>
      <c r="AA1257" s="147" t="s">
        <v>30</v>
      </c>
    </row>
    <row r="1258" spans="1:27" ht="18.600000000000001" customHeight="1">
      <c r="A1258" s="140" t="str">
        <f>IF(priority(Main[[#This Row],[Comments]])&lt;&gt;0, priority(Main[[#This Row],[Comments]]),"")</f>
        <v/>
      </c>
      <c r="B1258" s="90" t="s">
        <v>2620</v>
      </c>
      <c r="C1258" s="72" t="s">
        <v>4</v>
      </c>
      <c r="D1258" s="73" t="s">
        <v>736</v>
      </c>
      <c r="E1258" s="74"/>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c r="R1258" s="74"/>
      <c r="S1258" s="72" t="s">
        <v>4</v>
      </c>
      <c r="T1258" s="80" t="s">
        <v>4</v>
      </c>
      <c r="U1258" s="72" t="s">
        <v>14</v>
      </c>
      <c r="V1258" s="72" t="s">
        <v>1935</v>
      </c>
      <c r="W1258" s="72" t="s">
        <v>4</v>
      </c>
      <c r="X1258" s="72" t="s">
        <v>310</v>
      </c>
      <c r="Y1258" s="72" t="s">
        <v>4</v>
      </c>
      <c r="Z1258" s="72" t="s">
        <v>4</v>
      </c>
      <c r="AA1258" s="147" t="s">
        <v>4</v>
      </c>
    </row>
    <row r="1259" spans="1:27" ht="18.600000000000001" customHeight="1">
      <c r="A1259" s="140" t="str">
        <f>IF(priority(Main[[#This Row],[Comments]])&lt;&gt;0, priority(Main[[#This Row],[Comments]]),"")</f>
        <v/>
      </c>
      <c r="B1259" s="90" t="s">
        <v>1125</v>
      </c>
      <c r="C1259" s="72" t="s">
        <v>162</v>
      </c>
      <c r="D1259" s="73" t="s">
        <v>163</v>
      </c>
      <c r="E1259" s="74"/>
      <c r="F1259" s="74">
        <v>40238</v>
      </c>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40167</v>
      </c>
      <c r="R1259" s="74"/>
      <c r="S1259" s="72" t="s">
        <v>17</v>
      </c>
      <c r="T1259" s="80" t="s">
        <v>4</v>
      </c>
      <c r="U1259" s="72" t="s">
        <v>14</v>
      </c>
      <c r="V1259" s="72" t="s">
        <v>1935</v>
      </c>
      <c r="W1259" s="72" t="s">
        <v>1940</v>
      </c>
      <c r="X1259" s="72" t="s">
        <v>50</v>
      </c>
      <c r="Y1259" s="72" t="s">
        <v>3038</v>
      </c>
      <c r="Z1259" s="72" t="s">
        <v>863</v>
      </c>
      <c r="AA1259" s="147" t="s">
        <v>2915</v>
      </c>
    </row>
    <row r="1260" spans="1:27" ht="18.600000000000001" customHeight="1">
      <c r="A1260" s="140" t="str">
        <f>IF(priority(Main[[#This Row],[Comments]])&lt;&gt;0, priority(Main[[#This Row],[Comments]]),"")</f>
        <v/>
      </c>
      <c r="B1260" s="124" t="s">
        <v>3294</v>
      </c>
      <c r="C1260" s="117" t="s">
        <v>31</v>
      </c>
      <c r="D1260" s="118" t="s">
        <v>3295</v>
      </c>
      <c r="E1260" s="119"/>
      <c r="F1260" s="119">
        <v>41122</v>
      </c>
      <c r="G1260" s="120" t="str">
        <f>IF(stdProdLT(Main[[#This Row],[Comments]])=0.1,"N/A",IF(stdProdLT(Main[[#This Row],[Comments]])=0,"",stdProdLT(Main[[#This Row],[Comments]])))</f>
        <v/>
      </c>
      <c r="H1260" s="121" t="str">
        <f>IF(AND(Main[[#This Row],[In Stock Date]]&lt;&gt;"",Main[[#This Row],[Revised Due Date]]&lt;&gt;""),Main[[#This Row],[In Stock Date]]-Main[[#This Row],[Revised Due Date]],"")</f>
        <v/>
      </c>
      <c r="I1260" s="117" t="s">
        <v>4</v>
      </c>
      <c r="J1260" s="117" t="s">
        <v>4</v>
      </c>
      <c r="K1260" s="117" t="s">
        <v>4</v>
      </c>
      <c r="L1260" s="119"/>
      <c r="M1260" s="122" t="str">
        <f>IF(Main[[#This Row],[Tech Start Date]]&lt;1/1/1990,"",IF(Main[[#This Row],[Class]]="C",WORKDAY(Main[[#This Row],[Tech Start Date]],9),IF(Main[[#This Row],[Class]]="B", WORKDAY(Main[[#This Row],[Tech Start Date]],6),IF(Main[[#This Row],[Class]]="A",WORKDAY(Main[[#This Row],[Tech Start Date]],2),""))))</f>
        <v/>
      </c>
      <c r="N1260" s="122" t="str">
        <f>IF(Main[[#This Row],[Tech Start Date]]&lt;1/1/1990,"",IF(Main[[#This Row],[Class]]="C",WORKDAY(Main[[#This Row],[Tech Start Date]],19),IF(Main[[#This Row],[Class]]="B", WORKDAY(Main[[#This Row],[Tech Start Date]],12),IF(Main[[#This Row],[Class]]="A",WORKDAY(Main[[#This Row],[Tech Start Date]],4),""))))</f>
        <v/>
      </c>
      <c r="O1260" s="122" t="str">
        <f>IF(Main[[#This Row],[Tech Start Date]]&lt;1/1/1990,"",IF(Main[[#This Row],[Class]]="C",WORKDAY(Main[[#This Row],[Tech Start Date]],23),IF(Main[[#This Row],[Class]]="B", WORKDAY(Main[[#This Row],[Tech Start Date]],15),IF(Main[[#This Row],[Class]]="A",WORKDAY(Main[[#This Row],[Tech Start Date]],5),""))))</f>
        <v/>
      </c>
      <c r="P1260" s="122" t="str">
        <f>IF(Main[[#This Row],[Tech Start Date]]&lt;1/1/1990,"",IF(Main[[#This Row],[Class]]="C",WORKDAY(Main[[#This Row],[Tech Start Date]],28),IF(Main[[#This Row],[Class]]="B", WORKDAY(Main[[#This Row],[Tech Start Date]],19),IF(Main[[#This Row],[Class]]="A",WORKDAY(Main[[#This Row],[Tech Start Date]],9),""))))</f>
        <v/>
      </c>
      <c r="Q1260" s="119">
        <v>40940</v>
      </c>
      <c r="R1260" s="119"/>
      <c r="S1260" s="117" t="s">
        <v>11</v>
      </c>
      <c r="T1260" s="123" t="s">
        <v>4</v>
      </c>
      <c r="U1260" s="117" t="s">
        <v>12</v>
      </c>
      <c r="V1260" s="117" t="s">
        <v>1935</v>
      </c>
      <c r="W1260" s="117" t="s">
        <v>1943</v>
      </c>
      <c r="X1260" s="117" t="s">
        <v>2937</v>
      </c>
      <c r="Y1260" s="117" t="s">
        <v>4</v>
      </c>
      <c r="Z1260" s="117" t="s">
        <v>4</v>
      </c>
      <c r="AA1260" s="147" t="s">
        <v>2937</v>
      </c>
    </row>
    <row r="1261" spans="1:27" ht="18.600000000000001" customHeight="1">
      <c r="A1261" s="140" t="str">
        <f>IF(priority(Main[[#This Row],[Comments]])&lt;&gt;0, priority(Main[[#This Row],[Comments]]),"")</f>
        <v/>
      </c>
      <c r="B1261" s="90" t="s">
        <v>3744</v>
      </c>
      <c r="C1261" s="72" t="s">
        <v>3745</v>
      </c>
      <c r="D1261" s="73" t="s">
        <v>3746</v>
      </c>
      <c r="E1261" s="74">
        <v>40941.594409722224</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72"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c r="S1261" s="72" t="s">
        <v>11</v>
      </c>
      <c r="T1261" s="80" t="s">
        <v>4</v>
      </c>
      <c r="U1261" s="72" t="s">
        <v>7</v>
      </c>
      <c r="V1261" s="72" t="s">
        <v>1932</v>
      </c>
      <c r="W1261" s="72" t="s">
        <v>1938</v>
      </c>
      <c r="X1261" s="72" t="s">
        <v>3714</v>
      </c>
      <c r="Y1261" s="72" t="s">
        <v>3747</v>
      </c>
      <c r="Z1261" s="72" t="s">
        <v>4</v>
      </c>
      <c r="AA1261" s="147" t="s">
        <v>3714</v>
      </c>
    </row>
    <row r="1262" spans="1:27" ht="18.600000000000001" customHeight="1">
      <c r="A1262" s="140" t="str">
        <f>IF(priority(Main[[#This Row],[Comments]])&lt;&gt;0, priority(Main[[#This Row],[Comments]]),"")</f>
        <v/>
      </c>
      <c r="B1262" s="90" t="s">
        <v>3748</v>
      </c>
      <c r="C1262" s="72" t="s">
        <v>3745</v>
      </c>
      <c r="D1262" s="73" t="s">
        <v>3749</v>
      </c>
      <c r="E1262" s="74">
        <v>40941.593877314815</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4</v>
      </c>
      <c r="J1262" s="72" t="s">
        <v>4</v>
      </c>
      <c r="K1262" s="72" t="s">
        <v>4</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c r="R1262" s="74"/>
      <c r="S1262" s="72" t="s">
        <v>11</v>
      </c>
      <c r="T1262" s="80" t="s">
        <v>4</v>
      </c>
      <c r="U1262" s="72" t="s">
        <v>7</v>
      </c>
      <c r="V1262" s="72" t="s">
        <v>1932</v>
      </c>
      <c r="W1262" s="72" t="s">
        <v>1938</v>
      </c>
      <c r="X1262" s="72" t="s">
        <v>3714</v>
      </c>
      <c r="Y1262" s="72" t="s">
        <v>3747</v>
      </c>
      <c r="Z1262" s="72" t="s">
        <v>4</v>
      </c>
      <c r="AA1262" s="147" t="s">
        <v>3714</v>
      </c>
    </row>
    <row r="1263" spans="1:27" ht="18.600000000000001" customHeight="1">
      <c r="A1263" s="140" t="str">
        <f>IF(priority(Main[[#This Row],[Comments]])&lt;&gt;0, priority(Main[[#This Row],[Comments]]),"")</f>
        <v/>
      </c>
      <c r="B1263" s="90" t="s">
        <v>3580</v>
      </c>
      <c r="C1263" s="72" t="s">
        <v>47</v>
      </c>
      <c r="D1263" s="73" t="s">
        <v>3581</v>
      </c>
      <c r="E1263" s="74">
        <v>40938.56958333333</v>
      </c>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4</v>
      </c>
      <c r="J1263" s="72" t="s">
        <v>4</v>
      </c>
      <c r="K1263" s="72" t="s">
        <v>4</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40964</v>
      </c>
      <c r="R1263" s="74"/>
      <c r="S1263" s="72" t="s">
        <v>6</v>
      </c>
      <c r="T1263" s="80" t="s">
        <v>4</v>
      </c>
      <c r="U1263" s="72" t="s">
        <v>7</v>
      </c>
      <c r="V1263" s="72" t="s">
        <v>2312</v>
      </c>
      <c r="W1263" s="72" t="s">
        <v>4</v>
      </c>
      <c r="X1263" s="72" t="s">
        <v>2956</v>
      </c>
      <c r="Y1263" s="72" t="s">
        <v>3105</v>
      </c>
      <c r="Z1263" s="72" t="s">
        <v>4</v>
      </c>
      <c r="AA1263" s="147" t="s">
        <v>2956</v>
      </c>
    </row>
    <row r="1264" spans="1:27" ht="18.600000000000001" customHeight="1">
      <c r="A1264" s="140" t="str">
        <f>IF(priority(Main[[#This Row],[Comments]])&lt;&gt;0, priority(Main[[#This Row],[Comments]]),"")</f>
        <v/>
      </c>
      <c r="B1264" s="90" t="s">
        <v>3738</v>
      </c>
      <c r="C1264" s="72" t="s">
        <v>31</v>
      </c>
      <c r="D1264" s="73" t="s">
        <v>3739</v>
      </c>
      <c r="E1264" s="74">
        <v>40940.680509259262</v>
      </c>
      <c r="F1264" s="74">
        <v>41061</v>
      </c>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v>40942</v>
      </c>
      <c r="R1264" s="74"/>
      <c r="S1264" s="72" t="s">
        <v>11</v>
      </c>
      <c r="T1264" s="80" t="s">
        <v>4</v>
      </c>
      <c r="U1264" s="72" t="s">
        <v>7</v>
      </c>
      <c r="V1264" s="72" t="s">
        <v>1932</v>
      </c>
      <c r="W1264" s="72" t="s">
        <v>1938</v>
      </c>
      <c r="X1264" s="72" t="s">
        <v>2961</v>
      </c>
      <c r="Y1264" s="72" t="s">
        <v>3111</v>
      </c>
      <c r="Z1264" s="72" t="s">
        <v>4</v>
      </c>
      <c r="AA1264" s="147" t="s">
        <v>2961</v>
      </c>
    </row>
    <row r="1265" spans="1:27" ht="18.600000000000001" customHeight="1">
      <c r="A1265" s="140" t="str">
        <f>IF(priority(Main[[#This Row],[Comments]])&lt;&gt;0, priority(Main[[#This Row],[Comments]]),"")</f>
        <v/>
      </c>
      <c r="B1265" s="90" t="s">
        <v>3378</v>
      </c>
      <c r="C1265" s="72" t="s">
        <v>2779</v>
      </c>
      <c r="D1265" s="73" t="s">
        <v>3794</v>
      </c>
      <c r="E1265" s="74">
        <v>40939.437511574077</v>
      </c>
      <c r="F1265" s="74"/>
      <c r="G1265" s="75">
        <f>IF(stdProdLT(Main[[#This Row],[Comments]])=0.1,"N/A",IF(stdProdLT(Main[[#This Row],[Comments]])=0,"",stdProdLT(Main[[#This Row],[Comments]])))</f>
        <v>126</v>
      </c>
      <c r="H1265" s="76" t="str">
        <f>IF(AND(Main[[#This Row],[In Stock Date]]&lt;&gt;"",Main[[#This Row],[Revised Due Date]]&lt;&gt;""),Main[[#This Row],[In Stock Date]]-Main[[#This Row],[Revised Due Date]],"")</f>
        <v/>
      </c>
      <c r="I1265" s="72" t="s">
        <v>923</v>
      </c>
      <c r="J1265" s="72" t="s">
        <v>52</v>
      </c>
      <c r="K1265" s="72" t="s">
        <v>4</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c r="R1265" s="74"/>
      <c r="S1265" s="72" t="s">
        <v>11</v>
      </c>
      <c r="T1265" s="80" t="s">
        <v>3595</v>
      </c>
      <c r="U1265" s="72" t="s">
        <v>7</v>
      </c>
      <c r="V1265" s="72" t="s">
        <v>1932</v>
      </c>
      <c r="W1265" s="72" t="s">
        <v>1943</v>
      </c>
      <c r="X1265" s="72" t="s">
        <v>2984</v>
      </c>
      <c r="Y1265" s="72" t="s">
        <v>3150</v>
      </c>
      <c r="Z1265" s="72" t="s">
        <v>129</v>
      </c>
      <c r="AA1265" s="147" t="s">
        <v>2984</v>
      </c>
    </row>
    <row r="1266" spans="1:27" ht="18.600000000000001" customHeight="1">
      <c r="A1266" s="140" t="str">
        <f>IF(priority(Main[[#This Row],[Comments]])&lt;&gt;0, priority(Main[[#This Row],[Comments]]),"")</f>
        <v/>
      </c>
      <c r="B1266" s="90" t="s">
        <v>3750</v>
      </c>
      <c r="C1266" s="72" t="s">
        <v>4</v>
      </c>
      <c r="D1266" s="73" t="s">
        <v>3751</v>
      </c>
      <c r="E1266" s="74">
        <v>40941.350555555553</v>
      </c>
      <c r="F1266" s="74"/>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4</v>
      </c>
      <c r="J1266" s="72" t="s">
        <v>4</v>
      </c>
      <c r="K1266" s="72" t="s">
        <v>4</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c r="R1266" s="74"/>
      <c r="S1266" s="72" t="s">
        <v>6</v>
      </c>
      <c r="T1266" s="80" t="s">
        <v>4</v>
      </c>
      <c r="U1266" s="72" t="s">
        <v>7</v>
      </c>
      <c r="V1266" s="72" t="s">
        <v>1935</v>
      </c>
      <c r="W1266" s="72" t="s">
        <v>4</v>
      </c>
      <c r="X1266" s="72" t="s">
        <v>2913</v>
      </c>
      <c r="Y1266" s="72" t="s">
        <v>3033</v>
      </c>
      <c r="Z1266" s="72" t="s">
        <v>4</v>
      </c>
      <c r="AA1266" s="147" t="s">
        <v>2913</v>
      </c>
    </row>
    <row r="1267" spans="1:27" ht="18.600000000000001" customHeight="1">
      <c r="A1267" s="140" t="str">
        <f>IF(priority(Main[[#This Row],[Comments]])&lt;&gt;0, priority(Main[[#This Row],[Comments]]),"")</f>
        <v/>
      </c>
      <c r="B1267" s="90" t="s">
        <v>2860</v>
      </c>
      <c r="C1267" s="72" t="s">
        <v>2779</v>
      </c>
      <c r="D1267" s="73" t="s">
        <v>2861</v>
      </c>
      <c r="E1267" s="74">
        <v>40939.439340277779</v>
      </c>
      <c r="F1267" s="74"/>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4</v>
      </c>
      <c r="K1267" s="72" t="s">
        <v>4</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c r="R1267" s="74"/>
      <c r="S1267" s="72" t="s">
        <v>11</v>
      </c>
      <c r="T1267" s="80" t="s">
        <v>4</v>
      </c>
      <c r="U1267" s="72" t="s">
        <v>7</v>
      </c>
      <c r="V1267" s="72" t="s">
        <v>1935</v>
      </c>
      <c r="W1267" s="72" t="s">
        <v>1937</v>
      </c>
      <c r="X1267" s="72" t="s">
        <v>2984</v>
      </c>
      <c r="Y1267" s="72" t="s">
        <v>3150</v>
      </c>
      <c r="Z1267" s="72" t="s">
        <v>4</v>
      </c>
      <c r="AA1267" s="147" t="s">
        <v>2984</v>
      </c>
    </row>
    <row r="1268" spans="1:27" ht="18.600000000000001" customHeight="1">
      <c r="A1268" s="140" t="str">
        <f>IF(priority(Main[[#This Row],[Comments]])&lt;&gt;0, priority(Main[[#This Row],[Comments]]),"")</f>
        <v/>
      </c>
      <c r="B1268" s="90" t="s">
        <v>2787</v>
      </c>
      <c r="C1268" s="72" t="s">
        <v>4</v>
      </c>
      <c r="D1268" s="73" t="s">
        <v>2788</v>
      </c>
      <c r="E1268" s="74"/>
      <c r="F1268" s="74"/>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c r="R1268" s="74"/>
      <c r="S1268" s="72" t="s">
        <v>6</v>
      </c>
      <c r="T1268" s="80" t="s">
        <v>4</v>
      </c>
      <c r="U1268" s="72" t="s">
        <v>14</v>
      </c>
      <c r="V1268" s="72" t="s">
        <v>1932</v>
      </c>
      <c r="W1268" s="72" t="s">
        <v>1936</v>
      </c>
      <c r="X1268" s="72" t="s">
        <v>2993</v>
      </c>
      <c r="Y1268" s="72" t="s">
        <v>3176</v>
      </c>
      <c r="Z1268" s="72" t="s">
        <v>4</v>
      </c>
      <c r="AA1268" s="147" t="s">
        <v>2993</v>
      </c>
    </row>
    <row r="1269" spans="1:27" ht="18.600000000000001" customHeight="1">
      <c r="A1269" s="140" t="str">
        <f>IF(priority(Main[[#This Row],[Comments]])&lt;&gt;0, priority(Main[[#This Row],[Comments]]),"")</f>
        <v/>
      </c>
      <c r="B1269" s="90" t="s">
        <v>2862</v>
      </c>
      <c r="C1269" s="72" t="s">
        <v>4</v>
      </c>
      <c r="D1269" s="73" t="s">
        <v>2863</v>
      </c>
      <c r="E1269" s="74">
        <v>40913.323819444442</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4</v>
      </c>
      <c r="K1269" s="72" t="s">
        <v>4</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v>40945</v>
      </c>
      <c r="R1269" s="74"/>
      <c r="S1269" s="72" t="s">
        <v>6</v>
      </c>
      <c r="T1269" s="80" t="s">
        <v>4</v>
      </c>
      <c r="U1269" s="72" t="s">
        <v>7</v>
      </c>
      <c r="V1269" s="72" t="s">
        <v>1932</v>
      </c>
      <c r="W1269" s="72" t="s">
        <v>4</v>
      </c>
      <c r="X1269" s="72" t="s">
        <v>2910</v>
      </c>
      <c r="Y1269" s="72" t="s">
        <v>3027</v>
      </c>
      <c r="Z1269" s="72" t="s">
        <v>4</v>
      </c>
      <c r="AA1269" s="147" t="s">
        <v>2910</v>
      </c>
    </row>
    <row r="1270" spans="1:27" ht="18.600000000000001" customHeight="1">
      <c r="A1270" s="140" t="str">
        <f>IF(priority(Main[[#This Row],[Comments]])&lt;&gt;0, priority(Main[[#This Row],[Comments]]),"")</f>
        <v/>
      </c>
      <c r="B1270" s="90" t="s">
        <v>3601</v>
      </c>
      <c r="C1270" s="72" t="s">
        <v>4</v>
      </c>
      <c r="D1270" s="73" t="s">
        <v>3602</v>
      </c>
      <c r="E1270" s="74">
        <v>40940.228032407409</v>
      </c>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v>40969</v>
      </c>
      <c r="R1270" s="74"/>
      <c r="S1270" s="72" t="s">
        <v>6</v>
      </c>
      <c r="T1270" s="80" t="s">
        <v>4</v>
      </c>
      <c r="U1270" s="72" t="s">
        <v>7</v>
      </c>
      <c r="V1270" s="72" t="s">
        <v>1935</v>
      </c>
      <c r="W1270" s="72" t="s">
        <v>4</v>
      </c>
      <c r="X1270" s="72" t="s">
        <v>2913</v>
      </c>
      <c r="Y1270" s="72" t="s">
        <v>3033</v>
      </c>
      <c r="Z1270" s="72" t="s">
        <v>4</v>
      </c>
      <c r="AA1270" s="147" t="s">
        <v>2913</v>
      </c>
    </row>
    <row r="1271" spans="1:27" ht="18.600000000000001" customHeight="1">
      <c r="A1271" s="140" t="str">
        <f>IF(priority(Main[[#This Row],[Comments]])&lt;&gt;0, priority(Main[[#This Row],[Comments]]),"")</f>
        <v/>
      </c>
      <c r="B1271" s="90" t="s">
        <v>2343</v>
      </c>
      <c r="C1271" s="72" t="s">
        <v>2331</v>
      </c>
      <c r="D1271" s="73" t="s">
        <v>2332</v>
      </c>
      <c r="E1271" s="74"/>
      <c r="F1271" s="74">
        <v>40544</v>
      </c>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v>
      </c>
      <c r="J1271" s="72" t="s">
        <v>4</v>
      </c>
      <c r="K1271" s="72" t="s">
        <v>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c r="R1271" s="74"/>
      <c r="S1271" s="72" t="s">
        <v>11</v>
      </c>
      <c r="T1271" s="80" t="s">
        <v>4</v>
      </c>
      <c r="U1271" s="72" t="s">
        <v>12</v>
      </c>
      <c r="V1271" s="72" t="s">
        <v>1935</v>
      </c>
      <c r="W1271" s="72" t="s">
        <v>1940</v>
      </c>
      <c r="X1271" s="72" t="s">
        <v>3003</v>
      </c>
      <c r="Y1271" s="72" t="s">
        <v>3232</v>
      </c>
      <c r="Z1271" s="72" t="s">
        <v>4</v>
      </c>
      <c r="AA1271" s="147" t="s">
        <v>3708</v>
      </c>
    </row>
    <row r="1272" spans="1:27" ht="18.600000000000001" customHeight="1">
      <c r="A1272" s="140" t="str">
        <f>IF(priority(Main[[#This Row],[Comments]])&lt;&gt;0, priority(Main[[#This Row],[Comments]]),"")</f>
        <v/>
      </c>
      <c r="B1272" s="90" t="s">
        <v>2496</v>
      </c>
      <c r="C1272" s="72" t="s">
        <v>4</v>
      </c>
      <c r="D1272" s="73" t="s">
        <v>2497</v>
      </c>
      <c r="E1272" s="74">
        <v>40855.432083333333</v>
      </c>
      <c r="F1272" s="74">
        <v>40877</v>
      </c>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4</v>
      </c>
      <c r="J1272" s="72" t="s">
        <v>4</v>
      </c>
      <c r="K1272" s="72" t="s">
        <v>4</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v>40865</v>
      </c>
      <c r="R1272" s="74"/>
      <c r="S1272" s="72" t="s">
        <v>11</v>
      </c>
      <c r="T1272" s="80" t="s">
        <v>4</v>
      </c>
      <c r="U1272" s="72" t="s">
        <v>7</v>
      </c>
      <c r="V1272" s="72" t="s">
        <v>2312</v>
      </c>
      <c r="W1272" s="72" t="s">
        <v>1940</v>
      </c>
      <c r="X1272" s="72" t="s">
        <v>3004</v>
      </c>
      <c r="Y1272" s="72" t="s">
        <v>3233</v>
      </c>
      <c r="Z1272" s="72" t="s">
        <v>4</v>
      </c>
      <c r="AA1272" s="147" t="s">
        <v>3709</v>
      </c>
    </row>
    <row r="1273" spans="1:27" ht="18.600000000000001" customHeight="1">
      <c r="A1273" s="140" t="str">
        <f>IF(priority(Main[[#This Row],[Comments]])&lt;&gt;0, priority(Main[[#This Row],[Comments]]),"")</f>
        <v/>
      </c>
      <c r="B1273" s="90" t="s">
        <v>2523</v>
      </c>
      <c r="C1273" s="72" t="s">
        <v>4</v>
      </c>
      <c r="D1273" s="73" t="s">
        <v>2524</v>
      </c>
      <c r="E1273" s="74">
        <v>40864.625219907408</v>
      </c>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4</v>
      </c>
      <c r="J1273" s="72" t="s">
        <v>4</v>
      </c>
      <c r="K1273" s="72" t="s">
        <v>4</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c r="R1273" s="74"/>
      <c r="S1273" s="72" t="s">
        <v>17</v>
      </c>
      <c r="T1273" s="80" t="s">
        <v>4</v>
      </c>
      <c r="U1273" s="72" t="s">
        <v>7</v>
      </c>
      <c r="V1273" s="72" t="s">
        <v>1933</v>
      </c>
      <c r="W1273" s="72" t="s">
        <v>1936</v>
      </c>
      <c r="X1273" s="72" t="s">
        <v>2957</v>
      </c>
      <c r="Y1273" s="72" t="s">
        <v>3095</v>
      </c>
      <c r="Z1273" s="72" t="s">
        <v>4</v>
      </c>
      <c r="AA1273" s="147" t="s">
        <v>2957</v>
      </c>
    </row>
    <row r="1274" spans="1:27" ht="18.600000000000001" customHeight="1">
      <c r="A1274" s="140" t="str">
        <f>IF(priority(Main[[#This Row],[Comments]])&lt;&gt;0, priority(Main[[#This Row],[Comments]]),"")</f>
        <v/>
      </c>
      <c r="B1274" s="90" t="s">
        <v>2260</v>
      </c>
      <c r="C1274" s="72" t="s">
        <v>4</v>
      </c>
      <c r="D1274" s="73" t="s">
        <v>2614</v>
      </c>
      <c r="E1274" s="74">
        <v>40798.47016203704</v>
      </c>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131</v>
      </c>
      <c r="J1274" s="72" t="s">
        <v>28</v>
      </c>
      <c r="K1274" s="72" t="s">
        <v>1941</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v>40847</v>
      </c>
      <c r="R1274" s="74"/>
      <c r="S1274" s="72" t="s">
        <v>6</v>
      </c>
      <c r="T1274" s="82" t="s">
        <v>4</v>
      </c>
      <c r="U1274" s="72" t="s">
        <v>29</v>
      </c>
      <c r="V1274" s="72" t="s">
        <v>1935</v>
      </c>
      <c r="W1274" s="72" t="s">
        <v>1936</v>
      </c>
      <c r="X1274" s="72" t="s">
        <v>30</v>
      </c>
      <c r="Y1274" s="72" t="s">
        <v>3234</v>
      </c>
      <c r="Z1274" s="72" t="s">
        <v>30</v>
      </c>
      <c r="AA1274" s="147" t="s">
        <v>3710</v>
      </c>
    </row>
    <row r="1275" spans="1:27" ht="18.600000000000001" customHeight="1">
      <c r="A1275" s="140" t="str">
        <f>IF(priority(Main[[#This Row],[Comments]])&lt;&gt;0, priority(Main[[#This Row],[Comments]]),"")</f>
        <v/>
      </c>
      <c r="B1275" s="90" t="s">
        <v>1618</v>
      </c>
      <c r="C1275" s="72" t="s">
        <v>279</v>
      </c>
      <c r="D1275" s="73" t="s">
        <v>684</v>
      </c>
      <c r="E1275" s="74">
        <v>40500.611724537041</v>
      </c>
      <c r="F1275" s="74">
        <v>40444</v>
      </c>
      <c r="G1275" s="75" t="str">
        <f>IF(stdProdLT(Main[[#This Row],[Comments]])=0.1,"N/A",IF(stdProdLT(Main[[#This Row],[Comments]])=0,"",stdProdLT(Main[[#This Row],[Comments]])))</f>
        <v/>
      </c>
      <c r="H1275" s="76">
        <f>IF(AND(Main[[#This Row],[In Stock Date]]&lt;&gt;"",Main[[#This Row],[Revised Due Date]]&lt;&gt;""),Main[[#This Row],[In Stock Date]]-Main[[#This Row],[Revised Due Date]],"")</f>
        <v>-349</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v>40262</v>
      </c>
      <c r="R1275" s="74">
        <v>40793</v>
      </c>
      <c r="S1275" s="72" t="s">
        <v>17</v>
      </c>
      <c r="T1275" s="80" t="s">
        <v>4</v>
      </c>
      <c r="U1275" s="72" t="s">
        <v>29</v>
      </c>
      <c r="V1275" s="72" t="s">
        <v>1935</v>
      </c>
      <c r="W1275" s="72" t="s">
        <v>1937</v>
      </c>
      <c r="X1275" s="72" t="s">
        <v>310</v>
      </c>
      <c r="Y1275" s="72" t="s">
        <v>4</v>
      </c>
      <c r="Z1275" s="72" t="s">
        <v>4</v>
      </c>
      <c r="AA1275" s="147" t="s">
        <v>65</v>
      </c>
    </row>
    <row r="1276" spans="1:27" ht="18.600000000000001" customHeight="1">
      <c r="A1276" s="140" t="str">
        <f>IF(priority(Main[[#This Row],[Comments]])&lt;&gt;0, priority(Main[[#This Row],[Comments]]),"")</f>
        <v/>
      </c>
      <c r="B1276" s="90" t="s">
        <v>2386</v>
      </c>
      <c r="C1276" s="72" t="s">
        <v>2387</v>
      </c>
      <c r="D1276" s="73" t="s">
        <v>2388</v>
      </c>
      <c r="E1276" s="74"/>
      <c r="F1276" s="74">
        <v>41008</v>
      </c>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81"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40826</v>
      </c>
      <c r="R1276" s="74"/>
      <c r="S1276" s="72" t="s">
        <v>11</v>
      </c>
      <c r="T1276" s="80" t="s">
        <v>4</v>
      </c>
      <c r="U1276" s="72" t="s">
        <v>12</v>
      </c>
      <c r="V1276" s="72" t="s">
        <v>1935</v>
      </c>
      <c r="W1276" s="72" t="s">
        <v>1938</v>
      </c>
      <c r="X1276" s="72" t="s">
        <v>2934</v>
      </c>
      <c r="Y1276" s="72" t="s">
        <v>4</v>
      </c>
      <c r="Z1276" s="72" t="s">
        <v>4</v>
      </c>
      <c r="AA1276" s="147" t="s">
        <v>2934</v>
      </c>
    </row>
    <row r="1277" spans="1:27" ht="18.600000000000001" customHeight="1">
      <c r="A1277" s="140" t="str">
        <f>IF(priority(Main[[#This Row],[Comments]])&lt;&gt;0, priority(Main[[#This Row],[Comments]]),"")</f>
        <v/>
      </c>
      <c r="B1277" s="90" t="s">
        <v>2631</v>
      </c>
      <c r="C1277" s="72" t="s">
        <v>4</v>
      </c>
      <c r="D1277" s="73" t="s">
        <v>2632</v>
      </c>
      <c r="E1277" s="74">
        <v>40843.713865740741</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51</v>
      </c>
      <c r="K1277" s="72"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c r="R1277" s="74"/>
      <c r="S1277" s="72" t="s">
        <v>6</v>
      </c>
      <c r="T1277" s="80" t="s">
        <v>2447</v>
      </c>
      <c r="U1277" s="72" t="s">
        <v>539</v>
      </c>
      <c r="V1277" s="72" t="s">
        <v>1932</v>
      </c>
      <c r="W1277" s="72" t="s">
        <v>1938</v>
      </c>
      <c r="X1277" s="72" t="s">
        <v>310</v>
      </c>
      <c r="Y1277" s="72" t="s">
        <v>4</v>
      </c>
      <c r="Z1277" s="72" t="s">
        <v>4</v>
      </c>
      <c r="AA1277" s="147" t="s">
        <v>2930</v>
      </c>
    </row>
    <row r="1278" spans="1:27" ht="18.600000000000001" customHeight="1">
      <c r="A1278" s="140" t="str">
        <f>IF(priority(Main[[#This Row],[Comments]])&lt;&gt;0, priority(Main[[#This Row],[Comments]]),"")</f>
        <v/>
      </c>
      <c r="B1278" s="90" t="s">
        <v>2324</v>
      </c>
      <c r="C1278" s="72" t="s">
        <v>4</v>
      </c>
      <c r="D1278" s="73" t="s">
        <v>2325</v>
      </c>
      <c r="E1278" s="74">
        <v>40815.373611111114</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4</v>
      </c>
      <c r="J1278" s="72" t="s">
        <v>4</v>
      </c>
      <c r="K1278" s="72" t="s">
        <v>4</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c r="R1278" s="74"/>
      <c r="S1278" s="72" t="s">
        <v>6</v>
      </c>
      <c r="T1278" s="80" t="s">
        <v>4</v>
      </c>
      <c r="U1278" s="72" t="s">
        <v>29</v>
      </c>
      <c r="V1278" s="72" t="s">
        <v>1935</v>
      </c>
      <c r="W1278" s="72" t="s">
        <v>1936</v>
      </c>
      <c r="X1278" s="72" t="s">
        <v>102</v>
      </c>
      <c r="Y1278" s="72" t="s">
        <v>3235</v>
      </c>
      <c r="Z1278" s="72" t="s">
        <v>4</v>
      </c>
      <c r="AA1278" s="147" t="s">
        <v>3656</v>
      </c>
    </row>
    <row r="1279" spans="1:27" ht="18.600000000000001" customHeight="1">
      <c r="A1279" s="140" t="str">
        <f>IF(priority(Main[[#This Row],[Comments]])&lt;&gt;0, priority(Main[[#This Row],[Comments]]),"")</f>
        <v/>
      </c>
      <c r="B1279" s="90" t="s">
        <v>2633</v>
      </c>
      <c r="C1279" s="72" t="s">
        <v>4</v>
      </c>
      <c r="D1279" s="73" t="s">
        <v>2634</v>
      </c>
      <c r="E1279" s="74"/>
      <c r="F1279" s="74"/>
      <c r="G1279" s="75" t="str">
        <f>IF(stdProdLT(Main[[#This Row],[Comments]])=0.1,"N/A",IF(stdProdLT(Main[[#This Row],[Comments]])=0,"",stdProdLT(Main[[#This Row],[Comments]])))</f>
        <v/>
      </c>
      <c r="H1279" s="76" t="str">
        <f>IF(AND(Main[[#This Row],[In Stock Date]]&lt;&gt;"",Main[[#This Row],[Revised Due Date]]&lt;&gt;""),Main[[#This Row],[In Stock Date]]-Main[[#This Row],[Revised Due Date]],"")</f>
        <v/>
      </c>
      <c r="I1279" s="72" t="s">
        <v>4</v>
      </c>
      <c r="J1279" s="72" t="s">
        <v>4</v>
      </c>
      <c r="K1279" s="72" t="s">
        <v>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c r="R1279" s="74"/>
      <c r="S1279" s="72" t="s">
        <v>11</v>
      </c>
      <c r="T1279" s="80" t="s">
        <v>4</v>
      </c>
      <c r="U1279" s="72" t="s">
        <v>14</v>
      </c>
      <c r="V1279" s="72" t="s">
        <v>1935</v>
      </c>
      <c r="W1279" s="72" t="s">
        <v>1940</v>
      </c>
      <c r="X1279" s="72" t="s">
        <v>310</v>
      </c>
      <c r="Y1279" s="72" t="s">
        <v>4</v>
      </c>
      <c r="Z1279" s="72" t="s">
        <v>4</v>
      </c>
      <c r="AA1279" s="147" t="s">
        <v>4</v>
      </c>
    </row>
    <row r="1280" spans="1:27" ht="18.600000000000001" customHeight="1">
      <c r="A1280" s="140" t="str">
        <f>IF(priority(Main[[#This Row],[Comments]])&lt;&gt;0, priority(Main[[#This Row],[Comments]]),"")</f>
        <v/>
      </c>
      <c r="B1280" s="90" t="s">
        <v>2313</v>
      </c>
      <c r="C1280" s="72" t="s">
        <v>67</v>
      </c>
      <c r="D1280" s="73" t="s">
        <v>2314</v>
      </c>
      <c r="E1280" s="74"/>
      <c r="F1280" s="74">
        <v>41075</v>
      </c>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40908</v>
      </c>
      <c r="R1280" s="74"/>
      <c r="S1280" s="72" t="s">
        <v>17</v>
      </c>
      <c r="T1280" s="80" t="s">
        <v>4</v>
      </c>
      <c r="U1280" s="72" t="s">
        <v>14</v>
      </c>
      <c r="V1280" s="72" t="s">
        <v>1942</v>
      </c>
      <c r="W1280" s="72" t="s">
        <v>1943</v>
      </c>
      <c r="X1280" s="72" t="s">
        <v>559</v>
      </c>
      <c r="Y1280" s="72" t="s">
        <v>3047</v>
      </c>
      <c r="Z1280" s="72" t="s">
        <v>4</v>
      </c>
      <c r="AA1280" s="147" t="s">
        <v>559</v>
      </c>
    </row>
    <row r="1281" spans="1:27" ht="18.600000000000001" customHeight="1">
      <c r="A1281" s="140" t="str">
        <f>IF(priority(Main[[#This Row],[Comments]])&lt;&gt;0, priority(Main[[#This Row],[Comments]]),"")</f>
        <v/>
      </c>
      <c r="B1281" s="90" t="s">
        <v>2644</v>
      </c>
      <c r="C1281" s="72" t="s">
        <v>4</v>
      </c>
      <c r="D1281" s="73" t="s">
        <v>2645</v>
      </c>
      <c r="E1281" s="74">
        <v>40877.273229166669</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69</v>
      </c>
      <c r="J1281" s="72" t="s">
        <v>70</v>
      </c>
      <c r="K1281" s="72" t="s">
        <v>1941</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v>40906</v>
      </c>
      <c r="R1281" s="74"/>
      <c r="S1281" s="72" t="s">
        <v>6</v>
      </c>
      <c r="T1281" s="80" t="s">
        <v>4</v>
      </c>
      <c r="U1281" s="72" t="s">
        <v>29</v>
      </c>
      <c r="V1281" s="72" t="s">
        <v>1935</v>
      </c>
      <c r="W1281" s="72" t="s">
        <v>1936</v>
      </c>
      <c r="X1281" s="72" t="s">
        <v>30</v>
      </c>
      <c r="Y1281" s="72" t="s">
        <v>3236</v>
      </c>
      <c r="Z1281" s="72" t="s">
        <v>30</v>
      </c>
      <c r="AA1281" s="147" t="s">
        <v>3711</v>
      </c>
    </row>
    <row r="1282" spans="1:27" ht="18.600000000000001" customHeight="1">
      <c r="A1282" s="140" t="str">
        <f>IF(priority(Main[[#This Row],[Comments]])&lt;&gt;0, priority(Main[[#This Row],[Comments]]),"")</f>
        <v/>
      </c>
      <c r="B1282" s="90" t="s">
        <v>2777</v>
      </c>
      <c r="C1282" s="72" t="s">
        <v>4</v>
      </c>
      <c r="D1282" s="73" t="s">
        <v>3366</v>
      </c>
      <c r="E1282" s="74"/>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2234</v>
      </c>
      <c r="J1282" s="72" t="s">
        <v>75</v>
      </c>
      <c r="K1282" s="72" t="s">
        <v>1941</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v>40939</v>
      </c>
      <c r="R1282" s="74"/>
      <c r="S1282" s="72" t="s">
        <v>6</v>
      </c>
      <c r="T1282" s="80" t="s">
        <v>4</v>
      </c>
      <c r="U1282" s="72" t="s">
        <v>14</v>
      </c>
      <c r="V1282" s="72" t="s">
        <v>1935</v>
      </c>
      <c r="W1282" s="72" t="s">
        <v>1936</v>
      </c>
      <c r="X1282" s="72" t="s">
        <v>2910</v>
      </c>
      <c r="Y1282" s="72" t="s">
        <v>3027</v>
      </c>
      <c r="Z1282" s="72" t="s">
        <v>30</v>
      </c>
      <c r="AA1282" s="147" t="s">
        <v>2910</v>
      </c>
    </row>
    <row r="1283" spans="1:27" ht="18.600000000000001" customHeight="1">
      <c r="A1283" s="140" t="str">
        <f>IF(priority(Main[[#This Row],[Comments]])&lt;&gt;0, priority(Main[[#This Row],[Comments]]),"")</f>
        <v/>
      </c>
      <c r="B1283" s="90" t="s">
        <v>3450</v>
      </c>
      <c r="C1283" s="72" t="s">
        <v>4</v>
      </c>
      <c r="D1283" s="73" t="s">
        <v>3451</v>
      </c>
      <c r="E1283" s="74"/>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4</v>
      </c>
      <c r="K1283" s="72" t="s">
        <v>4</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v>40969</v>
      </c>
      <c r="R1283" s="74"/>
      <c r="S1283" s="72" t="s">
        <v>11</v>
      </c>
      <c r="T1283" s="80" t="s">
        <v>4</v>
      </c>
      <c r="U1283" s="72" t="s">
        <v>14</v>
      </c>
      <c r="V1283" s="72" t="s">
        <v>1935</v>
      </c>
      <c r="W1283" s="72" t="s">
        <v>1937</v>
      </c>
      <c r="X1283" s="72" t="s">
        <v>559</v>
      </c>
      <c r="Y1283" s="72" t="s">
        <v>3047</v>
      </c>
      <c r="Z1283" s="72" t="s">
        <v>4</v>
      </c>
      <c r="AA1283" s="147" t="s">
        <v>559</v>
      </c>
    </row>
    <row r="1284" spans="1:27" ht="18.600000000000001" customHeight="1">
      <c r="A1284" s="140" t="str">
        <f>IF(priority(Main[[#This Row],[Comments]])&lt;&gt;0, priority(Main[[#This Row],[Comments]]),"")</f>
        <v/>
      </c>
      <c r="B1284" s="90" t="s">
        <v>3452</v>
      </c>
      <c r="C1284" s="72" t="s">
        <v>4</v>
      </c>
      <c r="D1284" s="73" t="s">
        <v>3451</v>
      </c>
      <c r="E1284" s="74">
        <v>40933.750428240739</v>
      </c>
      <c r="F1284" s="74">
        <v>40969</v>
      </c>
      <c r="G1284" s="75" t="str">
        <f>IF(stdProdLT(Main[[#This Row],[Comments]])=0.1,"N/A",IF(stdProdLT(Main[[#This Row],[Comments]])=0,"",stdProdLT(Main[[#This Row],[Comments]])))</f>
        <v>N/A</v>
      </c>
      <c r="H1284" s="76" t="str">
        <f>IF(AND(Main[[#This Row],[In Stock Date]]&lt;&gt;"",Main[[#This Row],[Revised Due Date]]&lt;&gt;""),Main[[#This Row],[In Stock Date]]-Main[[#This Row],[Revised Due Date]],"")</f>
        <v/>
      </c>
      <c r="I1284" s="72" t="s">
        <v>4</v>
      </c>
      <c r="J1284" s="72" t="s">
        <v>4</v>
      </c>
      <c r="K1284" s="72" t="s">
        <v>4</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40969</v>
      </c>
      <c r="R1284" s="74"/>
      <c r="S1284" s="72" t="s">
        <v>11</v>
      </c>
      <c r="T1284" s="80" t="s">
        <v>3362</v>
      </c>
      <c r="U1284" s="72" t="s">
        <v>7</v>
      </c>
      <c r="V1284" s="72" t="s">
        <v>1935</v>
      </c>
      <c r="W1284" s="72" t="s">
        <v>1937</v>
      </c>
      <c r="X1284" s="72" t="s">
        <v>559</v>
      </c>
      <c r="Y1284" s="72" t="s">
        <v>3047</v>
      </c>
      <c r="Z1284" s="72" t="s">
        <v>4</v>
      </c>
      <c r="AA1284" s="147" t="s">
        <v>559</v>
      </c>
    </row>
    <row r="1285" spans="1:27" ht="18.600000000000001" customHeight="1">
      <c r="A1285" s="140" t="str">
        <f>IF(priority(Main[[#This Row],[Comments]])&lt;&gt;0, priority(Main[[#This Row],[Comments]]),"")</f>
        <v/>
      </c>
      <c r="B1285" s="90" t="s">
        <v>3453</v>
      </c>
      <c r="C1285" s="72" t="s">
        <v>4</v>
      </c>
      <c r="D1285" s="73" t="s">
        <v>3454</v>
      </c>
      <c r="E1285" s="74">
        <v>40933.494502314818</v>
      </c>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4</v>
      </c>
      <c r="J1285" s="72" t="s">
        <v>4</v>
      </c>
      <c r="K1285" s="72" t="s">
        <v>4</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40968</v>
      </c>
      <c r="R1285" s="155"/>
      <c r="S1285" s="72" t="s">
        <v>6</v>
      </c>
      <c r="T1285" s="80" t="s">
        <v>4</v>
      </c>
      <c r="U1285" s="72" t="s">
        <v>7</v>
      </c>
      <c r="V1285" s="72" t="s">
        <v>1935</v>
      </c>
      <c r="W1285" s="72" t="s">
        <v>4</v>
      </c>
      <c r="X1285" s="72" t="s">
        <v>2909</v>
      </c>
      <c r="Y1285" s="72" t="s">
        <v>3024</v>
      </c>
      <c r="Z1285" s="72" t="s">
        <v>4</v>
      </c>
      <c r="AA1285" s="147" t="s">
        <v>2909</v>
      </c>
    </row>
    <row r="1286" spans="1:27" ht="18.600000000000001" customHeight="1">
      <c r="A1286" s="140" t="str">
        <f>IF(priority(Main[[#This Row],[Comments]])&lt;&gt;0, priority(Main[[#This Row],[Comments]]),"")</f>
        <v/>
      </c>
      <c r="B1286" s="90" t="s">
        <v>3455</v>
      </c>
      <c r="C1286" s="72" t="s">
        <v>4</v>
      </c>
      <c r="D1286" s="73" t="s">
        <v>3456</v>
      </c>
      <c r="E1286" s="74">
        <v>40933.366932870369</v>
      </c>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4</v>
      </c>
      <c r="J1286" s="72" t="s">
        <v>4</v>
      </c>
      <c r="K1286" s="72" t="s">
        <v>4</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c r="R1286" s="74"/>
      <c r="S1286" s="72" t="s">
        <v>6</v>
      </c>
      <c r="T1286" s="80" t="s">
        <v>4</v>
      </c>
      <c r="U1286" s="72" t="s">
        <v>7</v>
      </c>
      <c r="V1286" s="72" t="s">
        <v>1935</v>
      </c>
      <c r="W1286" s="72" t="s">
        <v>1936</v>
      </c>
      <c r="X1286" s="72" t="s">
        <v>2957</v>
      </c>
      <c r="Y1286" s="72" t="s">
        <v>3095</v>
      </c>
      <c r="Z1286" s="72" t="s">
        <v>4</v>
      </c>
      <c r="AA1286" s="147" t="s">
        <v>2957</v>
      </c>
    </row>
    <row r="1287" spans="1:27" ht="18.600000000000001" customHeight="1">
      <c r="A1287" s="140" t="str">
        <f>IF(priority(Main[[#This Row],[Comments]])&lt;&gt;0, priority(Main[[#This Row],[Comments]]),"")</f>
        <v/>
      </c>
      <c r="B1287" s="90" t="s">
        <v>1493</v>
      </c>
      <c r="C1287" s="72" t="s">
        <v>4</v>
      </c>
      <c r="D1287" s="73" t="s">
        <v>362</v>
      </c>
      <c r="E1287" s="74">
        <v>40926.591666666667</v>
      </c>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535</v>
      </c>
      <c r="J1287" s="72" t="s">
        <v>28</v>
      </c>
      <c r="K1287" s="72" t="s">
        <v>1941</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v>40746</v>
      </c>
      <c r="R1287" s="74"/>
      <c r="S1287" s="72" t="s">
        <v>6</v>
      </c>
      <c r="T1287" s="80" t="s">
        <v>4</v>
      </c>
      <c r="U1287" s="72" t="s">
        <v>29</v>
      </c>
      <c r="V1287" s="72" t="s">
        <v>1935</v>
      </c>
      <c r="W1287" s="72" t="s">
        <v>1936</v>
      </c>
      <c r="X1287" s="72" t="s">
        <v>2910</v>
      </c>
      <c r="Y1287" s="72" t="s">
        <v>3027</v>
      </c>
      <c r="Z1287" s="72" t="s">
        <v>30</v>
      </c>
      <c r="AA1287" s="147" t="s">
        <v>2910</v>
      </c>
    </row>
    <row r="1288" spans="1:27" ht="18.600000000000001" customHeight="1">
      <c r="A1288" s="141" t="str">
        <f>IF(priority(Main[[#This Row],[Comments]])&lt;&gt;0, priority(Main[[#This Row],[Comments]]),"")</f>
        <v/>
      </c>
      <c r="B1288" s="90" t="s">
        <v>2898</v>
      </c>
      <c r="C1288" s="83" t="s">
        <v>4</v>
      </c>
      <c r="D1288" s="84" t="s">
        <v>2899</v>
      </c>
      <c r="E1288" s="85">
        <v>40918.365578703706</v>
      </c>
      <c r="F1288" s="85"/>
      <c r="G1288" s="83" t="str">
        <f>IF(stdProdLT(Main[[#This Row],[Comments]])=0.1,"N/A",IF(stdProdLT(Main[[#This Row],[Comments]])=0,"",stdProdLT(Main[[#This Row],[Comments]])))</f>
        <v/>
      </c>
      <c r="H1288" s="86" t="str">
        <f>IF(AND(Main[[#This Row],[In Stock Date]]&lt;&gt;"",Main[[#This Row],[Revised Due Date]]&lt;&gt;""),Main[[#This Row],[In Stock Date]]-Main[[#This Row],[Revised Due Date]],"")</f>
        <v/>
      </c>
      <c r="I1288" s="83" t="s">
        <v>4</v>
      </c>
      <c r="J1288" s="83" t="s">
        <v>4</v>
      </c>
      <c r="K1288" s="83" t="s">
        <v>4</v>
      </c>
      <c r="L1288" s="85"/>
      <c r="M1288" s="87" t="str">
        <f>IF(Main[[#This Row],[Tech Start Date]]&lt;1/1/1990,"",IF(Main[[#This Row],[Class]]="C",WORKDAY(Main[[#This Row],[Tech Start Date]],9),IF(Main[[#This Row],[Class]]="B", WORKDAY(Main[[#This Row],[Tech Start Date]],6),IF(Main[[#This Row],[Class]]="A",WORKDAY(Main[[#This Row],[Tech Start Date]],2),""))))</f>
        <v/>
      </c>
      <c r="N1288" s="87" t="str">
        <f>IF(Main[[#This Row],[Tech Start Date]]&lt;1/1/1990,"",IF(Main[[#This Row],[Class]]="C",WORKDAY(Main[[#This Row],[Tech Start Date]],19),IF(Main[[#This Row],[Class]]="B", WORKDAY(Main[[#This Row],[Tech Start Date]],12),IF(Main[[#This Row],[Class]]="A",WORKDAY(Main[[#This Row],[Tech Start Date]],4),""))))</f>
        <v/>
      </c>
      <c r="O1288" s="87" t="str">
        <f>IF(Main[[#This Row],[Tech Start Date]]&lt;1/1/1990,"",IF(Main[[#This Row],[Class]]="C",WORKDAY(Main[[#This Row],[Tech Start Date]],23),IF(Main[[#This Row],[Class]]="B", WORKDAY(Main[[#This Row],[Tech Start Date]],15),IF(Main[[#This Row],[Class]]="A",WORKDAY(Main[[#This Row],[Tech Start Date]],5),""))))</f>
        <v/>
      </c>
      <c r="P1288" s="87" t="str">
        <f>IF(Main[[#This Row],[Tech Start Date]]&lt;1/1/1990,"",IF(Main[[#This Row],[Class]]="C",WORKDAY(Main[[#This Row],[Tech Start Date]],28),IF(Main[[#This Row],[Class]]="B", WORKDAY(Main[[#This Row],[Tech Start Date]],19),IF(Main[[#This Row],[Class]]="A",WORKDAY(Main[[#This Row],[Tech Start Date]],9),""))))</f>
        <v/>
      </c>
      <c r="Q1288" s="85">
        <v>40925</v>
      </c>
      <c r="R1288" s="85"/>
      <c r="S1288" s="83" t="s">
        <v>6</v>
      </c>
      <c r="T1288" s="88" t="s">
        <v>4</v>
      </c>
      <c r="U1288" s="83" t="s">
        <v>7</v>
      </c>
      <c r="V1288" s="83" t="s">
        <v>1932</v>
      </c>
      <c r="W1288" s="83" t="s">
        <v>4</v>
      </c>
      <c r="X1288" s="83" t="s">
        <v>2910</v>
      </c>
      <c r="Y1288" s="83" t="s">
        <v>3027</v>
      </c>
      <c r="Z1288" s="83" t="s">
        <v>4</v>
      </c>
      <c r="AA1288" s="147" t="s">
        <v>2910</v>
      </c>
    </row>
    <row r="1289" spans="1:27" ht="18.600000000000001" customHeight="1">
      <c r="A1289" s="140" t="str">
        <f>IF(priority(Main[[#This Row],[Comments]])&lt;&gt;0, priority(Main[[#This Row],[Comments]]),"")</f>
        <v/>
      </c>
      <c r="B1289" s="90" t="s">
        <v>3296</v>
      </c>
      <c r="C1289" s="72" t="s">
        <v>31</v>
      </c>
      <c r="D1289" s="73" t="s">
        <v>3297</v>
      </c>
      <c r="E1289" s="74"/>
      <c r="F1289" s="74">
        <v>41122</v>
      </c>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4</v>
      </c>
      <c r="J1289" s="72" t="s">
        <v>4</v>
      </c>
      <c r="K1289" s="72" t="s">
        <v>4</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v>40940</v>
      </c>
      <c r="R1289" s="74"/>
      <c r="S1289" s="72" t="s">
        <v>11</v>
      </c>
      <c r="T1289" s="80" t="s">
        <v>4</v>
      </c>
      <c r="U1289" s="72" t="s">
        <v>12</v>
      </c>
      <c r="V1289" s="72" t="s">
        <v>1935</v>
      </c>
      <c r="W1289" s="72" t="s">
        <v>1943</v>
      </c>
      <c r="X1289" s="72" t="s">
        <v>2937</v>
      </c>
      <c r="Y1289" s="72" t="s">
        <v>4</v>
      </c>
      <c r="Z1289" s="72" t="s">
        <v>4</v>
      </c>
      <c r="AA1289" s="147" t="s">
        <v>2937</v>
      </c>
    </row>
    <row r="1290" spans="1:27" ht="18.600000000000001" customHeight="1">
      <c r="A1290" s="140" t="str">
        <f>IF(priority(Main[[#This Row],[Comments]])&lt;&gt;0, priority(Main[[#This Row],[Comments]]),"")</f>
        <v/>
      </c>
      <c r="B1290" s="90" t="s">
        <v>3321</v>
      </c>
      <c r="C1290" s="72" t="s">
        <v>4</v>
      </c>
      <c r="D1290" s="73" t="s">
        <v>3584</v>
      </c>
      <c r="E1290" s="74">
        <v>40921.54005787037</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923</v>
      </c>
      <c r="J1290" s="72" t="s">
        <v>52</v>
      </c>
      <c r="K1290" s="72" t="s">
        <v>4</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c r="R1290" s="74"/>
      <c r="S1290" s="72" t="s">
        <v>6</v>
      </c>
      <c r="T1290" s="80" t="s">
        <v>4</v>
      </c>
      <c r="U1290" s="72" t="s">
        <v>29</v>
      </c>
      <c r="V1290" s="72" t="s">
        <v>1932</v>
      </c>
      <c r="W1290" s="72" t="s">
        <v>1936</v>
      </c>
      <c r="X1290" s="72" t="s">
        <v>949</v>
      </c>
      <c r="Y1290" s="72" t="s">
        <v>3079</v>
      </c>
      <c r="Z1290" s="72" t="s">
        <v>4</v>
      </c>
      <c r="AA1290" s="147" t="s">
        <v>949</v>
      </c>
    </row>
    <row r="1291" spans="1:27" ht="18.600000000000001" customHeight="1">
      <c r="A1291" s="140" t="str">
        <f>IF(priority(Main[[#This Row],[Comments]])&lt;&gt;0, priority(Main[[#This Row],[Comments]]),"")</f>
        <v/>
      </c>
      <c r="B1291" s="90" t="s">
        <v>3457</v>
      </c>
      <c r="C1291" s="72" t="s">
        <v>4</v>
      </c>
      <c r="D1291" s="73" t="s">
        <v>3458</v>
      </c>
      <c r="E1291" s="74">
        <v>40934.445497685185</v>
      </c>
      <c r="F1291" s="74"/>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4</v>
      </c>
      <c r="J1291" s="72" t="s">
        <v>4</v>
      </c>
      <c r="K1291" s="81" t="s">
        <v>4</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40968</v>
      </c>
      <c r="R1291" s="74"/>
      <c r="S1291" s="72" t="s">
        <v>6</v>
      </c>
      <c r="T1291" s="80" t="s">
        <v>4</v>
      </c>
      <c r="U1291" s="72" t="s">
        <v>7</v>
      </c>
      <c r="V1291" s="72" t="s">
        <v>1935</v>
      </c>
      <c r="W1291" s="72" t="s">
        <v>4</v>
      </c>
      <c r="X1291" s="72" t="s">
        <v>2910</v>
      </c>
      <c r="Y1291" s="72" t="s">
        <v>3027</v>
      </c>
      <c r="Z1291" s="72" t="s">
        <v>4</v>
      </c>
      <c r="AA1291" s="147" t="s">
        <v>2910</v>
      </c>
    </row>
    <row r="1292" spans="1:27" ht="18.600000000000001" customHeight="1">
      <c r="A1292" s="140" t="str">
        <f>IF(priority(Main[[#This Row],[Comments]])&lt;&gt;0, priority(Main[[#This Row],[Comments]]),"")</f>
        <v/>
      </c>
      <c r="B1292" s="90" t="s">
        <v>2329</v>
      </c>
      <c r="C1292" s="72" t="s">
        <v>4</v>
      </c>
      <c r="D1292" s="73" t="s">
        <v>2638</v>
      </c>
      <c r="E1292" s="74">
        <v>40820.42082175926</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567</v>
      </c>
      <c r="J1292" s="72" t="s">
        <v>21</v>
      </c>
      <c r="K1292" s="72" t="s">
        <v>4</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c r="R1292" s="74">
        <v>40840</v>
      </c>
      <c r="S1292" s="72" t="s">
        <v>6</v>
      </c>
      <c r="T1292" s="80" t="s">
        <v>4</v>
      </c>
      <c r="U1292" s="72" t="s">
        <v>29</v>
      </c>
      <c r="V1292" s="72" t="s">
        <v>1932</v>
      </c>
      <c r="W1292" s="72" t="s">
        <v>1940</v>
      </c>
      <c r="X1292" s="72" t="s">
        <v>50</v>
      </c>
      <c r="Y1292" s="72" t="s">
        <v>3054</v>
      </c>
      <c r="Z1292" s="72" t="s">
        <v>4</v>
      </c>
      <c r="AA1292" s="147" t="s">
        <v>2919</v>
      </c>
    </row>
    <row r="1293" spans="1:27" ht="18.600000000000001" customHeight="1">
      <c r="A1293" s="140" t="str">
        <f>IF(priority(Main[[#This Row],[Comments]])&lt;&gt;0, priority(Main[[#This Row],[Comments]]),"")</f>
        <v/>
      </c>
      <c r="B1293" s="90" t="s">
        <v>2640</v>
      </c>
      <c r="C1293" s="72" t="s">
        <v>4</v>
      </c>
      <c r="D1293" s="73" t="s">
        <v>2641</v>
      </c>
      <c r="E1293" s="74">
        <v>40868.429988425924</v>
      </c>
      <c r="F1293" s="74"/>
      <c r="G1293" s="75" t="str">
        <f>IF(stdProdLT(Main[[#This Row],[Comments]])=0.1,"N/A",IF(stdProdLT(Main[[#This Row],[Comments]])=0,"",stdProdLT(Main[[#This Row],[Comments]])))</f>
        <v/>
      </c>
      <c r="H1293" s="76" t="str">
        <f>IF(AND(Main[[#This Row],[In Stock Date]]&lt;&gt;"",Main[[#This Row],[Revised Due Date]]&lt;&gt;""),Main[[#This Row],[In Stock Date]]-Main[[#This Row],[Revised Due Date]],"")</f>
        <v/>
      </c>
      <c r="I1293" s="72" t="s">
        <v>242</v>
      </c>
      <c r="J1293" s="72" t="s">
        <v>21</v>
      </c>
      <c r="K1293" s="81" t="s">
        <v>4</v>
      </c>
      <c r="L1293" s="74"/>
      <c r="M1293" s="77" t="str">
        <f>IF(Main[[#This Row],[Tech Start Date]]&lt;1/1/1990,"",IF(Main[[#This Row],[Class]]="C",WORKDAY(Main[[#This Row],[Tech Start Date]],9),IF(Main[[#This Row],[Class]]="B", WORKDAY(Main[[#This Row],[Tech Start Date]],6),IF(Main[[#This Row],[Class]]="A",WORKDAY(Main[[#This Row],[Tech Start Date]],2),""))))</f>
        <v/>
      </c>
      <c r="N1293" s="77" t="str">
        <f>IF(Main[[#This Row],[Tech Start Date]]&lt;1/1/1990,"",IF(Main[[#This Row],[Class]]="C",WORKDAY(Main[[#This Row],[Tech Start Date]],19),IF(Main[[#This Row],[Class]]="B", WORKDAY(Main[[#This Row],[Tech Start Date]],12),IF(Main[[#This Row],[Class]]="A",WORKDAY(Main[[#This Row],[Tech Start Date]],4),""))))</f>
        <v/>
      </c>
      <c r="O1293" s="77" t="str">
        <f>IF(Main[[#This Row],[Tech Start Date]]&lt;1/1/1990,"",IF(Main[[#This Row],[Class]]="C",WORKDAY(Main[[#This Row],[Tech Start Date]],23),IF(Main[[#This Row],[Class]]="B", WORKDAY(Main[[#This Row],[Tech Start Date]],15),IF(Main[[#This Row],[Class]]="A",WORKDAY(Main[[#This Row],[Tech Start Date]],5),""))))</f>
        <v/>
      </c>
      <c r="P1293" s="77" t="str">
        <f>IF(Main[[#This Row],[Tech Start Date]]&lt;1/1/1990,"",IF(Main[[#This Row],[Class]]="C",WORKDAY(Main[[#This Row],[Tech Start Date]],28),IF(Main[[#This Row],[Class]]="B", WORKDAY(Main[[#This Row],[Tech Start Date]],19),IF(Main[[#This Row],[Class]]="A",WORKDAY(Main[[#This Row],[Tech Start Date]],9),""))))</f>
        <v/>
      </c>
      <c r="Q1293" s="74">
        <v>40877</v>
      </c>
      <c r="R1293" s="74"/>
      <c r="S1293" s="72" t="s">
        <v>6</v>
      </c>
      <c r="T1293" s="80" t="s">
        <v>4</v>
      </c>
      <c r="U1293" s="72" t="s">
        <v>29</v>
      </c>
      <c r="V1293" s="72" t="s">
        <v>1935</v>
      </c>
      <c r="W1293" s="72" t="s">
        <v>1936</v>
      </c>
      <c r="X1293" s="72" t="s">
        <v>242</v>
      </c>
      <c r="Y1293" s="72" t="s">
        <v>3237</v>
      </c>
      <c r="Z1293" s="72" t="s">
        <v>242</v>
      </c>
      <c r="AA1293" s="147" t="s">
        <v>242</v>
      </c>
    </row>
    <row r="1294" spans="1:27" ht="18.600000000000001" customHeight="1">
      <c r="A1294" s="140" t="str">
        <f>IF(priority(Main[[#This Row],[Comments]])&lt;&gt;0, priority(Main[[#This Row],[Comments]]),"")</f>
        <v/>
      </c>
      <c r="B1294" s="90" t="s">
        <v>2642</v>
      </c>
      <c r="C1294" s="72" t="s">
        <v>4</v>
      </c>
      <c r="D1294" s="73" t="s">
        <v>2872</v>
      </c>
      <c r="E1294" s="74">
        <v>40870.471666666665</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4</v>
      </c>
      <c r="J1294" s="72" t="s">
        <v>28</v>
      </c>
      <c r="K1294" s="72" t="s">
        <v>1941</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v>40905</v>
      </c>
      <c r="R1294" s="74"/>
      <c r="S1294" s="72" t="s">
        <v>6</v>
      </c>
      <c r="T1294" s="80" t="s">
        <v>4</v>
      </c>
      <c r="U1294" s="72" t="s">
        <v>29</v>
      </c>
      <c r="V1294" s="72" t="s">
        <v>1935</v>
      </c>
      <c r="W1294" s="72" t="s">
        <v>1936</v>
      </c>
      <c r="X1294" s="72" t="s">
        <v>2073</v>
      </c>
      <c r="Y1294" s="72" t="s">
        <v>3155</v>
      </c>
      <c r="Z1294" s="72" t="s">
        <v>30</v>
      </c>
      <c r="AA1294" s="147" t="s">
        <v>2986</v>
      </c>
    </row>
    <row r="1295" spans="1:27" ht="18.600000000000001" customHeight="1">
      <c r="A1295" s="140" t="str">
        <f>IF(priority(Main[[#This Row],[Comments]])&lt;&gt;0, priority(Main[[#This Row],[Comments]]),"")</f>
        <v/>
      </c>
      <c r="B1295" s="90" t="s">
        <v>1691</v>
      </c>
      <c r="C1295" s="72" t="s">
        <v>37</v>
      </c>
      <c r="D1295" s="73" t="s">
        <v>2643</v>
      </c>
      <c r="E1295" s="74">
        <v>40681.624918981484</v>
      </c>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4</v>
      </c>
      <c r="J1295" s="72" t="s">
        <v>4</v>
      </c>
      <c r="K1295" s="72" t="s">
        <v>4</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c r="R1295" s="74"/>
      <c r="S1295" s="72" t="s">
        <v>6</v>
      </c>
      <c r="T1295" s="80" t="s">
        <v>4</v>
      </c>
      <c r="U1295" s="72" t="s">
        <v>539</v>
      </c>
      <c r="V1295" s="72" t="s">
        <v>1932</v>
      </c>
      <c r="W1295" s="72" t="s">
        <v>1943</v>
      </c>
      <c r="X1295" s="72" t="s">
        <v>982</v>
      </c>
      <c r="Y1295" s="72" t="s">
        <v>3192</v>
      </c>
      <c r="Z1295" s="72" t="s">
        <v>4</v>
      </c>
      <c r="AA1295" s="147" t="s">
        <v>982</v>
      </c>
    </row>
    <row r="1296" spans="1:27" ht="18.600000000000001" customHeight="1">
      <c r="A1296" s="140" t="str">
        <f>IF(priority(Main[[#This Row],[Comments]])&lt;&gt;0, priority(Main[[#This Row],[Comments]]),"")</f>
        <v/>
      </c>
      <c r="B1296" s="90" t="s">
        <v>3585</v>
      </c>
      <c r="C1296" s="72" t="s">
        <v>3586</v>
      </c>
      <c r="D1296" s="73" t="s">
        <v>3587</v>
      </c>
      <c r="E1296" s="74">
        <v>40939.753379629627</v>
      </c>
      <c r="F1296" s="74">
        <v>41013</v>
      </c>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4</v>
      </c>
      <c r="J1296" s="72" t="s">
        <v>4</v>
      </c>
      <c r="K1296" s="72" t="s">
        <v>4</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v>40915</v>
      </c>
      <c r="R1296" s="74"/>
      <c r="S1296" s="72" t="s">
        <v>11</v>
      </c>
      <c r="T1296" s="80" t="s">
        <v>4</v>
      </c>
      <c r="U1296" s="72" t="s">
        <v>7</v>
      </c>
      <c r="V1296" s="72" t="s">
        <v>1942</v>
      </c>
      <c r="W1296" s="72" t="s">
        <v>1940</v>
      </c>
      <c r="X1296" s="72" t="s">
        <v>3588</v>
      </c>
      <c r="Y1296" s="72" t="s">
        <v>4</v>
      </c>
      <c r="Z1296" s="72" t="s">
        <v>4</v>
      </c>
      <c r="AA1296" s="147" t="s">
        <v>3588</v>
      </c>
    </row>
    <row r="1297" spans="1:27" ht="18.600000000000001" customHeight="1">
      <c r="A1297" s="140" t="str">
        <f>IF(priority(Main[[#This Row],[Comments]])&lt;&gt;0, priority(Main[[#This Row],[Comments]]),"")</f>
        <v/>
      </c>
      <c r="B1297" s="90" t="s">
        <v>2752</v>
      </c>
      <c r="C1297" s="72" t="s">
        <v>4</v>
      </c>
      <c r="D1297" s="73" t="s">
        <v>2753</v>
      </c>
      <c r="E1297" s="74">
        <v>40900.141886574071</v>
      </c>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69</v>
      </c>
      <c r="J1297" s="72" t="s">
        <v>28</v>
      </c>
      <c r="K1297" s="72" t="s">
        <v>1941</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v>40931</v>
      </c>
      <c r="R1297" s="74"/>
      <c r="S1297" s="72" t="s">
        <v>6</v>
      </c>
      <c r="T1297" s="80" t="s">
        <v>4</v>
      </c>
      <c r="U1297" s="72" t="s">
        <v>29</v>
      </c>
      <c r="V1297" s="72" t="s">
        <v>1935</v>
      </c>
      <c r="W1297" s="72" t="s">
        <v>1936</v>
      </c>
      <c r="X1297" s="72" t="s">
        <v>2913</v>
      </c>
      <c r="Y1297" s="72" t="s">
        <v>3033</v>
      </c>
      <c r="Z1297" s="72" t="s">
        <v>30</v>
      </c>
      <c r="AA1297" s="147" t="s">
        <v>2913</v>
      </c>
    </row>
    <row r="1298" spans="1:27" ht="18.600000000000001" customHeight="1">
      <c r="A1298" s="140" t="str">
        <f>IF(priority(Main[[#This Row],[Comments]])&lt;&gt;0, priority(Main[[#This Row],[Comments]]),"")</f>
        <v/>
      </c>
      <c r="B1298" s="90" t="s">
        <v>3459</v>
      </c>
      <c r="C1298" s="72" t="s">
        <v>4</v>
      </c>
      <c r="D1298" s="73" t="s">
        <v>3460</v>
      </c>
      <c r="E1298" s="74">
        <v>40933.268750000003</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v>40963</v>
      </c>
      <c r="R1298" s="74"/>
      <c r="S1298" s="72" t="s">
        <v>6</v>
      </c>
      <c r="T1298" s="80" t="s">
        <v>4</v>
      </c>
      <c r="U1298" s="72" t="s">
        <v>7</v>
      </c>
      <c r="V1298" s="72" t="s">
        <v>1932</v>
      </c>
      <c r="W1298" s="72" t="s">
        <v>4</v>
      </c>
      <c r="X1298" s="72" t="s">
        <v>2913</v>
      </c>
      <c r="Y1298" s="72" t="s">
        <v>3033</v>
      </c>
      <c r="Z1298" s="72" t="s">
        <v>4</v>
      </c>
      <c r="AA1298" s="147" t="s">
        <v>2913</v>
      </c>
    </row>
    <row r="1299" spans="1:27" ht="18.600000000000001" customHeight="1">
      <c r="A1299" s="140" t="str">
        <f>IF(priority(Main[[#This Row],[Comments]])&lt;&gt;0, priority(Main[[#This Row],[Comments]]),"")</f>
        <v/>
      </c>
      <c r="B1299" s="90" t="s">
        <v>3754</v>
      </c>
      <c r="C1299" s="72" t="s">
        <v>4</v>
      </c>
      <c r="D1299" s="73" t="s">
        <v>3755</v>
      </c>
      <c r="E1299" s="74">
        <v>40941.342557870368</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4</v>
      </c>
      <c r="J1299" s="72" t="s">
        <v>4</v>
      </c>
      <c r="K1299" s="72" t="s">
        <v>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v>40970</v>
      </c>
      <c r="R1299" s="74"/>
      <c r="S1299" s="72" t="s">
        <v>6</v>
      </c>
      <c r="T1299" s="80" t="s">
        <v>4</v>
      </c>
      <c r="U1299" s="72" t="s">
        <v>7</v>
      </c>
      <c r="V1299" s="72" t="s">
        <v>1935</v>
      </c>
      <c r="W1299" s="72" t="s">
        <v>4</v>
      </c>
      <c r="X1299" s="72" t="s">
        <v>2913</v>
      </c>
      <c r="Y1299" s="72" t="s">
        <v>3033</v>
      </c>
      <c r="Z1299" s="72" t="s">
        <v>4</v>
      </c>
      <c r="AA1299" s="147" t="s">
        <v>2913</v>
      </c>
    </row>
    <row r="1300" spans="1:27" ht="18.600000000000001" customHeight="1">
      <c r="A1300" s="140" t="str">
        <f>IF(priority(Main[[#This Row],[Comments]])&lt;&gt;0, priority(Main[[#This Row],[Comments]]),"")</f>
        <v/>
      </c>
      <c r="B1300" s="90" t="s">
        <v>2534</v>
      </c>
      <c r="C1300" s="72" t="s">
        <v>4</v>
      </c>
      <c r="D1300" s="73" t="s">
        <v>2535</v>
      </c>
      <c r="E1300" s="74">
        <v>40855.421446759261</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69</v>
      </c>
      <c r="J1300" s="72" t="s">
        <v>70</v>
      </c>
      <c r="K1300" s="72" t="s">
        <v>1944</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40907</v>
      </c>
      <c r="R1300" s="74"/>
      <c r="S1300" s="72" t="s">
        <v>17</v>
      </c>
      <c r="T1300" s="80" t="s">
        <v>4</v>
      </c>
      <c r="U1300" s="72" t="s">
        <v>29</v>
      </c>
      <c r="V1300" s="72" t="s">
        <v>1942</v>
      </c>
      <c r="W1300" s="72" t="s">
        <v>1934</v>
      </c>
      <c r="X1300" s="72" t="s">
        <v>2957</v>
      </c>
      <c r="Y1300" s="72" t="s">
        <v>3095</v>
      </c>
      <c r="Z1300" s="72" t="s">
        <v>30</v>
      </c>
      <c r="AA1300" s="147" t="s">
        <v>2957</v>
      </c>
    </row>
    <row r="1301" spans="1:27" ht="18.600000000000001" customHeight="1">
      <c r="A1301" s="140" t="str">
        <f>IF(priority(Main[[#This Row],[Comments]])&lt;&gt;0, priority(Main[[#This Row],[Comments]]),"")</f>
        <v/>
      </c>
      <c r="B1301" s="90" t="s">
        <v>2646</v>
      </c>
      <c r="C1301" s="72" t="s">
        <v>31</v>
      </c>
      <c r="D1301" s="73" t="s">
        <v>2647</v>
      </c>
      <c r="E1301" s="74"/>
      <c r="F1301" s="74">
        <v>40969</v>
      </c>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4</v>
      </c>
      <c r="J1301" s="72" t="s">
        <v>4</v>
      </c>
      <c r="K1301" s="72" t="s">
        <v>4</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c r="R1301" s="74"/>
      <c r="S1301" s="72" t="s">
        <v>11</v>
      </c>
      <c r="T1301" s="80" t="s">
        <v>4</v>
      </c>
      <c r="U1301" s="72" t="s">
        <v>14</v>
      </c>
      <c r="V1301" s="72" t="s">
        <v>1932</v>
      </c>
      <c r="W1301" s="72" t="s">
        <v>1938</v>
      </c>
      <c r="X1301" s="72" t="s">
        <v>50</v>
      </c>
      <c r="Y1301" s="72" t="s">
        <v>3184</v>
      </c>
      <c r="Z1301" s="72" t="s">
        <v>4</v>
      </c>
      <c r="AA1301" s="147" t="s">
        <v>2931</v>
      </c>
    </row>
    <row r="1302" spans="1:27" ht="18.600000000000001" customHeight="1">
      <c r="A1302" s="140" t="str">
        <f>IF(priority(Main[[#This Row],[Comments]])&lt;&gt;0, priority(Main[[#This Row],[Comments]]),"")</f>
        <v/>
      </c>
      <c r="B1302" s="90" t="s">
        <v>2768</v>
      </c>
      <c r="C1302" s="72" t="s">
        <v>4</v>
      </c>
      <c r="D1302" s="73" t="s">
        <v>3461</v>
      </c>
      <c r="E1302" s="74">
        <v>40885.332013888888</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535</v>
      </c>
      <c r="J1302" s="72" t="s">
        <v>52</v>
      </c>
      <c r="K1302" s="72" t="s">
        <v>1941</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40916</v>
      </c>
      <c r="R1302" s="74"/>
      <c r="S1302" s="72" t="s">
        <v>6</v>
      </c>
      <c r="T1302" s="80" t="s">
        <v>4</v>
      </c>
      <c r="U1302" s="72" t="s">
        <v>29</v>
      </c>
      <c r="V1302" s="72" t="s">
        <v>1935</v>
      </c>
      <c r="W1302" s="72" t="s">
        <v>1936</v>
      </c>
      <c r="X1302" s="72" t="s">
        <v>2913</v>
      </c>
      <c r="Y1302" s="72" t="s">
        <v>3033</v>
      </c>
      <c r="Z1302" s="72" t="s">
        <v>30</v>
      </c>
      <c r="AA1302" s="147" t="s">
        <v>2913</v>
      </c>
    </row>
    <row r="1303" spans="1:27" ht="18.600000000000001" customHeight="1">
      <c r="A1303" s="140" t="str">
        <f>IF(priority(Main[[#This Row],[Comments]])&lt;&gt;0, priority(Main[[#This Row],[Comments]]),"")</f>
        <v/>
      </c>
      <c r="B1303" s="90" t="s">
        <v>1751</v>
      </c>
      <c r="C1303" s="72" t="s">
        <v>47</v>
      </c>
      <c r="D1303" s="73" t="s">
        <v>798</v>
      </c>
      <c r="E1303" s="74">
        <v>39937.598969907405</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4</v>
      </c>
      <c r="J1303" s="72" t="s">
        <v>4</v>
      </c>
      <c r="K1303" s="81" t="s">
        <v>4</v>
      </c>
      <c r="L1303" s="74"/>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c r="R1303" s="74">
        <v>41172</v>
      </c>
      <c r="S1303" s="72" t="s">
        <v>17</v>
      </c>
      <c r="T1303" s="80" t="s">
        <v>4</v>
      </c>
      <c r="U1303" s="72" t="s">
        <v>29</v>
      </c>
      <c r="V1303" s="72" t="s">
        <v>1935</v>
      </c>
      <c r="W1303" s="72" t="s">
        <v>4</v>
      </c>
      <c r="X1303" s="72" t="s">
        <v>2918</v>
      </c>
      <c r="Y1303" s="72" t="s">
        <v>3043</v>
      </c>
      <c r="Z1303" s="72" t="s">
        <v>4</v>
      </c>
      <c r="AA1303" s="147" t="s">
        <v>2918</v>
      </c>
    </row>
    <row r="1304" spans="1:27" ht="18.600000000000001" customHeight="1">
      <c r="A1304" s="140" t="str">
        <f>IF(priority(Main[[#This Row],[Comments]])&lt;&gt;0, priority(Main[[#This Row],[Comments]]),"")</f>
        <v/>
      </c>
      <c r="B1304" s="90" t="s">
        <v>3795</v>
      </c>
      <c r="C1304" s="72" t="s">
        <v>4</v>
      </c>
      <c r="D1304" s="73" t="s">
        <v>3785</v>
      </c>
      <c r="E1304" s="74">
        <v>40942.690162037034</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4</v>
      </c>
      <c r="J1304" s="72" t="s">
        <v>4</v>
      </c>
      <c r="K1304" s="72" t="s">
        <v>4</v>
      </c>
      <c r="L1304" s="74"/>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40970</v>
      </c>
      <c r="R1304" s="74"/>
      <c r="S1304" s="72" t="s">
        <v>6</v>
      </c>
      <c r="T1304" s="80" t="s">
        <v>4</v>
      </c>
      <c r="U1304" s="72" t="s">
        <v>7</v>
      </c>
      <c r="V1304" s="72" t="s">
        <v>1935</v>
      </c>
      <c r="W1304" s="72" t="s">
        <v>4</v>
      </c>
      <c r="X1304" s="72" t="s">
        <v>2910</v>
      </c>
      <c r="Y1304" s="72" t="s">
        <v>3027</v>
      </c>
      <c r="Z1304" s="72" t="s">
        <v>4</v>
      </c>
      <c r="AA1304" s="147" t="s">
        <v>2910</v>
      </c>
    </row>
    <row r="1305" spans="1:27" ht="18.600000000000001" customHeight="1">
      <c r="A1305" s="140" t="str">
        <f>IF(priority(Main[[#This Row],[Comments]])&lt;&gt;0, priority(Main[[#This Row],[Comments]]),"")</f>
        <v/>
      </c>
      <c r="B1305" s="90" t="s">
        <v>1911</v>
      </c>
      <c r="C1305" s="72" t="s">
        <v>4</v>
      </c>
      <c r="D1305" s="73" t="s">
        <v>960</v>
      </c>
      <c r="E1305" s="74">
        <v>40112.566631944443</v>
      </c>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909</v>
      </c>
      <c r="J1305" s="72" t="s">
        <v>4</v>
      </c>
      <c r="K1305" s="72" t="s">
        <v>1944</v>
      </c>
      <c r="L1305" s="74"/>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v>40564</v>
      </c>
      <c r="R1305" s="74">
        <v>41264</v>
      </c>
      <c r="S1305" s="72" t="s">
        <v>17</v>
      </c>
      <c r="T1305" s="80" t="s">
        <v>4</v>
      </c>
      <c r="U1305" s="72" t="s">
        <v>29</v>
      </c>
      <c r="V1305" s="72" t="s">
        <v>1935</v>
      </c>
      <c r="W1305" s="72" t="s">
        <v>1937</v>
      </c>
      <c r="X1305" s="72" t="s">
        <v>980</v>
      </c>
      <c r="Y1305" s="72" t="s">
        <v>3212</v>
      </c>
      <c r="Z1305" s="72" t="s">
        <v>420</v>
      </c>
      <c r="AA1305" s="147" t="s">
        <v>980</v>
      </c>
    </row>
    <row r="1306" spans="1:27" ht="18.600000000000001" customHeight="1">
      <c r="A1306" s="140" t="str">
        <f>IF(priority(Main[[#This Row],[Comments]])&lt;&gt;0, priority(Main[[#This Row],[Comments]]),"")</f>
        <v/>
      </c>
      <c r="B1306" s="90" t="s">
        <v>1679</v>
      </c>
      <c r="C1306" s="72" t="s">
        <v>4</v>
      </c>
      <c r="D1306" s="73" t="s">
        <v>3469</v>
      </c>
      <c r="E1306" s="74">
        <v>40528.434965277775</v>
      </c>
      <c r="F1306" s="74"/>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4</v>
      </c>
      <c r="J1306" s="72" t="s">
        <v>28</v>
      </c>
      <c r="K1306" s="72" t="s">
        <v>1944</v>
      </c>
      <c r="L1306" s="74"/>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v>41152</v>
      </c>
      <c r="R1306" s="74"/>
      <c r="S1306" s="72" t="s">
        <v>17</v>
      </c>
      <c r="T1306" s="80" t="s">
        <v>4</v>
      </c>
      <c r="U1306" s="72" t="s">
        <v>7</v>
      </c>
      <c r="V1306" s="72" t="s">
        <v>1932</v>
      </c>
      <c r="W1306" s="72" t="s">
        <v>1937</v>
      </c>
      <c r="X1306" s="72" t="s">
        <v>129</v>
      </c>
      <c r="Y1306" s="72" t="s">
        <v>3172</v>
      </c>
      <c r="Z1306" s="72" t="s">
        <v>129</v>
      </c>
      <c r="AA1306" s="147" t="s">
        <v>129</v>
      </c>
    </row>
    <row r="1307" spans="1:27" ht="18.600000000000001" customHeight="1">
      <c r="A1307" s="140" t="str">
        <f>IF(priority(Main[[#This Row],[Comments]])&lt;&gt;0, priority(Main[[#This Row],[Comments]]),"")</f>
        <v/>
      </c>
      <c r="B1307" s="90" t="s">
        <v>3470</v>
      </c>
      <c r="C1307" s="72" t="s">
        <v>4</v>
      </c>
      <c r="D1307" s="73" t="s">
        <v>3471</v>
      </c>
      <c r="E1307" s="74">
        <v>40933.744606481479</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4</v>
      </c>
      <c r="J1307" s="72" t="s">
        <v>4</v>
      </c>
      <c r="K1307" s="72" t="s">
        <v>4</v>
      </c>
      <c r="L1307" s="74"/>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v>40934</v>
      </c>
      <c r="R1307" s="74"/>
      <c r="S1307" s="72" t="s">
        <v>6</v>
      </c>
      <c r="T1307" s="80" t="s">
        <v>4</v>
      </c>
      <c r="U1307" s="72" t="s">
        <v>7</v>
      </c>
      <c r="V1307" s="72" t="s">
        <v>1935</v>
      </c>
      <c r="W1307" s="72" t="s">
        <v>1936</v>
      </c>
      <c r="X1307" s="72" t="s">
        <v>2986</v>
      </c>
      <c r="Y1307" s="72" t="s">
        <v>3155</v>
      </c>
      <c r="Z1307" s="72" t="s">
        <v>4</v>
      </c>
      <c r="AA1307" s="147" t="s">
        <v>2986</v>
      </c>
    </row>
    <row r="1308" spans="1:27" ht="18.600000000000001" customHeight="1">
      <c r="A1308" s="140" t="str">
        <f>IF(priority(Main[[#This Row],[Comments]])&lt;&gt;0, priority(Main[[#This Row],[Comments]]),"")</f>
        <v/>
      </c>
      <c r="B1308" s="90" t="s">
        <v>2651</v>
      </c>
      <c r="C1308" s="72" t="s">
        <v>2387</v>
      </c>
      <c r="D1308" s="73" t="s">
        <v>2388</v>
      </c>
      <c r="E1308" s="74"/>
      <c r="F1308" s="74">
        <v>41036</v>
      </c>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4</v>
      </c>
      <c r="J1308" s="72" t="s">
        <v>4</v>
      </c>
      <c r="K1308" s="72" t="s">
        <v>4</v>
      </c>
      <c r="L1308" s="74"/>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40854</v>
      </c>
      <c r="R1308" s="74"/>
      <c r="S1308" s="72" t="s">
        <v>11</v>
      </c>
      <c r="T1308" s="80" t="s">
        <v>4</v>
      </c>
      <c r="U1308" s="72" t="s">
        <v>12</v>
      </c>
      <c r="V1308" s="72" t="s">
        <v>1935</v>
      </c>
      <c r="W1308" s="72" t="s">
        <v>1938</v>
      </c>
      <c r="X1308" s="72" t="s">
        <v>2934</v>
      </c>
      <c r="Y1308" s="72" t="s">
        <v>4</v>
      </c>
      <c r="Z1308" s="72" t="s">
        <v>4</v>
      </c>
      <c r="AA1308" s="147" t="s">
        <v>2934</v>
      </c>
    </row>
    <row r="1309" spans="1:27" ht="18.600000000000001" customHeight="1">
      <c r="A1309" s="140" t="str">
        <f>IF(priority(Main[[#This Row],[Comments]])&lt;&gt;0, priority(Main[[#This Row],[Comments]]),"")</f>
        <v/>
      </c>
      <c r="B1309" s="90" t="s">
        <v>2272</v>
      </c>
      <c r="C1309" s="72" t="s">
        <v>2273</v>
      </c>
      <c r="D1309" s="73" t="s">
        <v>2274</v>
      </c>
      <c r="E1309" s="74"/>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2232</v>
      </c>
      <c r="J1309" s="72" t="s">
        <v>4</v>
      </c>
      <c r="K1309" s="72" t="s">
        <v>1941</v>
      </c>
      <c r="L1309" s="74">
        <v>37622</v>
      </c>
      <c r="M1309" s="77">
        <f>IF(Main[[#This Row],[Tech Start Date]]&lt;1/1/1990,"",IF(Main[[#This Row],[Class]]="C",WORKDAY(Main[[#This Row],[Tech Start Date]],9),IF(Main[[#This Row],[Class]]="B", WORKDAY(Main[[#This Row],[Tech Start Date]],6),IF(Main[[#This Row],[Class]]="A",WORKDAY(Main[[#This Row],[Tech Start Date]],2),""))))</f>
        <v>37624</v>
      </c>
      <c r="N1309" s="77">
        <f>IF(Main[[#This Row],[Tech Start Date]]&lt;1/1/1990,"",IF(Main[[#This Row],[Class]]="C",WORKDAY(Main[[#This Row],[Tech Start Date]],19),IF(Main[[#This Row],[Class]]="B", WORKDAY(Main[[#This Row],[Tech Start Date]],12),IF(Main[[#This Row],[Class]]="A",WORKDAY(Main[[#This Row],[Tech Start Date]],4),""))))</f>
        <v>37628</v>
      </c>
      <c r="O1309" s="77">
        <f>IF(Main[[#This Row],[Tech Start Date]]&lt;1/1/1990,"",IF(Main[[#This Row],[Class]]="C",WORKDAY(Main[[#This Row],[Tech Start Date]],23),IF(Main[[#This Row],[Class]]="B", WORKDAY(Main[[#This Row],[Tech Start Date]],15),IF(Main[[#This Row],[Class]]="A",WORKDAY(Main[[#This Row],[Tech Start Date]],5),""))))</f>
        <v>37629</v>
      </c>
      <c r="P1309" s="77">
        <f>IF(Main[[#This Row],[Tech Start Date]]&lt;1/1/1990,"",IF(Main[[#This Row],[Class]]="C",WORKDAY(Main[[#This Row],[Tech Start Date]],28),IF(Main[[#This Row],[Class]]="B", WORKDAY(Main[[#This Row],[Tech Start Date]],19),IF(Main[[#This Row],[Class]]="A",WORKDAY(Main[[#This Row],[Tech Start Date]],9),""))))</f>
        <v>37635</v>
      </c>
      <c r="Q1309" s="74"/>
      <c r="R1309" s="155">
        <v>37623</v>
      </c>
      <c r="S1309" s="72" t="s">
        <v>11</v>
      </c>
      <c r="T1309" s="80" t="s">
        <v>4</v>
      </c>
      <c r="U1309" s="72" t="s">
        <v>14</v>
      </c>
      <c r="V1309" s="72" t="s">
        <v>1947</v>
      </c>
      <c r="W1309" s="72" t="s">
        <v>1940</v>
      </c>
      <c r="X1309" s="72" t="s">
        <v>3005</v>
      </c>
      <c r="Y1309" s="72" t="s">
        <v>3238</v>
      </c>
      <c r="Z1309" s="72" t="s">
        <v>4</v>
      </c>
      <c r="AA1309" s="147" t="s">
        <v>3712</v>
      </c>
    </row>
    <row r="1310" spans="1:27" ht="18.600000000000001" customHeight="1">
      <c r="A1310" s="140" t="str">
        <f>IF(priority(Main[[#This Row],[Comments]])&lt;&gt;0, priority(Main[[#This Row],[Comments]]),"")</f>
        <v/>
      </c>
      <c r="B1310" s="90" t="s">
        <v>2311</v>
      </c>
      <c r="C1310" s="72" t="s">
        <v>2230</v>
      </c>
      <c r="D1310" s="73" t="s">
        <v>2231</v>
      </c>
      <c r="E1310" s="74">
        <v>40813.570081018515</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2232</v>
      </c>
      <c r="J1310" s="72" t="s">
        <v>4</v>
      </c>
      <c r="K1310" s="72" t="s">
        <v>1941</v>
      </c>
      <c r="L1310" s="74">
        <v>37622</v>
      </c>
      <c r="M1310" s="77">
        <f>IF(Main[[#This Row],[Tech Start Date]]&lt;1/1/1990,"",IF(Main[[#This Row],[Class]]="C",WORKDAY(Main[[#This Row],[Tech Start Date]],9),IF(Main[[#This Row],[Class]]="B", WORKDAY(Main[[#This Row],[Tech Start Date]],6),IF(Main[[#This Row],[Class]]="A",WORKDAY(Main[[#This Row],[Tech Start Date]],2),""))))</f>
        <v>37624</v>
      </c>
      <c r="N1310" s="77">
        <f>IF(Main[[#This Row],[Tech Start Date]]&lt;1/1/1990,"",IF(Main[[#This Row],[Class]]="C",WORKDAY(Main[[#This Row],[Tech Start Date]],19),IF(Main[[#This Row],[Class]]="B", WORKDAY(Main[[#This Row],[Tech Start Date]],12),IF(Main[[#This Row],[Class]]="A",WORKDAY(Main[[#This Row],[Tech Start Date]],4),""))))</f>
        <v>37628</v>
      </c>
      <c r="O1310" s="77">
        <f>IF(Main[[#This Row],[Tech Start Date]]&lt;1/1/1990,"",IF(Main[[#This Row],[Class]]="C",WORKDAY(Main[[#This Row],[Tech Start Date]],23),IF(Main[[#This Row],[Class]]="B", WORKDAY(Main[[#This Row],[Tech Start Date]],15),IF(Main[[#This Row],[Class]]="A",WORKDAY(Main[[#This Row],[Tech Start Date]],5),""))))</f>
        <v>37629</v>
      </c>
      <c r="P1310" s="77">
        <f>IF(Main[[#This Row],[Tech Start Date]]&lt;1/1/1990,"",IF(Main[[#This Row],[Class]]="C",WORKDAY(Main[[#This Row],[Tech Start Date]],28),IF(Main[[#This Row],[Class]]="B", WORKDAY(Main[[#This Row],[Tech Start Date]],19),IF(Main[[#This Row],[Class]]="A",WORKDAY(Main[[#This Row],[Tech Start Date]],9),""))))</f>
        <v>37635</v>
      </c>
      <c r="Q1310" s="74"/>
      <c r="R1310" s="155">
        <v>37623</v>
      </c>
      <c r="S1310" s="72" t="s">
        <v>11</v>
      </c>
      <c r="T1310" s="80" t="s">
        <v>4</v>
      </c>
      <c r="U1310" s="72" t="s">
        <v>29</v>
      </c>
      <c r="V1310" s="72" t="s">
        <v>2312</v>
      </c>
      <c r="W1310" s="72" t="s">
        <v>1940</v>
      </c>
      <c r="X1310" s="72" t="s">
        <v>2232</v>
      </c>
      <c r="Y1310" s="72" t="s">
        <v>3238</v>
      </c>
      <c r="Z1310" s="72" t="s">
        <v>4</v>
      </c>
      <c r="AA1310" s="147" t="s">
        <v>3712</v>
      </c>
    </row>
    <row r="1311" spans="1:27" ht="18.600000000000001" customHeight="1">
      <c r="A1311" s="140" t="str">
        <f>IF(priority(Main[[#This Row],[Comments]])&lt;&gt;0, priority(Main[[#This Row],[Comments]]),"")</f>
        <v/>
      </c>
      <c r="B1311" s="90" t="s">
        <v>2271</v>
      </c>
      <c r="C1311" s="72" t="s">
        <v>2230</v>
      </c>
      <c r="D1311" s="73" t="s">
        <v>2231</v>
      </c>
      <c r="E1311" s="74"/>
      <c r="F1311" s="74"/>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2232</v>
      </c>
      <c r="J1311" s="72" t="s">
        <v>4</v>
      </c>
      <c r="K1311" s="81" t="s">
        <v>1941</v>
      </c>
      <c r="L1311" s="74">
        <v>37622</v>
      </c>
      <c r="M1311" s="77">
        <f>IF(Main[[#This Row],[Tech Start Date]]&lt;1/1/1990,"",IF(Main[[#This Row],[Class]]="C",WORKDAY(Main[[#This Row],[Tech Start Date]],9),IF(Main[[#This Row],[Class]]="B", WORKDAY(Main[[#This Row],[Tech Start Date]],6),IF(Main[[#This Row],[Class]]="A",WORKDAY(Main[[#This Row],[Tech Start Date]],2),""))))</f>
        <v>37624</v>
      </c>
      <c r="N1311" s="77">
        <f>IF(Main[[#This Row],[Tech Start Date]]&lt;1/1/1990,"",IF(Main[[#This Row],[Class]]="C",WORKDAY(Main[[#This Row],[Tech Start Date]],19),IF(Main[[#This Row],[Class]]="B", WORKDAY(Main[[#This Row],[Tech Start Date]],12),IF(Main[[#This Row],[Class]]="A",WORKDAY(Main[[#This Row],[Tech Start Date]],4),""))))</f>
        <v>37628</v>
      </c>
      <c r="O1311" s="77">
        <f>IF(Main[[#This Row],[Tech Start Date]]&lt;1/1/1990,"",IF(Main[[#This Row],[Class]]="C",WORKDAY(Main[[#This Row],[Tech Start Date]],23),IF(Main[[#This Row],[Class]]="B", WORKDAY(Main[[#This Row],[Tech Start Date]],15),IF(Main[[#This Row],[Class]]="A",WORKDAY(Main[[#This Row],[Tech Start Date]],5),""))))</f>
        <v>37629</v>
      </c>
      <c r="P1311" s="77">
        <f>IF(Main[[#This Row],[Tech Start Date]]&lt;1/1/1990,"",IF(Main[[#This Row],[Class]]="C",WORKDAY(Main[[#This Row],[Tech Start Date]],28),IF(Main[[#This Row],[Class]]="B", WORKDAY(Main[[#This Row],[Tech Start Date]],19),IF(Main[[#This Row],[Class]]="A",WORKDAY(Main[[#This Row],[Tech Start Date]],9),""))))</f>
        <v>37635</v>
      </c>
      <c r="Q1311" s="74"/>
      <c r="R1311" s="74">
        <v>37623</v>
      </c>
      <c r="S1311" s="72" t="s">
        <v>11</v>
      </c>
      <c r="T1311" s="80" t="s">
        <v>4</v>
      </c>
      <c r="U1311" s="72" t="s">
        <v>14</v>
      </c>
      <c r="V1311" s="72" t="s">
        <v>1947</v>
      </c>
      <c r="W1311" s="72" t="s">
        <v>1940</v>
      </c>
      <c r="X1311" s="72" t="s">
        <v>2232</v>
      </c>
      <c r="Y1311" s="72" t="s">
        <v>3238</v>
      </c>
      <c r="Z1311" s="72" t="s">
        <v>4</v>
      </c>
      <c r="AA1311" s="147" t="s">
        <v>3712</v>
      </c>
    </row>
    <row r="1312" spans="1:27" ht="18.600000000000001" customHeight="1">
      <c r="A1312" s="140" t="str">
        <f>IF(priority(Main[[#This Row],[Comments]])&lt;&gt;0, priority(Main[[#This Row],[Comments]]),"")</f>
        <v/>
      </c>
      <c r="B1312" s="90" t="s">
        <v>2229</v>
      </c>
      <c r="C1312" s="72" t="s">
        <v>2230</v>
      </c>
      <c r="D1312" s="73" t="s">
        <v>2231</v>
      </c>
      <c r="E1312" s="74"/>
      <c r="F1312" s="74"/>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2232</v>
      </c>
      <c r="J1312" s="72" t="s">
        <v>4</v>
      </c>
      <c r="K1312" s="72" t="s">
        <v>1941</v>
      </c>
      <c r="L1312" s="74">
        <v>37622</v>
      </c>
      <c r="M1312" s="77">
        <f>IF(Main[[#This Row],[Tech Start Date]]&lt;1/1/1990,"",IF(Main[[#This Row],[Class]]="C",WORKDAY(Main[[#This Row],[Tech Start Date]],9),IF(Main[[#This Row],[Class]]="B", WORKDAY(Main[[#This Row],[Tech Start Date]],6),IF(Main[[#This Row],[Class]]="A",WORKDAY(Main[[#This Row],[Tech Start Date]],2),""))))</f>
        <v>37624</v>
      </c>
      <c r="N1312" s="77">
        <f>IF(Main[[#This Row],[Tech Start Date]]&lt;1/1/1990,"",IF(Main[[#This Row],[Class]]="C",WORKDAY(Main[[#This Row],[Tech Start Date]],19),IF(Main[[#This Row],[Class]]="B", WORKDAY(Main[[#This Row],[Tech Start Date]],12),IF(Main[[#This Row],[Class]]="A",WORKDAY(Main[[#This Row],[Tech Start Date]],4),""))))</f>
        <v>37628</v>
      </c>
      <c r="O1312" s="77">
        <f>IF(Main[[#This Row],[Tech Start Date]]&lt;1/1/1990,"",IF(Main[[#This Row],[Class]]="C",WORKDAY(Main[[#This Row],[Tech Start Date]],23),IF(Main[[#This Row],[Class]]="B", WORKDAY(Main[[#This Row],[Tech Start Date]],15),IF(Main[[#This Row],[Class]]="A",WORKDAY(Main[[#This Row],[Tech Start Date]],5),""))))</f>
        <v>37629</v>
      </c>
      <c r="P1312" s="77">
        <f>IF(Main[[#This Row],[Tech Start Date]]&lt;1/1/1990,"",IF(Main[[#This Row],[Class]]="C",WORKDAY(Main[[#This Row],[Tech Start Date]],28),IF(Main[[#This Row],[Class]]="B", WORKDAY(Main[[#This Row],[Tech Start Date]],19),IF(Main[[#This Row],[Class]]="A",WORKDAY(Main[[#This Row],[Tech Start Date]],9),""))))</f>
        <v>37635</v>
      </c>
      <c r="Q1312" s="74"/>
      <c r="R1312" s="74">
        <v>37623</v>
      </c>
      <c r="S1312" s="72" t="s">
        <v>11</v>
      </c>
      <c r="T1312" s="80" t="s">
        <v>4</v>
      </c>
      <c r="U1312" s="72" t="s">
        <v>14</v>
      </c>
      <c r="V1312" s="72" t="s">
        <v>1947</v>
      </c>
      <c r="W1312" s="72" t="s">
        <v>1940</v>
      </c>
      <c r="X1312" s="72" t="s">
        <v>2232</v>
      </c>
      <c r="Y1312" s="72" t="s">
        <v>3238</v>
      </c>
      <c r="Z1312" s="72" t="s">
        <v>4</v>
      </c>
      <c r="AA1312" s="147" t="s">
        <v>3712</v>
      </c>
    </row>
    <row r="1313" spans="1:27" ht="18.600000000000001" customHeight="1">
      <c r="A1313" s="140" t="str">
        <f>IF(priority(Main[[#This Row],[Comments]])&lt;&gt;0, priority(Main[[#This Row],[Comments]]),"")</f>
        <v/>
      </c>
      <c r="B1313" s="90" t="s">
        <v>1828</v>
      </c>
      <c r="C1313" s="72" t="s">
        <v>866</v>
      </c>
      <c r="D1313" s="73" t="s">
        <v>870</v>
      </c>
      <c r="E1313" s="74">
        <v>40085.252314814818</v>
      </c>
      <c r="F1313" s="74">
        <v>40421</v>
      </c>
      <c r="G1313" s="75" t="str">
        <f>IF(stdProdLT(Main[[#This Row],[Comments]])=0.1,"N/A",IF(stdProdLT(Main[[#This Row],[Comments]])=0,"",stdProdLT(Main[[#This Row],[Comments]])))</f>
        <v/>
      </c>
      <c r="H1313" s="76">
        <f>IF(AND(Main[[#This Row],[In Stock Date]]&lt;&gt;"",Main[[#This Row],[Revised Due Date]]&lt;&gt;""),Main[[#This Row],[In Stock Date]]-Main[[#This Row],[Revised Due Date]],"")</f>
        <v>193</v>
      </c>
      <c r="I1313" s="72" t="s">
        <v>863</v>
      </c>
      <c r="J1313" s="72" t="s">
        <v>4</v>
      </c>
      <c r="K1313" s="72" t="s">
        <v>1944</v>
      </c>
      <c r="L1313" s="74">
        <v>40091</v>
      </c>
      <c r="M1313" s="77" t="str">
        <f>IF(Main[[#This Row],[Tech Start Date]]&lt;1/1/1990,"",IF(Main[[#This Row],[Class]]="C",WORKDAY(Main[[#This Row],[Tech Start Date]],9),IF(Main[[#This Row],[Class]]="B", WORKDAY(Main[[#This Row],[Tech Start Date]],6),IF(Main[[#This Row],[Class]]="A",WORKDAY(Main[[#This Row],[Tech Start Date]],2),""))))</f>
        <v/>
      </c>
      <c r="N1313" s="77" t="str">
        <f>IF(Main[[#This Row],[Tech Start Date]]&lt;1/1/1990,"",IF(Main[[#This Row],[Class]]="C",WORKDAY(Main[[#This Row],[Tech Start Date]],19),IF(Main[[#This Row],[Class]]="B", WORKDAY(Main[[#This Row],[Tech Start Date]],12),IF(Main[[#This Row],[Class]]="A",WORKDAY(Main[[#This Row],[Tech Start Date]],4),""))))</f>
        <v/>
      </c>
      <c r="O1313" s="77" t="str">
        <f>IF(Main[[#This Row],[Tech Start Date]]&lt;1/1/1990,"",IF(Main[[#This Row],[Class]]="C",WORKDAY(Main[[#This Row],[Tech Start Date]],23),IF(Main[[#This Row],[Class]]="B", WORKDAY(Main[[#This Row],[Tech Start Date]],15),IF(Main[[#This Row],[Class]]="A",WORKDAY(Main[[#This Row],[Tech Start Date]],5),""))))</f>
        <v/>
      </c>
      <c r="P1313" s="77" t="str">
        <f>IF(Main[[#This Row],[Tech Start Date]]&lt;1/1/1990,"",IF(Main[[#This Row],[Class]]="C",WORKDAY(Main[[#This Row],[Tech Start Date]],28),IF(Main[[#This Row],[Class]]="B", WORKDAY(Main[[#This Row],[Tech Start Date]],19),IF(Main[[#This Row],[Class]]="A",WORKDAY(Main[[#This Row],[Tech Start Date]],9),""))))</f>
        <v/>
      </c>
      <c r="Q1313" s="74">
        <v>40239</v>
      </c>
      <c r="R1313" s="74">
        <v>40228</v>
      </c>
      <c r="S1313" s="72" t="s">
        <v>17</v>
      </c>
      <c r="T1313" s="80" t="s">
        <v>4</v>
      </c>
      <c r="U1313" s="72" t="s">
        <v>29</v>
      </c>
      <c r="V1313" s="72" t="s">
        <v>1935</v>
      </c>
      <c r="W1313" s="72" t="s">
        <v>1937</v>
      </c>
      <c r="X1313" s="72" t="s">
        <v>3006</v>
      </c>
      <c r="Y1313" s="72" t="s">
        <v>4</v>
      </c>
      <c r="Z1313" s="72" t="s">
        <v>863</v>
      </c>
      <c r="AA1313" s="147" t="s">
        <v>3006</v>
      </c>
    </row>
    <row r="1314" spans="1:27" ht="18.600000000000001" customHeight="1">
      <c r="A1314" s="140" t="str">
        <f>IF(priority(Main[[#This Row],[Comments]])&lt;&gt;0, priority(Main[[#This Row],[Comments]]),"")</f>
        <v/>
      </c>
      <c r="B1314" s="90" t="s">
        <v>1821</v>
      </c>
      <c r="C1314" s="72" t="s">
        <v>93</v>
      </c>
      <c r="D1314" s="73" t="s">
        <v>861</v>
      </c>
      <c r="E1314" s="74"/>
      <c r="F1314" s="74">
        <v>40238</v>
      </c>
      <c r="G1314" s="75" t="str">
        <f>IF(stdProdLT(Main[[#This Row],[Comments]])=0.1,"N/A",IF(stdProdLT(Main[[#This Row],[Comments]])=0,"",stdProdLT(Main[[#This Row],[Comments]])))</f>
        <v/>
      </c>
      <c r="H1314" s="76">
        <f>IF(AND(Main[[#This Row],[In Stock Date]]&lt;&gt;"",Main[[#This Row],[Revised Due Date]]&lt;&gt;""),Main[[#This Row],[In Stock Date]]-Main[[#This Row],[Revised Due Date]],"")</f>
        <v>81</v>
      </c>
      <c r="I1314" s="72" t="s">
        <v>44</v>
      </c>
      <c r="J1314" s="72" t="s">
        <v>4</v>
      </c>
      <c r="K1314" s="72" t="s">
        <v>4</v>
      </c>
      <c r="L1314" s="74">
        <v>40127</v>
      </c>
      <c r="M1314" s="77" t="str">
        <f>IF(Main[[#This Row],[Tech Start Date]]&lt;1/1/1990,"",IF(Main[[#This Row],[Class]]="C",WORKDAY(Main[[#This Row],[Tech Start Date]],9),IF(Main[[#This Row],[Class]]="B", WORKDAY(Main[[#This Row],[Tech Start Date]],6),IF(Main[[#This Row],[Class]]="A",WORKDAY(Main[[#This Row],[Tech Start Date]],2),""))))</f>
        <v/>
      </c>
      <c r="N1314" s="77" t="str">
        <f>IF(Main[[#This Row],[Tech Start Date]]&lt;1/1/1990,"",IF(Main[[#This Row],[Class]]="C",WORKDAY(Main[[#This Row],[Tech Start Date]],19),IF(Main[[#This Row],[Class]]="B", WORKDAY(Main[[#This Row],[Tech Start Date]],12),IF(Main[[#This Row],[Class]]="A",WORKDAY(Main[[#This Row],[Tech Start Date]],4),""))))</f>
        <v/>
      </c>
      <c r="O1314" s="77" t="str">
        <f>IF(Main[[#This Row],[Tech Start Date]]&lt;1/1/1990,"",IF(Main[[#This Row],[Class]]="C",WORKDAY(Main[[#This Row],[Tech Start Date]],23),IF(Main[[#This Row],[Class]]="B", WORKDAY(Main[[#This Row],[Tech Start Date]],15),IF(Main[[#This Row],[Class]]="A",WORKDAY(Main[[#This Row],[Tech Start Date]],5),""))))</f>
        <v/>
      </c>
      <c r="P1314" s="77" t="str">
        <f>IF(Main[[#This Row],[Tech Start Date]]&lt;1/1/1990,"",IF(Main[[#This Row],[Class]]="C",WORKDAY(Main[[#This Row],[Tech Start Date]],28),IF(Main[[#This Row],[Class]]="B", WORKDAY(Main[[#This Row],[Tech Start Date]],19),IF(Main[[#This Row],[Class]]="A",WORKDAY(Main[[#This Row],[Tech Start Date]],9),""))))</f>
        <v/>
      </c>
      <c r="Q1314" s="74">
        <v>40223</v>
      </c>
      <c r="R1314" s="74">
        <v>40157</v>
      </c>
      <c r="S1314" s="72" t="s">
        <v>11</v>
      </c>
      <c r="T1314" s="80" t="s">
        <v>4</v>
      </c>
      <c r="U1314" s="72" t="s">
        <v>14</v>
      </c>
      <c r="V1314" s="72" t="s">
        <v>1942</v>
      </c>
      <c r="W1314" s="72" t="s">
        <v>1943</v>
      </c>
      <c r="X1314" s="72" t="s">
        <v>2936</v>
      </c>
      <c r="Y1314" s="72" t="s">
        <v>4</v>
      </c>
      <c r="Z1314" s="72" t="s">
        <v>4</v>
      </c>
      <c r="AA1314" s="147" t="s">
        <v>2936</v>
      </c>
    </row>
    <row r="1315" spans="1:27" ht="18.600000000000001" customHeight="1">
      <c r="A1315" s="140" t="str">
        <f>IF(priority(Main[[#This Row],[Comments]])&lt;&gt;0, priority(Main[[#This Row],[Comments]]),"")</f>
        <v/>
      </c>
      <c r="B1315" s="90" t="s">
        <v>1195</v>
      </c>
      <c r="C1315" s="72" t="s">
        <v>4</v>
      </c>
      <c r="D1315" s="73" t="s">
        <v>241</v>
      </c>
      <c r="E1315" s="74"/>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242</v>
      </c>
      <c r="J1315" s="72" t="s">
        <v>4</v>
      </c>
      <c r="K1315" s="72" t="s">
        <v>4</v>
      </c>
      <c r="L1315" s="74">
        <v>40134</v>
      </c>
      <c r="M1315" s="77" t="str">
        <f>IF(Main[[#This Row],[Tech Start Date]]&lt;1/1/1990,"",IF(Main[[#This Row],[Class]]="C",WORKDAY(Main[[#This Row],[Tech Start Date]],9),IF(Main[[#This Row],[Class]]="B", WORKDAY(Main[[#This Row],[Tech Start Date]],6),IF(Main[[#This Row],[Class]]="A",WORKDAY(Main[[#This Row],[Tech Start Date]],2),""))))</f>
        <v/>
      </c>
      <c r="N1315" s="77" t="str">
        <f>IF(Main[[#This Row],[Tech Start Date]]&lt;1/1/1990,"",IF(Main[[#This Row],[Class]]="C",WORKDAY(Main[[#This Row],[Tech Start Date]],19),IF(Main[[#This Row],[Class]]="B", WORKDAY(Main[[#This Row],[Tech Start Date]],12),IF(Main[[#This Row],[Class]]="A",WORKDAY(Main[[#This Row],[Tech Start Date]],4),""))))</f>
        <v/>
      </c>
      <c r="O1315" s="77" t="str">
        <f>IF(Main[[#This Row],[Tech Start Date]]&lt;1/1/1990,"",IF(Main[[#This Row],[Class]]="C",WORKDAY(Main[[#This Row],[Tech Start Date]],23),IF(Main[[#This Row],[Class]]="B", WORKDAY(Main[[#This Row],[Tech Start Date]],15),IF(Main[[#This Row],[Class]]="A",WORKDAY(Main[[#This Row],[Tech Start Date]],5),""))))</f>
        <v/>
      </c>
      <c r="P1315" s="77" t="str">
        <f>IF(Main[[#This Row],[Tech Start Date]]&lt;1/1/1990,"",IF(Main[[#This Row],[Class]]="C",WORKDAY(Main[[#This Row],[Tech Start Date]],28),IF(Main[[#This Row],[Class]]="B", WORKDAY(Main[[#This Row],[Tech Start Date]],19),IF(Main[[#This Row],[Class]]="A",WORKDAY(Main[[#This Row],[Tech Start Date]],9),""))))</f>
        <v/>
      </c>
      <c r="Q1315" s="74"/>
      <c r="R1315" s="74"/>
      <c r="S1315" s="72" t="s">
        <v>6</v>
      </c>
      <c r="T1315" s="80" t="s">
        <v>4</v>
      </c>
      <c r="U1315" s="72" t="s">
        <v>14</v>
      </c>
      <c r="V1315" s="72" t="s">
        <v>1935</v>
      </c>
      <c r="W1315" s="72" t="s">
        <v>4</v>
      </c>
      <c r="X1315" s="72" t="s">
        <v>2913</v>
      </c>
      <c r="Y1315" s="72" t="s">
        <v>3239</v>
      </c>
      <c r="Z1315" s="72" t="s">
        <v>4</v>
      </c>
      <c r="AA1315" s="147" t="s">
        <v>2913</v>
      </c>
    </row>
    <row r="1316" spans="1:27" ht="18.600000000000001" customHeight="1">
      <c r="A1316" s="140" t="str">
        <f>IF(priority(Main[[#This Row],[Comments]])&lt;&gt;0, priority(Main[[#This Row],[Comments]]),"")</f>
        <v/>
      </c>
      <c r="B1316" s="90" t="s">
        <v>1867</v>
      </c>
      <c r="C1316" s="72" t="s">
        <v>868</v>
      </c>
      <c r="D1316" s="73" t="s">
        <v>916</v>
      </c>
      <c r="E1316" s="74"/>
      <c r="F1316" s="74">
        <v>40305</v>
      </c>
      <c r="G1316" s="75" t="str">
        <f>IF(stdProdLT(Main[[#This Row],[Comments]])=0.1,"N/A",IF(stdProdLT(Main[[#This Row],[Comments]])=0,"",stdProdLT(Main[[#This Row],[Comments]])))</f>
        <v/>
      </c>
      <c r="H1316" s="76">
        <f>IF(AND(Main[[#This Row],[In Stock Date]]&lt;&gt;"",Main[[#This Row],[Revised Due Date]]&lt;&gt;""),Main[[#This Row],[In Stock Date]]-Main[[#This Row],[Revised Due Date]],"")</f>
        <v>-226</v>
      </c>
      <c r="I1316" s="72" t="s">
        <v>436</v>
      </c>
      <c r="J1316" s="72" t="s">
        <v>4</v>
      </c>
      <c r="K1316" s="72" t="s">
        <v>1939</v>
      </c>
      <c r="L1316" s="74">
        <v>40162</v>
      </c>
      <c r="M1316" s="77">
        <f>IF(Main[[#This Row],[Tech Start Date]]&lt;1/1/1990,"",IF(Main[[#This Row],[Class]]="C",WORKDAY(Main[[#This Row],[Tech Start Date]],9),IF(Main[[#This Row],[Class]]="B", WORKDAY(Main[[#This Row],[Tech Start Date]],6),IF(Main[[#This Row],[Class]]="A",WORKDAY(Main[[#This Row],[Tech Start Date]],2),""))))</f>
        <v>40170</v>
      </c>
      <c r="N1316" s="77">
        <f>IF(Main[[#This Row],[Tech Start Date]]&lt;1/1/1990,"",IF(Main[[#This Row],[Class]]="C",WORKDAY(Main[[#This Row],[Tech Start Date]],19),IF(Main[[#This Row],[Class]]="B", WORKDAY(Main[[#This Row],[Tech Start Date]],12),IF(Main[[#This Row],[Class]]="A",WORKDAY(Main[[#This Row],[Tech Start Date]],4),""))))</f>
        <v>40178</v>
      </c>
      <c r="O1316" s="77">
        <f>IF(Main[[#This Row],[Tech Start Date]]&lt;1/1/1990,"",IF(Main[[#This Row],[Class]]="C",WORKDAY(Main[[#This Row],[Tech Start Date]],23),IF(Main[[#This Row],[Class]]="B", WORKDAY(Main[[#This Row],[Tech Start Date]],15),IF(Main[[#This Row],[Class]]="A",WORKDAY(Main[[#This Row],[Tech Start Date]],5),""))))</f>
        <v>40183</v>
      </c>
      <c r="P1316" s="77">
        <f>IF(Main[[#This Row],[Tech Start Date]]&lt;1/1/1990,"",IF(Main[[#This Row],[Class]]="C",WORKDAY(Main[[#This Row],[Tech Start Date]],28),IF(Main[[#This Row],[Class]]="B", WORKDAY(Main[[#This Row],[Tech Start Date]],19),IF(Main[[#This Row],[Class]]="A",WORKDAY(Main[[#This Row],[Tech Start Date]],9),""))))</f>
        <v>40189</v>
      </c>
      <c r="Q1316" s="74">
        <v>40531</v>
      </c>
      <c r="R1316" s="74">
        <v>40531</v>
      </c>
      <c r="S1316" s="72" t="s">
        <v>11</v>
      </c>
      <c r="T1316" s="80" t="s">
        <v>4</v>
      </c>
      <c r="U1316" s="72" t="s">
        <v>14</v>
      </c>
      <c r="V1316" s="72" t="s">
        <v>1935</v>
      </c>
      <c r="W1316" s="72" t="s">
        <v>1940</v>
      </c>
      <c r="X1316" s="72" t="s">
        <v>3007</v>
      </c>
      <c r="Y1316" s="72" t="s">
        <v>4</v>
      </c>
      <c r="Z1316" s="72" t="s">
        <v>4</v>
      </c>
      <c r="AA1316" s="147" t="s">
        <v>3007</v>
      </c>
    </row>
    <row r="1317" spans="1:27" ht="18.600000000000001" customHeight="1">
      <c r="A1317" s="140" t="str">
        <f>IF(priority(Main[[#This Row],[Comments]])&lt;&gt;0, priority(Main[[#This Row],[Comments]]),"")</f>
        <v/>
      </c>
      <c r="B1317" s="90" t="s">
        <v>1825</v>
      </c>
      <c r="C1317" s="72" t="s">
        <v>31</v>
      </c>
      <c r="D1317" s="73" t="s">
        <v>865</v>
      </c>
      <c r="E1317" s="74"/>
      <c r="F1317" s="74">
        <v>40192</v>
      </c>
      <c r="G1317" s="75" t="str">
        <f>IF(stdProdLT(Main[[#This Row],[Comments]])=0.1,"N/A",IF(stdProdLT(Main[[#This Row],[Comments]])=0,"",stdProdLT(Main[[#This Row],[Comments]])))</f>
        <v/>
      </c>
      <c r="H1317" s="76">
        <f>IF(AND(Main[[#This Row],[In Stock Date]]&lt;&gt;"",Main[[#This Row],[Revised Due Date]]&lt;&gt;""),Main[[#This Row],[In Stock Date]]-Main[[#This Row],[Revised Due Date]],"")</f>
        <v>0</v>
      </c>
      <c r="I1317" s="72" t="s">
        <v>775</v>
      </c>
      <c r="J1317" s="72" t="s">
        <v>4</v>
      </c>
      <c r="K1317" s="72" t="s">
        <v>4</v>
      </c>
      <c r="L1317" s="74">
        <v>40163</v>
      </c>
      <c r="M1317" s="77" t="str">
        <f>IF(Main[[#This Row],[Tech Start Date]]&lt;1/1/1990,"",IF(Main[[#This Row],[Class]]="C",WORKDAY(Main[[#This Row],[Tech Start Date]],9),IF(Main[[#This Row],[Class]]="B", WORKDAY(Main[[#This Row],[Tech Start Date]],6),IF(Main[[#This Row],[Class]]="A",WORKDAY(Main[[#This Row],[Tech Start Date]],2),""))))</f>
        <v/>
      </c>
      <c r="N1317" s="77" t="str">
        <f>IF(Main[[#This Row],[Tech Start Date]]&lt;1/1/1990,"",IF(Main[[#This Row],[Class]]="C",WORKDAY(Main[[#This Row],[Tech Start Date]],19),IF(Main[[#This Row],[Class]]="B", WORKDAY(Main[[#This Row],[Tech Start Date]],12),IF(Main[[#This Row],[Class]]="A",WORKDAY(Main[[#This Row],[Tech Start Date]],4),""))))</f>
        <v/>
      </c>
      <c r="O1317" s="77" t="str">
        <f>IF(Main[[#This Row],[Tech Start Date]]&lt;1/1/1990,"",IF(Main[[#This Row],[Class]]="C",WORKDAY(Main[[#This Row],[Tech Start Date]],23),IF(Main[[#This Row],[Class]]="B", WORKDAY(Main[[#This Row],[Tech Start Date]],15),IF(Main[[#This Row],[Class]]="A",WORKDAY(Main[[#This Row],[Tech Start Date]],5),""))))</f>
        <v/>
      </c>
      <c r="P1317" s="77" t="str">
        <f>IF(Main[[#This Row],[Tech Start Date]]&lt;1/1/1990,"",IF(Main[[#This Row],[Class]]="C",WORKDAY(Main[[#This Row],[Tech Start Date]],28),IF(Main[[#This Row],[Class]]="B", WORKDAY(Main[[#This Row],[Tech Start Date]],19),IF(Main[[#This Row],[Class]]="A",WORKDAY(Main[[#This Row],[Tech Start Date]],9),""))))</f>
        <v/>
      </c>
      <c r="Q1317" s="74">
        <v>40226</v>
      </c>
      <c r="R1317" s="74">
        <v>40192</v>
      </c>
      <c r="S1317" s="72" t="s">
        <v>11</v>
      </c>
      <c r="T1317" s="80" t="s">
        <v>4</v>
      </c>
      <c r="U1317" s="72" t="s">
        <v>14</v>
      </c>
      <c r="V1317" s="72" t="s">
        <v>1942</v>
      </c>
      <c r="W1317" s="72" t="s">
        <v>1938</v>
      </c>
      <c r="X1317" s="72" t="s">
        <v>2962</v>
      </c>
      <c r="Y1317" s="72" t="s">
        <v>4</v>
      </c>
      <c r="Z1317" s="72" t="s">
        <v>4</v>
      </c>
      <c r="AA1317" s="147" t="s">
        <v>2962</v>
      </c>
    </row>
    <row r="1318" spans="1:27" ht="18.600000000000001" customHeight="1">
      <c r="A1318" s="140" t="str">
        <f>IF(priority(Main[[#This Row],[Comments]])&lt;&gt;0, priority(Main[[#This Row],[Comments]]),"")</f>
        <v/>
      </c>
      <c r="B1318" s="90" t="s">
        <v>1824</v>
      </c>
      <c r="C1318" s="72" t="s">
        <v>31</v>
      </c>
      <c r="D1318" s="73" t="s">
        <v>864</v>
      </c>
      <c r="E1318" s="74"/>
      <c r="F1318" s="74">
        <v>40192</v>
      </c>
      <c r="G1318" s="75" t="str">
        <f>IF(stdProdLT(Main[[#This Row],[Comments]])=0.1,"N/A",IF(stdProdLT(Main[[#This Row],[Comments]])=0,"",stdProdLT(Main[[#This Row],[Comments]])))</f>
        <v/>
      </c>
      <c r="H1318" s="76">
        <f>IF(AND(Main[[#This Row],[In Stock Date]]&lt;&gt;"",Main[[#This Row],[Revised Due Date]]&lt;&gt;""),Main[[#This Row],[In Stock Date]]-Main[[#This Row],[Revised Due Date]],"")</f>
        <v>0</v>
      </c>
      <c r="I1318" s="72" t="s">
        <v>775</v>
      </c>
      <c r="J1318" s="72" t="s">
        <v>4</v>
      </c>
      <c r="K1318" s="81" t="s">
        <v>4</v>
      </c>
      <c r="L1318" s="74">
        <v>40163</v>
      </c>
      <c r="M1318" s="77" t="str">
        <f>IF(Main[[#This Row],[Tech Start Date]]&lt;1/1/1990,"",IF(Main[[#This Row],[Class]]="C",WORKDAY(Main[[#This Row],[Tech Start Date]],9),IF(Main[[#This Row],[Class]]="B", WORKDAY(Main[[#This Row],[Tech Start Date]],6),IF(Main[[#This Row],[Class]]="A",WORKDAY(Main[[#This Row],[Tech Start Date]],2),""))))</f>
        <v/>
      </c>
      <c r="N1318" s="77" t="str">
        <f>IF(Main[[#This Row],[Tech Start Date]]&lt;1/1/1990,"",IF(Main[[#This Row],[Class]]="C",WORKDAY(Main[[#This Row],[Tech Start Date]],19),IF(Main[[#This Row],[Class]]="B", WORKDAY(Main[[#This Row],[Tech Start Date]],12),IF(Main[[#This Row],[Class]]="A",WORKDAY(Main[[#This Row],[Tech Start Date]],4),""))))</f>
        <v/>
      </c>
      <c r="O1318" s="77" t="str">
        <f>IF(Main[[#This Row],[Tech Start Date]]&lt;1/1/1990,"",IF(Main[[#This Row],[Class]]="C",WORKDAY(Main[[#This Row],[Tech Start Date]],23),IF(Main[[#This Row],[Class]]="B", WORKDAY(Main[[#This Row],[Tech Start Date]],15),IF(Main[[#This Row],[Class]]="A",WORKDAY(Main[[#This Row],[Tech Start Date]],5),""))))</f>
        <v/>
      </c>
      <c r="P1318" s="77" t="str">
        <f>IF(Main[[#This Row],[Tech Start Date]]&lt;1/1/1990,"",IF(Main[[#This Row],[Class]]="C",WORKDAY(Main[[#This Row],[Tech Start Date]],28),IF(Main[[#This Row],[Class]]="B", WORKDAY(Main[[#This Row],[Tech Start Date]],19),IF(Main[[#This Row],[Class]]="A",WORKDAY(Main[[#This Row],[Tech Start Date]],9),""))))</f>
        <v/>
      </c>
      <c r="Q1318" s="74">
        <v>40226</v>
      </c>
      <c r="R1318" s="74">
        <v>40192</v>
      </c>
      <c r="S1318" s="72" t="s">
        <v>11</v>
      </c>
      <c r="T1318" s="80" t="s">
        <v>4</v>
      </c>
      <c r="U1318" s="72" t="s">
        <v>14</v>
      </c>
      <c r="V1318" s="72" t="s">
        <v>1942</v>
      </c>
      <c r="W1318" s="72" t="s">
        <v>1938</v>
      </c>
      <c r="X1318" s="72" t="s">
        <v>2962</v>
      </c>
      <c r="Y1318" s="72" t="s">
        <v>4</v>
      </c>
      <c r="Z1318" s="72" t="s">
        <v>4</v>
      </c>
      <c r="AA1318" s="147" t="s">
        <v>2962</v>
      </c>
    </row>
    <row r="1319" spans="1:27" ht="18.600000000000001" customHeight="1">
      <c r="A1319" s="140" t="str">
        <f>IF(priority(Main[[#This Row],[Comments]])&lt;&gt;0, priority(Main[[#This Row],[Comments]]),"")</f>
        <v/>
      </c>
      <c r="B1319" s="90" t="s">
        <v>1827</v>
      </c>
      <c r="C1319" s="72" t="s">
        <v>868</v>
      </c>
      <c r="D1319" s="73" t="s">
        <v>869</v>
      </c>
      <c r="E1319" s="74"/>
      <c r="F1319" s="74">
        <v>40305</v>
      </c>
      <c r="G1319" s="75" t="str">
        <f>IF(stdProdLT(Main[[#This Row],[Comments]])=0.1,"N/A",IF(stdProdLT(Main[[#This Row],[Comments]])=0,"",stdProdLT(Main[[#This Row],[Comments]])))</f>
        <v/>
      </c>
      <c r="H1319" s="76">
        <f>IF(AND(Main[[#This Row],[In Stock Date]]&lt;&gt;"",Main[[#This Row],[Revised Due Date]]&lt;&gt;""),Main[[#This Row],[In Stock Date]]-Main[[#This Row],[Revised Due Date]],"")</f>
        <v>80</v>
      </c>
      <c r="I1319" s="72" t="s">
        <v>775</v>
      </c>
      <c r="J1319" s="72" t="s">
        <v>4</v>
      </c>
      <c r="K1319" s="81" t="s">
        <v>4</v>
      </c>
      <c r="L1319" s="74">
        <v>40192</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v>40178</v>
      </c>
      <c r="R1319" s="74">
        <v>40225</v>
      </c>
      <c r="S1319" s="72" t="s">
        <v>11</v>
      </c>
      <c r="T1319" s="80" t="s">
        <v>4</v>
      </c>
      <c r="U1319" s="72" t="s">
        <v>14</v>
      </c>
      <c r="V1319" s="72" t="s">
        <v>1935</v>
      </c>
      <c r="W1319" s="72" t="s">
        <v>1940</v>
      </c>
      <c r="X1319" s="72" t="s">
        <v>2945</v>
      </c>
      <c r="Y1319" s="72" t="s">
        <v>4</v>
      </c>
      <c r="Z1319" s="72" t="s">
        <v>4</v>
      </c>
      <c r="AA1319" s="147" t="s">
        <v>2945</v>
      </c>
    </row>
    <row r="1320" spans="1:27" ht="18.600000000000001" customHeight="1">
      <c r="A1320" s="140" t="str">
        <f>IF(priority(Main[[#This Row],[Comments]])&lt;&gt;0, priority(Main[[#This Row],[Comments]]),"")</f>
        <v/>
      </c>
      <c r="B1320" s="90" t="s">
        <v>1826</v>
      </c>
      <c r="C1320" s="72" t="s">
        <v>866</v>
      </c>
      <c r="D1320" s="73" t="s">
        <v>867</v>
      </c>
      <c r="E1320" s="74"/>
      <c r="F1320" s="74">
        <v>40305</v>
      </c>
      <c r="G1320" s="75" t="str">
        <f>IF(stdProdLT(Main[[#This Row],[Comments]])=0.1,"N/A",IF(stdProdLT(Main[[#This Row],[Comments]])=0,"",stdProdLT(Main[[#This Row],[Comments]])))</f>
        <v/>
      </c>
      <c r="H1320" s="76">
        <f>IF(AND(Main[[#This Row],[In Stock Date]]&lt;&gt;"",Main[[#This Row],[Revised Due Date]]&lt;&gt;""),Main[[#This Row],[In Stock Date]]-Main[[#This Row],[Revised Due Date]],"")</f>
        <v>81</v>
      </c>
      <c r="I1320" s="72" t="s">
        <v>44</v>
      </c>
      <c r="J1320" s="72" t="s">
        <v>4</v>
      </c>
      <c r="K1320" s="72" t="s">
        <v>4</v>
      </c>
      <c r="L1320" s="74">
        <v>40192</v>
      </c>
      <c r="M1320" s="77" t="str">
        <f>IF(Main[[#This Row],[Tech Start Date]]&lt;1/1/1990,"",IF(Main[[#This Row],[Class]]="C",WORKDAY(Main[[#This Row],[Tech Start Date]],9),IF(Main[[#This Row],[Class]]="B", WORKDAY(Main[[#This Row],[Tech Start Date]],6),IF(Main[[#This Row],[Class]]="A",WORKDAY(Main[[#This Row],[Tech Start Date]],2),""))))</f>
        <v/>
      </c>
      <c r="N1320" s="77" t="str">
        <f>IF(Main[[#This Row],[Tech Start Date]]&lt;1/1/1990,"",IF(Main[[#This Row],[Class]]="C",WORKDAY(Main[[#This Row],[Tech Start Date]],19),IF(Main[[#This Row],[Class]]="B", WORKDAY(Main[[#This Row],[Tech Start Date]],12),IF(Main[[#This Row],[Class]]="A",WORKDAY(Main[[#This Row],[Tech Start Date]],4),""))))</f>
        <v/>
      </c>
      <c r="O1320" s="77" t="str">
        <f>IF(Main[[#This Row],[Tech Start Date]]&lt;1/1/1990,"",IF(Main[[#This Row],[Class]]="C",WORKDAY(Main[[#This Row],[Tech Start Date]],23),IF(Main[[#This Row],[Class]]="B", WORKDAY(Main[[#This Row],[Tech Start Date]],15),IF(Main[[#This Row],[Class]]="A",WORKDAY(Main[[#This Row],[Tech Start Date]],5),""))))</f>
        <v/>
      </c>
      <c r="P1320" s="77" t="str">
        <f>IF(Main[[#This Row],[Tech Start Date]]&lt;1/1/1990,"",IF(Main[[#This Row],[Class]]="C",WORKDAY(Main[[#This Row],[Tech Start Date]],28),IF(Main[[#This Row],[Class]]="B", WORKDAY(Main[[#This Row],[Tech Start Date]],19),IF(Main[[#This Row],[Class]]="A",WORKDAY(Main[[#This Row],[Tech Start Date]],9),""))))</f>
        <v/>
      </c>
      <c r="Q1320" s="74">
        <v>40178</v>
      </c>
      <c r="R1320" s="74">
        <v>40224</v>
      </c>
      <c r="S1320" s="72" t="s">
        <v>11</v>
      </c>
      <c r="T1320" s="80" t="s">
        <v>4</v>
      </c>
      <c r="U1320" s="72" t="s">
        <v>14</v>
      </c>
      <c r="V1320" s="72" t="s">
        <v>1935</v>
      </c>
      <c r="W1320" s="72" t="s">
        <v>1940</v>
      </c>
      <c r="X1320" s="72" t="s">
        <v>2945</v>
      </c>
      <c r="Y1320" s="72" t="s">
        <v>4</v>
      </c>
      <c r="Z1320" s="72" t="s">
        <v>4</v>
      </c>
      <c r="AA1320" s="147" t="s">
        <v>2945</v>
      </c>
    </row>
    <row r="1321" spans="1:27" ht="18.600000000000001" customHeight="1">
      <c r="A1321" s="140" t="str">
        <f>IF(priority(Main[[#This Row],[Comments]])&lt;&gt;0, priority(Main[[#This Row],[Comments]]),"")</f>
        <v/>
      </c>
      <c r="B1321" s="90" t="s">
        <v>1829</v>
      </c>
      <c r="C1321" s="72" t="s">
        <v>4</v>
      </c>
      <c r="D1321" s="73" t="s">
        <v>871</v>
      </c>
      <c r="E1321" s="74"/>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30</v>
      </c>
      <c r="J1321" s="72" t="s">
        <v>28</v>
      </c>
      <c r="K1321" s="72" t="s">
        <v>1939</v>
      </c>
      <c r="L1321" s="74">
        <v>40231</v>
      </c>
      <c r="M1321" s="77">
        <f>IF(Main[[#This Row],[Tech Start Date]]&lt;1/1/1990,"",IF(Main[[#This Row],[Class]]="C",WORKDAY(Main[[#This Row],[Tech Start Date]],9),IF(Main[[#This Row],[Class]]="B", WORKDAY(Main[[#This Row],[Tech Start Date]],6),IF(Main[[#This Row],[Class]]="A",WORKDAY(Main[[#This Row],[Tech Start Date]],2),""))))</f>
        <v>40239</v>
      </c>
      <c r="N1321" s="77">
        <f>IF(Main[[#This Row],[Tech Start Date]]&lt;1/1/1990,"",IF(Main[[#This Row],[Class]]="C",WORKDAY(Main[[#This Row],[Tech Start Date]],19),IF(Main[[#This Row],[Class]]="B", WORKDAY(Main[[#This Row],[Tech Start Date]],12),IF(Main[[#This Row],[Class]]="A",WORKDAY(Main[[#This Row],[Tech Start Date]],4),""))))</f>
        <v>40247</v>
      </c>
      <c r="O1321" s="77">
        <f>IF(Main[[#This Row],[Tech Start Date]]&lt;1/1/1990,"",IF(Main[[#This Row],[Class]]="C",WORKDAY(Main[[#This Row],[Tech Start Date]],23),IF(Main[[#This Row],[Class]]="B", WORKDAY(Main[[#This Row],[Tech Start Date]],15),IF(Main[[#This Row],[Class]]="A",WORKDAY(Main[[#This Row],[Tech Start Date]],5),""))))</f>
        <v>40252</v>
      </c>
      <c r="P1321" s="77">
        <f>IF(Main[[#This Row],[Tech Start Date]]&lt;1/1/1990,"",IF(Main[[#This Row],[Class]]="C",WORKDAY(Main[[#This Row],[Tech Start Date]],28),IF(Main[[#This Row],[Class]]="B", WORKDAY(Main[[#This Row],[Tech Start Date]],19),IF(Main[[#This Row],[Class]]="A",WORKDAY(Main[[#This Row],[Tech Start Date]],9),""))))</f>
        <v>40256</v>
      </c>
      <c r="Q1321" s="74">
        <v>40269</v>
      </c>
      <c r="R1321" s="74">
        <v>40246</v>
      </c>
      <c r="S1321" s="72" t="s">
        <v>6</v>
      </c>
      <c r="T1321" s="80" t="s">
        <v>4</v>
      </c>
      <c r="U1321" s="72" t="s">
        <v>14</v>
      </c>
      <c r="V1321" s="72" t="s">
        <v>1935</v>
      </c>
      <c r="W1321" s="72" t="s">
        <v>1934</v>
      </c>
      <c r="X1321" s="72" t="s">
        <v>2978</v>
      </c>
      <c r="Y1321" s="72" t="s">
        <v>3138</v>
      </c>
      <c r="Z1321" s="72" t="s">
        <v>4</v>
      </c>
      <c r="AA1321" s="147" t="s">
        <v>2978</v>
      </c>
    </row>
    <row r="1322" spans="1:27" ht="18.600000000000001" customHeight="1">
      <c r="A1322" s="140" t="str">
        <f>IF(priority(Main[[#This Row],[Comments]])&lt;&gt;0, priority(Main[[#This Row],[Comments]]),"")</f>
        <v/>
      </c>
      <c r="B1322" s="90" t="s">
        <v>1965</v>
      </c>
      <c r="C1322" s="72" t="s">
        <v>873</v>
      </c>
      <c r="D1322" s="73" t="s">
        <v>874</v>
      </c>
      <c r="E1322" s="74"/>
      <c r="F1322" s="74"/>
      <c r="G1322" s="75" t="str">
        <f>IF(stdProdLT(Main[[#This Row],[Comments]])=0.1,"N/A",IF(stdProdLT(Main[[#This Row],[Comments]])=0,"",stdProdLT(Main[[#This Row],[Comments]])))</f>
        <v/>
      </c>
      <c r="H1322" s="76" t="str">
        <f>IF(AND(Main[[#This Row],[In Stock Date]]&lt;&gt;"",Main[[#This Row],[Revised Due Date]]&lt;&gt;""),Main[[#This Row],[In Stock Date]]-Main[[#This Row],[Revised Due Date]],"")</f>
        <v/>
      </c>
      <c r="I1322" s="72" t="s">
        <v>775</v>
      </c>
      <c r="J1322" s="72" t="s">
        <v>4</v>
      </c>
      <c r="K1322" s="81" t="s">
        <v>1944</v>
      </c>
      <c r="L1322" s="74">
        <v>40231</v>
      </c>
      <c r="M1322" s="77" t="str">
        <f>IF(Main[[#This Row],[Tech Start Date]]&lt;1/1/1990,"",IF(Main[[#This Row],[Class]]="C",WORKDAY(Main[[#This Row],[Tech Start Date]],9),IF(Main[[#This Row],[Class]]="B", WORKDAY(Main[[#This Row],[Tech Start Date]],6),IF(Main[[#This Row],[Class]]="A",WORKDAY(Main[[#This Row],[Tech Start Date]],2),""))))</f>
        <v/>
      </c>
      <c r="N1322" s="77" t="str">
        <f>IF(Main[[#This Row],[Tech Start Date]]&lt;1/1/1990,"",IF(Main[[#This Row],[Class]]="C",WORKDAY(Main[[#This Row],[Tech Start Date]],19),IF(Main[[#This Row],[Class]]="B", WORKDAY(Main[[#This Row],[Tech Start Date]],12),IF(Main[[#This Row],[Class]]="A",WORKDAY(Main[[#This Row],[Tech Start Date]],4),""))))</f>
        <v/>
      </c>
      <c r="O1322" s="77" t="str">
        <f>IF(Main[[#This Row],[Tech Start Date]]&lt;1/1/1990,"",IF(Main[[#This Row],[Class]]="C",WORKDAY(Main[[#This Row],[Tech Start Date]],23),IF(Main[[#This Row],[Class]]="B", WORKDAY(Main[[#This Row],[Tech Start Date]],15),IF(Main[[#This Row],[Class]]="A",WORKDAY(Main[[#This Row],[Tech Start Date]],5),""))))</f>
        <v/>
      </c>
      <c r="P1322" s="77" t="str">
        <f>IF(Main[[#This Row],[Tech Start Date]]&lt;1/1/1990,"",IF(Main[[#This Row],[Class]]="C",WORKDAY(Main[[#This Row],[Tech Start Date]],28),IF(Main[[#This Row],[Class]]="B", WORKDAY(Main[[#This Row],[Tech Start Date]],19),IF(Main[[#This Row],[Class]]="A",WORKDAY(Main[[#This Row],[Tech Start Date]],9),""))))</f>
        <v/>
      </c>
      <c r="Q1322" s="74">
        <v>40268</v>
      </c>
      <c r="R1322" s="74">
        <v>40268</v>
      </c>
      <c r="S1322" s="72" t="s">
        <v>17</v>
      </c>
      <c r="T1322" s="80" t="s">
        <v>4</v>
      </c>
      <c r="U1322" s="72" t="s">
        <v>14</v>
      </c>
      <c r="V1322" s="72" t="s">
        <v>1935</v>
      </c>
      <c r="W1322" s="72" t="s">
        <v>1937</v>
      </c>
      <c r="X1322" s="72" t="s">
        <v>3008</v>
      </c>
      <c r="Y1322" s="72" t="s">
        <v>3240</v>
      </c>
      <c r="Z1322" s="72" t="s">
        <v>4</v>
      </c>
      <c r="AA1322" s="147" t="s">
        <v>559</v>
      </c>
    </row>
    <row r="1323" spans="1:27" ht="18.600000000000001" customHeight="1">
      <c r="A1323" s="140" t="str">
        <f>IF(priority(Main[[#This Row],[Comments]])&lt;&gt;0, priority(Main[[#This Row],[Comments]]),"")</f>
        <v/>
      </c>
      <c r="B1323" s="90" t="s">
        <v>1837</v>
      </c>
      <c r="C1323" s="72" t="s">
        <v>47</v>
      </c>
      <c r="D1323" s="73" t="s">
        <v>882</v>
      </c>
      <c r="E1323" s="74">
        <v>40220.456550925926</v>
      </c>
      <c r="F1323" s="74"/>
      <c r="G1323" s="75" t="str">
        <f>IF(stdProdLT(Main[[#This Row],[Comments]])=0.1,"N/A",IF(stdProdLT(Main[[#This Row],[Comments]])=0,"",stdProdLT(Main[[#This Row],[Comments]])))</f>
        <v/>
      </c>
      <c r="H1323" s="76" t="str">
        <f>IF(AND(Main[[#This Row],[In Stock Date]]&lt;&gt;"",Main[[#This Row],[Revised Due Date]]&lt;&gt;""),Main[[#This Row],[In Stock Date]]-Main[[#This Row],[Revised Due Date]],"")</f>
        <v/>
      </c>
      <c r="I1323" s="72" t="s">
        <v>81</v>
      </c>
      <c r="J1323" s="72" t="s">
        <v>52</v>
      </c>
      <c r="K1323" s="72" t="s">
        <v>1944</v>
      </c>
      <c r="L1323" s="74">
        <v>40231</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40255</v>
      </c>
      <c r="R1323" s="74">
        <v>40310</v>
      </c>
      <c r="S1323" s="72" t="s">
        <v>17</v>
      </c>
      <c r="T1323" s="80" t="s">
        <v>4</v>
      </c>
      <c r="U1323" s="72" t="s">
        <v>29</v>
      </c>
      <c r="V1323" s="72" t="s">
        <v>1942</v>
      </c>
      <c r="W1323" s="72" t="s">
        <v>1934</v>
      </c>
      <c r="X1323" s="72" t="s">
        <v>2908</v>
      </c>
      <c r="Y1323" s="72" t="s">
        <v>4</v>
      </c>
      <c r="Z1323" s="72" t="s">
        <v>44</v>
      </c>
      <c r="AA1323" s="147" t="s">
        <v>2908</v>
      </c>
    </row>
    <row r="1324" spans="1:27" ht="18.600000000000001" customHeight="1">
      <c r="A1324" s="140" t="str">
        <f>IF(priority(Main[[#This Row],[Comments]])&lt;&gt;0, priority(Main[[#This Row],[Comments]]),"")</f>
        <v/>
      </c>
      <c r="B1324" s="90" t="s">
        <v>1832</v>
      </c>
      <c r="C1324" s="72" t="s">
        <v>47</v>
      </c>
      <c r="D1324" s="73" t="s">
        <v>876</v>
      </c>
      <c r="E1324" s="74"/>
      <c r="F1324" s="74"/>
      <c r="G1324" s="75" t="str">
        <f>IF(stdProdLT(Main[[#This Row],[Comments]])=0.1,"N/A",IF(stdProdLT(Main[[#This Row],[Comments]])=0,"",stdProdLT(Main[[#This Row],[Comments]])))</f>
        <v/>
      </c>
      <c r="H1324" s="76" t="str">
        <f>IF(AND(Main[[#This Row],[In Stock Date]]&lt;&gt;"",Main[[#This Row],[Revised Due Date]]&lt;&gt;""),Main[[#This Row],[In Stock Date]]-Main[[#This Row],[Revised Due Date]],"")</f>
        <v/>
      </c>
      <c r="I1324" s="72" t="s">
        <v>436</v>
      </c>
      <c r="J1324" s="72" t="s">
        <v>4</v>
      </c>
      <c r="K1324" s="72" t="s">
        <v>1944</v>
      </c>
      <c r="L1324" s="74">
        <v>40248</v>
      </c>
      <c r="M1324" s="77" t="str">
        <f>IF(Main[[#This Row],[Tech Start Date]]&lt;1/1/1990,"",IF(Main[[#This Row],[Class]]="C",WORKDAY(Main[[#This Row],[Tech Start Date]],9),IF(Main[[#This Row],[Class]]="B", WORKDAY(Main[[#This Row],[Tech Start Date]],6),IF(Main[[#This Row],[Class]]="A",WORKDAY(Main[[#This Row],[Tech Start Date]],2),""))))</f>
        <v/>
      </c>
      <c r="N1324" s="77" t="str">
        <f>IF(Main[[#This Row],[Tech Start Date]]&lt;1/1/1990,"",IF(Main[[#This Row],[Class]]="C",WORKDAY(Main[[#This Row],[Tech Start Date]],19),IF(Main[[#This Row],[Class]]="B", WORKDAY(Main[[#This Row],[Tech Start Date]],12),IF(Main[[#This Row],[Class]]="A",WORKDAY(Main[[#This Row],[Tech Start Date]],4),""))))</f>
        <v/>
      </c>
      <c r="O1324" s="77" t="str">
        <f>IF(Main[[#This Row],[Tech Start Date]]&lt;1/1/1990,"",IF(Main[[#This Row],[Class]]="C",WORKDAY(Main[[#This Row],[Tech Start Date]],23),IF(Main[[#This Row],[Class]]="B", WORKDAY(Main[[#This Row],[Tech Start Date]],15),IF(Main[[#This Row],[Class]]="A",WORKDAY(Main[[#This Row],[Tech Start Date]],5),""))))</f>
        <v/>
      </c>
      <c r="P1324" s="77" t="str">
        <f>IF(Main[[#This Row],[Tech Start Date]]&lt;1/1/1990,"",IF(Main[[#This Row],[Class]]="C",WORKDAY(Main[[#This Row],[Tech Start Date]],28),IF(Main[[#This Row],[Class]]="B", WORKDAY(Main[[#This Row],[Tech Start Date]],19),IF(Main[[#This Row],[Class]]="A",WORKDAY(Main[[#This Row],[Tech Start Date]],9),""))))</f>
        <v/>
      </c>
      <c r="Q1324" s="74">
        <v>40289</v>
      </c>
      <c r="R1324" s="74">
        <v>40289</v>
      </c>
      <c r="S1324" s="72" t="s">
        <v>17</v>
      </c>
      <c r="T1324" s="80" t="s">
        <v>4</v>
      </c>
      <c r="U1324" s="72" t="s">
        <v>14</v>
      </c>
      <c r="V1324" s="72" t="s">
        <v>1935</v>
      </c>
      <c r="W1324" s="72" t="s">
        <v>1938</v>
      </c>
      <c r="X1324" s="72" t="s">
        <v>535</v>
      </c>
      <c r="Y1324" s="72" t="s">
        <v>3241</v>
      </c>
      <c r="Z1324" s="72" t="s">
        <v>4</v>
      </c>
      <c r="AA1324" s="147" t="s">
        <v>535</v>
      </c>
    </row>
    <row r="1325" spans="1:27" ht="18.600000000000001" customHeight="1">
      <c r="A1325" s="140" t="str">
        <f>IF(priority(Main[[#This Row],[Comments]])&lt;&gt;0, priority(Main[[#This Row],[Comments]]),"")</f>
        <v/>
      </c>
      <c r="B1325" s="90" t="s">
        <v>1833</v>
      </c>
      <c r="C1325" s="72" t="s">
        <v>878</v>
      </c>
      <c r="D1325" s="73" t="s">
        <v>879</v>
      </c>
      <c r="E1325" s="74"/>
      <c r="F1325" s="74">
        <v>40299</v>
      </c>
      <c r="G1325" s="75" t="str">
        <f>IF(stdProdLT(Main[[#This Row],[Comments]])=0.1,"N/A",IF(stdProdLT(Main[[#This Row],[Comments]])=0,"",stdProdLT(Main[[#This Row],[Comments]])))</f>
        <v/>
      </c>
      <c r="H1325" s="76">
        <f>IF(AND(Main[[#This Row],[In Stock Date]]&lt;&gt;"",Main[[#This Row],[Revised Due Date]]&lt;&gt;""),Main[[#This Row],[In Stock Date]]-Main[[#This Row],[Revised Due Date]],"")</f>
        <v>8</v>
      </c>
      <c r="I1325" s="72" t="s">
        <v>659</v>
      </c>
      <c r="J1325" s="72" t="s">
        <v>28</v>
      </c>
      <c r="K1325" s="72" t="s">
        <v>1944</v>
      </c>
      <c r="L1325" s="74">
        <v>40266</v>
      </c>
      <c r="M1325" s="77" t="str">
        <f>IF(Main[[#This Row],[Tech Start Date]]&lt;1/1/1990,"",IF(Main[[#This Row],[Class]]="C",WORKDAY(Main[[#This Row],[Tech Start Date]],9),IF(Main[[#This Row],[Class]]="B", WORKDAY(Main[[#This Row],[Tech Start Date]],6),IF(Main[[#This Row],[Class]]="A",WORKDAY(Main[[#This Row],[Tech Start Date]],2),""))))</f>
        <v/>
      </c>
      <c r="N1325" s="77" t="str">
        <f>IF(Main[[#This Row],[Tech Start Date]]&lt;1/1/1990,"",IF(Main[[#This Row],[Class]]="C",WORKDAY(Main[[#This Row],[Tech Start Date]],19),IF(Main[[#This Row],[Class]]="B", WORKDAY(Main[[#This Row],[Tech Start Date]],12),IF(Main[[#This Row],[Class]]="A",WORKDAY(Main[[#This Row],[Tech Start Date]],4),""))))</f>
        <v/>
      </c>
      <c r="O1325" s="77" t="str">
        <f>IF(Main[[#This Row],[Tech Start Date]]&lt;1/1/1990,"",IF(Main[[#This Row],[Class]]="C",WORKDAY(Main[[#This Row],[Tech Start Date]],23),IF(Main[[#This Row],[Class]]="B", WORKDAY(Main[[#This Row],[Tech Start Date]],15),IF(Main[[#This Row],[Class]]="A",WORKDAY(Main[[#This Row],[Tech Start Date]],5),""))))</f>
        <v/>
      </c>
      <c r="P1325" s="77" t="str">
        <f>IF(Main[[#This Row],[Tech Start Date]]&lt;1/1/1990,"",IF(Main[[#This Row],[Class]]="C",WORKDAY(Main[[#This Row],[Tech Start Date]],28),IF(Main[[#This Row],[Class]]="B", WORKDAY(Main[[#This Row],[Tech Start Date]],19),IF(Main[[#This Row],[Class]]="A",WORKDAY(Main[[#This Row],[Tech Start Date]],9),""))))</f>
        <v/>
      </c>
      <c r="Q1325" s="74">
        <v>40299</v>
      </c>
      <c r="R1325" s="74">
        <v>40291</v>
      </c>
      <c r="S1325" s="72" t="s">
        <v>17</v>
      </c>
      <c r="T1325" s="80" t="s">
        <v>4</v>
      </c>
      <c r="U1325" s="72" t="s">
        <v>14</v>
      </c>
      <c r="V1325" s="72" t="s">
        <v>1942</v>
      </c>
      <c r="W1325" s="72" t="s">
        <v>1937</v>
      </c>
      <c r="X1325" s="72" t="s">
        <v>535</v>
      </c>
      <c r="Y1325" s="72" t="s">
        <v>3241</v>
      </c>
      <c r="Z1325" s="72" t="s">
        <v>659</v>
      </c>
      <c r="AA1325" s="147" t="s">
        <v>535</v>
      </c>
    </row>
    <row r="1326" spans="1:27" ht="18.600000000000001" customHeight="1">
      <c r="A1326" s="140" t="str">
        <f>IF(priority(Main[[#This Row],[Comments]])&lt;&gt;0, priority(Main[[#This Row],[Comments]]),"")</f>
        <v/>
      </c>
      <c r="B1326" s="90" t="s">
        <v>1836</v>
      </c>
      <c r="C1326" s="72" t="s">
        <v>4</v>
      </c>
      <c r="D1326" s="73" t="s">
        <v>881</v>
      </c>
      <c r="E1326" s="74"/>
      <c r="F1326" s="74"/>
      <c r="G1326" s="75" t="str">
        <f>IF(stdProdLT(Main[[#This Row],[Comments]])=0.1,"N/A",IF(stdProdLT(Main[[#This Row],[Comments]])=0,"",stdProdLT(Main[[#This Row],[Comments]])))</f>
        <v/>
      </c>
      <c r="H1326" s="76" t="str">
        <f>IF(AND(Main[[#This Row],[In Stock Date]]&lt;&gt;"",Main[[#This Row],[Revised Due Date]]&lt;&gt;""),Main[[#This Row],[In Stock Date]]-Main[[#This Row],[Revised Due Date]],"")</f>
        <v/>
      </c>
      <c r="I1326" s="72" t="s">
        <v>403</v>
      </c>
      <c r="J1326" s="72" t="s">
        <v>75</v>
      </c>
      <c r="K1326" s="72" t="s">
        <v>1941</v>
      </c>
      <c r="L1326" s="74">
        <v>40288</v>
      </c>
      <c r="M1326" s="77">
        <f>IF(Main[[#This Row],[Tech Start Date]]&lt;1/1/1990,"",IF(Main[[#This Row],[Class]]="C",WORKDAY(Main[[#This Row],[Tech Start Date]],9),IF(Main[[#This Row],[Class]]="B", WORKDAY(Main[[#This Row],[Tech Start Date]],6),IF(Main[[#This Row],[Class]]="A",WORKDAY(Main[[#This Row],[Tech Start Date]],2),""))))</f>
        <v>40290</v>
      </c>
      <c r="N1326" s="77">
        <f>IF(Main[[#This Row],[Tech Start Date]]&lt;1/1/1990,"",IF(Main[[#This Row],[Class]]="C",WORKDAY(Main[[#This Row],[Tech Start Date]],19),IF(Main[[#This Row],[Class]]="B", WORKDAY(Main[[#This Row],[Tech Start Date]],12),IF(Main[[#This Row],[Class]]="A",WORKDAY(Main[[#This Row],[Tech Start Date]],4),""))))</f>
        <v>40294</v>
      </c>
      <c r="O1326" s="77">
        <f>IF(Main[[#This Row],[Tech Start Date]]&lt;1/1/1990,"",IF(Main[[#This Row],[Class]]="C",WORKDAY(Main[[#This Row],[Tech Start Date]],23),IF(Main[[#This Row],[Class]]="B", WORKDAY(Main[[#This Row],[Tech Start Date]],15),IF(Main[[#This Row],[Class]]="A",WORKDAY(Main[[#This Row],[Tech Start Date]],5),""))))</f>
        <v>40295</v>
      </c>
      <c r="P1326" s="77">
        <f>IF(Main[[#This Row],[Tech Start Date]]&lt;1/1/1990,"",IF(Main[[#This Row],[Class]]="C",WORKDAY(Main[[#This Row],[Tech Start Date]],28),IF(Main[[#This Row],[Class]]="B", WORKDAY(Main[[#This Row],[Tech Start Date]],19),IF(Main[[#This Row],[Class]]="A",WORKDAY(Main[[#This Row],[Tech Start Date]],9),""))))</f>
        <v>40301</v>
      </c>
      <c r="Q1326" s="74"/>
      <c r="R1326" s="74">
        <v>40309</v>
      </c>
      <c r="S1326" s="72" t="s">
        <v>6</v>
      </c>
      <c r="T1326" s="80" t="s">
        <v>4</v>
      </c>
      <c r="U1326" s="72" t="s">
        <v>14</v>
      </c>
      <c r="V1326" s="72" t="s">
        <v>1935</v>
      </c>
      <c r="W1326" s="72" t="s">
        <v>4</v>
      </c>
      <c r="X1326" s="72" t="s">
        <v>2927</v>
      </c>
      <c r="Y1326" s="72" t="s">
        <v>3060</v>
      </c>
      <c r="Z1326" s="72" t="s">
        <v>310</v>
      </c>
      <c r="AA1326" s="147" t="s">
        <v>2927</v>
      </c>
    </row>
    <row r="1327" spans="1:27" ht="18.600000000000001" customHeight="1">
      <c r="A1327" s="140" t="str">
        <f>IF(priority(Main[[#This Row],[Comments]])&lt;&gt;0, priority(Main[[#This Row],[Comments]]),"")</f>
        <v/>
      </c>
      <c r="B1327" s="90" t="s">
        <v>1838</v>
      </c>
      <c r="C1327" s="72" t="s">
        <v>4</v>
      </c>
      <c r="D1327" s="73" t="s">
        <v>883</v>
      </c>
      <c r="E1327" s="74"/>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775</v>
      </c>
      <c r="J1327" s="72" t="s">
        <v>4</v>
      </c>
      <c r="K1327" s="72" t="s">
        <v>1939</v>
      </c>
      <c r="L1327" s="74">
        <v>40291</v>
      </c>
      <c r="M1327" s="77">
        <f>IF(Main[[#This Row],[Tech Start Date]]&lt;1/1/1990,"",IF(Main[[#This Row],[Class]]="C",WORKDAY(Main[[#This Row],[Tech Start Date]],9),IF(Main[[#This Row],[Class]]="B", WORKDAY(Main[[#This Row],[Tech Start Date]],6),IF(Main[[#This Row],[Class]]="A",WORKDAY(Main[[#This Row],[Tech Start Date]],2),""))))</f>
        <v>40301</v>
      </c>
      <c r="N1327" s="77">
        <f>IF(Main[[#This Row],[Tech Start Date]]&lt;1/1/1990,"",IF(Main[[#This Row],[Class]]="C",WORKDAY(Main[[#This Row],[Tech Start Date]],19),IF(Main[[#This Row],[Class]]="B", WORKDAY(Main[[#This Row],[Tech Start Date]],12),IF(Main[[#This Row],[Class]]="A",WORKDAY(Main[[#This Row],[Tech Start Date]],4),""))))</f>
        <v>40309</v>
      </c>
      <c r="O1327" s="77">
        <f>IF(Main[[#This Row],[Tech Start Date]]&lt;1/1/1990,"",IF(Main[[#This Row],[Class]]="C",WORKDAY(Main[[#This Row],[Tech Start Date]],23),IF(Main[[#This Row],[Class]]="B", WORKDAY(Main[[#This Row],[Tech Start Date]],15),IF(Main[[#This Row],[Class]]="A",WORKDAY(Main[[#This Row],[Tech Start Date]],5),""))))</f>
        <v>40312</v>
      </c>
      <c r="P1327" s="77">
        <f>IF(Main[[#This Row],[Tech Start Date]]&lt;1/1/1990,"",IF(Main[[#This Row],[Class]]="C",WORKDAY(Main[[#This Row],[Tech Start Date]],28),IF(Main[[#This Row],[Class]]="B", WORKDAY(Main[[#This Row],[Tech Start Date]],19),IF(Main[[#This Row],[Class]]="A",WORKDAY(Main[[#This Row],[Tech Start Date]],9),""))))</f>
        <v>40318</v>
      </c>
      <c r="Q1327" s="74">
        <v>40312</v>
      </c>
      <c r="R1327" s="74">
        <v>40312</v>
      </c>
      <c r="S1327" s="72" t="s">
        <v>6</v>
      </c>
      <c r="T1327" s="80" t="s">
        <v>4</v>
      </c>
      <c r="U1327" s="72" t="s">
        <v>14</v>
      </c>
      <c r="V1327" s="72" t="s">
        <v>1935</v>
      </c>
      <c r="W1327" s="72" t="s">
        <v>4</v>
      </c>
      <c r="X1327" s="72" t="s">
        <v>3009</v>
      </c>
      <c r="Y1327" s="72" t="s">
        <v>3242</v>
      </c>
      <c r="Z1327" s="72" t="s">
        <v>4</v>
      </c>
      <c r="AA1327" s="147" t="s">
        <v>3009</v>
      </c>
    </row>
    <row r="1328" spans="1:27" ht="18.600000000000001" customHeight="1">
      <c r="A1328" s="140" t="str">
        <f>IF(priority(Main[[#This Row],[Comments]])&lt;&gt;0, priority(Main[[#This Row],[Comments]]),"")</f>
        <v/>
      </c>
      <c r="B1328" s="90" t="s">
        <v>1840</v>
      </c>
      <c r="C1328" s="72" t="s">
        <v>4</v>
      </c>
      <c r="D1328" s="73" t="s">
        <v>2158</v>
      </c>
      <c r="E1328" s="74"/>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535</v>
      </c>
      <c r="J1328" s="72" t="s">
        <v>28</v>
      </c>
      <c r="K1328" s="72" t="s">
        <v>1939</v>
      </c>
      <c r="L1328" s="74">
        <v>40294</v>
      </c>
      <c r="M1328" s="77">
        <f>IF(Main[[#This Row],[Tech Start Date]]&lt;1/1/1990,"",IF(Main[[#This Row],[Class]]="C",WORKDAY(Main[[#This Row],[Tech Start Date]],9),IF(Main[[#This Row],[Class]]="B", WORKDAY(Main[[#This Row],[Tech Start Date]],6),IF(Main[[#This Row],[Class]]="A",WORKDAY(Main[[#This Row],[Tech Start Date]],2),""))))</f>
        <v>40302</v>
      </c>
      <c r="N1328" s="77">
        <f>IF(Main[[#This Row],[Tech Start Date]]&lt;1/1/1990,"",IF(Main[[#This Row],[Class]]="C",WORKDAY(Main[[#This Row],[Tech Start Date]],19),IF(Main[[#This Row],[Class]]="B", WORKDAY(Main[[#This Row],[Tech Start Date]],12),IF(Main[[#This Row],[Class]]="A",WORKDAY(Main[[#This Row],[Tech Start Date]],4),""))))</f>
        <v>40310</v>
      </c>
      <c r="O1328" s="77">
        <f>IF(Main[[#This Row],[Tech Start Date]]&lt;1/1/1990,"",IF(Main[[#This Row],[Class]]="C",WORKDAY(Main[[#This Row],[Tech Start Date]],23),IF(Main[[#This Row],[Class]]="B", WORKDAY(Main[[#This Row],[Tech Start Date]],15),IF(Main[[#This Row],[Class]]="A",WORKDAY(Main[[#This Row],[Tech Start Date]],5),""))))</f>
        <v>40315</v>
      </c>
      <c r="P1328" s="77">
        <f>IF(Main[[#This Row],[Tech Start Date]]&lt;1/1/1990,"",IF(Main[[#This Row],[Class]]="C",WORKDAY(Main[[#This Row],[Tech Start Date]],28),IF(Main[[#This Row],[Class]]="B", WORKDAY(Main[[#This Row],[Tech Start Date]],19),IF(Main[[#This Row],[Class]]="A",WORKDAY(Main[[#This Row],[Tech Start Date]],9),""))))</f>
        <v>40319</v>
      </c>
      <c r="Q1328" s="74">
        <v>40329</v>
      </c>
      <c r="R1328" s="74">
        <v>40326</v>
      </c>
      <c r="S1328" s="72" t="s">
        <v>6</v>
      </c>
      <c r="T1328" s="80" t="s">
        <v>4</v>
      </c>
      <c r="U1328" s="72" t="s">
        <v>14</v>
      </c>
      <c r="V1328" s="72" t="s">
        <v>1935</v>
      </c>
      <c r="W1328" s="72" t="s">
        <v>1936</v>
      </c>
      <c r="X1328" s="72" t="s">
        <v>3009</v>
      </c>
      <c r="Y1328" s="72" t="s">
        <v>3242</v>
      </c>
      <c r="Z1328" s="72" t="s">
        <v>30</v>
      </c>
      <c r="AA1328" s="147" t="s">
        <v>3009</v>
      </c>
    </row>
    <row r="1329" spans="1:27" ht="18.600000000000001" customHeight="1">
      <c r="A1329" s="140" t="str">
        <f>IF(priority(Main[[#This Row],[Comments]])&lt;&gt;0, priority(Main[[#This Row],[Comments]]),"")</f>
        <v/>
      </c>
      <c r="B1329" s="90" t="s">
        <v>1839</v>
      </c>
      <c r="C1329" s="72" t="s">
        <v>4</v>
      </c>
      <c r="D1329" s="73" t="s">
        <v>884</v>
      </c>
      <c r="E1329" s="74"/>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494</v>
      </c>
      <c r="J1329" s="72" t="s">
        <v>4</v>
      </c>
      <c r="K1329" s="81" t="s">
        <v>1939</v>
      </c>
      <c r="L1329" s="74">
        <v>40295</v>
      </c>
      <c r="M1329" s="77">
        <f>IF(Main[[#This Row],[Tech Start Date]]&lt;1/1/1990,"",IF(Main[[#This Row],[Class]]="C",WORKDAY(Main[[#This Row],[Tech Start Date]],9),IF(Main[[#This Row],[Class]]="B", WORKDAY(Main[[#This Row],[Tech Start Date]],6),IF(Main[[#This Row],[Class]]="A",WORKDAY(Main[[#This Row],[Tech Start Date]],2),""))))</f>
        <v>40303</v>
      </c>
      <c r="N1329" s="77">
        <f>IF(Main[[#This Row],[Tech Start Date]]&lt;1/1/1990,"",IF(Main[[#This Row],[Class]]="C",WORKDAY(Main[[#This Row],[Tech Start Date]],19),IF(Main[[#This Row],[Class]]="B", WORKDAY(Main[[#This Row],[Tech Start Date]],12),IF(Main[[#This Row],[Class]]="A",WORKDAY(Main[[#This Row],[Tech Start Date]],4),""))))</f>
        <v>40311</v>
      </c>
      <c r="O1329" s="77">
        <f>IF(Main[[#This Row],[Tech Start Date]]&lt;1/1/1990,"",IF(Main[[#This Row],[Class]]="C",WORKDAY(Main[[#This Row],[Tech Start Date]],23),IF(Main[[#This Row],[Class]]="B", WORKDAY(Main[[#This Row],[Tech Start Date]],15),IF(Main[[#This Row],[Class]]="A",WORKDAY(Main[[#This Row],[Tech Start Date]],5),""))))</f>
        <v>40316</v>
      </c>
      <c r="P1329" s="77">
        <f>IF(Main[[#This Row],[Tech Start Date]]&lt;1/1/1990,"",IF(Main[[#This Row],[Class]]="C",WORKDAY(Main[[#This Row],[Tech Start Date]],28),IF(Main[[#This Row],[Class]]="B", WORKDAY(Main[[#This Row],[Tech Start Date]],19),IF(Main[[#This Row],[Class]]="A",WORKDAY(Main[[#This Row],[Tech Start Date]],9),""))))</f>
        <v>40322</v>
      </c>
      <c r="Q1329" s="74">
        <v>40329</v>
      </c>
      <c r="R1329" s="74">
        <v>40325</v>
      </c>
      <c r="S1329" s="72" t="s">
        <v>6</v>
      </c>
      <c r="T1329" s="80" t="s">
        <v>4</v>
      </c>
      <c r="U1329" s="72" t="s">
        <v>14</v>
      </c>
      <c r="V1329" s="72" t="s">
        <v>1935</v>
      </c>
      <c r="W1329" s="72" t="s">
        <v>4</v>
      </c>
      <c r="X1329" s="72" t="s">
        <v>3009</v>
      </c>
      <c r="Y1329" s="72" t="s">
        <v>3242</v>
      </c>
      <c r="Z1329" s="72" t="s">
        <v>985</v>
      </c>
      <c r="AA1329" s="147" t="s">
        <v>3009</v>
      </c>
    </row>
    <row r="1330" spans="1:27" ht="18.600000000000001" customHeight="1">
      <c r="A1330" s="140" t="str">
        <f>IF(priority(Main[[#This Row],[Comments]])&lt;&gt;0, priority(Main[[#This Row],[Comments]]),"")</f>
        <v/>
      </c>
      <c r="B1330" s="90" t="s">
        <v>1889</v>
      </c>
      <c r="C1330" s="72" t="s">
        <v>33</v>
      </c>
      <c r="D1330" s="73" t="s">
        <v>937</v>
      </c>
      <c r="E1330" s="74">
        <v>40314.31863425926</v>
      </c>
      <c r="F1330" s="74">
        <v>40489</v>
      </c>
      <c r="G1330" s="75" t="str">
        <f>IF(stdProdLT(Main[[#This Row],[Comments]])=0.1,"N/A",IF(stdProdLT(Main[[#This Row],[Comments]])=0,"",stdProdLT(Main[[#This Row],[Comments]])))</f>
        <v/>
      </c>
      <c r="H1330" s="76">
        <f>IF(AND(Main[[#This Row],[In Stock Date]]&lt;&gt;"",Main[[#This Row],[Revised Due Date]]&lt;&gt;""),Main[[#This Row],[In Stock Date]]-Main[[#This Row],[Revised Due Date]],"")</f>
        <v>-373</v>
      </c>
      <c r="I1330" s="72" t="s">
        <v>165</v>
      </c>
      <c r="J1330" s="72" t="s">
        <v>4</v>
      </c>
      <c r="K1330" s="81" t="s">
        <v>1944</v>
      </c>
      <c r="L1330" s="74">
        <v>40331</v>
      </c>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v>40349</v>
      </c>
      <c r="R1330" s="74">
        <v>40862</v>
      </c>
      <c r="S1330" s="72" t="s">
        <v>17</v>
      </c>
      <c r="T1330" s="80" t="s">
        <v>4</v>
      </c>
      <c r="U1330" s="72" t="s">
        <v>29</v>
      </c>
      <c r="V1330" s="72" t="s">
        <v>1935</v>
      </c>
      <c r="W1330" s="72" t="s">
        <v>1937</v>
      </c>
      <c r="X1330" s="72" t="s">
        <v>3010</v>
      </c>
      <c r="Y1330" s="72" t="s">
        <v>4</v>
      </c>
      <c r="Z1330" s="72" t="s">
        <v>420</v>
      </c>
      <c r="AA1330" s="147" t="s">
        <v>3010</v>
      </c>
    </row>
    <row r="1331" spans="1:27" ht="18.600000000000001" customHeight="1">
      <c r="A1331" s="140" t="str">
        <f>IF(priority(Main[[#This Row],[Comments]])&lt;&gt;0, priority(Main[[#This Row],[Comments]]),"")</f>
        <v/>
      </c>
      <c r="B1331" s="90" t="s">
        <v>1849</v>
      </c>
      <c r="C1331" s="72" t="s">
        <v>183</v>
      </c>
      <c r="D1331" s="73" t="s">
        <v>893</v>
      </c>
      <c r="E1331" s="74"/>
      <c r="F1331" s="74">
        <v>40421</v>
      </c>
      <c r="G1331" s="75" t="str">
        <f>IF(stdProdLT(Main[[#This Row],[Comments]])=0.1,"N/A",IF(stdProdLT(Main[[#This Row],[Comments]])=0,"",stdProdLT(Main[[#This Row],[Comments]])))</f>
        <v/>
      </c>
      <c r="H1331" s="76">
        <f>IF(AND(Main[[#This Row],[In Stock Date]]&lt;&gt;"",Main[[#This Row],[Revised Due Date]]&lt;&gt;""),Main[[#This Row],[In Stock Date]]-Main[[#This Row],[Revised Due Date]],"")</f>
        <v>4</v>
      </c>
      <c r="I1331" s="72" t="s">
        <v>894</v>
      </c>
      <c r="J1331" s="72" t="s">
        <v>51</v>
      </c>
      <c r="K1331" s="72" t="s">
        <v>1941</v>
      </c>
      <c r="L1331" s="74">
        <v>40354</v>
      </c>
      <c r="M1331" s="77">
        <f>IF(Main[[#This Row],[Tech Start Date]]&lt;1/1/1990,"",IF(Main[[#This Row],[Class]]="C",WORKDAY(Main[[#This Row],[Tech Start Date]],9),IF(Main[[#This Row],[Class]]="B", WORKDAY(Main[[#This Row],[Tech Start Date]],6),IF(Main[[#This Row],[Class]]="A",WORKDAY(Main[[#This Row],[Tech Start Date]],2),""))))</f>
        <v>40358</v>
      </c>
      <c r="N1331" s="77">
        <f>IF(Main[[#This Row],[Tech Start Date]]&lt;1/1/1990,"",IF(Main[[#This Row],[Class]]="C",WORKDAY(Main[[#This Row],[Tech Start Date]],19),IF(Main[[#This Row],[Class]]="B", WORKDAY(Main[[#This Row],[Tech Start Date]],12),IF(Main[[#This Row],[Class]]="A",WORKDAY(Main[[#This Row],[Tech Start Date]],4),""))))</f>
        <v>40360</v>
      </c>
      <c r="O1331" s="77">
        <f>IF(Main[[#This Row],[Tech Start Date]]&lt;1/1/1990,"",IF(Main[[#This Row],[Class]]="C",WORKDAY(Main[[#This Row],[Tech Start Date]],23),IF(Main[[#This Row],[Class]]="B", WORKDAY(Main[[#This Row],[Tech Start Date]],15),IF(Main[[#This Row],[Class]]="A",WORKDAY(Main[[#This Row],[Tech Start Date]],5),""))))</f>
        <v>40361</v>
      </c>
      <c r="P1331" s="77">
        <f>IF(Main[[#This Row],[Tech Start Date]]&lt;1/1/1990,"",IF(Main[[#This Row],[Class]]="C",WORKDAY(Main[[#This Row],[Tech Start Date]],28),IF(Main[[#This Row],[Class]]="B", WORKDAY(Main[[#This Row],[Tech Start Date]],19),IF(Main[[#This Row],[Class]]="A",WORKDAY(Main[[#This Row],[Tech Start Date]],9),""))))</f>
        <v>40367</v>
      </c>
      <c r="Q1331" s="74">
        <v>40417</v>
      </c>
      <c r="R1331" s="74">
        <v>40417</v>
      </c>
      <c r="S1331" s="72" t="s">
        <v>11</v>
      </c>
      <c r="T1331" s="80" t="s">
        <v>4</v>
      </c>
      <c r="U1331" s="72" t="s">
        <v>14</v>
      </c>
      <c r="V1331" s="72" t="s">
        <v>1942</v>
      </c>
      <c r="W1331" s="72" t="s">
        <v>1938</v>
      </c>
      <c r="X1331" s="72" t="s">
        <v>2963</v>
      </c>
      <c r="Y1331" s="72" t="s">
        <v>3091</v>
      </c>
      <c r="Z1331" s="72" t="s">
        <v>894</v>
      </c>
      <c r="AA1331" s="147" t="s">
        <v>2963</v>
      </c>
    </row>
    <row r="1332" spans="1:27" ht="18.600000000000001" customHeight="1">
      <c r="A1332" s="140" t="str">
        <f>IF(priority(Main[[#This Row],[Comments]])&lt;&gt;0, priority(Main[[#This Row],[Comments]]),"")</f>
        <v/>
      </c>
      <c r="B1332" s="90" t="s">
        <v>1848</v>
      </c>
      <c r="C1332" s="72" t="s">
        <v>183</v>
      </c>
      <c r="D1332" s="73" t="s">
        <v>895</v>
      </c>
      <c r="E1332" s="74"/>
      <c r="F1332" s="74">
        <v>40421</v>
      </c>
      <c r="G1332" s="75" t="str">
        <f>IF(stdProdLT(Main[[#This Row],[Comments]])=0.1,"N/A",IF(stdProdLT(Main[[#This Row],[Comments]])=0,"",stdProdLT(Main[[#This Row],[Comments]])))</f>
        <v/>
      </c>
      <c r="H1332" s="76">
        <f>IF(AND(Main[[#This Row],[In Stock Date]]&lt;&gt;"",Main[[#This Row],[Revised Due Date]]&lt;&gt;""),Main[[#This Row],[In Stock Date]]-Main[[#This Row],[Revised Due Date]],"")</f>
        <v>4</v>
      </c>
      <c r="I1332" s="72" t="s">
        <v>894</v>
      </c>
      <c r="J1332" s="72" t="s">
        <v>51</v>
      </c>
      <c r="K1332" s="81" t="s">
        <v>1941</v>
      </c>
      <c r="L1332" s="74">
        <v>40354</v>
      </c>
      <c r="M1332" s="77">
        <f>IF(Main[[#This Row],[Tech Start Date]]&lt;1/1/1990,"",IF(Main[[#This Row],[Class]]="C",WORKDAY(Main[[#This Row],[Tech Start Date]],9),IF(Main[[#This Row],[Class]]="B", WORKDAY(Main[[#This Row],[Tech Start Date]],6),IF(Main[[#This Row],[Class]]="A",WORKDAY(Main[[#This Row],[Tech Start Date]],2),""))))</f>
        <v>40358</v>
      </c>
      <c r="N1332" s="77">
        <f>IF(Main[[#This Row],[Tech Start Date]]&lt;1/1/1990,"",IF(Main[[#This Row],[Class]]="C",WORKDAY(Main[[#This Row],[Tech Start Date]],19),IF(Main[[#This Row],[Class]]="B", WORKDAY(Main[[#This Row],[Tech Start Date]],12),IF(Main[[#This Row],[Class]]="A",WORKDAY(Main[[#This Row],[Tech Start Date]],4),""))))</f>
        <v>40360</v>
      </c>
      <c r="O1332" s="77">
        <f>IF(Main[[#This Row],[Tech Start Date]]&lt;1/1/1990,"",IF(Main[[#This Row],[Class]]="C",WORKDAY(Main[[#This Row],[Tech Start Date]],23),IF(Main[[#This Row],[Class]]="B", WORKDAY(Main[[#This Row],[Tech Start Date]],15),IF(Main[[#This Row],[Class]]="A",WORKDAY(Main[[#This Row],[Tech Start Date]],5),""))))</f>
        <v>40361</v>
      </c>
      <c r="P1332" s="77">
        <f>IF(Main[[#This Row],[Tech Start Date]]&lt;1/1/1990,"",IF(Main[[#This Row],[Class]]="C",WORKDAY(Main[[#This Row],[Tech Start Date]],28),IF(Main[[#This Row],[Class]]="B", WORKDAY(Main[[#This Row],[Tech Start Date]],19),IF(Main[[#This Row],[Class]]="A",WORKDAY(Main[[#This Row],[Tech Start Date]],9),""))))</f>
        <v>40367</v>
      </c>
      <c r="Q1332" s="74">
        <v>40417</v>
      </c>
      <c r="R1332" s="74">
        <v>40417</v>
      </c>
      <c r="S1332" s="72" t="s">
        <v>11</v>
      </c>
      <c r="T1332" s="80" t="s">
        <v>4</v>
      </c>
      <c r="U1332" s="72" t="s">
        <v>14</v>
      </c>
      <c r="V1332" s="72" t="s">
        <v>1942</v>
      </c>
      <c r="W1332" s="72" t="s">
        <v>1938</v>
      </c>
      <c r="X1332" s="72" t="s">
        <v>2963</v>
      </c>
      <c r="Y1332" s="72" t="s">
        <v>3091</v>
      </c>
      <c r="Z1332" s="72" t="s">
        <v>894</v>
      </c>
      <c r="AA1332" s="147" t="s">
        <v>2963</v>
      </c>
    </row>
    <row r="1333" spans="1:27" ht="18.600000000000001" customHeight="1">
      <c r="A1333" s="140" t="str">
        <f>IF(priority(Main[[#This Row],[Comments]])&lt;&gt;0, priority(Main[[#This Row],[Comments]]),"")</f>
        <v/>
      </c>
      <c r="B1333" s="90" t="s">
        <v>1846</v>
      </c>
      <c r="C1333" s="72" t="s">
        <v>890</v>
      </c>
      <c r="D1333" s="73" t="s">
        <v>891</v>
      </c>
      <c r="E1333" s="74"/>
      <c r="F1333" s="74">
        <v>40442</v>
      </c>
      <c r="G1333" s="75" t="str">
        <f>IF(stdProdLT(Main[[#This Row],[Comments]])=0.1,"N/A",IF(stdProdLT(Main[[#This Row],[Comments]])=0,"",stdProdLT(Main[[#This Row],[Comments]])))</f>
        <v/>
      </c>
      <c r="H1333" s="76">
        <f>IF(AND(Main[[#This Row],[In Stock Date]]&lt;&gt;"",Main[[#This Row],[Revised Due Date]]&lt;&gt;""),Main[[#This Row],[In Stock Date]]-Main[[#This Row],[Revised Due Date]],"")</f>
        <v>40</v>
      </c>
      <c r="I1333" s="72" t="s">
        <v>559</v>
      </c>
      <c r="J1333" s="72" t="s">
        <v>28</v>
      </c>
      <c r="K1333" s="72" t="s">
        <v>1944</v>
      </c>
      <c r="L1333" s="74">
        <v>40366</v>
      </c>
      <c r="M1333" s="77" t="str">
        <f>IF(Main[[#This Row],[Tech Start Date]]&lt;1/1/1990,"",IF(Main[[#This Row],[Class]]="C",WORKDAY(Main[[#This Row],[Tech Start Date]],9),IF(Main[[#This Row],[Class]]="B", WORKDAY(Main[[#This Row],[Tech Start Date]],6),IF(Main[[#This Row],[Class]]="A",WORKDAY(Main[[#This Row],[Tech Start Date]],2),""))))</f>
        <v/>
      </c>
      <c r="N1333" s="77" t="str">
        <f>IF(Main[[#This Row],[Tech Start Date]]&lt;1/1/1990,"",IF(Main[[#This Row],[Class]]="C",WORKDAY(Main[[#This Row],[Tech Start Date]],19),IF(Main[[#This Row],[Class]]="B", WORKDAY(Main[[#This Row],[Tech Start Date]],12),IF(Main[[#This Row],[Class]]="A",WORKDAY(Main[[#This Row],[Tech Start Date]],4),""))))</f>
        <v/>
      </c>
      <c r="O1333" s="77" t="str">
        <f>IF(Main[[#This Row],[Tech Start Date]]&lt;1/1/1990,"",IF(Main[[#This Row],[Class]]="C",WORKDAY(Main[[#This Row],[Tech Start Date]],23),IF(Main[[#This Row],[Class]]="B", WORKDAY(Main[[#This Row],[Tech Start Date]],15),IF(Main[[#This Row],[Class]]="A",WORKDAY(Main[[#This Row],[Tech Start Date]],5),""))))</f>
        <v/>
      </c>
      <c r="P1333" s="77" t="str">
        <f>IF(Main[[#This Row],[Tech Start Date]]&lt;1/1/1990,"",IF(Main[[#This Row],[Class]]="C",WORKDAY(Main[[#This Row],[Tech Start Date]],28),IF(Main[[#This Row],[Class]]="B", WORKDAY(Main[[#This Row],[Tech Start Date]],19),IF(Main[[#This Row],[Class]]="A",WORKDAY(Main[[#This Row],[Tech Start Date]],9),""))))</f>
        <v/>
      </c>
      <c r="Q1333" s="74">
        <v>40374</v>
      </c>
      <c r="R1333" s="74">
        <v>40402</v>
      </c>
      <c r="S1333" s="72" t="s">
        <v>11</v>
      </c>
      <c r="T1333" s="80" t="s">
        <v>4</v>
      </c>
      <c r="U1333" s="72" t="s">
        <v>14</v>
      </c>
      <c r="V1333" s="72" t="s">
        <v>1935</v>
      </c>
      <c r="W1333" s="72" t="s">
        <v>1937</v>
      </c>
      <c r="X1333" s="72" t="s">
        <v>2965</v>
      </c>
      <c r="Y1333" s="72" t="s">
        <v>3114</v>
      </c>
      <c r="Z1333" s="72" t="s">
        <v>4</v>
      </c>
      <c r="AA1333" s="147" t="s">
        <v>2965</v>
      </c>
    </row>
    <row r="1334" spans="1:27" ht="18.600000000000001" customHeight="1">
      <c r="A1334" s="140" t="str">
        <f>IF(priority(Main[[#This Row],[Comments]])&lt;&gt;0, priority(Main[[#This Row],[Comments]]),"")</f>
        <v/>
      </c>
      <c r="B1334" s="90" t="s">
        <v>1259</v>
      </c>
      <c r="C1334" s="72" t="s">
        <v>4</v>
      </c>
      <c r="D1334" s="73" t="s">
        <v>313</v>
      </c>
      <c r="E1334" s="74">
        <v>40395.401192129626</v>
      </c>
      <c r="F1334" s="74">
        <v>40574</v>
      </c>
      <c r="G1334" s="75" t="str">
        <f>IF(stdProdLT(Main[[#This Row],[Comments]])=0.1,"N/A",IF(stdProdLT(Main[[#This Row],[Comments]])=0,"",stdProdLT(Main[[#This Row],[Comments]])))</f>
        <v/>
      </c>
      <c r="H1334" s="76">
        <f>IF(AND(Main[[#This Row],[In Stock Date]]&lt;&gt;"",Main[[#This Row],[Revised Due Date]]&lt;&gt;""),Main[[#This Row],[In Stock Date]]-Main[[#This Row],[Revised Due Date]],"")</f>
        <v>-465</v>
      </c>
      <c r="I1334" s="72" t="s">
        <v>4</v>
      </c>
      <c r="J1334" s="72" t="s">
        <v>28</v>
      </c>
      <c r="K1334" s="72" t="s">
        <v>1944</v>
      </c>
      <c r="L1334" s="74">
        <v>40405</v>
      </c>
      <c r="M1334" s="77" t="str">
        <f>IF(Main[[#This Row],[Tech Start Date]]&lt;1/1/1990,"",IF(Main[[#This Row],[Class]]="C",WORKDAY(Main[[#This Row],[Tech Start Date]],9),IF(Main[[#This Row],[Class]]="B", WORKDAY(Main[[#This Row],[Tech Start Date]],6),IF(Main[[#This Row],[Class]]="A",WORKDAY(Main[[#This Row],[Tech Start Date]],2),""))))</f>
        <v/>
      </c>
      <c r="N1334" s="77" t="str">
        <f>IF(Main[[#This Row],[Tech Start Date]]&lt;1/1/1990,"",IF(Main[[#This Row],[Class]]="C",WORKDAY(Main[[#This Row],[Tech Start Date]],19),IF(Main[[#This Row],[Class]]="B", WORKDAY(Main[[#This Row],[Tech Start Date]],12),IF(Main[[#This Row],[Class]]="A",WORKDAY(Main[[#This Row],[Tech Start Date]],4),""))))</f>
        <v/>
      </c>
      <c r="O1334" s="77" t="str">
        <f>IF(Main[[#This Row],[Tech Start Date]]&lt;1/1/1990,"",IF(Main[[#This Row],[Class]]="C",WORKDAY(Main[[#This Row],[Tech Start Date]],23),IF(Main[[#This Row],[Class]]="B", WORKDAY(Main[[#This Row],[Tech Start Date]],15),IF(Main[[#This Row],[Class]]="A",WORKDAY(Main[[#This Row],[Tech Start Date]],5),""))))</f>
        <v/>
      </c>
      <c r="P1334" s="77" t="str">
        <f>IF(Main[[#This Row],[Tech Start Date]]&lt;1/1/1990,"",IF(Main[[#This Row],[Class]]="C",WORKDAY(Main[[#This Row],[Tech Start Date]],28),IF(Main[[#This Row],[Class]]="B", WORKDAY(Main[[#This Row],[Tech Start Date]],19),IF(Main[[#This Row],[Class]]="A",WORKDAY(Main[[#This Row],[Tech Start Date]],9),""))))</f>
        <v/>
      </c>
      <c r="Q1334" s="74"/>
      <c r="R1334" s="74">
        <v>41039</v>
      </c>
      <c r="S1334" s="72" t="s">
        <v>17</v>
      </c>
      <c r="T1334" s="80" t="s">
        <v>4</v>
      </c>
      <c r="U1334" s="72" t="s">
        <v>29</v>
      </c>
      <c r="V1334" s="72" t="s">
        <v>1935</v>
      </c>
      <c r="W1334" s="72" t="s">
        <v>1937</v>
      </c>
      <c r="X1334" s="72" t="s">
        <v>50</v>
      </c>
      <c r="Y1334" s="72" t="s">
        <v>3080</v>
      </c>
      <c r="Z1334" s="72" t="s">
        <v>980</v>
      </c>
      <c r="AA1334" s="147" t="s">
        <v>65</v>
      </c>
    </row>
    <row r="1335" spans="1:27" ht="18.600000000000001" customHeight="1">
      <c r="A1335" s="140" t="str">
        <f>IF(priority(Main[[#This Row],[Comments]])&lt;&gt;0, priority(Main[[#This Row],[Comments]]),"")</f>
        <v/>
      </c>
      <c r="B1335" s="90" t="s">
        <v>1728</v>
      </c>
      <c r="C1335" s="72" t="s">
        <v>4</v>
      </c>
      <c r="D1335" s="73" t="s">
        <v>772</v>
      </c>
      <c r="E1335" s="74">
        <v>40395.395856481482</v>
      </c>
      <c r="F1335" s="74">
        <v>40574</v>
      </c>
      <c r="G1335" s="75" t="str">
        <f>IF(stdProdLT(Main[[#This Row],[Comments]])=0.1,"N/A",IF(stdProdLT(Main[[#This Row],[Comments]])=0,"",stdProdLT(Main[[#This Row],[Comments]])))</f>
        <v/>
      </c>
      <c r="H1335" s="76">
        <f>IF(AND(Main[[#This Row],[In Stock Date]]&lt;&gt;"",Main[[#This Row],[Revised Due Date]]&lt;&gt;""),Main[[#This Row],[In Stock Date]]-Main[[#This Row],[Revised Due Date]],"")</f>
        <v>-431</v>
      </c>
      <c r="I1335" s="72" t="s">
        <v>4</v>
      </c>
      <c r="J1335" s="72" t="s">
        <v>28</v>
      </c>
      <c r="K1335" s="72" t="s">
        <v>1944</v>
      </c>
      <c r="L1335" s="74">
        <v>40405</v>
      </c>
      <c r="M1335" s="77" t="str">
        <f>IF(Main[[#This Row],[Tech Start Date]]&lt;1/1/1990,"",IF(Main[[#This Row],[Class]]="C",WORKDAY(Main[[#This Row],[Tech Start Date]],9),IF(Main[[#This Row],[Class]]="B", WORKDAY(Main[[#This Row],[Tech Start Date]],6),IF(Main[[#This Row],[Class]]="A",WORKDAY(Main[[#This Row],[Tech Start Date]],2),""))))</f>
        <v/>
      </c>
      <c r="N1335" s="77" t="str">
        <f>IF(Main[[#This Row],[Tech Start Date]]&lt;1/1/1990,"",IF(Main[[#This Row],[Class]]="C",WORKDAY(Main[[#This Row],[Tech Start Date]],19),IF(Main[[#This Row],[Class]]="B", WORKDAY(Main[[#This Row],[Tech Start Date]],12),IF(Main[[#This Row],[Class]]="A",WORKDAY(Main[[#This Row],[Tech Start Date]],4),""))))</f>
        <v/>
      </c>
      <c r="O1335" s="77" t="str">
        <f>IF(Main[[#This Row],[Tech Start Date]]&lt;1/1/1990,"",IF(Main[[#This Row],[Class]]="C",WORKDAY(Main[[#This Row],[Tech Start Date]],23),IF(Main[[#This Row],[Class]]="B", WORKDAY(Main[[#This Row],[Tech Start Date]],15),IF(Main[[#This Row],[Class]]="A",WORKDAY(Main[[#This Row],[Tech Start Date]],5),""))))</f>
        <v/>
      </c>
      <c r="P1335" s="77" t="str">
        <f>IF(Main[[#This Row],[Tech Start Date]]&lt;1/1/1990,"",IF(Main[[#This Row],[Class]]="C",WORKDAY(Main[[#This Row],[Tech Start Date]],28),IF(Main[[#This Row],[Class]]="B", WORKDAY(Main[[#This Row],[Tech Start Date]],19),IF(Main[[#This Row],[Class]]="A",WORKDAY(Main[[#This Row],[Tech Start Date]],9),""))))</f>
        <v/>
      </c>
      <c r="Q1335" s="74"/>
      <c r="R1335" s="74">
        <v>41005</v>
      </c>
      <c r="S1335" s="72" t="s">
        <v>17</v>
      </c>
      <c r="T1335" s="80" t="s">
        <v>4</v>
      </c>
      <c r="U1335" s="72" t="s">
        <v>29</v>
      </c>
      <c r="V1335" s="72" t="s">
        <v>1935</v>
      </c>
      <c r="W1335" s="72" t="s">
        <v>1937</v>
      </c>
      <c r="X1335" s="72" t="s">
        <v>50</v>
      </c>
      <c r="Y1335" s="72" t="s">
        <v>3080</v>
      </c>
      <c r="Z1335" s="72" t="s">
        <v>980</v>
      </c>
      <c r="AA1335" s="147" t="s">
        <v>65</v>
      </c>
    </row>
    <row r="1336" spans="1:27" ht="18.600000000000001" customHeight="1">
      <c r="A1336" s="140" t="str">
        <f>IF(priority(Main[[#This Row],[Comments]])&lt;&gt;0, priority(Main[[#This Row],[Comments]]),"")</f>
        <v/>
      </c>
      <c r="B1336" s="90" t="s">
        <v>1537</v>
      </c>
      <c r="C1336" s="72" t="s">
        <v>4</v>
      </c>
      <c r="D1336" s="73" t="s">
        <v>3589</v>
      </c>
      <c r="E1336" s="74">
        <v>40436.377106481479</v>
      </c>
      <c r="F1336" s="74"/>
      <c r="G1336" s="75" t="str">
        <f>IF(stdProdLT(Main[[#This Row],[Comments]])=0.1,"N/A",IF(stdProdLT(Main[[#This Row],[Comments]])=0,"",stdProdLT(Main[[#This Row],[Comments]])))</f>
        <v/>
      </c>
      <c r="H1336" s="76" t="str">
        <f>IF(AND(Main[[#This Row],[In Stock Date]]&lt;&gt;"",Main[[#This Row],[Revised Due Date]]&lt;&gt;""),Main[[#This Row],[In Stock Date]]-Main[[#This Row],[Revised Due Date]],"")</f>
        <v/>
      </c>
      <c r="I1336" s="72" t="s">
        <v>897</v>
      </c>
      <c r="J1336" s="72" t="s">
        <v>4</v>
      </c>
      <c r="K1336" s="81" t="s">
        <v>1944</v>
      </c>
      <c r="L1336" s="74">
        <v>40441</v>
      </c>
      <c r="M1336" s="77" t="str">
        <f>IF(Main[[#This Row],[Tech Start Date]]&lt;1/1/1990,"",IF(Main[[#This Row],[Class]]="C",WORKDAY(Main[[#This Row],[Tech Start Date]],9),IF(Main[[#This Row],[Class]]="B", WORKDAY(Main[[#This Row],[Tech Start Date]],6),IF(Main[[#This Row],[Class]]="A",WORKDAY(Main[[#This Row],[Tech Start Date]],2),""))))</f>
        <v/>
      </c>
      <c r="N1336" s="77" t="str">
        <f>IF(Main[[#This Row],[Tech Start Date]]&lt;1/1/1990,"",IF(Main[[#This Row],[Class]]="C",WORKDAY(Main[[#This Row],[Tech Start Date]],19),IF(Main[[#This Row],[Class]]="B", WORKDAY(Main[[#This Row],[Tech Start Date]],12),IF(Main[[#This Row],[Class]]="A",WORKDAY(Main[[#This Row],[Tech Start Date]],4),""))))</f>
        <v/>
      </c>
      <c r="O1336" s="77" t="str">
        <f>IF(Main[[#This Row],[Tech Start Date]]&lt;1/1/1990,"",IF(Main[[#This Row],[Class]]="C",WORKDAY(Main[[#This Row],[Tech Start Date]],23),IF(Main[[#This Row],[Class]]="B", WORKDAY(Main[[#This Row],[Tech Start Date]],15),IF(Main[[#This Row],[Class]]="A",WORKDAY(Main[[#This Row],[Tech Start Date]],5),""))))</f>
        <v/>
      </c>
      <c r="P1336" s="77" t="str">
        <f>IF(Main[[#This Row],[Tech Start Date]]&lt;1/1/1990,"",IF(Main[[#This Row],[Class]]="C",WORKDAY(Main[[#This Row],[Tech Start Date]],28),IF(Main[[#This Row],[Class]]="B", WORKDAY(Main[[#This Row],[Tech Start Date]],19),IF(Main[[#This Row],[Class]]="A",WORKDAY(Main[[#This Row],[Tech Start Date]],9),""))))</f>
        <v/>
      </c>
      <c r="Q1336" s="74">
        <v>41274</v>
      </c>
      <c r="R1336" s="74">
        <v>41180</v>
      </c>
      <c r="S1336" s="72" t="s">
        <v>17</v>
      </c>
      <c r="T1336" s="80" t="s">
        <v>2648</v>
      </c>
      <c r="U1336" s="72" t="s">
        <v>29</v>
      </c>
      <c r="V1336" s="72" t="s">
        <v>1932</v>
      </c>
      <c r="W1336" s="72" t="s">
        <v>1937</v>
      </c>
      <c r="X1336" s="72" t="s">
        <v>933</v>
      </c>
      <c r="Y1336" s="72" t="s">
        <v>3243</v>
      </c>
      <c r="Z1336" s="72" t="s">
        <v>888</v>
      </c>
      <c r="AA1336" s="147" t="s">
        <v>2919</v>
      </c>
    </row>
    <row r="1337" spans="1:27" ht="18.600000000000001" customHeight="1">
      <c r="A1337" s="142" t="str">
        <f>IF(priority(Main[[#This Row],[Comments]])&lt;&gt;0, priority(Main[[#This Row],[Comments]]),"")</f>
        <v/>
      </c>
      <c r="B1337" s="91" t="s">
        <v>1857</v>
      </c>
      <c r="C1337" s="108" t="s">
        <v>4</v>
      </c>
      <c r="D1337" s="109" t="s">
        <v>906</v>
      </c>
      <c r="E1337" s="110"/>
      <c r="F1337" s="110"/>
      <c r="G1337" s="111" t="str">
        <f>IF(stdProdLT(Main[[#This Row],[Comments]])=0.1,"N/A",IF(stdProdLT(Main[[#This Row],[Comments]])=0,"",stdProdLT(Main[[#This Row],[Comments]])))</f>
        <v/>
      </c>
      <c r="H1337" s="112" t="str">
        <f>IF(AND(Main[[#This Row],[In Stock Date]]&lt;&gt;"",Main[[#This Row],[Revised Due Date]]&lt;&gt;""),Main[[#This Row],[In Stock Date]]-Main[[#This Row],[Revised Due Date]],"")</f>
        <v/>
      </c>
      <c r="I1337" s="108" t="s">
        <v>718</v>
      </c>
      <c r="J1337" s="108" t="s">
        <v>4</v>
      </c>
      <c r="K1337" s="108" t="s">
        <v>4</v>
      </c>
      <c r="L1337" s="110">
        <v>40469</v>
      </c>
      <c r="M1337" s="113" t="str">
        <f>IF(Main[[#This Row],[Tech Start Date]]&lt;1/1/1990,"",IF(Main[[#This Row],[Class]]="C",WORKDAY(Main[[#This Row],[Tech Start Date]],9),IF(Main[[#This Row],[Class]]="B", WORKDAY(Main[[#This Row],[Tech Start Date]],6),IF(Main[[#This Row],[Class]]="A",WORKDAY(Main[[#This Row],[Tech Start Date]],2),""))))</f>
        <v/>
      </c>
      <c r="N1337" s="113" t="str">
        <f>IF(Main[[#This Row],[Tech Start Date]]&lt;1/1/1990,"",IF(Main[[#This Row],[Class]]="C",WORKDAY(Main[[#This Row],[Tech Start Date]],19),IF(Main[[#This Row],[Class]]="B", WORKDAY(Main[[#This Row],[Tech Start Date]],12),IF(Main[[#This Row],[Class]]="A",WORKDAY(Main[[#This Row],[Tech Start Date]],4),""))))</f>
        <v/>
      </c>
      <c r="O1337" s="113" t="str">
        <f>IF(Main[[#This Row],[Tech Start Date]]&lt;1/1/1990,"",IF(Main[[#This Row],[Class]]="C",WORKDAY(Main[[#This Row],[Tech Start Date]],23),IF(Main[[#This Row],[Class]]="B", WORKDAY(Main[[#This Row],[Tech Start Date]],15),IF(Main[[#This Row],[Class]]="A",WORKDAY(Main[[#This Row],[Tech Start Date]],5),""))))</f>
        <v/>
      </c>
      <c r="P1337" s="113" t="str">
        <f>IF(Main[[#This Row],[Tech Start Date]]&lt;1/1/1990,"",IF(Main[[#This Row],[Class]]="C",WORKDAY(Main[[#This Row],[Tech Start Date]],28),IF(Main[[#This Row],[Class]]="B", WORKDAY(Main[[#This Row],[Tech Start Date]],19),IF(Main[[#This Row],[Class]]="A",WORKDAY(Main[[#This Row],[Tech Start Date]],9),""))))</f>
        <v/>
      </c>
      <c r="Q1337" s="110"/>
      <c r="R1337" s="110">
        <v>40473</v>
      </c>
      <c r="S1337" s="108" t="s">
        <v>23</v>
      </c>
      <c r="T1337" s="114" t="s">
        <v>4</v>
      </c>
      <c r="U1337" s="108" t="s">
        <v>14</v>
      </c>
      <c r="V1337" s="108" t="s">
        <v>1932</v>
      </c>
      <c r="W1337" s="108" t="s">
        <v>1936</v>
      </c>
      <c r="X1337" s="72" t="s">
        <v>310</v>
      </c>
      <c r="Y1337" s="72" t="s">
        <v>4</v>
      </c>
      <c r="Z1337" s="72" t="s">
        <v>129</v>
      </c>
      <c r="AA1337" s="147" t="s">
        <v>3713</v>
      </c>
    </row>
    <row r="1338" spans="1:27" ht="18.600000000000001" customHeight="1">
      <c r="A1338" s="140" t="str">
        <f>IF(priority(Main[[#This Row],[Comments]])&lt;&gt;0, priority(Main[[#This Row],[Comments]]),"")</f>
        <v/>
      </c>
      <c r="B1338" s="90" t="s">
        <v>1118</v>
      </c>
      <c r="C1338" s="72" t="s">
        <v>4</v>
      </c>
      <c r="D1338" s="73" t="s">
        <v>130</v>
      </c>
      <c r="E1338" s="74">
        <v>40462.452245370368</v>
      </c>
      <c r="F1338" s="74"/>
      <c r="G1338" s="75" t="str">
        <f>IF(stdProdLT(Main[[#This Row],[Comments]])=0.1,"N/A",IF(stdProdLT(Main[[#This Row],[Comments]])=0,"",stdProdLT(Main[[#This Row],[Comments]])))</f>
        <v/>
      </c>
      <c r="H1338" s="76" t="str">
        <f>IF(AND(Main[[#This Row],[In Stock Date]]&lt;&gt;"",Main[[#This Row],[Revised Due Date]]&lt;&gt;""),Main[[#This Row],[In Stock Date]]-Main[[#This Row],[Revised Due Date]],"")</f>
        <v/>
      </c>
      <c r="I1338" s="72" t="s">
        <v>242</v>
      </c>
      <c r="J1338" s="72" t="s">
        <v>52</v>
      </c>
      <c r="K1338" s="81" t="s">
        <v>1939</v>
      </c>
      <c r="L1338" s="74">
        <v>40486</v>
      </c>
      <c r="M1338" s="77">
        <f>IF(Main[[#This Row],[Tech Start Date]]&lt;1/1/1990,"",IF(Main[[#This Row],[Class]]="C",WORKDAY(Main[[#This Row],[Tech Start Date]],9),IF(Main[[#This Row],[Class]]="B", WORKDAY(Main[[#This Row],[Tech Start Date]],6),IF(Main[[#This Row],[Class]]="A",WORKDAY(Main[[#This Row],[Tech Start Date]],2),""))))</f>
        <v>40494</v>
      </c>
      <c r="N1338" s="77">
        <f>IF(Main[[#This Row],[Tech Start Date]]&lt;1/1/1990,"",IF(Main[[#This Row],[Class]]="C",WORKDAY(Main[[#This Row],[Tech Start Date]],19),IF(Main[[#This Row],[Class]]="B", WORKDAY(Main[[#This Row],[Tech Start Date]],12),IF(Main[[#This Row],[Class]]="A",WORKDAY(Main[[#This Row],[Tech Start Date]],4),""))))</f>
        <v>40504</v>
      </c>
      <c r="O1338" s="77">
        <f>IF(Main[[#This Row],[Tech Start Date]]&lt;1/1/1990,"",IF(Main[[#This Row],[Class]]="C",WORKDAY(Main[[#This Row],[Tech Start Date]],23),IF(Main[[#This Row],[Class]]="B", WORKDAY(Main[[#This Row],[Tech Start Date]],15),IF(Main[[#This Row],[Class]]="A",WORKDAY(Main[[#This Row],[Tech Start Date]],5),""))))</f>
        <v>40507</v>
      </c>
      <c r="P1338" s="77">
        <f>IF(Main[[#This Row],[Tech Start Date]]&lt;1/1/1990,"",IF(Main[[#This Row],[Class]]="C",WORKDAY(Main[[#This Row],[Tech Start Date]],28),IF(Main[[#This Row],[Class]]="B", WORKDAY(Main[[#This Row],[Tech Start Date]],19),IF(Main[[#This Row],[Class]]="A",WORKDAY(Main[[#This Row],[Tech Start Date]],9),""))))</f>
        <v>40513</v>
      </c>
      <c r="Q1338" s="74">
        <v>40543</v>
      </c>
      <c r="R1338" s="74"/>
      <c r="S1338" s="72" t="s">
        <v>6</v>
      </c>
      <c r="T1338" s="80" t="s">
        <v>4</v>
      </c>
      <c r="U1338" s="72" t="s">
        <v>29</v>
      </c>
      <c r="V1338" s="72" t="s">
        <v>1935</v>
      </c>
      <c r="W1338" s="72" t="s">
        <v>1936</v>
      </c>
      <c r="X1338" s="72" t="s">
        <v>2978</v>
      </c>
      <c r="Y1338" s="72" t="s">
        <v>3138</v>
      </c>
      <c r="Z1338" s="72" t="s">
        <v>30</v>
      </c>
      <c r="AA1338" s="147" t="s">
        <v>2978</v>
      </c>
    </row>
    <row r="1339" spans="1:27" ht="18.600000000000001" customHeight="1">
      <c r="A1339" s="142" t="str">
        <f>IF(priority(Main[[#This Row],[Comments]])&lt;&gt;0, priority(Main[[#This Row],[Comments]]),"")</f>
        <v/>
      </c>
      <c r="B1339" s="91" t="s">
        <v>1101</v>
      </c>
      <c r="C1339" s="72" t="s">
        <v>4</v>
      </c>
      <c r="D1339" s="73" t="s">
        <v>2021</v>
      </c>
      <c r="E1339" s="74"/>
      <c r="F1339" s="74"/>
      <c r="G1339" s="75" t="str">
        <f>IF(stdProdLT(Main[[#This Row],[Comments]])=0.1,"N/A",IF(stdProdLT(Main[[#This Row],[Comments]])=0,"",stdProdLT(Main[[#This Row],[Comments]])))</f>
        <v/>
      </c>
      <c r="H1339" s="76" t="str">
        <f>IF(AND(Main[[#This Row],[In Stock Date]]&lt;&gt;"",Main[[#This Row],[Revised Due Date]]&lt;&gt;""),Main[[#This Row],[In Stock Date]]-Main[[#This Row],[Revised Due Date]],"")</f>
        <v/>
      </c>
      <c r="I1339" s="72" t="s">
        <v>30</v>
      </c>
      <c r="J1339" s="72" t="s">
        <v>28</v>
      </c>
      <c r="K1339" s="72" t="s">
        <v>1939</v>
      </c>
      <c r="L1339" s="74">
        <v>40486</v>
      </c>
      <c r="M1339" s="77">
        <f>IF(Main[[#This Row],[Tech Start Date]]&lt;1/1/1990,"",IF(Main[[#This Row],[Class]]="C",WORKDAY(Main[[#This Row],[Tech Start Date]],9),IF(Main[[#This Row],[Class]]="B", WORKDAY(Main[[#This Row],[Tech Start Date]],6),IF(Main[[#This Row],[Class]]="A",WORKDAY(Main[[#This Row],[Tech Start Date]],2),""))))</f>
        <v>40494</v>
      </c>
      <c r="N1339" s="77">
        <f>IF(Main[[#This Row],[Tech Start Date]]&lt;1/1/1990,"",IF(Main[[#This Row],[Class]]="C",WORKDAY(Main[[#This Row],[Tech Start Date]],19),IF(Main[[#This Row],[Class]]="B", WORKDAY(Main[[#This Row],[Tech Start Date]],12),IF(Main[[#This Row],[Class]]="A",WORKDAY(Main[[#This Row],[Tech Start Date]],4),""))))</f>
        <v>40504</v>
      </c>
      <c r="O1339" s="77">
        <f>IF(Main[[#This Row],[Tech Start Date]]&lt;1/1/1990,"",IF(Main[[#This Row],[Class]]="C",WORKDAY(Main[[#This Row],[Tech Start Date]],23),IF(Main[[#This Row],[Class]]="B", WORKDAY(Main[[#This Row],[Tech Start Date]],15),IF(Main[[#This Row],[Class]]="A",WORKDAY(Main[[#This Row],[Tech Start Date]],5),""))))</f>
        <v>40507</v>
      </c>
      <c r="P1339" s="77">
        <f>IF(Main[[#This Row],[Tech Start Date]]&lt;1/1/1990,"",IF(Main[[#This Row],[Class]]="C",WORKDAY(Main[[#This Row],[Tech Start Date]],28),IF(Main[[#This Row],[Class]]="B", WORKDAY(Main[[#This Row],[Tech Start Date]],19),IF(Main[[#This Row],[Class]]="A",WORKDAY(Main[[#This Row],[Tech Start Date]],9),""))))</f>
        <v>40513</v>
      </c>
      <c r="Q1339" s="74"/>
      <c r="R1339" s="74"/>
      <c r="S1339" s="72" t="s">
        <v>6</v>
      </c>
      <c r="T1339" s="80" t="s">
        <v>4</v>
      </c>
      <c r="U1339" s="72" t="s">
        <v>14</v>
      </c>
      <c r="V1339" s="72" t="s">
        <v>1935</v>
      </c>
      <c r="W1339" s="72" t="s">
        <v>1936</v>
      </c>
      <c r="X1339" s="72" t="s">
        <v>2957</v>
      </c>
      <c r="Y1339" s="108" t="s">
        <v>3095</v>
      </c>
      <c r="Z1339" s="108" t="s">
        <v>535</v>
      </c>
      <c r="AA1339" s="147" t="s">
        <v>2957</v>
      </c>
    </row>
    <row r="1340" spans="1:27" ht="18.600000000000001" customHeight="1">
      <c r="A1340" s="142" t="str">
        <f>IF(priority(Main[[#This Row],[Comments]])&lt;&gt;0, priority(Main[[#This Row],[Comments]]),"")</f>
        <v/>
      </c>
      <c r="B1340" s="91" t="s">
        <v>1729</v>
      </c>
      <c r="C1340" s="108" t="s">
        <v>4</v>
      </c>
      <c r="D1340" s="109" t="s">
        <v>773</v>
      </c>
      <c r="E1340" s="110"/>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173</v>
      </c>
      <c r="J1340" s="108" t="s">
        <v>70</v>
      </c>
      <c r="K1340" s="108" t="s">
        <v>1939</v>
      </c>
      <c r="L1340" s="110">
        <v>40486</v>
      </c>
      <c r="M1340" s="113">
        <f>IF(Main[[#This Row],[Tech Start Date]]&lt;1/1/1990,"",IF(Main[[#This Row],[Class]]="C",WORKDAY(Main[[#This Row],[Tech Start Date]],9),IF(Main[[#This Row],[Class]]="B", WORKDAY(Main[[#This Row],[Tech Start Date]],6),IF(Main[[#This Row],[Class]]="A",WORKDAY(Main[[#This Row],[Tech Start Date]],2),""))))</f>
        <v>40494</v>
      </c>
      <c r="N1340" s="113">
        <f>IF(Main[[#This Row],[Tech Start Date]]&lt;1/1/1990,"",IF(Main[[#This Row],[Class]]="C",WORKDAY(Main[[#This Row],[Tech Start Date]],19),IF(Main[[#This Row],[Class]]="B", WORKDAY(Main[[#This Row],[Tech Start Date]],12),IF(Main[[#This Row],[Class]]="A",WORKDAY(Main[[#This Row],[Tech Start Date]],4),""))))</f>
        <v>40504</v>
      </c>
      <c r="O1340" s="113">
        <f>IF(Main[[#This Row],[Tech Start Date]]&lt;1/1/1990,"",IF(Main[[#This Row],[Class]]="C",WORKDAY(Main[[#This Row],[Tech Start Date]],23),IF(Main[[#This Row],[Class]]="B", WORKDAY(Main[[#This Row],[Tech Start Date]],15),IF(Main[[#This Row],[Class]]="A",WORKDAY(Main[[#This Row],[Tech Start Date]],5),""))))</f>
        <v>40507</v>
      </c>
      <c r="P1340" s="113">
        <f>IF(Main[[#This Row],[Tech Start Date]]&lt;1/1/1990,"",IF(Main[[#This Row],[Class]]="C",WORKDAY(Main[[#This Row],[Tech Start Date]],28),IF(Main[[#This Row],[Class]]="B", WORKDAY(Main[[#This Row],[Tech Start Date]],19),IF(Main[[#This Row],[Class]]="A",WORKDAY(Main[[#This Row],[Tech Start Date]],9),""))))</f>
        <v>40513</v>
      </c>
      <c r="Q1340" s="110">
        <v>40504</v>
      </c>
      <c r="R1340" s="110"/>
      <c r="S1340" s="108" t="s">
        <v>6</v>
      </c>
      <c r="T1340" s="114" t="s">
        <v>4</v>
      </c>
      <c r="U1340" s="108" t="s">
        <v>14</v>
      </c>
      <c r="V1340" s="108" t="s">
        <v>1935</v>
      </c>
      <c r="W1340" s="108" t="s">
        <v>1936</v>
      </c>
      <c r="X1340" s="108" t="s">
        <v>2913</v>
      </c>
      <c r="Y1340" s="108" t="s">
        <v>3033</v>
      </c>
      <c r="Z1340" s="108" t="s">
        <v>30</v>
      </c>
      <c r="AA1340" s="147" t="s">
        <v>2913</v>
      </c>
    </row>
    <row r="1341" spans="1:27" ht="18.600000000000001" customHeight="1">
      <c r="A1341" s="142" t="str">
        <f>IF(priority(Main[[#This Row],[Comments]])&lt;&gt;0, priority(Main[[#This Row],[Comments]]),"")</f>
        <v/>
      </c>
      <c r="B1341" s="91" t="s">
        <v>1742</v>
      </c>
      <c r="C1341" s="72" t="s">
        <v>4</v>
      </c>
      <c r="D1341" s="73" t="s">
        <v>2321</v>
      </c>
      <c r="E1341" s="74">
        <v>40462.421793981484</v>
      </c>
      <c r="F1341" s="74"/>
      <c r="G1341" s="75" t="str">
        <f>IF(stdProdLT(Main[[#This Row],[Comments]])=0.1,"N/A",IF(stdProdLT(Main[[#This Row],[Comments]])=0,"",stdProdLT(Main[[#This Row],[Comments]])))</f>
        <v/>
      </c>
      <c r="H1341" s="76" t="str">
        <f>IF(AND(Main[[#This Row],[In Stock Date]]&lt;&gt;"",Main[[#This Row],[Revised Due Date]]&lt;&gt;""),Main[[#This Row],[In Stock Date]]-Main[[#This Row],[Revised Due Date]],"")</f>
        <v/>
      </c>
      <c r="I1341" s="72" t="s">
        <v>905</v>
      </c>
      <c r="J1341" s="72" t="s">
        <v>52</v>
      </c>
      <c r="K1341" s="72" t="s">
        <v>1939</v>
      </c>
      <c r="L1341" s="74">
        <v>40486</v>
      </c>
      <c r="M1341" s="77">
        <f>IF(Main[[#This Row],[Tech Start Date]]&lt;1/1/1990,"",IF(Main[[#This Row],[Class]]="C",WORKDAY(Main[[#This Row],[Tech Start Date]],9),IF(Main[[#This Row],[Class]]="B", WORKDAY(Main[[#This Row],[Tech Start Date]],6),IF(Main[[#This Row],[Class]]="A",WORKDAY(Main[[#This Row],[Tech Start Date]],2),""))))</f>
        <v>40494</v>
      </c>
      <c r="N1341" s="77">
        <f>IF(Main[[#This Row],[Tech Start Date]]&lt;1/1/1990,"",IF(Main[[#This Row],[Class]]="C",WORKDAY(Main[[#This Row],[Tech Start Date]],19),IF(Main[[#This Row],[Class]]="B", WORKDAY(Main[[#This Row],[Tech Start Date]],12),IF(Main[[#This Row],[Class]]="A",WORKDAY(Main[[#This Row],[Tech Start Date]],4),""))))</f>
        <v>40504</v>
      </c>
      <c r="O1341" s="77">
        <f>IF(Main[[#This Row],[Tech Start Date]]&lt;1/1/1990,"",IF(Main[[#This Row],[Class]]="C",WORKDAY(Main[[#This Row],[Tech Start Date]],23),IF(Main[[#This Row],[Class]]="B", WORKDAY(Main[[#This Row],[Tech Start Date]],15),IF(Main[[#This Row],[Class]]="A",WORKDAY(Main[[#This Row],[Tech Start Date]],5),""))))</f>
        <v>40507</v>
      </c>
      <c r="P1341" s="77">
        <f>IF(Main[[#This Row],[Tech Start Date]]&lt;1/1/1990,"",IF(Main[[#This Row],[Class]]="C",WORKDAY(Main[[#This Row],[Tech Start Date]],28),IF(Main[[#This Row],[Class]]="B", WORKDAY(Main[[#This Row],[Tech Start Date]],19),IF(Main[[#This Row],[Class]]="A",WORKDAY(Main[[#This Row],[Tech Start Date]],9),""))))</f>
        <v>40513</v>
      </c>
      <c r="Q1341" s="74">
        <v>40543</v>
      </c>
      <c r="R1341" s="74"/>
      <c r="S1341" s="72" t="s">
        <v>6</v>
      </c>
      <c r="T1341" s="80" t="s">
        <v>4</v>
      </c>
      <c r="U1341" s="72" t="s">
        <v>29</v>
      </c>
      <c r="V1341" s="72" t="s">
        <v>1935</v>
      </c>
      <c r="W1341" s="72" t="s">
        <v>1936</v>
      </c>
      <c r="X1341" s="72" t="s">
        <v>2978</v>
      </c>
      <c r="Y1341" s="108" t="s">
        <v>3138</v>
      </c>
      <c r="Z1341" s="108" t="s">
        <v>30</v>
      </c>
      <c r="AA1341" s="147" t="s">
        <v>2978</v>
      </c>
    </row>
    <row r="1342" spans="1:27" ht="18.600000000000001" customHeight="1">
      <c r="A1342" s="143" t="str">
        <f>IF(priority(Main[[#This Row],[Comments]])&lt;&gt;0, priority(Main[[#This Row],[Comments]]),"")</f>
        <v/>
      </c>
      <c r="B1342" s="128" t="s">
        <v>1746</v>
      </c>
      <c r="C1342" s="108" t="s">
        <v>4</v>
      </c>
      <c r="D1342" s="109" t="s">
        <v>2041</v>
      </c>
      <c r="E1342" s="110">
        <v>40478.606620370374</v>
      </c>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434</v>
      </c>
      <c r="J1342" s="108" t="s">
        <v>70</v>
      </c>
      <c r="K1342" s="108" t="s">
        <v>1944</v>
      </c>
      <c r="L1342" s="110">
        <v>40513</v>
      </c>
      <c r="M1342" s="113" t="str">
        <f>IF(Main[[#This Row],[Tech Start Date]]&lt;1/1/1990,"",IF(Main[[#This Row],[Class]]="C",WORKDAY(Main[[#This Row],[Tech Start Date]],9),IF(Main[[#This Row],[Class]]="B", WORKDAY(Main[[#This Row],[Tech Start Date]],6),IF(Main[[#This Row],[Class]]="A",WORKDAY(Main[[#This Row],[Tech Start Date]],2),""))))</f>
        <v/>
      </c>
      <c r="N1342" s="113" t="str">
        <f>IF(Main[[#This Row],[Tech Start Date]]&lt;1/1/1990,"",IF(Main[[#This Row],[Class]]="C",WORKDAY(Main[[#This Row],[Tech Start Date]],19),IF(Main[[#This Row],[Class]]="B", WORKDAY(Main[[#This Row],[Tech Start Date]],12),IF(Main[[#This Row],[Class]]="A",WORKDAY(Main[[#This Row],[Tech Start Date]],4),""))))</f>
        <v/>
      </c>
      <c r="O1342" s="113" t="str">
        <f>IF(Main[[#This Row],[Tech Start Date]]&lt;1/1/1990,"",IF(Main[[#This Row],[Class]]="C",WORKDAY(Main[[#This Row],[Tech Start Date]],23),IF(Main[[#This Row],[Class]]="B", WORKDAY(Main[[#This Row],[Tech Start Date]],15),IF(Main[[#This Row],[Class]]="A",WORKDAY(Main[[#This Row],[Tech Start Date]],5),""))))</f>
        <v/>
      </c>
      <c r="P1342" s="113" t="str">
        <f>IF(Main[[#This Row],[Tech Start Date]]&lt;1/1/1990,"",IF(Main[[#This Row],[Class]]="C",WORKDAY(Main[[#This Row],[Tech Start Date]],28),IF(Main[[#This Row],[Class]]="B", WORKDAY(Main[[#This Row],[Tech Start Date]],19),IF(Main[[#This Row],[Class]]="A",WORKDAY(Main[[#This Row],[Tech Start Date]],9),""))))</f>
        <v/>
      </c>
      <c r="Q1342" s="110">
        <v>40724</v>
      </c>
      <c r="R1342" s="110"/>
      <c r="S1342" s="108" t="s">
        <v>17</v>
      </c>
      <c r="T1342" s="114" t="s">
        <v>4</v>
      </c>
      <c r="U1342" s="108" t="s">
        <v>29</v>
      </c>
      <c r="V1342" s="108" t="s">
        <v>1935</v>
      </c>
      <c r="W1342" s="108" t="s">
        <v>1936</v>
      </c>
      <c r="X1342" s="108" t="s">
        <v>2982</v>
      </c>
      <c r="Y1342" s="129" t="s">
        <v>3198</v>
      </c>
      <c r="Z1342" s="129" t="s">
        <v>30</v>
      </c>
      <c r="AA1342" s="147" t="s">
        <v>2982</v>
      </c>
    </row>
    <row r="1343" spans="1:27" ht="18.600000000000001" customHeight="1">
      <c r="A1343" s="142" t="str">
        <f>IF(priority(Main[[#This Row],[Comments]])&lt;&gt;0, priority(Main[[#This Row],[Comments]]),"")</f>
        <v/>
      </c>
      <c r="B1343" s="91" t="s">
        <v>1740</v>
      </c>
      <c r="C1343" s="72" t="s">
        <v>72</v>
      </c>
      <c r="D1343" s="73" t="s">
        <v>788</v>
      </c>
      <c r="E1343" s="74"/>
      <c r="F1343" s="74">
        <v>40513</v>
      </c>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30</v>
      </c>
      <c r="J1343" s="72" t="s">
        <v>28</v>
      </c>
      <c r="K1343" s="72" t="s">
        <v>1944</v>
      </c>
      <c r="L1343" s="74">
        <v>40547</v>
      </c>
      <c r="M1343" s="77" t="str">
        <f>IF(Main[[#This Row],[Tech Start Date]]&lt;1/1/1990,"",IF(Main[[#This Row],[Class]]="C",WORKDAY(Main[[#This Row],[Tech Start Date]],9),IF(Main[[#This Row],[Class]]="B", WORKDAY(Main[[#This Row],[Tech Start Date]],6),IF(Main[[#This Row],[Class]]="A",WORKDAY(Main[[#This Row],[Tech Start Date]],2),""))))</f>
        <v/>
      </c>
      <c r="N1343" s="77" t="str">
        <f>IF(Main[[#This Row],[Tech Start Date]]&lt;1/1/1990,"",IF(Main[[#This Row],[Class]]="C",WORKDAY(Main[[#This Row],[Tech Start Date]],19),IF(Main[[#This Row],[Class]]="B", WORKDAY(Main[[#This Row],[Tech Start Date]],12),IF(Main[[#This Row],[Class]]="A",WORKDAY(Main[[#This Row],[Tech Start Date]],4),""))))</f>
        <v/>
      </c>
      <c r="O1343" s="77" t="str">
        <f>IF(Main[[#This Row],[Tech Start Date]]&lt;1/1/1990,"",IF(Main[[#This Row],[Class]]="C",WORKDAY(Main[[#This Row],[Tech Start Date]],23),IF(Main[[#This Row],[Class]]="B", WORKDAY(Main[[#This Row],[Tech Start Date]],15),IF(Main[[#This Row],[Class]]="A",WORKDAY(Main[[#This Row],[Tech Start Date]],5),""))))</f>
        <v/>
      </c>
      <c r="P1343" s="77" t="str">
        <f>IF(Main[[#This Row],[Tech Start Date]]&lt;1/1/1990,"",IF(Main[[#This Row],[Class]]="C",WORKDAY(Main[[#This Row],[Tech Start Date]],28),IF(Main[[#This Row],[Class]]="B", WORKDAY(Main[[#This Row],[Tech Start Date]],19),IF(Main[[#This Row],[Class]]="A",WORKDAY(Main[[#This Row],[Tech Start Date]],9),""))))</f>
        <v/>
      </c>
      <c r="Q1343" s="74"/>
      <c r="R1343" s="74"/>
      <c r="S1343" s="72" t="s">
        <v>17</v>
      </c>
      <c r="T1343" s="80" t="s">
        <v>4</v>
      </c>
      <c r="U1343" s="72" t="s">
        <v>14</v>
      </c>
      <c r="V1343" s="72" t="s">
        <v>1935</v>
      </c>
      <c r="W1343" s="72" t="s">
        <v>1937</v>
      </c>
      <c r="X1343" s="72" t="s">
        <v>2938</v>
      </c>
      <c r="Y1343" s="108" t="s">
        <v>3073</v>
      </c>
      <c r="Z1343" s="108" t="s">
        <v>30</v>
      </c>
      <c r="AA1343" s="147" t="s">
        <v>2938</v>
      </c>
    </row>
    <row r="1344" spans="1:27" ht="18.600000000000001" customHeight="1">
      <c r="A1344" s="143" t="str">
        <f>IF(priority(Main[[#This Row],[Comments]])&lt;&gt;0, priority(Main[[#This Row],[Comments]]),"")</f>
        <v/>
      </c>
      <c r="B1344" s="128" t="s">
        <v>1928</v>
      </c>
      <c r="C1344" s="72" t="s">
        <v>4</v>
      </c>
      <c r="D1344" s="73" t="s">
        <v>973</v>
      </c>
      <c r="E1344" s="74"/>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2075</v>
      </c>
      <c r="J1344" s="72" t="s">
        <v>4</v>
      </c>
      <c r="K1344" s="72" t="s">
        <v>1944</v>
      </c>
      <c r="L1344" s="74">
        <v>40549</v>
      </c>
      <c r="M1344" s="77" t="str">
        <f>IF(Main[[#This Row],[Tech Start Date]]&lt;1/1/1990,"",IF(Main[[#This Row],[Class]]="C",WORKDAY(Main[[#This Row],[Tech Start Date]],9),IF(Main[[#This Row],[Class]]="B", WORKDAY(Main[[#This Row],[Tech Start Date]],6),IF(Main[[#This Row],[Class]]="A",WORKDAY(Main[[#This Row],[Tech Start Date]],2),""))))</f>
        <v/>
      </c>
      <c r="N1344" s="77" t="str">
        <f>IF(Main[[#This Row],[Tech Start Date]]&lt;1/1/1990,"",IF(Main[[#This Row],[Class]]="C",WORKDAY(Main[[#This Row],[Tech Start Date]],19),IF(Main[[#This Row],[Class]]="B", WORKDAY(Main[[#This Row],[Tech Start Date]],12),IF(Main[[#This Row],[Class]]="A",WORKDAY(Main[[#This Row],[Tech Start Date]],4),""))))</f>
        <v/>
      </c>
      <c r="O1344" s="77" t="str">
        <f>IF(Main[[#This Row],[Tech Start Date]]&lt;1/1/1990,"",IF(Main[[#This Row],[Class]]="C",WORKDAY(Main[[#This Row],[Tech Start Date]],23),IF(Main[[#This Row],[Class]]="B", WORKDAY(Main[[#This Row],[Tech Start Date]],15),IF(Main[[#This Row],[Class]]="A",WORKDAY(Main[[#This Row],[Tech Start Date]],5),""))))</f>
        <v/>
      </c>
      <c r="P1344" s="77" t="str">
        <f>IF(Main[[#This Row],[Tech Start Date]]&lt;1/1/1990,"",IF(Main[[#This Row],[Class]]="C",WORKDAY(Main[[#This Row],[Tech Start Date]],28),IF(Main[[#This Row],[Class]]="B", WORKDAY(Main[[#This Row],[Tech Start Date]],19),IF(Main[[#This Row],[Class]]="A",WORKDAY(Main[[#This Row],[Tech Start Date]],9),""))))</f>
        <v/>
      </c>
      <c r="Q1344" s="74">
        <v>40939</v>
      </c>
      <c r="R1344" s="74">
        <v>40939</v>
      </c>
      <c r="S1344" s="72" t="s">
        <v>11</v>
      </c>
      <c r="T1344" s="80" t="s">
        <v>4</v>
      </c>
      <c r="U1344" s="72" t="s">
        <v>14</v>
      </c>
      <c r="V1344" s="72" t="s">
        <v>1933</v>
      </c>
      <c r="W1344" s="72" t="s">
        <v>1936</v>
      </c>
      <c r="X1344" s="72" t="s">
        <v>933</v>
      </c>
      <c r="Y1344" s="129" t="s">
        <v>3087</v>
      </c>
      <c r="Z1344" s="129" t="s">
        <v>129</v>
      </c>
      <c r="AA1344" s="147" t="s">
        <v>3668</v>
      </c>
    </row>
    <row r="1345" spans="1:27" ht="18.600000000000001" customHeight="1">
      <c r="A1345" s="143" t="str">
        <f>IF(priority(Main[[#This Row],[Comments]])&lt;&gt;0, priority(Main[[#This Row],[Comments]]),"")</f>
        <v/>
      </c>
      <c r="B1345" s="128" t="s">
        <v>1927</v>
      </c>
      <c r="C1345" s="72" t="s">
        <v>4</v>
      </c>
      <c r="D1345" s="73" t="s">
        <v>971</v>
      </c>
      <c r="E1345" s="74">
        <v>40436.63890046296</v>
      </c>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888</v>
      </c>
      <c r="J1345" s="72" t="s">
        <v>28</v>
      </c>
      <c r="K1345" s="72" t="s">
        <v>1944</v>
      </c>
      <c r="L1345" s="74">
        <v>40549</v>
      </c>
      <c r="M1345" s="77" t="str">
        <f>IF(Main[[#This Row],[Tech Start Date]]&lt;1/1/1990,"",IF(Main[[#This Row],[Class]]="C",WORKDAY(Main[[#This Row],[Tech Start Date]],9),IF(Main[[#This Row],[Class]]="B", WORKDAY(Main[[#This Row],[Tech Start Date]],6),IF(Main[[#This Row],[Class]]="A",WORKDAY(Main[[#This Row],[Tech Start Date]],2),""))))</f>
        <v/>
      </c>
      <c r="N1345" s="77" t="str">
        <f>IF(Main[[#This Row],[Tech Start Date]]&lt;1/1/1990,"",IF(Main[[#This Row],[Class]]="C",WORKDAY(Main[[#This Row],[Tech Start Date]],19),IF(Main[[#This Row],[Class]]="B", WORKDAY(Main[[#This Row],[Tech Start Date]],12),IF(Main[[#This Row],[Class]]="A",WORKDAY(Main[[#This Row],[Tech Start Date]],4),""))))</f>
        <v/>
      </c>
      <c r="O1345" s="77" t="str">
        <f>IF(Main[[#This Row],[Tech Start Date]]&lt;1/1/1990,"",IF(Main[[#This Row],[Class]]="C",WORKDAY(Main[[#This Row],[Tech Start Date]],23),IF(Main[[#This Row],[Class]]="B", WORKDAY(Main[[#This Row],[Tech Start Date]],15),IF(Main[[#This Row],[Class]]="A",WORKDAY(Main[[#This Row],[Tech Start Date]],5),""))))</f>
        <v/>
      </c>
      <c r="P1345" s="77" t="str">
        <f>IF(Main[[#This Row],[Tech Start Date]]&lt;1/1/1990,"",IF(Main[[#This Row],[Class]]="C",WORKDAY(Main[[#This Row],[Tech Start Date]],28),IF(Main[[#This Row],[Class]]="B", WORKDAY(Main[[#This Row],[Tech Start Date]],19),IF(Main[[#This Row],[Class]]="A",WORKDAY(Main[[#This Row],[Tech Start Date]],9),""))))</f>
        <v/>
      </c>
      <c r="Q1345" s="74">
        <v>40939</v>
      </c>
      <c r="R1345" s="74">
        <v>40939</v>
      </c>
      <c r="S1345" s="72" t="s">
        <v>17</v>
      </c>
      <c r="T1345" s="80" t="s">
        <v>972</v>
      </c>
      <c r="U1345" s="72" t="s">
        <v>29</v>
      </c>
      <c r="V1345" s="72" t="s">
        <v>1932</v>
      </c>
      <c r="W1345" s="72" t="s">
        <v>1936</v>
      </c>
      <c r="X1345" s="72" t="s">
        <v>933</v>
      </c>
      <c r="Y1345" s="129" t="s">
        <v>3077</v>
      </c>
      <c r="Z1345" s="129" t="s">
        <v>129</v>
      </c>
      <c r="AA1345" s="147" t="s">
        <v>933</v>
      </c>
    </row>
    <row r="1346" spans="1:27" ht="18.600000000000001" customHeight="1">
      <c r="A1346" s="143" t="str">
        <f>IF(priority(Main[[#This Row],[Comments]])&lt;&gt;0, priority(Main[[#This Row],[Comments]]),"")</f>
        <v/>
      </c>
      <c r="B1346" s="128" t="s">
        <v>1926</v>
      </c>
      <c r="C1346" s="108" t="s">
        <v>4</v>
      </c>
      <c r="D1346" s="109" t="s">
        <v>970</v>
      </c>
      <c r="E1346" s="110"/>
      <c r="F1346" s="110"/>
      <c r="G1346" s="111" t="str">
        <f>IF(stdProdLT(Main[[#This Row],[Comments]])=0.1,"N/A",IF(stdProdLT(Main[[#This Row],[Comments]])=0,"",stdProdLT(Main[[#This Row],[Comments]])))</f>
        <v/>
      </c>
      <c r="H1346" s="112" t="str">
        <f>IF(AND(Main[[#This Row],[In Stock Date]]&lt;&gt;"",Main[[#This Row],[Revised Due Date]]&lt;&gt;""),Main[[#This Row],[In Stock Date]]-Main[[#This Row],[Revised Due Date]],"")</f>
        <v/>
      </c>
      <c r="I1346" s="108" t="s">
        <v>888</v>
      </c>
      <c r="J1346" s="108" t="s">
        <v>28</v>
      </c>
      <c r="K1346" s="145" t="s">
        <v>1944</v>
      </c>
      <c r="L1346" s="110">
        <v>40549</v>
      </c>
      <c r="M1346" s="113" t="str">
        <f>IF(Main[[#This Row],[Tech Start Date]]&lt;1/1/1990,"",IF(Main[[#This Row],[Class]]="C",WORKDAY(Main[[#This Row],[Tech Start Date]],9),IF(Main[[#This Row],[Class]]="B", WORKDAY(Main[[#This Row],[Tech Start Date]],6),IF(Main[[#This Row],[Class]]="A",WORKDAY(Main[[#This Row],[Tech Start Date]],2),""))))</f>
        <v/>
      </c>
      <c r="N1346" s="113" t="str">
        <f>IF(Main[[#This Row],[Tech Start Date]]&lt;1/1/1990,"",IF(Main[[#This Row],[Class]]="C",WORKDAY(Main[[#This Row],[Tech Start Date]],19),IF(Main[[#This Row],[Class]]="B", WORKDAY(Main[[#This Row],[Tech Start Date]],12),IF(Main[[#This Row],[Class]]="A",WORKDAY(Main[[#This Row],[Tech Start Date]],4),""))))</f>
        <v/>
      </c>
      <c r="O1346" s="113" t="str">
        <f>IF(Main[[#This Row],[Tech Start Date]]&lt;1/1/1990,"",IF(Main[[#This Row],[Class]]="C",WORKDAY(Main[[#This Row],[Tech Start Date]],23),IF(Main[[#This Row],[Class]]="B", WORKDAY(Main[[#This Row],[Tech Start Date]],15),IF(Main[[#This Row],[Class]]="A",WORKDAY(Main[[#This Row],[Tech Start Date]],5),""))))</f>
        <v/>
      </c>
      <c r="P1346" s="113" t="str">
        <f>IF(Main[[#This Row],[Tech Start Date]]&lt;1/1/1990,"",IF(Main[[#This Row],[Class]]="C",WORKDAY(Main[[#This Row],[Tech Start Date]],28),IF(Main[[#This Row],[Class]]="B", WORKDAY(Main[[#This Row],[Tech Start Date]],19),IF(Main[[#This Row],[Class]]="A",WORKDAY(Main[[#This Row],[Tech Start Date]],9),""))))</f>
        <v/>
      </c>
      <c r="Q1346" s="110">
        <v>40939</v>
      </c>
      <c r="R1346" s="110">
        <v>40939</v>
      </c>
      <c r="S1346" s="108" t="s">
        <v>11</v>
      </c>
      <c r="T1346" s="114" t="s">
        <v>4</v>
      </c>
      <c r="U1346" s="108" t="s">
        <v>14</v>
      </c>
      <c r="V1346" s="108" t="s">
        <v>1932</v>
      </c>
      <c r="W1346" s="108" t="s">
        <v>1936</v>
      </c>
      <c r="X1346" s="108" t="s">
        <v>933</v>
      </c>
      <c r="Y1346" s="129" t="s">
        <v>3087</v>
      </c>
      <c r="Z1346" s="129" t="s">
        <v>129</v>
      </c>
      <c r="AA1346" s="147" t="s">
        <v>3668</v>
      </c>
    </row>
    <row r="1347" spans="1:27" ht="18.600000000000001" customHeight="1">
      <c r="A1347" s="143" t="str">
        <f>IF(priority(Main[[#This Row],[Comments]])&lt;&gt;0, priority(Main[[#This Row],[Comments]]),"")</f>
        <v/>
      </c>
      <c r="B1347" s="128" t="s">
        <v>1929</v>
      </c>
      <c r="C1347" s="72" t="s">
        <v>4</v>
      </c>
      <c r="D1347" s="73" t="s">
        <v>974</v>
      </c>
      <c r="E1347" s="74"/>
      <c r="F1347" s="74"/>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933</v>
      </c>
      <c r="J1347" s="72" t="s">
        <v>4</v>
      </c>
      <c r="K1347" s="72" t="s">
        <v>1944</v>
      </c>
      <c r="L1347" s="74">
        <v>40549</v>
      </c>
      <c r="M1347" s="77" t="str">
        <f>IF(Main[[#This Row],[Tech Start Date]]&lt;1/1/1990,"",IF(Main[[#This Row],[Class]]="C",WORKDAY(Main[[#This Row],[Tech Start Date]],9),IF(Main[[#This Row],[Class]]="B", WORKDAY(Main[[#This Row],[Tech Start Date]],6),IF(Main[[#This Row],[Class]]="A",WORKDAY(Main[[#This Row],[Tech Start Date]],2),""))))</f>
        <v/>
      </c>
      <c r="N1347" s="77" t="str">
        <f>IF(Main[[#This Row],[Tech Start Date]]&lt;1/1/1990,"",IF(Main[[#This Row],[Class]]="C",WORKDAY(Main[[#This Row],[Tech Start Date]],19),IF(Main[[#This Row],[Class]]="B", WORKDAY(Main[[#This Row],[Tech Start Date]],12),IF(Main[[#This Row],[Class]]="A",WORKDAY(Main[[#This Row],[Tech Start Date]],4),""))))</f>
        <v/>
      </c>
      <c r="O1347" s="77" t="str">
        <f>IF(Main[[#This Row],[Tech Start Date]]&lt;1/1/1990,"",IF(Main[[#This Row],[Class]]="C",WORKDAY(Main[[#This Row],[Tech Start Date]],23),IF(Main[[#This Row],[Class]]="B", WORKDAY(Main[[#This Row],[Tech Start Date]],15),IF(Main[[#This Row],[Class]]="A",WORKDAY(Main[[#This Row],[Tech Start Date]],5),""))))</f>
        <v/>
      </c>
      <c r="P1347" s="77" t="str">
        <f>IF(Main[[#This Row],[Tech Start Date]]&lt;1/1/1990,"",IF(Main[[#This Row],[Class]]="C",WORKDAY(Main[[#This Row],[Tech Start Date]],28),IF(Main[[#This Row],[Class]]="B", WORKDAY(Main[[#This Row],[Tech Start Date]],19),IF(Main[[#This Row],[Class]]="A",WORKDAY(Main[[#This Row],[Tech Start Date]],9),""))))</f>
        <v/>
      </c>
      <c r="Q1347" s="74">
        <v>40939</v>
      </c>
      <c r="R1347" s="74">
        <v>40939</v>
      </c>
      <c r="S1347" s="72" t="s">
        <v>11</v>
      </c>
      <c r="T1347" s="80" t="s">
        <v>4</v>
      </c>
      <c r="U1347" s="72" t="s">
        <v>14</v>
      </c>
      <c r="V1347" s="72" t="s">
        <v>1932</v>
      </c>
      <c r="W1347" s="72" t="s">
        <v>1936</v>
      </c>
      <c r="X1347" s="72" t="s">
        <v>933</v>
      </c>
      <c r="Y1347" s="129" t="s">
        <v>3087</v>
      </c>
      <c r="Z1347" s="129" t="s">
        <v>129</v>
      </c>
      <c r="AA1347" s="147" t="s">
        <v>3668</v>
      </c>
    </row>
    <row r="1348" spans="1:27" ht="18.600000000000001" customHeight="1">
      <c r="A1348" s="143" t="str">
        <f>IF(priority(Main[[#This Row],[Comments]])&lt;&gt;0, priority(Main[[#This Row],[Comments]]),"")</f>
        <v/>
      </c>
      <c r="B1348" s="128" t="s">
        <v>1884</v>
      </c>
      <c r="C1348" s="72" t="s">
        <v>4</v>
      </c>
      <c r="D1348" s="73" t="s">
        <v>2042</v>
      </c>
      <c r="E1348" s="74">
        <v>40478.350138888891</v>
      </c>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933</v>
      </c>
      <c r="J1348" s="72" t="s">
        <v>28</v>
      </c>
      <c r="K1348" s="72" t="s">
        <v>1944</v>
      </c>
      <c r="L1348" s="74">
        <v>40554</v>
      </c>
      <c r="M1348" s="77" t="str">
        <f>IF(Main[[#This Row],[Tech Start Date]]&lt;1/1/1990,"",IF(Main[[#This Row],[Class]]="C",WORKDAY(Main[[#This Row],[Tech Start Date]],9),IF(Main[[#This Row],[Class]]="B", WORKDAY(Main[[#This Row],[Tech Start Date]],6),IF(Main[[#This Row],[Class]]="A",WORKDAY(Main[[#This Row],[Tech Start Date]],2),""))))</f>
        <v/>
      </c>
      <c r="N1348" s="77" t="str">
        <f>IF(Main[[#This Row],[Tech Start Date]]&lt;1/1/1990,"",IF(Main[[#This Row],[Class]]="C",WORKDAY(Main[[#This Row],[Tech Start Date]],19),IF(Main[[#This Row],[Class]]="B", WORKDAY(Main[[#This Row],[Tech Start Date]],12),IF(Main[[#This Row],[Class]]="A",WORKDAY(Main[[#This Row],[Tech Start Date]],4),""))))</f>
        <v/>
      </c>
      <c r="O1348" s="77" t="str">
        <f>IF(Main[[#This Row],[Tech Start Date]]&lt;1/1/1990,"",IF(Main[[#This Row],[Class]]="C",WORKDAY(Main[[#This Row],[Tech Start Date]],23),IF(Main[[#This Row],[Class]]="B", WORKDAY(Main[[#This Row],[Tech Start Date]],15),IF(Main[[#This Row],[Class]]="A",WORKDAY(Main[[#This Row],[Tech Start Date]],5),""))))</f>
        <v/>
      </c>
      <c r="P1348" s="77" t="str">
        <f>IF(Main[[#This Row],[Tech Start Date]]&lt;1/1/1990,"",IF(Main[[#This Row],[Class]]="C",WORKDAY(Main[[#This Row],[Tech Start Date]],28),IF(Main[[#This Row],[Class]]="B", WORKDAY(Main[[#This Row],[Tech Start Date]],19),IF(Main[[#This Row],[Class]]="A",WORKDAY(Main[[#This Row],[Tech Start Date]],9),""))))</f>
        <v/>
      </c>
      <c r="Q1348" s="74">
        <v>40979</v>
      </c>
      <c r="R1348" s="74">
        <v>40979</v>
      </c>
      <c r="S1348" s="72" t="s">
        <v>17</v>
      </c>
      <c r="T1348" s="80" t="s">
        <v>934</v>
      </c>
      <c r="U1348" s="72" t="s">
        <v>29</v>
      </c>
      <c r="V1348" s="72" t="s">
        <v>1947</v>
      </c>
      <c r="W1348" s="72" t="s">
        <v>1936</v>
      </c>
      <c r="X1348" s="72" t="s">
        <v>933</v>
      </c>
      <c r="Y1348" s="129" t="s">
        <v>3077</v>
      </c>
      <c r="Z1348" s="129" t="s">
        <v>2237</v>
      </c>
      <c r="AA1348" s="147" t="s">
        <v>933</v>
      </c>
    </row>
    <row r="1349" spans="1:27" ht="18.600000000000001" customHeight="1">
      <c r="A1349" s="143" t="str">
        <f>IF(priority(Main[[#This Row],[Comments]])&lt;&gt;0, priority(Main[[#This Row],[Comments]]),"")</f>
        <v/>
      </c>
      <c r="B1349" s="128" t="s">
        <v>1886</v>
      </c>
      <c r="C1349" s="72" t="s">
        <v>4</v>
      </c>
      <c r="D1349" s="73" t="s">
        <v>936</v>
      </c>
      <c r="E1349" s="74"/>
      <c r="F1349" s="74"/>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30</v>
      </c>
      <c r="J1349" s="72" t="s">
        <v>52</v>
      </c>
      <c r="K1349" s="72" t="s">
        <v>1941</v>
      </c>
      <c r="L1349" s="74">
        <v>40589</v>
      </c>
      <c r="M1349" s="77">
        <f>IF(Main[[#This Row],[Tech Start Date]]&lt;1/1/1990,"",IF(Main[[#This Row],[Class]]="C",WORKDAY(Main[[#This Row],[Tech Start Date]],9),IF(Main[[#This Row],[Class]]="B", WORKDAY(Main[[#This Row],[Tech Start Date]],6),IF(Main[[#This Row],[Class]]="A",WORKDAY(Main[[#This Row],[Tech Start Date]],2),""))))</f>
        <v>40591</v>
      </c>
      <c r="N1349" s="77">
        <f>IF(Main[[#This Row],[Tech Start Date]]&lt;1/1/1990,"",IF(Main[[#This Row],[Class]]="C",WORKDAY(Main[[#This Row],[Tech Start Date]],19),IF(Main[[#This Row],[Class]]="B", WORKDAY(Main[[#This Row],[Tech Start Date]],12),IF(Main[[#This Row],[Class]]="A",WORKDAY(Main[[#This Row],[Tech Start Date]],4),""))))</f>
        <v>40595</v>
      </c>
      <c r="O1349" s="77">
        <f>IF(Main[[#This Row],[Tech Start Date]]&lt;1/1/1990,"",IF(Main[[#This Row],[Class]]="C",WORKDAY(Main[[#This Row],[Tech Start Date]],23),IF(Main[[#This Row],[Class]]="B", WORKDAY(Main[[#This Row],[Tech Start Date]],15),IF(Main[[#This Row],[Class]]="A",WORKDAY(Main[[#This Row],[Tech Start Date]],5),""))))</f>
        <v>40596</v>
      </c>
      <c r="P1349" s="77">
        <f>IF(Main[[#This Row],[Tech Start Date]]&lt;1/1/1990,"",IF(Main[[#This Row],[Class]]="C",WORKDAY(Main[[#This Row],[Tech Start Date]],28),IF(Main[[#This Row],[Class]]="B", WORKDAY(Main[[#This Row],[Tech Start Date]],19),IF(Main[[#This Row],[Class]]="A",WORKDAY(Main[[#This Row],[Tech Start Date]],9),""))))</f>
        <v>40602</v>
      </c>
      <c r="Q1349" s="74">
        <v>40592</v>
      </c>
      <c r="R1349" s="74">
        <v>40624</v>
      </c>
      <c r="S1349" s="72" t="s">
        <v>6</v>
      </c>
      <c r="T1349" s="80" t="s">
        <v>4</v>
      </c>
      <c r="U1349" s="72" t="s">
        <v>14</v>
      </c>
      <c r="V1349" s="72" t="s">
        <v>1935</v>
      </c>
      <c r="W1349" s="72" t="s">
        <v>1934</v>
      </c>
      <c r="X1349" s="72" t="s">
        <v>30</v>
      </c>
      <c r="Y1349" s="129" t="s">
        <v>3110</v>
      </c>
      <c r="Z1349" s="129" t="s">
        <v>30</v>
      </c>
      <c r="AA1349" s="147" t="s">
        <v>3642</v>
      </c>
    </row>
    <row r="1350" spans="1:27" ht="18.600000000000001" customHeight="1">
      <c r="A1350" s="143" t="str">
        <f>IF(priority(Main[[#This Row],[Comments]])&lt;&gt;0, priority(Main[[#This Row],[Comments]]),"")</f>
        <v/>
      </c>
      <c r="B1350" s="128" t="s">
        <v>1883</v>
      </c>
      <c r="C1350" s="72" t="s">
        <v>4</v>
      </c>
      <c r="D1350" s="73" t="s">
        <v>932</v>
      </c>
      <c r="E1350" s="74">
        <v>40590.540578703702</v>
      </c>
      <c r="F1350" s="74"/>
      <c r="G1350" s="75" t="str">
        <f>IF(stdProdLT(Main[[#This Row],[Comments]])=0.1,"N/A",IF(stdProdLT(Main[[#This Row],[Comments]])=0,"",stdProdLT(Main[[#This Row],[Comments]])))</f>
        <v/>
      </c>
      <c r="H1350" s="76" t="str">
        <f>IF(AND(Main[[#This Row],[In Stock Date]]&lt;&gt;"",Main[[#This Row],[Revised Due Date]]&lt;&gt;""),Main[[#This Row],[In Stock Date]]-Main[[#This Row],[Revised Due Date]],"")</f>
        <v/>
      </c>
      <c r="I1350" s="72" t="s">
        <v>4</v>
      </c>
      <c r="J1350" s="72" t="s">
        <v>28</v>
      </c>
      <c r="K1350" s="72" t="s">
        <v>1941</v>
      </c>
      <c r="L1350" s="74">
        <v>40590</v>
      </c>
      <c r="M1350" s="77">
        <f>IF(Main[[#This Row],[Tech Start Date]]&lt;1/1/1990,"",IF(Main[[#This Row],[Class]]="C",WORKDAY(Main[[#This Row],[Tech Start Date]],9),IF(Main[[#This Row],[Class]]="B", WORKDAY(Main[[#This Row],[Tech Start Date]],6),IF(Main[[#This Row],[Class]]="A",WORKDAY(Main[[#This Row],[Tech Start Date]],2),""))))</f>
        <v>40592</v>
      </c>
      <c r="N1350" s="77">
        <f>IF(Main[[#This Row],[Tech Start Date]]&lt;1/1/1990,"",IF(Main[[#This Row],[Class]]="C",WORKDAY(Main[[#This Row],[Tech Start Date]],19),IF(Main[[#This Row],[Class]]="B", WORKDAY(Main[[#This Row],[Tech Start Date]],12),IF(Main[[#This Row],[Class]]="A",WORKDAY(Main[[#This Row],[Tech Start Date]],4),""))))</f>
        <v>40596</v>
      </c>
      <c r="O1350" s="77">
        <f>IF(Main[[#This Row],[Tech Start Date]]&lt;1/1/1990,"",IF(Main[[#This Row],[Class]]="C",WORKDAY(Main[[#This Row],[Tech Start Date]],23),IF(Main[[#This Row],[Class]]="B", WORKDAY(Main[[#This Row],[Tech Start Date]],15),IF(Main[[#This Row],[Class]]="A",WORKDAY(Main[[#This Row],[Tech Start Date]],5),""))))</f>
        <v>40597</v>
      </c>
      <c r="P1350" s="77">
        <f>IF(Main[[#This Row],[Tech Start Date]]&lt;1/1/1990,"",IF(Main[[#This Row],[Class]]="C",WORKDAY(Main[[#This Row],[Tech Start Date]],28),IF(Main[[#This Row],[Class]]="B", WORKDAY(Main[[#This Row],[Tech Start Date]],19),IF(Main[[#This Row],[Class]]="A",WORKDAY(Main[[#This Row],[Tech Start Date]],9),""))))</f>
        <v>40603</v>
      </c>
      <c r="Q1350" s="74">
        <v>40618</v>
      </c>
      <c r="R1350" s="74">
        <v>40604</v>
      </c>
      <c r="S1350" s="72" t="s">
        <v>6</v>
      </c>
      <c r="T1350" s="80" t="s">
        <v>4</v>
      </c>
      <c r="U1350" s="72" t="s">
        <v>29</v>
      </c>
      <c r="V1350" s="72" t="s">
        <v>1932</v>
      </c>
      <c r="W1350" s="72" t="s">
        <v>1936</v>
      </c>
      <c r="X1350" s="72" t="s">
        <v>2927</v>
      </c>
      <c r="Y1350" s="129" t="s">
        <v>3060</v>
      </c>
      <c r="Z1350" s="129" t="s">
        <v>4</v>
      </c>
      <c r="AA1350" s="147" t="s">
        <v>2927</v>
      </c>
    </row>
    <row r="1351" spans="1:27" ht="18.600000000000001" customHeight="1">
      <c r="A1351" s="143" t="str">
        <f>IF(priority(Main[[#This Row],[Comments]])&lt;&gt;0, priority(Main[[#This Row],[Comments]]),"")</f>
        <v/>
      </c>
      <c r="B1351" s="128" t="s">
        <v>1887</v>
      </c>
      <c r="C1351" s="72" t="s">
        <v>4</v>
      </c>
      <c r="D1351" s="73" t="s">
        <v>2275</v>
      </c>
      <c r="E1351" s="74">
        <v>40577.592002314814</v>
      </c>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923</v>
      </c>
      <c r="J1351" s="72" t="s">
        <v>28</v>
      </c>
      <c r="K1351" s="81" t="s">
        <v>1941</v>
      </c>
      <c r="L1351" s="74">
        <v>40591</v>
      </c>
      <c r="M1351" s="77">
        <f>IF(Main[[#This Row],[Tech Start Date]]&lt;1/1/1990,"",IF(Main[[#This Row],[Class]]="C",WORKDAY(Main[[#This Row],[Tech Start Date]],9),IF(Main[[#This Row],[Class]]="B", WORKDAY(Main[[#This Row],[Tech Start Date]],6),IF(Main[[#This Row],[Class]]="A",WORKDAY(Main[[#This Row],[Tech Start Date]],2),""))))</f>
        <v>40595</v>
      </c>
      <c r="N1351" s="77">
        <f>IF(Main[[#This Row],[Tech Start Date]]&lt;1/1/1990,"",IF(Main[[#This Row],[Class]]="C",WORKDAY(Main[[#This Row],[Tech Start Date]],19),IF(Main[[#This Row],[Class]]="B", WORKDAY(Main[[#This Row],[Tech Start Date]],12),IF(Main[[#This Row],[Class]]="A",WORKDAY(Main[[#This Row],[Tech Start Date]],4),""))))</f>
        <v>40597</v>
      </c>
      <c r="O1351" s="77">
        <f>IF(Main[[#This Row],[Tech Start Date]]&lt;1/1/1990,"",IF(Main[[#This Row],[Class]]="C",WORKDAY(Main[[#This Row],[Tech Start Date]],23),IF(Main[[#This Row],[Class]]="B", WORKDAY(Main[[#This Row],[Tech Start Date]],15),IF(Main[[#This Row],[Class]]="A",WORKDAY(Main[[#This Row],[Tech Start Date]],5),""))))</f>
        <v>40598</v>
      </c>
      <c r="P1351" s="77">
        <f>IF(Main[[#This Row],[Tech Start Date]]&lt;1/1/1990,"",IF(Main[[#This Row],[Class]]="C",WORKDAY(Main[[#This Row],[Tech Start Date]],28),IF(Main[[#This Row],[Class]]="B", WORKDAY(Main[[#This Row],[Tech Start Date]],19),IF(Main[[#This Row],[Class]]="A",WORKDAY(Main[[#This Row],[Tech Start Date]],9),""))))</f>
        <v>40604</v>
      </c>
      <c r="Q1351" s="74">
        <v>40626</v>
      </c>
      <c r="R1351" s="74">
        <v>40626</v>
      </c>
      <c r="S1351" s="72" t="s">
        <v>6</v>
      </c>
      <c r="T1351" s="80" t="s">
        <v>4</v>
      </c>
      <c r="U1351" s="72" t="s">
        <v>29</v>
      </c>
      <c r="V1351" s="72" t="s">
        <v>1932</v>
      </c>
      <c r="W1351" s="72" t="s">
        <v>1934</v>
      </c>
      <c r="X1351" s="72" t="s">
        <v>403</v>
      </c>
      <c r="Y1351" s="129" t="s">
        <v>3205</v>
      </c>
      <c r="Z1351" s="129" t="s">
        <v>923</v>
      </c>
      <c r="AA1351" s="147" t="s">
        <v>3616</v>
      </c>
    </row>
    <row r="1352" spans="1:27" ht="18.600000000000001" customHeight="1">
      <c r="A1352" s="143" t="str">
        <f>IF(priority(Main[[#This Row],[Comments]])&lt;&gt;0, priority(Main[[#This Row],[Comments]]),"")</f>
        <v/>
      </c>
      <c r="B1352" s="128" t="s">
        <v>1910</v>
      </c>
      <c r="C1352" s="108" t="s">
        <v>959</v>
      </c>
      <c r="D1352" s="109" t="s">
        <v>1980</v>
      </c>
      <c r="E1352" s="110"/>
      <c r="F1352" s="110">
        <v>40709</v>
      </c>
      <c r="G1352" s="111" t="str">
        <f>IF(stdProdLT(Main[[#This Row],[Comments]])=0.1,"N/A",IF(stdProdLT(Main[[#This Row],[Comments]])=0,"",stdProdLT(Main[[#This Row],[Comments]])))</f>
        <v/>
      </c>
      <c r="H1352" s="112">
        <f>IF(AND(Main[[#This Row],[In Stock Date]]&lt;&gt;"",Main[[#This Row],[Revised Due Date]]&lt;&gt;""),Main[[#This Row],[In Stock Date]]-Main[[#This Row],[Revised Due Date]],"")</f>
        <v>-44</v>
      </c>
      <c r="I1352" s="108" t="s">
        <v>918</v>
      </c>
      <c r="J1352" s="108" t="s">
        <v>28</v>
      </c>
      <c r="K1352" s="108" t="s">
        <v>1939</v>
      </c>
      <c r="L1352" s="110">
        <v>40612</v>
      </c>
      <c r="M1352" s="113">
        <f>IF(Main[[#This Row],[Tech Start Date]]&lt;1/1/1990,"",IF(Main[[#This Row],[Class]]="C",WORKDAY(Main[[#This Row],[Tech Start Date]],9),IF(Main[[#This Row],[Class]]="B", WORKDAY(Main[[#This Row],[Tech Start Date]],6),IF(Main[[#This Row],[Class]]="A",WORKDAY(Main[[#This Row],[Tech Start Date]],2),""))))</f>
        <v>40620</v>
      </c>
      <c r="N1352" s="113">
        <f>IF(Main[[#This Row],[Tech Start Date]]&lt;1/1/1990,"",IF(Main[[#This Row],[Class]]="C",WORKDAY(Main[[#This Row],[Tech Start Date]],19),IF(Main[[#This Row],[Class]]="B", WORKDAY(Main[[#This Row],[Tech Start Date]],12),IF(Main[[#This Row],[Class]]="A",WORKDAY(Main[[#This Row],[Tech Start Date]],4),""))))</f>
        <v>40630</v>
      </c>
      <c r="O1352" s="113">
        <f>IF(Main[[#This Row],[Tech Start Date]]&lt;1/1/1990,"",IF(Main[[#This Row],[Class]]="C",WORKDAY(Main[[#This Row],[Tech Start Date]],23),IF(Main[[#This Row],[Class]]="B", WORKDAY(Main[[#This Row],[Tech Start Date]],15),IF(Main[[#This Row],[Class]]="A",WORKDAY(Main[[#This Row],[Tech Start Date]],5),""))))</f>
        <v>40633</v>
      </c>
      <c r="P1352" s="113">
        <f>IF(Main[[#This Row],[Tech Start Date]]&lt;1/1/1990,"",IF(Main[[#This Row],[Class]]="C",WORKDAY(Main[[#This Row],[Tech Start Date]],28),IF(Main[[#This Row],[Class]]="B", WORKDAY(Main[[#This Row],[Tech Start Date]],19),IF(Main[[#This Row],[Class]]="A",WORKDAY(Main[[#This Row],[Tech Start Date]],9),""))))</f>
        <v>40639</v>
      </c>
      <c r="Q1352" s="110"/>
      <c r="R1352" s="110">
        <v>40753</v>
      </c>
      <c r="S1352" s="108" t="s">
        <v>11</v>
      </c>
      <c r="T1352" s="114" t="s">
        <v>2022</v>
      </c>
      <c r="U1352" s="108" t="s">
        <v>14</v>
      </c>
      <c r="V1352" s="108" t="s">
        <v>1932</v>
      </c>
      <c r="W1352" s="108" t="s">
        <v>1937</v>
      </c>
      <c r="X1352" s="108" t="s">
        <v>50</v>
      </c>
      <c r="Y1352" s="129" t="s">
        <v>3244</v>
      </c>
      <c r="Z1352" s="129" t="s">
        <v>888</v>
      </c>
      <c r="AA1352" s="147" t="s">
        <v>3714</v>
      </c>
    </row>
    <row r="1353" spans="1:27" ht="18.600000000000001" customHeight="1">
      <c r="A1353" s="143" t="str">
        <f>IF(priority(Main[[#This Row],[Comments]])&lt;&gt;0, priority(Main[[#This Row],[Comments]]),"")</f>
        <v/>
      </c>
      <c r="B1353" s="128" t="s">
        <v>1914</v>
      </c>
      <c r="C1353" s="72" t="s">
        <v>961</v>
      </c>
      <c r="D1353" s="73" t="s">
        <v>962</v>
      </c>
      <c r="E1353" s="74"/>
      <c r="F1353" s="74">
        <v>40775</v>
      </c>
      <c r="G1353" s="75" t="str">
        <f>IF(stdProdLT(Main[[#This Row],[Comments]])=0.1,"N/A",IF(stdProdLT(Main[[#This Row],[Comments]])=0,"",stdProdLT(Main[[#This Row],[Comments]])))</f>
        <v/>
      </c>
      <c r="H1353" s="76">
        <f>IF(AND(Main[[#This Row],[In Stock Date]]&lt;&gt;"",Main[[#This Row],[Revised Due Date]]&lt;&gt;""),Main[[#This Row],[In Stock Date]]-Main[[#This Row],[Revised Due Date]],"")</f>
        <v>51</v>
      </c>
      <c r="I1353" s="72" t="s">
        <v>900</v>
      </c>
      <c r="J1353" s="72" t="s">
        <v>28</v>
      </c>
      <c r="K1353" s="81" t="s">
        <v>1944</v>
      </c>
      <c r="L1353" s="74">
        <v>40619</v>
      </c>
      <c r="M1353" s="77" t="str">
        <f>IF(Main[[#This Row],[Tech Start Date]]&lt;1/1/1990,"",IF(Main[[#This Row],[Class]]="C",WORKDAY(Main[[#This Row],[Tech Start Date]],9),IF(Main[[#This Row],[Class]]="B", WORKDAY(Main[[#This Row],[Tech Start Date]],6),IF(Main[[#This Row],[Class]]="A",WORKDAY(Main[[#This Row],[Tech Start Date]],2),""))))</f>
        <v/>
      </c>
      <c r="N1353" s="77" t="str">
        <f>IF(Main[[#This Row],[Tech Start Date]]&lt;1/1/1990,"",IF(Main[[#This Row],[Class]]="C",WORKDAY(Main[[#This Row],[Tech Start Date]],19),IF(Main[[#This Row],[Class]]="B", WORKDAY(Main[[#This Row],[Tech Start Date]],12),IF(Main[[#This Row],[Class]]="A",WORKDAY(Main[[#This Row],[Tech Start Date]],4),""))))</f>
        <v/>
      </c>
      <c r="O1353" s="77" t="str">
        <f>IF(Main[[#This Row],[Tech Start Date]]&lt;1/1/1990,"",IF(Main[[#This Row],[Class]]="C",WORKDAY(Main[[#This Row],[Tech Start Date]],23),IF(Main[[#This Row],[Class]]="B", WORKDAY(Main[[#This Row],[Tech Start Date]],15),IF(Main[[#This Row],[Class]]="A",WORKDAY(Main[[#This Row],[Tech Start Date]],5),""))))</f>
        <v/>
      </c>
      <c r="P1353" s="77" t="str">
        <f>IF(Main[[#This Row],[Tech Start Date]]&lt;1/1/1990,"",IF(Main[[#This Row],[Class]]="C",WORKDAY(Main[[#This Row],[Tech Start Date]],28),IF(Main[[#This Row],[Class]]="B", WORKDAY(Main[[#This Row],[Tech Start Date]],19),IF(Main[[#This Row],[Class]]="A",WORKDAY(Main[[#This Row],[Tech Start Date]],9),""))))</f>
        <v/>
      </c>
      <c r="Q1353" s="74">
        <v>40635</v>
      </c>
      <c r="R1353" s="74">
        <v>40724</v>
      </c>
      <c r="S1353" s="72" t="s">
        <v>11</v>
      </c>
      <c r="T1353" s="80" t="s">
        <v>4</v>
      </c>
      <c r="U1353" s="72" t="s">
        <v>14</v>
      </c>
      <c r="V1353" s="72" t="s">
        <v>1933</v>
      </c>
      <c r="W1353" s="72" t="s">
        <v>1940</v>
      </c>
      <c r="X1353" s="72" t="s">
        <v>2995</v>
      </c>
      <c r="Y1353" s="129" t="s">
        <v>4</v>
      </c>
      <c r="Z1353" s="129" t="s">
        <v>888</v>
      </c>
      <c r="AA1353" s="147" t="s">
        <v>2995</v>
      </c>
    </row>
    <row r="1354" spans="1:27" ht="18.600000000000001" customHeight="1">
      <c r="A1354" s="143" t="str">
        <f>IF(priority(Main[[#This Row],[Comments]])&lt;&gt;0, priority(Main[[#This Row],[Comments]]),"")</f>
        <v/>
      </c>
      <c r="B1354" s="128" t="s">
        <v>1906</v>
      </c>
      <c r="C1354" s="72" t="s">
        <v>116</v>
      </c>
      <c r="D1354" s="73" t="s">
        <v>955</v>
      </c>
      <c r="E1354" s="74"/>
      <c r="F1354" s="74">
        <v>40725</v>
      </c>
      <c r="G1354" s="75" t="str">
        <f>IF(stdProdLT(Main[[#This Row],[Comments]])=0.1,"N/A",IF(stdProdLT(Main[[#This Row],[Comments]])=0,"",stdProdLT(Main[[#This Row],[Comments]])))</f>
        <v/>
      </c>
      <c r="H1354" s="76">
        <f>IF(AND(Main[[#This Row],[In Stock Date]]&lt;&gt;"",Main[[#This Row],[Revised Due Date]]&lt;&gt;""),Main[[#This Row],[In Stock Date]]-Main[[#This Row],[Revised Due Date]],"")</f>
        <v>11</v>
      </c>
      <c r="I1354" s="72" t="s">
        <v>173</v>
      </c>
      <c r="J1354" s="72" t="s">
        <v>28</v>
      </c>
      <c r="K1354" s="72" t="s">
        <v>1941</v>
      </c>
      <c r="L1354" s="74">
        <v>40623</v>
      </c>
      <c r="M1354" s="77">
        <f>IF(Main[[#This Row],[Tech Start Date]]&lt;1/1/1990,"",IF(Main[[#This Row],[Class]]="C",WORKDAY(Main[[#This Row],[Tech Start Date]],9),IF(Main[[#This Row],[Class]]="B", WORKDAY(Main[[#This Row],[Tech Start Date]],6),IF(Main[[#This Row],[Class]]="A",WORKDAY(Main[[#This Row],[Tech Start Date]],2),""))))</f>
        <v>40625</v>
      </c>
      <c r="N1354" s="77">
        <f>IF(Main[[#This Row],[Tech Start Date]]&lt;1/1/1990,"",IF(Main[[#This Row],[Class]]="C",WORKDAY(Main[[#This Row],[Tech Start Date]],19),IF(Main[[#This Row],[Class]]="B", WORKDAY(Main[[#This Row],[Tech Start Date]],12),IF(Main[[#This Row],[Class]]="A",WORKDAY(Main[[#This Row],[Tech Start Date]],4),""))))</f>
        <v>40627</v>
      </c>
      <c r="O1354" s="77">
        <f>IF(Main[[#This Row],[Tech Start Date]]&lt;1/1/1990,"",IF(Main[[#This Row],[Class]]="C",WORKDAY(Main[[#This Row],[Tech Start Date]],23),IF(Main[[#This Row],[Class]]="B", WORKDAY(Main[[#This Row],[Tech Start Date]],15),IF(Main[[#This Row],[Class]]="A",WORKDAY(Main[[#This Row],[Tech Start Date]],5),""))))</f>
        <v>40630</v>
      </c>
      <c r="P1354" s="77">
        <f>IF(Main[[#This Row],[Tech Start Date]]&lt;1/1/1990,"",IF(Main[[#This Row],[Class]]="C",WORKDAY(Main[[#This Row],[Tech Start Date]],28),IF(Main[[#This Row],[Class]]="B", WORKDAY(Main[[#This Row],[Tech Start Date]],19),IF(Main[[#This Row],[Class]]="A",WORKDAY(Main[[#This Row],[Tech Start Date]],9),""))))</f>
        <v>40634</v>
      </c>
      <c r="Q1354" s="74">
        <v>40714</v>
      </c>
      <c r="R1354" s="74">
        <v>40714</v>
      </c>
      <c r="S1354" s="72" t="s">
        <v>11</v>
      </c>
      <c r="T1354" s="80" t="s">
        <v>956</v>
      </c>
      <c r="U1354" s="72" t="s">
        <v>14</v>
      </c>
      <c r="V1354" s="72" t="s">
        <v>1935</v>
      </c>
      <c r="W1354" s="72" t="s">
        <v>1937</v>
      </c>
      <c r="X1354" s="72" t="s">
        <v>2936</v>
      </c>
      <c r="Y1354" s="129" t="s">
        <v>3160</v>
      </c>
      <c r="Z1354" s="129" t="s">
        <v>173</v>
      </c>
      <c r="AA1354" s="147" t="s">
        <v>2936</v>
      </c>
    </row>
    <row r="1355" spans="1:27" ht="18.600000000000001" customHeight="1">
      <c r="A1355" s="143" t="str">
        <f>IF(priority(Main[[#This Row],[Comments]])&lt;&gt;0, priority(Main[[#This Row],[Comments]]),"")</f>
        <v/>
      </c>
      <c r="B1355" s="128" t="s">
        <v>1451</v>
      </c>
      <c r="C1355" s="72" t="s">
        <v>4</v>
      </c>
      <c r="D1355" s="73" t="s">
        <v>519</v>
      </c>
      <c r="E1355" s="74">
        <v>40623.553414351853</v>
      </c>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30</v>
      </c>
      <c r="J1355" s="72" t="s">
        <v>21</v>
      </c>
      <c r="K1355" s="72" t="s">
        <v>1941</v>
      </c>
      <c r="L1355" s="74">
        <v>40623</v>
      </c>
      <c r="M1355" s="77">
        <f>IF(Main[[#This Row],[Tech Start Date]]&lt;1/1/1990,"",IF(Main[[#This Row],[Class]]="C",WORKDAY(Main[[#This Row],[Tech Start Date]],9),IF(Main[[#This Row],[Class]]="B", WORKDAY(Main[[#This Row],[Tech Start Date]],6),IF(Main[[#This Row],[Class]]="A",WORKDAY(Main[[#This Row],[Tech Start Date]],2),""))))</f>
        <v>40625</v>
      </c>
      <c r="N1355" s="77">
        <f>IF(Main[[#This Row],[Tech Start Date]]&lt;1/1/1990,"",IF(Main[[#This Row],[Class]]="C",WORKDAY(Main[[#This Row],[Tech Start Date]],19),IF(Main[[#This Row],[Class]]="B", WORKDAY(Main[[#This Row],[Tech Start Date]],12),IF(Main[[#This Row],[Class]]="A",WORKDAY(Main[[#This Row],[Tech Start Date]],4),""))))</f>
        <v>40627</v>
      </c>
      <c r="O1355" s="77">
        <f>IF(Main[[#This Row],[Tech Start Date]]&lt;1/1/1990,"",IF(Main[[#This Row],[Class]]="C",WORKDAY(Main[[#This Row],[Tech Start Date]],23),IF(Main[[#This Row],[Class]]="B", WORKDAY(Main[[#This Row],[Tech Start Date]],15),IF(Main[[#This Row],[Class]]="A",WORKDAY(Main[[#This Row],[Tech Start Date]],5),""))))</f>
        <v>40630</v>
      </c>
      <c r="P1355" s="77">
        <f>IF(Main[[#This Row],[Tech Start Date]]&lt;1/1/1990,"",IF(Main[[#This Row],[Class]]="C",WORKDAY(Main[[#This Row],[Tech Start Date]],28),IF(Main[[#This Row],[Class]]="B", WORKDAY(Main[[#This Row],[Tech Start Date]],19),IF(Main[[#This Row],[Class]]="A",WORKDAY(Main[[#This Row],[Tech Start Date]],9),""))))</f>
        <v>40634</v>
      </c>
      <c r="Q1355" s="74">
        <v>40662</v>
      </c>
      <c r="R1355" s="74"/>
      <c r="S1355" s="72" t="s">
        <v>6</v>
      </c>
      <c r="T1355" s="80" t="s">
        <v>4</v>
      </c>
      <c r="U1355" s="72" t="s">
        <v>29</v>
      </c>
      <c r="V1355" s="72" t="s">
        <v>1942</v>
      </c>
      <c r="W1355" s="72" t="s">
        <v>1936</v>
      </c>
      <c r="X1355" s="72" t="s">
        <v>30</v>
      </c>
      <c r="Y1355" s="129" t="s">
        <v>3052</v>
      </c>
      <c r="Z1355" s="129" t="s">
        <v>30</v>
      </c>
      <c r="AA1355" s="147" t="s">
        <v>30</v>
      </c>
    </row>
    <row r="1356" spans="1:27" ht="18.600000000000001" customHeight="1">
      <c r="A1356" s="143" t="str">
        <f>IF(priority(Main[[#This Row],[Comments]])&lt;&gt;0, priority(Main[[#This Row],[Comments]]),"")</f>
        <v/>
      </c>
      <c r="B1356" s="128" t="s">
        <v>1892</v>
      </c>
      <c r="C1356" s="108" t="s">
        <v>31</v>
      </c>
      <c r="D1356" s="109" t="s">
        <v>938</v>
      </c>
      <c r="E1356" s="110"/>
      <c r="F1356" s="110">
        <v>40725</v>
      </c>
      <c r="G1356" s="111" t="str">
        <f>IF(stdProdLT(Main[[#This Row],[Comments]])=0.1,"N/A",IF(stdProdLT(Main[[#This Row],[Comments]])=0,"",stdProdLT(Main[[#This Row],[Comments]])))</f>
        <v/>
      </c>
      <c r="H1356" s="112">
        <f>IF(AND(Main[[#This Row],[In Stock Date]]&lt;&gt;"",Main[[#This Row],[Revised Due Date]]&lt;&gt;""),Main[[#This Row],[In Stock Date]]-Main[[#This Row],[Revised Due Date]],"")</f>
        <v>66</v>
      </c>
      <c r="I1356" s="108" t="s">
        <v>173</v>
      </c>
      <c r="J1356" s="108" t="s">
        <v>28</v>
      </c>
      <c r="K1356" s="145" t="s">
        <v>1941</v>
      </c>
      <c r="L1356" s="110">
        <v>40623</v>
      </c>
      <c r="M1356" s="113">
        <f>IF(Main[[#This Row],[Tech Start Date]]&lt;1/1/1990,"",IF(Main[[#This Row],[Class]]="C",WORKDAY(Main[[#This Row],[Tech Start Date]],9),IF(Main[[#This Row],[Class]]="B", WORKDAY(Main[[#This Row],[Tech Start Date]],6),IF(Main[[#This Row],[Class]]="A",WORKDAY(Main[[#This Row],[Tech Start Date]],2),""))))</f>
        <v>40625</v>
      </c>
      <c r="N1356" s="113">
        <f>IF(Main[[#This Row],[Tech Start Date]]&lt;1/1/1990,"",IF(Main[[#This Row],[Class]]="C",WORKDAY(Main[[#This Row],[Tech Start Date]],19),IF(Main[[#This Row],[Class]]="B", WORKDAY(Main[[#This Row],[Tech Start Date]],12),IF(Main[[#This Row],[Class]]="A",WORKDAY(Main[[#This Row],[Tech Start Date]],4),""))))</f>
        <v>40627</v>
      </c>
      <c r="O1356" s="113">
        <f>IF(Main[[#This Row],[Tech Start Date]]&lt;1/1/1990,"",IF(Main[[#This Row],[Class]]="C",WORKDAY(Main[[#This Row],[Tech Start Date]],23),IF(Main[[#This Row],[Class]]="B", WORKDAY(Main[[#This Row],[Tech Start Date]],15),IF(Main[[#This Row],[Class]]="A",WORKDAY(Main[[#This Row],[Tech Start Date]],5),""))))</f>
        <v>40630</v>
      </c>
      <c r="P1356" s="113">
        <f>IF(Main[[#This Row],[Tech Start Date]]&lt;1/1/1990,"",IF(Main[[#This Row],[Class]]="C",WORKDAY(Main[[#This Row],[Tech Start Date]],28),IF(Main[[#This Row],[Class]]="B", WORKDAY(Main[[#This Row],[Tech Start Date]],19),IF(Main[[#This Row],[Class]]="A",WORKDAY(Main[[#This Row],[Tech Start Date]],9),""))))</f>
        <v>40634</v>
      </c>
      <c r="Q1356" s="110">
        <v>40659</v>
      </c>
      <c r="R1356" s="110">
        <v>40659</v>
      </c>
      <c r="S1356" s="108" t="s">
        <v>11</v>
      </c>
      <c r="T1356" s="114" t="s">
        <v>4</v>
      </c>
      <c r="U1356" s="108" t="s">
        <v>14</v>
      </c>
      <c r="V1356" s="108" t="s">
        <v>1935</v>
      </c>
      <c r="W1356" s="108" t="s">
        <v>1938</v>
      </c>
      <c r="X1356" s="108" t="s">
        <v>2936</v>
      </c>
      <c r="Y1356" s="129" t="s">
        <v>3160</v>
      </c>
      <c r="Z1356" s="129" t="s">
        <v>173</v>
      </c>
      <c r="AA1356" s="147" t="s">
        <v>2936</v>
      </c>
    </row>
    <row r="1357" spans="1:27" ht="18.600000000000001" customHeight="1">
      <c r="A1357" s="143" t="str">
        <f>IF(priority(Main[[#This Row],[Comments]])&lt;&gt;0, priority(Main[[#This Row],[Comments]]),"")</f>
        <v/>
      </c>
      <c r="B1357" s="128" t="s">
        <v>1894</v>
      </c>
      <c r="C1357" s="72" t="s">
        <v>4</v>
      </c>
      <c r="D1357" s="73" t="s">
        <v>940</v>
      </c>
      <c r="E1357" s="74">
        <v>40624.55673611111</v>
      </c>
      <c r="F1357" s="74"/>
      <c r="G1357" s="75" t="str">
        <f>IF(stdProdLT(Main[[#This Row],[Comments]])=0.1,"N/A",IF(stdProdLT(Main[[#This Row],[Comments]])=0,"",stdProdLT(Main[[#This Row],[Comments]])))</f>
        <v/>
      </c>
      <c r="H1357" s="76" t="str">
        <f>IF(AND(Main[[#This Row],[In Stock Date]]&lt;&gt;"",Main[[#This Row],[Revised Due Date]]&lt;&gt;""),Main[[#This Row],[In Stock Date]]-Main[[#This Row],[Revised Due Date]],"")</f>
        <v/>
      </c>
      <c r="I1357" s="72" t="s">
        <v>242</v>
      </c>
      <c r="J1357" s="72" t="s">
        <v>28</v>
      </c>
      <c r="K1357" s="72" t="s">
        <v>1941</v>
      </c>
      <c r="L1357" s="74">
        <v>40638</v>
      </c>
      <c r="M1357" s="77">
        <f>IF(Main[[#This Row],[Tech Start Date]]&lt;1/1/1990,"",IF(Main[[#This Row],[Class]]="C",WORKDAY(Main[[#This Row],[Tech Start Date]],9),IF(Main[[#This Row],[Class]]="B", WORKDAY(Main[[#This Row],[Tech Start Date]],6),IF(Main[[#This Row],[Class]]="A",WORKDAY(Main[[#This Row],[Tech Start Date]],2),""))))</f>
        <v>40640</v>
      </c>
      <c r="N1357" s="77">
        <f>IF(Main[[#This Row],[Tech Start Date]]&lt;1/1/1990,"",IF(Main[[#This Row],[Class]]="C",WORKDAY(Main[[#This Row],[Tech Start Date]],19),IF(Main[[#This Row],[Class]]="B", WORKDAY(Main[[#This Row],[Tech Start Date]],12),IF(Main[[#This Row],[Class]]="A",WORKDAY(Main[[#This Row],[Tech Start Date]],4),""))))</f>
        <v>40644</v>
      </c>
      <c r="O1357" s="77">
        <f>IF(Main[[#This Row],[Tech Start Date]]&lt;1/1/1990,"",IF(Main[[#This Row],[Class]]="C",WORKDAY(Main[[#This Row],[Tech Start Date]],23),IF(Main[[#This Row],[Class]]="B", WORKDAY(Main[[#This Row],[Tech Start Date]],15),IF(Main[[#This Row],[Class]]="A",WORKDAY(Main[[#This Row],[Tech Start Date]],5),""))))</f>
        <v>40645</v>
      </c>
      <c r="P1357" s="77">
        <f>IF(Main[[#This Row],[Tech Start Date]]&lt;1/1/1990,"",IF(Main[[#This Row],[Class]]="C",WORKDAY(Main[[#This Row],[Tech Start Date]],28),IF(Main[[#This Row],[Class]]="B", WORKDAY(Main[[#This Row],[Tech Start Date]],19),IF(Main[[#This Row],[Class]]="A",WORKDAY(Main[[#This Row],[Tech Start Date]],9),""))))</f>
        <v>40651</v>
      </c>
      <c r="Q1357" s="74"/>
      <c r="R1357" s="74">
        <v>40675</v>
      </c>
      <c r="S1357" s="72" t="s">
        <v>6</v>
      </c>
      <c r="T1357" s="80" t="s">
        <v>4</v>
      </c>
      <c r="U1357" s="72" t="s">
        <v>29</v>
      </c>
      <c r="V1357" s="72" t="s">
        <v>1935</v>
      </c>
      <c r="W1357" s="72" t="s">
        <v>1936</v>
      </c>
      <c r="X1357" s="72" t="s">
        <v>3011</v>
      </c>
      <c r="Y1357" s="129" t="s">
        <v>3245</v>
      </c>
      <c r="Z1357" s="129" t="s">
        <v>30</v>
      </c>
      <c r="AA1357" s="147" t="s">
        <v>3011</v>
      </c>
    </row>
    <row r="1358" spans="1:27" ht="18.600000000000001" customHeight="1">
      <c r="A1358" s="143" t="str">
        <f>IF(priority(Main[[#This Row],[Comments]])&lt;&gt;0, priority(Main[[#This Row],[Comments]]),"")</f>
        <v/>
      </c>
      <c r="B1358" s="128" t="s">
        <v>1890</v>
      </c>
      <c r="C1358" s="108" t="s">
        <v>4</v>
      </c>
      <c r="D1358" s="109" t="s">
        <v>2653</v>
      </c>
      <c r="E1358" s="110">
        <v>40627.819594907407</v>
      </c>
      <c r="F1358" s="110"/>
      <c r="G1358" s="111" t="str">
        <f>IF(stdProdLT(Main[[#This Row],[Comments]])=0.1,"N/A",IF(stdProdLT(Main[[#This Row],[Comments]])=0,"",stdProdLT(Main[[#This Row],[Comments]])))</f>
        <v/>
      </c>
      <c r="H1358" s="112" t="str">
        <f>IF(AND(Main[[#This Row],[In Stock Date]]&lt;&gt;"",Main[[#This Row],[Revised Due Date]]&lt;&gt;""),Main[[#This Row],[In Stock Date]]-Main[[#This Row],[Revised Due Date]],"")</f>
        <v/>
      </c>
      <c r="I1358" s="108" t="s">
        <v>30</v>
      </c>
      <c r="J1358" s="108" t="s">
        <v>75</v>
      </c>
      <c r="K1358" s="108" t="s">
        <v>1941</v>
      </c>
      <c r="L1358" s="110">
        <v>40639</v>
      </c>
      <c r="M1358" s="113">
        <f>IF(Main[[#This Row],[Tech Start Date]]&lt;1/1/1990,"",IF(Main[[#This Row],[Class]]="C",WORKDAY(Main[[#This Row],[Tech Start Date]],9),IF(Main[[#This Row],[Class]]="B", WORKDAY(Main[[#This Row],[Tech Start Date]],6),IF(Main[[#This Row],[Class]]="A",WORKDAY(Main[[#This Row],[Tech Start Date]],2),""))))</f>
        <v>40641</v>
      </c>
      <c r="N1358" s="113">
        <f>IF(Main[[#This Row],[Tech Start Date]]&lt;1/1/1990,"",IF(Main[[#This Row],[Class]]="C",WORKDAY(Main[[#This Row],[Tech Start Date]],19),IF(Main[[#This Row],[Class]]="B", WORKDAY(Main[[#This Row],[Tech Start Date]],12),IF(Main[[#This Row],[Class]]="A",WORKDAY(Main[[#This Row],[Tech Start Date]],4),""))))</f>
        <v>40645</v>
      </c>
      <c r="O1358" s="113">
        <f>IF(Main[[#This Row],[Tech Start Date]]&lt;1/1/1990,"",IF(Main[[#This Row],[Class]]="C",WORKDAY(Main[[#This Row],[Tech Start Date]],23),IF(Main[[#This Row],[Class]]="B", WORKDAY(Main[[#This Row],[Tech Start Date]],15),IF(Main[[#This Row],[Class]]="A",WORKDAY(Main[[#This Row],[Tech Start Date]],5),""))))</f>
        <v>40646</v>
      </c>
      <c r="P1358" s="113">
        <f>IF(Main[[#This Row],[Tech Start Date]]&lt;1/1/1990,"",IF(Main[[#This Row],[Class]]="C",WORKDAY(Main[[#This Row],[Tech Start Date]],28),IF(Main[[#This Row],[Class]]="B", WORKDAY(Main[[#This Row],[Tech Start Date]],19),IF(Main[[#This Row],[Class]]="A",WORKDAY(Main[[#This Row],[Tech Start Date]],9),""))))</f>
        <v>40652</v>
      </c>
      <c r="Q1358" s="110">
        <v>40659</v>
      </c>
      <c r="R1358" s="110">
        <v>40646</v>
      </c>
      <c r="S1358" s="108" t="s">
        <v>6</v>
      </c>
      <c r="T1358" s="114" t="s">
        <v>4</v>
      </c>
      <c r="U1358" s="108" t="s">
        <v>29</v>
      </c>
      <c r="V1358" s="108" t="s">
        <v>1935</v>
      </c>
      <c r="W1358" s="108" t="s">
        <v>1936</v>
      </c>
      <c r="X1358" s="108" t="s">
        <v>30</v>
      </c>
      <c r="Y1358" s="129" t="s">
        <v>3052</v>
      </c>
      <c r="Z1358" s="129" t="s">
        <v>30</v>
      </c>
      <c r="AA1358" s="147" t="s">
        <v>30</v>
      </c>
    </row>
    <row r="1359" spans="1:27" ht="18.600000000000001" customHeight="1">
      <c r="A1359" s="143" t="str">
        <f>IF(priority(Main[[#This Row],[Comments]])&lt;&gt;0, priority(Main[[#This Row],[Comments]]),"")</f>
        <v/>
      </c>
      <c r="B1359" s="128" t="s">
        <v>1896</v>
      </c>
      <c r="C1359" s="129" t="s">
        <v>4</v>
      </c>
      <c r="D1359" s="161" t="s">
        <v>942</v>
      </c>
      <c r="E1359" s="163"/>
      <c r="F1359" s="163"/>
      <c r="G1359" s="165" t="str">
        <f>IF(stdProdLT(Main[[#This Row],[Comments]])=0.1,"N/A",IF(stdProdLT(Main[[#This Row],[Comments]])=0,"",stdProdLT(Main[[#This Row],[Comments]])))</f>
        <v/>
      </c>
      <c r="H1359" s="167" t="str">
        <f>IF(AND(Main[[#This Row],[In Stock Date]]&lt;&gt;"",Main[[#This Row],[Revised Due Date]]&lt;&gt;""),Main[[#This Row],[In Stock Date]]-Main[[#This Row],[Revised Due Date]],"")</f>
        <v/>
      </c>
      <c r="I1359" s="129" t="s">
        <v>44</v>
      </c>
      <c r="J1359" s="129" t="s">
        <v>28</v>
      </c>
      <c r="K1359" s="129" t="s">
        <v>1941</v>
      </c>
      <c r="L1359" s="163">
        <v>40651</v>
      </c>
      <c r="M1359" s="170">
        <f>IF(Main[[#This Row],[Tech Start Date]]&lt;1/1/1990,"",IF(Main[[#This Row],[Class]]="C",WORKDAY(Main[[#This Row],[Tech Start Date]],9),IF(Main[[#This Row],[Class]]="B", WORKDAY(Main[[#This Row],[Tech Start Date]],6),IF(Main[[#This Row],[Class]]="A",WORKDAY(Main[[#This Row],[Tech Start Date]],2),""))))</f>
        <v>40653</v>
      </c>
      <c r="N1359" s="170">
        <f>IF(Main[[#This Row],[Tech Start Date]]&lt;1/1/1990,"",IF(Main[[#This Row],[Class]]="C",WORKDAY(Main[[#This Row],[Tech Start Date]],19),IF(Main[[#This Row],[Class]]="B", WORKDAY(Main[[#This Row],[Tech Start Date]],12),IF(Main[[#This Row],[Class]]="A",WORKDAY(Main[[#This Row],[Tech Start Date]],4),""))))</f>
        <v>40655</v>
      </c>
      <c r="O1359" s="170">
        <f>IF(Main[[#This Row],[Tech Start Date]]&lt;1/1/1990,"",IF(Main[[#This Row],[Class]]="C",WORKDAY(Main[[#This Row],[Tech Start Date]],23),IF(Main[[#This Row],[Class]]="B", WORKDAY(Main[[#This Row],[Tech Start Date]],15),IF(Main[[#This Row],[Class]]="A",WORKDAY(Main[[#This Row],[Tech Start Date]],5),""))))</f>
        <v>40658</v>
      </c>
      <c r="P1359" s="170">
        <f>IF(Main[[#This Row],[Tech Start Date]]&lt;1/1/1990,"",IF(Main[[#This Row],[Class]]="C",WORKDAY(Main[[#This Row],[Tech Start Date]],28),IF(Main[[#This Row],[Class]]="B", WORKDAY(Main[[#This Row],[Tech Start Date]],19),IF(Main[[#This Row],[Class]]="A",WORKDAY(Main[[#This Row],[Tech Start Date]],9),""))))</f>
        <v>40662</v>
      </c>
      <c r="Q1359" s="163">
        <v>40494</v>
      </c>
      <c r="R1359" s="163">
        <v>40689</v>
      </c>
      <c r="S1359" s="129" t="s">
        <v>6</v>
      </c>
      <c r="T1359" s="174" t="s">
        <v>4</v>
      </c>
      <c r="U1359" s="129" t="s">
        <v>14</v>
      </c>
      <c r="V1359" s="129" t="s">
        <v>1935</v>
      </c>
      <c r="W1359" s="129" t="s">
        <v>1936</v>
      </c>
      <c r="X1359" s="129" t="s">
        <v>2910</v>
      </c>
      <c r="Y1359" s="129" t="s">
        <v>3027</v>
      </c>
      <c r="Z1359" s="129" t="s">
        <v>44</v>
      </c>
      <c r="AA1359" s="147" t="s">
        <v>2910</v>
      </c>
    </row>
    <row r="1360" spans="1:27" ht="18.600000000000001" customHeight="1">
      <c r="A1360" s="143" t="str">
        <f>IF(priority(Main[[#This Row],[Comments]])&lt;&gt;0, priority(Main[[#This Row],[Comments]]),"")</f>
        <v/>
      </c>
      <c r="B1360" s="128" t="s">
        <v>1897</v>
      </c>
      <c r="C1360" s="129" t="s">
        <v>4</v>
      </c>
      <c r="D1360" s="161" t="s">
        <v>2160</v>
      </c>
      <c r="E1360" s="163"/>
      <c r="F1360" s="163"/>
      <c r="G1360" s="165" t="str">
        <f>IF(stdProdLT(Main[[#This Row],[Comments]])=0.1,"N/A",IF(stdProdLT(Main[[#This Row],[Comments]])=0,"",stdProdLT(Main[[#This Row],[Comments]])))</f>
        <v/>
      </c>
      <c r="H1360" s="167" t="str">
        <f>IF(AND(Main[[#This Row],[In Stock Date]]&lt;&gt;"",Main[[#This Row],[Revised Due Date]]&lt;&gt;""),Main[[#This Row],[In Stock Date]]-Main[[#This Row],[Revised Due Date]],"")</f>
        <v/>
      </c>
      <c r="I1360" s="129" t="s">
        <v>310</v>
      </c>
      <c r="J1360" s="129" t="s">
        <v>75</v>
      </c>
      <c r="K1360" s="168" t="s">
        <v>1941</v>
      </c>
      <c r="L1360" s="163">
        <v>40651</v>
      </c>
      <c r="M1360" s="170">
        <f>IF(Main[[#This Row],[Tech Start Date]]&lt;1/1/1990,"",IF(Main[[#This Row],[Class]]="C",WORKDAY(Main[[#This Row],[Tech Start Date]],9),IF(Main[[#This Row],[Class]]="B", WORKDAY(Main[[#This Row],[Tech Start Date]],6),IF(Main[[#This Row],[Class]]="A",WORKDAY(Main[[#This Row],[Tech Start Date]],2),""))))</f>
        <v>40653</v>
      </c>
      <c r="N1360" s="170">
        <f>IF(Main[[#This Row],[Tech Start Date]]&lt;1/1/1990,"",IF(Main[[#This Row],[Class]]="C",WORKDAY(Main[[#This Row],[Tech Start Date]],19),IF(Main[[#This Row],[Class]]="B", WORKDAY(Main[[#This Row],[Tech Start Date]],12),IF(Main[[#This Row],[Class]]="A",WORKDAY(Main[[#This Row],[Tech Start Date]],4),""))))</f>
        <v>40655</v>
      </c>
      <c r="O1360" s="170">
        <f>IF(Main[[#This Row],[Tech Start Date]]&lt;1/1/1990,"",IF(Main[[#This Row],[Class]]="C",WORKDAY(Main[[#This Row],[Tech Start Date]],23),IF(Main[[#This Row],[Class]]="B", WORKDAY(Main[[#This Row],[Tech Start Date]],15),IF(Main[[#This Row],[Class]]="A",WORKDAY(Main[[#This Row],[Tech Start Date]],5),""))))</f>
        <v>40658</v>
      </c>
      <c r="P1360" s="170">
        <f>IF(Main[[#This Row],[Tech Start Date]]&lt;1/1/1990,"",IF(Main[[#This Row],[Class]]="C",WORKDAY(Main[[#This Row],[Tech Start Date]],28),IF(Main[[#This Row],[Class]]="B", WORKDAY(Main[[#This Row],[Tech Start Date]],19),IF(Main[[#This Row],[Class]]="A",WORKDAY(Main[[#This Row],[Tech Start Date]],9),""))))</f>
        <v>40662</v>
      </c>
      <c r="Q1360" s="163">
        <v>40480</v>
      </c>
      <c r="R1360" s="163">
        <v>40689</v>
      </c>
      <c r="S1360" s="129" t="s">
        <v>6</v>
      </c>
      <c r="T1360" s="174" t="s">
        <v>4</v>
      </c>
      <c r="U1360" s="129" t="s">
        <v>14</v>
      </c>
      <c r="V1360" s="129" t="s">
        <v>1942</v>
      </c>
      <c r="W1360" s="129" t="s">
        <v>1936</v>
      </c>
      <c r="X1360" s="129" t="s">
        <v>2909</v>
      </c>
      <c r="Y1360" s="129" t="s">
        <v>3024</v>
      </c>
      <c r="Z1360" s="129" t="s">
        <v>30</v>
      </c>
      <c r="AA1360" s="147" t="s">
        <v>2909</v>
      </c>
    </row>
    <row r="1361" spans="1:27" ht="18.600000000000001" customHeight="1">
      <c r="A1361" s="143" t="str">
        <f>IF(priority(Main[[#This Row],[Comments]])&lt;&gt;0, priority(Main[[#This Row],[Comments]]),"")</f>
        <v/>
      </c>
      <c r="B1361" s="128" t="s">
        <v>1895</v>
      </c>
      <c r="C1361" s="129" t="s">
        <v>4</v>
      </c>
      <c r="D1361" s="161" t="s">
        <v>941</v>
      </c>
      <c r="E1361" s="163"/>
      <c r="F1361" s="163"/>
      <c r="G1361" s="165" t="str">
        <f>IF(stdProdLT(Main[[#This Row],[Comments]])=0.1,"N/A",IF(stdProdLT(Main[[#This Row],[Comments]])=0,"",stdProdLT(Main[[#This Row],[Comments]])))</f>
        <v/>
      </c>
      <c r="H1361" s="167" t="str">
        <f>IF(AND(Main[[#This Row],[In Stock Date]]&lt;&gt;"",Main[[#This Row],[Revised Due Date]]&lt;&gt;""),Main[[#This Row],[In Stock Date]]-Main[[#This Row],[Revised Due Date]],"")</f>
        <v/>
      </c>
      <c r="I1361" s="129" t="s">
        <v>131</v>
      </c>
      <c r="J1361" s="129" t="s">
        <v>70</v>
      </c>
      <c r="K1361" s="129" t="s">
        <v>1941</v>
      </c>
      <c r="L1361" s="163">
        <v>40658</v>
      </c>
      <c r="M1361" s="170">
        <f>IF(Main[[#This Row],[Tech Start Date]]&lt;1/1/1990,"",IF(Main[[#This Row],[Class]]="C",WORKDAY(Main[[#This Row],[Tech Start Date]],9),IF(Main[[#This Row],[Class]]="B", WORKDAY(Main[[#This Row],[Tech Start Date]],6),IF(Main[[#This Row],[Class]]="A",WORKDAY(Main[[#This Row],[Tech Start Date]],2),""))))</f>
        <v>40660</v>
      </c>
      <c r="N1361" s="170">
        <f>IF(Main[[#This Row],[Tech Start Date]]&lt;1/1/1990,"",IF(Main[[#This Row],[Class]]="C",WORKDAY(Main[[#This Row],[Tech Start Date]],19),IF(Main[[#This Row],[Class]]="B", WORKDAY(Main[[#This Row],[Tech Start Date]],12),IF(Main[[#This Row],[Class]]="A",WORKDAY(Main[[#This Row],[Tech Start Date]],4),""))))</f>
        <v>40662</v>
      </c>
      <c r="O1361" s="170">
        <f>IF(Main[[#This Row],[Tech Start Date]]&lt;1/1/1990,"",IF(Main[[#This Row],[Class]]="C",WORKDAY(Main[[#This Row],[Tech Start Date]],23),IF(Main[[#This Row],[Class]]="B", WORKDAY(Main[[#This Row],[Tech Start Date]],15),IF(Main[[#This Row],[Class]]="A",WORKDAY(Main[[#This Row],[Tech Start Date]],5),""))))</f>
        <v>40665</v>
      </c>
      <c r="P1361" s="170">
        <f>IF(Main[[#This Row],[Tech Start Date]]&lt;1/1/1990,"",IF(Main[[#This Row],[Class]]="C",WORKDAY(Main[[#This Row],[Tech Start Date]],28),IF(Main[[#This Row],[Class]]="B", WORKDAY(Main[[#This Row],[Tech Start Date]],19),IF(Main[[#This Row],[Class]]="A",WORKDAY(Main[[#This Row],[Tech Start Date]],9),""))))</f>
        <v>40669</v>
      </c>
      <c r="Q1361" s="163">
        <v>40665</v>
      </c>
      <c r="R1361" s="163">
        <v>40686</v>
      </c>
      <c r="S1361" s="129" t="s">
        <v>6</v>
      </c>
      <c r="T1361" s="174" t="s">
        <v>4</v>
      </c>
      <c r="U1361" s="129" t="s">
        <v>14</v>
      </c>
      <c r="V1361" s="129" t="s">
        <v>1935</v>
      </c>
      <c r="W1361" s="129" t="s">
        <v>1934</v>
      </c>
      <c r="X1361" s="129" t="s">
        <v>2942</v>
      </c>
      <c r="Y1361" s="129" t="s">
        <v>3081</v>
      </c>
      <c r="Z1361" s="129" t="s">
        <v>30</v>
      </c>
      <c r="AA1361" s="147" t="s">
        <v>2942</v>
      </c>
    </row>
    <row r="1362" spans="1:27" ht="18.600000000000001" customHeight="1">
      <c r="A1362" s="143" t="str">
        <f>IF(priority(Main[[#This Row],[Comments]])&lt;&gt;0, priority(Main[[#This Row],[Comments]]),"")</f>
        <v/>
      </c>
      <c r="B1362" s="128" t="s">
        <v>1918</v>
      </c>
      <c r="C1362" s="129" t="s">
        <v>4</v>
      </c>
      <c r="D1362" s="161" t="s">
        <v>2654</v>
      </c>
      <c r="E1362" s="163">
        <v>40659.398043981484</v>
      </c>
      <c r="F1362" s="163"/>
      <c r="G1362" s="165" t="str">
        <f>IF(stdProdLT(Main[[#This Row],[Comments]])=0.1,"N/A",IF(stdProdLT(Main[[#This Row],[Comments]])=0,"",stdProdLT(Main[[#This Row],[Comments]])))</f>
        <v/>
      </c>
      <c r="H1362" s="167" t="str">
        <f>IF(AND(Main[[#This Row],[In Stock Date]]&lt;&gt;"",Main[[#This Row],[Revised Due Date]]&lt;&gt;""),Main[[#This Row],[In Stock Date]]-Main[[#This Row],[Revised Due Date]],"")</f>
        <v/>
      </c>
      <c r="I1362" s="129" t="s">
        <v>981</v>
      </c>
      <c r="J1362" s="129" t="s">
        <v>28</v>
      </c>
      <c r="K1362" s="168" t="s">
        <v>1944</v>
      </c>
      <c r="L1362" s="163">
        <v>40665</v>
      </c>
      <c r="M1362" s="170" t="str">
        <f>IF(Main[[#This Row],[Tech Start Date]]&lt;1/1/1990,"",IF(Main[[#This Row],[Class]]="C",WORKDAY(Main[[#This Row],[Tech Start Date]],9),IF(Main[[#This Row],[Class]]="B", WORKDAY(Main[[#This Row],[Tech Start Date]],6),IF(Main[[#This Row],[Class]]="A",WORKDAY(Main[[#This Row],[Tech Start Date]],2),""))))</f>
        <v/>
      </c>
      <c r="N1362" s="170" t="str">
        <f>IF(Main[[#This Row],[Tech Start Date]]&lt;1/1/1990,"",IF(Main[[#This Row],[Class]]="C",WORKDAY(Main[[#This Row],[Tech Start Date]],19),IF(Main[[#This Row],[Class]]="B", WORKDAY(Main[[#This Row],[Tech Start Date]],12),IF(Main[[#This Row],[Class]]="A",WORKDAY(Main[[#This Row],[Tech Start Date]],4),""))))</f>
        <v/>
      </c>
      <c r="O1362" s="170" t="str">
        <f>IF(Main[[#This Row],[Tech Start Date]]&lt;1/1/1990,"",IF(Main[[#This Row],[Class]]="C",WORKDAY(Main[[#This Row],[Tech Start Date]],23),IF(Main[[#This Row],[Class]]="B", WORKDAY(Main[[#This Row],[Tech Start Date]],15),IF(Main[[#This Row],[Class]]="A",WORKDAY(Main[[#This Row],[Tech Start Date]],5),""))))</f>
        <v/>
      </c>
      <c r="P1362" s="170" t="str">
        <f>IF(Main[[#This Row],[Tech Start Date]]&lt;1/1/1990,"",IF(Main[[#This Row],[Class]]="C",WORKDAY(Main[[#This Row],[Tech Start Date]],28),IF(Main[[#This Row],[Class]]="B", WORKDAY(Main[[#This Row],[Tech Start Date]],19),IF(Main[[#This Row],[Class]]="A",WORKDAY(Main[[#This Row],[Tech Start Date]],9),""))))</f>
        <v/>
      </c>
      <c r="Q1362" s="163">
        <v>40877</v>
      </c>
      <c r="R1362" s="163">
        <v>40900</v>
      </c>
      <c r="S1362" s="129" t="s">
        <v>17</v>
      </c>
      <c r="T1362" s="174" t="s">
        <v>2655</v>
      </c>
      <c r="U1362" s="129" t="s">
        <v>29</v>
      </c>
      <c r="V1362" s="129" t="s">
        <v>1932</v>
      </c>
      <c r="W1362" s="129" t="s">
        <v>1936</v>
      </c>
      <c r="X1362" s="129" t="s">
        <v>918</v>
      </c>
      <c r="Y1362" s="129" t="s">
        <v>3112</v>
      </c>
      <c r="Z1362" s="129" t="s">
        <v>888</v>
      </c>
      <c r="AA1362" s="147" t="s">
        <v>918</v>
      </c>
    </row>
    <row r="1363" spans="1:27" ht="18.600000000000001" customHeight="1">
      <c r="A1363" s="143" t="str">
        <f>IF(priority(Main[[#This Row],[Comments]])&lt;&gt;0, priority(Main[[#This Row],[Comments]]),"")</f>
        <v/>
      </c>
      <c r="B1363" s="128" t="s">
        <v>1903</v>
      </c>
      <c r="C1363" s="129" t="s">
        <v>951</v>
      </c>
      <c r="D1363" s="161" t="s">
        <v>2875</v>
      </c>
      <c r="E1363" s="163">
        <v>40617.624050925922</v>
      </c>
      <c r="F1363" s="163">
        <v>40967</v>
      </c>
      <c r="G1363" s="165">
        <f>IF(stdProdLT(Main[[#This Row],[Comments]])=0.1,"N/A",IF(stdProdLT(Main[[#This Row],[Comments]])=0,"",stdProdLT(Main[[#This Row],[Comments]])))</f>
        <v>112</v>
      </c>
      <c r="H1363" s="167" t="str">
        <f>IF(AND(Main[[#This Row],[In Stock Date]]&lt;&gt;"",Main[[#This Row],[Revised Due Date]]&lt;&gt;""),Main[[#This Row],[In Stock Date]]-Main[[#This Row],[Revised Due Date]],"")</f>
        <v/>
      </c>
      <c r="I1363" s="129" t="s">
        <v>567</v>
      </c>
      <c r="J1363" s="129" t="s">
        <v>28</v>
      </c>
      <c r="K1363" s="129" t="s">
        <v>1945</v>
      </c>
      <c r="L1363" s="163">
        <v>40666</v>
      </c>
      <c r="M1363" s="170">
        <f>IF(Main[[#This Row],[Tech Start Date]]&lt;1/1/1990,"",IF(Main[[#This Row],[Class]]="C",WORKDAY(Main[[#This Row],[Tech Start Date]],9),IF(Main[[#This Row],[Class]]="B", WORKDAY(Main[[#This Row],[Tech Start Date]],6),IF(Main[[#This Row],[Class]]="A",WORKDAY(Main[[#This Row],[Tech Start Date]],2),""))))</f>
        <v>40679</v>
      </c>
      <c r="N1363" s="170">
        <f>IF(Main[[#This Row],[Tech Start Date]]&lt;1/1/1990,"",IF(Main[[#This Row],[Class]]="C",WORKDAY(Main[[#This Row],[Tech Start Date]],19),IF(Main[[#This Row],[Class]]="B", WORKDAY(Main[[#This Row],[Tech Start Date]],12),IF(Main[[#This Row],[Class]]="A",WORKDAY(Main[[#This Row],[Tech Start Date]],4),""))))</f>
        <v>40693</v>
      </c>
      <c r="O1363" s="170">
        <f>IF(Main[[#This Row],[Tech Start Date]]&lt;1/1/1990,"",IF(Main[[#This Row],[Class]]="C",WORKDAY(Main[[#This Row],[Tech Start Date]],23),IF(Main[[#This Row],[Class]]="B", WORKDAY(Main[[#This Row],[Tech Start Date]],15),IF(Main[[#This Row],[Class]]="A",WORKDAY(Main[[#This Row],[Tech Start Date]],5),""))))</f>
        <v>40697</v>
      </c>
      <c r="P1363" s="170">
        <f>IF(Main[[#This Row],[Tech Start Date]]&lt;1/1/1990,"",IF(Main[[#This Row],[Class]]="C",WORKDAY(Main[[#This Row],[Tech Start Date]],28),IF(Main[[#This Row],[Class]]="B", WORKDAY(Main[[#This Row],[Tech Start Date]],19),IF(Main[[#This Row],[Class]]="A",WORKDAY(Main[[#This Row],[Tech Start Date]],9),""))))</f>
        <v>40704</v>
      </c>
      <c r="Q1363" s="163">
        <v>40767</v>
      </c>
      <c r="R1363" s="163"/>
      <c r="S1363" s="129" t="s">
        <v>11</v>
      </c>
      <c r="T1363" s="174" t="s">
        <v>3603</v>
      </c>
      <c r="U1363" s="129" t="s">
        <v>539</v>
      </c>
      <c r="V1363" s="129" t="s">
        <v>1932</v>
      </c>
      <c r="W1363" s="129" t="s">
        <v>1940</v>
      </c>
      <c r="X1363" s="129" t="s">
        <v>3012</v>
      </c>
      <c r="Y1363" s="129" t="s">
        <v>3246</v>
      </c>
      <c r="Z1363" s="129" t="s">
        <v>129</v>
      </c>
      <c r="AA1363" s="147" t="s">
        <v>3012</v>
      </c>
    </row>
    <row r="1364" spans="1:27" ht="18.600000000000001" customHeight="1">
      <c r="A1364" s="143" t="str">
        <f>IF(priority(Main[[#This Row],[Comments]])&lt;&gt;0, priority(Main[[#This Row],[Comments]]),"")</f>
        <v/>
      </c>
      <c r="B1364" s="128" t="s">
        <v>1902</v>
      </c>
      <c r="C1364" s="129" t="s">
        <v>947</v>
      </c>
      <c r="D1364" s="161" t="s">
        <v>948</v>
      </c>
      <c r="E1364" s="163"/>
      <c r="F1364" s="163">
        <v>40701</v>
      </c>
      <c r="G1364" s="165" t="str">
        <f>IF(stdProdLT(Main[[#This Row],[Comments]])=0.1,"N/A",IF(stdProdLT(Main[[#This Row],[Comments]])=0,"",stdProdLT(Main[[#This Row],[Comments]])))</f>
        <v/>
      </c>
      <c r="H1364" s="167">
        <f>IF(AND(Main[[#This Row],[In Stock Date]]&lt;&gt;"",Main[[#This Row],[Revised Due Date]]&lt;&gt;""),Main[[#This Row],[In Stock Date]]-Main[[#This Row],[Revised Due Date]],"")</f>
        <v>0</v>
      </c>
      <c r="I1364" s="129" t="s">
        <v>949</v>
      </c>
      <c r="J1364" s="129" t="s">
        <v>28</v>
      </c>
      <c r="K1364" s="168" t="s">
        <v>1945</v>
      </c>
      <c r="L1364" s="163">
        <v>40666</v>
      </c>
      <c r="M1364" s="170">
        <f>IF(Main[[#This Row],[Tech Start Date]]&lt;1/1/1990,"",IF(Main[[#This Row],[Class]]="C",WORKDAY(Main[[#This Row],[Tech Start Date]],9),IF(Main[[#This Row],[Class]]="B", WORKDAY(Main[[#This Row],[Tech Start Date]],6),IF(Main[[#This Row],[Class]]="A",WORKDAY(Main[[#This Row],[Tech Start Date]],2),""))))</f>
        <v>40679</v>
      </c>
      <c r="N1364" s="170">
        <f>IF(Main[[#This Row],[Tech Start Date]]&lt;1/1/1990,"",IF(Main[[#This Row],[Class]]="C",WORKDAY(Main[[#This Row],[Tech Start Date]],19),IF(Main[[#This Row],[Class]]="B", WORKDAY(Main[[#This Row],[Tech Start Date]],12),IF(Main[[#This Row],[Class]]="A",WORKDAY(Main[[#This Row],[Tech Start Date]],4),""))))</f>
        <v>40693</v>
      </c>
      <c r="O1364" s="170">
        <f>IF(Main[[#This Row],[Tech Start Date]]&lt;1/1/1990,"",IF(Main[[#This Row],[Class]]="C",WORKDAY(Main[[#This Row],[Tech Start Date]],23),IF(Main[[#This Row],[Class]]="B", WORKDAY(Main[[#This Row],[Tech Start Date]],15),IF(Main[[#This Row],[Class]]="A",WORKDAY(Main[[#This Row],[Tech Start Date]],5),""))))</f>
        <v>40697</v>
      </c>
      <c r="P1364" s="170">
        <f>IF(Main[[#This Row],[Tech Start Date]]&lt;1/1/1990,"",IF(Main[[#This Row],[Class]]="C",WORKDAY(Main[[#This Row],[Tech Start Date]],28),IF(Main[[#This Row],[Class]]="B", WORKDAY(Main[[#This Row],[Tech Start Date]],19),IF(Main[[#This Row],[Class]]="A",WORKDAY(Main[[#This Row],[Tech Start Date]],9),""))))</f>
        <v>40704</v>
      </c>
      <c r="Q1364" s="163">
        <v>40701</v>
      </c>
      <c r="R1364" s="163">
        <v>40701</v>
      </c>
      <c r="S1364" s="129" t="s">
        <v>11</v>
      </c>
      <c r="T1364" s="174" t="s">
        <v>950</v>
      </c>
      <c r="U1364" s="129" t="s">
        <v>14</v>
      </c>
      <c r="V1364" s="129" t="s">
        <v>1932</v>
      </c>
      <c r="W1364" s="129" t="s">
        <v>1937</v>
      </c>
      <c r="X1364" s="129" t="s">
        <v>2945</v>
      </c>
      <c r="Y1364" s="129" t="s">
        <v>3247</v>
      </c>
      <c r="Z1364" s="129" t="s">
        <v>129</v>
      </c>
      <c r="AA1364" s="147" t="s">
        <v>2945</v>
      </c>
    </row>
    <row r="1365" spans="1:27" ht="18.600000000000001" customHeight="1">
      <c r="A1365" s="143" t="str">
        <f>IF(priority(Main[[#This Row],[Comments]])&lt;&gt;0, priority(Main[[#This Row],[Comments]]),"")</f>
        <v/>
      </c>
      <c r="B1365" s="128" t="s">
        <v>1901</v>
      </c>
      <c r="C1365" s="129" t="s">
        <v>113</v>
      </c>
      <c r="D1365" s="161" t="s">
        <v>2657</v>
      </c>
      <c r="E1365" s="163">
        <v>40596.601666666669</v>
      </c>
      <c r="F1365" s="163">
        <v>40605</v>
      </c>
      <c r="G1365" s="165" t="str">
        <f>IF(stdProdLT(Main[[#This Row],[Comments]])=0.1,"N/A",IF(stdProdLT(Main[[#This Row],[Comments]])=0,"",stdProdLT(Main[[#This Row],[Comments]])))</f>
        <v/>
      </c>
      <c r="H1365" s="167" t="str">
        <f>IF(AND(Main[[#This Row],[In Stock Date]]&lt;&gt;"",Main[[#This Row],[Revised Due Date]]&lt;&gt;""),Main[[#This Row],[In Stock Date]]-Main[[#This Row],[Revised Due Date]],"")</f>
        <v/>
      </c>
      <c r="I1365" s="129" t="s">
        <v>4</v>
      </c>
      <c r="J1365" s="129" t="s">
        <v>52</v>
      </c>
      <c r="K1365" s="129" t="s">
        <v>1945</v>
      </c>
      <c r="L1365" s="163">
        <v>40666</v>
      </c>
      <c r="M1365" s="170">
        <f>IF(Main[[#This Row],[Tech Start Date]]&lt;1/1/1990,"",IF(Main[[#This Row],[Class]]="C",WORKDAY(Main[[#This Row],[Tech Start Date]],9),IF(Main[[#This Row],[Class]]="B", WORKDAY(Main[[#This Row],[Tech Start Date]],6),IF(Main[[#This Row],[Class]]="A",WORKDAY(Main[[#This Row],[Tech Start Date]],2),""))))</f>
        <v>40679</v>
      </c>
      <c r="N1365" s="170">
        <f>IF(Main[[#This Row],[Tech Start Date]]&lt;1/1/1990,"",IF(Main[[#This Row],[Class]]="C",WORKDAY(Main[[#This Row],[Tech Start Date]],19),IF(Main[[#This Row],[Class]]="B", WORKDAY(Main[[#This Row],[Tech Start Date]],12),IF(Main[[#This Row],[Class]]="A",WORKDAY(Main[[#This Row],[Tech Start Date]],4),""))))</f>
        <v>40693</v>
      </c>
      <c r="O1365" s="170">
        <f>IF(Main[[#This Row],[Tech Start Date]]&lt;1/1/1990,"",IF(Main[[#This Row],[Class]]="C",WORKDAY(Main[[#This Row],[Tech Start Date]],23),IF(Main[[#This Row],[Class]]="B", WORKDAY(Main[[#This Row],[Tech Start Date]],15),IF(Main[[#This Row],[Class]]="A",WORKDAY(Main[[#This Row],[Tech Start Date]],5),""))))</f>
        <v>40697</v>
      </c>
      <c r="P1365" s="170">
        <f>IF(Main[[#This Row],[Tech Start Date]]&lt;1/1/1990,"",IF(Main[[#This Row],[Class]]="C",WORKDAY(Main[[#This Row],[Tech Start Date]],28),IF(Main[[#This Row],[Class]]="B", WORKDAY(Main[[#This Row],[Tech Start Date]],19),IF(Main[[#This Row],[Class]]="A",WORKDAY(Main[[#This Row],[Tech Start Date]],9),""))))</f>
        <v>40704</v>
      </c>
      <c r="Q1365" s="163">
        <v>40701</v>
      </c>
      <c r="R1365" s="163"/>
      <c r="S1365" s="129" t="s">
        <v>17</v>
      </c>
      <c r="T1365" s="174" t="s">
        <v>2023</v>
      </c>
      <c r="U1365" s="129" t="s">
        <v>29</v>
      </c>
      <c r="V1365" s="129" t="s">
        <v>1932</v>
      </c>
      <c r="W1365" s="129" t="s">
        <v>1943</v>
      </c>
      <c r="X1365" s="129" t="s">
        <v>2952</v>
      </c>
      <c r="Y1365" s="129" t="s">
        <v>3100</v>
      </c>
      <c r="Z1365" s="129" t="s">
        <v>129</v>
      </c>
      <c r="AA1365" s="147" t="s">
        <v>2952</v>
      </c>
    </row>
    <row r="1366" spans="1:27" ht="18.600000000000001" customHeight="1">
      <c r="A1366" s="143" t="str">
        <f>IF(priority(Main[[#This Row],[Comments]])&lt;&gt;0, priority(Main[[#This Row],[Comments]]),"")</f>
        <v/>
      </c>
      <c r="B1366" s="128" t="s">
        <v>1706</v>
      </c>
      <c r="C1366" s="129" t="s">
        <v>523</v>
      </c>
      <c r="D1366" s="161" t="s">
        <v>754</v>
      </c>
      <c r="E1366" s="163">
        <v>40661.601064814815</v>
      </c>
      <c r="F1366" s="163">
        <v>40862</v>
      </c>
      <c r="G1366" s="165" t="str">
        <f>IF(stdProdLT(Main[[#This Row],[Comments]])=0.1,"N/A",IF(stdProdLT(Main[[#This Row],[Comments]])=0,"",stdProdLT(Main[[#This Row],[Comments]])))</f>
        <v/>
      </c>
      <c r="H1366" s="167">
        <f>IF(AND(Main[[#This Row],[In Stock Date]]&lt;&gt;"",Main[[#This Row],[Revised Due Date]]&lt;&gt;""),Main[[#This Row],[In Stock Date]]-Main[[#This Row],[Revised Due Date]],"")</f>
        <v>1</v>
      </c>
      <c r="I1366" s="129" t="s">
        <v>755</v>
      </c>
      <c r="J1366" s="129" t="s">
        <v>28</v>
      </c>
      <c r="K1366" s="129" t="s">
        <v>1944</v>
      </c>
      <c r="L1366" s="163">
        <v>40668</v>
      </c>
      <c r="M1366" s="170" t="str">
        <f>IF(Main[[#This Row],[Tech Start Date]]&lt;1/1/1990,"",IF(Main[[#This Row],[Class]]="C",WORKDAY(Main[[#This Row],[Tech Start Date]],9),IF(Main[[#This Row],[Class]]="B", WORKDAY(Main[[#This Row],[Tech Start Date]],6),IF(Main[[#This Row],[Class]]="A",WORKDAY(Main[[#This Row],[Tech Start Date]],2),""))))</f>
        <v/>
      </c>
      <c r="N1366" s="170" t="str">
        <f>IF(Main[[#This Row],[Tech Start Date]]&lt;1/1/1990,"",IF(Main[[#This Row],[Class]]="C",WORKDAY(Main[[#This Row],[Tech Start Date]],19),IF(Main[[#This Row],[Class]]="B", WORKDAY(Main[[#This Row],[Tech Start Date]],12),IF(Main[[#This Row],[Class]]="A",WORKDAY(Main[[#This Row],[Tech Start Date]],4),""))))</f>
        <v/>
      </c>
      <c r="O1366" s="170" t="str">
        <f>IF(Main[[#This Row],[Tech Start Date]]&lt;1/1/1990,"",IF(Main[[#This Row],[Class]]="C",WORKDAY(Main[[#This Row],[Tech Start Date]],23),IF(Main[[#This Row],[Class]]="B", WORKDAY(Main[[#This Row],[Tech Start Date]],15),IF(Main[[#This Row],[Class]]="A",WORKDAY(Main[[#This Row],[Tech Start Date]],5),""))))</f>
        <v/>
      </c>
      <c r="P1366" s="170" t="str">
        <f>IF(Main[[#This Row],[Tech Start Date]]&lt;1/1/1990,"",IF(Main[[#This Row],[Class]]="C",WORKDAY(Main[[#This Row],[Tech Start Date]],28),IF(Main[[#This Row],[Class]]="B", WORKDAY(Main[[#This Row],[Tech Start Date]],19),IF(Main[[#This Row],[Class]]="A",WORKDAY(Main[[#This Row],[Tech Start Date]],9),""))))</f>
        <v/>
      </c>
      <c r="Q1366" s="163">
        <v>40739</v>
      </c>
      <c r="R1366" s="172">
        <v>40861</v>
      </c>
      <c r="S1366" s="129" t="s">
        <v>17</v>
      </c>
      <c r="T1366" s="174" t="s">
        <v>4</v>
      </c>
      <c r="U1366" s="129" t="s">
        <v>29</v>
      </c>
      <c r="V1366" s="129" t="s">
        <v>1935</v>
      </c>
      <c r="W1366" s="129" t="s">
        <v>1937</v>
      </c>
      <c r="X1366" s="129" t="s">
        <v>559</v>
      </c>
      <c r="Y1366" s="129" t="s">
        <v>3248</v>
      </c>
      <c r="Z1366" s="129" t="s">
        <v>980</v>
      </c>
      <c r="AA1366" s="147" t="s">
        <v>3715</v>
      </c>
    </row>
    <row r="1367" spans="1:27" ht="18.600000000000001" customHeight="1">
      <c r="A1367" s="143" t="str">
        <f>IF(priority(Main[[#This Row],[Comments]])&lt;&gt;0, priority(Main[[#This Row],[Comments]]),"")</f>
        <v/>
      </c>
      <c r="B1367" s="128" t="s">
        <v>1900</v>
      </c>
      <c r="C1367" s="129" t="s">
        <v>4</v>
      </c>
      <c r="D1367" s="161" t="s">
        <v>946</v>
      </c>
      <c r="E1367" s="163"/>
      <c r="F1367" s="163"/>
      <c r="G1367" s="165" t="str">
        <f>IF(stdProdLT(Main[[#This Row],[Comments]])=0.1,"N/A",IF(stdProdLT(Main[[#This Row],[Comments]])=0,"",stdProdLT(Main[[#This Row],[Comments]])))</f>
        <v/>
      </c>
      <c r="H1367" s="167" t="str">
        <f>IF(AND(Main[[#This Row],[In Stock Date]]&lt;&gt;"",Main[[#This Row],[Revised Due Date]]&lt;&gt;""),Main[[#This Row],[In Stock Date]]-Main[[#This Row],[Revised Due Date]],"")</f>
        <v/>
      </c>
      <c r="I1367" s="129" t="s">
        <v>30</v>
      </c>
      <c r="J1367" s="129" t="s">
        <v>28</v>
      </c>
      <c r="K1367" s="129" t="s">
        <v>1941</v>
      </c>
      <c r="L1367" s="163">
        <v>40686</v>
      </c>
      <c r="M1367" s="170">
        <f>IF(Main[[#This Row],[Tech Start Date]]&lt;1/1/1990,"",IF(Main[[#This Row],[Class]]="C",WORKDAY(Main[[#This Row],[Tech Start Date]],9),IF(Main[[#This Row],[Class]]="B", WORKDAY(Main[[#This Row],[Tech Start Date]],6),IF(Main[[#This Row],[Class]]="A",WORKDAY(Main[[#This Row],[Tech Start Date]],2),""))))</f>
        <v>40688</v>
      </c>
      <c r="N1367" s="170">
        <f>IF(Main[[#This Row],[Tech Start Date]]&lt;1/1/1990,"",IF(Main[[#This Row],[Class]]="C",WORKDAY(Main[[#This Row],[Tech Start Date]],19),IF(Main[[#This Row],[Class]]="B", WORKDAY(Main[[#This Row],[Tech Start Date]],12),IF(Main[[#This Row],[Class]]="A",WORKDAY(Main[[#This Row],[Tech Start Date]],4),""))))</f>
        <v>40690</v>
      </c>
      <c r="O1367" s="170">
        <f>IF(Main[[#This Row],[Tech Start Date]]&lt;1/1/1990,"",IF(Main[[#This Row],[Class]]="C",WORKDAY(Main[[#This Row],[Tech Start Date]],23),IF(Main[[#This Row],[Class]]="B", WORKDAY(Main[[#This Row],[Tech Start Date]],15),IF(Main[[#This Row],[Class]]="A",WORKDAY(Main[[#This Row],[Tech Start Date]],5),""))))</f>
        <v>40693</v>
      </c>
      <c r="P1367" s="170">
        <f>IF(Main[[#This Row],[Tech Start Date]]&lt;1/1/1990,"",IF(Main[[#This Row],[Class]]="C",WORKDAY(Main[[#This Row],[Tech Start Date]],28),IF(Main[[#This Row],[Class]]="B", WORKDAY(Main[[#This Row],[Tech Start Date]],19),IF(Main[[#This Row],[Class]]="A",WORKDAY(Main[[#This Row],[Tech Start Date]],9),""))))</f>
        <v>40697</v>
      </c>
      <c r="Q1367" s="163">
        <v>40669</v>
      </c>
      <c r="R1367" s="163">
        <v>40700</v>
      </c>
      <c r="S1367" s="129" t="s">
        <v>6</v>
      </c>
      <c r="T1367" s="174" t="s">
        <v>4</v>
      </c>
      <c r="U1367" s="129" t="s">
        <v>14</v>
      </c>
      <c r="V1367" s="129" t="s">
        <v>1935</v>
      </c>
      <c r="W1367" s="129" t="s">
        <v>1934</v>
      </c>
      <c r="X1367" s="129" t="s">
        <v>2910</v>
      </c>
      <c r="Y1367" s="129" t="s">
        <v>3027</v>
      </c>
      <c r="Z1367" s="129" t="s">
        <v>535</v>
      </c>
      <c r="AA1367" s="147" t="s">
        <v>2910</v>
      </c>
    </row>
    <row r="1368" spans="1:27" ht="18.600000000000001" customHeight="1">
      <c r="A1368" s="143" t="str">
        <f>IF(priority(Main[[#This Row],[Comments]])&lt;&gt;0, priority(Main[[#This Row],[Comments]]),"")</f>
        <v/>
      </c>
      <c r="B1368" s="128" t="s">
        <v>1225</v>
      </c>
      <c r="C1368" s="129" t="s">
        <v>4</v>
      </c>
      <c r="D1368" s="161" t="s">
        <v>275</v>
      </c>
      <c r="E1368" s="163">
        <v>40683.573206018518</v>
      </c>
      <c r="F1368" s="163"/>
      <c r="G1368" s="165" t="str">
        <f>IF(stdProdLT(Main[[#This Row],[Comments]])=0.1,"N/A",IF(stdProdLT(Main[[#This Row],[Comments]])=0,"",stdProdLT(Main[[#This Row],[Comments]])))</f>
        <v/>
      </c>
      <c r="H1368" s="167" t="str">
        <f>IF(AND(Main[[#This Row],[In Stock Date]]&lt;&gt;"",Main[[#This Row],[Revised Due Date]]&lt;&gt;""),Main[[#This Row],[In Stock Date]]-Main[[#This Row],[Revised Due Date]],"")</f>
        <v/>
      </c>
      <c r="I1368" s="129" t="s">
        <v>276</v>
      </c>
      <c r="J1368" s="129" t="s">
        <v>28</v>
      </c>
      <c r="K1368" s="129" t="s">
        <v>1944</v>
      </c>
      <c r="L1368" s="163">
        <v>40687</v>
      </c>
      <c r="M1368" s="170" t="str">
        <f>IF(Main[[#This Row],[Tech Start Date]]&lt;1/1/1990,"",IF(Main[[#This Row],[Class]]="C",WORKDAY(Main[[#This Row],[Tech Start Date]],9),IF(Main[[#This Row],[Class]]="B", WORKDAY(Main[[#This Row],[Tech Start Date]],6),IF(Main[[#This Row],[Class]]="A",WORKDAY(Main[[#This Row],[Tech Start Date]],2),""))))</f>
        <v/>
      </c>
      <c r="N1368" s="170" t="str">
        <f>IF(Main[[#This Row],[Tech Start Date]]&lt;1/1/1990,"",IF(Main[[#This Row],[Class]]="C",WORKDAY(Main[[#This Row],[Tech Start Date]],19),IF(Main[[#This Row],[Class]]="B", WORKDAY(Main[[#This Row],[Tech Start Date]],12),IF(Main[[#This Row],[Class]]="A",WORKDAY(Main[[#This Row],[Tech Start Date]],4),""))))</f>
        <v/>
      </c>
      <c r="O1368" s="170" t="str">
        <f>IF(Main[[#This Row],[Tech Start Date]]&lt;1/1/1990,"",IF(Main[[#This Row],[Class]]="C",WORKDAY(Main[[#This Row],[Tech Start Date]],23),IF(Main[[#This Row],[Class]]="B", WORKDAY(Main[[#This Row],[Tech Start Date]],15),IF(Main[[#This Row],[Class]]="A",WORKDAY(Main[[#This Row],[Tech Start Date]],5),""))))</f>
        <v/>
      </c>
      <c r="P1368" s="170" t="str">
        <f>IF(Main[[#This Row],[Tech Start Date]]&lt;1/1/1990,"",IF(Main[[#This Row],[Class]]="C",WORKDAY(Main[[#This Row],[Tech Start Date]],28),IF(Main[[#This Row],[Class]]="B", WORKDAY(Main[[#This Row],[Tech Start Date]],19),IF(Main[[#This Row],[Class]]="A",WORKDAY(Main[[#This Row],[Tech Start Date]],9),""))))</f>
        <v/>
      </c>
      <c r="Q1368" s="163">
        <v>41274</v>
      </c>
      <c r="R1368" s="163">
        <v>41241</v>
      </c>
      <c r="S1368" s="129" t="s">
        <v>17</v>
      </c>
      <c r="T1368" s="174" t="s">
        <v>4</v>
      </c>
      <c r="U1368" s="129" t="s">
        <v>29</v>
      </c>
      <c r="V1368" s="129" t="s">
        <v>1935</v>
      </c>
      <c r="W1368" s="129" t="s">
        <v>1937</v>
      </c>
      <c r="X1368" s="129" t="s">
        <v>559</v>
      </c>
      <c r="Y1368" s="129" t="s">
        <v>3047</v>
      </c>
      <c r="Z1368" s="129" t="s">
        <v>980</v>
      </c>
      <c r="AA1368" s="147" t="s">
        <v>559</v>
      </c>
    </row>
    <row r="1369" spans="1:27" ht="18.600000000000001" customHeight="1">
      <c r="A1369" s="143" t="str">
        <f>IF(priority(Main[[#This Row],[Comments]])&lt;&gt;0, priority(Main[[#This Row],[Comments]]),"")</f>
        <v/>
      </c>
      <c r="B1369" s="128" t="s">
        <v>1924</v>
      </c>
      <c r="C1369" s="129" t="s">
        <v>122</v>
      </c>
      <c r="D1369" s="161" t="s">
        <v>1974</v>
      </c>
      <c r="E1369" s="163">
        <v>40703.615451388891</v>
      </c>
      <c r="F1369" s="163">
        <v>40907</v>
      </c>
      <c r="G1369" s="165" t="str">
        <f>IF(stdProdLT(Main[[#This Row],[Comments]])=0.1,"N/A",IF(stdProdLT(Main[[#This Row],[Comments]])=0,"",stdProdLT(Main[[#This Row],[Comments]])))</f>
        <v/>
      </c>
      <c r="H1369" s="167">
        <f>IF(AND(Main[[#This Row],[In Stock Date]]&lt;&gt;"",Main[[#This Row],[Revised Due Date]]&lt;&gt;""),Main[[#This Row],[In Stock Date]]-Main[[#This Row],[Revised Due Date]],"")</f>
        <v>0</v>
      </c>
      <c r="I1369" s="129" t="s">
        <v>968</v>
      </c>
      <c r="J1369" s="129" t="s">
        <v>28</v>
      </c>
      <c r="K1369" s="129" t="s">
        <v>1944</v>
      </c>
      <c r="L1369" s="163">
        <v>40703</v>
      </c>
      <c r="M1369" s="170" t="str">
        <f>IF(Main[[#This Row],[Tech Start Date]]&lt;1/1/1990,"",IF(Main[[#This Row],[Class]]="C",WORKDAY(Main[[#This Row],[Tech Start Date]],9),IF(Main[[#This Row],[Class]]="B", WORKDAY(Main[[#This Row],[Tech Start Date]],6),IF(Main[[#This Row],[Class]]="A",WORKDAY(Main[[#This Row],[Tech Start Date]],2),""))))</f>
        <v/>
      </c>
      <c r="N1369" s="170" t="str">
        <f>IF(Main[[#This Row],[Tech Start Date]]&lt;1/1/1990,"",IF(Main[[#This Row],[Class]]="C",WORKDAY(Main[[#This Row],[Tech Start Date]],19),IF(Main[[#This Row],[Class]]="B", WORKDAY(Main[[#This Row],[Tech Start Date]],12),IF(Main[[#This Row],[Class]]="A",WORKDAY(Main[[#This Row],[Tech Start Date]],4),""))))</f>
        <v/>
      </c>
      <c r="O1369" s="170" t="str">
        <f>IF(Main[[#This Row],[Tech Start Date]]&lt;1/1/1990,"",IF(Main[[#This Row],[Class]]="C",WORKDAY(Main[[#This Row],[Tech Start Date]],23),IF(Main[[#This Row],[Class]]="B", WORKDAY(Main[[#This Row],[Tech Start Date]],15),IF(Main[[#This Row],[Class]]="A",WORKDAY(Main[[#This Row],[Tech Start Date]],5),""))))</f>
        <v/>
      </c>
      <c r="P1369" s="170" t="str">
        <f>IF(Main[[#This Row],[Tech Start Date]]&lt;1/1/1990,"",IF(Main[[#This Row],[Class]]="C",WORKDAY(Main[[#This Row],[Tech Start Date]],28),IF(Main[[#This Row],[Class]]="B", WORKDAY(Main[[#This Row],[Tech Start Date]],19),IF(Main[[#This Row],[Class]]="A",WORKDAY(Main[[#This Row],[Tech Start Date]],9),""))))</f>
        <v/>
      </c>
      <c r="Q1369" s="163">
        <v>40864</v>
      </c>
      <c r="R1369" s="163">
        <v>40907</v>
      </c>
      <c r="S1369" s="129" t="s">
        <v>17</v>
      </c>
      <c r="T1369" s="174" t="s">
        <v>1975</v>
      </c>
      <c r="U1369" s="129" t="s">
        <v>29</v>
      </c>
      <c r="V1369" s="129" t="s">
        <v>1933</v>
      </c>
      <c r="W1369" s="129" t="s">
        <v>1943</v>
      </c>
      <c r="X1369" s="129" t="s">
        <v>968</v>
      </c>
      <c r="Y1369" s="129" t="s">
        <v>4</v>
      </c>
      <c r="Z1369" s="129" t="s">
        <v>4</v>
      </c>
      <c r="AA1369" s="147" t="s">
        <v>987</v>
      </c>
    </row>
    <row r="1370" spans="1:27" ht="18.600000000000001" customHeight="1">
      <c r="A1370" s="143" t="str">
        <f>IF(priority(Main[[#This Row],[Comments]])&lt;&gt;0, priority(Main[[#This Row],[Comments]]),"")</f>
        <v/>
      </c>
      <c r="B1370" s="128" t="s">
        <v>1921</v>
      </c>
      <c r="C1370" s="129" t="s">
        <v>113</v>
      </c>
      <c r="D1370" s="161" t="s">
        <v>2876</v>
      </c>
      <c r="E1370" s="163">
        <v>40709.602083333331</v>
      </c>
      <c r="F1370" s="163">
        <v>41091</v>
      </c>
      <c r="G1370" s="165">
        <f>IF(stdProdLT(Main[[#This Row],[Comments]])=0.1,"N/A",IF(stdProdLT(Main[[#This Row],[Comments]])=0,"",stdProdLT(Main[[#This Row],[Comments]])))</f>
        <v>126</v>
      </c>
      <c r="H1370" s="167" t="str">
        <f>IF(AND(Main[[#This Row],[In Stock Date]]&lt;&gt;"",Main[[#This Row],[Revised Due Date]]&lt;&gt;""),Main[[#This Row],[In Stock Date]]-Main[[#This Row],[Revised Due Date]],"")</f>
        <v/>
      </c>
      <c r="I1370" s="129" t="s">
        <v>567</v>
      </c>
      <c r="J1370" s="129" t="s">
        <v>28</v>
      </c>
      <c r="K1370" s="129" t="s">
        <v>1945</v>
      </c>
      <c r="L1370" s="163">
        <v>40709</v>
      </c>
      <c r="M1370" s="170">
        <f>IF(Main[[#This Row],[Tech Start Date]]&lt;1/1/1990,"",IF(Main[[#This Row],[Class]]="C",WORKDAY(Main[[#This Row],[Tech Start Date]],9),IF(Main[[#This Row],[Class]]="B", WORKDAY(Main[[#This Row],[Tech Start Date]],6),IF(Main[[#This Row],[Class]]="A",WORKDAY(Main[[#This Row],[Tech Start Date]],2),""))))</f>
        <v>40722</v>
      </c>
      <c r="N1370" s="170">
        <f>IF(Main[[#This Row],[Tech Start Date]]&lt;1/1/1990,"",IF(Main[[#This Row],[Class]]="C",WORKDAY(Main[[#This Row],[Tech Start Date]],19),IF(Main[[#This Row],[Class]]="B", WORKDAY(Main[[#This Row],[Tech Start Date]],12),IF(Main[[#This Row],[Class]]="A",WORKDAY(Main[[#This Row],[Tech Start Date]],4),""))))</f>
        <v>40736</v>
      </c>
      <c r="O1370" s="170">
        <f>IF(Main[[#This Row],[Tech Start Date]]&lt;1/1/1990,"",IF(Main[[#This Row],[Class]]="C",WORKDAY(Main[[#This Row],[Tech Start Date]],23),IF(Main[[#This Row],[Class]]="B", WORKDAY(Main[[#This Row],[Tech Start Date]],15),IF(Main[[#This Row],[Class]]="A",WORKDAY(Main[[#This Row],[Tech Start Date]],5),""))))</f>
        <v>40742</v>
      </c>
      <c r="P1370" s="170">
        <f>IF(Main[[#This Row],[Tech Start Date]]&lt;1/1/1990,"",IF(Main[[#This Row],[Class]]="C",WORKDAY(Main[[#This Row],[Tech Start Date]],28),IF(Main[[#This Row],[Class]]="B", WORKDAY(Main[[#This Row],[Tech Start Date]],19),IF(Main[[#This Row],[Class]]="A",WORKDAY(Main[[#This Row],[Tech Start Date]],9),""))))</f>
        <v>40749</v>
      </c>
      <c r="Q1370" s="163"/>
      <c r="R1370" s="163"/>
      <c r="S1370" s="129" t="s">
        <v>11</v>
      </c>
      <c r="T1370" s="174" t="s">
        <v>3473</v>
      </c>
      <c r="U1370" s="129" t="s">
        <v>539</v>
      </c>
      <c r="V1370" s="129" t="s">
        <v>1932</v>
      </c>
      <c r="W1370" s="129" t="s">
        <v>1943</v>
      </c>
      <c r="X1370" s="129" t="s">
        <v>2924</v>
      </c>
      <c r="Y1370" s="129" t="s">
        <v>3034</v>
      </c>
      <c r="Z1370" s="129" t="s">
        <v>129</v>
      </c>
      <c r="AA1370" s="147" t="s">
        <v>2924</v>
      </c>
    </row>
    <row r="1371" spans="1:27" ht="18.600000000000001" customHeight="1">
      <c r="A1371" s="143" t="str">
        <f>IF(priority(Main[[#This Row],[Comments]])&lt;&gt;0, priority(Main[[#This Row],[Comments]]),"")</f>
        <v/>
      </c>
      <c r="B1371" s="128" t="s">
        <v>2028</v>
      </c>
      <c r="C1371" s="129" t="s">
        <v>2029</v>
      </c>
      <c r="D1371" s="161" t="s">
        <v>2044</v>
      </c>
      <c r="E1371" s="163">
        <v>40737.577511574076</v>
      </c>
      <c r="F1371" s="163"/>
      <c r="G1371" s="165" t="str">
        <f>IF(stdProdLT(Main[[#This Row],[Comments]])=0.1,"N/A",IF(stdProdLT(Main[[#This Row],[Comments]])=0,"",stdProdLT(Main[[#This Row],[Comments]])))</f>
        <v/>
      </c>
      <c r="H1371" s="167" t="str">
        <f>IF(AND(Main[[#This Row],[In Stock Date]]&lt;&gt;"",Main[[#This Row],[Revised Due Date]]&lt;&gt;""),Main[[#This Row],[In Stock Date]]-Main[[#This Row],[Revised Due Date]],"")</f>
        <v/>
      </c>
      <c r="I1371" s="129" t="s">
        <v>4</v>
      </c>
      <c r="J1371" s="129" t="s">
        <v>28</v>
      </c>
      <c r="K1371" s="129" t="s">
        <v>1944</v>
      </c>
      <c r="L1371" s="163">
        <v>40742</v>
      </c>
      <c r="M1371" s="170" t="str">
        <f>IF(Main[[#This Row],[Tech Start Date]]&lt;1/1/1990,"",IF(Main[[#This Row],[Class]]="C",WORKDAY(Main[[#This Row],[Tech Start Date]],9),IF(Main[[#This Row],[Class]]="B", WORKDAY(Main[[#This Row],[Tech Start Date]],6),IF(Main[[#This Row],[Class]]="A",WORKDAY(Main[[#This Row],[Tech Start Date]],2),""))))</f>
        <v/>
      </c>
      <c r="N1371" s="170" t="str">
        <f>IF(Main[[#This Row],[Tech Start Date]]&lt;1/1/1990,"",IF(Main[[#This Row],[Class]]="C",WORKDAY(Main[[#This Row],[Tech Start Date]],19),IF(Main[[#This Row],[Class]]="B", WORKDAY(Main[[#This Row],[Tech Start Date]],12),IF(Main[[#This Row],[Class]]="A",WORKDAY(Main[[#This Row],[Tech Start Date]],4),""))))</f>
        <v/>
      </c>
      <c r="O1371" s="170" t="str">
        <f>IF(Main[[#This Row],[Tech Start Date]]&lt;1/1/1990,"",IF(Main[[#This Row],[Class]]="C",WORKDAY(Main[[#This Row],[Tech Start Date]],23),IF(Main[[#This Row],[Class]]="B", WORKDAY(Main[[#This Row],[Tech Start Date]],15),IF(Main[[#This Row],[Class]]="A",WORKDAY(Main[[#This Row],[Tech Start Date]],5),""))))</f>
        <v/>
      </c>
      <c r="P1371" s="170" t="str">
        <f>IF(Main[[#This Row],[Tech Start Date]]&lt;1/1/1990,"",IF(Main[[#This Row],[Class]]="C",WORKDAY(Main[[#This Row],[Tech Start Date]],28),IF(Main[[#This Row],[Class]]="B", WORKDAY(Main[[#This Row],[Tech Start Date]],19),IF(Main[[#This Row],[Class]]="A",WORKDAY(Main[[#This Row],[Tech Start Date]],9),""))))</f>
        <v/>
      </c>
      <c r="Q1371" s="163"/>
      <c r="R1371" s="163"/>
      <c r="S1371" s="129" t="s">
        <v>17</v>
      </c>
      <c r="T1371" s="174" t="s">
        <v>4</v>
      </c>
      <c r="U1371" s="129" t="s">
        <v>29</v>
      </c>
      <c r="V1371" s="129" t="s">
        <v>1932</v>
      </c>
      <c r="W1371" s="129" t="s">
        <v>1940</v>
      </c>
      <c r="X1371" s="129" t="s">
        <v>129</v>
      </c>
      <c r="Y1371" s="129" t="s">
        <v>3054</v>
      </c>
      <c r="Z1371" s="129" t="s">
        <v>129</v>
      </c>
      <c r="AA1371" s="147" t="s">
        <v>2919</v>
      </c>
    </row>
    <row r="1372" spans="1:27" ht="18.600000000000001" customHeight="1">
      <c r="A1372" s="143" t="str">
        <f>IF(priority(Main[[#This Row],[Comments]])&lt;&gt;0, priority(Main[[#This Row],[Comments]]),"")</f>
        <v/>
      </c>
      <c r="B1372" s="128" t="s">
        <v>1703</v>
      </c>
      <c r="C1372" s="129" t="s">
        <v>751</v>
      </c>
      <c r="D1372" s="161" t="s">
        <v>1992</v>
      </c>
      <c r="E1372" s="163">
        <v>40681.50267361111</v>
      </c>
      <c r="F1372" s="163"/>
      <c r="G1372" s="165" t="str">
        <f>IF(stdProdLT(Main[[#This Row],[Comments]])=0.1,"N/A",IF(stdProdLT(Main[[#This Row],[Comments]])=0,"",stdProdLT(Main[[#This Row],[Comments]])))</f>
        <v/>
      </c>
      <c r="H1372" s="167" t="str">
        <f>IF(AND(Main[[#This Row],[In Stock Date]]&lt;&gt;"",Main[[#This Row],[Revised Due Date]]&lt;&gt;""),Main[[#This Row],[In Stock Date]]-Main[[#This Row],[Revised Due Date]],"")</f>
        <v/>
      </c>
      <c r="I1372" s="129" t="s">
        <v>755</v>
      </c>
      <c r="J1372" s="129" t="s">
        <v>28</v>
      </c>
      <c r="K1372" s="129" t="s">
        <v>1944</v>
      </c>
      <c r="L1372" s="163">
        <v>40742</v>
      </c>
      <c r="M1372" s="170" t="str">
        <f>IF(Main[[#This Row],[Tech Start Date]]&lt;1/1/1990,"",IF(Main[[#This Row],[Class]]="C",WORKDAY(Main[[#This Row],[Tech Start Date]],9),IF(Main[[#This Row],[Class]]="B", WORKDAY(Main[[#This Row],[Tech Start Date]],6),IF(Main[[#This Row],[Class]]="A",WORKDAY(Main[[#This Row],[Tech Start Date]],2),""))))</f>
        <v/>
      </c>
      <c r="N1372" s="170" t="str">
        <f>IF(Main[[#This Row],[Tech Start Date]]&lt;1/1/1990,"",IF(Main[[#This Row],[Class]]="C",WORKDAY(Main[[#This Row],[Tech Start Date]],19),IF(Main[[#This Row],[Class]]="B", WORKDAY(Main[[#This Row],[Tech Start Date]],12),IF(Main[[#This Row],[Class]]="A",WORKDAY(Main[[#This Row],[Tech Start Date]],4),""))))</f>
        <v/>
      </c>
      <c r="O1372" s="170" t="str">
        <f>IF(Main[[#This Row],[Tech Start Date]]&lt;1/1/1990,"",IF(Main[[#This Row],[Class]]="C",WORKDAY(Main[[#This Row],[Tech Start Date]],23),IF(Main[[#This Row],[Class]]="B", WORKDAY(Main[[#This Row],[Tech Start Date]],15),IF(Main[[#This Row],[Class]]="A",WORKDAY(Main[[#This Row],[Tech Start Date]],5),""))))</f>
        <v/>
      </c>
      <c r="P1372" s="170" t="str">
        <f>IF(Main[[#This Row],[Tech Start Date]]&lt;1/1/1990,"",IF(Main[[#This Row],[Class]]="C",WORKDAY(Main[[#This Row],[Tech Start Date]],28),IF(Main[[#This Row],[Class]]="B", WORKDAY(Main[[#This Row],[Tech Start Date]],19),IF(Main[[#This Row],[Class]]="A",WORKDAY(Main[[#This Row],[Tech Start Date]],9),""))))</f>
        <v/>
      </c>
      <c r="Q1372" s="163">
        <v>40939</v>
      </c>
      <c r="R1372" s="163">
        <v>40879</v>
      </c>
      <c r="S1372" s="129" t="s">
        <v>17</v>
      </c>
      <c r="T1372" s="174" t="s">
        <v>4</v>
      </c>
      <c r="U1372" s="129" t="s">
        <v>29</v>
      </c>
      <c r="V1372" s="129" t="s">
        <v>1935</v>
      </c>
      <c r="W1372" s="129" t="s">
        <v>1937</v>
      </c>
      <c r="X1372" s="129" t="s">
        <v>559</v>
      </c>
      <c r="Y1372" s="129" t="s">
        <v>3047</v>
      </c>
      <c r="Z1372" s="129" t="s">
        <v>659</v>
      </c>
      <c r="AA1372" s="147" t="s">
        <v>559</v>
      </c>
    </row>
    <row r="1373" spans="1:27" ht="18.600000000000001" customHeight="1">
      <c r="A1373" s="143" t="str">
        <f>IF(priority(Main[[#This Row],[Comments]])&lt;&gt;0, priority(Main[[#This Row],[Comments]]),"")</f>
        <v/>
      </c>
      <c r="B1373" s="128" t="s">
        <v>2061</v>
      </c>
      <c r="C1373" s="129" t="s">
        <v>116</v>
      </c>
      <c r="D1373" s="161" t="s">
        <v>2276</v>
      </c>
      <c r="E1373" s="163">
        <v>40751.429224537038</v>
      </c>
      <c r="F1373" s="163"/>
      <c r="G1373" s="165" t="str">
        <f>IF(stdProdLT(Main[[#This Row],[Comments]])=0.1,"N/A",IF(stdProdLT(Main[[#This Row],[Comments]])=0,"",stdProdLT(Main[[#This Row],[Comments]])))</f>
        <v/>
      </c>
      <c r="H1373" s="167" t="str">
        <f>IF(AND(Main[[#This Row],[In Stock Date]]&lt;&gt;"",Main[[#This Row],[Revised Due Date]]&lt;&gt;""),Main[[#This Row],[In Stock Date]]-Main[[#This Row],[Revised Due Date]],"")</f>
        <v/>
      </c>
      <c r="I1373" s="129" t="s">
        <v>2065</v>
      </c>
      <c r="J1373" s="129" t="s">
        <v>28</v>
      </c>
      <c r="K1373" s="129" t="s">
        <v>1944</v>
      </c>
      <c r="L1373" s="163">
        <v>40742</v>
      </c>
      <c r="M1373" s="170" t="str">
        <f>IF(Main[[#This Row],[Tech Start Date]]&lt;1/1/1990,"",IF(Main[[#This Row],[Class]]="C",WORKDAY(Main[[#This Row],[Tech Start Date]],9),IF(Main[[#This Row],[Class]]="B", WORKDAY(Main[[#This Row],[Tech Start Date]],6),IF(Main[[#This Row],[Class]]="A",WORKDAY(Main[[#This Row],[Tech Start Date]],2),""))))</f>
        <v/>
      </c>
      <c r="N1373" s="170" t="str">
        <f>IF(Main[[#This Row],[Tech Start Date]]&lt;1/1/1990,"",IF(Main[[#This Row],[Class]]="C",WORKDAY(Main[[#This Row],[Tech Start Date]],19),IF(Main[[#This Row],[Class]]="B", WORKDAY(Main[[#This Row],[Tech Start Date]],12),IF(Main[[#This Row],[Class]]="A",WORKDAY(Main[[#This Row],[Tech Start Date]],4),""))))</f>
        <v/>
      </c>
      <c r="O1373" s="170" t="str">
        <f>IF(Main[[#This Row],[Tech Start Date]]&lt;1/1/1990,"",IF(Main[[#This Row],[Class]]="C",WORKDAY(Main[[#This Row],[Tech Start Date]],23),IF(Main[[#This Row],[Class]]="B", WORKDAY(Main[[#This Row],[Tech Start Date]],15),IF(Main[[#This Row],[Class]]="A",WORKDAY(Main[[#This Row],[Tech Start Date]],5),""))))</f>
        <v/>
      </c>
      <c r="P1373" s="170" t="str">
        <f>IF(Main[[#This Row],[Tech Start Date]]&lt;1/1/1990,"",IF(Main[[#This Row],[Class]]="C",WORKDAY(Main[[#This Row],[Tech Start Date]],28),IF(Main[[#This Row],[Class]]="B", WORKDAY(Main[[#This Row],[Tech Start Date]],19),IF(Main[[#This Row],[Class]]="A",WORKDAY(Main[[#This Row],[Tech Start Date]],9),""))))</f>
        <v/>
      </c>
      <c r="Q1373" s="163"/>
      <c r="R1373" s="163">
        <v>40868</v>
      </c>
      <c r="S1373" s="129" t="s">
        <v>17</v>
      </c>
      <c r="T1373" s="174" t="s">
        <v>4</v>
      </c>
      <c r="U1373" s="129" t="s">
        <v>29</v>
      </c>
      <c r="V1373" s="129" t="s">
        <v>1935</v>
      </c>
      <c r="W1373" s="129" t="s">
        <v>1937</v>
      </c>
      <c r="X1373" s="129" t="s">
        <v>659</v>
      </c>
      <c r="Y1373" s="129" t="s">
        <v>3223</v>
      </c>
      <c r="Z1373" s="129" t="s">
        <v>659</v>
      </c>
      <c r="AA1373" s="147" t="s">
        <v>659</v>
      </c>
    </row>
    <row r="1374" spans="1:27" ht="18.600000000000001" customHeight="1">
      <c r="A1374" s="143" t="str">
        <f>IF(priority(Main[[#This Row],[Comments]])&lt;&gt;0, priority(Main[[#This Row],[Comments]]),"")</f>
        <v/>
      </c>
      <c r="B1374" s="128" t="s">
        <v>1040</v>
      </c>
      <c r="C1374" s="129" t="s">
        <v>46</v>
      </c>
      <c r="D1374" s="161" t="s">
        <v>2163</v>
      </c>
      <c r="E1374" s="163">
        <v>40549.665949074071</v>
      </c>
      <c r="F1374" s="163">
        <v>40603</v>
      </c>
      <c r="G1374" s="165" t="str">
        <f>IF(stdProdLT(Main[[#This Row],[Comments]])=0.1,"N/A",IF(stdProdLT(Main[[#This Row],[Comments]])=0,"",stdProdLT(Main[[#This Row],[Comments]])))</f>
        <v/>
      </c>
      <c r="H1374" s="167" t="str">
        <f>IF(AND(Main[[#This Row],[In Stock Date]]&lt;&gt;"",Main[[#This Row],[Revised Due Date]]&lt;&gt;""),Main[[#This Row],[In Stock Date]]-Main[[#This Row],[Revised Due Date]],"")</f>
        <v/>
      </c>
      <c r="I1374" s="129" t="s">
        <v>173</v>
      </c>
      <c r="J1374" s="129" t="s">
        <v>70</v>
      </c>
      <c r="K1374" s="129" t="s">
        <v>1944</v>
      </c>
      <c r="L1374" s="163">
        <v>40751</v>
      </c>
      <c r="M1374" s="170" t="str">
        <f>IF(Main[[#This Row],[Tech Start Date]]&lt;1/1/1990,"",IF(Main[[#This Row],[Class]]="C",WORKDAY(Main[[#This Row],[Tech Start Date]],9),IF(Main[[#This Row],[Class]]="B", WORKDAY(Main[[#This Row],[Tech Start Date]],6),IF(Main[[#This Row],[Class]]="A",WORKDAY(Main[[#This Row],[Tech Start Date]],2),""))))</f>
        <v/>
      </c>
      <c r="N1374" s="170" t="str">
        <f>IF(Main[[#This Row],[Tech Start Date]]&lt;1/1/1990,"",IF(Main[[#This Row],[Class]]="C",WORKDAY(Main[[#This Row],[Tech Start Date]],19),IF(Main[[#This Row],[Class]]="B", WORKDAY(Main[[#This Row],[Tech Start Date]],12),IF(Main[[#This Row],[Class]]="A",WORKDAY(Main[[#This Row],[Tech Start Date]],4),""))))</f>
        <v/>
      </c>
      <c r="O1374" s="170" t="str">
        <f>IF(Main[[#This Row],[Tech Start Date]]&lt;1/1/1990,"",IF(Main[[#This Row],[Class]]="C",WORKDAY(Main[[#This Row],[Tech Start Date]],23),IF(Main[[#This Row],[Class]]="B", WORKDAY(Main[[#This Row],[Tech Start Date]],15),IF(Main[[#This Row],[Class]]="A",WORKDAY(Main[[#This Row],[Tech Start Date]],5),""))))</f>
        <v/>
      </c>
      <c r="P1374" s="170" t="str">
        <f>IF(Main[[#This Row],[Tech Start Date]]&lt;1/1/1990,"",IF(Main[[#This Row],[Class]]="C",WORKDAY(Main[[#This Row],[Tech Start Date]],28),IF(Main[[#This Row],[Class]]="B", WORKDAY(Main[[#This Row],[Tech Start Date]],19),IF(Main[[#This Row],[Class]]="A",WORKDAY(Main[[#This Row],[Tech Start Date]],9),""))))</f>
        <v/>
      </c>
      <c r="Q1374" s="163">
        <v>40603</v>
      </c>
      <c r="R1374" s="163"/>
      <c r="S1374" s="129" t="s">
        <v>17</v>
      </c>
      <c r="T1374" s="174" t="s">
        <v>4</v>
      </c>
      <c r="U1374" s="129" t="s">
        <v>29</v>
      </c>
      <c r="V1374" s="129" t="s">
        <v>1935</v>
      </c>
      <c r="W1374" s="129" t="s">
        <v>1937</v>
      </c>
      <c r="X1374" s="129" t="s">
        <v>559</v>
      </c>
      <c r="Y1374" s="129" t="s">
        <v>3047</v>
      </c>
      <c r="Z1374" s="129" t="s">
        <v>980</v>
      </c>
      <c r="AA1374" s="147" t="s">
        <v>559</v>
      </c>
    </row>
    <row r="1375" spans="1:27" ht="18.600000000000001" customHeight="1">
      <c r="A1375" s="143" t="str">
        <f>IF(priority(Main[[#This Row],[Comments]])&lt;&gt;0, priority(Main[[#This Row],[Comments]]),"")</f>
        <v/>
      </c>
      <c r="B1375" s="128" t="s">
        <v>2068</v>
      </c>
      <c r="C1375" s="129" t="s">
        <v>4</v>
      </c>
      <c r="D1375" s="161" t="s">
        <v>2076</v>
      </c>
      <c r="E1375" s="163"/>
      <c r="F1375" s="163"/>
      <c r="G1375" s="165" t="str">
        <f>IF(stdProdLT(Main[[#This Row],[Comments]])=0.1,"N/A",IF(stdProdLT(Main[[#This Row],[Comments]])=0,"",stdProdLT(Main[[#This Row],[Comments]])))</f>
        <v/>
      </c>
      <c r="H1375" s="167" t="str">
        <f>IF(AND(Main[[#This Row],[In Stock Date]]&lt;&gt;"",Main[[#This Row],[Revised Due Date]]&lt;&gt;""),Main[[#This Row],[In Stock Date]]-Main[[#This Row],[Revised Due Date]],"")</f>
        <v/>
      </c>
      <c r="I1375" s="129" t="s">
        <v>900</v>
      </c>
      <c r="J1375" s="129" t="s">
        <v>28</v>
      </c>
      <c r="K1375" s="129" t="s">
        <v>1941</v>
      </c>
      <c r="L1375" s="163">
        <v>40752</v>
      </c>
      <c r="M1375" s="170">
        <f>IF(Main[[#This Row],[Tech Start Date]]&lt;1/1/1990,"",IF(Main[[#This Row],[Class]]="C",WORKDAY(Main[[#This Row],[Tech Start Date]],9),IF(Main[[#This Row],[Class]]="B", WORKDAY(Main[[#This Row],[Tech Start Date]],6),IF(Main[[#This Row],[Class]]="A",WORKDAY(Main[[#This Row],[Tech Start Date]],2),""))))</f>
        <v>40756</v>
      </c>
      <c r="N1375" s="170">
        <f>IF(Main[[#This Row],[Tech Start Date]]&lt;1/1/1990,"",IF(Main[[#This Row],[Class]]="C",WORKDAY(Main[[#This Row],[Tech Start Date]],19),IF(Main[[#This Row],[Class]]="B", WORKDAY(Main[[#This Row],[Tech Start Date]],12),IF(Main[[#This Row],[Class]]="A",WORKDAY(Main[[#This Row],[Tech Start Date]],4),""))))</f>
        <v>40758</v>
      </c>
      <c r="O1375" s="170">
        <f>IF(Main[[#This Row],[Tech Start Date]]&lt;1/1/1990,"",IF(Main[[#This Row],[Class]]="C",WORKDAY(Main[[#This Row],[Tech Start Date]],23),IF(Main[[#This Row],[Class]]="B", WORKDAY(Main[[#This Row],[Tech Start Date]],15),IF(Main[[#This Row],[Class]]="A",WORKDAY(Main[[#This Row],[Tech Start Date]],5),""))))</f>
        <v>40759</v>
      </c>
      <c r="P1375" s="170">
        <f>IF(Main[[#This Row],[Tech Start Date]]&lt;1/1/1990,"",IF(Main[[#This Row],[Class]]="C",WORKDAY(Main[[#This Row],[Tech Start Date]],28),IF(Main[[#This Row],[Class]]="B", WORKDAY(Main[[#This Row],[Tech Start Date]],19),IF(Main[[#This Row],[Class]]="A",WORKDAY(Main[[#This Row],[Tech Start Date]],9),""))))</f>
        <v>40765</v>
      </c>
      <c r="Q1375" s="163">
        <v>40758</v>
      </c>
      <c r="R1375" s="163">
        <v>40786</v>
      </c>
      <c r="S1375" s="129" t="s">
        <v>6</v>
      </c>
      <c r="T1375" s="174" t="s">
        <v>4</v>
      </c>
      <c r="U1375" s="129" t="s">
        <v>14</v>
      </c>
      <c r="V1375" s="129" t="s">
        <v>1932</v>
      </c>
      <c r="W1375" s="129" t="s">
        <v>1936</v>
      </c>
      <c r="X1375" s="129" t="s">
        <v>888</v>
      </c>
      <c r="Y1375" s="129" t="s">
        <v>3104</v>
      </c>
      <c r="Z1375" s="129" t="s">
        <v>888</v>
      </c>
      <c r="AA1375" s="147" t="s">
        <v>888</v>
      </c>
    </row>
    <row r="1376" spans="1:27" ht="18.600000000000001" customHeight="1">
      <c r="A1376" s="143" t="str">
        <f>IF(priority(Main[[#This Row],[Comments]])&lt;&gt;0, priority(Main[[#This Row],[Comments]]),"")</f>
        <v/>
      </c>
      <c r="B1376" s="128" t="s">
        <v>1915</v>
      </c>
      <c r="C1376" s="129" t="s">
        <v>72</v>
      </c>
      <c r="D1376" s="161" t="s">
        <v>2164</v>
      </c>
      <c r="E1376" s="163">
        <v>40470.014479166668</v>
      </c>
      <c r="F1376" s="163">
        <v>40487</v>
      </c>
      <c r="G1376" s="165">
        <f>IF(stdProdLT(Main[[#This Row],[Comments]])=0.1,"N/A",IF(stdProdLT(Main[[#This Row],[Comments]])=0,"",stdProdLT(Main[[#This Row],[Comments]])))</f>
        <v>42</v>
      </c>
      <c r="H1376" s="167">
        <f>IF(AND(Main[[#This Row],[In Stock Date]]&lt;&gt;"",Main[[#This Row],[Revised Due Date]]&lt;&gt;""),Main[[#This Row],[In Stock Date]]-Main[[#This Row],[Revised Due Date]],"")</f>
        <v>-294</v>
      </c>
      <c r="I1376" s="129" t="s">
        <v>2075</v>
      </c>
      <c r="J1376" s="129" t="s">
        <v>52</v>
      </c>
      <c r="K1376" s="129" t="s">
        <v>1939</v>
      </c>
      <c r="L1376" s="163">
        <v>40756</v>
      </c>
      <c r="M1376" s="170">
        <f>IF(Main[[#This Row],[Tech Start Date]]&lt;1/1/1990,"",IF(Main[[#This Row],[Class]]="C",WORKDAY(Main[[#This Row],[Tech Start Date]],9),IF(Main[[#This Row],[Class]]="B", WORKDAY(Main[[#This Row],[Tech Start Date]],6),IF(Main[[#This Row],[Class]]="A",WORKDAY(Main[[#This Row],[Tech Start Date]],2),""))))</f>
        <v>40764</v>
      </c>
      <c r="N1376" s="170">
        <f>IF(Main[[#This Row],[Tech Start Date]]&lt;1/1/1990,"",IF(Main[[#This Row],[Class]]="C",WORKDAY(Main[[#This Row],[Tech Start Date]],19),IF(Main[[#This Row],[Class]]="B", WORKDAY(Main[[#This Row],[Tech Start Date]],12),IF(Main[[#This Row],[Class]]="A",WORKDAY(Main[[#This Row],[Tech Start Date]],4),""))))</f>
        <v>40772</v>
      </c>
      <c r="O1376" s="170">
        <f>IF(Main[[#This Row],[Tech Start Date]]&lt;1/1/1990,"",IF(Main[[#This Row],[Class]]="C",WORKDAY(Main[[#This Row],[Tech Start Date]],23),IF(Main[[#This Row],[Class]]="B", WORKDAY(Main[[#This Row],[Tech Start Date]],15),IF(Main[[#This Row],[Class]]="A",WORKDAY(Main[[#This Row],[Tech Start Date]],5),""))))</f>
        <v>40777</v>
      </c>
      <c r="P1376" s="170">
        <f>IF(Main[[#This Row],[Tech Start Date]]&lt;1/1/1990,"",IF(Main[[#This Row],[Class]]="C",WORKDAY(Main[[#This Row],[Tech Start Date]],28),IF(Main[[#This Row],[Class]]="B", WORKDAY(Main[[#This Row],[Tech Start Date]],19),IF(Main[[#This Row],[Class]]="A",WORKDAY(Main[[#This Row],[Tech Start Date]],9),""))))</f>
        <v>40781</v>
      </c>
      <c r="Q1376" s="163"/>
      <c r="R1376" s="163">
        <v>40781</v>
      </c>
      <c r="S1376" s="129" t="s">
        <v>6</v>
      </c>
      <c r="T1376" s="174" t="s">
        <v>2165</v>
      </c>
      <c r="U1376" s="129" t="s">
        <v>29</v>
      </c>
      <c r="V1376" s="129" t="s">
        <v>1933</v>
      </c>
      <c r="W1376" s="129" t="s">
        <v>1934</v>
      </c>
      <c r="X1376" s="129" t="s">
        <v>2992</v>
      </c>
      <c r="Y1376" s="129" t="s">
        <v>3174</v>
      </c>
      <c r="Z1376" s="129" t="s">
        <v>2075</v>
      </c>
      <c r="AA1376" s="147" t="s">
        <v>2992</v>
      </c>
    </row>
    <row r="1377" spans="1:27" ht="18.600000000000001" customHeight="1">
      <c r="A1377" s="143" t="str">
        <f>IF(priority(Main[[#This Row],[Comments]])&lt;&gt;0, priority(Main[[#This Row],[Comments]]),"")</f>
        <v/>
      </c>
      <c r="B1377" s="128" t="s">
        <v>1314</v>
      </c>
      <c r="C1377" s="129" t="s">
        <v>378</v>
      </c>
      <c r="D1377" s="161" t="s">
        <v>2291</v>
      </c>
      <c r="E1377" s="163">
        <v>40711.60083333333</v>
      </c>
      <c r="F1377" s="163">
        <v>40877</v>
      </c>
      <c r="G1377" s="165" t="str">
        <f>IF(stdProdLT(Main[[#This Row],[Comments]])=0.1,"N/A",IF(stdProdLT(Main[[#This Row],[Comments]])=0,"",stdProdLT(Main[[#This Row],[Comments]])))</f>
        <v/>
      </c>
      <c r="H1377" s="167">
        <f>IF(AND(Main[[#This Row],[In Stock Date]]&lt;&gt;"",Main[[#This Row],[Revised Due Date]]&lt;&gt;""),Main[[#This Row],[In Stock Date]]-Main[[#This Row],[Revised Due Date]],"")</f>
        <v>0</v>
      </c>
      <c r="I1377" s="129" t="s">
        <v>2066</v>
      </c>
      <c r="J1377" s="129" t="s">
        <v>28</v>
      </c>
      <c r="K1377" s="129" t="s">
        <v>1944</v>
      </c>
      <c r="L1377" s="163">
        <v>40767</v>
      </c>
      <c r="M1377" s="170" t="str">
        <f>IF(Main[[#This Row],[Tech Start Date]]&lt;1/1/1990,"",IF(Main[[#This Row],[Class]]="C",WORKDAY(Main[[#This Row],[Tech Start Date]],9),IF(Main[[#This Row],[Class]]="B", WORKDAY(Main[[#This Row],[Tech Start Date]],6),IF(Main[[#This Row],[Class]]="A",WORKDAY(Main[[#This Row],[Tech Start Date]],2),""))))</f>
        <v/>
      </c>
      <c r="N1377" s="170" t="str">
        <f>IF(Main[[#This Row],[Tech Start Date]]&lt;1/1/1990,"",IF(Main[[#This Row],[Class]]="C",WORKDAY(Main[[#This Row],[Tech Start Date]],19),IF(Main[[#This Row],[Class]]="B", WORKDAY(Main[[#This Row],[Tech Start Date]],12),IF(Main[[#This Row],[Class]]="A",WORKDAY(Main[[#This Row],[Tech Start Date]],4),""))))</f>
        <v/>
      </c>
      <c r="O1377" s="170" t="str">
        <f>IF(Main[[#This Row],[Tech Start Date]]&lt;1/1/1990,"",IF(Main[[#This Row],[Class]]="C",WORKDAY(Main[[#This Row],[Tech Start Date]],23),IF(Main[[#This Row],[Class]]="B", WORKDAY(Main[[#This Row],[Tech Start Date]],15),IF(Main[[#This Row],[Class]]="A",WORKDAY(Main[[#This Row],[Tech Start Date]],5),""))))</f>
        <v/>
      </c>
      <c r="P1377" s="170" t="str">
        <f>IF(Main[[#This Row],[Tech Start Date]]&lt;1/1/1990,"",IF(Main[[#This Row],[Class]]="C",WORKDAY(Main[[#This Row],[Tech Start Date]],28),IF(Main[[#This Row],[Class]]="B", WORKDAY(Main[[#This Row],[Tech Start Date]],19),IF(Main[[#This Row],[Class]]="A",WORKDAY(Main[[#This Row],[Tech Start Date]],9),""))))</f>
        <v/>
      </c>
      <c r="Q1377" s="163">
        <v>40877</v>
      </c>
      <c r="R1377" s="163">
        <v>40877</v>
      </c>
      <c r="S1377" s="129" t="s">
        <v>17</v>
      </c>
      <c r="T1377" s="174" t="s">
        <v>4</v>
      </c>
      <c r="U1377" s="129" t="s">
        <v>29</v>
      </c>
      <c r="V1377" s="129" t="s">
        <v>1935</v>
      </c>
      <c r="W1377" s="129" t="s">
        <v>1940</v>
      </c>
      <c r="X1377" s="129" t="s">
        <v>559</v>
      </c>
      <c r="Y1377" s="129" t="s">
        <v>3047</v>
      </c>
      <c r="Z1377" s="129" t="s">
        <v>535</v>
      </c>
      <c r="AA1377" s="147" t="s">
        <v>559</v>
      </c>
    </row>
    <row r="1378" spans="1:27" ht="18.600000000000001" customHeight="1">
      <c r="A1378" s="143" t="str">
        <f>IF(priority(Main[[#This Row],[Comments]])&lt;&gt;0, priority(Main[[#This Row],[Comments]]),"")</f>
        <v/>
      </c>
      <c r="B1378" s="128" t="s">
        <v>2169</v>
      </c>
      <c r="C1378" s="129" t="s">
        <v>4</v>
      </c>
      <c r="D1378" s="161" t="s">
        <v>2660</v>
      </c>
      <c r="E1378" s="163">
        <v>40772.447592592594</v>
      </c>
      <c r="F1378" s="163"/>
      <c r="G1378" s="165" t="str">
        <f>IF(stdProdLT(Main[[#This Row],[Comments]])=0.1,"N/A",IF(stdProdLT(Main[[#This Row],[Comments]])=0,"",stdProdLT(Main[[#This Row],[Comments]])))</f>
        <v/>
      </c>
      <c r="H1378" s="167" t="str">
        <f>IF(AND(Main[[#This Row],[In Stock Date]]&lt;&gt;"",Main[[#This Row],[Revised Due Date]]&lt;&gt;""),Main[[#This Row],[In Stock Date]]-Main[[#This Row],[Revised Due Date]],"")</f>
        <v/>
      </c>
      <c r="I1378" s="129" t="s">
        <v>888</v>
      </c>
      <c r="J1378" s="129" t="s">
        <v>28</v>
      </c>
      <c r="K1378" s="129" t="s">
        <v>1945</v>
      </c>
      <c r="L1378" s="163">
        <v>40772</v>
      </c>
      <c r="M1378" s="170">
        <f>IF(Main[[#This Row],[Tech Start Date]]&lt;1/1/1990,"",IF(Main[[#This Row],[Class]]="C",WORKDAY(Main[[#This Row],[Tech Start Date]],9),IF(Main[[#This Row],[Class]]="B", WORKDAY(Main[[#This Row],[Tech Start Date]],6),IF(Main[[#This Row],[Class]]="A",WORKDAY(Main[[#This Row],[Tech Start Date]],2),""))))</f>
        <v>40785</v>
      </c>
      <c r="N1378" s="170">
        <f>IF(Main[[#This Row],[Tech Start Date]]&lt;1/1/1990,"",IF(Main[[#This Row],[Class]]="C",WORKDAY(Main[[#This Row],[Tech Start Date]],19),IF(Main[[#This Row],[Class]]="B", WORKDAY(Main[[#This Row],[Tech Start Date]],12),IF(Main[[#This Row],[Class]]="A",WORKDAY(Main[[#This Row],[Tech Start Date]],4),""))))</f>
        <v>40799</v>
      </c>
      <c r="O1378" s="170">
        <f>IF(Main[[#This Row],[Tech Start Date]]&lt;1/1/1990,"",IF(Main[[#This Row],[Class]]="C",WORKDAY(Main[[#This Row],[Tech Start Date]],23),IF(Main[[#This Row],[Class]]="B", WORKDAY(Main[[#This Row],[Tech Start Date]],15),IF(Main[[#This Row],[Class]]="A",WORKDAY(Main[[#This Row],[Tech Start Date]],5),""))))</f>
        <v>40805</v>
      </c>
      <c r="P1378" s="170">
        <f>IF(Main[[#This Row],[Tech Start Date]]&lt;1/1/1990,"",IF(Main[[#This Row],[Class]]="C",WORKDAY(Main[[#This Row],[Tech Start Date]],28),IF(Main[[#This Row],[Class]]="B", WORKDAY(Main[[#This Row],[Tech Start Date]],19),IF(Main[[#This Row],[Class]]="A",WORKDAY(Main[[#This Row],[Tech Start Date]],9),""))))</f>
        <v>40812</v>
      </c>
      <c r="Q1378" s="163">
        <v>40786</v>
      </c>
      <c r="R1378" s="163">
        <v>40907</v>
      </c>
      <c r="S1378" s="129" t="s">
        <v>17</v>
      </c>
      <c r="T1378" s="174" t="s">
        <v>2350</v>
      </c>
      <c r="U1378" s="129" t="s">
        <v>29</v>
      </c>
      <c r="V1378" s="129" t="s">
        <v>1932</v>
      </c>
      <c r="W1378" s="129" t="s">
        <v>1934</v>
      </c>
      <c r="X1378" s="129" t="s">
        <v>888</v>
      </c>
      <c r="Y1378" s="129" t="s">
        <v>3104</v>
      </c>
      <c r="Z1378" s="129" t="s">
        <v>129</v>
      </c>
      <c r="AA1378" s="147" t="s">
        <v>888</v>
      </c>
    </row>
    <row r="1379" spans="1:27" ht="18.600000000000001" customHeight="1">
      <c r="A1379" s="143" t="str">
        <f>IF(priority(Main[[#This Row],[Comments]])&lt;&gt;0, priority(Main[[#This Row],[Comments]]),"")</f>
        <v/>
      </c>
      <c r="B1379" s="128" t="s">
        <v>2168</v>
      </c>
      <c r="C1379" s="129" t="s">
        <v>4</v>
      </c>
      <c r="D1379" s="161" t="s">
        <v>2877</v>
      </c>
      <c r="E1379" s="163">
        <v>40772.344918981478</v>
      </c>
      <c r="F1379" s="163"/>
      <c r="G1379" s="165" t="str">
        <f>IF(stdProdLT(Main[[#This Row],[Comments]])=0.1,"N/A",IF(stdProdLT(Main[[#This Row],[Comments]])=0,"",stdProdLT(Main[[#This Row],[Comments]])))</f>
        <v/>
      </c>
      <c r="H1379" s="167" t="str">
        <f>IF(AND(Main[[#This Row],[In Stock Date]]&lt;&gt;"",Main[[#This Row],[Revised Due Date]]&lt;&gt;""),Main[[#This Row],[In Stock Date]]-Main[[#This Row],[Revised Due Date]],"")</f>
        <v/>
      </c>
      <c r="I1379" s="129" t="s">
        <v>888</v>
      </c>
      <c r="J1379" s="129" t="s">
        <v>28</v>
      </c>
      <c r="K1379" s="129" t="s">
        <v>1939</v>
      </c>
      <c r="L1379" s="163">
        <v>40772</v>
      </c>
      <c r="M1379" s="170">
        <f>IF(Main[[#This Row],[Tech Start Date]]&lt;1/1/1990,"",IF(Main[[#This Row],[Class]]="C",WORKDAY(Main[[#This Row],[Tech Start Date]],9),IF(Main[[#This Row],[Class]]="B", WORKDAY(Main[[#This Row],[Tech Start Date]],6),IF(Main[[#This Row],[Class]]="A",WORKDAY(Main[[#This Row],[Tech Start Date]],2),""))))</f>
        <v>40780</v>
      </c>
      <c r="N1379" s="170">
        <f>IF(Main[[#This Row],[Tech Start Date]]&lt;1/1/1990,"",IF(Main[[#This Row],[Class]]="C",WORKDAY(Main[[#This Row],[Tech Start Date]],19),IF(Main[[#This Row],[Class]]="B", WORKDAY(Main[[#This Row],[Tech Start Date]],12),IF(Main[[#This Row],[Class]]="A",WORKDAY(Main[[#This Row],[Tech Start Date]],4),""))))</f>
        <v>40788</v>
      </c>
      <c r="O1379" s="170">
        <f>IF(Main[[#This Row],[Tech Start Date]]&lt;1/1/1990,"",IF(Main[[#This Row],[Class]]="C",WORKDAY(Main[[#This Row],[Tech Start Date]],23),IF(Main[[#This Row],[Class]]="B", WORKDAY(Main[[#This Row],[Tech Start Date]],15),IF(Main[[#This Row],[Class]]="A",WORKDAY(Main[[#This Row],[Tech Start Date]],5),""))))</f>
        <v>40793</v>
      </c>
      <c r="P1379" s="170">
        <f>IF(Main[[#This Row],[Tech Start Date]]&lt;1/1/1990,"",IF(Main[[#This Row],[Class]]="C",WORKDAY(Main[[#This Row],[Tech Start Date]],28),IF(Main[[#This Row],[Class]]="B", WORKDAY(Main[[#This Row],[Tech Start Date]],19),IF(Main[[#This Row],[Class]]="A",WORKDAY(Main[[#This Row],[Tech Start Date]],9),""))))</f>
        <v>40799</v>
      </c>
      <c r="Q1379" s="163">
        <v>40779</v>
      </c>
      <c r="R1379" s="163">
        <v>40907</v>
      </c>
      <c r="S1379" s="129" t="s">
        <v>6</v>
      </c>
      <c r="T1379" s="174" t="s">
        <v>4</v>
      </c>
      <c r="U1379" s="129" t="s">
        <v>29</v>
      </c>
      <c r="V1379" s="129" t="s">
        <v>1932</v>
      </c>
      <c r="W1379" s="129" t="s">
        <v>1940</v>
      </c>
      <c r="X1379" s="129" t="s">
        <v>888</v>
      </c>
      <c r="Y1379" s="129" t="s">
        <v>4</v>
      </c>
      <c r="Z1379" s="129" t="s">
        <v>129</v>
      </c>
      <c r="AA1379" s="147" t="s">
        <v>3718</v>
      </c>
    </row>
    <row r="1380" spans="1:27" ht="18.600000000000001" customHeight="1">
      <c r="A1380" s="143" t="str">
        <f>IF(priority(Main[[#This Row],[Comments]])&lt;&gt;0, priority(Main[[#This Row],[Comments]]),"")</f>
        <v/>
      </c>
      <c r="B1380" s="128" t="s">
        <v>2173</v>
      </c>
      <c r="C1380" s="129" t="s">
        <v>53</v>
      </c>
      <c r="D1380" s="161" t="s">
        <v>2174</v>
      </c>
      <c r="E1380" s="163">
        <v>40774.327164351853</v>
      </c>
      <c r="F1380" s="163">
        <v>40786</v>
      </c>
      <c r="G1380" s="165" t="str">
        <f>IF(stdProdLT(Main[[#This Row],[Comments]])=0.1,"N/A",IF(stdProdLT(Main[[#This Row],[Comments]])=0,"",stdProdLT(Main[[#This Row],[Comments]])))</f>
        <v/>
      </c>
      <c r="H1380" s="167">
        <f>IF(AND(Main[[#This Row],[In Stock Date]]&lt;&gt;"",Main[[#This Row],[Revised Due Date]]&lt;&gt;""),Main[[#This Row],[In Stock Date]]-Main[[#This Row],[Revised Due Date]],"")</f>
        <v>-6</v>
      </c>
      <c r="I1380" s="129" t="s">
        <v>2075</v>
      </c>
      <c r="J1380" s="129" t="s">
        <v>52</v>
      </c>
      <c r="K1380" s="129" t="s">
        <v>1941</v>
      </c>
      <c r="L1380" s="163">
        <v>40777</v>
      </c>
      <c r="M1380" s="170">
        <f>IF(Main[[#This Row],[Tech Start Date]]&lt;1/1/1990,"",IF(Main[[#This Row],[Class]]="C",WORKDAY(Main[[#This Row],[Tech Start Date]],9),IF(Main[[#This Row],[Class]]="B", WORKDAY(Main[[#This Row],[Tech Start Date]],6),IF(Main[[#This Row],[Class]]="A",WORKDAY(Main[[#This Row],[Tech Start Date]],2),""))))</f>
        <v>40779</v>
      </c>
      <c r="N1380" s="170">
        <f>IF(Main[[#This Row],[Tech Start Date]]&lt;1/1/1990,"",IF(Main[[#This Row],[Class]]="C",WORKDAY(Main[[#This Row],[Tech Start Date]],19),IF(Main[[#This Row],[Class]]="B", WORKDAY(Main[[#This Row],[Tech Start Date]],12),IF(Main[[#This Row],[Class]]="A",WORKDAY(Main[[#This Row],[Tech Start Date]],4),""))))</f>
        <v>40781</v>
      </c>
      <c r="O1380" s="170">
        <f>IF(Main[[#This Row],[Tech Start Date]]&lt;1/1/1990,"",IF(Main[[#This Row],[Class]]="C",WORKDAY(Main[[#This Row],[Tech Start Date]],23),IF(Main[[#This Row],[Class]]="B", WORKDAY(Main[[#This Row],[Tech Start Date]],15),IF(Main[[#This Row],[Class]]="A",WORKDAY(Main[[#This Row],[Tech Start Date]],5),""))))</f>
        <v>40784</v>
      </c>
      <c r="P1380" s="170">
        <f>IF(Main[[#This Row],[Tech Start Date]]&lt;1/1/1990,"",IF(Main[[#This Row],[Class]]="C",WORKDAY(Main[[#This Row],[Tech Start Date]],28),IF(Main[[#This Row],[Class]]="B", WORKDAY(Main[[#This Row],[Tech Start Date]],19),IF(Main[[#This Row],[Class]]="A",WORKDAY(Main[[#This Row],[Tech Start Date]],9),""))))</f>
        <v>40788</v>
      </c>
      <c r="Q1380" s="163"/>
      <c r="R1380" s="163">
        <v>40792</v>
      </c>
      <c r="S1380" s="129" t="s">
        <v>6</v>
      </c>
      <c r="T1380" s="174" t="s">
        <v>4</v>
      </c>
      <c r="U1380" s="129" t="s">
        <v>29</v>
      </c>
      <c r="V1380" s="129" t="s">
        <v>1933</v>
      </c>
      <c r="W1380" s="129" t="s">
        <v>1934</v>
      </c>
      <c r="X1380" s="129" t="s">
        <v>2906</v>
      </c>
      <c r="Y1380" s="129" t="s">
        <v>3088</v>
      </c>
      <c r="Z1380" s="129" t="s">
        <v>2075</v>
      </c>
      <c r="AA1380" s="147" t="s">
        <v>2906</v>
      </c>
    </row>
    <row r="1381" spans="1:27" ht="18.600000000000001" customHeight="1">
      <c r="A1381" s="143" t="str">
        <f>IF(priority(Main[[#This Row],[Comments]])&lt;&gt;0, priority(Main[[#This Row],[Comments]]),"")</f>
        <v/>
      </c>
      <c r="B1381" s="128" t="s">
        <v>2175</v>
      </c>
      <c r="C1381" s="129" t="s">
        <v>2176</v>
      </c>
      <c r="D1381" s="161" t="s">
        <v>2177</v>
      </c>
      <c r="E1381" s="163">
        <v>40778.69290509259</v>
      </c>
      <c r="F1381" s="163"/>
      <c r="G1381" s="165" t="str">
        <f>IF(stdProdLT(Main[[#This Row],[Comments]])=0.1,"N/A",IF(stdProdLT(Main[[#This Row],[Comments]])=0,"",stdProdLT(Main[[#This Row],[Comments]])))</f>
        <v/>
      </c>
      <c r="H1381" s="167" t="str">
        <f>IF(AND(Main[[#This Row],[In Stock Date]]&lt;&gt;"",Main[[#This Row],[Revised Due Date]]&lt;&gt;""),Main[[#This Row],[In Stock Date]]-Main[[#This Row],[Revised Due Date]],"")</f>
        <v/>
      </c>
      <c r="I1381" s="129" t="s">
        <v>953</v>
      </c>
      <c r="J1381" s="129" t="s">
        <v>28</v>
      </c>
      <c r="K1381" s="129" t="s">
        <v>1939</v>
      </c>
      <c r="L1381" s="163">
        <v>40778</v>
      </c>
      <c r="M1381" s="170">
        <f>IF(Main[[#This Row],[Tech Start Date]]&lt;1/1/1990,"",IF(Main[[#This Row],[Class]]="C",WORKDAY(Main[[#This Row],[Tech Start Date]],9),IF(Main[[#This Row],[Class]]="B", WORKDAY(Main[[#This Row],[Tech Start Date]],6),IF(Main[[#This Row],[Class]]="A",WORKDAY(Main[[#This Row],[Tech Start Date]],2),""))))</f>
        <v>40786</v>
      </c>
      <c r="N1381" s="170">
        <f>IF(Main[[#This Row],[Tech Start Date]]&lt;1/1/1990,"",IF(Main[[#This Row],[Class]]="C",WORKDAY(Main[[#This Row],[Tech Start Date]],19),IF(Main[[#This Row],[Class]]="B", WORKDAY(Main[[#This Row],[Tech Start Date]],12),IF(Main[[#This Row],[Class]]="A",WORKDAY(Main[[#This Row],[Tech Start Date]],4),""))))</f>
        <v>40794</v>
      </c>
      <c r="O1381" s="170">
        <f>IF(Main[[#This Row],[Tech Start Date]]&lt;1/1/1990,"",IF(Main[[#This Row],[Class]]="C",WORKDAY(Main[[#This Row],[Tech Start Date]],23),IF(Main[[#This Row],[Class]]="B", WORKDAY(Main[[#This Row],[Tech Start Date]],15),IF(Main[[#This Row],[Class]]="A",WORKDAY(Main[[#This Row],[Tech Start Date]],5),""))))</f>
        <v>40799</v>
      </c>
      <c r="P1381" s="170">
        <f>IF(Main[[#This Row],[Tech Start Date]]&lt;1/1/1990,"",IF(Main[[#This Row],[Class]]="C",WORKDAY(Main[[#This Row],[Tech Start Date]],28),IF(Main[[#This Row],[Class]]="B", WORKDAY(Main[[#This Row],[Tech Start Date]],19),IF(Main[[#This Row],[Class]]="A",WORKDAY(Main[[#This Row],[Tech Start Date]],9),""))))</f>
        <v>40805</v>
      </c>
      <c r="Q1381" s="163"/>
      <c r="R1381" s="163">
        <v>40807</v>
      </c>
      <c r="S1381" s="129" t="s">
        <v>6</v>
      </c>
      <c r="T1381" s="174" t="s">
        <v>4</v>
      </c>
      <c r="U1381" s="129" t="s">
        <v>29</v>
      </c>
      <c r="V1381" s="129" t="s">
        <v>1933</v>
      </c>
      <c r="W1381" s="129" t="s">
        <v>1936</v>
      </c>
      <c r="X1381" s="129" t="s">
        <v>2075</v>
      </c>
      <c r="Y1381" s="129" t="s">
        <v>3250</v>
      </c>
      <c r="Z1381" s="129" t="s">
        <v>2075</v>
      </c>
      <c r="AA1381" s="147" t="s">
        <v>2075</v>
      </c>
    </row>
    <row r="1382" spans="1:27" ht="18.600000000000001" customHeight="1">
      <c r="A1382" s="143" t="str">
        <f>IF(priority(Main[[#This Row],[Comments]])&lt;&gt;0, priority(Main[[#This Row],[Comments]]),"")</f>
        <v/>
      </c>
      <c r="B1382" s="128" t="s">
        <v>2179</v>
      </c>
      <c r="C1382" s="129" t="s">
        <v>2176</v>
      </c>
      <c r="D1382" s="161" t="s">
        <v>2180</v>
      </c>
      <c r="E1382" s="163">
        <v>40778.690706018519</v>
      </c>
      <c r="F1382" s="163"/>
      <c r="G1382" s="165" t="str">
        <f>IF(stdProdLT(Main[[#This Row],[Comments]])=0.1,"N/A",IF(stdProdLT(Main[[#This Row],[Comments]])=0,"",stdProdLT(Main[[#This Row],[Comments]])))</f>
        <v/>
      </c>
      <c r="H1382" s="167" t="str">
        <f>IF(AND(Main[[#This Row],[In Stock Date]]&lt;&gt;"",Main[[#This Row],[Revised Due Date]]&lt;&gt;""),Main[[#This Row],[In Stock Date]]-Main[[#This Row],[Revised Due Date]],"")</f>
        <v/>
      </c>
      <c r="I1382" s="129" t="s">
        <v>953</v>
      </c>
      <c r="J1382" s="129" t="s">
        <v>28</v>
      </c>
      <c r="K1382" s="129" t="s">
        <v>1941</v>
      </c>
      <c r="L1382" s="163">
        <v>40778</v>
      </c>
      <c r="M1382" s="170">
        <f>IF(Main[[#This Row],[Tech Start Date]]&lt;1/1/1990,"",IF(Main[[#This Row],[Class]]="C",WORKDAY(Main[[#This Row],[Tech Start Date]],9),IF(Main[[#This Row],[Class]]="B", WORKDAY(Main[[#This Row],[Tech Start Date]],6),IF(Main[[#This Row],[Class]]="A",WORKDAY(Main[[#This Row],[Tech Start Date]],2),""))))</f>
        <v>40780</v>
      </c>
      <c r="N1382" s="170">
        <f>IF(Main[[#This Row],[Tech Start Date]]&lt;1/1/1990,"",IF(Main[[#This Row],[Class]]="C",WORKDAY(Main[[#This Row],[Tech Start Date]],19),IF(Main[[#This Row],[Class]]="B", WORKDAY(Main[[#This Row],[Tech Start Date]],12),IF(Main[[#This Row],[Class]]="A",WORKDAY(Main[[#This Row],[Tech Start Date]],4),""))))</f>
        <v>40784</v>
      </c>
      <c r="O1382" s="170">
        <f>IF(Main[[#This Row],[Tech Start Date]]&lt;1/1/1990,"",IF(Main[[#This Row],[Class]]="C",WORKDAY(Main[[#This Row],[Tech Start Date]],23),IF(Main[[#This Row],[Class]]="B", WORKDAY(Main[[#This Row],[Tech Start Date]],15),IF(Main[[#This Row],[Class]]="A",WORKDAY(Main[[#This Row],[Tech Start Date]],5),""))))</f>
        <v>40785</v>
      </c>
      <c r="P1382" s="170">
        <f>IF(Main[[#This Row],[Tech Start Date]]&lt;1/1/1990,"",IF(Main[[#This Row],[Class]]="C",WORKDAY(Main[[#This Row],[Tech Start Date]],28),IF(Main[[#This Row],[Class]]="B", WORKDAY(Main[[#This Row],[Tech Start Date]],19),IF(Main[[#This Row],[Class]]="A",WORKDAY(Main[[#This Row],[Tech Start Date]],9),""))))</f>
        <v>40791</v>
      </c>
      <c r="Q1382" s="163"/>
      <c r="R1382" s="163">
        <v>40807</v>
      </c>
      <c r="S1382" s="129" t="s">
        <v>6</v>
      </c>
      <c r="T1382" s="174" t="s">
        <v>4</v>
      </c>
      <c r="U1382" s="129" t="s">
        <v>29</v>
      </c>
      <c r="V1382" s="129" t="s">
        <v>1933</v>
      </c>
      <c r="W1382" s="129" t="s">
        <v>1934</v>
      </c>
      <c r="X1382" s="129" t="s">
        <v>2075</v>
      </c>
      <c r="Y1382" s="129" t="s">
        <v>3250</v>
      </c>
      <c r="Z1382" s="129" t="s">
        <v>2075</v>
      </c>
      <c r="AA1382" s="147" t="s">
        <v>2075</v>
      </c>
    </row>
    <row r="1383" spans="1:27" ht="18.600000000000001" customHeight="1">
      <c r="A1383" s="143" t="str">
        <f>IF(priority(Main[[#This Row],[Comments]])&lt;&gt;0, priority(Main[[#This Row],[Comments]]),"")</f>
        <v/>
      </c>
      <c r="B1383" s="128" t="s">
        <v>2235</v>
      </c>
      <c r="C1383" s="129" t="s">
        <v>2236</v>
      </c>
      <c r="D1383" s="161" t="s">
        <v>2879</v>
      </c>
      <c r="E1383" s="163"/>
      <c r="F1383" s="163">
        <v>40940</v>
      </c>
      <c r="G1383" s="165">
        <f>IF(stdProdLT(Main[[#This Row],[Comments]])=0.1,"N/A",IF(stdProdLT(Main[[#This Row],[Comments]])=0,"",stdProdLT(Main[[#This Row],[Comments]])))</f>
        <v>112</v>
      </c>
      <c r="H1383" s="167" t="str">
        <f>IF(AND(Main[[#This Row],[In Stock Date]]&lt;&gt;"",Main[[#This Row],[Revised Due Date]]&lt;&gt;""),Main[[#This Row],[In Stock Date]]-Main[[#This Row],[Revised Due Date]],"")</f>
        <v/>
      </c>
      <c r="I1383" s="129" t="s">
        <v>949</v>
      </c>
      <c r="J1383" s="129" t="s">
        <v>28</v>
      </c>
      <c r="K1383" s="129" t="s">
        <v>1939</v>
      </c>
      <c r="L1383" s="163">
        <v>40792</v>
      </c>
      <c r="M1383" s="170">
        <f>IF(Main[[#This Row],[Tech Start Date]]&lt;1/1/1990,"",IF(Main[[#This Row],[Class]]="C",WORKDAY(Main[[#This Row],[Tech Start Date]],9),IF(Main[[#This Row],[Class]]="B", WORKDAY(Main[[#This Row],[Tech Start Date]],6),IF(Main[[#This Row],[Class]]="A",WORKDAY(Main[[#This Row],[Tech Start Date]],2),""))))</f>
        <v>40800</v>
      </c>
      <c r="N1383" s="170">
        <f>IF(Main[[#This Row],[Tech Start Date]]&lt;1/1/1990,"",IF(Main[[#This Row],[Class]]="C",WORKDAY(Main[[#This Row],[Tech Start Date]],19),IF(Main[[#This Row],[Class]]="B", WORKDAY(Main[[#This Row],[Tech Start Date]],12),IF(Main[[#This Row],[Class]]="A",WORKDAY(Main[[#This Row],[Tech Start Date]],4),""))))</f>
        <v>40808</v>
      </c>
      <c r="O1383" s="170">
        <f>IF(Main[[#This Row],[Tech Start Date]]&lt;1/1/1990,"",IF(Main[[#This Row],[Class]]="C",WORKDAY(Main[[#This Row],[Tech Start Date]],23),IF(Main[[#This Row],[Class]]="B", WORKDAY(Main[[#This Row],[Tech Start Date]],15),IF(Main[[#This Row],[Class]]="A",WORKDAY(Main[[#This Row],[Tech Start Date]],5),""))))</f>
        <v>40813</v>
      </c>
      <c r="P1383" s="170">
        <f>IF(Main[[#This Row],[Tech Start Date]]&lt;1/1/1990,"",IF(Main[[#This Row],[Class]]="C",WORKDAY(Main[[#This Row],[Tech Start Date]],28),IF(Main[[#This Row],[Class]]="B", WORKDAY(Main[[#This Row],[Tech Start Date]],19),IF(Main[[#This Row],[Class]]="A",WORKDAY(Main[[#This Row],[Tech Start Date]],9),""))))</f>
        <v>40819</v>
      </c>
      <c r="Q1383" s="163">
        <v>40792</v>
      </c>
      <c r="R1383" s="163"/>
      <c r="S1383" s="129" t="s">
        <v>11</v>
      </c>
      <c r="T1383" s="174" t="s">
        <v>3482</v>
      </c>
      <c r="U1383" s="129" t="s">
        <v>14</v>
      </c>
      <c r="V1383" s="129" t="s">
        <v>1932</v>
      </c>
      <c r="W1383" s="129" t="s">
        <v>1937</v>
      </c>
      <c r="X1383" s="129" t="s">
        <v>2923</v>
      </c>
      <c r="Y1383" s="129" t="s">
        <v>3078</v>
      </c>
      <c r="Z1383" s="129" t="s">
        <v>129</v>
      </c>
      <c r="AA1383" s="147" t="s">
        <v>2940</v>
      </c>
    </row>
    <row r="1384" spans="1:27" ht="18.600000000000001" customHeight="1">
      <c r="A1384" s="143" t="str">
        <f>IF(priority(Main[[#This Row],[Comments]])&lt;&gt;0, priority(Main[[#This Row],[Comments]]),"")</f>
        <v/>
      </c>
      <c r="B1384" s="128" t="s">
        <v>2277</v>
      </c>
      <c r="C1384" s="129" t="s">
        <v>149</v>
      </c>
      <c r="D1384" s="161" t="s">
        <v>2708</v>
      </c>
      <c r="E1384" s="163">
        <v>40794.58861111111</v>
      </c>
      <c r="F1384" s="163">
        <v>41096</v>
      </c>
      <c r="G1384" s="165">
        <f>IF(stdProdLT(Main[[#This Row],[Comments]])=0.1,"N/A",IF(stdProdLT(Main[[#This Row],[Comments]])=0,"",stdProdLT(Main[[#This Row],[Comments]])))</f>
        <v>168</v>
      </c>
      <c r="H1384" s="167" t="str">
        <f>IF(AND(Main[[#This Row],[In Stock Date]]&lt;&gt;"",Main[[#This Row],[Revised Due Date]]&lt;&gt;""),Main[[#This Row],[In Stock Date]]-Main[[#This Row],[Revised Due Date]],"")</f>
        <v/>
      </c>
      <c r="I1384" s="129" t="s">
        <v>81</v>
      </c>
      <c r="J1384" s="129" t="s">
        <v>52</v>
      </c>
      <c r="K1384" s="129" t="s">
        <v>1945</v>
      </c>
      <c r="L1384" s="163">
        <v>40795</v>
      </c>
      <c r="M1384" s="170">
        <f>IF(Main[[#This Row],[Tech Start Date]]&lt;1/1/1990,"",IF(Main[[#This Row],[Class]]="C",WORKDAY(Main[[#This Row],[Tech Start Date]],9),IF(Main[[#This Row],[Class]]="B", WORKDAY(Main[[#This Row],[Tech Start Date]],6),IF(Main[[#This Row],[Class]]="A",WORKDAY(Main[[#This Row],[Tech Start Date]],2),""))))</f>
        <v>40808</v>
      </c>
      <c r="N1384" s="170">
        <f>IF(Main[[#This Row],[Tech Start Date]]&lt;1/1/1990,"",IF(Main[[#This Row],[Class]]="C",WORKDAY(Main[[#This Row],[Tech Start Date]],19),IF(Main[[#This Row],[Class]]="B", WORKDAY(Main[[#This Row],[Tech Start Date]],12),IF(Main[[#This Row],[Class]]="A",WORKDAY(Main[[#This Row],[Tech Start Date]],4),""))))</f>
        <v>40822</v>
      </c>
      <c r="O1384" s="170">
        <f>IF(Main[[#This Row],[Tech Start Date]]&lt;1/1/1990,"",IF(Main[[#This Row],[Class]]="C",WORKDAY(Main[[#This Row],[Tech Start Date]],23),IF(Main[[#This Row],[Class]]="B", WORKDAY(Main[[#This Row],[Tech Start Date]],15),IF(Main[[#This Row],[Class]]="A",WORKDAY(Main[[#This Row],[Tech Start Date]],5),""))))</f>
        <v>40828</v>
      </c>
      <c r="P1384" s="170">
        <f>IF(Main[[#This Row],[Tech Start Date]]&lt;1/1/1990,"",IF(Main[[#This Row],[Class]]="C",WORKDAY(Main[[#This Row],[Tech Start Date]],28),IF(Main[[#This Row],[Class]]="B", WORKDAY(Main[[#This Row],[Tech Start Date]],19),IF(Main[[#This Row],[Class]]="A",WORKDAY(Main[[#This Row],[Tech Start Date]],9),""))))</f>
        <v>40835</v>
      </c>
      <c r="Q1384" s="163">
        <v>40971</v>
      </c>
      <c r="R1384" s="163"/>
      <c r="S1384" s="129" t="s">
        <v>11</v>
      </c>
      <c r="T1384" s="174" t="s">
        <v>3605</v>
      </c>
      <c r="U1384" s="129" t="s">
        <v>539</v>
      </c>
      <c r="V1384" s="129" t="s">
        <v>1935</v>
      </c>
      <c r="W1384" s="129" t="s">
        <v>1940</v>
      </c>
      <c r="X1384" s="129" t="s">
        <v>2982</v>
      </c>
      <c r="Y1384" s="129" t="s">
        <v>3198</v>
      </c>
      <c r="Z1384" s="129" t="s">
        <v>775</v>
      </c>
      <c r="AA1384" s="147" t="s">
        <v>2982</v>
      </c>
    </row>
    <row r="1385" spans="1:27" ht="18.600000000000001" customHeight="1">
      <c r="A1385" s="143" t="str">
        <f>IF(priority(Main[[#This Row],[Comments]])&lt;&gt;0, priority(Main[[#This Row],[Comments]]),"")</f>
        <v/>
      </c>
      <c r="B1385" s="128" t="s">
        <v>2227</v>
      </c>
      <c r="C1385" s="129" t="s">
        <v>116</v>
      </c>
      <c r="D1385" s="161" t="s">
        <v>2228</v>
      </c>
      <c r="E1385" s="163">
        <v>40787.614270833335</v>
      </c>
      <c r="F1385" s="163"/>
      <c r="G1385" s="165" t="str">
        <f>IF(stdProdLT(Main[[#This Row],[Comments]])=0.1,"N/A",IF(stdProdLT(Main[[#This Row],[Comments]])=0,"",stdProdLT(Main[[#This Row],[Comments]])))</f>
        <v/>
      </c>
      <c r="H1385" s="167" t="str">
        <f>IF(AND(Main[[#This Row],[In Stock Date]]&lt;&gt;"",Main[[#This Row],[Revised Due Date]]&lt;&gt;""),Main[[#This Row],[In Stock Date]]-Main[[#This Row],[Revised Due Date]],"")</f>
        <v/>
      </c>
      <c r="I1385" s="129" t="s">
        <v>2278</v>
      </c>
      <c r="J1385" s="129" t="s">
        <v>28</v>
      </c>
      <c r="K1385" s="168" t="s">
        <v>1945</v>
      </c>
      <c r="L1385" s="163">
        <v>40798</v>
      </c>
      <c r="M1385" s="170">
        <f>IF(Main[[#This Row],[Tech Start Date]]&lt;1/1/1990,"",IF(Main[[#This Row],[Class]]="C",WORKDAY(Main[[#This Row],[Tech Start Date]],9),IF(Main[[#This Row],[Class]]="B", WORKDAY(Main[[#This Row],[Tech Start Date]],6),IF(Main[[#This Row],[Class]]="A",WORKDAY(Main[[#This Row],[Tech Start Date]],2),""))))</f>
        <v>40809</v>
      </c>
      <c r="N1385" s="170">
        <f>IF(Main[[#This Row],[Tech Start Date]]&lt;1/1/1990,"",IF(Main[[#This Row],[Class]]="C",WORKDAY(Main[[#This Row],[Tech Start Date]],19),IF(Main[[#This Row],[Class]]="B", WORKDAY(Main[[#This Row],[Tech Start Date]],12),IF(Main[[#This Row],[Class]]="A",WORKDAY(Main[[#This Row],[Tech Start Date]],4),""))))</f>
        <v>40823</v>
      </c>
      <c r="O1385" s="170">
        <f>IF(Main[[#This Row],[Tech Start Date]]&lt;1/1/1990,"",IF(Main[[#This Row],[Class]]="C",WORKDAY(Main[[#This Row],[Tech Start Date]],23),IF(Main[[#This Row],[Class]]="B", WORKDAY(Main[[#This Row],[Tech Start Date]],15),IF(Main[[#This Row],[Class]]="A",WORKDAY(Main[[#This Row],[Tech Start Date]],5),""))))</f>
        <v>40829</v>
      </c>
      <c r="P1385" s="170">
        <f>IF(Main[[#This Row],[Tech Start Date]]&lt;1/1/1990,"",IF(Main[[#This Row],[Class]]="C",WORKDAY(Main[[#This Row],[Tech Start Date]],28),IF(Main[[#This Row],[Class]]="B", WORKDAY(Main[[#This Row],[Tech Start Date]],19),IF(Main[[#This Row],[Class]]="A",WORKDAY(Main[[#This Row],[Tech Start Date]],9),""))))</f>
        <v>40836</v>
      </c>
      <c r="Q1385" s="163">
        <v>40914</v>
      </c>
      <c r="R1385" s="163">
        <v>40841</v>
      </c>
      <c r="S1385" s="129" t="s">
        <v>6</v>
      </c>
      <c r="T1385" s="174" t="s">
        <v>4</v>
      </c>
      <c r="U1385" s="129" t="s">
        <v>29</v>
      </c>
      <c r="V1385" s="129" t="s">
        <v>1933</v>
      </c>
      <c r="W1385" s="129" t="s">
        <v>1934</v>
      </c>
      <c r="X1385" s="129" t="s">
        <v>2075</v>
      </c>
      <c r="Y1385" s="129" t="s">
        <v>3250</v>
      </c>
      <c r="Z1385" s="129" t="s">
        <v>2075</v>
      </c>
      <c r="AA1385" s="147" t="s">
        <v>2075</v>
      </c>
    </row>
    <row r="1386" spans="1:27" ht="18.600000000000001" customHeight="1">
      <c r="A1386" s="143" t="str">
        <f>IF(priority(Main[[#This Row],[Comments]])&lt;&gt;0, priority(Main[[#This Row],[Comments]]),"")</f>
        <v/>
      </c>
      <c r="B1386" s="128" t="s">
        <v>2204</v>
      </c>
      <c r="C1386" s="129" t="s">
        <v>4</v>
      </c>
      <c r="D1386" s="161" t="s">
        <v>2205</v>
      </c>
      <c r="E1386" s="163">
        <v>40787.619050925925</v>
      </c>
      <c r="F1386" s="163"/>
      <c r="G1386" s="165" t="str">
        <f>IF(stdProdLT(Main[[#This Row],[Comments]])=0.1,"N/A",IF(stdProdLT(Main[[#This Row],[Comments]])=0,"",stdProdLT(Main[[#This Row],[Comments]])))</f>
        <v/>
      </c>
      <c r="H1386" s="167" t="str">
        <f>IF(AND(Main[[#This Row],[In Stock Date]]&lt;&gt;"",Main[[#This Row],[Revised Due Date]]&lt;&gt;""),Main[[#This Row],[In Stock Date]]-Main[[#This Row],[Revised Due Date]],"")</f>
        <v/>
      </c>
      <c r="I1386" s="129" t="s">
        <v>952</v>
      </c>
      <c r="J1386" s="129" t="s">
        <v>28</v>
      </c>
      <c r="K1386" s="129" t="s">
        <v>1945</v>
      </c>
      <c r="L1386" s="163">
        <v>40798</v>
      </c>
      <c r="M1386" s="170">
        <f>IF(Main[[#This Row],[Tech Start Date]]&lt;1/1/1990,"",IF(Main[[#This Row],[Class]]="C",WORKDAY(Main[[#This Row],[Tech Start Date]],9),IF(Main[[#This Row],[Class]]="B", WORKDAY(Main[[#This Row],[Tech Start Date]],6),IF(Main[[#This Row],[Class]]="A",WORKDAY(Main[[#This Row],[Tech Start Date]],2),""))))</f>
        <v>40809</v>
      </c>
      <c r="N1386" s="170">
        <f>IF(Main[[#This Row],[Tech Start Date]]&lt;1/1/1990,"",IF(Main[[#This Row],[Class]]="C",WORKDAY(Main[[#This Row],[Tech Start Date]],19),IF(Main[[#This Row],[Class]]="B", WORKDAY(Main[[#This Row],[Tech Start Date]],12),IF(Main[[#This Row],[Class]]="A",WORKDAY(Main[[#This Row],[Tech Start Date]],4),""))))</f>
        <v>40823</v>
      </c>
      <c r="O1386" s="170">
        <f>IF(Main[[#This Row],[Tech Start Date]]&lt;1/1/1990,"",IF(Main[[#This Row],[Class]]="C",WORKDAY(Main[[#This Row],[Tech Start Date]],23),IF(Main[[#This Row],[Class]]="B", WORKDAY(Main[[#This Row],[Tech Start Date]],15),IF(Main[[#This Row],[Class]]="A",WORKDAY(Main[[#This Row],[Tech Start Date]],5),""))))</f>
        <v>40829</v>
      </c>
      <c r="P1386" s="170">
        <f>IF(Main[[#This Row],[Tech Start Date]]&lt;1/1/1990,"",IF(Main[[#This Row],[Class]]="C",WORKDAY(Main[[#This Row],[Tech Start Date]],28),IF(Main[[#This Row],[Class]]="B", WORKDAY(Main[[#This Row],[Tech Start Date]],19),IF(Main[[#This Row],[Class]]="A",WORKDAY(Main[[#This Row],[Tech Start Date]],9),""))))</f>
        <v>40836</v>
      </c>
      <c r="Q1386" s="163">
        <v>40914</v>
      </c>
      <c r="R1386" s="163">
        <v>40841</v>
      </c>
      <c r="S1386" s="129" t="s">
        <v>6</v>
      </c>
      <c r="T1386" s="174" t="s">
        <v>4</v>
      </c>
      <c r="U1386" s="129" t="s">
        <v>29</v>
      </c>
      <c r="V1386" s="129" t="s">
        <v>1933</v>
      </c>
      <c r="W1386" s="129" t="s">
        <v>1934</v>
      </c>
      <c r="X1386" s="129" t="s">
        <v>2075</v>
      </c>
      <c r="Y1386" s="129" t="s">
        <v>3250</v>
      </c>
      <c r="Z1386" s="129" t="s">
        <v>2075</v>
      </c>
      <c r="AA1386" s="147" t="s">
        <v>2075</v>
      </c>
    </row>
    <row r="1387" spans="1:27" ht="18.600000000000001" customHeight="1">
      <c r="A1387" s="143" t="str">
        <f>IF(priority(Main[[#This Row],[Comments]])&lt;&gt;0, priority(Main[[#This Row],[Comments]]),"")</f>
        <v/>
      </c>
      <c r="B1387" s="128" t="s">
        <v>2257</v>
      </c>
      <c r="C1387" s="129" t="s">
        <v>2258</v>
      </c>
      <c r="D1387" s="161" t="s">
        <v>2259</v>
      </c>
      <c r="E1387" s="163"/>
      <c r="F1387" s="163">
        <v>40814</v>
      </c>
      <c r="G1387" s="165">
        <f>IF(stdProdLT(Main[[#This Row],[Comments]])=0.1,"N/A",IF(stdProdLT(Main[[#This Row],[Comments]])=0,"",stdProdLT(Main[[#This Row],[Comments]])))</f>
        <v>112</v>
      </c>
      <c r="H1387" s="167">
        <f>IF(AND(Main[[#This Row],[In Stock Date]]&lt;&gt;"",Main[[#This Row],[Revised Due Date]]&lt;&gt;""),Main[[#This Row],[In Stock Date]]-Main[[#This Row],[Revised Due Date]],"")</f>
        <v>-6</v>
      </c>
      <c r="I1387" s="129" t="s">
        <v>2066</v>
      </c>
      <c r="J1387" s="129" t="s">
        <v>28</v>
      </c>
      <c r="K1387" s="129" t="s">
        <v>1941</v>
      </c>
      <c r="L1387" s="163">
        <v>40805</v>
      </c>
      <c r="M1387" s="170">
        <f>IF(Main[[#This Row],[Tech Start Date]]&lt;1/1/1990,"",IF(Main[[#This Row],[Class]]="C",WORKDAY(Main[[#This Row],[Tech Start Date]],9),IF(Main[[#This Row],[Class]]="B", WORKDAY(Main[[#This Row],[Tech Start Date]],6),IF(Main[[#This Row],[Class]]="A",WORKDAY(Main[[#This Row],[Tech Start Date]],2),""))))</f>
        <v>40807</v>
      </c>
      <c r="N1387" s="170">
        <f>IF(Main[[#This Row],[Tech Start Date]]&lt;1/1/1990,"",IF(Main[[#This Row],[Class]]="C",WORKDAY(Main[[#This Row],[Tech Start Date]],19),IF(Main[[#This Row],[Class]]="B", WORKDAY(Main[[#This Row],[Tech Start Date]],12),IF(Main[[#This Row],[Class]]="A",WORKDAY(Main[[#This Row],[Tech Start Date]],4),""))))</f>
        <v>40809</v>
      </c>
      <c r="O1387" s="170">
        <f>IF(Main[[#This Row],[Tech Start Date]]&lt;1/1/1990,"",IF(Main[[#This Row],[Class]]="C",WORKDAY(Main[[#This Row],[Tech Start Date]],23),IF(Main[[#This Row],[Class]]="B", WORKDAY(Main[[#This Row],[Tech Start Date]],15),IF(Main[[#This Row],[Class]]="A",WORKDAY(Main[[#This Row],[Tech Start Date]],5),""))))</f>
        <v>40812</v>
      </c>
      <c r="P1387" s="170">
        <f>IF(Main[[#This Row],[Tech Start Date]]&lt;1/1/1990,"",IF(Main[[#This Row],[Class]]="C",WORKDAY(Main[[#This Row],[Tech Start Date]],28),IF(Main[[#This Row],[Class]]="B", WORKDAY(Main[[#This Row],[Tech Start Date]],19),IF(Main[[#This Row],[Class]]="A",WORKDAY(Main[[#This Row],[Tech Start Date]],9),""))))</f>
        <v>40816</v>
      </c>
      <c r="Q1387" s="163">
        <v>40819</v>
      </c>
      <c r="R1387" s="163">
        <v>40820</v>
      </c>
      <c r="S1387" s="129" t="s">
        <v>11</v>
      </c>
      <c r="T1387" s="174" t="s">
        <v>2292</v>
      </c>
      <c r="U1387" s="129" t="s">
        <v>14</v>
      </c>
      <c r="V1387" s="129" t="s">
        <v>1935</v>
      </c>
      <c r="W1387" s="129" t="s">
        <v>1940</v>
      </c>
      <c r="X1387" s="129" t="s">
        <v>3014</v>
      </c>
      <c r="Y1387" s="129" t="s">
        <v>4</v>
      </c>
      <c r="Z1387" s="129" t="s">
        <v>2066</v>
      </c>
      <c r="AA1387" s="147" t="s">
        <v>3014</v>
      </c>
    </row>
    <row r="1388" spans="1:27" ht="18.600000000000001" customHeight="1">
      <c r="A1388" s="143" t="str">
        <f>IF(priority(Main[[#This Row],[Comments]])&lt;&gt;0, priority(Main[[#This Row],[Comments]]),"")</f>
        <v/>
      </c>
      <c r="B1388" s="128" t="s">
        <v>2099</v>
      </c>
      <c r="C1388" s="129" t="s">
        <v>33</v>
      </c>
      <c r="D1388" s="161" t="s">
        <v>2880</v>
      </c>
      <c r="E1388" s="163">
        <v>40776.124837962961</v>
      </c>
      <c r="F1388" s="163">
        <v>41007</v>
      </c>
      <c r="G1388" s="165">
        <f>IF(stdProdLT(Main[[#This Row],[Comments]])=0.1,"N/A",IF(stdProdLT(Main[[#This Row],[Comments]])=0,"",stdProdLT(Main[[#This Row],[Comments]])))</f>
        <v>112</v>
      </c>
      <c r="H1388" s="167" t="str">
        <f>IF(AND(Main[[#This Row],[In Stock Date]]&lt;&gt;"",Main[[#This Row],[Revised Due Date]]&lt;&gt;""),Main[[#This Row],[In Stock Date]]-Main[[#This Row],[Revised Due Date]],"")</f>
        <v/>
      </c>
      <c r="I1388" s="129" t="s">
        <v>923</v>
      </c>
      <c r="J1388" s="129" t="s">
        <v>52</v>
      </c>
      <c r="K1388" s="129" t="s">
        <v>1945</v>
      </c>
      <c r="L1388" s="163">
        <v>40805</v>
      </c>
      <c r="M1388" s="170">
        <f>IF(Main[[#This Row],[Tech Start Date]]&lt;1/1/1990,"",IF(Main[[#This Row],[Class]]="C",WORKDAY(Main[[#This Row],[Tech Start Date]],9),IF(Main[[#This Row],[Class]]="B", WORKDAY(Main[[#This Row],[Tech Start Date]],6),IF(Main[[#This Row],[Class]]="A",WORKDAY(Main[[#This Row],[Tech Start Date]],2),""))))</f>
        <v>40816</v>
      </c>
      <c r="N1388" s="170">
        <f>IF(Main[[#This Row],[Tech Start Date]]&lt;1/1/1990,"",IF(Main[[#This Row],[Class]]="C",WORKDAY(Main[[#This Row],[Tech Start Date]],19),IF(Main[[#This Row],[Class]]="B", WORKDAY(Main[[#This Row],[Tech Start Date]],12),IF(Main[[#This Row],[Class]]="A",WORKDAY(Main[[#This Row],[Tech Start Date]],4),""))))</f>
        <v>40830</v>
      </c>
      <c r="O1388" s="170">
        <f>IF(Main[[#This Row],[Tech Start Date]]&lt;1/1/1990,"",IF(Main[[#This Row],[Class]]="C",WORKDAY(Main[[#This Row],[Tech Start Date]],23),IF(Main[[#This Row],[Class]]="B", WORKDAY(Main[[#This Row],[Tech Start Date]],15),IF(Main[[#This Row],[Class]]="A",WORKDAY(Main[[#This Row],[Tech Start Date]],5),""))))</f>
        <v>40836</v>
      </c>
      <c r="P1388" s="170">
        <f>IF(Main[[#This Row],[Tech Start Date]]&lt;1/1/1990,"",IF(Main[[#This Row],[Class]]="C",WORKDAY(Main[[#This Row],[Tech Start Date]],28),IF(Main[[#This Row],[Class]]="B", WORKDAY(Main[[#This Row],[Tech Start Date]],19),IF(Main[[#This Row],[Class]]="A",WORKDAY(Main[[#This Row],[Tech Start Date]],9),""))))</f>
        <v>40843</v>
      </c>
      <c r="Q1388" s="163">
        <v>40811</v>
      </c>
      <c r="R1388" s="163"/>
      <c r="S1388" s="129" t="s">
        <v>11</v>
      </c>
      <c r="T1388" s="174" t="s">
        <v>3606</v>
      </c>
      <c r="U1388" s="129" t="s">
        <v>29</v>
      </c>
      <c r="V1388" s="129" t="s">
        <v>1932</v>
      </c>
      <c r="W1388" s="129" t="s">
        <v>1937</v>
      </c>
      <c r="X1388" s="129" t="s">
        <v>2917</v>
      </c>
      <c r="Y1388" s="129" t="s">
        <v>3041</v>
      </c>
      <c r="Z1388" s="129" t="s">
        <v>129</v>
      </c>
      <c r="AA1388" s="147" t="s">
        <v>2917</v>
      </c>
    </row>
    <row r="1389" spans="1:27" ht="18.600000000000001" customHeight="1">
      <c r="A1389" s="143" t="str">
        <f>IF(priority(Main[[#This Row],[Comments]])&lt;&gt;0, priority(Main[[#This Row],[Comments]]),"")</f>
        <v/>
      </c>
      <c r="B1389" s="128" t="s">
        <v>2119</v>
      </c>
      <c r="C1389" s="129" t="s">
        <v>4</v>
      </c>
      <c r="D1389" s="161" t="s">
        <v>2881</v>
      </c>
      <c r="E1389" s="163">
        <v>40760.556030092594</v>
      </c>
      <c r="F1389" s="163"/>
      <c r="G1389" s="165" t="str">
        <f>IF(stdProdLT(Main[[#This Row],[Comments]])=0.1,"N/A",IF(stdProdLT(Main[[#This Row],[Comments]])=0,"",stdProdLT(Main[[#This Row],[Comments]])))</f>
        <v/>
      </c>
      <c r="H1389" s="167" t="str">
        <f>IF(AND(Main[[#This Row],[In Stock Date]]&lt;&gt;"",Main[[#This Row],[Revised Due Date]]&lt;&gt;""),Main[[#This Row],[In Stock Date]]-Main[[#This Row],[Revised Due Date]],"")</f>
        <v/>
      </c>
      <c r="I1389" s="129" t="s">
        <v>900</v>
      </c>
      <c r="J1389" s="129" t="s">
        <v>4</v>
      </c>
      <c r="K1389" s="129" t="s">
        <v>1944</v>
      </c>
      <c r="L1389" s="163">
        <v>40805</v>
      </c>
      <c r="M1389" s="170" t="str">
        <f>IF(Main[[#This Row],[Tech Start Date]]&lt;1/1/1990,"",IF(Main[[#This Row],[Class]]="C",WORKDAY(Main[[#This Row],[Tech Start Date]],9),IF(Main[[#This Row],[Class]]="B", WORKDAY(Main[[#This Row],[Tech Start Date]],6),IF(Main[[#This Row],[Class]]="A",WORKDAY(Main[[#This Row],[Tech Start Date]],2),""))))</f>
        <v/>
      </c>
      <c r="N1389" s="170" t="str">
        <f>IF(Main[[#This Row],[Tech Start Date]]&lt;1/1/1990,"",IF(Main[[#This Row],[Class]]="C",WORKDAY(Main[[#This Row],[Tech Start Date]],19),IF(Main[[#This Row],[Class]]="B", WORKDAY(Main[[#This Row],[Tech Start Date]],12),IF(Main[[#This Row],[Class]]="A",WORKDAY(Main[[#This Row],[Tech Start Date]],4),""))))</f>
        <v/>
      </c>
      <c r="O1389" s="170" t="str">
        <f>IF(Main[[#This Row],[Tech Start Date]]&lt;1/1/1990,"",IF(Main[[#This Row],[Class]]="C",WORKDAY(Main[[#This Row],[Tech Start Date]],23),IF(Main[[#This Row],[Class]]="B", WORKDAY(Main[[#This Row],[Tech Start Date]],15),IF(Main[[#This Row],[Class]]="A",WORKDAY(Main[[#This Row],[Tech Start Date]],5),""))))</f>
        <v/>
      </c>
      <c r="P1389" s="170" t="str">
        <f>IF(Main[[#This Row],[Tech Start Date]]&lt;1/1/1990,"",IF(Main[[#This Row],[Class]]="C",WORKDAY(Main[[#This Row],[Tech Start Date]],28),IF(Main[[#This Row],[Class]]="B", WORKDAY(Main[[#This Row],[Tech Start Date]],19),IF(Main[[#This Row],[Class]]="A",WORKDAY(Main[[#This Row],[Tech Start Date]],9),""))))</f>
        <v/>
      </c>
      <c r="Q1389" s="163"/>
      <c r="R1389" s="163">
        <v>41075</v>
      </c>
      <c r="S1389" s="129" t="s">
        <v>6</v>
      </c>
      <c r="T1389" s="174" t="s">
        <v>4</v>
      </c>
      <c r="U1389" s="129" t="s">
        <v>29</v>
      </c>
      <c r="V1389" s="129" t="s">
        <v>1932</v>
      </c>
      <c r="W1389" s="129" t="s">
        <v>1936</v>
      </c>
      <c r="X1389" s="129" t="s">
        <v>310</v>
      </c>
      <c r="Y1389" s="129" t="s">
        <v>4</v>
      </c>
      <c r="Z1389" s="129" t="s">
        <v>888</v>
      </c>
      <c r="AA1389" s="147" t="s">
        <v>4</v>
      </c>
    </row>
    <row r="1390" spans="1:27" ht="18.600000000000001" customHeight="1">
      <c r="A1390" s="143" t="str">
        <f>IF(priority(Main[[#This Row],[Comments]])&lt;&gt;0, priority(Main[[#This Row],[Comments]]),"")</f>
        <v/>
      </c>
      <c r="B1390" s="128" t="s">
        <v>2661</v>
      </c>
      <c r="C1390" s="129" t="s">
        <v>523</v>
      </c>
      <c r="D1390" s="161" t="s">
        <v>2662</v>
      </c>
      <c r="E1390" s="163"/>
      <c r="F1390" s="163">
        <v>40854</v>
      </c>
      <c r="G1390" s="165">
        <f>IF(stdProdLT(Main[[#This Row],[Comments]])=0.1,"N/A",IF(stdProdLT(Main[[#This Row],[Comments]])=0,"",stdProdLT(Main[[#This Row],[Comments]])))</f>
        <v>98</v>
      </c>
      <c r="H1390" s="167">
        <f>IF(AND(Main[[#This Row],[In Stock Date]]&lt;&gt;"",Main[[#This Row],[Revised Due Date]]&lt;&gt;""),Main[[#This Row],[In Stock Date]]-Main[[#This Row],[Revised Due Date]],"")</f>
        <v>18</v>
      </c>
      <c r="I1390" s="129" t="s">
        <v>2066</v>
      </c>
      <c r="J1390" s="129" t="s">
        <v>28</v>
      </c>
      <c r="K1390" s="129" t="s">
        <v>1941</v>
      </c>
      <c r="L1390" s="163">
        <v>40821</v>
      </c>
      <c r="M1390" s="170">
        <f>IF(Main[[#This Row],[Tech Start Date]]&lt;1/1/1990,"",IF(Main[[#This Row],[Class]]="C",WORKDAY(Main[[#This Row],[Tech Start Date]],9),IF(Main[[#This Row],[Class]]="B", WORKDAY(Main[[#This Row],[Tech Start Date]],6),IF(Main[[#This Row],[Class]]="A",WORKDAY(Main[[#This Row],[Tech Start Date]],2),""))))</f>
        <v>40823</v>
      </c>
      <c r="N1390" s="170">
        <f>IF(Main[[#This Row],[Tech Start Date]]&lt;1/1/1990,"",IF(Main[[#This Row],[Class]]="C",WORKDAY(Main[[#This Row],[Tech Start Date]],19),IF(Main[[#This Row],[Class]]="B", WORKDAY(Main[[#This Row],[Tech Start Date]],12),IF(Main[[#This Row],[Class]]="A",WORKDAY(Main[[#This Row],[Tech Start Date]],4),""))))</f>
        <v>40827</v>
      </c>
      <c r="O1390" s="170">
        <f>IF(Main[[#This Row],[Tech Start Date]]&lt;1/1/1990,"",IF(Main[[#This Row],[Class]]="C",WORKDAY(Main[[#This Row],[Tech Start Date]],23),IF(Main[[#This Row],[Class]]="B", WORKDAY(Main[[#This Row],[Tech Start Date]],15),IF(Main[[#This Row],[Class]]="A",WORKDAY(Main[[#This Row],[Tech Start Date]],5),""))))</f>
        <v>40828</v>
      </c>
      <c r="P1390" s="170">
        <f>IF(Main[[#This Row],[Tech Start Date]]&lt;1/1/1990,"",IF(Main[[#This Row],[Class]]="C",WORKDAY(Main[[#This Row],[Tech Start Date]],28),IF(Main[[#This Row],[Class]]="B", WORKDAY(Main[[#This Row],[Tech Start Date]],19),IF(Main[[#This Row],[Class]]="A",WORKDAY(Main[[#This Row],[Tech Start Date]],9),""))))</f>
        <v>40834</v>
      </c>
      <c r="Q1390" s="163"/>
      <c r="R1390" s="163">
        <v>40836</v>
      </c>
      <c r="S1390" s="129" t="s">
        <v>11</v>
      </c>
      <c r="T1390" s="174" t="s">
        <v>2663</v>
      </c>
      <c r="U1390" s="129" t="s">
        <v>14</v>
      </c>
      <c r="V1390" s="129" t="s">
        <v>1935</v>
      </c>
      <c r="W1390" s="129" t="s">
        <v>1940</v>
      </c>
      <c r="X1390" s="129" t="s">
        <v>50</v>
      </c>
      <c r="Y1390" s="129" t="s">
        <v>3253</v>
      </c>
      <c r="Z1390" s="129" t="s">
        <v>535</v>
      </c>
      <c r="AA1390" s="147" t="s">
        <v>3719</v>
      </c>
    </row>
    <row r="1391" spans="1:27" ht="18.600000000000001" customHeight="1">
      <c r="A1391" s="143" t="str">
        <f>IF(priority(Main[[#This Row],[Comments]])&lt;&gt;0, priority(Main[[#This Row],[Comments]]),"")</f>
        <v/>
      </c>
      <c r="B1391" s="128" t="s">
        <v>2664</v>
      </c>
      <c r="C1391" s="129" t="s">
        <v>116</v>
      </c>
      <c r="D1391" s="161" t="s">
        <v>2665</v>
      </c>
      <c r="E1391" s="163">
        <v>40823.419490740744</v>
      </c>
      <c r="F1391" s="163"/>
      <c r="G1391" s="165" t="str">
        <f>IF(stdProdLT(Main[[#This Row],[Comments]])=0.1,"N/A",IF(stdProdLT(Main[[#This Row],[Comments]])=0,"",stdProdLT(Main[[#This Row],[Comments]])))</f>
        <v/>
      </c>
      <c r="H1391" s="167" t="str">
        <f>IF(AND(Main[[#This Row],[In Stock Date]]&lt;&gt;"",Main[[#This Row],[Revised Due Date]]&lt;&gt;""),Main[[#This Row],[In Stock Date]]-Main[[#This Row],[Revised Due Date]],"")</f>
        <v/>
      </c>
      <c r="I1391" s="129" t="s">
        <v>242</v>
      </c>
      <c r="J1391" s="129" t="s">
        <v>21</v>
      </c>
      <c r="K1391" s="129" t="s">
        <v>1939</v>
      </c>
      <c r="L1391" s="163">
        <v>40823</v>
      </c>
      <c r="M1391" s="170">
        <f>IF(Main[[#This Row],[Tech Start Date]]&lt;1/1/1990,"",IF(Main[[#This Row],[Class]]="C",WORKDAY(Main[[#This Row],[Tech Start Date]],9),IF(Main[[#This Row],[Class]]="B", WORKDAY(Main[[#This Row],[Tech Start Date]],6),IF(Main[[#This Row],[Class]]="A",WORKDAY(Main[[#This Row],[Tech Start Date]],2),""))))</f>
        <v>40833</v>
      </c>
      <c r="N1391" s="170">
        <f>IF(Main[[#This Row],[Tech Start Date]]&lt;1/1/1990,"",IF(Main[[#This Row],[Class]]="C",WORKDAY(Main[[#This Row],[Tech Start Date]],19),IF(Main[[#This Row],[Class]]="B", WORKDAY(Main[[#This Row],[Tech Start Date]],12),IF(Main[[#This Row],[Class]]="A",WORKDAY(Main[[#This Row],[Tech Start Date]],4),""))))</f>
        <v>40841</v>
      </c>
      <c r="O1391" s="170">
        <f>IF(Main[[#This Row],[Tech Start Date]]&lt;1/1/1990,"",IF(Main[[#This Row],[Class]]="C",WORKDAY(Main[[#This Row],[Tech Start Date]],23),IF(Main[[#This Row],[Class]]="B", WORKDAY(Main[[#This Row],[Tech Start Date]],15),IF(Main[[#This Row],[Class]]="A",WORKDAY(Main[[#This Row],[Tech Start Date]],5),""))))</f>
        <v>40844</v>
      </c>
      <c r="P1391" s="170">
        <f>IF(Main[[#This Row],[Tech Start Date]]&lt;1/1/1990,"",IF(Main[[#This Row],[Class]]="C",WORKDAY(Main[[#This Row],[Tech Start Date]],28),IF(Main[[#This Row],[Class]]="B", WORKDAY(Main[[#This Row],[Tech Start Date]],19),IF(Main[[#This Row],[Class]]="A",WORKDAY(Main[[#This Row],[Tech Start Date]],9),""))))</f>
        <v>40850</v>
      </c>
      <c r="Q1391" s="163"/>
      <c r="R1391" s="163">
        <v>40837</v>
      </c>
      <c r="S1391" s="129" t="s">
        <v>6</v>
      </c>
      <c r="T1391" s="174" t="s">
        <v>4</v>
      </c>
      <c r="U1391" s="129" t="s">
        <v>29</v>
      </c>
      <c r="V1391" s="129" t="s">
        <v>1935</v>
      </c>
      <c r="W1391" s="129" t="s">
        <v>1936</v>
      </c>
      <c r="X1391" s="129" t="s">
        <v>2066</v>
      </c>
      <c r="Y1391" s="129" t="s">
        <v>3254</v>
      </c>
      <c r="Z1391" s="129" t="s">
        <v>535</v>
      </c>
      <c r="AA1391" s="147" t="s">
        <v>2066</v>
      </c>
    </row>
    <row r="1392" spans="1:27" ht="18.600000000000001" customHeight="1">
      <c r="A1392" s="143" t="str">
        <f>IF(priority(Main[[#This Row],[Comments]])&lt;&gt;0, priority(Main[[#This Row],[Comments]]),"")</f>
        <v/>
      </c>
      <c r="B1392" s="128" t="s">
        <v>2668</v>
      </c>
      <c r="C1392" s="129" t="s">
        <v>116</v>
      </c>
      <c r="D1392" s="161" t="s">
        <v>2669</v>
      </c>
      <c r="E1392" s="163"/>
      <c r="F1392" s="163"/>
      <c r="G1392" s="165" t="str">
        <f>IF(stdProdLT(Main[[#This Row],[Comments]])=0.1,"N/A",IF(stdProdLT(Main[[#This Row],[Comments]])=0,"",stdProdLT(Main[[#This Row],[Comments]])))</f>
        <v>N/A</v>
      </c>
      <c r="H1392" s="167" t="str">
        <f>IF(AND(Main[[#This Row],[In Stock Date]]&lt;&gt;"",Main[[#This Row],[Revised Due Date]]&lt;&gt;""),Main[[#This Row],[In Stock Date]]-Main[[#This Row],[Revised Due Date]],"")</f>
        <v/>
      </c>
      <c r="I1392" s="129" t="s">
        <v>173</v>
      </c>
      <c r="J1392" s="129" t="s">
        <v>1998</v>
      </c>
      <c r="K1392" s="129" t="s">
        <v>1941</v>
      </c>
      <c r="L1392" s="163">
        <v>40835</v>
      </c>
      <c r="M1392" s="170">
        <f>IF(Main[[#This Row],[Tech Start Date]]&lt;1/1/1990,"",IF(Main[[#This Row],[Class]]="C",WORKDAY(Main[[#This Row],[Tech Start Date]],9),IF(Main[[#This Row],[Class]]="B", WORKDAY(Main[[#This Row],[Tech Start Date]],6),IF(Main[[#This Row],[Class]]="A",WORKDAY(Main[[#This Row],[Tech Start Date]],2),""))))</f>
        <v>40837</v>
      </c>
      <c r="N1392" s="170">
        <f>IF(Main[[#This Row],[Tech Start Date]]&lt;1/1/1990,"",IF(Main[[#This Row],[Class]]="C",WORKDAY(Main[[#This Row],[Tech Start Date]],19),IF(Main[[#This Row],[Class]]="B", WORKDAY(Main[[#This Row],[Tech Start Date]],12),IF(Main[[#This Row],[Class]]="A",WORKDAY(Main[[#This Row],[Tech Start Date]],4),""))))</f>
        <v>40841</v>
      </c>
      <c r="O1392" s="170">
        <f>IF(Main[[#This Row],[Tech Start Date]]&lt;1/1/1990,"",IF(Main[[#This Row],[Class]]="C",WORKDAY(Main[[#This Row],[Tech Start Date]],23),IF(Main[[#This Row],[Class]]="B", WORKDAY(Main[[#This Row],[Tech Start Date]],15),IF(Main[[#This Row],[Class]]="A",WORKDAY(Main[[#This Row],[Tech Start Date]],5),""))))</f>
        <v>40842</v>
      </c>
      <c r="P1392" s="170">
        <f>IF(Main[[#This Row],[Tech Start Date]]&lt;1/1/1990,"",IF(Main[[#This Row],[Class]]="C",WORKDAY(Main[[#This Row],[Tech Start Date]],28),IF(Main[[#This Row],[Class]]="B", WORKDAY(Main[[#This Row],[Tech Start Date]],19),IF(Main[[#This Row],[Class]]="A",WORKDAY(Main[[#This Row],[Tech Start Date]],9),""))))</f>
        <v>40848</v>
      </c>
      <c r="Q1392" s="163">
        <v>40954</v>
      </c>
      <c r="R1392" s="163">
        <v>40850</v>
      </c>
      <c r="S1392" s="129" t="s">
        <v>11</v>
      </c>
      <c r="T1392" s="174" t="s">
        <v>2670</v>
      </c>
      <c r="U1392" s="129" t="s">
        <v>14</v>
      </c>
      <c r="V1392" s="129" t="s">
        <v>1935</v>
      </c>
      <c r="W1392" s="129" t="s">
        <v>1936</v>
      </c>
      <c r="X1392" s="129" t="s">
        <v>559</v>
      </c>
      <c r="Y1392" s="129" t="s">
        <v>3047</v>
      </c>
      <c r="Z1392" s="129" t="s">
        <v>535</v>
      </c>
      <c r="AA1392" s="147" t="s">
        <v>559</v>
      </c>
    </row>
    <row r="1393" spans="1:27" ht="18.600000000000001" customHeight="1">
      <c r="A1393" s="143" t="str">
        <f>IF(priority(Main[[#This Row],[Comments]])&lt;&gt;0, priority(Main[[#This Row],[Comments]]),"")</f>
        <v/>
      </c>
      <c r="B1393" s="128" t="s">
        <v>2672</v>
      </c>
      <c r="C1393" s="129" t="s">
        <v>4</v>
      </c>
      <c r="D1393" s="161" t="s">
        <v>3590</v>
      </c>
      <c r="E1393" s="163">
        <v>40848.357997685183</v>
      </c>
      <c r="F1393" s="163"/>
      <c r="G1393" s="165" t="str">
        <f>IF(stdProdLT(Main[[#This Row],[Comments]])=0.1,"N/A",IF(stdProdLT(Main[[#This Row],[Comments]])=0,"",stdProdLT(Main[[#This Row],[Comments]])))</f>
        <v/>
      </c>
      <c r="H1393" s="167" t="str">
        <f>IF(AND(Main[[#This Row],[In Stock Date]]&lt;&gt;"",Main[[#This Row],[Revised Due Date]]&lt;&gt;""),Main[[#This Row],[In Stock Date]]-Main[[#This Row],[Revised Due Date]],"")</f>
        <v/>
      </c>
      <c r="I1393" s="129" t="s">
        <v>2673</v>
      </c>
      <c r="J1393" s="129" t="s">
        <v>28</v>
      </c>
      <c r="K1393" s="129" t="s">
        <v>1944</v>
      </c>
      <c r="L1393" s="163">
        <v>40840</v>
      </c>
      <c r="M1393" s="170" t="str">
        <f>IF(Main[[#This Row],[Tech Start Date]]&lt;1/1/1990,"",IF(Main[[#This Row],[Class]]="C",WORKDAY(Main[[#This Row],[Tech Start Date]],9),IF(Main[[#This Row],[Class]]="B", WORKDAY(Main[[#This Row],[Tech Start Date]],6),IF(Main[[#This Row],[Class]]="A",WORKDAY(Main[[#This Row],[Tech Start Date]],2),""))))</f>
        <v/>
      </c>
      <c r="N1393" s="170" t="str">
        <f>IF(Main[[#This Row],[Tech Start Date]]&lt;1/1/1990,"",IF(Main[[#This Row],[Class]]="C",WORKDAY(Main[[#This Row],[Tech Start Date]],19),IF(Main[[#This Row],[Class]]="B", WORKDAY(Main[[#This Row],[Tech Start Date]],12),IF(Main[[#This Row],[Class]]="A",WORKDAY(Main[[#This Row],[Tech Start Date]],4),""))))</f>
        <v/>
      </c>
      <c r="O1393" s="170" t="str">
        <f>IF(Main[[#This Row],[Tech Start Date]]&lt;1/1/1990,"",IF(Main[[#This Row],[Class]]="C",WORKDAY(Main[[#This Row],[Tech Start Date]],23),IF(Main[[#This Row],[Class]]="B", WORKDAY(Main[[#This Row],[Tech Start Date]],15),IF(Main[[#This Row],[Class]]="A",WORKDAY(Main[[#This Row],[Tech Start Date]],5),""))))</f>
        <v/>
      </c>
      <c r="P1393" s="170" t="str">
        <f>IF(Main[[#This Row],[Tech Start Date]]&lt;1/1/1990,"",IF(Main[[#This Row],[Class]]="C",WORKDAY(Main[[#This Row],[Tech Start Date]],28),IF(Main[[#This Row],[Class]]="B", WORKDAY(Main[[#This Row],[Tech Start Date]],19),IF(Main[[#This Row],[Class]]="A",WORKDAY(Main[[#This Row],[Tech Start Date]],9),""))))</f>
        <v/>
      </c>
      <c r="Q1393" s="163">
        <v>40998</v>
      </c>
      <c r="R1393" s="163">
        <v>40998</v>
      </c>
      <c r="S1393" s="129" t="s">
        <v>17</v>
      </c>
      <c r="T1393" s="174" t="s">
        <v>4</v>
      </c>
      <c r="U1393" s="129" t="s">
        <v>29</v>
      </c>
      <c r="V1393" s="129" t="s">
        <v>1932</v>
      </c>
      <c r="W1393" s="129" t="s">
        <v>1937</v>
      </c>
      <c r="X1393" s="129" t="s">
        <v>888</v>
      </c>
      <c r="Y1393" s="129" t="s">
        <v>3104</v>
      </c>
      <c r="Z1393" s="129" t="s">
        <v>888</v>
      </c>
      <c r="AA1393" s="147" t="s">
        <v>888</v>
      </c>
    </row>
    <row r="1394" spans="1:27" ht="18.600000000000001" customHeight="1">
      <c r="A1394" s="143" t="str">
        <f>IF(priority(Main[[#This Row],[Comments]])&lt;&gt;0, priority(Main[[#This Row],[Comments]]),"")</f>
        <v/>
      </c>
      <c r="B1394" s="128" t="s">
        <v>2679</v>
      </c>
      <c r="C1394" s="129" t="s">
        <v>2680</v>
      </c>
      <c r="D1394" s="161" t="s">
        <v>2681</v>
      </c>
      <c r="E1394" s="163"/>
      <c r="F1394" s="163"/>
      <c r="G1394" s="165" t="str">
        <f>IF(stdProdLT(Main[[#This Row],[Comments]])=0.1,"N/A",IF(stdProdLT(Main[[#This Row],[Comments]])=0,"",stdProdLT(Main[[#This Row],[Comments]])))</f>
        <v/>
      </c>
      <c r="H1394" s="167" t="str">
        <f>IF(AND(Main[[#This Row],[In Stock Date]]&lt;&gt;"",Main[[#This Row],[Revised Due Date]]&lt;&gt;""),Main[[#This Row],[In Stock Date]]-Main[[#This Row],[Revised Due Date]],"")</f>
        <v/>
      </c>
      <c r="I1394" s="129" t="s">
        <v>2066</v>
      </c>
      <c r="J1394" s="129" t="s">
        <v>28</v>
      </c>
      <c r="K1394" s="129" t="s">
        <v>1941</v>
      </c>
      <c r="L1394" s="163">
        <v>40848</v>
      </c>
      <c r="M1394" s="170">
        <f>IF(Main[[#This Row],[Tech Start Date]]&lt;1/1/1990,"",IF(Main[[#This Row],[Class]]="C",WORKDAY(Main[[#This Row],[Tech Start Date]],9),IF(Main[[#This Row],[Class]]="B", WORKDAY(Main[[#This Row],[Tech Start Date]],6),IF(Main[[#This Row],[Class]]="A",WORKDAY(Main[[#This Row],[Tech Start Date]],2),""))))</f>
        <v>40850</v>
      </c>
      <c r="N1394" s="170">
        <f>IF(Main[[#This Row],[Tech Start Date]]&lt;1/1/1990,"",IF(Main[[#This Row],[Class]]="C",WORKDAY(Main[[#This Row],[Tech Start Date]],19),IF(Main[[#This Row],[Class]]="B", WORKDAY(Main[[#This Row],[Tech Start Date]],12),IF(Main[[#This Row],[Class]]="A",WORKDAY(Main[[#This Row],[Tech Start Date]],4),""))))</f>
        <v>40854</v>
      </c>
      <c r="O1394" s="170">
        <f>IF(Main[[#This Row],[Tech Start Date]]&lt;1/1/1990,"",IF(Main[[#This Row],[Class]]="C",WORKDAY(Main[[#This Row],[Tech Start Date]],23),IF(Main[[#This Row],[Class]]="B", WORKDAY(Main[[#This Row],[Tech Start Date]],15),IF(Main[[#This Row],[Class]]="A",WORKDAY(Main[[#This Row],[Tech Start Date]],5),""))))</f>
        <v>40855</v>
      </c>
      <c r="P1394" s="170">
        <f>IF(Main[[#This Row],[Tech Start Date]]&lt;1/1/1990,"",IF(Main[[#This Row],[Class]]="C",WORKDAY(Main[[#This Row],[Tech Start Date]],28),IF(Main[[#This Row],[Class]]="B", WORKDAY(Main[[#This Row],[Tech Start Date]],19),IF(Main[[#This Row],[Class]]="A",WORKDAY(Main[[#This Row],[Tech Start Date]],9),""))))</f>
        <v>40861</v>
      </c>
      <c r="Q1394" s="163">
        <v>40849</v>
      </c>
      <c r="R1394" s="163">
        <v>40863</v>
      </c>
      <c r="S1394" s="129" t="s">
        <v>11</v>
      </c>
      <c r="T1394" s="174" t="s">
        <v>4</v>
      </c>
      <c r="U1394" s="129" t="s">
        <v>14</v>
      </c>
      <c r="V1394" s="129" t="s">
        <v>1942</v>
      </c>
      <c r="W1394" s="129" t="s">
        <v>1940</v>
      </c>
      <c r="X1394" s="129" t="s">
        <v>2935</v>
      </c>
      <c r="Y1394" s="129" t="s">
        <v>3072</v>
      </c>
      <c r="Z1394" s="129" t="s">
        <v>535</v>
      </c>
      <c r="AA1394" s="147" t="s">
        <v>2935</v>
      </c>
    </row>
    <row r="1395" spans="1:27" ht="18.600000000000001" customHeight="1">
      <c r="A1395" s="143" t="str">
        <f>IF(priority(Main[[#This Row],[Comments]])&lt;&gt;0, priority(Main[[#This Row],[Comments]]),"")</f>
        <v/>
      </c>
      <c r="B1395" s="128" t="s">
        <v>2674</v>
      </c>
      <c r="C1395" s="129" t="s">
        <v>2610</v>
      </c>
      <c r="D1395" s="161" t="s">
        <v>2887</v>
      </c>
      <c r="E1395" s="163">
        <v>40847.264097222222</v>
      </c>
      <c r="F1395" s="163">
        <v>40983</v>
      </c>
      <c r="G1395" s="165" t="str">
        <f>IF(stdProdLT(Main[[#This Row],[Comments]])=0.1,"N/A",IF(stdProdLT(Main[[#This Row],[Comments]])=0,"",stdProdLT(Main[[#This Row],[Comments]])))</f>
        <v>N/A</v>
      </c>
      <c r="H1395" s="167" t="str">
        <f>IF(AND(Main[[#This Row],[In Stock Date]]&lt;&gt;"",Main[[#This Row],[Revised Due Date]]&lt;&gt;""),Main[[#This Row],[In Stock Date]]-Main[[#This Row],[Revised Due Date]],"")</f>
        <v/>
      </c>
      <c r="I1395" s="129" t="s">
        <v>923</v>
      </c>
      <c r="J1395" s="129" t="s">
        <v>28</v>
      </c>
      <c r="K1395" s="129" t="s">
        <v>1945</v>
      </c>
      <c r="L1395" s="163">
        <v>40848</v>
      </c>
      <c r="M1395" s="170">
        <f>IF(Main[[#This Row],[Tech Start Date]]&lt;1/1/1990,"",IF(Main[[#This Row],[Class]]="C",WORKDAY(Main[[#This Row],[Tech Start Date]],9),IF(Main[[#This Row],[Class]]="B", WORKDAY(Main[[#This Row],[Tech Start Date]],6),IF(Main[[#This Row],[Class]]="A",WORKDAY(Main[[#This Row],[Tech Start Date]],2),""))))</f>
        <v>40861</v>
      </c>
      <c r="N1395" s="170">
        <f>IF(Main[[#This Row],[Tech Start Date]]&lt;1/1/1990,"",IF(Main[[#This Row],[Class]]="C",WORKDAY(Main[[#This Row],[Tech Start Date]],19),IF(Main[[#This Row],[Class]]="B", WORKDAY(Main[[#This Row],[Tech Start Date]],12),IF(Main[[#This Row],[Class]]="A",WORKDAY(Main[[#This Row],[Tech Start Date]],4),""))))</f>
        <v>40875</v>
      </c>
      <c r="O1395" s="170">
        <f>IF(Main[[#This Row],[Tech Start Date]]&lt;1/1/1990,"",IF(Main[[#This Row],[Class]]="C",WORKDAY(Main[[#This Row],[Tech Start Date]],23),IF(Main[[#This Row],[Class]]="B", WORKDAY(Main[[#This Row],[Tech Start Date]],15),IF(Main[[#This Row],[Class]]="A",WORKDAY(Main[[#This Row],[Tech Start Date]],5),""))))</f>
        <v>40879</v>
      </c>
      <c r="P1395" s="170">
        <f>IF(Main[[#This Row],[Tech Start Date]]&lt;1/1/1990,"",IF(Main[[#This Row],[Class]]="C",WORKDAY(Main[[#This Row],[Tech Start Date]],28),IF(Main[[#This Row],[Class]]="B", WORKDAY(Main[[#This Row],[Tech Start Date]],19),IF(Main[[#This Row],[Class]]="A",WORKDAY(Main[[#This Row],[Tech Start Date]],9),""))))</f>
        <v>40886</v>
      </c>
      <c r="Q1395" s="163">
        <v>40885</v>
      </c>
      <c r="R1395" s="163"/>
      <c r="S1395" s="129" t="s">
        <v>11</v>
      </c>
      <c r="T1395" s="174" t="s">
        <v>3348</v>
      </c>
      <c r="U1395" s="129" t="s">
        <v>539</v>
      </c>
      <c r="V1395" s="129" t="s">
        <v>1932</v>
      </c>
      <c r="W1395" s="129" t="s">
        <v>1940</v>
      </c>
      <c r="X1395" s="129" t="s">
        <v>2995</v>
      </c>
      <c r="Y1395" s="129" t="s">
        <v>3255</v>
      </c>
      <c r="Z1395" s="129" t="s">
        <v>129</v>
      </c>
      <c r="AA1395" s="147" t="s">
        <v>2995</v>
      </c>
    </row>
    <row r="1396" spans="1:27" ht="18.600000000000001" customHeight="1">
      <c r="A1396" s="143" t="str">
        <f>IF(priority(Main[[#This Row],[Comments]])&lt;&gt;0, priority(Main[[#This Row],[Comments]]),"")</f>
        <v/>
      </c>
      <c r="B1396" s="128" t="s">
        <v>2688</v>
      </c>
      <c r="C1396" s="129" t="s">
        <v>4</v>
      </c>
      <c r="D1396" s="161" t="s">
        <v>2689</v>
      </c>
      <c r="E1396" s="163">
        <v>40848.726550925923</v>
      </c>
      <c r="F1396" s="163"/>
      <c r="G1396" s="165" t="str">
        <f>IF(stdProdLT(Main[[#This Row],[Comments]])=0.1,"N/A",IF(stdProdLT(Main[[#This Row],[Comments]])=0,"",stdProdLT(Main[[#This Row],[Comments]])))</f>
        <v/>
      </c>
      <c r="H1396" s="167" t="str">
        <f>IF(AND(Main[[#This Row],[In Stock Date]]&lt;&gt;"",Main[[#This Row],[Revised Due Date]]&lt;&gt;""),Main[[#This Row],[In Stock Date]]-Main[[#This Row],[Revised Due Date]],"")</f>
        <v/>
      </c>
      <c r="I1396" s="129" t="s">
        <v>69</v>
      </c>
      <c r="J1396" s="129" t="s">
        <v>28</v>
      </c>
      <c r="K1396" s="129" t="s">
        <v>1941</v>
      </c>
      <c r="L1396" s="163">
        <v>40849</v>
      </c>
      <c r="M1396" s="170">
        <f>IF(Main[[#This Row],[Tech Start Date]]&lt;1/1/1990,"",IF(Main[[#This Row],[Class]]="C",WORKDAY(Main[[#This Row],[Tech Start Date]],9),IF(Main[[#This Row],[Class]]="B", WORKDAY(Main[[#This Row],[Tech Start Date]],6),IF(Main[[#This Row],[Class]]="A",WORKDAY(Main[[#This Row],[Tech Start Date]],2),""))))</f>
        <v>40851</v>
      </c>
      <c r="N1396" s="170">
        <f>IF(Main[[#This Row],[Tech Start Date]]&lt;1/1/1990,"",IF(Main[[#This Row],[Class]]="C",WORKDAY(Main[[#This Row],[Tech Start Date]],19),IF(Main[[#This Row],[Class]]="B", WORKDAY(Main[[#This Row],[Tech Start Date]],12),IF(Main[[#This Row],[Class]]="A",WORKDAY(Main[[#This Row],[Tech Start Date]],4),""))))</f>
        <v>40855</v>
      </c>
      <c r="O1396" s="170">
        <f>IF(Main[[#This Row],[Tech Start Date]]&lt;1/1/1990,"",IF(Main[[#This Row],[Class]]="C",WORKDAY(Main[[#This Row],[Tech Start Date]],23),IF(Main[[#This Row],[Class]]="B", WORKDAY(Main[[#This Row],[Tech Start Date]],15),IF(Main[[#This Row],[Class]]="A",WORKDAY(Main[[#This Row],[Tech Start Date]],5),""))))</f>
        <v>40856</v>
      </c>
      <c r="P1396" s="170">
        <f>IF(Main[[#This Row],[Tech Start Date]]&lt;1/1/1990,"",IF(Main[[#This Row],[Class]]="C",WORKDAY(Main[[#This Row],[Tech Start Date]],28),IF(Main[[#This Row],[Class]]="B", WORKDAY(Main[[#This Row],[Tech Start Date]],19),IF(Main[[#This Row],[Class]]="A",WORKDAY(Main[[#This Row],[Tech Start Date]],9),""))))</f>
        <v>40862</v>
      </c>
      <c r="Q1396" s="163"/>
      <c r="R1396" s="163">
        <v>40864</v>
      </c>
      <c r="S1396" s="129" t="s">
        <v>6</v>
      </c>
      <c r="T1396" s="174" t="s">
        <v>4</v>
      </c>
      <c r="U1396" s="129" t="s">
        <v>29</v>
      </c>
      <c r="V1396" s="129" t="s">
        <v>1942</v>
      </c>
      <c r="W1396" s="129" t="s">
        <v>1946</v>
      </c>
      <c r="X1396" s="129" t="s">
        <v>2932</v>
      </c>
      <c r="Y1396" s="129" t="s">
        <v>3066</v>
      </c>
      <c r="Z1396" s="129" t="s">
        <v>2956</v>
      </c>
      <c r="AA1396" s="147" t="s">
        <v>2932</v>
      </c>
    </row>
    <row r="1397" spans="1:27" ht="18.600000000000001" customHeight="1">
      <c r="A1397" s="143" t="str">
        <f>IF(priority(Main[[#This Row],[Comments]])&lt;&gt;0, priority(Main[[#This Row],[Comments]]),"")</f>
        <v/>
      </c>
      <c r="B1397" s="128" t="s">
        <v>2682</v>
      </c>
      <c r="C1397" s="129" t="s">
        <v>2610</v>
      </c>
      <c r="D1397" s="161" t="s">
        <v>2888</v>
      </c>
      <c r="E1397" s="163">
        <v>40843.117893518516</v>
      </c>
      <c r="F1397" s="163">
        <v>41000</v>
      </c>
      <c r="G1397" s="165">
        <f>IF(stdProdLT(Main[[#This Row],[Comments]])=0.1,"N/A",IF(stdProdLT(Main[[#This Row],[Comments]])=0,"",stdProdLT(Main[[#This Row],[Comments]])))</f>
        <v>168</v>
      </c>
      <c r="H1397" s="167" t="str">
        <f>IF(AND(Main[[#This Row],[In Stock Date]]&lt;&gt;"",Main[[#This Row],[Revised Due Date]]&lt;&gt;""),Main[[#This Row],[In Stock Date]]-Main[[#This Row],[Revised Due Date]],"")</f>
        <v/>
      </c>
      <c r="I1397" s="129" t="s">
        <v>905</v>
      </c>
      <c r="J1397" s="129" t="s">
        <v>52</v>
      </c>
      <c r="K1397" s="168" t="s">
        <v>1945</v>
      </c>
      <c r="L1397" s="163">
        <v>40849</v>
      </c>
      <c r="M1397" s="170">
        <f>IF(Main[[#This Row],[Tech Start Date]]&lt;1/1/1990,"",IF(Main[[#This Row],[Class]]="C",WORKDAY(Main[[#This Row],[Tech Start Date]],9),IF(Main[[#This Row],[Class]]="B", WORKDAY(Main[[#This Row],[Tech Start Date]],6),IF(Main[[#This Row],[Class]]="A",WORKDAY(Main[[#This Row],[Tech Start Date]],2),""))))</f>
        <v>40862</v>
      </c>
      <c r="N1397" s="170">
        <f>IF(Main[[#This Row],[Tech Start Date]]&lt;1/1/1990,"",IF(Main[[#This Row],[Class]]="C",WORKDAY(Main[[#This Row],[Tech Start Date]],19),IF(Main[[#This Row],[Class]]="B", WORKDAY(Main[[#This Row],[Tech Start Date]],12),IF(Main[[#This Row],[Class]]="A",WORKDAY(Main[[#This Row],[Tech Start Date]],4),""))))</f>
        <v>40876</v>
      </c>
      <c r="O1397" s="170">
        <f>IF(Main[[#This Row],[Tech Start Date]]&lt;1/1/1990,"",IF(Main[[#This Row],[Class]]="C",WORKDAY(Main[[#This Row],[Tech Start Date]],23),IF(Main[[#This Row],[Class]]="B", WORKDAY(Main[[#This Row],[Tech Start Date]],15),IF(Main[[#This Row],[Class]]="A",WORKDAY(Main[[#This Row],[Tech Start Date]],5),""))))</f>
        <v>40882</v>
      </c>
      <c r="P1397" s="170">
        <f>IF(Main[[#This Row],[Tech Start Date]]&lt;1/1/1990,"",IF(Main[[#This Row],[Class]]="C",WORKDAY(Main[[#This Row],[Tech Start Date]],28),IF(Main[[#This Row],[Class]]="B", WORKDAY(Main[[#This Row],[Tech Start Date]],19),IF(Main[[#This Row],[Class]]="A",WORKDAY(Main[[#This Row],[Tech Start Date]],9),""))))</f>
        <v>40889</v>
      </c>
      <c r="Q1397" s="163">
        <v>40880</v>
      </c>
      <c r="R1397" s="163"/>
      <c r="S1397" s="129" t="s">
        <v>11</v>
      </c>
      <c r="T1397" s="174" t="s">
        <v>3485</v>
      </c>
      <c r="U1397" s="129" t="s">
        <v>539</v>
      </c>
      <c r="V1397" s="129" t="s">
        <v>1935</v>
      </c>
      <c r="W1397" s="129" t="s">
        <v>1940</v>
      </c>
      <c r="X1397" s="129" t="s">
        <v>2995</v>
      </c>
      <c r="Y1397" s="129" t="s">
        <v>3255</v>
      </c>
      <c r="Z1397" s="129" t="s">
        <v>535</v>
      </c>
      <c r="AA1397" s="147" t="s">
        <v>2995</v>
      </c>
    </row>
    <row r="1398" spans="1:27" ht="18.600000000000001" customHeight="1">
      <c r="A1398" s="175" t="str">
        <f>IF(priority(Main[[#This Row],[Comments]])&lt;&gt;0, priority(Main[[#This Row],[Comments]]),"")</f>
        <v/>
      </c>
      <c r="B1398" s="146" t="s">
        <v>2686</v>
      </c>
      <c r="C1398" s="147" t="s">
        <v>2610</v>
      </c>
      <c r="D1398" s="148" t="s">
        <v>3280</v>
      </c>
      <c r="E1398" s="149">
        <v>40843.101504629631</v>
      </c>
      <c r="F1398" s="149"/>
      <c r="G1398" s="150">
        <f>IF(stdProdLT(Main[[#This Row],[Comments]])=0.1,"N/A",IF(stdProdLT(Main[[#This Row],[Comments]])=0,"",stdProdLT(Main[[#This Row],[Comments]])))</f>
        <v>168</v>
      </c>
      <c r="H1398" s="151" t="str">
        <f>IF(AND(Main[[#This Row],[In Stock Date]]&lt;&gt;"",Main[[#This Row],[Revised Due Date]]&lt;&gt;""),Main[[#This Row],[In Stock Date]]-Main[[#This Row],[Revised Due Date]],"")</f>
        <v/>
      </c>
      <c r="I1398" s="147" t="s">
        <v>173</v>
      </c>
      <c r="J1398" s="147" t="s">
        <v>70</v>
      </c>
      <c r="K1398" s="147" t="s">
        <v>1945</v>
      </c>
      <c r="L1398" s="149">
        <v>40849</v>
      </c>
      <c r="M1398" s="152">
        <f>IF(Main[[#This Row],[Tech Start Date]]&lt;1/1/1990,"",IF(Main[[#This Row],[Class]]="C",WORKDAY(Main[[#This Row],[Tech Start Date]],9),IF(Main[[#This Row],[Class]]="B", WORKDAY(Main[[#This Row],[Tech Start Date]],6),IF(Main[[#This Row],[Class]]="A",WORKDAY(Main[[#This Row],[Tech Start Date]],2),""))))</f>
        <v>40862</v>
      </c>
      <c r="N1398" s="152">
        <f>IF(Main[[#This Row],[Tech Start Date]]&lt;1/1/1990,"",IF(Main[[#This Row],[Class]]="C",WORKDAY(Main[[#This Row],[Tech Start Date]],19),IF(Main[[#This Row],[Class]]="B", WORKDAY(Main[[#This Row],[Tech Start Date]],12),IF(Main[[#This Row],[Class]]="A",WORKDAY(Main[[#This Row],[Tech Start Date]],4),""))))</f>
        <v>40876</v>
      </c>
      <c r="O1398" s="152">
        <f>IF(Main[[#This Row],[Tech Start Date]]&lt;1/1/1990,"",IF(Main[[#This Row],[Class]]="C",WORKDAY(Main[[#This Row],[Tech Start Date]],23),IF(Main[[#This Row],[Class]]="B", WORKDAY(Main[[#This Row],[Tech Start Date]],15),IF(Main[[#This Row],[Class]]="A",WORKDAY(Main[[#This Row],[Tech Start Date]],5),""))))</f>
        <v>40882</v>
      </c>
      <c r="P1398" s="152">
        <f>IF(Main[[#This Row],[Tech Start Date]]&lt;1/1/1990,"",IF(Main[[#This Row],[Class]]="C",WORKDAY(Main[[#This Row],[Tech Start Date]],28),IF(Main[[#This Row],[Class]]="B", WORKDAY(Main[[#This Row],[Tech Start Date]],19),IF(Main[[#This Row],[Class]]="A",WORKDAY(Main[[#This Row],[Tech Start Date]],9),""))))</f>
        <v>40889</v>
      </c>
      <c r="Q1398" s="149">
        <v>40881</v>
      </c>
      <c r="R1398" s="149"/>
      <c r="S1398" s="147" t="s">
        <v>11</v>
      </c>
      <c r="T1398" s="153" t="s">
        <v>3487</v>
      </c>
      <c r="U1398" s="147" t="s">
        <v>539</v>
      </c>
      <c r="V1398" s="147" t="s">
        <v>1935</v>
      </c>
      <c r="W1398" s="147" t="s">
        <v>1940</v>
      </c>
      <c r="X1398" s="147" t="s">
        <v>2995</v>
      </c>
      <c r="Y1398" s="147" t="s">
        <v>3255</v>
      </c>
      <c r="Z1398" s="147" t="s">
        <v>535</v>
      </c>
      <c r="AA1398" s="154" t="s">
        <v>2995</v>
      </c>
    </row>
    <row r="1399" spans="1:27" ht="18.600000000000001" customHeight="1">
      <c r="A1399" s="175" t="str">
        <f>IF(priority(Main[[#This Row],[Comments]])&lt;&gt;0, priority(Main[[#This Row],[Comments]]),"")</f>
        <v/>
      </c>
      <c r="B1399" s="146" t="s">
        <v>2606</v>
      </c>
      <c r="C1399" s="147" t="s">
        <v>2607</v>
      </c>
      <c r="D1399" s="148" t="s">
        <v>3281</v>
      </c>
      <c r="E1399" s="149">
        <v>40821.398842592593</v>
      </c>
      <c r="F1399" s="149">
        <v>41182</v>
      </c>
      <c r="G1399" s="150">
        <f>IF(stdProdLT(Main[[#This Row],[Comments]])=0.1,"N/A",IF(stdProdLT(Main[[#This Row],[Comments]])=0,"",stdProdLT(Main[[#This Row],[Comments]])))</f>
        <v>210</v>
      </c>
      <c r="H1399" s="151" t="str">
        <f>IF(AND(Main[[#This Row],[In Stock Date]]&lt;&gt;"",Main[[#This Row],[Revised Due Date]]&lt;&gt;""),Main[[#This Row],[In Stock Date]]-Main[[#This Row],[Revised Due Date]],"")</f>
        <v/>
      </c>
      <c r="I1399" s="147" t="s">
        <v>4</v>
      </c>
      <c r="J1399" s="147" t="s">
        <v>4</v>
      </c>
      <c r="K1399" s="147" t="s">
        <v>1945</v>
      </c>
      <c r="L1399" s="149">
        <v>40850</v>
      </c>
      <c r="M1399" s="152">
        <f>IF(Main[[#This Row],[Tech Start Date]]&lt;1/1/1990,"",IF(Main[[#This Row],[Class]]="C",WORKDAY(Main[[#This Row],[Tech Start Date]],9),IF(Main[[#This Row],[Class]]="B", WORKDAY(Main[[#This Row],[Tech Start Date]],6),IF(Main[[#This Row],[Class]]="A",WORKDAY(Main[[#This Row],[Tech Start Date]],2),""))))</f>
        <v>40863</v>
      </c>
      <c r="N1399" s="152">
        <f>IF(Main[[#This Row],[Tech Start Date]]&lt;1/1/1990,"",IF(Main[[#This Row],[Class]]="C",WORKDAY(Main[[#This Row],[Tech Start Date]],19),IF(Main[[#This Row],[Class]]="B", WORKDAY(Main[[#This Row],[Tech Start Date]],12),IF(Main[[#This Row],[Class]]="A",WORKDAY(Main[[#This Row],[Tech Start Date]],4),""))))</f>
        <v>40877</v>
      </c>
      <c r="O1399" s="152">
        <f>IF(Main[[#This Row],[Tech Start Date]]&lt;1/1/1990,"",IF(Main[[#This Row],[Class]]="C",WORKDAY(Main[[#This Row],[Tech Start Date]],23),IF(Main[[#This Row],[Class]]="B", WORKDAY(Main[[#This Row],[Tech Start Date]],15),IF(Main[[#This Row],[Class]]="A",WORKDAY(Main[[#This Row],[Tech Start Date]],5),""))))</f>
        <v>40883</v>
      </c>
      <c r="P1399" s="152">
        <f>IF(Main[[#This Row],[Tech Start Date]]&lt;1/1/1990,"",IF(Main[[#This Row],[Class]]="C",WORKDAY(Main[[#This Row],[Tech Start Date]],28),IF(Main[[#This Row],[Class]]="B", WORKDAY(Main[[#This Row],[Tech Start Date]],19),IF(Main[[#This Row],[Class]]="A",WORKDAY(Main[[#This Row],[Tech Start Date]],9),""))))</f>
        <v>40890</v>
      </c>
      <c r="Q1399" s="149">
        <v>40872</v>
      </c>
      <c r="R1399" s="149"/>
      <c r="S1399" s="147" t="s">
        <v>11</v>
      </c>
      <c r="T1399" s="153" t="s">
        <v>3488</v>
      </c>
      <c r="U1399" s="147" t="s">
        <v>539</v>
      </c>
      <c r="V1399" s="147" t="s">
        <v>1935</v>
      </c>
      <c r="W1399" s="147" t="s">
        <v>1937</v>
      </c>
      <c r="X1399" s="147" t="s">
        <v>2920</v>
      </c>
      <c r="Y1399" s="147" t="s">
        <v>3046</v>
      </c>
      <c r="Z1399" s="147" t="s">
        <v>4</v>
      </c>
      <c r="AA1399" s="154" t="s">
        <v>2920</v>
      </c>
    </row>
    <row r="1400" spans="1:27" ht="18.600000000000001" customHeight="1">
      <c r="A1400" s="175" t="str">
        <f>IF(priority(Main[[#This Row],[Comments]])&lt;&gt;0, priority(Main[[#This Row],[Comments]]),"")</f>
        <v/>
      </c>
      <c r="B1400" s="146" t="s">
        <v>1692</v>
      </c>
      <c r="C1400" s="147" t="s">
        <v>4</v>
      </c>
      <c r="D1400" s="148" t="s">
        <v>2693</v>
      </c>
      <c r="E1400" s="149">
        <v>40647.529861111114</v>
      </c>
      <c r="F1400" s="149"/>
      <c r="G1400" s="150" t="str">
        <f>IF(stdProdLT(Main[[#This Row],[Comments]])=0.1,"N/A",IF(stdProdLT(Main[[#This Row],[Comments]])=0,"",stdProdLT(Main[[#This Row],[Comments]])))</f>
        <v/>
      </c>
      <c r="H1400" s="151" t="str">
        <f>IF(AND(Main[[#This Row],[In Stock Date]]&lt;&gt;"",Main[[#This Row],[Revised Due Date]]&lt;&gt;""),Main[[#This Row],[In Stock Date]]-Main[[#This Row],[Revised Due Date]],"")</f>
        <v/>
      </c>
      <c r="I1400" s="147" t="s">
        <v>888</v>
      </c>
      <c r="J1400" s="147" t="s">
        <v>4</v>
      </c>
      <c r="K1400" s="147" t="s">
        <v>1941</v>
      </c>
      <c r="L1400" s="149">
        <v>40856</v>
      </c>
      <c r="M1400" s="152">
        <f>IF(Main[[#This Row],[Tech Start Date]]&lt;1/1/1990,"",IF(Main[[#This Row],[Class]]="C",WORKDAY(Main[[#This Row],[Tech Start Date]],9),IF(Main[[#This Row],[Class]]="B", WORKDAY(Main[[#This Row],[Tech Start Date]],6),IF(Main[[#This Row],[Class]]="A",WORKDAY(Main[[#This Row],[Tech Start Date]],2),""))))</f>
        <v>40858</v>
      </c>
      <c r="N1400" s="152">
        <f>IF(Main[[#This Row],[Tech Start Date]]&lt;1/1/1990,"",IF(Main[[#This Row],[Class]]="C",WORKDAY(Main[[#This Row],[Tech Start Date]],19),IF(Main[[#This Row],[Class]]="B", WORKDAY(Main[[#This Row],[Tech Start Date]],12),IF(Main[[#This Row],[Class]]="A",WORKDAY(Main[[#This Row],[Tech Start Date]],4),""))))</f>
        <v>40862</v>
      </c>
      <c r="O1400" s="152">
        <f>IF(Main[[#This Row],[Tech Start Date]]&lt;1/1/1990,"",IF(Main[[#This Row],[Class]]="C",WORKDAY(Main[[#This Row],[Tech Start Date]],23),IF(Main[[#This Row],[Class]]="B", WORKDAY(Main[[#This Row],[Tech Start Date]],15),IF(Main[[#This Row],[Class]]="A",WORKDAY(Main[[#This Row],[Tech Start Date]],5),""))))</f>
        <v>40863</v>
      </c>
      <c r="P1400" s="152">
        <f>IF(Main[[#This Row],[Tech Start Date]]&lt;1/1/1990,"",IF(Main[[#This Row],[Class]]="C",WORKDAY(Main[[#This Row],[Tech Start Date]],28),IF(Main[[#This Row],[Class]]="B", WORKDAY(Main[[#This Row],[Tech Start Date]],19),IF(Main[[#This Row],[Class]]="A",WORKDAY(Main[[#This Row],[Tech Start Date]],9),""))))</f>
        <v>40869</v>
      </c>
      <c r="Q1400" s="149">
        <v>40877</v>
      </c>
      <c r="R1400" s="149">
        <v>40883</v>
      </c>
      <c r="S1400" s="147" t="s">
        <v>6</v>
      </c>
      <c r="T1400" s="153" t="s">
        <v>2694</v>
      </c>
      <c r="U1400" s="147" t="s">
        <v>29</v>
      </c>
      <c r="V1400" s="147" t="s">
        <v>1932</v>
      </c>
      <c r="W1400" s="147" t="s">
        <v>1934</v>
      </c>
      <c r="X1400" s="147" t="s">
        <v>933</v>
      </c>
      <c r="Y1400" s="147" t="s">
        <v>3077</v>
      </c>
      <c r="Z1400" s="147" t="s">
        <v>129</v>
      </c>
      <c r="AA1400" s="154" t="s">
        <v>933</v>
      </c>
    </row>
    <row r="1401" spans="1:27" ht="18.600000000000001" customHeight="1">
      <c r="A1401" s="175" t="str">
        <f>IF(priority(Main[[#This Row],[Comments]])&lt;&gt;0, priority(Main[[#This Row],[Comments]]),"")</f>
        <v/>
      </c>
      <c r="B1401" s="146" t="s">
        <v>2695</v>
      </c>
      <c r="C1401" s="147" t="s">
        <v>4</v>
      </c>
      <c r="D1401" s="148" t="s">
        <v>2696</v>
      </c>
      <c r="E1401" s="149">
        <v>40864.413506944446</v>
      </c>
      <c r="F1401" s="149"/>
      <c r="G1401" s="150" t="str">
        <f>IF(stdProdLT(Main[[#This Row],[Comments]])=0.1,"N/A",IF(stdProdLT(Main[[#This Row],[Comments]])=0,"",stdProdLT(Main[[#This Row],[Comments]])))</f>
        <v/>
      </c>
      <c r="H1401" s="151" t="str">
        <f>IF(AND(Main[[#This Row],[In Stock Date]]&lt;&gt;"",Main[[#This Row],[Revised Due Date]]&lt;&gt;""),Main[[#This Row],[In Stock Date]]-Main[[#This Row],[Revised Due Date]],"")</f>
        <v/>
      </c>
      <c r="I1401" s="147" t="s">
        <v>953</v>
      </c>
      <c r="J1401" s="147" t="s">
        <v>28</v>
      </c>
      <c r="K1401" s="147" t="s">
        <v>1941</v>
      </c>
      <c r="L1401" s="149">
        <v>40864</v>
      </c>
      <c r="M1401" s="152">
        <f>IF(Main[[#This Row],[Tech Start Date]]&lt;1/1/1990,"",IF(Main[[#This Row],[Class]]="C",WORKDAY(Main[[#This Row],[Tech Start Date]],9),IF(Main[[#This Row],[Class]]="B", WORKDAY(Main[[#This Row],[Tech Start Date]],6),IF(Main[[#This Row],[Class]]="A",WORKDAY(Main[[#This Row],[Tech Start Date]],2),""))))</f>
        <v>40868</v>
      </c>
      <c r="N1401" s="152">
        <f>IF(Main[[#This Row],[Tech Start Date]]&lt;1/1/1990,"",IF(Main[[#This Row],[Class]]="C",WORKDAY(Main[[#This Row],[Tech Start Date]],19),IF(Main[[#This Row],[Class]]="B", WORKDAY(Main[[#This Row],[Tech Start Date]],12),IF(Main[[#This Row],[Class]]="A",WORKDAY(Main[[#This Row],[Tech Start Date]],4),""))))</f>
        <v>40870</v>
      </c>
      <c r="O1401" s="152">
        <f>IF(Main[[#This Row],[Tech Start Date]]&lt;1/1/1990,"",IF(Main[[#This Row],[Class]]="C",WORKDAY(Main[[#This Row],[Tech Start Date]],23),IF(Main[[#This Row],[Class]]="B", WORKDAY(Main[[#This Row],[Tech Start Date]],15),IF(Main[[#This Row],[Class]]="A",WORKDAY(Main[[#This Row],[Tech Start Date]],5),""))))</f>
        <v>40871</v>
      </c>
      <c r="P1401" s="152">
        <f>IF(Main[[#This Row],[Tech Start Date]]&lt;1/1/1990,"",IF(Main[[#This Row],[Class]]="C",WORKDAY(Main[[#This Row],[Tech Start Date]],28),IF(Main[[#This Row],[Class]]="B", WORKDAY(Main[[#This Row],[Tech Start Date]],19),IF(Main[[#This Row],[Class]]="A",WORKDAY(Main[[#This Row],[Tech Start Date]],9),""))))</f>
        <v>40877</v>
      </c>
      <c r="Q1401" s="149"/>
      <c r="R1401" s="149">
        <v>40877</v>
      </c>
      <c r="S1401" s="147" t="s">
        <v>6</v>
      </c>
      <c r="T1401" s="153" t="s">
        <v>4</v>
      </c>
      <c r="U1401" s="147" t="s">
        <v>29</v>
      </c>
      <c r="V1401" s="147" t="s">
        <v>1933</v>
      </c>
      <c r="W1401" s="147" t="s">
        <v>1936</v>
      </c>
      <c r="X1401" s="147" t="s">
        <v>953</v>
      </c>
      <c r="Y1401" s="147" t="s">
        <v>3090</v>
      </c>
      <c r="Z1401" s="147" t="s">
        <v>2075</v>
      </c>
      <c r="AA1401" s="154" t="s">
        <v>953</v>
      </c>
    </row>
    <row r="1402" spans="1:27" ht="18.600000000000001" customHeight="1">
      <c r="A1402" s="175" t="str">
        <f>IF(priority(Main[[#This Row],[Comments]])&lt;&gt;0, priority(Main[[#This Row],[Comments]]),"")</f>
        <v/>
      </c>
      <c r="B1402" s="146" t="s">
        <v>2697</v>
      </c>
      <c r="C1402" s="147" t="s">
        <v>72</v>
      </c>
      <c r="D1402" s="148" t="s">
        <v>2698</v>
      </c>
      <c r="E1402" s="149"/>
      <c r="F1402" s="149"/>
      <c r="G1402" s="150" t="str">
        <f>IF(stdProdLT(Main[[#This Row],[Comments]])=0.1,"N/A",IF(stdProdLT(Main[[#This Row],[Comments]])=0,"",stdProdLT(Main[[#This Row],[Comments]])))</f>
        <v/>
      </c>
      <c r="H1402" s="151" t="str">
        <f>IF(AND(Main[[#This Row],[In Stock Date]]&lt;&gt;"",Main[[#This Row],[Revised Due Date]]&lt;&gt;""),Main[[#This Row],[In Stock Date]]-Main[[#This Row],[Revised Due Date]],"")</f>
        <v/>
      </c>
      <c r="I1402" s="147" t="s">
        <v>2671</v>
      </c>
      <c r="J1402" s="147" t="s">
        <v>28</v>
      </c>
      <c r="K1402" s="147" t="s">
        <v>1941</v>
      </c>
      <c r="L1402" s="149">
        <v>40869</v>
      </c>
      <c r="M1402" s="152">
        <f>IF(Main[[#This Row],[Tech Start Date]]&lt;1/1/1990,"",IF(Main[[#This Row],[Class]]="C",WORKDAY(Main[[#This Row],[Tech Start Date]],9),IF(Main[[#This Row],[Class]]="B", WORKDAY(Main[[#This Row],[Tech Start Date]],6),IF(Main[[#This Row],[Class]]="A",WORKDAY(Main[[#This Row],[Tech Start Date]],2),""))))</f>
        <v>40871</v>
      </c>
      <c r="N1402" s="152">
        <f>IF(Main[[#This Row],[Tech Start Date]]&lt;1/1/1990,"",IF(Main[[#This Row],[Class]]="C",WORKDAY(Main[[#This Row],[Tech Start Date]],19),IF(Main[[#This Row],[Class]]="B", WORKDAY(Main[[#This Row],[Tech Start Date]],12),IF(Main[[#This Row],[Class]]="A",WORKDAY(Main[[#This Row],[Tech Start Date]],4),""))))</f>
        <v>40875</v>
      </c>
      <c r="O1402" s="152">
        <f>IF(Main[[#This Row],[Tech Start Date]]&lt;1/1/1990,"",IF(Main[[#This Row],[Class]]="C",WORKDAY(Main[[#This Row],[Tech Start Date]],23),IF(Main[[#This Row],[Class]]="B", WORKDAY(Main[[#This Row],[Tech Start Date]],15),IF(Main[[#This Row],[Class]]="A",WORKDAY(Main[[#This Row],[Tech Start Date]],5),""))))</f>
        <v>40876</v>
      </c>
      <c r="P1402" s="152">
        <f>IF(Main[[#This Row],[Tech Start Date]]&lt;1/1/1990,"",IF(Main[[#This Row],[Class]]="C",WORKDAY(Main[[#This Row],[Tech Start Date]],28),IF(Main[[#This Row],[Class]]="B", WORKDAY(Main[[#This Row],[Tech Start Date]],19),IF(Main[[#This Row],[Class]]="A",WORKDAY(Main[[#This Row],[Tech Start Date]],9),""))))</f>
        <v>40882</v>
      </c>
      <c r="Q1402" s="149">
        <v>40882</v>
      </c>
      <c r="R1402" s="149">
        <v>40882</v>
      </c>
      <c r="S1402" s="147" t="s">
        <v>17</v>
      </c>
      <c r="T1402" s="153" t="s">
        <v>4</v>
      </c>
      <c r="U1402" s="147" t="s">
        <v>14</v>
      </c>
      <c r="V1402" s="147" t="s">
        <v>1933</v>
      </c>
      <c r="W1402" s="147" t="s">
        <v>1934</v>
      </c>
      <c r="X1402" s="147" t="s">
        <v>2981</v>
      </c>
      <c r="Y1402" s="147" t="s">
        <v>3142</v>
      </c>
      <c r="Z1402" s="147" t="s">
        <v>2075</v>
      </c>
      <c r="AA1402" s="154" t="s">
        <v>2981</v>
      </c>
    </row>
    <row r="1403" spans="1:27" ht="18.600000000000001" customHeight="1">
      <c r="A1403" s="175" t="str">
        <f>IF(priority(Main[[#This Row],[Comments]])&lt;&gt;0, priority(Main[[#This Row],[Comments]]),"")</f>
        <v/>
      </c>
      <c r="B1403" s="146" t="s">
        <v>2702</v>
      </c>
      <c r="C1403" s="147" t="s">
        <v>72</v>
      </c>
      <c r="D1403" s="148" t="s">
        <v>2717</v>
      </c>
      <c r="E1403" s="149"/>
      <c r="F1403" s="149"/>
      <c r="G1403" s="150" t="str">
        <f>IF(stdProdLT(Main[[#This Row],[Comments]])=0.1,"N/A",IF(stdProdLT(Main[[#This Row],[Comments]])=0,"",stdProdLT(Main[[#This Row],[Comments]])))</f>
        <v/>
      </c>
      <c r="H1403" s="151" t="str">
        <f>IF(AND(Main[[#This Row],[In Stock Date]]&lt;&gt;"",Main[[#This Row],[Revised Due Date]]&lt;&gt;""),Main[[#This Row],[In Stock Date]]-Main[[#This Row],[Revised Due Date]],"")</f>
        <v/>
      </c>
      <c r="I1403" s="147" t="s">
        <v>2278</v>
      </c>
      <c r="J1403" s="147" t="s">
        <v>28</v>
      </c>
      <c r="K1403" s="147" t="s">
        <v>1941</v>
      </c>
      <c r="L1403" s="149">
        <v>40869</v>
      </c>
      <c r="M1403" s="152">
        <f>IF(Main[[#This Row],[Tech Start Date]]&lt;1/1/1990,"",IF(Main[[#This Row],[Class]]="C",WORKDAY(Main[[#This Row],[Tech Start Date]],9),IF(Main[[#This Row],[Class]]="B", WORKDAY(Main[[#This Row],[Tech Start Date]],6),IF(Main[[#This Row],[Class]]="A",WORKDAY(Main[[#This Row],[Tech Start Date]],2),""))))</f>
        <v>40871</v>
      </c>
      <c r="N1403" s="152">
        <f>IF(Main[[#This Row],[Tech Start Date]]&lt;1/1/1990,"",IF(Main[[#This Row],[Class]]="C",WORKDAY(Main[[#This Row],[Tech Start Date]],19),IF(Main[[#This Row],[Class]]="B", WORKDAY(Main[[#This Row],[Tech Start Date]],12),IF(Main[[#This Row],[Class]]="A",WORKDAY(Main[[#This Row],[Tech Start Date]],4),""))))</f>
        <v>40875</v>
      </c>
      <c r="O1403" s="152">
        <f>IF(Main[[#This Row],[Tech Start Date]]&lt;1/1/1990,"",IF(Main[[#This Row],[Class]]="C",WORKDAY(Main[[#This Row],[Tech Start Date]],23),IF(Main[[#This Row],[Class]]="B", WORKDAY(Main[[#This Row],[Tech Start Date]],15),IF(Main[[#This Row],[Class]]="A",WORKDAY(Main[[#This Row],[Tech Start Date]],5),""))))</f>
        <v>40876</v>
      </c>
      <c r="P1403" s="152">
        <f>IF(Main[[#This Row],[Tech Start Date]]&lt;1/1/1990,"",IF(Main[[#This Row],[Class]]="C",WORKDAY(Main[[#This Row],[Tech Start Date]],28),IF(Main[[#This Row],[Class]]="B", WORKDAY(Main[[#This Row],[Tech Start Date]],19),IF(Main[[#This Row],[Class]]="A",WORKDAY(Main[[#This Row],[Tech Start Date]],9),""))))</f>
        <v>40882</v>
      </c>
      <c r="Q1403" s="149">
        <v>40882</v>
      </c>
      <c r="R1403" s="156"/>
      <c r="S1403" s="147" t="s">
        <v>11</v>
      </c>
      <c r="T1403" s="153" t="s">
        <v>4</v>
      </c>
      <c r="U1403" s="147" t="s">
        <v>14</v>
      </c>
      <c r="V1403" s="147" t="s">
        <v>1933</v>
      </c>
      <c r="W1403" s="147" t="s">
        <v>1934</v>
      </c>
      <c r="X1403" s="147" t="s">
        <v>2981</v>
      </c>
      <c r="Y1403" s="147" t="s">
        <v>3142</v>
      </c>
      <c r="Z1403" s="147" t="s">
        <v>2075</v>
      </c>
      <c r="AA1403" s="154" t="s">
        <v>2981</v>
      </c>
    </row>
    <row r="1404" spans="1:27" ht="18.600000000000001" customHeight="1">
      <c r="A1404" s="175" t="str">
        <f>IF(priority(Main[[#This Row],[Comments]])&lt;&gt;0, priority(Main[[#This Row],[Comments]]),"")</f>
        <v/>
      </c>
      <c r="B1404" s="146" t="s">
        <v>2700</v>
      </c>
      <c r="C1404" s="147" t="s">
        <v>72</v>
      </c>
      <c r="D1404" s="148" t="s">
        <v>2701</v>
      </c>
      <c r="E1404" s="149"/>
      <c r="F1404" s="149"/>
      <c r="G1404" s="150" t="str">
        <f>IF(stdProdLT(Main[[#This Row],[Comments]])=0.1,"N/A",IF(stdProdLT(Main[[#This Row],[Comments]])=0,"",stdProdLT(Main[[#This Row],[Comments]])))</f>
        <v/>
      </c>
      <c r="H1404" s="151" t="str">
        <f>IF(AND(Main[[#This Row],[In Stock Date]]&lt;&gt;"",Main[[#This Row],[Revised Due Date]]&lt;&gt;""),Main[[#This Row],[In Stock Date]]-Main[[#This Row],[Revised Due Date]],"")</f>
        <v/>
      </c>
      <c r="I1404" s="147" t="s">
        <v>2671</v>
      </c>
      <c r="J1404" s="147" t="s">
        <v>28</v>
      </c>
      <c r="K1404" s="147" t="s">
        <v>1941</v>
      </c>
      <c r="L1404" s="149">
        <v>40869</v>
      </c>
      <c r="M1404" s="152">
        <f>IF(Main[[#This Row],[Tech Start Date]]&lt;1/1/1990,"",IF(Main[[#This Row],[Class]]="C",WORKDAY(Main[[#This Row],[Tech Start Date]],9),IF(Main[[#This Row],[Class]]="B", WORKDAY(Main[[#This Row],[Tech Start Date]],6),IF(Main[[#This Row],[Class]]="A",WORKDAY(Main[[#This Row],[Tech Start Date]],2),""))))</f>
        <v>40871</v>
      </c>
      <c r="N1404" s="152">
        <f>IF(Main[[#This Row],[Tech Start Date]]&lt;1/1/1990,"",IF(Main[[#This Row],[Class]]="C",WORKDAY(Main[[#This Row],[Tech Start Date]],19),IF(Main[[#This Row],[Class]]="B", WORKDAY(Main[[#This Row],[Tech Start Date]],12),IF(Main[[#This Row],[Class]]="A",WORKDAY(Main[[#This Row],[Tech Start Date]],4),""))))</f>
        <v>40875</v>
      </c>
      <c r="O1404" s="152">
        <f>IF(Main[[#This Row],[Tech Start Date]]&lt;1/1/1990,"",IF(Main[[#This Row],[Class]]="C",WORKDAY(Main[[#This Row],[Tech Start Date]],23),IF(Main[[#This Row],[Class]]="B", WORKDAY(Main[[#This Row],[Tech Start Date]],15),IF(Main[[#This Row],[Class]]="A",WORKDAY(Main[[#This Row],[Tech Start Date]],5),""))))</f>
        <v>40876</v>
      </c>
      <c r="P1404" s="152">
        <f>IF(Main[[#This Row],[Tech Start Date]]&lt;1/1/1990,"",IF(Main[[#This Row],[Class]]="C",WORKDAY(Main[[#This Row],[Tech Start Date]],28),IF(Main[[#This Row],[Class]]="B", WORKDAY(Main[[#This Row],[Tech Start Date]],19),IF(Main[[#This Row],[Class]]="A",WORKDAY(Main[[#This Row],[Tech Start Date]],9),""))))</f>
        <v>40882</v>
      </c>
      <c r="Q1404" s="149">
        <v>40882</v>
      </c>
      <c r="R1404" s="149">
        <v>40882</v>
      </c>
      <c r="S1404" s="147" t="s">
        <v>11</v>
      </c>
      <c r="T1404" s="153" t="s">
        <v>4</v>
      </c>
      <c r="U1404" s="147" t="s">
        <v>14</v>
      </c>
      <c r="V1404" s="147" t="s">
        <v>1933</v>
      </c>
      <c r="W1404" s="147" t="s">
        <v>1934</v>
      </c>
      <c r="X1404" s="147" t="s">
        <v>2981</v>
      </c>
      <c r="Y1404" s="147" t="s">
        <v>3142</v>
      </c>
      <c r="Z1404" s="147" t="s">
        <v>2075</v>
      </c>
      <c r="AA1404" s="154" t="s">
        <v>2981</v>
      </c>
    </row>
    <row r="1405" spans="1:27" ht="18.600000000000001" customHeight="1">
      <c r="A1405" s="175" t="str">
        <f>IF(priority(Main[[#This Row],[Comments]])&lt;&gt;0, priority(Main[[#This Row],[Comments]]),"")</f>
        <v/>
      </c>
      <c r="B1405" s="146" t="s">
        <v>1241</v>
      </c>
      <c r="C1405" s="147" t="s">
        <v>33</v>
      </c>
      <c r="D1405" s="148" t="s">
        <v>3591</v>
      </c>
      <c r="E1405" s="149">
        <v>40603.336435185185</v>
      </c>
      <c r="F1405" s="149">
        <v>40632</v>
      </c>
      <c r="G1405" s="150" t="str">
        <f>IF(stdProdLT(Main[[#This Row],[Comments]])=0.1,"N/A",IF(stdProdLT(Main[[#This Row],[Comments]])=0,"",stdProdLT(Main[[#This Row],[Comments]])))</f>
        <v/>
      </c>
      <c r="H1405" s="151">
        <f>IF(AND(Main[[#This Row],[In Stock Date]]&lt;&gt;"",Main[[#This Row],[Revised Due Date]]&lt;&gt;""),Main[[#This Row],[In Stock Date]]-Main[[#This Row],[Revised Due Date]],"")</f>
        <v>-336</v>
      </c>
      <c r="I1405" s="147" t="s">
        <v>900</v>
      </c>
      <c r="J1405" s="147" t="s">
        <v>28</v>
      </c>
      <c r="K1405" s="147" t="s">
        <v>1944</v>
      </c>
      <c r="L1405" s="149">
        <v>40878</v>
      </c>
      <c r="M1405" s="152" t="str">
        <f>IF(Main[[#This Row],[Tech Start Date]]&lt;1/1/1990,"",IF(Main[[#This Row],[Class]]="C",WORKDAY(Main[[#This Row],[Tech Start Date]],9),IF(Main[[#This Row],[Class]]="B", WORKDAY(Main[[#This Row],[Tech Start Date]],6),IF(Main[[#This Row],[Class]]="A",WORKDAY(Main[[#This Row],[Tech Start Date]],2),""))))</f>
        <v/>
      </c>
      <c r="N1405" s="152" t="str">
        <f>IF(Main[[#This Row],[Tech Start Date]]&lt;1/1/1990,"",IF(Main[[#This Row],[Class]]="C",WORKDAY(Main[[#This Row],[Tech Start Date]],19),IF(Main[[#This Row],[Class]]="B", WORKDAY(Main[[#This Row],[Tech Start Date]],12),IF(Main[[#This Row],[Class]]="A",WORKDAY(Main[[#This Row],[Tech Start Date]],4),""))))</f>
        <v/>
      </c>
      <c r="O1405" s="152" t="str">
        <f>IF(Main[[#This Row],[Tech Start Date]]&lt;1/1/1990,"",IF(Main[[#This Row],[Class]]="C",WORKDAY(Main[[#This Row],[Tech Start Date]],23),IF(Main[[#This Row],[Class]]="B", WORKDAY(Main[[#This Row],[Tech Start Date]],15),IF(Main[[#This Row],[Class]]="A",WORKDAY(Main[[#This Row],[Tech Start Date]],5),""))))</f>
        <v/>
      </c>
      <c r="P1405" s="152" t="str">
        <f>IF(Main[[#This Row],[Tech Start Date]]&lt;1/1/1990,"",IF(Main[[#This Row],[Class]]="C",WORKDAY(Main[[#This Row],[Tech Start Date]],28),IF(Main[[#This Row],[Class]]="B", WORKDAY(Main[[#This Row],[Tech Start Date]],19),IF(Main[[#This Row],[Class]]="A",WORKDAY(Main[[#This Row],[Tech Start Date]],9),""))))</f>
        <v/>
      </c>
      <c r="Q1405" s="149">
        <v>40612</v>
      </c>
      <c r="R1405" s="149">
        <v>40968</v>
      </c>
      <c r="S1405" s="147" t="s">
        <v>17</v>
      </c>
      <c r="T1405" s="153" t="s">
        <v>4</v>
      </c>
      <c r="U1405" s="147" t="s">
        <v>29</v>
      </c>
      <c r="V1405" s="147" t="s">
        <v>1932</v>
      </c>
      <c r="W1405" s="147" t="s">
        <v>1937</v>
      </c>
      <c r="X1405" s="147" t="s">
        <v>2966</v>
      </c>
      <c r="Y1405" s="147" t="s">
        <v>3116</v>
      </c>
      <c r="Z1405" s="147" t="s">
        <v>888</v>
      </c>
      <c r="AA1405" s="154" t="s">
        <v>2966</v>
      </c>
    </row>
    <row r="1406" spans="1:27" ht="18.600000000000001" customHeight="1">
      <c r="A1406" s="175" t="str">
        <f>IF(priority(Main[[#This Row],[Comments]])&lt;&gt;0, priority(Main[[#This Row],[Comments]]),"")</f>
        <v/>
      </c>
      <c r="B1406" s="146" t="s">
        <v>2609</v>
      </c>
      <c r="C1406" s="147" t="s">
        <v>2610</v>
      </c>
      <c r="D1406" s="148" t="s">
        <v>2891</v>
      </c>
      <c r="E1406" s="149">
        <v>40857.997499999998</v>
      </c>
      <c r="F1406" s="149"/>
      <c r="G1406" s="150">
        <f>IF(stdProdLT(Main[[#This Row],[Comments]])=0.1,"N/A",IF(stdProdLT(Main[[#This Row],[Comments]])=0,"",stdProdLT(Main[[#This Row],[Comments]])))</f>
        <v>140</v>
      </c>
      <c r="H1406" s="151" t="str">
        <f>IF(AND(Main[[#This Row],[In Stock Date]]&lt;&gt;"",Main[[#This Row],[Revised Due Date]]&lt;&gt;""),Main[[#This Row],[In Stock Date]]-Main[[#This Row],[Revised Due Date]],"")</f>
        <v/>
      </c>
      <c r="I1406" s="147" t="s">
        <v>434</v>
      </c>
      <c r="J1406" s="147" t="s">
        <v>70</v>
      </c>
      <c r="K1406" s="147" t="s">
        <v>1941</v>
      </c>
      <c r="L1406" s="149">
        <v>40885</v>
      </c>
      <c r="M1406" s="152">
        <f>IF(Main[[#This Row],[Tech Start Date]]&lt;1/1/1990,"",IF(Main[[#This Row],[Class]]="C",WORKDAY(Main[[#This Row],[Tech Start Date]],9),IF(Main[[#This Row],[Class]]="B", WORKDAY(Main[[#This Row],[Tech Start Date]],6),IF(Main[[#This Row],[Class]]="A",WORKDAY(Main[[#This Row],[Tech Start Date]],2),""))))</f>
        <v>40889</v>
      </c>
      <c r="N1406" s="152">
        <f>IF(Main[[#This Row],[Tech Start Date]]&lt;1/1/1990,"",IF(Main[[#This Row],[Class]]="C",WORKDAY(Main[[#This Row],[Tech Start Date]],19),IF(Main[[#This Row],[Class]]="B", WORKDAY(Main[[#This Row],[Tech Start Date]],12),IF(Main[[#This Row],[Class]]="A",WORKDAY(Main[[#This Row],[Tech Start Date]],4),""))))</f>
        <v>40891</v>
      </c>
      <c r="O1406" s="152">
        <f>IF(Main[[#This Row],[Tech Start Date]]&lt;1/1/1990,"",IF(Main[[#This Row],[Class]]="C",WORKDAY(Main[[#This Row],[Tech Start Date]],23),IF(Main[[#This Row],[Class]]="B", WORKDAY(Main[[#This Row],[Tech Start Date]],15),IF(Main[[#This Row],[Class]]="A",WORKDAY(Main[[#This Row],[Tech Start Date]],5),""))))</f>
        <v>40892</v>
      </c>
      <c r="P1406" s="152">
        <f>IF(Main[[#This Row],[Tech Start Date]]&lt;1/1/1990,"",IF(Main[[#This Row],[Class]]="C",WORKDAY(Main[[#This Row],[Tech Start Date]],28),IF(Main[[#This Row],[Class]]="B", WORKDAY(Main[[#This Row],[Tech Start Date]],19),IF(Main[[#This Row],[Class]]="A",WORKDAY(Main[[#This Row],[Tech Start Date]],9),""))))</f>
        <v>40898</v>
      </c>
      <c r="Q1406" s="149">
        <v>40879</v>
      </c>
      <c r="R1406" s="149"/>
      <c r="S1406" s="147" t="s">
        <v>11</v>
      </c>
      <c r="T1406" s="153" t="s">
        <v>3493</v>
      </c>
      <c r="U1406" s="147" t="s">
        <v>539</v>
      </c>
      <c r="V1406" s="147" t="s">
        <v>1942</v>
      </c>
      <c r="W1406" s="147" t="s">
        <v>1940</v>
      </c>
      <c r="X1406" s="147" t="s">
        <v>2995</v>
      </c>
      <c r="Y1406" s="147" t="s">
        <v>4</v>
      </c>
      <c r="Z1406" s="147" t="s">
        <v>535</v>
      </c>
      <c r="AA1406" s="154" t="s">
        <v>2995</v>
      </c>
    </row>
    <row r="1407" spans="1:27" ht="18.600000000000001" customHeight="1">
      <c r="A1407" s="175" t="str">
        <f>IF(priority(Main[[#This Row],[Comments]])&lt;&gt;0, priority(Main[[#This Row],[Comments]]),"")</f>
        <v/>
      </c>
      <c r="B1407" s="146" t="s">
        <v>2896</v>
      </c>
      <c r="C1407" s="147" t="s">
        <v>2897</v>
      </c>
      <c r="D1407" s="148" t="s">
        <v>3282</v>
      </c>
      <c r="E1407" s="149">
        <v>40889.938506944447</v>
      </c>
      <c r="F1407" s="149">
        <v>41029</v>
      </c>
      <c r="G1407" s="150">
        <f>IF(stdProdLT(Main[[#This Row],[Comments]])=0.1,"N/A",IF(stdProdLT(Main[[#This Row],[Comments]])=0,"",stdProdLT(Main[[#This Row],[Comments]])))</f>
        <v>154</v>
      </c>
      <c r="H1407" s="151" t="str">
        <f>IF(AND(Main[[#This Row],[In Stock Date]]&lt;&gt;"",Main[[#This Row],[Revised Due Date]]&lt;&gt;""),Main[[#This Row],[In Stock Date]]-Main[[#This Row],[Revised Due Date]],"")</f>
        <v/>
      </c>
      <c r="I1407" s="147" t="s">
        <v>775</v>
      </c>
      <c r="J1407" s="147" t="s">
        <v>28</v>
      </c>
      <c r="K1407" s="147" t="s">
        <v>1939</v>
      </c>
      <c r="L1407" s="149">
        <v>40904</v>
      </c>
      <c r="M1407" s="152">
        <f>IF(Main[[#This Row],[Tech Start Date]]&lt;1/1/1990,"",IF(Main[[#This Row],[Class]]="C",WORKDAY(Main[[#This Row],[Tech Start Date]],9),IF(Main[[#This Row],[Class]]="B", WORKDAY(Main[[#This Row],[Tech Start Date]],6),IF(Main[[#This Row],[Class]]="A",WORKDAY(Main[[#This Row],[Tech Start Date]],2),""))))</f>
        <v>40912</v>
      </c>
      <c r="N1407" s="152">
        <f>IF(Main[[#This Row],[Tech Start Date]]&lt;1/1/1990,"",IF(Main[[#This Row],[Class]]="C",WORKDAY(Main[[#This Row],[Tech Start Date]],19),IF(Main[[#This Row],[Class]]="B", WORKDAY(Main[[#This Row],[Tech Start Date]],12),IF(Main[[#This Row],[Class]]="A",WORKDAY(Main[[#This Row],[Tech Start Date]],4),""))))</f>
        <v>40920</v>
      </c>
      <c r="O1407" s="152">
        <f>IF(Main[[#This Row],[Tech Start Date]]&lt;1/1/1990,"",IF(Main[[#This Row],[Class]]="C",WORKDAY(Main[[#This Row],[Tech Start Date]],23),IF(Main[[#This Row],[Class]]="B", WORKDAY(Main[[#This Row],[Tech Start Date]],15),IF(Main[[#This Row],[Class]]="A",WORKDAY(Main[[#This Row],[Tech Start Date]],5),""))))</f>
        <v>40925</v>
      </c>
      <c r="P1407" s="152">
        <f>IF(Main[[#This Row],[Tech Start Date]]&lt;1/1/1990,"",IF(Main[[#This Row],[Class]]="C",WORKDAY(Main[[#This Row],[Tech Start Date]],28),IF(Main[[#This Row],[Class]]="B", WORKDAY(Main[[#This Row],[Tech Start Date]],19),IF(Main[[#This Row],[Class]]="A",WORKDAY(Main[[#This Row],[Tech Start Date]],9),""))))</f>
        <v>40931</v>
      </c>
      <c r="Q1407" s="149">
        <v>40918</v>
      </c>
      <c r="R1407" s="149"/>
      <c r="S1407" s="147" t="s">
        <v>11</v>
      </c>
      <c r="T1407" s="153" t="s">
        <v>3494</v>
      </c>
      <c r="U1407" s="147" t="s">
        <v>539</v>
      </c>
      <c r="V1407" s="147" t="s">
        <v>1935</v>
      </c>
      <c r="W1407" s="147" t="s">
        <v>1937</v>
      </c>
      <c r="X1407" s="147" t="s">
        <v>3017</v>
      </c>
      <c r="Y1407" s="147" t="s">
        <v>4</v>
      </c>
      <c r="Z1407" s="147" t="s">
        <v>535</v>
      </c>
      <c r="AA1407" s="154" t="s">
        <v>3017</v>
      </c>
    </row>
    <row r="1408" spans="1:27" ht="18.600000000000001" customHeight="1">
      <c r="A1408" s="175" t="str">
        <f>IF(priority(Main[[#This Row],[Comments]])&lt;&gt;0, priority(Main[[#This Row],[Comments]]),"")</f>
        <v/>
      </c>
      <c r="B1408" s="146" t="s">
        <v>2892</v>
      </c>
      <c r="C1408" s="147" t="s">
        <v>3329</v>
      </c>
      <c r="D1408" s="148" t="s">
        <v>2893</v>
      </c>
      <c r="E1408" s="149">
        <v>40890.87877314815</v>
      </c>
      <c r="F1408" s="149"/>
      <c r="G1408" s="150">
        <f>IF(stdProdLT(Main[[#This Row],[Comments]])=0.1,"N/A",IF(stdProdLT(Main[[#This Row],[Comments]])=0,"",stdProdLT(Main[[#This Row],[Comments]])))</f>
        <v>154</v>
      </c>
      <c r="H1408" s="151" t="str">
        <f>IF(AND(Main[[#This Row],[In Stock Date]]&lt;&gt;"",Main[[#This Row],[Revised Due Date]]&lt;&gt;""),Main[[#This Row],[In Stock Date]]-Main[[#This Row],[Revised Due Date]],"")</f>
        <v/>
      </c>
      <c r="I1408" s="147" t="s">
        <v>50</v>
      </c>
      <c r="J1408" s="147" t="s">
        <v>21</v>
      </c>
      <c r="K1408" s="147" t="s">
        <v>1941</v>
      </c>
      <c r="L1408" s="149">
        <v>40904</v>
      </c>
      <c r="M1408" s="152">
        <f>IF(Main[[#This Row],[Tech Start Date]]&lt;1/1/1990,"",IF(Main[[#This Row],[Class]]="C",WORKDAY(Main[[#This Row],[Tech Start Date]],9),IF(Main[[#This Row],[Class]]="B", WORKDAY(Main[[#This Row],[Tech Start Date]],6),IF(Main[[#This Row],[Class]]="A",WORKDAY(Main[[#This Row],[Tech Start Date]],2),""))))</f>
        <v>40906</v>
      </c>
      <c r="N1408" s="152">
        <f>IF(Main[[#This Row],[Tech Start Date]]&lt;1/1/1990,"",IF(Main[[#This Row],[Class]]="C",WORKDAY(Main[[#This Row],[Tech Start Date]],19),IF(Main[[#This Row],[Class]]="B", WORKDAY(Main[[#This Row],[Tech Start Date]],12),IF(Main[[#This Row],[Class]]="A",WORKDAY(Main[[#This Row],[Tech Start Date]],4),""))))</f>
        <v>40910</v>
      </c>
      <c r="O1408" s="152">
        <f>IF(Main[[#This Row],[Tech Start Date]]&lt;1/1/1990,"",IF(Main[[#This Row],[Class]]="C",WORKDAY(Main[[#This Row],[Tech Start Date]],23),IF(Main[[#This Row],[Class]]="B", WORKDAY(Main[[#This Row],[Tech Start Date]],15),IF(Main[[#This Row],[Class]]="A",WORKDAY(Main[[#This Row],[Tech Start Date]],5),""))))</f>
        <v>40911</v>
      </c>
      <c r="P1408" s="152">
        <f>IF(Main[[#This Row],[Tech Start Date]]&lt;1/1/1990,"",IF(Main[[#This Row],[Class]]="C",WORKDAY(Main[[#This Row],[Tech Start Date]],28),IF(Main[[#This Row],[Class]]="B", WORKDAY(Main[[#This Row],[Tech Start Date]],19),IF(Main[[#This Row],[Class]]="A",WORKDAY(Main[[#This Row],[Tech Start Date]],9),""))))</f>
        <v>40917</v>
      </c>
      <c r="Q1408" s="149">
        <v>40892</v>
      </c>
      <c r="R1408" s="149"/>
      <c r="S1408" s="147" t="s">
        <v>11</v>
      </c>
      <c r="T1408" s="153" t="s">
        <v>3608</v>
      </c>
      <c r="U1408" s="147" t="s">
        <v>539</v>
      </c>
      <c r="V1408" s="147" t="s">
        <v>1935</v>
      </c>
      <c r="W1408" s="147" t="s">
        <v>1934</v>
      </c>
      <c r="X1408" s="147" t="s">
        <v>3016</v>
      </c>
      <c r="Y1408" s="147" t="s">
        <v>4</v>
      </c>
      <c r="Z1408" s="147" t="s">
        <v>535</v>
      </c>
      <c r="AA1408" s="154" t="s">
        <v>3016</v>
      </c>
    </row>
    <row r="1409" spans="1:27" ht="18.600000000000001" customHeight="1">
      <c r="A1409" s="176" t="str">
        <f>IF(priority(Main[[#This Row],[Comments]])&lt;&gt;0, priority(Main[[#This Row],[Comments]]),"")</f>
        <v/>
      </c>
      <c r="B1409" s="146" t="s">
        <v>2894</v>
      </c>
      <c r="C1409" s="154" t="s">
        <v>3329</v>
      </c>
      <c r="D1409" s="177" t="s">
        <v>2895</v>
      </c>
      <c r="E1409" s="178">
        <v>40890.878703703704</v>
      </c>
      <c r="F1409" s="178"/>
      <c r="G1409" s="179">
        <f>IF(stdProdLT(Main[[#This Row],[Comments]])=0.1,"N/A",IF(stdProdLT(Main[[#This Row],[Comments]])=0,"",stdProdLT(Main[[#This Row],[Comments]])))</f>
        <v>140</v>
      </c>
      <c r="H1409" s="180" t="str">
        <f>IF(AND(Main[[#This Row],[In Stock Date]]&lt;&gt;"",Main[[#This Row],[Revised Due Date]]&lt;&gt;""),Main[[#This Row],[In Stock Date]]-Main[[#This Row],[Revised Due Date]],"")</f>
        <v/>
      </c>
      <c r="I1409" s="154" t="s">
        <v>50</v>
      </c>
      <c r="J1409" s="154" t="s">
        <v>21</v>
      </c>
      <c r="K1409" s="154" t="s">
        <v>1939</v>
      </c>
      <c r="L1409" s="178">
        <v>40904</v>
      </c>
      <c r="M1409" s="181">
        <f>IF(Main[[#This Row],[Tech Start Date]]&lt;1/1/1990,"",IF(Main[[#This Row],[Class]]="C",WORKDAY(Main[[#This Row],[Tech Start Date]],9),IF(Main[[#This Row],[Class]]="B", WORKDAY(Main[[#This Row],[Tech Start Date]],6),IF(Main[[#This Row],[Class]]="A",WORKDAY(Main[[#This Row],[Tech Start Date]],2),""))))</f>
        <v>40912</v>
      </c>
      <c r="N1409" s="181">
        <f>IF(Main[[#This Row],[Tech Start Date]]&lt;1/1/1990,"",IF(Main[[#This Row],[Class]]="C",WORKDAY(Main[[#This Row],[Tech Start Date]],19),IF(Main[[#This Row],[Class]]="B", WORKDAY(Main[[#This Row],[Tech Start Date]],12),IF(Main[[#This Row],[Class]]="A",WORKDAY(Main[[#This Row],[Tech Start Date]],4),""))))</f>
        <v>40920</v>
      </c>
      <c r="O1409" s="181">
        <f>IF(Main[[#This Row],[Tech Start Date]]&lt;1/1/1990,"",IF(Main[[#This Row],[Class]]="C",WORKDAY(Main[[#This Row],[Tech Start Date]],23),IF(Main[[#This Row],[Class]]="B", WORKDAY(Main[[#This Row],[Tech Start Date]],15),IF(Main[[#This Row],[Class]]="A",WORKDAY(Main[[#This Row],[Tech Start Date]],5),""))))</f>
        <v>40925</v>
      </c>
      <c r="P1409" s="181">
        <f>IF(Main[[#This Row],[Tech Start Date]]&lt;1/1/1990,"",IF(Main[[#This Row],[Class]]="C",WORKDAY(Main[[#This Row],[Tech Start Date]],28),IF(Main[[#This Row],[Class]]="B", WORKDAY(Main[[#This Row],[Tech Start Date]],19),IF(Main[[#This Row],[Class]]="A",WORKDAY(Main[[#This Row],[Tech Start Date]],9),""))))</f>
        <v>40931</v>
      </c>
      <c r="Q1409" s="178">
        <v>40892</v>
      </c>
      <c r="R1409" s="178"/>
      <c r="S1409" s="154" t="s">
        <v>11</v>
      </c>
      <c r="T1409" s="182" t="s">
        <v>3607</v>
      </c>
      <c r="U1409" s="154" t="s">
        <v>539</v>
      </c>
      <c r="V1409" s="154" t="s">
        <v>1935</v>
      </c>
      <c r="W1409" s="154" t="s">
        <v>1934</v>
      </c>
      <c r="X1409" s="154" t="s">
        <v>3016</v>
      </c>
      <c r="Y1409" s="154" t="s">
        <v>4</v>
      </c>
      <c r="Z1409" s="154" t="s">
        <v>535</v>
      </c>
      <c r="AA1409" s="154" t="s">
        <v>3016</v>
      </c>
    </row>
    <row r="1410" spans="1:27" ht="18.600000000000001" customHeight="1">
      <c r="A1410" s="176" t="str">
        <f>IF(priority(Main[[#This Row],[Comments]])&lt;&gt;0, priority(Main[[#This Row],[Comments]]),"")</f>
        <v/>
      </c>
      <c r="B1410" s="146" t="s">
        <v>3273</v>
      </c>
      <c r="C1410" s="154" t="s">
        <v>3380</v>
      </c>
      <c r="D1410" s="177" t="s">
        <v>3506</v>
      </c>
      <c r="E1410" s="178">
        <v>40919.660682870373</v>
      </c>
      <c r="F1410" s="178">
        <v>41105</v>
      </c>
      <c r="G1410" s="179">
        <f>IF(stdProdLT(Main[[#This Row],[Comments]])=0.1,"N/A",IF(stdProdLT(Main[[#This Row],[Comments]])=0,"",stdProdLT(Main[[#This Row],[Comments]])))</f>
        <v>126</v>
      </c>
      <c r="H1410" s="180" t="str">
        <f>IF(AND(Main[[#This Row],[In Stock Date]]&lt;&gt;"",Main[[#This Row],[Revised Due Date]]&lt;&gt;""),Main[[#This Row],[In Stock Date]]-Main[[#This Row],[Revised Due Date]],"")</f>
        <v/>
      </c>
      <c r="I1410" s="154" t="s">
        <v>949</v>
      </c>
      <c r="J1410" s="154" t="s">
        <v>28</v>
      </c>
      <c r="K1410" s="154" t="s">
        <v>1939</v>
      </c>
      <c r="L1410" s="178">
        <v>40921</v>
      </c>
      <c r="M1410" s="181">
        <f>IF(Main[[#This Row],[Tech Start Date]]&lt;1/1/1990,"",IF(Main[[#This Row],[Class]]="C",WORKDAY(Main[[#This Row],[Tech Start Date]],9),IF(Main[[#This Row],[Class]]="B", WORKDAY(Main[[#This Row],[Tech Start Date]],6),IF(Main[[#This Row],[Class]]="A",WORKDAY(Main[[#This Row],[Tech Start Date]],2),""))))</f>
        <v>40931</v>
      </c>
      <c r="N1410" s="181">
        <f>IF(Main[[#This Row],[Tech Start Date]]&lt;1/1/1990,"",IF(Main[[#This Row],[Class]]="C",WORKDAY(Main[[#This Row],[Tech Start Date]],19),IF(Main[[#This Row],[Class]]="B", WORKDAY(Main[[#This Row],[Tech Start Date]],12),IF(Main[[#This Row],[Class]]="A",WORKDAY(Main[[#This Row],[Tech Start Date]],4),""))))</f>
        <v>40939</v>
      </c>
      <c r="O1410" s="181">
        <f>IF(Main[[#This Row],[Tech Start Date]]&lt;1/1/1990,"",IF(Main[[#This Row],[Class]]="C",WORKDAY(Main[[#This Row],[Tech Start Date]],23),IF(Main[[#This Row],[Class]]="B", WORKDAY(Main[[#This Row],[Tech Start Date]],15),IF(Main[[#This Row],[Class]]="A",WORKDAY(Main[[#This Row],[Tech Start Date]],5),""))))</f>
        <v>40942</v>
      </c>
      <c r="P1410" s="181">
        <f>IF(Main[[#This Row],[Tech Start Date]]&lt;1/1/1990,"",IF(Main[[#This Row],[Class]]="C",WORKDAY(Main[[#This Row],[Tech Start Date]],28),IF(Main[[#This Row],[Class]]="B", WORKDAY(Main[[#This Row],[Tech Start Date]],19),IF(Main[[#This Row],[Class]]="A",WORKDAY(Main[[#This Row],[Tech Start Date]],9),""))))</f>
        <v>40948</v>
      </c>
      <c r="Q1410" s="178">
        <v>41105</v>
      </c>
      <c r="R1410" s="178"/>
      <c r="S1410" s="154" t="s">
        <v>11</v>
      </c>
      <c r="T1410" s="182" t="s">
        <v>3507</v>
      </c>
      <c r="U1410" s="154" t="s">
        <v>539</v>
      </c>
      <c r="V1410" s="154" t="s">
        <v>1932</v>
      </c>
      <c r="W1410" s="154" t="s">
        <v>1943</v>
      </c>
      <c r="X1410" s="154" t="s">
        <v>2943</v>
      </c>
      <c r="Y1410" s="154" t="s">
        <v>3085</v>
      </c>
      <c r="Z1410" s="154" t="s">
        <v>129</v>
      </c>
      <c r="AA1410" s="154" t="s">
        <v>2943</v>
      </c>
    </row>
    <row r="1411" spans="1:27" ht="18.600000000000001" customHeight="1">
      <c r="A1411" s="176" t="str">
        <f>IF(priority(Main[[#This Row],[Comments]])&lt;&gt;0, priority(Main[[#This Row],[Comments]]),"")</f>
        <v/>
      </c>
      <c r="B1411" s="146" t="s">
        <v>3287</v>
      </c>
      <c r="C1411" s="154" t="s">
        <v>3318</v>
      </c>
      <c r="D1411" s="177" t="s">
        <v>3288</v>
      </c>
      <c r="E1411" s="178">
        <v>40920.303043981483</v>
      </c>
      <c r="F1411" s="178">
        <v>41153</v>
      </c>
      <c r="G1411" s="179">
        <f>IF(stdProdLT(Main[[#This Row],[Comments]])=0.1,"N/A",IF(stdProdLT(Main[[#This Row],[Comments]])=0,"",stdProdLT(Main[[#This Row],[Comments]])))</f>
        <v>168</v>
      </c>
      <c r="H1411" s="180" t="str">
        <f>IF(AND(Main[[#This Row],[In Stock Date]]&lt;&gt;"",Main[[#This Row],[Revised Due Date]]&lt;&gt;""),Main[[#This Row],[In Stock Date]]-Main[[#This Row],[Revised Due Date]],"")</f>
        <v/>
      </c>
      <c r="I1411" s="154" t="s">
        <v>242</v>
      </c>
      <c r="J1411" s="154" t="s">
        <v>21</v>
      </c>
      <c r="K1411" s="154" t="s">
        <v>1945</v>
      </c>
      <c r="L1411" s="178">
        <v>40925</v>
      </c>
      <c r="M1411" s="181">
        <f>IF(Main[[#This Row],[Tech Start Date]]&lt;1/1/1990,"",IF(Main[[#This Row],[Class]]="C",WORKDAY(Main[[#This Row],[Tech Start Date]],9),IF(Main[[#This Row],[Class]]="B", WORKDAY(Main[[#This Row],[Tech Start Date]],6),IF(Main[[#This Row],[Class]]="A",WORKDAY(Main[[#This Row],[Tech Start Date]],2),""))))</f>
        <v>40938</v>
      </c>
      <c r="N1411" s="181">
        <f>IF(Main[[#This Row],[Tech Start Date]]&lt;1/1/1990,"",IF(Main[[#This Row],[Class]]="C",WORKDAY(Main[[#This Row],[Tech Start Date]],19),IF(Main[[#This Row],[Class]]="B", WORKDAY(Main[[#This Row],[Tech Start Date]],12),IF(Main[[#This Row],[Class]]="A",WORKDAY(Main[[#This Row],[Tech Start Date]],4),""))))</f>
        <v>40952</v>
      </c>
      <c r="O1411" s="181">
        <f>IF(Main[[#This Row],[Tech Start Date]]&lt;1/1/1990,"",IF(Main[[#This Row],[Class]]="C",WORKDAY(Main[[#This Row],[Tech Start Date]],23),IF(Main[[#This Row],[Class]]="B", WORKDAY(Main[[#This Row],[Tech Start Date]],15),IF(Main[[#This Row],[Class]]="A",WORKDAY(Main[[#This Row],[Tech Start Date]],5),""))))</f>
        <v>40956</v>
      </c>
      <c r="P1411" s="181">
        <f>IF(Main[[#This Row],[Tech Start Date]]&lt;1/1/1990,"",IF(Main[[#This Row],[Class]]="C",WORKDAY(Main[[#This Row],[Tech Start Date]],28),IF(Main[[#This Row],[Class]]="B", WORKDAY(Main[[#This Row],[Tech Start Date]],19),IF(Main[[#This Row],[Class]]="A",WORKDAY(Main[[#This Row],[Tech Start Date]],9),""))))</f>
        <v>40963</v>
      </c>
      <c r="Q1411" s="178">
        <v>40984</v>
      </c>
      <c r="R1411" s="178"/>
      <c r="S1411" s="154" t="s">
        <v>11</v>
      </c>
      <c r="T1411" s="182" t="s">
        <v>3511</v>
      </c>
      <c r="U1411" s="154" t="s">
        <v>29</v>
      </c>
      <c r="V1411" s="154" t="s">
        <v>1935</v>
      </c>
      <c r="W1411" s="154" t="s">
        <v>1943</v>
      </c>
      <c r="X1411" s="154" t="s">
        <v>2937</v>
      </c>
      <c r="Y1411" s="154" t="s">
        <v>4</v>
      </c>
      <c r="Z1411" s="154" t="s">
        <v>535</v>
      </c>
      <c r="AA1411" s="154" t="s">
        <v>2937</v>
      </c>
    </row>
    <row r="1412" spans="1:27" ht="18.600000000000001" customHeight="1">
      <c r="A1412" s="176" t="str">
        <f>IF(priority(Main[[#This Row],[Comments]])&lt;&gt;0, priority(Main[[#This Row],[Comments]]),"")</f>
        <v/>
      </c>
      <c r="B1412" s="146" t="s">
        <v>3759</v>
      </c>
      <c r="C1412" s="154" t="s">
        <v>3760</v>
      </c>
      <c r="D1412" s="177" t="s">
        <v>3761</v>
      </c>
      <c r="E1412" s="178">
        <v>40899.057951388888</v>
      </c>
      <c r="F1412" s="178"/>
      <c r="G1412" s="179" t="str">
        <f>IF(stdProdLT(Main[[#This Row],[Comments]])=0.1,"N/A",IF(stdProdLT(Main[[#This Row],[Comments]])=0,"",stdProdLT(Main[[#This Row],[Comments]])))</f>
        <v>N/A</v>
      </c>
      <c r="H1412" s="180" t="str">
        <f>IF(AND(Main[[#This Row],[In Stock Date]]&lt;&gt;"",Main[[#This Row],[Revised Due Date]]&lt;&gt;""),Main[[#This Row],[In Stock Date]]-Main[[#This Row],[Revised Due Date]],"")</f>
        <v/>
      </c>
      <c r="I1412" s="154" t="s">
        <v>958</v>
      </c>
      <c r="J1412" s="154" t="s">
        <v>28</v>
      </c>
      <c r="K1412" s="154" t="s">
        <v>1945</v>
      </c>
      <c r="L1412" s="178">
        <v>40932</v>
      </c>
      <c r="M1412" s="181">
        <f>IF(Main[[#This Row],[Tech Start Date]]&lt;1/1/1990,"",IF(Main[[#This Row],[Class]]="C",WORKDAY(Main[[#This Row],[Tech Start Date]],9),IF(Main[[#This Row],[Class]]="B", WORKDAY(Main[[#This Row],[Tech Start Date]],6),IF(Main[[#This Row],[Class]]="A",WORKDAY(Main[[#This Row],[Tech Start Date]],2),""))))</f>
        <v>40945</v>
      </c>
      <c r="N1412" s="181">
        <f>IF(Main[[#This Row],[Tech Start Date]]&lt;1/1/1990,"",IF(Main[[#This Row],[Class]]="C",WORKDAY(Main[[#This Row],[Tech Start Date]],19),IF(Main[[#This Row],[Class]]="B", WORKDAY(Main[[#This Row],[Tech Start Date]],12),IF(Main[[#This Row],[Class]]="A",WORKDAY(Main[[#This Row],[Tech Start Date]],4),""))))</f>
        <v>40959</v>
      </c>
      <c r="O1412" s="181">
        <f>IF(Main[[#This Row],[Tech Start Date]]&lt;1/1/1990,"",IF(Main[[#This Row],[Class]]="C",WORKDAY(Main[[#This Row],[Tech Start Date]],23),IF(Main[[#This Row],[Class]]="B", WORKDAY(Main[[#This Row],[Tech Start Date]],15),IF(Main[[#This Row],[Class]]="A",WORKDAY(Main[[#This Row],[Tech Start Date]],5),""))))</f>
        <v>40963</v>
      </c>
      <c r="P1412" s="181">
        <f>IF(Main[[#This Row],[Tech Start Date]]&lt;1/1/1990,"",IF(Main[[#This Row],[Class]]="C",WORKDAY(Main[[#This Row],[Tech Start Date]],28),IF(Main[[#This Row],[Class]]="B", WORKDAY(Main[[#This Row],[Tech Start Date]],19),IF(Main[[#This Row],[Class]]="A",WORKDAY(Main[[#This Row],[Tech Start Date]],9),""))))</f>
        <v>40970</v>
      </c>
      <c r="Q1412" s="178">
        <v>40921</v>
      </c>
      <c r="R1412" s="178">
        <v>40968</v>
      </c>
      <c r="S1412" s="154" t="s">
        <v>17</v>
      </c>
      <c r="T1412" s="182" t="s">
        <v>3762</v>
      </c>
      <c r="U1412" s="154" t="s">
        <v>29</v>
      </c>
      <c r="V1412" s="154" t="s">
        <v>1933</v>
      </c>
      <c r="W1412" s="154" t="s">
        <v>1934</v>
      </c>
      <c r="X1412" s="154" t="s">
        <v>2926</v>
      </c>
      <c r="Y1412" s="154" t="s">
        <v>4</v>
      </c>
      <c r="Z1412" s="154" t="s">
        <v>2075</v>
      </c>
      <c r="AA1412" s="154" t="s">
        <v>2926</v>
      </c>
    </row>
    <row r="1413" spans="1:27" ht="18.600000000000001" customHeight="1">
      <c r="A1413" s="176" t="str">
        <f>IF(priority(Main[[#This Row],[Comments]])&lt;&gt;0, priority(Main[[#This Row],[Comments]]),"")</f>
        <v/>
      </c>
      <c r="B1413" s="146" t="s">
        <v>2801</v>
      </c>
      <c r="C1413" s="154" t="s">
        <v>216</v>
      </c>
      <c r="D1413" s="177" t="s">
        <v>2802</v>
      </c>
      <c r="E1413" s="178">
        <v>40914.471192129633</v>
      </c>
      <c r="F1413" s="178">
        <v>40928</v>
      </c>
      <c r="G1413" s="179" t="str">
        <f>IF(stdProdLT(Main[[#This Row],[Comments]])=0.1,"N/A",IF(stdProdLT(Main[[#This Row],[Comments]])=0,"",stdProdLT(Main[[#This Row],[Comments]])))</f>
        <v/>
      </c>
      <c r="H1413" s="180">
        <f>IF(AND(Main[[#This Row],[In Stock Date]]&lt;&gt;"",Main[[#This Row],[Revised Due Date]]&lt;&gt;""),Main[[#This Row],[In Stock Date]]-Main[[#This Row],[Revised Due Date]],"")</f>
        <v>-21</v>
      </c>
      <c r="I1413" s="154" t="s">
        <v>900</v>
      </c>
      <c r="J1413" s="154" t="s">
        <v>28</v>
      </c>
      <c r="K1413" s="154" t="s">
        <v>1939</v>
      </c>
      <c r="L1413" s="178">
        <v>40940</v>
      </c>
      <c r="M1413" s="181">
        <f>IF(Main[[#This Row],[Tech Start Date]]&lt;1/1/1990,"",IF(Main[[#This Row],[Class]]="C",WORKDAY(Main[[#This Row],[Tech Start Date]],9),IF(Main[[#This Row],[Class]]="B", WORKDAY(Main[[#This Row],[Tech Start Date]],6),IF(Main[[#This Row],[Class]]="A",WORKDAY(Main[[#This Row],[Tech Start Date]],2),""))))</f>
        <v>40948</v>
      </c>
      <c r="N1413" s="181">
        <f>IF(Main[[#This Row],[Tech Start Date]]&lt;1/1/1990,"",IF(Main[[#This Row],[Class]]="C",WORKDAY(Main[[#This Row],[Tech Start Date]],19),IF(Main[[#This Row],[Class]]="B", WORKDAY(Main[[#This Row],[Tech Start Date]],12),IF(Main[[#This Row],[Class]]="A",WORKDAY(Main[[#This Row],[Tech Start Date]],4),""))))</f>
        <v>40956</v>
      </c>
      <c r="O1413" s="181">
        <f>IF(Main[[#This Row],[Tech Start Date]]&lt;1/1/1990,"",IF(Main[[#This Row],[Class]]="C",WORKDAY(Main[[#This Row],[Tech Start Date]],23),IF(Main[[#This Row],[Class]]="B", WORKDAY(Main[[#This Row],[Tech Start Date]],15),IF(Main[[#This Row],[Class]]="A",WORKDAY(Main[[#This Row],[Tech Start Date]],5),""))))</f>
        <v>40961</v>
      </c>
      <c r="P1413" s="181">
        <f>IF(Main[[#This Row],[Tech Start Date]]&lt;1/1/1990,"",IF(Main[[#This Row],[Class]]="C",WORKDAY(Main[[#This Row],[Tech Start Date]],28),IF(Main[[#This Row],[Class]]="B", WORKDAY(Main[[#This Row],[Tech Start Date]],19),IF(Main[[#This Row],[Class]]="A",WORKDAY(Main[[#This Row],[Tech Start Date]],9),""))))</f>
        <v>40967</v>
      </c>
      <c r="Q1413" s="178"/>
      <c r="R1413" s="178">
        <v>40949</v>
      </c>
      <c r="S1413" s="154" t="s">
        <v>6</v>
      </c>
      <c r="T1413" s="182" t="s">
        <v>4</v>
      </c>
      <c r="U1413" s="154" t="s">
        <v>29</v>
      </c>
      <c r="V1413" s="154" t="s">
        <v>1932</v>
      </c>
      <c r="W1413" s="154" t="s">
        <v>1940</v>
      </c>
      <c r="X1413" s="154" t="s">
        <v>50</v>
      </c>
      <c r="Y1413" s="154" t="s">
        <v>3197</v>
      </c>
      <c r="Z1413" s="154" t="s">
        <v>888</v>
      </c>
      <c r="AA1413" s="154" t="s">
        <v>3707</v>
      </c>
    </row>
    <row r="1414" spans="1:27" ht="18.600000000000001" customHeight="1">
      <c r="A1414" s="176" t="str">
        <f>IF(priority(Main[[#This Row],[Comments]])&lt;&gt;0, priority(Main[[#This Row],[Comments]]),"")</f>
        <v/>
      </c>
      <c r="B1414" s="146" t="s">
        <v>3813</v>
      </c>
      <c r="C1414" s="154" t="s">
        <v>4</v>
      </c>
      <c r="D1414" s="177" t="s">
        <v>3814</v>
      </c>
      <c r="E1414" s="178">
        <v>40942.363969907405</v>
      </c>
      <c r="F1414" s="178"/>
      <c r="G1414" s="179" t="str">
        <f>IF(stdProdLT(Main[[#This Row],[Comments]])=0.1,"N/A",IF(stdProdLT(Main[[#This Row],[Comments]])=0,"",stdProdLT(Main[[#This Row],[Comments]])))</f>
        <v/>
      </c>
      <c r="H1414" s="180" t="str">
        <f>IF(AND(Main[[#This Row],[In Stock Date]]&lt;&gt;"",Main[[#This Row],[Revised Due Date]]&lt;&gt;""),Main[[#This Row],[In Stock Date]]-Main[[#This Row],[Revised Due Date]],"")</f>
        <v/>
      </c>
      <c r="I1414" s="154" t="s">
        <v>3643</v>
      </c>
      <c r="J1414" s="154" t="s">
        <v>4</v>
      </c>
      <c r="K1414" s="154" t="s">
        <v>1939</v>
      </c>
      <c r="L1414" s="178">
        <v>40942</v>
      </c>
      <c r="M1414" s="181">
        <f>IF(Main[[#This Row],[Tech Start Date]]&lt;1/1/1990,"",IF(Main[[#This Row],[Class]]="C",WORKDAY(Main[[#This Row],[Tech Start Date]],9),IF(Main[[#This Row],[Class]]="B", WORKDAY(Main[[#This Row],[Tech Start Date]],6),IF(Main[[#This Row],[Class]]="A",WORKDAY(Main[[#This Row],[Tech Start Date]],2),""))))</f>
        <v>40952</v>
      </c>
      <c r="N1414" s="181">
        <f>IF(Main[[#This Row],[Tech Start Date]]&lt;1/1/1990,"",IF(Main[[#This Row],[Class]]="C",WORKDAY(Main[[#This Row],[Tech Start Date]],19),IF(Main[[#This Row],[Class]]="B", WORKDAY(Main[[#This Row],[Tech Start Date]],12),IF(Main[[#This Row],[Class]]="A",WORKDAY(Main[[#This Row],[Tech Start Date]],4),""))))</f>
        <v>40960</v>
      </c>
      <c r="O1414" s="181">
        <f>IF(Main[[#This Row],[Tech Start Date]]&lt;1/1/1990,"",IF(Main[[#This Row],[Class]]="C",WORKDAY(Main[[#This Row],[Tech Start Date]],23),IF(Main[[#This Row],[Class]]="B", WORKDAY(Main[[#This Row],[Tech Start Date]],15),IF(Main[[#This Row],[Class]]="A",WORKDAY(Main[[#This Row],[Tech Start Date]],5),""))))</f>
        <v>40963</v>
      </c>
      <c r="P1414" s="181">
        <f>IF(Main[[#This Row],[Tech Start Date]]&lt;1/1/1990,"",IF(Main[[#This Row],[Class]]="C",WORKDAY(Main[[#This Row],[Tech Start Date]],28),IF(Main[[#This Row],[Class]]="B", WORKDAY(Main[[#This Row],[Tech Start Date]],19),IF(Main[[#This Row],[Class]]="A",WORKDAY(Main[[#This Row],[Tech Start Date]],9),""))))</f>
        <v>40969</v>
      </c>
      <c r="Q1414" s="178"/>
      <c r="R1414" s="178">
        <v>40948</v>
      </c>
      <c r="S1414" s="154" t="s">
        <v>6</v>
      </c>
      <c r="T1414" s="182" t="s">
        <v>4</v>
      </c>
      <c r="U1414" s="154" t="s">
        <v>29</v>
      </c>
      <c r="V1414" s="154" t="s">
        <v>1932</v>
      </c>
      <c r="W1414" s="154" t="s">
        <v>1936</v>
      </c>
      <c r="X1414" s="154" t="s">
        <v>3815</v>
      </c>
      <c r="Y1414" s="154" t="s">
        <v>3816</v>
      </c>
      <c r="Z1414" s="154" t="s">
        <v>888</v>
      </c>
      <c r="AA1414" s="154" t="s">
        <v>3815</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14">
    <cfRule type="expression" dxfId="73" priority="19">
      <formula>atat($T6)=1</formula>
    </cfRule>
  </conditionalFormatting>
  <conditionalFormatting sqref="M6:P1414">
    <cfRule type="colorScale" priority="13">
      <colorScale>
        <cfvo type="num" val="TODAY()"/>
        <cfvo type="num" val="TODAY()+2"/>
        <cfvo type="num" val="TODAY()+4"/>
        <color rgb="FFD36767"/>
        <color rgb="FFFFFFD1"/>
        <color rgb="FFC0E391"/>
      </colorScale>
    </cfRule>
  </conditionalFormatting>
  <conditionalFormatting sqref="C6:R1048576">
    <cfRule type="expression" dxfId="72" priority="1451">
      <formula>OR($J6="Document Control", $J6="Quality")</formula>
    </cfRule>
  </conditionalFormatting>
  <conditionalFormatting sqref="C6:U1048576">
    <cfRule type="expression" dxfId="71" priority="1636">
      <formula>OR($U6="Design Hold", $U6="Define Requirements")</formula>
    </cfRule>
  </conditionalFormatting>
  <conditionalFormatting sqref="H6:H1414">
    <cfRule type="expression" priority="1" stopIfTrue="1">
      <formula>OR($G6="",$G6="N/A",$H6="")</formula>
    </cfRule>
    <cfRule type="cellIs" dxfId="70" priority="9" operator="greaterThan">
      <formula>$G6</formula>
    </cfRule>
  </conditionalFormatting>
  <conditionalFormatting sqref="H6:H1414">
    <cfRule type="cellIs" dxfId="69" priority="610" operator="between">
      <formula>$G6-7</formula>
      <formula>$G6</formula>
    </cfRule>
  </conditionalFormatting>
  <conditionalFormatting sqref="H5:H1355 H1357:H1375 H1377:H1392 H1395:H1402 H1404:H1406 H1408:H1414">
    <cfRule type="cellIs" dxfId="68" priority="2" operator="lessThan">
      <formula>$G6-7</formula>
    </cfRule>
  </conditionalFormatting>
  <conditionalFormatting sqref="H1393">
    <cfRule type="cellIs" dxfId="67" priority="1813" operator="lessThan">
      <formula>$G1414-7</formula>
    </cfRule>
  </conditionalFormatting>
  <conditionalFormatting sqref="H1403">
    <cfRule type="cellIs" dxfId="66" priority="1835" operator="lessThan">
      <formula>$G1414-7</formula>
    </cfRule>
  </conditionalFormatting>
  <conditionalFormatting sqref="H1407">
    <cfRule type="cellIs" dxfId="65" priority="1857" operator="lessThan">
      <formula>$G1414-7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225" r:id="rId16">
            <anchor moveWithCells="1">
              <from>
                <xdr:col>2</xdr:col>
                <xdr:colOff>276225</xdr:colOff>
                <xdr:row>2</xdr:row>
                <xdr:rowOff>819150</xdr:rowOff>
              </from>
              <to>
                <xdr:col>2</xdr:col>
                <xdr:colOff>1114425</xdr:colOff>
                <xdr:row>3</xdr:row>
                <xdr:rowOff>209550</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1143000</xdr:colOff>
                <xdr:row>2</xdr:row>
                <xdr:rowOff>819150</xdr:rowOff>
              </from>
              <to>
                <xdr:col>2</xdr:col>
                <xdr:colOff>1524000</xdr:colOff>
                <xdr:row>3</xdr:row>
                <xdr:rowOff>219075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76200</xdr:colOff>
                <xdr:row>1</xdr:row>
                <xdr:rowOff>342900</xdr:rowOff>
              </from>
              <to>
                <xdr:col>2</xdr:col>
                <xdr:colOff>1714500</xdr:colOff>
                <xdr:row>1</xdr:row>
                <xdr:rowOff>742950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76200</xdr:colOff>
                <xdr:row>1</xdr:row>
                <xdr:rowOff>771525</xdr:rowOff>
              </from>
              <to>
                <xdr:col>2</xdr:col>
                <xdr:colOff>1714500</xdr:colOff>
                <xdr:row>2</xdr:row>
                <xdr:rowOff>352425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76200</xdr:colOff>
                <xdr:row>2</xdr:row>
                <xdr:rowOff>381000</xdr:rowOff>
              </from>
              <to>
                <xdr:col>2</xdr:col>
                <xdr:colOff>1714500</xdr:colOff>
                <xdr:row>2</xdr:row>
                <xdr:rowOff>781050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200025</xdr:colOff>
                <xdr:row>1</xdr:row>
                <xdr:rowOff>28575</xdr:rowOff>
              </from>
              <to>
                <xdr:col>2</xdr:col>
                <xdr:colOff>1590675</xdr:colOff>
                <xdr:row>1</xdr:row>
                <xdr:rowOff>285750</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858"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R6:R1414</xm:sqref>
        </x14:conditionalFormatting>
        <x14:conditionalFormatting xmlns:xm="http://schemas.microsoft.com/office/excel/2006/main">
          <x14:cfRule type="iconSet" priority="1860"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Q6:Q1414</xm:sqref>
        </x14:conditionalFormatting>
        <x14:conditionalFormatting xmlns:xm="http://schemas.microsoft.com/office/excel/2006/main">
          <x14:cfRule type="colorScale" priority="1862" id="{4B0BC6B7-F52E-48C0-A0DE-8DA28A8CD3F2}">
            <x14:colorScale>
              <x14:cfvo type="formula">
                <xm:f>Settings!#REF!</xm:f>
              </x14:cfvo>
              <x14:cfvo type="percent">
                <xm:f>65</xm:f>
              </x14:cfvo>
              <x14:cfvo type="formula">
                <xm:f>Settings!#REF!</xm:f>
              </x14:cfvo>
              <x14:color rgb="FFD7796F"/>
              <x14:color rgb="FFFFEB84"/>
              <x14:color rgb="FFC0E391"/>
            </x14:colorScale>
          </x14:cfRule>
          <xm:sqref>G6:G1414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202" t="s">
        <v>1010</v>
      </c>
      <c r="C2" s="203"/>
      <c r="D2" s="203"/>
      <c r="E2" s="203"/>
      <c r="F2" s="203"/>
      <c r="G2" s="203"/>
      <c r="H2" s="203"/>
      <c r="I2" s="203"/>
      <c r="J2" s="203"/>
      <c r="K2" s="203"/>
      <c r="L2" s="203"/>
      <c r="M2" s="204"/>
      <c r="O2" s="208" t="s">
        <v>1950</v>
      </c>
      <c r="P2" s="209"/>
      <c r="Q2" s="208" t="s">
        <v>1963</v>
      </c>
      <c r="R2" s="209"/>
    </row>
    <row r="3" spans="2:18" s="7" customFormat="1" ht="19.5" customHeight="1" thickTop="1">
      <c r="B3" s="205" t="s">
        <v>994</v>
      </c>
      <c r="C3" s="23" t="s">
        <v>998</v>
      </c>
      <c r="D3" s="17" t="s">
        <v>11</v>
      </c>
      <c r="E3" s="18"/>
      <c r="F3" s="18"/>
      <c r="G3" s="18"/>
      <c r="H3" s="18"/>
      <c r="I3" s="18"/>
      <c r="J3" s="18"/>
      <c r="K3" s="18"/>
      <c r="L3" s="18"/>
      <c r="M3" s="19"/>
      <c r="N3" s="9"/>
      <c r="O3" s="210" t="s">
        <v>3369</v>
      </c>
      <c r="P3" s="210"/>
      <c r="Q3" s="210" t="s">
        <v>2707</v>
      </c>
      <c r="R3" s="210"/>
    </row>
    <row r="4" spans="2:18" s="7" customFormat="1" ht="19.5" customHeight="1">
      <c r="B4" s="206"/>
      <c r="C4" s="24" t="s">
        <v>1955</v>
      </c>
      <c r="D4" s="29" t="s">
        <v>1932</v>
      </c>
      <c r="E4" s="30"/>
      <c r="F4" s="30"/>
      <c r="G4" s="30"/>
      <c r="H4" s="30"/>
      <c r="I4" s="30"/>
      <c r="J4" s="30"/>
      <c r="K4" s="30"/>
      <c r="L4" s="30"/>
      <c r="M4" s="31"/>
      <c r="N4" s="9"/>
      <c r="O4" s="211"/>
      <c r="P4" s="211"/>
      <c r="Q4" s="211"/>
      <c r="R4" s="211"/>
    </row>
    <row r="5" spans="2:18" s="8" customFormat="1" ht="19.5" customHeight="1">
      <c r="B5" s="206"/>
      <c r="C5" s="24" t="s">
        <v>999</v>
      </c>
      <c r="D5" s="20">
        <v>1</v>
      </c>
      <c r="E5" s="21">
        <v>2</v>
      </c>
      <c r="F5" s="21">
        <v>3</v>
      </c>
      <c r="G5" s="21">
        <v>4</v>
      </c>
      <c r="H5" s="21">
        <v>5</v>
      </c>
      <c r="I5" s="21">
        <v>6</v>
      </c>
      <c r="J5" s="21">
        <v>7</v>
      </c>
      <c r="K5" s="21">
        <v>0</v>
      </c>
      <c r="L5" s="21">
        <v>0</v>
      </c>
      <c r="M5" s="22">
        <v>0</v>
      </c>
      <c r="N5" s="9"/>
      <c r="O5" s="211"/>
      <c r="P5" s="211"/>
      <c r="Q5" s="211"/>
      <c r="R5" s="211"/>
    </row>
    <row r="6" spans="2:18" ht="19.5" customHeight="1">
      <c r="B6" s="206"/>
      <c r="C6" s="24" t="s">
        <v>1000</v>
      </c>
      <c r="D6" s="20" t="s">
        <v>7</v>
      </c>
      <c r="E6" s="21" t="s">
        <v>29</v>
      </c>
      <c r="F6" s="21" t="s">
        <v>539</v>
      </c>
      <c r="G6" s="21" t="s">
        <v>703</v>
      </c>
      <c r="H6" s="21"/>
      <c r="I6" s="21"/>
      <c r="J6" s="21"/>
      <c r="K6" s="21"/>
      <c r="L6" s="21"/>
      <c r="M6" s="22"/>
      <c r="O6" s="211"/>
      <c r="P6" s="211"/>
      <c r="Q6" s="211"/>
      <c r="R6" s="211"/>
    </row>
    <row r="7" spans="2:18" ht="19.5" customHeight="1" thickBot="1">
      <c r="B7" s="206"/>
      <c r="C7" s="24" t="s">
        <v>3261</v>
      </c>
      <c r="D7" s="27" t="s">
        <v>7</v>
      </c>
      <c r="E7" s="27" t="s">
        <v>29</v>
      </c>
      <c r="F7" s="27" t="s">
        <v>539</v>
      </c>
      <c r="G7" s="27" t="s">
        <v>703</v>
      </c>
      <c r="H7" s="27"/>
      <c r="I7" s="27"/>
      <c r="J7" s="27"/>
      <c r="K7" s="27"/>
      <c r="L7" s="27"/>
      <c r="M7" s="27"/>
      <c r="O7" s="211"/>
      <c r="P7" s="211"/>
      <c r="Q7" s="211"/>
      <c r="R7" s="211"/>
    </row>
    <row r="8" spans="2:18" ht="19.5" customHeight="1" thickTop="1" thickBot="1">
      <c r="B8" s="207"/>
      <c r="C8" s="25" t="s">
        <v>3262</v>
      </c>
      <c r="D8" s="28" t="s">
        <v>3330</v>
      </c>
      <c r="E8" s="28"/>
      <c r="F8" s="28"/>
      <c r="G8" s="28"/>
      <c r="H8" s="28"/>
      <c r="I8" s="28"/>
      <c r="J8" s="28"/>
      <c r="K8" s="28"/>
      <c r="L8" s="28"/>
      <c r="M8" s="28"/>
      <c r="O8" s="213" t="s">
        <v>2181</v>
      </c>
      <c r="P8" s="213"/>
      <c r="Q8" s="213" t="s">
        <v>3284</v>
      </c>
      <c r="R8" s="213"/>
    </row>
    <row r="9" spans="2:18" ht="19.5" customHeight="1" thickTop="1" thickBot="1">
      <c r="B9" s="205" t="s">
        <v>995</v>
      </c>
      <c r="C9" s="23" t="s">
        <v>1001</v>
      </c>
      <c r="D9" s="17" t="s">
        <v>11</v>
      </c>
      <c r="E9" s="18"/>
      <c r="F9" s="18"/>
      <c r="G9" s="18"/>
      <c r="H9" s="18"/>
      <c r="I9" s="18"/>
      <c r="J9" s="18"/>
      <c r="K9" s="18"/>
      <c r="L9" s="18"/>
      <c r="M9" s="19"/>
      <c r="O9" s="212">
        <v>0</v>
      </c>
      <c r="P9" s="212"/>
      <c r="Q9" s="212" t="b">
        <v>1</v>
      </c>
      <c r="R9" s="212"/>
    </row>
    <row r="10" spans="2:18" s="7" customFormat="1" ht="19.5" customHeight="1" thickTop="1" thickBot="1">
      <c r="B10" s="206"/>
      <c r="C10" s="24" t="s">
        <v>1958</v>
      </c>
      <c r="D10" s="29" t="s">
        <v>1935</v>
      </c>
      <c r="E10" s="30" t="s">
        <v>1942</v>
      </c>
      <c r="F10" s="30"/>
      <c r="G10" s="30"/>
      <c r="H10" s="30"/>
      <c r="I10" s="30"/>
      <c r="J10" s="30"/>
      <c r="K10" s="30"/>
      <c r="L10" s="30"/>
      <c r="M10" s="31"/>
      <c r="N10" s="9"/>
      <c r="O10" s="213" t="s">
        <v>2293</v>
      </c>
      <c r="P10" s="213"/>
      <c r="Q10" s="213" t="s">
        <v>2294</v>
      </c>
      <c r="R10" s="213"/>
    </row>
    <row r="11" spans="2:18" ht="19.5" customHeight="1" thickTop="1" thickBot="1">
      <c r="B11" s="206"/>
      <c r="C11" s="24" t="s">
        <v>1002</v>
      </c>
      <c r="D11" s="20">
        <v>1</v>
      </c>
      <c r="E11" s="21">
        <v>2</v>
      </c>
      <c r="F11" s="21">
        <v>3</v>
      </c>
      <c r="G11" s="21">
        <v>4</v>
      </c>
      <c r="H11" s="21">
        <v>5</v>
      </c>
      <c r="I11" s="21">
        <v>6</v>
      </c>
      <c r="J11" s="21">
        <v>7</v>
      </c>
      <c r="K11" s="21">
        <v>0</v>
      </c>
      <c r="L11" s="21">
        <v>0</v>
      </c>
      <c r="M11" s="22">
        <v>0</v>
      </c>
      <c r="O11" s="212" t="s">
        <v>86</v>
      </c>
      <c r="P11" s="212"/>
      <c r="Q11" s="212" t="s">
        <v>1941</v>
      </c>
      <c r="R11" s="212"/>
    </row>
    <row r="12" spans="2:18" ht="19.5" customHeight="1" thickTop="1" thickBot="1">
      <c r="B12" s="206"/>
      <c r="C12" s="24" t="s">
        <v>1003</v>
      </c>
      <c r="D12" s="20" t="s">
        <v>7</v>
      </c>
      <c r="E12" s="21" t="s">
        <v>29</v>
      </c>
      <c r="F12" s="21" t="s">
        <v>539</v>
      </c>
      <c r="G12" s="21" t="s">
        <v>703</v>
      </c>
      <c r="H12" s="21"/>
      <c r="I12" s="21"/>
      <c r="J12" s="21"/>
      <c r="K12" s="21"/>
      <c r="L12" s="21"/>
      <c r="M12" s="22"/>
      <c r="O12" s="213" t="s">
        <v>3260</v>
      </c>
      <c r="P12" s="213"/>
      <c r="Q12" s="213"/>
      <c r="R12" s="213"/>
    </row>
    <row r="13" spans="2:18" ht="19.5" customHeight="1" thickTop="1" thickBot="1">
      <c r="B13" s="206"/>
      <c r="C13" s="24" t="s">
        <v>3263</v>
      </c>
      <c r="D13" s="27"/>
      <c r="E13" s="27"/>
      <c r="F13" s="27"/>
      <c r="G13" s="27"/>
      <c r="H13" s="27"/>
      <c r="I13" s="27"/>
      <c r="J13" s="27"/>
      <c r="K13" s="27"/>
      <c r="L13" s="27"/>
      <c r="M13" s="27"/>
      <c r="O13" s="212"/>
      <c r="P13" s="212"/>
      <c r="Q13" s="212"/>
      <c r="R13" s="212"/>
    </row>
    <row r="14" spans="2:18" ht="19.5" customHeight="1" thickTop="1" thickBot="1">
      <c r="B14" s="207"/>
      <c r="C14" s="25" t="s">
        <v>3264</v>
      </c>
      <c r="D14" s="28"/>
      <c r="E14" s="28"/>
      <c r="F14" s="28"/>
      <c r="G14" s="28"/>
      <c r="H14" s="28"/>
      <c r="I14" s="28"/>
      <c r="J14" s="28"/>
      <c r="K14" s="28"/>
      <c r="L14" s="28"/>
      <c r="M14" s="28"/>
      <c r="O14" s="7"/>
      <c r="P14" s="7"/>
      <c r="Q14" s="7"/>
      <c r="R14" s="7"/>
    </row>
    <row r="15" spans="2:18" ht="19.5" customHeight="1" thickTop="1">
      <c r="B15" s="205" t="s">
        <v>996</v>
      </c>
      <c r="C15" s="23" t="s">
        <v>1004</v>
      </c>
      <c r="D15" s="17" t="s">
        <v>11</v>
      </c>
      <c r="E15" s="18"/>
      <c r="F15" s="18"/>
      <c r="G15" s="18"/>
      <c r="H15" s="18"/>
      <c r="I15" s="18"/>
      <c r="J15" s="18"/>
      <c r="K15" s="18"/>
      <c r="L15" s="18"/>
      <c r="M15" s="19"/>
      <c r="O15" s="7"/>
      <c r="P15" s="7"/>
      <c r="Q15" s="7"/>
      <c r="R15" s="7"/>
    </row>
    <row r="16" spans="2:18" ht="19.5" customHeight="1">
      <c r="B16" s="206"/>
      <c r="C16" s="24" t="s">
        <v>1957</v>
      </c>
      <c r="D16" s="29" t="s">
        <v>1933</v>
      </c>
      <c r="E16" s="30"/>
      <c r="F16" s="30"/>
      <c r="G16" s="30"/>
      <c r="H16" s="30"/>
      <c r="I16" s="30"/>
      <c r="J16" s="30"/>
      <c r="K16" s="30"/>
      <c r="L16" s="30"/>
      <c r="M16" s="31"/>
      <c r="O16" s="7"/>
      <c r="P16" s="7"/>
      <c r="Q16" s="7"/>
      <c r="R16" s="7"/>
    </row>
    <row r="17" spans="1:24" ht="19.5" customHeight="1">
      <c r="B17" s="206"/>
      <c r="C17" s="24" t="s">
        <v>1005</v>
      </c>
      <c r="D17" s="20">
        <v>1</v>
      </c>
      <c r="E17" s="21">
        <v>2</v>
      </c>
      <c r="F17" s="21">
        <v>3</v>
      </c>
      <c r="G17" s="21">
        <v>4</v>
      </c>
      <c r="H17" s="21">
        <v>5</v>
      </c>
      <c r="I17" s="21">
        <v>6</v>
      </c>
      <c r="J17" s="21">
        <v>7</v>
      </c>
      <c r="K17" s="21">
        <v>0</v>
      </c>
      <c r="L17" s="21">
        <v>0</v>
      </c>
      <c r="M17" s="22">
        <v>0</v>
      </c>
      <c r="O17" s="7"/>
      <c r="P17" s="7"/>
      <c r="Q17" s="7"/>
      <c r="R17" s="7"/>
    </row>
    <row r="18" spans="1:24" ht="19.5" customHeight="1">
      <c r="B18" s="206"/>
      <c r="C18" s="24" t="s">
        <v>1006</v>
      </c>
      <c r="D18" s="20" t="s">
        <v>7</v>
      </c>
      <c r="E18" s="21" t="s">
        <v>29</v>
      </c>
      <c r="F18" s="21" t="s">
        <v>539</v>
      </c>
      <c r="G18" s="21" t="s">
        <v>703</v>
      </c>
      <c r="H18" s="21"/>
      <c r="I18" s="21"/>
      <c r="J18" s="21"/>
      <c r="K18" s="21"/>
      <c r="L18" s="21"/>
      <c r="M18" s="22"/>
    </row>
    <row r="19" spans="1:24" ht="19.5" customHeight="1">
      <c r="B19" s="206"/>
      <c r="C19" s="24" t="s">
        <v>3265</v>
      </c>
      <c r="D19" s="27" t="s">
        <v>7</v>
      </c>
      <c r="E19" s="27" t="s">
        <v>29</v>
      </c>
      <c r="F19" s="27" t="s">
        <v>539</v>
      </c>
      <c r="G19" s="27" t="s">
        <v>703</v>
      </c>
      <c r="H19" s="27"/>
      <c r="I19" s="27"/>
      <c r="J19" s="27"/>
      <c r="K19" s="27"/>
      <c r="L19" s="27"/>
      <c r="M19" s="27"/>
    </row>
    <row r="20" spans="1:24" ht="19.5" customHeight="1" thickBot="1">
      <c r="B20" s="207"/>
      <c r="C20" s="25" t="s">
        <v>3266</v>
      </c>
      <c r="D20" s="28"/>
      <c r="E20" s="28"/>
      <c r="F20" s="28"/>
      <c r="G20" s="28"/>
      <c r="H20" s="28"/>
      <c r="I20" s="28"/>
      <c r="J20" s="28"/>
      <c r="K20" s="28"/>
      <c r="L20" s="28"/>
      <c r="M20" s="28"/>
    </row>
    <row r="21" spans="1:24" ht="19.5" customHeight="1" thickTop="1">
      <c r="B21" s="205" t="s">
        <v>997</v>
      </c>
      <c r="C21" s="23" t="s">
        <v>1007</v>
      </c>
      <c r="D21" s="17" t="s">
        <v>11</v>
      </c>
      <c r="E21" s="18"/>
      <c r="F21" s="18"/>
      <c r="G21" s="18"/>
      <c r="H21" s="18"/>
      <c r="I21" s="18"/>
      <c r="J21" s="18"/>
      <c r="K21" s="18"/>
      <c r="L21" s="18"/>
      <c r="M21" s="19"/>
    </row>
    <row r="22" spans="1:24" ht="19.5" customHeight="1">
      <c r="B22" s="206"/>
      <c r="C22" s="24" t="s">
        <v>1956</v>
      </c>
      <c r="D22" s="29" t="s">
        <v>1947</v>
      </c>
      <c r="E22" s="30"/>
      <c r="F22" s="30"/>
      <c r="G22" s="30"/>
      <c r="H22" s="30"/>
      <c r="I22" s="30"/>
      <c r="J22" s="30"/>
      <c r="K22" s="30"/>
      <c r="L22" s="30"/>
      <c r="M22" s="31"/>
    </row>
    <row r="23" spans="1:24" ht="19.5" customHeight="1">
      <c r="B23" s="206"/>
      <c r="C23" s="24" t="s">
        <v>1008</v>
      </c>
      <c r="D23" s="20">
        <v>1</v>
      </c>
      <c r="E23" s="21">
        <v>2</v>
      </c>
      <c r="F23" s="21">
        <v>3</v>
      </c>
      <c r="G23" s="21">
        <v>4</v>
      </c>
      <c r="H23" s="21">
        <v>5</v>
      </c>
      <c r="I23" s="21">
        <v>6</v>
      </c>
      <c r="J23" s="21">
        <v>7</v>
      </c>
      <c r="K23" s="21">
        <v>0</v>
      </c>
      <c r="L23" s="21">
        <v>0</v>
      </c>
      <c r="M23" s="22">
        <v>0</v>
      </c>
    </row>
    <row r="24" spans="1:24" ht="19.5" customHeight="1">
      <c r="B24" s="206"/>
      <c r="C24" s="24" t="s">
        <v>1009</v>
      </c>
      <c r="D24" s="20" t="s">
        <v>7</v>
      </c>
      <c r="E24" s="21" t="s">
        <v>29</v>
      </c>
      <c r="F24" s="21" t="s">
        <v>539</v>
      </c>
      <c r="G24" s="21" t="s">
        <v>703</v>
      </c>
      <c r="H24" s="21"/>
      <c r="I24" s="21"/>
      <c r="J24" s="21"/>
      <c r="K24" s="21"/>
      <c r="L24" s="21"/>
      <c r="M24" s="22"/>
    </row>
    <row r="25" spans="1:24" ht="19.5" customHeight="1">
      <c r="B25" s="206"/>
      <c r="C25" s="24" t="s">
        <v>3267</v>
      </c>
      <c r="D25" s="27"/>
      <c r="E25" s="27"/>
      <c r="F25" s="27"/>
      <c r="G25" s="27"/>
      <c r="H25" s="27"/>
      <c r="I25" s="27"/>
      <c r="J25" s="27"/>
      <c r="K25" s="27"/>
      <c r="L25" s="27"/>
      <c r="M25" s="27"/>
    </row>
    <row r="26" spans="1:24" ht="19.5" customHeight="1" thickBot="1">
      <c r="B26" s="207"/>
      <c r="C26" s="25" t="s">
        <v>3268</v>
      </c>
      <c r="D26" s="28"/>
      <c r="E26" s="28"/>
      <c r="F26" s="28"/>
      <c r="G26" s="28"/>
      <c r="H26" s="28"/>
      <c r="I26" s="28"/>
      <c r="J26" s="28"/>
      <c r="K26" s="28"/>
      <c r="L26" s="28"/>
      <c r="M26" s="28"/>
    </row>
    <row r="27" spans="1:24" ht="35.25" customHeight="1" thickTop="1" thickBot="1">
      <c r="C27" s="196" t="s">
        <v>988</v>
      </c>
      <c r="D27" s="197"/>
      <c r="E27" s="197"/>
      <c r="F27" s="198"/>
      <c r="G27" s="196" t="s">
        <v>993</v>
      </c>
      <c r="H27" s="197"/>
      <c r="I27" s="197"/>
      <c r="J27" s="197"/>
      <c r="K27" s="199" t="s">
        <v>1948</v>
      </c>
      <c r="L27" s="200"/>
      <c r="M27" s="200"/>
      <c r="N27" s="200"/>
      <c r="O27" s="201"/>
    </row>
    <row r="28" spans="1:24" s="11" customFormat="1" ht="21" thickTop="1">
      <c r="A28" s="10"/>
      <c r="B28" s="10"/>
      <c r="C28" s="13" t="s">
        <v>994</v>
      </c>
      <c r="D28" s="13" t="s">
        <v>995</v>
      </c>
      <c r="E28" s="13" t="s">
        <v>996</v>
      </c>
      <c r="F28" s="13" t="s">
        <v>1011</v>
      </c>
      <c r="G28" s="16" t="s">
        <v>1013</v>
      </c>
      <c r="H28" s="14" t="s">
        <v>979</v>
      </c>
      <c r="I28" s="14" t="s">
        <v>3</v>
      </c>
      <c r="J28" s="15" t="s">
        <v>1019</v>
      </c>
      <c r="K28" s="26" t="s">
        <v>978</v>
      </c>
      <c r="L28" s="12" t="s">
        <v>976</v>
      </c>
      <c r="M28" s="12" t="s">
        <v>977</v>
      </c>
      <c r="N28" s="12" t="s">
        <v>989</v>
      </c>
      <c r="O28" s="12" t="s">
        <v>990</v>
      </c>
      <c r="X28" s="4"/>
    </row>
    <row r="29" spans="1:24" ht="17.25" customHeight="1">
      <c r="C29" s="2" t="s">
        <v>888</v>
      </c>
      <c r="D29" s="2" t="s">
        <v>1996</v>
      </c>
      <c r="E29" s="2" t="s">
        <v>968</v>
      </c>
      <c r="F29" s="12" t="s">
        <v>2237</v>
      </c>
      <c r="G29" t="s">
        <v>3415</v>
      </c>
      <c r="H29" s="2" t="s">
        <v>11</v>
      </c>
      <c r="I29" s="2" t="s">
        <v>14</v>
      </c>
      <c r="J29" s="12" t="s">
        <v>1940</v>
      </c>
      <c r="K29" s="12" t="s">
        <v>1941</v>
      </c>
      <c r="L29" s="12">
        <v>2</v>
      </c>
      <c r="M29" s="12">
        <v>4</v>
      </c>
      <c r="N29" s="12">
        <v>5</v>
      </c>
      <c r="O29" s="12">
        <v>9</v>
      </c>
      <c r="X29" s="11"/>
    </row>
    <row r="30" spans="1:24" ht="17.25" customHeight="1">
      <c r="C30" s="2" t="s">
        <v>50</v>
      </c>
      <c r="D30" s="2" t="s">
        <v>983</v>
      </c>
      <c r="E30" s="2" t="s">
        <v>50</v>
      </c>
      <c r="F30" s="12" t="s">
        <v>2034</v>
      </c>
      <c r="G30" t="s">
        <v>2652</v>
      </c>
      <c r="H30" s="2" t="s">
        <v>17</v>
      </c>
      <c r="I30" s="2" t="s">
        <v>991</v>
      </c>
      <c r="J30" s="12" t="s">
        <v>1938</v>
      </c>
      <c r="K30" s="12" t="s">
        <v>1939</v>
      </c>
      <c r="L30" s="12">
        <v>6</v>
      </c>
      <c r="M30" s="12">
        <v>12</v>
      </c>
      <c r="N30" s="12">
        <v>15</v>
      </c>
      <c r="O30" s="12">
        <v>19</v>
      </c>
    </row>
    <row r="31" spans="1:24" ht="17.25" customHeight="1">
      <c r="C31" s="2" t="s">
        <v>980</v>
      </c>
      <c r="D31" s="2" t="s">
        <v>2073</v>
      </c>
      <c r="E31" s="2" t="s">
        <v>2671</v>
      </c>
      <c r="F31" s="12" t="s">
        <v>2232</v>
      </c>
      <c r="G31" t="s">
        <v>2048</v>
      </c>
      <c r="H31" s="2" t="s">
        <v>416</v>
      </c>
      <c r="I31" s="3" t="s">
        <v>12</v>
      </c>
      <c r="J31" s="12" t="s">
        <v>1946</v>
      </c>
      <c r="K31" s="12" t="s">
        <v>1945</v>
      </c>
      <c r="L31" s="12">
        <v>9</v>
      </c>
      <c r="M31" s="12">
        <v>19</v>
      </c>
      <c r="N31" s="12">
        <v>23</v>
      </c>
      <c r="O31" s="12">
        <v>28</v>
      </c>
    </row>
    <row r="32" spans="1:24" ht="17.25" customHeight="1">
      <c r="C32" s="2" t="s">
        <v>310</v>
      </c>
      <c r="D32" s="2" t="s">
        <v>242</v>
      </c>
      <c r="E32" s="2" t="s">
        <v>310</v>
      </c>
      <c r="F32" s="12" t="s">
        <v>403</v>
      </c>
      <c r="G32" t="s">
        <v>75</v>
      </c>
      <c r="H32" s="2" t="s">
        <v>6</v>
      </c>
      <c r="I32" s="2" t="s">
        <v>703</v>
      </c>
      <c r="J32" s="12" t="s">
        <v>1934</v>
      </c>
      <c r="K32" s="12" t="s">
        <v>1944</v>
      </c>
      <c r="L32" s="12">
        <v>15</v>
      </c>
      <c r="M32" s="12">
        <v>19</v>
      </c>
      <c r="N32" s="12">
        <v>35</v>
      </c>
      <c r="O32" s="12">
        <v>60</v>
      </c>
    </row>
    <row r="33" spans="3:14" ht="17.25" customHeight="1">
      <c r="C33" s="2" t="s">
        <v>44</v>
      </c>
      <c r="D33" s="2" t="s">
        <v>2066</v>
      </c>
      <c r="E33" s="2" t="s">
        <v>403</v>
      </c>
      <c r="F33" s="12" t="s">
        <v>958</v>
      </c>
      <c r="G33" t="s">
        <v>1998</v>
      </c>
      <c r="H33" s="3" t="s">
        <v>300</v>
      </c>
      <c r="I33" s="2" t="s">
        <v>539</v>
      </c>
      <c r="J33" s="12" t="s">
        <v>1936</v>
      </c>
      <c r="K33" s="9"/>
      <c r="L33" s="4"/>
      <c r="M33" s="4"/>
      <c r="N33" s="4"/>
    </row>
    <row r="34" spans="3:14" ht="17.25" customHeight="1">
      <c r="C34" s="2" t="s">
        <v>403</v>
      </c>
      <c r="D34" s="2" t="s">
        <v>81</v>
      </c>
      <c r="E34" s="2" t="s">
        <v>422</v>
      </c>
      <c r="F34" s="39" t="s">
        <v>102</v>
      </c>
      <c r="G34" t="s">
        <v>70</v>
      </c>
      <c r="H34" s="2" t="s">
        <v>322</v>
      </c>
      <c r="I34" s="2" t="s">
        <v>103</v>
      </c>
      <c r="J34" s="12" t="s">
        <v>1937</v>
      </c>
      <c r="K34" s="9"/>
      <c r="L34" s="4"/>
      <c r="M34" s="4"/>
      <c r="N34" s="4"/>
    </row>
    <row r="35" spans="3:14" ht="17.25" customHeight="1">
      <c r="C35" s="2" t="s">
        <v>422</v>
      </c>
      <c r="D35" s="2" t="s">
        <v>50</v>
      </c>
      <c r="E35" s="2" t="s">
        <v>2278</v>
      </c>
      <c r="F35" s="39" t="s">
        <v>2234</v>
      </c>
      <c r="G35" t="s">
        <v>2238</v>
      </c>
      <c r="H35" s="2" t="s">
        <v>23</v>
      </c>
      <c r="I35" s="2" t="s">
        <v>7</v>
      </c>
      <c r="J35" s="12" t="s">
        <v>1943</v>
      </c>
      <c r="K35" s="9"/>
      <c r="L35" s="4"/>
      <c r="M35" s="4"/>
      <c r="N35" s="4"/>
    </row>
    <row r="36" spans="3:14" ht="17.25" customHeight="1">
      <c r="C36" s="2" t="s">
        <v>918</v>
      </c>
      <c r="D36" s="2" t="s">
        <v>755</v>
      </c>
      <c r="E36" s="2" t="s">
        <v>958</v>
      </c>
      <c r="F36" s="40" t="s">
        <v>933</v>
      </c>
      <c r="G36" t="s">
        <v>51</v>
      </c>
      <c r="H36" s="2" t="s">
        <v>49</v>
      </c>
      <c r="I36" s="2" t="s">
        <v>29</v>
      </c>
      <c r="K36" s="9"/>
      <c r="L36" s="4"/>
      <c r="M36" s="4"/>
      <c r="N36" s="4"/>
    </row>
    <row r="37" spans="3:14" ht="17.25" customHeight="1">
      <c r="C37" s="2" t="s">
        <v>567</v>
      </c>
      <c r="D37" s="2" t="s">
        <v>980</v>
      </c>
      <c r="E37" s="2" t="s">
        <v>954</v>
      </c>
      <c r="F37" s="40" t="s">
        <v>2035</v>
      </c>
      <c r="G37" t="s">
        <v>992</v>
      </c>
      <c r="K37" s="9"/>
      <c r="L37" s="4"/>
      <c r="M37" s="4"/>
      <c r="N37" s="4"/>
    </row>
    <row r="38" spans="3:14" ht="17.25" customHeight="1">
      <c r="C38" s="2" t="s">
        <v>102</v>
      </c>
      <c r="D38" s="2" t="s">
        <v>894</v>
      </c>
      <c r="E38" s="2" t="s">
        <v>102</v>
      </c>
      <c r="F38" s="40" t="s">
        <v>2040</v>
      </c>
      <c r="G38" t="s">
        <v>52</v>
      </c>
      <c r="H38" s="5"/>
      <c r="K38" s="9"/>
      <c r="L38" s="4"/>
      <c r="M38" s="4"/>
      <c r="N38" s="4"/>
    </row>
    <row r="39" spans="3:14" ht="17.25" customHeight="1">
      <c r="C39" s="2" t="s">
        <v>718</v>
      </c>
      <c r="D39" s="2" t="s">
        <v>310</v>
      </c>
      <c r="E39" s="2" t="s">
        <v>952</v>
      </c>
      <c r="F39" s="4"/>
      <c r="G39" t="s">
        <v>21</v>
      </c>
      <c r="K39" s="9"/>
      <c r="L39" s="4"/>
      <c r="M39" s="4"/>
      <c r="N39" s="4"/>
    </row>
    <row r="40" spans="3:14" ht="17.25" customHeight="1">
      <c r="C40" s="2" t="s">
        <v>2234</v>
      </c>
      <c r="D40" s="2" t="s">
        <v>44</v>
      </c>
      <c r="E40" s="2" t="s">
        <v>2234</v>
      </c>
      <c r="G40" t="s">
        <v>28</v>
      </c>
      <c r="K40" s="9"/>
      <c r="L40" s="4"/>
      <c r="M40" s="4"/>
      <c r="N40" s="4"/>
    </row>
    <row r="41" spans="3:14" ht="17.25" customHeight="1">
      <c r="C41" s="2" t="s">
        <v>900</v>
      </c>
      <c r="D41" s="2" t="s">
        <v>2047</v>
      </c>
      <c r="E41" s="2" t="s">
        <v>900</v>
      </c>
      <c r="K41" s="9"/>
      <c r="L41" s="4"/>
      <c r="M41" s="4"/>
      <c r="N41" s="4"/>
    </row>
    <row r="42" spans="3:14" ht="17.25" customHeight="1">
      <c r="C42" s="2" t="s">
        <v>2074</v>
      </c>
      <c r="D42" s="2" t="s">
        <v>403</v>
      </c>
      <c r="E42" s="2" t="s">
        <v>108</v>
      </c>
      <c r="K42" s="9"/>
      <c r="L42" s="4"/>
      <c r="M42" s="4"/>
      <c r="N42" s="4"/>
    </row>
    <row r="43" spans="3:14" ht="17.25" customHeight="1">
      <c r="C43" s="2" t="s">
        <v>126</v>
      </c>
      <c r="D43" s="2" t="s">
        <v>420</v>
      </c>
      <c r="E43" s="34" t="s">
        <v>987</v>
      </c>
      <c r="K43" s="9"/>
    </row>
    <row r="44" spans="3:14" ht="17.25" customHeight="1">
      <c r="C44" s="2" t="s">
        <v>129</v>
      </c>
      <c r="D44" s="2" t="s">
        <v>422</v>
      </c>
      <c r="E44" s="34" t="s">
        <v>953</v>
      </c>
      <c r="K44" s="9"/>
    </row>
    <row r="45" spans="3:14" ht="17.25" customHeight="1">
      <c r="C45" s="2" t="s">
        <v>933</v>
      </c>
      <c r="D45" s="2" t="s">
        <v>984</v>
      </c>
      <c r="E45" s="34" t="s">
        <v>2075</v>
      </c>
      <c r="J45" s="5"/>
      <c r="K45" s="9"/>
    </row>
    <row r="46" spans="3:14" ht="17.25" customHeight="1">
      <c r="C46" s="2" t="s">
        <v>3643</v>
      </c>
      <c r="D46" s="2" t="s">
        <v>165</v>
      </c>
      <c r="E46" s="34" t="s">
        <v>981</v>
      </c>
      <c r="H46" s="1"/>
      <c r="I46" s="5"/>
      <c r="J46" s="5"/>
      <c r="K46" s="9"/>
    </row>
    <row r="47" spans="3:14" ht="17.25" customHeight="1">
      <c r="C47" s="2" t="s">
        <v>905</v>
      </c>
      <c r="D47" s="2" t="s">
        <v>131</v>
      </c>
      <c r="E47" s="4"/>
      <c r="H47" s="1"/>
    </row>
    <row r="48" spans="3:14" ht="17.25" customHeight="1">
      <c r="C48" s="2" t="s">
        <v>436</v>
      </c>
      <c r="D48" s="2" t="s">
        <v>102</v>
      </c>
      <c r="H48" s="1"/>
    </row>
    <row r="49" spans="3:25" ht="17.25" customHeight="1">
      <c r="C49" s="2" t="s">
        <v>923</v>
      </c>
      <c r="D49" s="2" t="s">
        <v>65</v>
      </c>
      <c r="H49" s="1"/>
    </row>
    <row r="50" spans="3:25" ht="17.25" customHeight="1">
      <c r="C50" s="2" t="s">
        <v>2673</v>
      </c>
      <c r="D50" s="2" t="s">
        <v>2234</v>
      </c>
      <c r="H50" s="1"/>
    </row>
    <row r="51" spans="3:25" ht="17.25" customHeight="1">
      <c r="C51" s="2" t="s">
        <v>949</v>
      </c>
      <c r="D51" s="2" t="s">
        <v>2074</v>
      </c>
      <c r="G51" s="5"/>
      <c r="H51" s="1"/>
      <c r="N51" s="1"/>
      <c r="O51" s="1"/>
    </row>
    <row r="52" spans="3:25" ht="17.25" customHeight="1">
      <c r="C52" s="2" t="s">
        <v>981</v>
      </c>
      <c r="D52" s="2" t="s">
        <v>659</v>
      </c>
      <c r="H52" s="1"/>
      <c r="L52" s="1"/>
      <c r="M52" s="1"/>
      <c r="N52" s="1"/>
      <c r="O52" s="1"/>
    </row>
    <row r="53" spans="3:25" ht="17.25" customHeight="1">
      <c r="C53" s="34" t="s">
        <v>897</v>
      </c>
      <c r="D53" s="2" t="s">
        <v>863</v>
      </c>
      <c r="H53" s="1"/>
      <c r="J53" s="1"/>
      <c r="L53" s="1"/>
      <c r="M53" s="1"/>
      <c r="N53" s="1"/>
      <c r="O53" s="1"/>
    </row>
    <row r="54" spans="3:25" ht="17.25" customHeight="1">
      <c r="C54" s="34" t="s">
        <v>982</v>
      </c>
      <c r="D54" s="2" t="s">
        <v>30</v>
      </c>
      <c r="H54" s="1"/>
      <c r="I54" s="1"/>
      <c r="J54" s="1"/>
      <c r="L54" s="1"/>
      <c r="M54" s="1"/>
      <c r="N54" s="1"/>
      <c r="O54" s="1"/>
      <c r="P54" s="1"/>
      <c r="Q54" s="1"/>
      <c r="R54" s="1"/>
      <c r="S54" s="1"/>
      <c r="T54" s="1"/>
      <c r="U54" s="1"/>
      <c r="V54" s="1"/>
      <c r="W54" s="1"/>
      <c r="X54" s="1"/>
      <c r="Y54" s="1"/>
    </row>
    <row r="55" spans="3:25" ht="17.25" customHeight="1">
      <c r="C55" s="4"/>
      <c r="D55" s="2" t="s">
        <v>905</v>
      </c>
      <c r="H55" s="1"/>
      <c r="I55" s="1"/>
      <c r="J55" s="1"/>
      <c r="K55" s="1"/>
      <c r="L55" s="1"/>
      <c r="M55" s="1"/>
      <c r="N55" s="1"/>
      <c r="O55" s="1"/>
      <c r="P55" s="1"/>
      <c r="Q55" s="1"/>
      <c r="R55" s="1"/>
      <c r="S55" s="1"/>
      <c r="T55" s="1"/>
      <c r="U55" s="1"/>
      <c r="V55" s="1"/>
      <c r="W55" s="1"/>
      <c r="X55" s="1"/>
      <c r="Y55" s="1"/>
    </row>
    <row r="56" spans="3:25" ht="17.25" customHeight="1">
      <c r="D56" s="2" t="s">
        <v>535</v>
      </c>
      <c r="H56" s="1"/>
      <c r="I56" s="1"/>
      <c r="J56" s="1"/>
      <c r="K56" s="1"/>
      <c r="L56" s="1"/>
      <c r="M56" s="1"/>
      <c r="N56" s="1"/>
      <c r="O56" s="1"/>
      <c r="P56" s="1"/>
      <c r="Q56" s="1"/>
      <c r="R56" s="1"/>
      <c r="S56" s="1"/>
      <c r="T56" s="1"/>
      <c r="U56" s="1"/>
      <c r="V56" s="1"/>
      <c r="W56" s="1"/>
      <c r="X56" s="1"/>
      <c r="Y56" s="1"/>
    </row>
    <row r="57" spans="3:25" ht="17.25" customHeight="1">
      <c r="D57" s="2" t="s">
        <v>436</v>
      </c>
      <c r="H57" s="1"/>
      <c r="I57" s="1"/>
      <c r="J57" s="1"/>
      <c r="K57" s="1"/>
      <c r="L57" s="1"/>
      <c r="M57" s="1"/>
      <c r="N57" s="1"/>
      <c r="O57" s="1"/>
      <c r="P57" s="1"/>
      <c r="Q57" s="1"/>
      <c r="R57" s="1"/>
      <c r="S57" s="1"/>
      <c r="T57" s="1"/>
      <c r="U57" s="1"/>
      <c r="V57" s="1"/>
      <c r="W57" s="1"/>
      <c r="X57" s="1"/>
      <c r="Y57" s="1"/>
    </row>
    <row r="58" spans="3:25" ht="17.25" customHeight="1">
      <c r="D58" s="2" t="s">
        <v>74</v>
      </c>
      <c r="H58" s="1"/>
      <c r="I58" s="1"/>
      <c r="J58" s="1"/>
      <c r="K58" s="1"/>
      <c r="L58" s="1"/>
      <c r="M58" s="1"/>
      <c r="N58" s="1"/>
      <c r="O58" s="1"/>
      <c r="P58" s="1"/>
      <c r="Q58" s="1"/>
      <c r="R58" s="1"/>
      <c r="S58" s="1"/>
      <c r="T58" s="1"/>
      <c r="U58" s="1"/>
      <c r="V58" s="1"/>
      <c r="W58" s="1"/>
      <c r="X58" s="1"/>
      <c r="Y58" s="1"/>
    </row>
    <row r="59" spans="3:25" ht="17.25" customHeight="1">
      <c r="D59" s="2" t="s">
        <v>909</v>
      </c>
      <c r="G59" s="1"/>
      <c r="H59" s="1"/>
      <c r="I59" s="1"/>
      <c r="J59" s="1"/>
      <c r="K59" s="1"/>
      <c r="L59" s="1"/>
      <c r="M59" s="1"/>
      <c r="N59" s="1"/>
      <c r="O59" s="1"/>
      <c r="P59" s="1"/>
      <c r="Q59" s="1"/>
      <c r="R59" s="1"/>
      <c r="S59" s="1"/>
      <c r="T59" s="1"/>
      <c r="U59" s="1"/>
      <c r="V59" s="1"/>
      <c r="W59" s="1"/>
      <c r="X59" s="1"/>
      <c r="Y59" s="1"/>
    </row>
    <row r="60" spans="3:25" ht="17.25" customHeight="1">
      <c r="D60" s="2" t="s">
        <v>2065</v>
      </c>
      <c r="G60" s="1"/>
      <c r="H60" s="1"/>
      <c r="I60" s="1"/>
      <c r="J60" s="1"/>
      <c r="K60" s="1"/>
      <c r="L60" s="1"/>
      <c r="M60" s="1"/>
      <c r="N60" s="1"/>
      <c r="O60" s="1"/>
      <c r="P60" s="1"/>
      <c r="Q60" s="1"/>
      <c r="R60" s="1"/>
      <c r="S60" s="1"/>
      <c r="T60" s="1"/>
      <c r="U60" s="1"/>
      <c r="V60" s="1"/>
      <c r="W60" s="1"/>
      <c r="X60" s="1"/>
      <c r="Y60" s="1"/>
    </row>
    <row r="61" spans="3:25" ht="17.25" customHeight="1">
      <c r="D61" s="2" t="s">
        <v>276</v>
      </c>
      <c r="G61" s="1"/>
      <c r="H61" s="1"/>
      <c r="I61" s="1"/>
      <c r="J61" s="1"/>
      <c r="K61" s="1"/>
      <c r="L61" s="1"/>
      <c r="M61" s="1"/>
      <c r="N61" s="1"/>
      <c r="O61" s="1"/>
      <c r="P61" s="1"/>
      <c r="Q61" s="1"/>
      <c r="R61" s="1"/>
      <c r="S61" s="1"/>
      <c r="T61" s="1"/>
      <c r="U61" s="1"/>
      <c r="V61" s="1"/>
      <c r="W61" s="1"/>
      <c r="X61" s="1"/>
      <c r="Y61" s="1"/>
    </row>
    <row r="62" spans="3:25" ht="17.25" customHeight="1">
      <c r="D62" s="2" t="s">
        <v>985</v>
      </c>
      <c r="G62" s="1"/>
      <c r="H62" s="1"/>
      <c r="I62" s="1"/>
      <c r="J62" s="1"/>
      <c r="K62" s="1"/>
      <c r="L62" s="1"/>
      <c r="M62" s="1"/>
      <c r="N62" s="1"/>
      <c r="O62" s="1"/>
      <c r="P62" s="1"/>
      <c r="Q62" s="1"/>
      <c r="R62" s="1"/>
      <c r="S62" s="1"/>
      <c r="T62" s="1"/>
      <c r="U62" s="1"/>
      <c r="V62" s="1"/>
      <c r="W62" s="1"/>
      <c r="X62" s="1"/>
      <c r="Y62" s="1"/>
    </row>
    <row r="63" spans="3:25" ht="17.25" customHeight="1">
      <c r="D63" s="2" t="s">
        <v>559</v>
      </c>
      <c r="F63" s="1"/>
      <c r="G63" s="1"/>
      <c r="H63" s="1"/>
      <c r="I63" s="1"/>
      <c r="J63" s="1"/>
      <c r="K63" s="1"/>
      <c r="L63" s="1"/>
      <c r="M63" s="1"/>
      <c r="N63" s="1"/>
      <c r="O63" s="1"/>
      <c r="P63" s="1"/>
      <c r="Q63" s="1"/>
      <c r="R63" s="1"/>
      <c r="S63" s="1"/>
      <c r="T63" s="1"/>
      <c r="U63" s="1"/>
      <c r="V63" s="1"/>
      <c r="W63" s="1"/>
      <c r="X63" s="1"/>
      <c r="Y63" s="1"/>
    </row>
    <row r="64" spans="3:25" ht="17.25" customHeight="1">
      <c r="D64" s="2" t="s">
        <v>494</v>
      </c>
      <c r="F64" s="1"/>
      <c r="G64" s="1"/>
      <c r="H64" s="1"/>
      <c r="I64" s="1"/>
      <c r="J64" s="1"/>
      <c r="K64" s="1"/>
      <c r="L64" s="1"/>
      <c r="M64" s="1"/>
      <c r="N64" s="1"/>
      <c r="O64" s="1"/>
      <c r="P64" s="1"/>
      <c r="Q64" s="1"/>
      <c r="R64" s="1"/>
      <c r="S64" s="1"/>
      <c r="T64" s="1"/>
      <c r="U64" s="1"/>
      <c r="V64" s="1"/>
      <c r="W64" s="1"/>
      <c r="X64" s="1"/>
      <c r="Y64" s="1"/>
    </row>
    <row r="65" spans="4:25" ht="17.25" customHeight="1">
      <c r="D65" s="2" t="s">
        <v>775</v>
      </c>
      <c r="F65" s="1"/>
      <c r="G65" s="1"/>
      <c r="H65" s="1"/>
      <c r="I65" s="1"/>
      <c r="J65" s="1"/>
      <c r="K65" s="1"/>
      <c r="L65" s="1"/>
      <c r="M65" s="1"/>
      <c r="N65" s="1"/>
      <c r="O65" s="1"/>
      <c r="P65" s="1"/>
      <c r="Q65" s="1"/>
      <c r="R65" s="1"/>
      <c r="S65" s="1"/>
      <c r="T65" s="1"/>
      <c r="U65" s="1"/>
      <c r="V65" s="1"/>
      <c r="W65" s="1"/>
      <c r="X65" s="1"/>
      <c r="Y65" s="1"/>
    </row>
    <row r="66" spans="4:25" ht="17.25" customHeight="1">
      <c r="D66" s="34" t="s">
        <v>434</v>
      </c>
      <c r="F66" s="1"/>
      <c r="G66" s="1"/>
      <c r="H66" s="1"/>
      <c r="I66" s="1"/>
      <c r="J66" s="1"/>
      <c r="K66" s="1"/>
      <c r="L66" s="1"/>
      <c r="M66" s="1"/>
      <c r="N66" s="1"/>
      <c r="O66" s="1"/>
      <c r="P66" s="1"/>
      <c r="Q66" s="1"/>
      <c r="R66" s="1"/>
      <c r="S66" s="1"/>
      <c r="T66" s="1"/>
      <c r="U66" s="1"/>
      <c r="V66" s="1"/>
      <c r="W66" s="1"/>
      <c r="X66" s="1"/>
      <c r="Y66" s="1"/>
    </row>
    <row r="67" spans="4:25" ht="17.25" customHeight="1">
      <c r="D67" s="34" t="s">
        <v>986</v>
      </c>
      <c r="F67" s="1"/>
      <c r="G67" s="1"/>
      <c r="H67" s="1"/>
      <c r="I67" s="1"/>
      <c r="J67" s="1"/>
      <c r="K67" s="1"/>
      <c r="L67" s="1"/>
      <c r="M67" s="1"/>
      <c r="N67" s="1"/>
      <c r="O67" s="1"/>
      <c r="P67" s="1"/>
      <c r="Q67" s="1"/>
      <c r="R67" s="1"/>
      <c r="S67" s="1"/>
      <c r="T67" s="1"/>
      <c r="U67" s="1"/>
      <c r="V67" s="1"/>
      <c r="W67" s="1"/>
      <c r="X67" s="1"/>
      <c r="Y67" s="1"/>
    </row>
    <row r="68" spans="4:25" ht="17.25" customHeight="1">
      <c r="D68" s="34" t="s">
        <v>2449</v>
      </c>
      <c r="F68" s="1"/>
      <c r="G68" s="1"/>
      <c r="H68" s="1"/>
      <c r="I68" s="1"/>
      <c r="J68" s="1"/>
      <c r="K68" s="1"/>
      <c r="L68" s="1"/>
      <c r="M68" s="1"/>
      <c r="N68" s="1"/>
      <c r="O68" s="1"/>
      <c r="P68" s="1"/>
      <c r="Q68" s="1"/>
      <c r="R68" s="1"/>
      <c r="S68" s="1"/>
      <c r="T68" s="1"/>
      <c r="U68" s="1"/>
      <c r="V68" s="1"/>
      <c r="W68" s="1"/>
      <c r="X68" s="1"/>
      <c r="Y68" s="1"/>
    </row>
    <row r="69" spans="4:25" ht="17.25" customHeight="1">
      <c r="D69" s="34" t="s">
        <v>69</v>
      </c>
      <c r="F69" s="1"/>
      <c r="G69" s="1"/>
      <c r="H69" s="1"/>
      <c r="I69" s="1"/>
      <c r="J69" s="1"/>
      <c r="K69" s="1"/>
      <c r="L69" s="1"/>
      <c r="M69" s="1"/>
      <c r="N69" s="1"/>
      <c r="O69" s="1"/>
      <c r="P69" s="1"/>
      <c r="Q69" s="1"/>
      <c r="R69" s="1"/>
      <c r="S69" s="1"/>
      <c r="T69" s="1"/>
      <c r="U69" s="1"/>
      <c r="V69" s="1"/>
      <c r="W69" s="1"/>
      <c r="X69" s="1"/>
      <c r="Y69" s="1"/>
    </row>
    <row r="70" spans="4:25" ht="17.25" customHeight="1">
      <c r="D70" s="34" t="s">
        <v>982</v>
      </c>
      <c r="F70" s="1"/>
      <c r="G70" s="1"/>
      <c r="H70" s="1"/>
      <c r="I70" s="1"/>
      <c r="J70" s="1"/>
      <c r="K70" s="1"/>
      <c r="L70" s="1"/>
      <c r="M70" s="1"/>
      <c r="N70" s="1"/>
      <c r="O70" s="1"/>
      <c r="P70" s="1"/>
      <c r="Q70" s="1"/>
      <c r="R70" s="1"/>
      <c r="S70" s="1"/>
      <c r="T70" s="1"/>
      <c r="U70" s="1"/>
      <c r="V70" s="1"/>
      <c r="W70" s="1"/>
      <c r="X70" s="1"/>
      <c r="Y70" s="1"/>
    </row>
    <row r="71" spans="4:25" ht="17.25" customHeight="1">
      <c r="D71" s="34" t="s">
        <v>374</v>
      </c>
      <c r="F71" s="1"/>
      <c r="G71" s="1"/>
      <c r="H71" s="1"/>
      <c r="I71" s="1"/>
      <c r="J71" s="1"/>
      <c r="K71" s="1"/>
      <c r="L71" s="1"/>
      <c r="M71" s="1"/>
      <c r="N71" s="1"/>
      <c r="O71" s="1"/>
      <c r="P71" s="1"/>
      <c r="Q71" s="1"/>
      <c r="R71" s="1"/>
      <c r="S71" s="1"/>
      <c r="T71" s="1"/>
      <c r="U71" s="1"/>
      <c r="V71" s="1"/>
      <c r="W71" s="1"/>
      <c r="X71" s="1"/>
      <c r="Y71" s="1"/>
    </row>
    <row r="72" spans="4:25" ht="17.25" customHeight="1">
      <c r="D72" s="34"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979</v>
      </c>
      <c r="B1" s="36" t="s">
        <v>1959</v>
      </c>
      <c r="C1" s="36" t="s">
        <v>0</v>
      </c>
      <c r="D1" s="36" t="s">
        <v>2</v>
      </c>
      <c r="E1" s="36" t="s">
        <v>1960</v>
      </c>
      <c r="F1" s="36" t="s">
        <v>1931</v>
      </c>
      <c r="G1" s="36" t="s">
        <v>1961</v>
      </c>
      <c r="H1" s="37" t="s">
        <v>1962</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979</v>
      </c>
      <c r="B1" s="36" t="s">
        <v>1959</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14" t="s">
        <v>3331</v>
      </c>
      <c r="B1" s="214"/>
      <c r="C1" s="214"/>
      <c r="D1" s="214"/>
      <c r="E1" s="214"/>
      <c r="F1" s="41"/>
    </row>
    <row r="2" spans="1:8" ht="33.75" customHeight="1">
      <c r="A2" s="34" t="s">
        <v>1989</v>
      </c>
      <c r="B2" s="34" t="s">
        <v>975</v>
      </c>
      <c r="C2" s="34" t="s">
        <v>1014</v>
      </c>
      <c r="D2" s="34" t="s">
        <v>0</v>
      </c>
      <c r="E2" s="34" t="s">
        <v>1990</v>
      </c>
      <c r="F2" s="34" t="s">
        <v>1931</v>
      </c>
      <c r="G2" s="34" t="s">
        <v>1988</v>
      </c>
      <c r="H2" s="34" t="s">
        <v>1991</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2012-02-05T01:53:26Z</dcterms:modified>
</cp:coreProperties>
</file>